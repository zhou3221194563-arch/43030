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56923b6481082e/32146/_Assignments/Ass-2/"/>
    </mc:Choice>
  </mc:AlternateContent>
  <xr:revisionPtr revIDLastSave="102" documentId="14_{AE0CC7E0-1E3B-4D55-B599-B413167E6E96}" xr6:coauthVersionLast="47" xr6:coauthVersionMax="47" xr10:uidLastSave="{AA12AFDE-76F5-463E-B713-F680E84E2E8A}"/>
  <bookViews>
    <workbookView xWindow="-103" yWindow="-103" windowWidth="33120" windowHeight="18120" tabRatio="848" xr2:uid="{00000000-000D-0000-FFFF-FFFF00000000}"/>
  </bookViews>
  <sheets>
    <sheet name="wimbledons_champions" sheetId="1" r:id="rId1"/>
    <sheet name="Top5" sheetId="18" r:id="rId2"/>
    <sheet name="Win Rate" sheetId="15" state="hidden" r:id="rId3"/>
    <sheet name="Map" sheetId="13" state="hidden" r:id="rId4"/>
    <sheet name="visual pattern" sheetId="14" state="hidden" r:id="rId5"/>
    <sheet name="Math" sheetId="2" state="hidden" r:id="rId6"/>
    <sheet name="treemap" sheetId="11" state="hidden" r:id="rId7"/>
    <sheet name="Text Cloud" sheetId="12" state="hidden" r:id="rId8"/>
    <sheet name="Match-country" sheetId="10" state="hidden" r:id="rId9"/>
    <sheet name="Men-1" sheetId="4" state="hidden" r:id="rId10"/>
    <sheet name="Women-1" sheetId="3" state="hidden" r:id="rId11"/>
    <sheet name="calculate" sheetId="17" state="hidden" r:id="rId12"/>
  </sheets>
  <definedNames>
    <definedName name="_xlnm._FilterDatabase" localSheetId="9" hidden="1">'Men-1'!$A$1:$J$128</definedName>
    <definedName name="win_rate_assessment" localSheetId="2" hidden="1">'Win Rate'!$O$1:$X$264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win rate assessment" name="win rate assessment" connection="win rate assessment"/>
          <x15:modelTable id="New Text Document  2" name="New Text Document  2" connection="New Text Document (2)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5" l="1"/>
  <c r="Z2" i="15"/>
  <c r="Y3" i="15"/>
  <c r="AA3" i="15" s="1"/>
  <c r="Y2" i="15"/>
  <c r="AA2" i="15" s="1"/>
  <c r="B3" i="15"/>
  <c r="B2" i="15"/>
  <c r="H264" i="15"/>
  <c r="G264" i="15"/>
  <c r="B264" i="15"/>
  <c r="A264" i="15"/>
  <c r="H263" i="15"/>
  <c r="G263" i="15"/>
  <c r="B263" i="15"/>
  <c r="A263" i="15"/>
  <c r="H262" i="15"/>
  <c r="G262" i="15"/>
  <c r="B262" i="15"/>
  <c r="A262" i="15"/>
  <c r="H261" i="15"/>
  <c r="G261" i="15"/>
  <c r="B261" i="15"/>
  <c r="A261" i="15"/>
  <c r="H260" i="15"/>
  <c r="G260" i="15"/>
  <c r="B260" i="15"/>
  <c r="A260" i="15"/>
  <c r="H259" i="15"/>
  <c r="G259" i="15"/>
  <c r="B259" i="15"/>
  <c r="A259" i="15"/>
  <c r="H258" i="15"/>
  <c r="G258" i="15"/>
  <c r="B258" i="15"/>
  <c r="A258" i="15"/>
  <c r="H257" i="15"/>
  <c r="G257" i="15"/>
  <c r="B257" i="15"/>
  <c r="A257" i="15"/>
  <c r="H256" i="15"/>
  <c r="G256" i="15"/>
  <c r="B256" i="15"/>
  <c r="A256" i="15"/>
  <c r="H255" i="15"/>
  <c r="G255" i="15"/>
  <c r="B255" i="15"/>
  <c r="A255" i="15"/>
  <c r="H254" i="15"/>
  <c r="G254" i="15"/>
  <c r="B254" i="15"/>
  <c r="A254" i="15"/>
  <c r="H253" i="15"/>
  <c r="G253" i="15"/>
  <c r="B253" i="15"/>
  <c r="A253" i="15"/>
  <c r="H252" i="15"/>
  <c r="G252" i="15"/>
  <c r="B252" i="15"/>
  <c r="A252" i="15"/>
  <c r="H251" i="15"/>
  <c r="G251" i="15"/>
  <c r="B251" i="15"/>
  <c r="A251" i="15"/>
  <c r="H250" i="15"/>
  <c r="G250" i="15"/>
  <c r="B250" i="15"/>
  <c r="A250" i="15"/>
  <c r="H249" i="15"/>
  <c r="G249" i="15"/>
  <c r="B249" i="15"/>
  <c r="A249" i="15"/>
  <c r="H248" i="15"/>
  <c r="G248" i="15"/>
  <c r="B248" i="15"/>
  <c r="A248" i="15"/>
  <c r="H247" i="15"/>
  <c r="G247" i="15"/>
  <c r="B247" i="15"/>
  <c r="A247" i="15"/>
  <c r="H246" i="15"/>
  <c r="G246" i="15"/>
  <c r="B246" i="15"/>
  <c r="A246" i="15"/>
  <c r="H245" i="15"/>
  <c r="G245" i="15"/>
  <c r="B245" i="15"/>
  <c r="A245" i="15"/>
  <c r="H244" i="15"/>
  <c r="G244" i="15"/>
  <c r="B244" i="15"/>
  <c r="A244" i="15"/>
  <c r="H243" i="15"/>
  <c r="G243" i="15"/>
  <c r="B243" i="15"/>
  <c r="A243" i="15"/>
  <c r="H242" i="15"/>
  <c r="G242" i="15"/>
  <c r="B242" i="15"/>
  <c r="A242" i="15"/>
  <c r="H241" i="15"/>
  <c r="G241" i="15"/>
  <c r="B241" i="15"/>
  <c r="A241" i="15"/>
  <c r="H240" i="15"/>
  <c r="G240" i="15"/>
  <c r="B240" i="15"/>
  <c r="A240" i="15"/>
  <c r="H239" i="15"/>
  <c r="G239" i="15"/>
  <c r="B239" i="15"/>
  <c r="A239" i="15"/>
  <c r="H238" i="15"/>
  <c r="G238" i="15"/>
  <c r="B238" i="15"/>
  <c r="A238" i="15"/>
  <c r="H237" i="15"/>
  <c r="G237" i="15"/>
  <c r="B237" i="15"/>
  <c r="A237" i="15"/>
  <c r="H236" i="15"/>
  <c r="G236" i="15"/>
  <c r="B236" i="15"/>
  <c r="A236" i="15"/>
  <c r="H235" i="15"/>
  <c r="G235" i="15"/>
  <c r="B235" i="15"/>
  <c r="A235" i="15"/>
  <c r="H234" i="15"/>
  <c r="G234" i="15"/>
  <c r="B234" i="15"/>
  <c r="A234" i="15"/>
  <c r="H233" i="15"/>
  <c r="G233" i="15"/>
  <c r="B233" i="15"/>
  <c r="A233" i="15"/>
  <c r="H232" i="15"/>
  <c r="G232" i="15"/>
  <c r="B232" i="15"/>
  <c r="A232" i="15"/>
  <c r="H231" i="15"/>
  <c r="G231" i="15"/>
  <c r="B231" i="15"/>
  <c r="A231" i="15"/>
  <c r="H230" i="15"/>
  <c r="G230" i="15"/>
  <c r="B230" i="15"/>
  <c r="A230" i="15"/>
  <c r="H229" i="15"/>
  <c r="G229" i="15"/>
  <c r="B229" i="15"/>
  <c r="A229" i="15"/>
  <c r="H228" i="15"/>
  <c r="G228" i="15"/>
  <c r="B228" i="15"/>
  <c r="A228" i="15"/>
  <c r="H227" i="15"/>
  <c r="G227" i="15"/>
  <c r="B227" i="15"/>
  <c r="A227" i="15"/>
  <c r="H226" i="15"/>
  <c r="G226" i="15"/>
  <c r="B226" i="15"/>
  <c r="A226" i="15"/>
  <c r="H225" i="15"/>
  <c r="G225" i="15"/>
  <c r="B225" i="15"/>
  <c r="A225" i="15"/>
  <c r="H224" i="15"/>
  <c r="G224" i="15"/>
  <c r="B224" i="15"/>
  <c r="A224" i="15"/>
  <c r="H223" i="15"/>
  <c r="G223" i="15"/>
  <c r="B223" i="15"/>
  <c r="A223" i="15"/>
  <c r="H222" i="15"/>
  <c r="G222" i="15"/>
  <c r="B222" i="15"/>
  <c r="A222" i="15"/>
  <c r="H221" i="15"/>
  <c r="G221" i="15"/>
  <c r="B221" i="15"/>
  <c r="A221" i="15"/>
  <c r="H220" i="15"/>
  <c r="G220" i="15"/>
  <c r="B220" i="15"/>
  <c r="A220" i="15"/>
  <c r="H219" i="15"/>
  <c r="G219" i="15"/>
  <c r="B219" i="15"/>
  <c r="A219" i="15"/>
  <c r="H218" i="15"/>
  <c r="G218" i="15"/>
  <c r="B218" i="15"/>
  <c r="A218" i="15"/>
  <c r="H217" i="15"/>
  <c r="G217" i="15"/>
  <c r="B217" i="15"/>
  <c r="A217" i="15"/>
  <c r="H216" i="15"/>
  <c r="G216" i="15"/>
  <c r="B216" i="15"/>
  <c r="A216" i="15"/>
  <c r="H215" i="15"/>
  <c r="G215" i="15"/>
  <c r="B215" i="15"/>
  <c r="A215" i="15"/>
  <c r="H214" i="15"/>
  <c r="G214" i="15"/>
  <c r="B214" i="15"/>
  <c r="A214" i="15"/>
  <c r="H213" i="15"/>
  <c r="G213" i="15"/>
  <c r="B213" i="15"/>
  <c r="A213" i="15"/>
  <c r="H212" i="15"/>
  <c r="G212" i="15"/>
  <c r="B212" i="15"/>
  <c r="A212" i="15"/>
  <c r="H211" i="15"/>
  <c r="G211" i="15"/>
  <c r="B211" i="15"/>
  <c r="A211" i="15"/>
  <c r="H210" i="15"/>
  <c r="G210" i="15"/>
  <c r="B210" i="15"/>
  <c r="A210" i="15"/>
  <c r="H209" i="15"/>
  <c r="G209" i="15"/>
  <c r="B209" i="15"/>
  <c r="A209" i="15"/>
  <c r="H208" i="15"/>
  <c r="G208" i="15"/>
  <c r="B208" i="15"/>
  <c r="A208" i="15"/>
  <c r="H207" i="15"/>
  <c r="G207" i="15"/>
  <c r="B207" i="15"/>
  <c r="A207" i="15"/>
  <c r="H206" i="15"/>
  <c r="G206" i="15"/>
  <c r="B206" i="15"/>
  <c r="A206" i="15"/>
  <c r="H205" i="15"/>
  <c r="G205" i="15"/>
  <c r="B205" i="15"/>
  <c r="A205" i="15"/>
  <c r="H204" i="15"/>
  <c r="G204" i="15"/>
  <c r="B204" i="15"/>
  <c r="A204" i="15"/>
  <c r="H203" i="15"/>
  <c r="G203" i="15"/>
  <c r="B203" i="15"/>
  <c r="A203" i="15"/>
  <c r="H202" i="15"/>
  <c r="G202" i="15"/>
  <c r="B202" i="15"/>
  <c r="A202" i="15"/>
  <c r="H201" i="15"/>
  <c r="G201" i="15"/>
  <c r="B201" i="15"/>
  <c r="A201" i="15"/>
  <c r="H200" i="15"/>
  <c r="G200" i="15"/>
  <c r="B200" i="15"/>
  <c r="A200" i="15"/>
  <c r="H199" i="15"/>
  <c r="G199" i="15"/>
  <c r="B199" i="15"/>
  <c r="A199" i="15"/>
  <c r="H198" i="15"/>
  <c r="G198" i="15"/>
  <c r="B198" i="15"/>
  <c r="A198" i="15"/>
  <c r="H197" i="15"/>
  <c r="G197" i="15"/>
  <c r="B197" i="15"/>
  <c r="A197" i="15"/>
  <c r="H196" i="15"/>
  <c r="G196" i="15"/>
  <c r="B196" i="15"/>
  <c r="A196" i="15"/>
  <c r="H195" i="15"/>
  <c r="G195" i="15"/>
  <c r="B195" i="15"/>
  <c r="A195" i="15"/>
  <c r="H194" i="15"/>
  <c r="G194" i="15"/>
  <c r="B194" i="15"/>
  <c r="A194" i="15"/>
  <c r="H193" i="15"/>
  <c r="G193" i="15"/>
  <c r="B193" i="15"/>
  <c r="A193" i="15"/>
  <c r="H192" i="15"/>
  <c r="G192" i="15"/>
  <c r="B192" i="15"/>
  <c r="A192" i="15"/>
  <c r="H191" i="15"/>
  <c r="G191" i="15"/>
  <c r="B191" i="15"/>
  <c r="A191" i="15"/>
  <c r="H190" i="15"/>
  <c r="G190" i="15"/>
  <c r="B190" i="15"/>
  <c r="A190" i="15"/>
  <c r="H189" i="15"/>
  <c r="G189" i="15"/>
  <c r="B189" i="15"/>
  <c r="A189" i="15"/>
  <c r="H188" i="15"/>
  <c r="G188" i="15"/>
  <c r="B188" i="15"/>
  <c r="A188" i="15"/>
  <c r="H187" i="15"/>
  <c r="G187" i="15"/>
  <c r="B187" i="15"/>
  <c r="A187" i="15"/>
  <c r="H186" i="15"/>
  <c r="G186" i="15"/>
  <c r="B186" i="15"/>
  <c r="A186" i="15"/>
  <c r="H185" i="15"/>
  <c r="G185" i="15"/>
  <c r="B185" i="15"/>
  <c r="A185" i="15"/>
  <c r="H184" i="15"/>
  <c r="G184" i="15"/>
  <c r="B184" i="15"/>
  <c r="A184" i="15"/>
  <c r="H183" i="15"/>
  <c r="G183" i="15"/>
  <c r="B183" i="15"/>
  <c r="A183" i="15"/>
  <c r="H182" i="15"/>
  <c r="G182" i="15"/>
  <c r="B182" i="15"/>
  <c r="A182" i="15"/>
  <c r="H181" i="15"/>
  <c r="G181" i="15"/>
  <c r="B181" i="15"/>
  <c r="A181" i="15"/>
  <c r="H180" i="15"/>
  <c r="G180" i="15"/>
  <c r="B180" i="15"/>
  <c r="A180" i="15"/>
  <c r="H179" i="15"/>
  <c r="G179" i="15"/>
  <c r="B179" i="15"/>
  <c r="A179" i="15"/>
  <c r="H178" i="15"/>
  <c r="G178" i="15"/>
  <c r="B178" i="15"/>
  <c r="A178" i="15"/>
  <c r="H177" i="15"/>
  <c r="G177" i="15"/>
  <c r="B177" i="15"/>
  <c r="A177" i="15"/>
  <c r="H176" i="15"/>
  <c r="G176" i="15"/>
  <c r="B176" i="15"/>
  <c r="A176" i="15"/>
  <c r="H175" i="15"/>
  <c r="G175" i="15"/>
  <c r="B175" i="15"/>
  <c r="A175" i="15"/>
  <c r="H174" i="15"/>
  <c r="G174" i="15"/>
  <c r="B174" i="15"/>
  <c r="A174" i="15"/>
  <c r="H173" i="15"/>
  <c r="G173" i="15"/>
  <c r="B173" i="15"/>
  <c r="A173" i="15"/>
  <c r="H172" i="15"/>
  <c r="G172" i="15"/>
  <c r="B172" i="15"/>
  <c r="A172" i="15"/>
  <c r="H171" i="15"/>
  <c r="G171" i="15"/>
  <c r="B171" i="15"/>
  <c r="A171" i="15"/>
  <c r="H170" i="15"/>
  <c r="G170" i="15"/>
  <c r="B170" i="15"/>
  <c r="A170" i="15"/>
  <c r="H169" i="15"/>
  <c r="G169" i="15"/>
  <c r="B169" i="15"/>
  <c r="A169" i="15"/>
  <c r="H168" i="15"/>
  <c r="G168" i="15"/>
  <c r="B168" i="15"/>
  <c r="A168" i="15"/>
  <c r="H167" i="15"/>
  <c r="G167" i="15"/>
  <c r="B167" i="15"/>
  <c r="A167" i="15"/>
  <c r="H166" i="15"/>
  <c r="G166" i="15"/>
  <c r="B166" i="15"/>
  <c r="A166" i="15"/>
  <c r="H165" i="15"/>
  <c r="G165" i="15"/>
  <c r="B165" i="15"/>
  <c r="A165" i="15"/>
  <c r="H164" i="15"/>
  <c r="G164" i="15"/>
  <c r="B164" i="15"/>
  <c r="A164" i="15"/>
  <c r="H163" i="15"/>
  <c r="G163" i="15"/>
  <c r="B163" i="15"/>
  <c r="A163" i="15"/>
  <c r="H162" i="15"/>
  <c r="G162" i="15"/>
  <c r="B162" i="15"/>
  <c r="A162" i="15"/>
  <c r="H161" i="15"/>
  <c r="G161" i="15"/>
  <c r="B161" i="15"/>
  <c r="A161" i="15"/>
  <c r="H160" i="15"/>
  <c r="G160" i="15"/>
  <c r="B160" i="15"/>
  <c r="A160" i="15"/>
  <c r="H159" i="15"/>
  <c r="G159" i="15"/>
  <c r="B159" i="15"/>
  <c r="A159" i="15"/>
  <c r="H158" i="15"/>
  <c r="G158" i="15"/>
  <c r="B158" i="15"/>
  <c r="A158" i="15"/>
  <c r="H157" i="15"/>
  <c r="G157" i="15"/>
  <c r="B157" i="15"/>
  <c r="A157" i="15"/>
  <c r="H156" i="15"/>
  <c r="G156" i="15"/>
  <c r="B156" i="15"/>
  <c r="A156" i="15"/>
  <c r="H155" i="15"/>
  <c r="G155" i="15"/>
  <c r="B155" i="15"/>
  <c r="A155" i="15"/>
  <c r="H154" i="15"/>
  <c r="G154" i="15"/>
  <c r="B154" i="15"/>
  <c r="A154" i="15"/>
  <c r="H153" i="15"/>
  <c r="G153" i="15"/>
  <c r="B153" i="15"/>
  <c r="A153" i="15"/>
  <c r="H152" i="15"/>
  <c r="G152" i="15"/>
  <c r="B152" i="15"/>
  <c r="A152" i="15"/>
  <c r="H151" i="15"/>
  <c r="G151" i="15"/>
  <c r="B151" i="15"/>
  <c r="A151" i="15"/>
  <c r="H150" i="15"/>
  <c r="G150" i="15"/>
  <c r="B150" i="15"/>
  <c r="A150" i="15"/>
  <c r="H149" i="15"/>
  <c r="G149" i="15"/>
  <c r="B149" i="15"/>
  <c r="A149" i="15"/>
  <c r="H148" i="15"/>
  <c r="G148" i="15"/>
  <c r="B148" i="15"/>
  <c r="A148" i="15"/>
  <c r="H147" i="15"/>
  <c r="G147" i="15"/>
  <c r="B147" i="15"/>
  <c r="A147" i="15"/>
  <c r="H146" i="15"/>
  <c r="G146" i="15"/>
  <c r="B146" i="15"/>
  <c r="A146" i="15"/>
  <c r="H145" i="15"/>
  <c r="G145" i="15"/>
  <c r="B145" i="15"/>
  <c r="A145" i="15"/>
  <c r="H144" i="15"/>
  <c r="G144" i="15"/>
  <c r="B144" i="15"/>
  <c r="A144" i="15"/>
  <c r="H143" i="15"/>
  <c r="G143" i="15"/>
  <c r="B143" i="15"/>
  <c r="A143" i="15"/>
  <c r="H142" i="15"/>
  <c r="G142" i="15"/>
  <c r="B142" i="15"/>
  <c r="A142" i="15"/>
  <c r="H141" i="15"/>
  <c r="G141" i="15"/>
  <c r="B141" i="15"/>
  <c r="A141" i="15"/>
  <c r="H140" i="15"/>
  <c r="G140" i="15"/>
  <c r="B140" i="15"/>
  <c r="A140" i="15"/>
  <c r="H139" i="15"/>
  <c r="G139" i="15"/>
  <c r="B139" i="15"/>
  <c r="A139" i="15"/>
  <c r="H138" i="15"/>
  <c r="G138" i="15"/>
  <c r="B138" i="15"/>
  <c r="A138" i="15"/>
  <c r="H137" i="15"/>
  <c r="G137" i="15"/>
  <c r="B137" i="15"/>
  <c r="A137" i="15"/>
  <c r="H136" i="15"/>
  <c r="G136" i="15"/>
  <c r="B136" i="15"/>
  <c r="A136" i="15"/>
  <c r="H135" i="15"/>
  <c r="G135" i="15"/>
  <c r="B135" i="15"/>
  <c r="A135" i="15"/>
  <c r="H134" i="15"/>
  <c r="G134" i="15"/>
  <c r="B134" i="15"/>
  <c r="A134" i="15"/>
  <c r="H133" i="15"/>
  <c r="G133" i="15"/>
  <c r="B133" i="15"/>
  <c r="A133" i="15"/>
  <c r="H132" i="15"/>
  <c r="G132" i="15"/>
  <c r="B132" i="15"/>
  <c r="A132" i="15"/>
  <c r="H131" i="15"/>
  <c r="G131" i="15"/>
  <c r="B131" i="15"/>
  <c r="A131" i="15"/>
  <c r="H130" i="15"/>
  <c r="G130" i="15"/>
  <c r="B130" i="15"/>
  <c r="A130" i="15"/>
  <c r="H129" i="15"/>
  <c r="G129" i="15"/>
  <c r="B129" i="15"/>
  <c r="A129" i="15"/>
  <c r="H128" i="15"/>
  <c r="G128" i="15"/>
  <c r="B128" i="15"/>
  <c r="A128" i="15"/>
  <c r="H127" i="15"/>
  <c r="G127" i="15"/>
  <c r="B127" i="15"/>
  <c r="A127" i="15"/>
  <c r="H126" i="15"/>
  <c r="G126" i="15"/>
  <c r="B126" i="15"/>
  <c r="A126" i="15"/>
  <c r="H125" i="15"/>
  <c r="G125" i="15"/>
  <c r="B125" i="15"/>
  <c r="A125" i="15"/>
  <c r="H124" i="15"/>
  <c r="G124" i="15"/>
  <c r="B124" i="15"/>
  <c r="A124" i="15"/>
  <c r="H123" i="15"/>
  <c r="G123" i="15"/>
  <c r="B123" i="15"/>
  <c r="A123" i="15"/>
  <c r="H122" i="15"/>
  <c r="G122" i="15"/>
  <c r="B122" i="15"/>
  <c r="A122" i="15"/>
  <c r="H121" i="15"/>
  <c r="G121" i="15"/>
  <c r="B121" i="15"/>
  <c r="A121" i="15"/>
  <c r="H120" i="15"/>
  <c r="G120" i="15"/>
  <c r="B120" i="15"/>
  <c r="A120" i="15"/>
  <c r="H119" i="15"/>
  <c r="G119" i="15"/>
  <c r="B119" i="15"/>
  <c r="A119" i="15"/>
  <c r="H118" i="15"/>
  <c r="G118" i="15"/>
  <c r="B118" i="15"/>
  <c r="A118" i="15"/>
  <c r="H117" i="15"/>
  <c r="G117" i="15"/>
  <c r="B117" i="15"/>
  <c r="A117" i="15"/>
  <c r="H116" i="15"/>
  <c r="G116" i="15"/>
  <c r="B116" i="15"/>
  <c r="A116" i="15"/>
  <c r="H115" i="15"/>
  <c r="G115" i="15"/>
  <c r="B115" i="15"/>
  <c r="A115" i="15"/>
  <c r="H114" i="15"/>
  <c r="G114" i="15"/>
  <c r="B114" i="15"/>
  <c r="A114" i="15"/>
  <c r="H113" i="15"/>
  <c r="G113" i="15"/>
  <c r="B113" i="15"/>
  <c r="A113" i="15"/>
  <c r="H112" i="15"/>
  <c r="G112" i="15"/>
  <c r="B112" i="15"/>
  <c r="A112" i="15"/>
  <c r="H111" i="15"/>
  <c r="G111" i="15"/>
  <c r="B111" i="15"/>
  <c r="A111" i="15"/>
  <c r="H110" i="15"/>
  <c r="G110" i="15"/>
  <c r="B110" i="15"/>
  <c r="A110" i="15"/>
  <c r="H109" i="15"/>
  <c r="G109" i="15"/>
  <c r="B109" i="15"/>
  <c r="A109" i="15"/>
  <c r="H108" i="15"/>
  <c r="G108" i="15"/>
  <c r="B108" i="15"/>
  <c r="A108" i="15"/>
  <c r="H107" i="15"/>
  <c r="G107" i="15"/>
  <c r="B107" i="15"/>
  <c r="A107" i="15"/>
  <c r="H106" i="15"/>
  <c r="G106" i="15"/>
  <c r="B106" i="15"/>
  <c r="A106" i="15"/>
  <c r="H105" i="15"/>
  <c r="G105" i="15"/>
  <c r="B105" i="15"/>
  <c r="A105" i="15"/>
  <c r="H104" i="15"/>
  <c r="G104" i="15"/>
  <c r="B104" i="15"/>
  <c r="A104" i="15"/>
  <c r="H103" i="15"/>
  <c r="G103" i="15"/>
  <c r="B103" i="15"/>
  <c r="A103" i="15"/>
  <c r="H102" i="15"/>
  <c r="G102" i="15"/>
  <c r="B102" i="15"/>
  <c r="A102" i="15"/>
  <c r="H101" i="15"/>
  <c r="G101" i="15"/>
  <c r="B101" i="15"/>
  <c r="A101" i="15"/>
  <c r="H100" i="15"/>
  <c r="G100" i="15"/>
  <c r="B100" i="15"/>
  <c r="A100" i="15"/>
  <c r="H99" i="15"/>
  <c r="G99" i="15"/>
  <c r="B99" i="15"/>
  <c r="A99" i="15"/>
  <c r="H98" i="15"/>
  <c r="G98" i="15"/>
  <c r="B98" i="15"/>
  <c r="A98" i="15"/>
  <c r="H97" i="15"/>
  <c r="G97" i="15"/>
  <c r="B97" i="15"/>
  <c r="A97" i="15"/>
  <c r="H96" i="15"/>
  <c r="G96" i="15"/>
  <c r="B96" i="15"/>
  <c r="A96" i="15"/>
  <c r="H95" i="15"/>
  <c r="G95" i="15"/>
  <c r="B95" i="15"/>
  <c r="A95" i="15"/>
  <c r="H94" i="15"/>
  <c r="G94" i="15"/>
  <c r="B94" i="15"/>
  <c r="A94" i="15"/>
  <c r="H93" i="15"/>
  <c r="G93" i="15"/>
  <c r="B93" i="15"/>
  <c r="A93" i="15"/>
  <c r="H92" i="15"/>
  <c r="G92" i="15"/>
  <c r="B92" i="15"/>
  <c r="A92" i="15"/>
  <c r="H91" i="15"/>
  <c r="G91" i="15"/>
  <c r="B91" i="15"/>
  <c r="A91" i="15"/>
  <c r="H90" i="15"/>
  <c r="G90" i="15"/>
  <c r="B90" i="15"/>
  <c r="A90" i="15"/>
  <c r="H89" i="15"/>
  <c r="G89" i="15"/>
  <c r="B89" i="15"/>
  <c r="A89" i="15"/>
  <c r="H88" i="15"/>
  <c r="G88" i="15"/>
  <c r="B88" i="15"/>
  <c r="A88" i="15"/>
  <c r="H87" i="15"/>
  <c r="G87" i="15"/>
  <c r="B87" i="15"/>
  <c r="A87" i="15"/>
  <c r="H86" i="15"/>
  <c r="G86" i="15"/>
  <c r="B86" i="15"/>
  <c r="A86" i="15"/>
  <c r="H85" i="15"/>
  <c r="G85" i="15"/>
  <c r="B85" i="15"/>
  <c r="A85" i="15"/>
  <c r="H84" i="15"/>
  <c r="G84" i="15"/>
  <c r="B84" i="15"/>
  <c r="A84" i="15"/>
  <c r="H83" i="15"/>
  <c r="G83" i="15"/>
  <c r="B83" i="15"/>
  <c r="A83" i="15"/>
  <c r="H82" i="15"/>
  <c r="G82" i="15"/>
  <c r="B82" i="15"/>
  <c r="A82" i="15"/>
  <c r="H81" i="15"/>
  <c r="G81" i="15"/>
  <c r="B81" i="15"/>
  <c r="A81" i="15"/>
  <c r="H80" i="15"/>
  <c r="G80" i="15"/>
  <c r="B80" i="15"/>
  <c r="A80" i="15"/>
  <c r="H79" i="15"/>
  <c r="G79" i="15"/>
  <c r="B79" i="15"/>
  <c r="A79" i="15"/>
  <c r="H78" i="15"/>
  <c r="G78" i="15"/>
  <c r="B78" i="15"/>
  <c r="A78" i="15"/>
  <c r="H77" i="15"/>
  <c r="G77" i="15"/>
  <c r="B77" i="15"/>
  <c r="A77" i="15"/>
  <c r="H76" i="15"/>
  <c r="G76" i="15"/>
  <c r="B76" i="15"/>
  <c r="A76" i="15"/>
  <c r="H75" i="15"/>
  <c r="G75" i="15"/>
  <c r="B75" i="15"/>
  <c r="A75" i="15"/>
  <c r="H74" i="15"/>
  <c r="G74" i="15"/>
  <c r="B74" i="15"/>
  <c r="A74" i="15"/>
  <c r="H73" i="15"/>
  <c r="G73" i="15"/>
  <c r="B73" i="15"/>
  <c r="A73" i="15"/>
  <c r="H72" i="15"/>
  <c r="G72" i="15"/>
  <c r="B72" i="15"/>
  <c r="A72" i="15"/>
  <c r="H71" i="15"/>
  <c r="G71" i="15"/>
  <c r="B71" i="15"/>
  <c r="A71" i="15"/>
  <c r="H70" i="15"/>
  <c r="G70" i="15"/>
  <c r="B70" i="15"/>
  <c r="A70" i="15"/>
  <c r="H69" i="15"/>
  <c r="G69" i="15"/>
  <c r="B69" i="15"/>
  <c r="A69" i="15"/>
  <c r="H68" i="15"/>
  <c r="G68" i="15"/>
  <c r="B68" i="15"/>
  <c r="A68" i="15"/>
  <c r="H67" i="15"/>
  <c r="G67" i="15"/>
  <c r="B67" i="15"/>
  <c r="A67" i="15"/>
  <c r="H66" i="15"/>
  <c r="G66" i="15"/>
  <c r="B66" i="15"/>
  <c r="A66" i="15"/>
  <c r="H65" i="15"/>
  <c r="G65" i="15"/>
  <c r="B65" i="15"/>
  <c r="A65" i="15"/>
  <c r="H64" i="15"/>
  <c r="G64" i="15"/>
  <c r="B64" i="15"/>
  <c r="A64" i="15"/>
  <c r="H63" i="15"/>
  <c r="G63" i="15"/>
  <c r="B63" i="15"/>
  <c r="A63" i="15"/>
  <c r="H62" i="15"/>
  <c r="G62" i="15"/>
  <c r="B62" i="15"/>
  <c r="A62" i="15"/>
  <c r="H61" i="15"/>
  <c r="G61" i="15"/>
  <c r="B61" i="15"/>
  <c r="A61" i="15"/>
  <c r="H60" i="15"/>
  <c r="G60" i="15"/>
  <c r="B60" i="15"/>
  <c r="A60" i="15"/>
  <c r="H59" i="15"/>
  <c r="G59" i="15"/>
  <c r="B59" i="15"/>
  <c r="A59" i="15"/>
  <c r="H58" i="15"/>
  <c r="G58" i="15"/>
  <c r="B58" i="15"/>
  <c r="A58" i="15"/>
  <c r="H57" i="15"/>
  <c r="G57" i="15"/>
  <c r="B57" i="15"/>
  <c r="A57" i="15"/>
  <c r="H56" i="15"/>
  <c r="G56" i="15"/>
  <c r="B56" i="15"/>
  <c r="A56" i="15"/>
  <c r="H55" i="15"/>
  <c r="G55" i="15"/>
  <c r="B55" i="15"/>
  <c r="A55" i="15"/>
  <c r="H54" i="15"/>
  <c r="G54" i="15"/>
  <c r="B54" i="15"/>
  <c r="A54" i="15"/>
  <c r="H53" i="15"/>
  <c r="G53" i="15"/>
  <c r="B53" i="15"/>
  <c r="A53" i="15"/>
  <c r="H52" i="15"/>
  <c r="G52" i="15"/>
  <c r="B52" i="15"/>
  <c r="A52" i="15"/>
  <c r="H51" i="15"/>
  <c r="G51" i="15"/>
  <c r="B51" i="15"/>
  <c r="A51" i="15"/>
  <c r="H50" i="15"/>
  <c r="G50" i="15"/>
  <c r="B50" i="15"/>
  <c r="A50" i="15"/>
  <c r="H49" i="15"/>
  <c r="G49" i="15"/>
  <c r="B49" i="15"/>
  <c r="A49" i="15"/>
  <c r="H48" i="15"/>
  <c r="G48" i="15"/>
  <c r="B48" i="15"/>
  <c r="A48" i="15"/>
  <c r="H47" i="15"/>
  <c r="G47" i="15"/>
  <c r="B47" i="15"/>
  <c r="A47" i="15"/>
  <c r="H46" i="15"/>
  <c r="G46" i="15"/>
  <c r="B46" i="15"/>
  <c r="A46" i="15"/>
  <c r="H45" i="15"/>
  <c r="G45" i="15"/>
  <c r="B45" i="15"/>
  <c r="A45" i="15"/>
  <c r="H44" i="15"/>
  <c r="G44" i="15"/>
  <c r="B44" i="15"/>
  <c r="A44" i="15"/>
  <c r="H43" i="15"/>
  <c r="G43" i="15"/>
  <c r="B43" i="15"/>
  <c r="A43" i="15"/>
  <c r="H42" i="15"/>
  <c r="G42" i="15"/>
  <c r="B42" i="15"/>
  <c r="A42" i="15"/>
  <c r="H41" i="15"/>
  <c r="G41" i="15"/>
  <c r="B41" i="15"/>
  <c r="A41" i="15"/>
  <c r="H40" i="15"/>
  <c r="G40" i="15"/>
  <c r="B40" i="15"/>
  <c r="A40" i="15"/>
  <c r="H39" i="15"/>
  <c r="G39" i="15"/>
  <c r="B39" i="15"/>
  <c r="A39" i="15"/>
  <c r="H38" i="15"/>
  <c r="G38" i="15"/>
  <c r="B38" i="15"/>
  <c r="A38" i="15"/>
  <c r="H37" i="15"/>
  <c r="G37" i="15"/>
  <c r="B37" i="15"/>
  <c r="A37" i="15"/>
  <c r="H36" i="15"/>
  <c r="G36" i="15"/>
  <c r="B36" i="15"/>
  <c r="A36" i="15"/>
  <c r="H35" i="15"/>
  <c r="G35" i="15"/>
  <c r="B35" i="15"/>
  <c r="A35" i="15"/>
  <c r="H34" i="15"/>
  <c r="G34" i="15"/>
  <c r="B34" i="15"/>
  <c r="A34" i="15"/>
  <c r="H33" i="15"/>
  <c r="G33" i="15"/>
  <c r="B33" i="15"/>
  <c r="A33" i="15"/>
  <c r="H32" i="15"/>
  <c r="G32" i="15"/>
  <c r="B32" i="15"/>
  <c r="A32" i="15"/>
  <c r="H31" i="15"/>
  <c r="G31" i="15"/>
  <c r="B31" i="15"/>
  <c r="A31" i="15"/>
  <c r="H30" i="15"/>
  <c r="G30" i="15"/>
  <c r="B30" i="15"/>
  <c r="A30" i="15"/>
  <c r="H29" i="15"/>
  <c r="G29" i="15"/>
  <c r="B29" i="15"/>
  <c r="A29" i="15"/>
  <c r="H28" i="15"/>
  <c r="G28" i="15"/>
  <c r="B28" i="15"/>
  <c r="A28" i="15"/>
  <c r="H27" i="15"/>
  <c r="G27" i="15"/>
  <c r="B27" i="15"/>
  <c r="A27" i="15"/>
  <c r="H26" i="15"/>
  <c r="G26" i="15"/>
  <c r="B26" i="15"/>
  <c r="A26" i="15"/>
  <c r="H25" i="15"/>
  <c r="G25" i="15"/>
  <c r="B25" i="15"/>
  <c r="A25" i="15"/>
  <c r="H24" i="15"/>
  <c r="G24" i="15"/>
  <c r="B24" i="15"/>
  <c r="A24" i="15"/>
  <c r="H23" i="15"/>
  <c r="G23" i="15"/>
  <c r="B23" i="15"/>
  <c r="A23" i="15"/>
  <c r="H22" i="15"/>
  <c r="G22" i="15"/>
  <c r="B22" i="15"/>
  <c r="A22" i="15"/>
  <c r="H21" i="15"/>
  <c r="G21" i="15"/>
  <c r="B21" i="15"/>
  <c r="A21" i="15"/>
  <c r="H20" i="15"/>
  <c r="G20" i="15"/>
  <c r="B20" i="15"/>
  <c r="A20" i="15"/>
  <c r="H19" i="15"/>
  <c r="G19" i="15"/>
  <c r="B19" i="15"/>
  <c r="A19" i="15"/>
  <c r="H18" i="15"/>
  <c r="G18" i="15"/>
  <c r="B18" i="15"/>
  <c r="A18" i="15"/>
  <c r="H17" i="15"/>
  <c r="G17" i="15"/>
  <c r="B17" i="15"/>
  <c r="A17" i="15"/>
  <c r="H16" i="15"/>
  <c r="G16" i="15"/>
  <c r="B16" i="15"/>
  <c r="A16" i="15"/>
  <c r="H15" i="15"/>
  <c r="G15" i="15"/>
  <c r="B15" i="15"/>
  <c r="A15" i="15"/>
  <c r="H14" i="15"/>
  <c r="G14" i="15"/>
  <c r="B14" i="15"/>
  <c r="A14" i="15"/>
  <c r="H13" i="15"/>
  <c r="G13" i="15"/>
  <c r="B13" i="15"/>
  <c r="A13" i="15"/>
  <c r="H12" i="15"/>
  <c r="G12" i="15"/>
  <c r="B12" i="15"/>
  <c r="A12" i="15"/>
  <c r="H11" i="15"/>
  <c r="G11" i="15"/>
  <c r="B11" i="15"/>
  <c r="A11" i="15"/>
  <c r="H10" i="15"/>
  <c r="G10" i="15"/>
  <c r="B10" i="15"/>
  <c r="A10" i="15"/>
  <c r="H9" i="15"/>
  <c r="G9" i="15"/>
  <c r="B9" i="15"/>
  <c r="A9" i="15"/>
  <c r="H8" i="15"/>
  <c r="G8" i="15"/>
  <c r="B8" i="15"/>
  <c r="A8" i="15"/>
  <c r="H7" i="15"/>
  <c r="G7" i="15"/>
  <c r="B7" i="15"/>
  <c r="A7" i="15"/>
  <c r="H6" i="15"/>
  <c r="G6" i="15"/>
  <c r="B6" i="15"/>
  <c r="A6" i="15"/>
  <c r="H5" i="15"/>
  <c r="G5" i="15"/>
  <c r="B5" i="15"/>
  <c r="A5" i="15"/>
  <c r="H4" i="15"/>
  <c r="G4" i="15"/>
  <c r="B4" i="15"/>
  <c r="A4" i="15"/>
  <c r="B1" i="15"/>
  <c r="G1" i="15"/>
  <c r="H1" i="15"/>
  <c r="A1" i="15"/>
  <c r="Z5" i="15"/>
  <c r="Z4" i="15"/>
  <c r="Y5" i="15"/>
  <c r="Y4" i="15"/>
  <c r="C385" i="17"/>
  <c r="C383" i="17"/>
  <c r="C379" i="17"/>
  <c r="C377" i="17"/>
  <c r="C369" i="17"/>
  <c r="C367" i="17"/>
  <c r="C363" i="17"/>
  <c r="C357" i="17"/>
  <c r="C355" i="17"/>
  <c r="C353" i="17"/>
  <c r="C346" i="17"/>
  <c r="C344" i="17"/>
  <c r="C336" i="17"/>
  <c r="C334" i="17"/>
  <c r="C332" i="17"/>
  <c r="C330" i="17"/>
  <c r="C327" i="17"/>
  <c r="C319" i="17"/>
  <c r="C316" i="17"/>
  <c r="C314" i="17"/>
  <c r="C312" i="17"/>
  <c r="C307" i="17"/>
  <c r="C302" i="17"/>
  <c r="C297" i="17"/>
  <c r="C295" i="17"/>
  <c r="C293" i="17"/>
  <c r="C290" i="17"/>
  <c r="C281" i="17"/>
  <c r="C279" i="17"/>
  <c r="C277" i="17"/>
  <c r="C275" i="17"/>
  <c r="C273" i="17"/>
  <c r="C271" i="17"/>
  <c r="C269" i="17"/>
  <c r="C267" i="17"/>
  <c r="C259" i="17"/>
  <c r="C257" i="17"/>
  <c r="C254" i="17"/>
  <c r="C252" i="17"/>
  <c r="C245" i="17"/>
  <c r="C243" i="17"/>
  <c r="C240" i="17"/>
  <c r="C237" i="17"/>
  <c r="C233" i="17"/>
  <c r="C231" i="17"/>
  <c r="C229" i="17"/>
  <c r="C227" i="17"/>
  <c r="C223" i="17"/>
  <c r="C221" i="17"/>
  <c r="C218" i="17"/>
  <c r="C216" i="17"/>
  <c r="C206" i="17"/>
  <c r="C204" i="17"/>
  <c r="C202" i="17"/>
  <c r="C195" i="17"/>
  <c r="C193" i="17"/>
  <c r="C190" i="17"/>
  <c r="C188" i="17"/>
  <c r="C186" i="17"/>
  <c r="C184" i="17"/>
  <c r="C181" i="17"/>
  <c r="C178" i="17"/>
  <c r="C176" i="17"/>
  <c r="C173" i="17"/>
  <c r="C170" i="17"/>
  <c r="C166" i="17"/>
  <c r="C164" i="17"/>
  <c r="C162" i="17"/>
  <c r="C160" i="17"/>
  <c r="C158" i="17"/>
  <c r="C154" i="17"/>
  <c r="C151" i="17"/>
  <c r="C149" i="17"/>
  <c r="C146" i="17"/>
  <c r="C144" i="17"/>
  <c r="C142" i="17"/>
  <c r="C140" i="17"/>
  <c r="C138" i="17"/>
  <c r="C136" i="17"/>
  <c r="C132" i="17"/>
  <c r="C126" i="17"/>
  <c r="C123" i="17"/>
  <c r="C121" i="17"/>
  <c r="C119" i="17"/>
  <c r="C117" i="17"/>
  <c r="C115" i="17"/>
  <c r="C109" i="17"/>
  <c r="C107" i="17"/>
  <c r="C105" i="17"/>
  <c r="C102" i="17"/>
  <c r="C96" i="17"/>
  <c r="C94" i="17"/>
  <c r="C90" i="17"/>
  <c r="C88" i="17"/>
  <c r="C86" i="17"/>
  <c r="C84" i="17"/>
  <c r="C82" i="17"/>
  <c r="C80" i="17"/>
  <c r="C76" i="17"/>
  <c r="C74" i="17"/>
  <c r="C71" i="17"/>
  <c r="C69" i="17"/>
  <c r="C65" i="17"/>
  <c r="C62" i="17"/>
  <c r="C56" i="17"/>
  <c r="C54" i="17"/>
  <c r="C48" i="17"/>
  <c r="C46" i="17"/>
  <c r="C42" i="17"/>
  <c r="C40" i="17"/>
  <c r="C36" i="17"/>
  <c r="C34" i="17"/>
  <c r="C32" i="17"/>
  <c r="C27" i="17"/>
  <c r="C25" i="17"/>
  <c r="C23" i="17"/>
  <c r="C21" i="17"/>
  <c r="C16" i="17"/>
  <c r="C13" i="17"/>
  <c r="C10" i="17"/>
  <c r="C8" i="17"/>
  <c r="C6" i="17"/>
  <c r="C3" i="17"/>
  <c r="Z264" i="15"/>
  <c r="Y264" i="15"/>
  <c r="Z263" i="15"/>
  <c r="Y263" i="15"/>
  <c r="Z262" i="15"/>
  <c r="Y262" i="15"/>
  <c r="Z261" i="15"/>
  <c r="Y261" i="15"/>
  <c r="Z260" i="15"/>
  <c r="Y260" i="15"/>
  <c r="Z259" i="15"/>
  <c r="Y259" i="15"/>
  <c r="Z258" i="15"/>
  <c r="Y258" i="15"/>
  <c r="Z257" i="15"/>
  <c r="Y257" i="15"/>
  <c r="Z256" i="15"/>
  <c r="Y256" i="15"/>
  <c r="Z255" i="15"/>
  <c r="Y255" i="15"/>
  <c r="Z254" i="15"/>
  <c r="Y254" i="15"/>
  <c r="Z253" i="15"/>
  <c r="Y253" i="15"/>
  <c r="Z252" i="15"/>
  <c r="Y252" i="15"/>
  <c r="Z251" i="15"/>
  <c r="Y251" i="15"/>
  <c r="Z250" i="15"/>
  <c r="Y250" i="15"/>
  <c r="Z249" i="15"/>
  <c r="Y249" i="15"/>
  <c r="Z248" i="15"/>
  <c r="Y248" i="15"/>
  <c r="Z247" i="15"/>
  <c r="Y247" i="15"/>
  <c r="Z246" i="15"/>
  <c r="Y246" i="15"/>
  <c r="Z245" i="15"/>
  <c r="Y245" i="15"/>
  <c r="Z244" i="15"/>
  <c r="Y244" i="15"/>
  <c r="Z243" i="15"/>
  <c r="Y243" i="15"/>
  <c r="Z242" i="15"/>
  <c r="Y242" i="15"/>
  <c r="Z241" i="15"/>
  <c r="Y241" i="15"/>
  <c r="Z240" i="15"/>
  <c r="Y240" i="15"/>
  <c r="Z239" i="15"/>
  <c r="Y239" i="15"/>
  <c r="Z238" i="15"/>
  <c r="Y238" i="15"/>
  <c r="Z237" i="15"/>
  <c r="Y237" i="15"/>
  <c r="Z236" i="15"/>
  <c r="Y236" i="15"/>
  <c r="Z235" i="15"/>
  <c r="Y235" i="15"/>
  <c r="Z234" i="15"/>
  <c r="Y234" i="15"/>
  <c r="Z233" i="15"/>
  <c r="Y233" i="15"/>
  <c r="Z232" i="15"/>
  <c r="Y232" i="15"/>
  <c r="Z231" i="15"/>
  <c r="Y231" i="15"/>
  <c r="Z230" i="15"/>
  <c r="Y230" i="15"/>
  <c r="Z229" i="15"/>
  <c r="Y229" i="15"/>
  <c r="Z228" i="15"/>
  <c r="Y228" i="15"/>
  <c r="Z227" i="15"/>
  <c r="Y227" i="15"/>
  <c r="Z226" i="15"/>
  <c r="Y226" i="15"/>
  <c r="Z225" i="15"/>
  <c r="Y225" i="15"/>
  <c r="Z224" i="15"/>
  <c r="Y224" i="15"/>
  <c r="Z223" i="15"/>
  <c r="Y223" i="15"/>
  <c r="Z222" i="15"/>
  <c r="Y222" i="15"/>
  <c r="Z221" i="15"/>
  <c r="Y221" i="15"/>
  <c r="Z220" i="15"/>
  <c r="Y220" i="15"/>
  <c r="Z219" i="15"/>
  <c r="Y219" i="15"/>
  <c r="Z218" i="15"/>
  <c r="Y218" i="15"/>
  <c r="Z217" i="15"/>
  <c r="Y217" i="15"/>
  <c r="Z216" i="15"/>
  <c r="Y216" i="15"/>
  <c r="Z215" i="15"/>
  <c r="Y215" i="15"/>
  <c r="Z214" i="15"/>
  <c r="Y214" i="15"/>
  <c r="Z213" i="15"/>
  <c r="Y213" i="15"/>
  <c r="Z212" i="15"/>
  <c r="Y212" i="15"/>
  <c r="Z211" i="15"/>
  <c r="Y211" i="15"/>
  <c r="Z210" i="15"/>
  <c r="Y210" i="15"/>
  <c r="Z209" i="15"/>
  <c r="Y209" i="15"/>
  <c r="Z208" i="15"/>
  <c r="Y208" i="15"/>
  <c r="Z207" i="15"/>
  <c r="Y207" i="15"/>
  <c r="Z206" i="15"/>
  <c r="Y206" i="15"/>
  <c r="Z205" i="15"/>
  <c r="Y205" i="15"/>
  <c r="Z204" i="15"/>
  <c r="Y204" i="15"/>
  <c r="Z203" i="15"/>
  <c r="Y203" i="15"/>
  <c r="Z202" i="15"/>
  <c r="Y202" i="15"/>
  <c r="Z201" i="15"/>
  <c r="Y201" i="15"/>
  <c r="Z200" i="15"/>
  <c r="Y200" i="15"/>
  <c r="Z199" i="15"/>
  <c r="Y199" i="15"/>
  <c r="Z198" i="15"/>
  <c r="Y198" i="15"/>
  <c r="Z197" i="15"/>
  <c r="Y197" i="15"/>
  <c r="Z196" i="15"/>
  <c r="Y196" i="15"/>
  <c r="Z195" i="15"/>
  <c r="Y195" i="15"/>
  <c r="Z194" i="15"/>
  <c r="Y194" i="15"/>
  <c r="Z193" i="15"/>
  <c r="Y193" i="15"/>
  <c r="Z192" i="15"/>
  <c r="Y192" i="15"/>
  <c r="Z191" i="15"/>
  <c r="Y191" i="15"/>
  <c r="Z190" i="15"/>
  <c r="Y190" i="15"/>
  <c r="Z189" i="15"/>
  <c r="Y189" i="15"/>
  <c r="Z188" i="15"/>
  <c r="Y188" i="15"/>
  <c r="Z187" i="15"/>
  <c r="Y187" i="15"/>
  <c r="Z186" i="15"/>
  <c r="Y186" i="15"/>
  <c r="Z185" i="15"/>
  <c r="Y185" i="15"/>
  <c r="Z184" i="15"/>
  <c r="Y184" i="15"/>
  <c r="Z183" i="15"/>
  <c r="Y183" i="15"/>
  <c r="Z182" i="15"/>
  <c r="Y182" i="15"/>
  <c r="Z181" i="15"/>
  <c r="Y181" i="15"/>
  <c r="Z180" i="15"/>
  <c r="Y180" i="15"/>
  <c r="Z179" i="15"/>
  <c r="Y179" i="15"/>
  <c r="Z178" i="15"/>
  <c r="Y178" i="15"/>
  <c r="Z177" i="15"/>
  <c r="Y177" i="15"/>
  <c r="Z176" i="15"/>
  <c r="Y176" i="15"/>
  <c r="Z175" i="15"/>
  <c r="Y175" i="15"/>
  <c r="Z174" i="15"/>
  <c r="Y174" i="15"/>
  <c r="Z173" i="15"/>
  <c r="Y173" i="15"/>
  <c r="Z172" i="15"/>
  <c r="Y172" i="15"/>
  <c r="Z171" i="15"/>
  <c r="Y171" i="15"/>
  <c r="Z170" i="15"/>
  <c r="Y170" i="15"/>
  <c r="Z169" i="15"/>
  <c r="Y169" i="15"/>
  <c r="Z168" i="15"/>
  <c r="Y168" i="15"/>
  <c r="Z167" i="15"/>
  <c r="Y167" i="15"/>
  <c r="Z166" i="15"/>
  <c r="Y166" i="15"/>
  <c r="Z165" i="15"/>
  <c r="Y165" i="15"/>
  <c r="Z164" i="15"/>
  <c r="Y164" i="15"/>
  <c r="Z163" i="15"/>
  <c r="Y163" i="15"/>
  <c r="Z162" i="15"/>
  <c r="Y162" i="15"/>
  <c r="Z161" i="15"/>
  <c r="Y161" i="15"/>
  <c r="Z160" i="15"/>
  <c r="Y160" i="15"/>
  <c r="Z159" i="15"/>
  <c r="Y159" i="15"/>
  <c r="Z158" i="15"/>
  <c r="Y158" i="15"/>
  <c r="Z157" i="15"/>
  <c r="Y157" i="15"/>
  <c r="Z156" i="15"/>
  <c r="Y156" i="15"/>
  <c r="Z155" i="15"/>
  <c r="Y155" i="15"/>
  <c r="Z154" i="15"/>
  <c r="Y154" i="15"/>
  <c r="Z153" i="15"/>
  <c r="Y153" i="15"/>
  <c r="Z152" i="15"/>
  <c r="Y152" i="15"/>
  <c r="Z151" i="15"/>
  <c r="Y151" i="15"/>
  <c r="Z150" i="15"/>
  <c r="Y150" i="15"/>
  <c r="Z149" i="15"/>
  <c r="Y149" i="15"/>
  <c r="Z148" i="15"/>
  <c r="Y148" i="15"/>
  <c r="Z147" i="15"/>
  <c r="Y147" i="15"/>
  <c r="Z146" i="15"/>
  <c r="Y146" i="15"/>
  <c r="Z145" i="15"/>
  <c r="Y145" i="15"/>
  <c r="Z144" i="15"/>
  <c r="Y144" i="15"/>
  <c r="Z143" i="15"/>
  <c r="Y143" i="15"/>
  <c r="Z142" i="15"/>
  <c r="Y142" i="15"/>
  <c r="Z141" i="15"/>
  <c r="Y141" i="15"/>
  <c r="Z140" i="15"/>
  <c r="Y140" i="15"/>
  <c r="Z139" i="15"/>
  <c r="Y139" i="15"/>
  <c r="Z138" i="15"/>
  <c r="Y138" i="15"/>
  <c r="Z137" i="15"/>
  <c r="Y137" i="15"/>
  <c r="Z136" i="15"/>
  <c r="Y136" i="15"/>
  <c r="Z135" i="15"/>
  <c r="Y135" i="15"/>
  <c r="Z134" i="15"/>
  <c r="Y134" i="15"/>
  <c r="Z133" i="15"/>
  <c r="Y133" i="15"/>
  <c r="Z132" i="15"/>
  <c r="Y132" i="15"/>
  <c r="Z131" i="15"/>
  <c r="Y131" i="15"/>
  <c r="Z130" i="15"/>
  <c r="Y130" i="15"/>
  <c r="Z129" i="15"/>
  <c r="Y129" i="15"/>
  <c r="Z128" i="15"/>
  <c r="Y128" i="15"/>
  <c r="Z127" i="15"/>
  <c r="Y127" i="15"/>
  <c r="Z126" i="15"/>
  <c r="Y126" i="15"/>
  <c r="Z125" i="15"/>
  <c r="Y125" i="15"/>
  <c r="Z124" i="15"/>
  <c r="Y124" i="15"/>
  <c r="Z123" i="15"/>
  <c r="Y123" i="15"/>
  <c r="Z122" i="15"/>
  <c r="Y122" i="15"/>
  <c r="Z121" i="15"/>
  <c r="Y121" i="15"/>
  <c r="Z120" i="15"/>
  <c r="Y120" i="15"/>
  <c r="Z119" i="15"/>
  <c r="Y119" i="15"/>
  <c r="Z118" i="15"/>
  <c r="Y118" i="15"/>
  <c r="Z117" i="15"/>
  <c r="Y117" i="15"/>
  <c r="Z116" i="15"/>
  <c r="Y116" i="15"/>
  <c r="Z115" i="15"/>
  <c r="Y115" i="15"/>
  <c r="Z114" i="15"/>
  <c r="Y114" i="15"/>
  <c r="Z113" i="15"/>
  <c r="Y113" i="15"/>
  <c r="Z112" i="15"/>
  <c r="Y112" i="15"/>
  <c r="Z111" i="15"/>
  <c r="Y111" i="15"/>
  <c r="Z110" i="15"/>
  <c r="Y110" i="15"/>
  <c r="Z109" i="15"/>
  <c r="Y109" i="15"/>
  <c r="Z108" i="15"/>
  <c r="Y108" i="15"/>
  <c r="Z107" i="15"/>
  <c r="Y107" i="15"/>
  <c r="Z106" i="15"/>
  <c r="Y106" i="15"/>
  <c r="Z105" i="15"/>
  <c r="Y105" i="15"/>
  <c r="Z104" i="15"/>
  <c r="Y104" i="15"/>
  <c r="Z103" i="15"/>
  <c r="Y103" i="15"/>
  <c r="Z102" i="15"/>
  <c r="Y102" i="15"/>
  <c r="Z101" i="15"/>
  <c r="Y101" i="15"/>
  <c r="Z100" i="15"/>
  <c r="Y100" i="15"/>
  <c r="Z99" i="15"/>
  <c r="Y99" i="15"/>
  <c r="Z98" i="15"/>
  <c r="Y98" i="15"/>
  <c r="Z97" i="15"/>
  <c r="Y97" i="15"/>
  <c r="Z96" i="15"/>
  <c r="Y96" i="15"/>
  <c r="Z95" i="15"/>
  <c r="Y95" i="15"/>
  <c r="Z94" i="15"/>
  <c r="Y94" i="15"/>
  <c r="Z93" i="15"/>
  <c r="Y93" i="15"/>
  <c r="Z92" i="15"/>
  <c r="Y92" i="15"/>
  <c r="Z91" i="15"/>
  <c r="Y91" i="15"/>
  <c r="Z90" i="15"/>
  <c r="Y90" i="15"/>
  <c r="Z89" i="15"/>
  <c r="Y89" i="15"/>
  <c r="Z88" i="15"/>
  <c r="Y88" i="15"/>
  <c r="Z87" i="15"/>
  <c r="Y87" i="15"/>
  <c r="Z86" i="15"/>
  <c r="Y86" i="15"/>
  <c r="Z85" i="15"/>
  <c r="Y85" i="15"/>
  <c r="Z84" i="15"/>
  <c r="Y84" i="15"/>
  <c r="Z83" i="15"/>
  <c r="Y83" i="15"/>
  <c r="Z82" i="15"/>
  <c r="Y82" i="15"/>
  <c r="Z81" i="15"/>
  <c r="Y81" i="15"/>
  <c r="Z80" i="15"/>
  <c r="Y80" i="15"/>
  <c r="Z79" i="15"/>
  <c r="Y79" i="15"/>
  <c r="Z78" i="15"/>
  <c r="Y78" i="15"/>
  <c r="Z77" i="15"/>
  <c r="Y77" i="15"/>
  <c r="Z76" i="15"/>
  <c r="Y76" i="15"/>
  <c r="Z75" i="15"/>
  <c r="Y75" i="15"/>
  <c r="Z74" i="15"/>
  <c r="Y74" i="15"/>
  <c r="Z73" i="15"/>
  <c r="Y73" i="15"/>
  <c r="Z72" i="15"/>
  <c r="Y72" i="15"/>
  <c r="Z71" i="15"/>
  <c r="Y71" i="15"/>
  <c r="Z70" i="15"/>
  <c r="Y70" i="15"/>
  <c r="Z69" i="15"/>
  <c r="Y69" i="15"/>
  <c r="Z68" i="15"/>
  <c r="Y68" i="15"/>
  <c r="Z67" i="15"/>
  <c r="Y67" i="15"/>
  <c r="Z66" i="15"/>
  <c r="Y66" i="15"/>
  <c r="Z65" i="15"/>
  <c r="Y65" i="15"/>
  <c r="Z64" i="15"/>
  <c r="Y64" i="15"/>
  <c r="Z63" i="15"/>
  <c r="Y63" i="15"/>
  <c r="Z62" i="15"/>
  <c r="Y62" i="15"/>
  <c r="Z61" i="15"/>
  <c r="Y61" i="15"/>
  <c r="Z60" i="15"/>
  <c r="Y60" i="15"/>
  <c r="Z59" i="15"/>
  <c r="Y59" i="15"/>
  <c r="Z58" i="15"/>
  <c r="Y58" i="15"/>
  <c r="Z57" i="15"/>
  <c r="Y57" i="15"/>
  <c r="Z56" i="15"/>
  <c r="Y56" i="15"/>
  <c r="Z55" i="15"/>
  <c r="Y55" i="15"/>
  <c r="Z54" i="15"/>
  <c r="Y54" i="15"/>
  <c r="Z53" i="15"/>
  <c r="Y53" i="15"/>
  <c r="Z52" i="15"/>
  <c r="Y52" i="15"/>
  <c r="Z51" i="15"/>
  <c r="Y51" i="15"/>
  <c r="Z50" i="15"/>
  <c r="Y50" i="15"/>
  <c r="Z49" i="15"/>
  <c r="Y49" i="15"/>
  <c r="Z48" i="15"/>
  <c r="Y48" i="15"/>
  <c r="Z47" i="15"/>
  <c r="Y47" i="15"/>
  <c r="Z46" i="15"/>
  <c r="Y46" i="15"/>
  <c r="Z45" i="15"/>
  <c r="Y45" i="15"/>
  <c r="Z44" i="15"/>
  <c r="Y44" i="15"/>
  <c r="Z43" i="15"/>
  <c r="Y43" i="15"/>
  <c r="Z42" i="15"/>
  <c r="Y42" i="15"/>
  <c r="Z41" i="15"/>
  <c r="Y41" i="15"/>
  <c r="Z40" i="15"/>
  <c r="Y40" i="15"/>
  <c r="Z39" i="15"/>
  <c r="Y39" i="15"/>
  <c r="Z38" i="15"/>
  <c r="Y38" i="15"/>
  <c r="Z37" i="15"/>
  <c r="Y37" i="15"/>
  <c r="Z36" i="15"/>
  <c r="Y36" i="15"/>
  <c r="Z35" i="15"/>
  <c r="Y35" i="15"/>
  <c r="Z34" i="15"/>
  <c r="Y34" i="15"/>
  <c r="Z33" i="15"/>
  <c r="Y33" i="15"/>
  <c r="Z32" i="15"/>
  <c r="Y32" i="15"/>
  <c r="Z31" i="15"/>
  <c r="Y31" i="15"/>
  <c r="Z30" i="15"/>
  <c r="Y30" i="15"/>
  <c r="Z29" i="15"/>
  <c r="Y29" i="15"/>
  <c r="Z28" i="15"/>
  <c r="Y28" i="15"/>
  <c r="Z27" i="15"/>
  <c r="Y27" i="15"/>
  <c r="Z26" i="15"/>
  <c r="Y26" i="15"/>
  <c r="Z25" i="15"/>
  <c r="Y25" i="15"/>
  <c r="Z24" i="15"/>
  <c r="Y24" i="15"/>
  <c r="Z23" i="15"/>
  <c r="Y23" i="15"/>
  <c r="Z22" i="15"/>
  <c r="Y22" i="15"/>
  <c r="Z21" i="15"/>
  <c r="Y21" i="15"/>
  <c r="Z20" i="15"/>
  <c r="Y20" i="15"/>
  <c r="Z19" i="15"/>
  <c r="Y19" i="15"/>
  <c r="Z18" i="15"/>
  <c r="Y18" i="15"/>
  <c r="Z17" i="15"/>
  <c r="Y17" i="15"/>
  <c r="Z16" i="15"/>
  <c r="Y16" i="15"/>
  <c r="Z15" i="15"/>
  <c r="Y15" i="15"/>
  <c r="Z14" i="15"/>
  <c r="Y14" i="15"/>
  <c r="Z13" i="15"/>
  <c r="Y13" i="15"/>
  <c r="Z12" i="15"/>
  <c r="Y12" i="15"/>
  <c r="Z11" i="15"/>
  <c r="Y11" i="15"/>
  <c r="Z10" i="15"/>
  <c r="Y10" i="15"/>
  <c r="Z9" i="15"/>
  <c r="Y9" i="15"/>
  <c r="Z8" i="15"/>
  <c r="Y8" i="15"/>
  <c r="Z7" i="15"/>
  <c r="Y7" i="15"/>
  <c r="AA7" i="15" s="1"/>
  <c r="Z6" i="15"/>
  <c r="Y6" i="15"/>
  <c r="AA37" i="15" l="1"/>
  <c r="AA69" i="15"/>
  <c r="AA229" i="15"/>
  <c r="AA245" i="15"/>
  <c r="AA249" i="15"/>
  <c r="AA253" i="15"/>
  <c r="AA5" i="15"/>
  <c r="AA257" i="15"/>
  <c r="AA261" i="15"/>
  <c r="AA4" i="15"/>
  <c r="AA28" i="15"/>
  <c r="AA32" i="15"/>
  <c r="AA36" i="15"/>
  <c r="AA44" i="15"/>
  <c r="AA72" i="15"/>
  <c r="AA76" i="15"/>
  <c r="AA80" i="15"/>
  <c r="AA84" i="15"/>
  <c r="AA88" i="15"/>
  <c r="AA92" i="15"/>
  <c r="AA96" i="15"/>
  <c r="AA100" i="15"/>
  <c r="AA116" i="15"/>
  <c r="AA136" i="15"/>
  <c r="AA140" i="15"/>
  <c r="AA144" i="15"/>
  <c r="AA148" i="15"/>
  <c r="AA152" i="15"/>
  <c r="AA156" i="15"/>
  <c r="AA160" i="15"/>
  <c r="AA164" i="15"/>
  <c r="AA180" i="15"/>
  <c r="AA196" i="15"/>
  <c r="AA212" i="15"/>
  <c r="AA216" i="15"/>
  <c r="AA220" i="15"/>
  <c r="AA224" i="15"/>
  <c r="AA228" i="15"/>
  <c r="AA248" i="15"/>
  <c r="AA252" i="15"/>
  <c r="AA256" i="15"/>
  <c r="AA260" i="15"/>
  <c r="AA264" i="15"/>
  <c r="AA119" i="15"/>
  <c r="AA123" i="15"/>
  <c r="AA127" i="15"/>
  <c r="AA131" i="15"/>
  <c r="AA167" i="15"/>
  <c r="AA171" i="15"/>
  <c r="AA175" i="15"/>
  <c r="AA179" i="15"/>
  <c r="AA183" i="15"/>
  <c r="AA187" i="15"/>
  <c r="AA191" i="15"/>
  <c r="AA195" i="15"/>
  <c r="AA247" i="15"/>
  <c r="AA251" i="15"/>
  <c r="AA255" i="15"/>
  <c r="AA259" i="15"/>
  <c r="AA263" i="15"/>
  <c r="AA9" i="15"/>
  <c r="AA17" i="15"/>
  <c r="AA6" i="15"/>
  <c r="AA26" i="15"/>
  <c r="AA85" i="15"/>
  <c r="AA134" i="15"/>
  <c r="AA138" i="15"/>
  <c r="AA142" i="15"/>
  <c r="AA146" i="15"/>
  <c r="AA150" i="15"/>
  <c r="AA154" i="15"/>
  <c r="AA158" i="15"/>
  <c r="AA162" i="15"/>
  <c r="C386" i="17"/>
  <c r="AA15" i="15"/>
  <c r="AA198" i="15"/>
  <c r="AA202" i="15"/>
  <c r="AA206" i="15"/>
  <c r="AA210" i="15"/>
  <c r="AA214" i="15"/>
  <c r="AA218" i="15"/>
  <c r="AA222" i="15"/>
  <c r="AA226" i="15"/>
  <c r="AA12" i="15"/>
  <c r="AA117" i="15"/>
  <c r="AA121" i="15"/>
  <c r="AA125" i="15"/>
  <c r="AA129" i="15"/>
  <c r="AA169" i="15"/>
  <c r="AA47" i="15"/>
  <c r="AA59" i="15"/>
  <c r="AA63" i="15"/>
  <c r="AA67" i="15"/>
  <c r="AA103" i="15"/>
  <c r="AA107" i="15"/>
  <c r="AA111" i="15"/>
  <c r="AA115" i="15"/>
  <c r="AA52" i="15"/>
  <c r="AA68" i="15"/>
  <c r="AA10" i="15"/>
  <c r="AA25" i="15"/>
  <c r="AA45" i="15"/>
  <c r="AA49" i="15"/>
  <c r="AA53" i="15"/>
  <c r="AA61" i="15"/>
  <c r="AA65" i="15"/>
  <c r="AA101" i="15"/>
  <c r="AA105" i="15"/>
  <c r="AA109" i="15"/>
  <c r="AA113" i="15"/>
  <c r="AA132" i="15"/>
  <c r="AA11" i="15"/>
  <c r="AA42" i="15"/>
  <c r="AA70" i="15"/>
  <c r="AA74" i="15"/>
  <c r="AA78" i="15"/>
  <c r="AA82" i="15"/>
  <c r="AA86" i="15"/>
  <c r="AA90" i="15"/>
  <c r="AA94" i="15"/>
  <c r="AA98" i="15"/>
  <c r="AA133" i="15"/>
  <c r="AA185" i="15"/>
  <c r="AA189" i="15"/>
  <c r="AA193" i="15"/>
  <c r="AA244" i="15"/>
  <c r="AA13" i="15"/>
  <c r="AA21" i="15"/>
  <c r="AA29" i="15"/>
  <c r="AA33" i="15"/>
  <c r="AA48" i="15"/>
  <c r="AA71" i="15"/>
  <c r="AA75" i="15"/>
  <c r="AA79" i="15"/>
  <c r="AA83" i="15"/>
  <c r="AA102" i="15"/>
  <c r="AA106" i="15"/>
  <c r="AA110" i="15"/>
  <c r="AA114" i="15"/>
  <c r="AA137" i="15"/>
  <c r="AA141" i="15"/>
  <c r="AA145" i="15"/>
  <c r="AA168" i="15"/>
  <c r="AA172" i="15"/>
  <c r="AA176" i="15"/>
  <c r="AA199" i="15"/>
  <c r="AA203" i="15"/>
  <c r="AA207" i="15"/>
  <c r="AA211" i="15"/>
  <c r="AA230" i="15"/>
  <c r="AA234" i="15"/>
  <c r="AA238" i="15"/>
  <c r="AA242" i="15"/>
  <c r="AA41" i="15"/>
  <c r="AA60" i="15"/>
  <c r="AA64" i="15"/>
  <c r="AA87" i="15"/>
  <c r="AA91" i="15"/>
  <c r="AA95" i="15"/>
  <c r="AA99" i="15"/>
  <c r="AA118" i="15"/>
  <c r="AA122" i="15"/>
  <c r="AA126" i="15"/>
  <c r="AA130" i="15"/>
  <c r="AA149" i="15"/>
  <c r="AA153" i="15"/>
  <c r="AA157" i="15"/>
  <c r="AA161" i="15"/>
  <c r="AA184" i="15"/>
  <c r="AA188" i="15"/>
  <c r="AA192" i="15"/>
  <c r="AA215" i="15"/>
  <c r="AA219" i="15"/>
  <c r="AA223" i="15"/>
  <c r="AA227" i="15"/>
  <c r="AA246" i="15"/>
  <c r="AA250" i="15"/>
  <c r="AA254" i="15"/>
  <c r="AA258" i="15"/>
  <c r="AA262" i="15"/>
  <c r="AA173" i="15"/>
  <c r="AA177" i="15"/>
  <c r="AA200" i="15"/>
  <c r="AA204" i="15"/>
  <c r="AA208" i="15"/>
  <c r="AA231" i="15"/>
  <c r="AA235" i="15"/>
  <c r="AA239" i="15"/>
  <c r="AA243" i="15"/>
  <c r="AA20" i="15"/>
  <c r="AA22" i="15"/>
  <c r="AA165" i="15"/>
  <c r="AA27" i="15"/>
  <c r="AA31" i="15"/>
  <c r="AA38" i="15"/>
  <c r="AA57" i="15"/>
  <c r="AA73" i="15"/>
  <c r="AA77" i="15"/>
  <c r="AA81" i="15"/>
  <c r="AA104" i="15"/>
  <c r="AA108" i="15"/>
  <c r="AA112" i="15"/>
  <c r="AA135" i="15"/>
  <c r="AA139" i="15"/>
  <c r="AA143" i="15"/>
  <c r="AA147" i="15"/>
  <c r="AA166" i="15"/>
  <c r="AA170" i="15"/>
  <c r="AA174" i="15"/>
  <c r="AA178" i="15"/>
  <c r="AA181" i="15"/>
  <c r="AA197" i="15"/>
  <c r="AA201" i="15"/>
  <c r="AA205" i="15"/>
  <c r="AA209" i="15"/>
  <c r="AA232" i="15"/>
  <c r="AA236" i="15"/>
  <c r="AA240" i="15"/>
  <c r="AA16" i="15"/>
  <c r="AA43" i="15"/>
  <c r="AA58" i="15"/>
  <c r="AA62" i="15"/>
  <c r="AA66" i="15"/>
  <c r="AA89" i="15"/>
  <c r="AA93" i="15"/>
  <c r="AA97" i="15"/>
  <c r="AA120" i="15"/>
  <c r="AA124" i="15"/>
  <c r="AA128" i="15"/>
  <c r="AA151" i="15"/>
  <c r="AA155" i="15"/>
  <c r="AA159" i="15"/>
  <c r="AA163" i="15"/>
  <c r="AA182" i="15"/>
  <c r="AA186" i="15"/>
  <c r="AA190" i="15"/>
  <c r="AA194" i="15"/>
  <c r="AA213" i="15"/>
  <c r="AA217" i="15"/>
  <c r="AA221" i="15"/>
  <c r="AA225" i="15"/>
  <c r="AA233" i="15"/>
  <c r="AA237" i="15"/>
  <c r="AA241" i="15"/>
  <c r="AA8" i="15"/>
  <c r="AA14" i="15"/>
  <c r="AA18" i="15"/>
  <c r="AA35" i="15"/>
  <c r="AA55" i="15"/>
  <c r="AA19" i="15"/>
  <c r="AA39" i="15"/>
  <c r="AA56" i="15"/>
  <c r="AA23" i="15"/>
  <c r="AA40" i="15"/>
  <c r="AA46" i="15"/>
  <c r="AA50" i="15"/>
  <c r="AA24" i="15"/>
  <c r="AA30" i="15"/>
  <c r="AA34" i="15"/>
  <c r="AA51" i="15"/>
  <c r="AA54" i="15"/>
  <c r="B5" i="2"/>
  <c r="C5" i="2"/>
  <c r="B10" i="2"/>
  <c r="C10" i="2"/>
  <c r="B13" i="2"/>
  <c r="C13" i="2"/>
  <c r="B15" i="2"/>
  <c r="C15" i="2"/>
  <c r="B16" i="2"/>
  <c r="C16" i="2"/>
  <c r="B19" i="2"/>
  <c r="C19" i="2"/>
  <c r="B22" i="2"/>
  <c r="C22" i="2"/>
  <c r="B24" i="2"/>
  <c r="C24" i="2"/>
  <c r="B26" i="2"/>
  <c r="C26" i="2"/>
  <c r="B29" i="2"/>
  <c r="C29" i="2"/>
  <c r="B30" i="2"/>
  <c r="C30" i="2"/>
  <c r="B33" i="2"/>
  <c r="C33" i="2"/>
  <c r="B34" i="2"/>
  <c r="C34" i="2"/>
  <c r="B42" i="2"/>
  <c r="C42" i="2"/>
  <c r="B45" i="2"/>
  <c r="C45" i="2"/>
  <c r="B47" i="2"/>
  <c r="C47" i="2"/>
  <c r="B51" i="2"/>
  <c r="C51" i="2"/>
  <c r="B53" i="2"/>
  <c r="C53" i="2"/>
  <c r="B55" i="2"/>
  <c r="C55" i="2"/>
  <c r="B65" i="2"/>
  <c r="C65" i="2"/>
  <c r="B68" i="2"/>
  <c r="C68" i="2"/>
  <c r="B70" i="2"/>
  <c r="C70" i="2"/>
  <c r="B74" i="2"/>
  <c r="C74" i="2"/>
  <c r="B78" i="2"/>
  <c r="C78" i="2"/>
  <c r="B82" i="2"/>
  <c r="C82" i="2"/>
  <c r="B84" i="2"/>
  <c r="C84" i="2"/>
  <c r="B87" i="2"/>
  <c r="C87" i="2"/>
  <c r="B88" i="2"/>
  <c r="C88" i="2"/>
  <c r="B92" i="2"/>
  <c r="C92" i="2"/>
  <c r="B100" i="2"/>
  <c r="C100" i="2"/>
  <c r="B104" i="2"/>
  <c r="C104" i="2"/>
  <c r="B106" i="2"/>
  <c r="C106" i="2"/>
  <c r="B112" i="2"/>
  <c r="C112" i="2"/>
  <c r="B116" i="2"/>
  <c r="C116" i="2"/>
  <c r="B118" i="2"/>
  <c r="C118" i="2"/>
  <c r="B128" i="2"/>
  <c r="C128" i="2"/>
  <c r="B155" i="2"/>
  <c r="C155" i="2"/>
  <c r="B158" i="2"/>
  <c r="C158" i="2"/>
  <c r="B160" i="2"/>
  <c r="C160" i="2"/>
  <c r="B174" i="2"/>
  <c r="C174" i="2"/>
  <c r="B178" i="2"/>
  <c r="C178" i="2"/>
  <c r="B180" i="2"/>
  <c r="C180" i="2"/>
  <c r="B187" i="2"/>
  <c r="C187" i="2"/>
  <c r="B189" i="2"/>
  <c r="C189" i="2"/>
  <c r="B190" i="2"/>
  <c r="C190" i="2"/>
  <c r="B197" i="2"/>
  <c r="C197" i="2"/>
  <c r="B199" i="2"/>
  <c r="C199" i="2"/>
  <c r="B201" i="2"/>
  <c r="C201" i="2"/>
  <c r="B204" i="2"/>
  <c r="C204" i="2"/>
  <c r="B206" i="2"/>
  <c r="C206" i="2"/>
  <c r="B210" i="2"/>
  <c r="C210" i="2"/>
  <c r="B212" i="2"/>
  <c r="C212" i="2"/>
  <c r="B214" i="2"/>
  <c r="C214" i="2"/>
  <c r="B216" i="2"/>
  <c r="C216" i="2"/>
  <c r="B218" i="2"/>
  <c r="C218" i="2"/>
  <c r="B222" i="2"/>
  <c r="C222" i="2"/>
  <c r="B224" i="2"/>
  <c r="C224" i="2"/>
  <c r="B226" i="2"/>
  <c r="C226" i="2"/>
  <c r="B234" i="2"/>
  <c r="C234" i="2"/>
  <c r="B236" i="2"/>
  <c r="C236" i="2"/>
  <c r="B238" i="2"/>
  <c r="C238" i="2"/>
  <c r="B248" i="2"/>
  <c r="C248" i="2"/>
  <c r="B250" i="2"/>
  <c r="C250" i="2"/>
  <c r="B252" i="2"/>
  <c r="C252" i="2"/>
  <c r="B254" i="2"/>
  <c r="C254" i="2"/>
  <c r="B255" i="2"/>
  <c r="C255" i="2"/>
  <c r="B256" i="2"/>
  <c r="C256" i="2"/>
  <c r="B258" i="2"/>
  <c r="C258" i="2"/>
  <c r="B11" i="2"/>
  <c r="C11" i="2"/>
  <c r="B17" i="2"/>
  <c r="C17" i="2"/>
  <c r="B27" i="2"/>
  <c r="C27" i="2"/>
  <c r="B31" i="2"/>
  <c r="C31" i="2"/>
  <c r="B35" i="2"/>
  <c r="C35" i="2"/>
  <c r="B37" i="2"/>
  <c r="C37" i="2"/>
  <c r="B39" i="2"/>
  <c r="C39" i="2"/>
  <c r="B41" i="2"/>
  <c r="C41" i="2"/>
  <c r="B50" i="2"/>
  <c r="C50" i="2"/>
  <c r="B54" i="2"/>
  <c r="C54" i="2"/>
  <c r="B56" i="2"/>
  <c r="C56" i="2"/>
  <c r="B59" i="2"/>
  <c r="C59" i="2"/>
  <c r="B63" i="2"/>
  <c r="C63" i="2"/>
  <c r="B64" i="2"/>
  <c r="C64" i="2"/>
  <c r="B67" i="2"/>
  <c r="C67" i="2"/>
  <c r="B69" i="2"/>
  <c r="C69" i="2"/>
  <c r="B71" i="2"/>
  <c r="C71" i="2"/>
  <c r="B73" i="2"/>
  <c r="C73" i="2"/>
  <c r="B75" i="2"/>
  <c r="C75" i="2"/>
  <c r="B77" i="2"/>
  <c r="C77" i="2"/>
  <c r="B83" i="2"/>
  <c r="C83" i="2"/>
  <c r="B85" i="2"/>
  <c r="C85" i="2"/>
  <c r="B93" i="2"/>
  <c r="C93" i="2"/>
  <c r="B95" i="2"/>
  <c r="C95" i="2"/>
  <c r="B97" i="2"/>
  <c r="C97" i="2"/>
  <c r="B105" i="2"/>
  <c r="C105" i="2"/>
  <c r="B107" i="2"/>
  <c r="C107" i="2"/>
  <c r="B109" i="2"/>
  <c r="C109" i="2"/>
  <c r="B114" i="2"/>
  <c r="C114" i="2"/>
  <c r="B121" i="2"/>
  <c r="C121" i="2"/>
  <c r="B122" i="2"/>
  <c r="C122" i="2"/>
  <c r="B127" i="2"/>
  <c r="C127" i="2"/>
  <c r="B135" i="2"/>
  <c r="C135" i="2"/>
  <c r="B137" i="2"/>
  <c r="C137" i="2"/>
  <c r="B141" i="2"/>
  <c r="C141" i="2"/>
  <c r="B143" i="2"/>
  <c r="C143" i="2"/>
  <c r="B145" i="2"/>
  <c r="C145" i="2"/>
  <c r="B159" i="2"/>
  <c r="C159" i="2"/>
  <c r="B161" i="2"/>
  <c r="C161" i="2"/>
  <c r="B163" i="2"/>
  <c r="C163" i="2"/>
  <c r="B165" i="2"/>
  <c r="C165" i="2"/>
  <c r="B169" i="2"/>
  <c r="C169" i="2"/>
  <c r="B173" i="2"/>
  <c r="C173" i="2"/>
  <c r="B175" i="2"/>
  <c r="C175" i="2"/>
  <c r="B182" i="2"/>
  <c r="C182" i="2"/>
  <c r="B185" i="2"/>
  <c r="C185" i="2"/>
  <c r="B186" i="2"/>
  <c r="C186" i="2"/>
  <c r="B188" i="2"/>
  <c r="C188" i="2"/>
  <c r="B191" i="2"/>
  <c r="C191" i="2"/>
  <c r="B194" i="2"/>
  <c r="C194" i="2"/>
  <c r="B198" i="2"/>
  <c r="C198" i="2"/>
  <c r="B200" i="2"/>
  <c r="C200" i="2"/>
  <c r="B211" i="2"/>
  <c r="C211" i="2"/>
  <c r="B213" i="2"/>
  <c r="C213" i="2"/>
  <c r="B215" i="2"/>
  <c r="C215" i="2"/>
  <c r="B219" i="2"/>
  <c r="C219" i="2"/>
  <c r="B223" i="2"/>
  <c r="C223" i="2"/>
  <c r="B227" i="2"/>
  <c r="C227" i="2"/>
  <c r="B229" i="2"/>
  <c r="C229" i="2"/>
  <c r="B231" i="2"/>
  <c r="C231" i="2"/>
  <c r="B233" i="2"/>
  <c r="C233" i="2"/>
  <c r="B237" i="2"/>
  <c r="C237" i="2"/>
  <c r="B239" i="2"/>
  <c r="C239" i="2"/>
  <c r="B243" i="2"/>
  <c r="C243" i="2"/>
  <c r="B245" i="2"/>
  <c r="C245" i="2"/>
  <c r="B247" i="2"/>
  <c r="C247" i="2"/>
  <c r="B253" i="2"/>
  <c r="C253" i="2"/>
  <c r="I7" i="3"/>
  <c r="I8" i="3"/>
  <c r="I14" i="3"/>
  <c r="I15" i="3"/>
  <c r="I16" i="3"/>
  <c r="I17" i="3"/>
  <c r="I18" i="3"/>
  <c r="I21" i="3"/>
  <c r="I22" i="3"/>
  <c r="I23" i="3"/>
  <c r="I26" i="3"/>
  <c r="I28" i="3"/>
  <c r="I29" i="3"/>
  <c r="I30" i="3"/>
  <c r="I31" i="3"/>
  <c r="I32" i="3"/>
  <c r="I34" i="3"/>
  <c r="I36" i="3"/>
  <c r="I37" i="3"/>
  <c r="I38" i="3"/>
  <c r="I40" i="3"/>
  <c r="I41" i="3"/>
  <c r="I42" i="3"/>
  <c r="I43" i="3"/>
  <c r="I44" i="3"/>
  <c r="I45" i="3"/>
  <c r="I47" i="3"/>
  <c r="I48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8" i="3"/>
  <c r="I69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H7" i="3"/>
  <c r="H8" i="3"/>
  <c r="H14" i="3"/>
  <c r="H15" i="3"/>
  <c r="H16" i="3"/>
  <c r="H17" i="3"/>
  <c r="H18" i="3"/>
  <c r="H22" i="3"/>
  <c r="H28" i="3"/>
  <c r="H30" i="3"/>
  <c r="H31" i="3"/>
  <c r="H32" i="3"/>
  <c r="H34" i="3"/>
  <c r="H36" i="3"/>
  <c r="H42" i="3"/>
  <c r="H44" i="3"/>
  <c r="H45" i="3"/>
  <c r="H47" i="3"/>
  <c r="H50" i="3"/>
  <c r="H52" i="3"/>
  <c r="H58" i="3"/>
  <c r="H59" i="3"/>
  <c r="H63" i="3"/>
  <c r="H66" i="3"/>
  <c r="H68" i="3"/>
  <c r="H69" i="3"/>
  <c r="H73" i="3"/>
  <c r="H80" i="3"/>
  <c r="H81" i="3"/>
  <c r="H84" i="3"/>
  <c r="H89" i="3"/>
  <c r="H91" i="3"/>
  <c r="H102" i="3"/>
  <c r="H104" i="3"/>
  <c r="H105" i="3"/>
  <c r="H107" i="3"/>
  <c r="H108" i="3"/>
  <c r="H109" i="3"/>
  <c r="H110" i="3"/>
  <c r="H113" i="3"/>
  <c r="H118" i="3"/>
  <c r="H119" i="3"/>
  <c r="H125" i="3"/>
  <c r="H126" i="3"/>
  <c r="H127" i="3"/>
  <c r="H128" i="3"/>
  <c r="H129" i="3"/>
  <c r="H130" i="3"/>
  <c r="H132" i="3"/>
  <c r="D4" i="3"/>
  <c r="D7" i="3"/>
  <c r="D8" i="3"/>
  <c r="D9" i="3"/>
  <c r="D10" i="3"/>
  <c r="D11" i="3"/>
  <c r="D13" i="3"/>
  <c r="D14" i="3"/>
  <c r="D15" i="3"/>
  <c r="D16" i="3"/>
  <c r="D17" i="3"/>
  <c r="D18" i="3"/>
  <c r="D19" i="3"/>
  <c r="D23" i="3"/>
  <c r="D24" i="3"/>
  <c r="D25" i="3"/>
  <c r="D27" i="3"/>
  <c r="D28" i="3"/>
  <c r="D29" i="3"/>
  <c r="D30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C4" i="3"/>
  <c r="C7" i="3"/>
  <c r="C8" i="3"/>
  <c r="C9" i="3"/>
  <c r="C10" i="3"/>
  <c r="C11" i="3"/>
  <c r="C13" i="3"/>
  <c r="C14" i="3"/>
  <c r="C15" i="3"/>
  <c r="C16" i="3"/>
  <c r="C17" i="3"/>
  <c r="C18" i="3"/>
  <c r="C19" i="3"/>
  <c r="C23" i="3"/>
  <c r="C24" i="3"/>
  <c r="C25" i="3"/>
  <c r="C27" i="3"/>
  <c r="C28" i="3"/>
  <c r="C29" i="3"/>
  <c r="C34" i="3"/>
  <c r="C36" i="3"/>
  <c r="C37" i="3"/>
  <c r="C39" i="3"/>
  <c r="C41" i="3"/>
  <c r="C43" i="3"/>
  <c r="C44" i="3"/>
  <c r="C45" i="3"/>
  <c r="C46" i="3"/>
  <c r="C48" i="3"/>
  <c r="C52" i="3"/>
  <c r="C54" i="3"/>
  <c r="C55" i="3"/>
  <c r="C58" i="3"/>
  <c r="C60" i="3"/>
  <c r="C61" i="3"/>
  <c r="C66" i="3"/>
  <c r="C79" i="3"/>
  <c r="C81" i="3"/>
  <c r="C82" i="3"/>
  <c r="C89" i="3"/>
  <c r="C91" i="3"/>
  <c r="C92" i="3"/>
  <c r="C95" i="3"/>
  <c r="C96" i="3"/>
  <c r="C97" i="3"/>
  <c r="C100" i="3"/>
  <c r="C101" i="3"/>
  <c r="C102" i="3"/>
  <c r="C104" i="3"/>
  <c r="C105" i="3"/>
  <c r="C107" i="3"/>
  <c r="C108" i="3"/>
  <c r="C109" i="3"/>
  <c r="C110" i="3"/>
  <c r="C111" i="3"/>
  <c r="C113" i="3"/>
  <c r="C114" i="3"/>
  <c r="C115" i="3"/>
  <c r="C119" i="3"/>
  <c r="C120" i="3"/>
  <c r="C121" i="3"/>
  <c r="C126" i="3"/>
  <c r="C127" i="3"/>
  <c r="C128" i="3"/>
  <c r="C129" i="3"/>
  <c r="C130" i="3"/>
  <c r="C131" i="3"/>
  <c r="C133" i="3"/>
  <c r="I4" i="4"/>
  <c r="I5" i="4"/>
  <c r="I9" i="4"/>
  <c r="I12" i="4"/>
  <c r="I13" i="4"/>
  <c r="I14" i="4"/>
  <c r="I17" i="4"/>
  <c r="I18" i="4"/>
  <c r="I19" i="4"/>
  <c r="I20" i="4"/>
  <c r="I21" i="4"/>
  <c r="I22" i="4"/>
  <c r="I23" i="4"/>
  <c r="I24" i="4"/>
  <c r="I26" i="4"/>
  <c r="I27" i="4"/>
  <c r="I28" i="4"/>
  <c r="I29" i="4"/>
  <c r="I32" i="4"/>
  <c r="I33" i="4"/>
  <c r="I34" i="4"/>
  <c r="I35" i="4"/>
  <c r="I37" i="4"/>
  <c r="I38" i="4"/>
  <c r="I39" i="4"/>
  <c r="I40" i="4"/>
  <c r="I41" i="4"/>
  <c r="I42" i="4"/>
  <c r="I43" i="4"/>
  <c r="I44" i="4"/>
  <c r="I47" i="4"/>
  <c r="I49" i="4"/>
  <c r="I50" i="4"/>
  <c r="I51" i="4"/>
  <c r="I52" i="4"/>
  <c r="I53" i="4"/>
  <c r="I54" i="4"/>
  <c r="I57" i="4"/>
  <c r="I58" i="4"/>
  <c r="I59" i="4"/>
  <c r="I60" i="4"/>
  <c r="I61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H4" i="4"/>
  <c r="H18" i="4"/>
  <c r="H19" i="4"/>
  <c r="H20" i="4"/>
  <c r="H27" i="4"/>
  <c r="H29" i="4"/>
  <c r="H33" i="4"/>
  <c r="H34" i="4"/>
  <c r="H35" i="4"/>
  <c r="H38" i="4"/>
  <c r="H40" i="4"/>
  <c r="H41" i="4"/>
  <c r="H42" i="4"/>
  <c r="H43" i="4"/>
  <c r="H47" i="4"/>
  <c r="H49" i="4"/>
  <c r="H53" i="4"/>
  <c r="H57" i="4"/>
  <c r="H65" i="4"/>
  <c r="H70" i="4"/>
  <c r="H73" i="4"/>
  <c r="H74" i="4"/>
  <c r="H75" i="4"/>
  <c r="H76" i="4"/>
  <c r="H81" i="4"/>
  <c r="H82" i="4"/>
  <c r="H84" i="4"/>
  <c r="H87" i="4"/>
  <c r="H89" i="4"/>
  <c r="H90" i="4"/>
  <c r="H95" i="4"/>
  <c r="H97" i="4"/>
  <c r="H102" i="4"/>
  <c r="H104" i="4"/>
  <c r="H105" i="4"/>
  <c r="H108" i="4"/>
  <c r="H110" i="4"/>
  <c r="H113" i="4"/>
  <c r="H115" i="4"/>
  <c r="H119" i="4"/>
  <c r="H120" i="4"/>
  <c r="H121" i="4"/>
  <c r="H124" i="4"/>
  <c r="D7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3" i="4"/>
  <c r="D44" i="4"/>
  <c r="D46" i="4"/>
  <c r="D47" i="4"/>
  <c r="D48" i="4"/>
  <c r="D49" i="4"/>
  <c r="D50" i="4"/>
  <c r="D51" i="4"/>
  <c r="D52" i="4"/>
  <c r="D53" i="4"/>
  <c r="D54" i="4"/>
  <c r="D55" i="4"/>
  <c r="D56" i="4"/>
  <c r="D57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I10" i="2"/>
  <c r="I12" i="2"/>
  <c r="I24" i="2"/>
  <c r="I26" i="2"/>
  <c r="I28" i="2"/>
  <c r="I30" i="2"/>
  <c r="I32" i="2"/>
  <c r="I38" i="2"/>
  <c r="I40" i="2"/>
  <c r="I42" i="2"/>
  <c r="I48" i="2"/>
  <c r="I52" i="2"/>
  <c r="I54" i="2"/>
  <c r="I56" i="2"/>
  <c r="I58" i="2"/>
  <c r="I60" i="2"/>
  <c r="I64" i="2"/>
  <c r="I68" i="2"/>
  <c r="I70" i="2"/>
  <c r="I72" i="2"/>
  <c r="I76" i="2"/>
  <c r="I78" i="2"/>
  <c r="I80" i="2"/>
  <c r="I82" i="2"/>
  <c r="I84" i="2"/>
  <c r="I86" i="2"/>
  <c r="I90" i="2"/>
  <c r="I92" i="2"/>
  <c r="I96" i="2"/>
  <c r="I98" i="2"/>
  <c r="I100" i="2"/>
  <c r="I102" i="2"/>
  <c r="I104" i="2"/>
  <c r="I106" i="2"/>
  <c r="I108" i="2"/>
  <c r="I110" i="2"/>
  <c r="I112" i="2"/>
  <c r="I114" i="2"/>
  <c r="I116" i="2"/>
  <c r="I118" i="2"/>
  <c r="I120" i="2"/>
  <c r="I122" i="2"/>
  <c r="I124" i="2"/>
  <c r="I126" i="2"/>
  <c r="I128" i="2"/>
  <c r="I132" i="2"/>
  <c r="I134" i="2"/>
  <c r="I138" i="2"/>
  <c r="I140" i="2"/>
  <c r="I142" i="2"/>
  <c r="I144" i="2"/>
  <c r="I146" i="2"/>
  <c r="I148" i="2"/>
  <c r="I150" i="2"/>
  <c r="I152" i="2"/>
  <c r="I154" i="2"/>
  <c r="I156" i="2"/>
  <c r="I158" i="2"/>
  <c r="I160" i="2"/>
  <c r="I162" i="2"/>
  <c r="I164" i="2"/>
  <c r="I166" i="2"/>
  <c r="I168" i="2"/>
  <c r="I170" i="2"/>
  <c r="I172" i="2"/>
  <c r="I174" i="2"/>
  <c r="I176" i="2"/>
  <c r="I178" i="2"/>
  <c r="I180" i="2"/>
  <c r="I182" i="2"/>
  <c r="I184" i="2"/>
  <c r="I186" i="2"/>
  <c r="I188" i="2"/>
  <c r="I190" i="2"/>
  <c r="I192" i="2"/>
  <c r="I194" i="2"/>
  <c r="I196" i="2"/>
  <c r="I198" i="2"/>
  <c r="I200" i="2"/>
  <c r="I202" i="2"/>
  <c r="I204" i="2"/>
  <c r="I206" i="2"/>
  <c r="I208" i="2"/>
  <c r="I210" i="2"/>
  <c r="I212" i="2"/>
  <c r="I214" i="2"/>
  <c r="I216" i="2"/>
  <c r="I218" i="2"/>
  <c r="I220" i="2"/>
  <c r="I222" i="2"/>
  <c r="I224" i="2"/>
  <c r="I226" i="2"/>
  <c r="I228" i="2"/>
  <c r="I230" i="2"/>
  <c r="I232" i="2"/>
  <c r="I234" i="2"/>
  <c r="I236" i="2"/>
  <c r="I238" i="2"/>
  <c r="I240" i="2"/>
  <c r="I242" i="2"/>
  <c r="I244" i="2"/>
  <c r="I246" i="2"/>
  <c r="I248" i="2"/>
  <c r="I250" i="2"/>
  <c r="I252" i="2"/>
  <c r="I254" i="2"/>
  <c r="I255" i="2"/>
  <c r="I256" i="2"/>
  <c r="I257" i="2"/>
  <c r="I258" i="2"/>
  <c r="I259" i="2"/>
  <c r="I260" i="2"/>
  <c r="I3" i="2"/>
  <c r="I5" i="2"/>
  <c r="I7" i="2"/>
  <c r="I9" i="2"/>
  <c r="I11" i="2"/>
  <c r="I13" i="2"/>
  <c r="I15" i="2"/>
  <c r="I21" i="2"/>
  <c r="I23" i="2"/>
  <c r="I25" i="2"/>
  <c r="I27" i="2"/>
  <c r="I31" i="2"/>
  <c r="I33" i="2"/>
  <c r="I35" i="2"/>
  <c r="I37" i="2"/>
  <c r="I39" i="2"/>
  <c r="I41" i="2"/>
  <c r="I43" i="2"/>
  <c r="I45" i="2"/>
  <c r="I47" i="2"/>
  <c r="I49" i="2"/>
  <c r="I51" i="2"/>
  <c r="I53" i="2"/>
  <c r="I55" i="2"/>
  <c r="I59" i="2"/>
  <c r="I61" i="2"/>
  <c r="I63" i="2"/>
  <c r="I65" i="2"/>
  <c r="I67" i="2"/>
  <c r="I69" i="2"/>
  <c r="I71" i="2"/>
  <c r="I73" i="2"/>
  <c r="I75" i="2"/>
  <c r="I77" i="2"/>
  <c r="I79" i="2"/>
  <c r="I81" i="2"/>
  <c r="I83" i="2"/>
  <c r="I85" i="2"/>
  <c r="I89" i="2"/>
  <c r="I91" i="2"/>
  <c r="I93" i="2"/>
  <c r="I95" i="2"/>
  <c r="I97" i="2"/>
  <c r="I99" i="2"/>
  <c r="I101" i="2"/>
  <c r="I103" i="2"/>
  <c r="I105" i="2"/>
  <c r="I107" i="2"/>
  <c r="I111" i="2"/>
  <c r="I113" i="2"/>
  <c r="I115" i="2"/>
  <c r="I117" i="2"/>
  <c r="I119" i="2"/>
  <c r="I121" i="2"/>
  <c r="I123" i="2"/>
  <c r="I125" i="2"/>
  <c r="I127" i="2"/>
  <c r="I129" i="2"/>
  <c r="I131" i="2"/>
  <c r="I133" i="2"/>
  <c r="I135" i="2"/>
  <c r="I137" i="2"/>
  <c r="I139" i="2"/>
  <c r="I141" i="2"/>
  <c r="I143" i="2"/>
  <c r="I145" i="2"/>
  <c r="I147" i="2"/>
  <c r="I149" i="2"/>
  <c r="I151" i="2"/>
  <c r="I153" i="2"/>
  <c r="I155" i="2"/>
  <c r="I157" i="2"/>
  <c r="I159" i="2"/>
  <c r="I161" i="2"/>
  <c r="I163" i="2"/>
  <c r="I165" i="2"/>
  <c r="I167" i="2"/>
  <c r="I169" i="2"/>
  <c r="I171" i="2"/>
  <c r="I173" i="2"/>
  <c r="I175" i="2"/>
  <c r="I177" i="2"/>
  <c r="I179" i="2"/>
  <c r="I181" i="2"/>
  <c r="I183" i="2"/>
  <c r="I185" i="2"/>
  <c r="I187" i="2"/>
  <c r="I189" i="2"/>
  <c r="I191" i="2"/>
  <c r="I193" i="2"/>
  <c r="I195" i="2"/>
  <c r="I197" i="2"/>
  <c r="I199" i="2"/>
  <c r="I201" i="2"/>
  <c r="I203" i="2"/>
  <c r="I205" i="2"/>
  <c r="I207" i="2"/>
  <c r="I209" i="2"/>
  <c r="I211" i="2"/>
  <c r="I213" i="2"/>
  <c r="I215" i="2"/>
  <c r="I217" i="2"/>
  <c r="I219" i="2"/>
  <c r="I221" i="2"/>
  <c r="I223" i="2"/>
  <c r="I225" i="2"/>
  <c r="I227" i="2"/>
  <c r="I229" i="2"/>
  <c r="I231" i="2"/>
  <c r="I233" i="2"/>
  <c r="I235" i="2"/>
  <c r="I237" i="2"/>
  <c r="I239" i="2"/>
  <c r="I241" i="2"/>
  <c r="I243" i="2"/>
  <c r="I245" i="2"/>
  <c r="I247" i="2"/>
  <c r="I249" i="2"/>
  <c r="I251" i="2"/>
  <c r="I253" i="2"/>
  <c r="H10" i="2"/>
  <c r="H12" i="2"/>
  <c r="H24" i="2"/>
  <c r="H26" i="2"/>
  <c r="H28" i="2"/>
  <c r="H30" i="2"/>
  <c r="H32" i="2"/>
  <c r="H40" i="2"/>
  <c r="H52" i="2"/>
  <c r="H56" i="2"/>
  <c r="H58" i="2"/>
  <c r="H60" i="2"/>
  <c r="H64" i="2"/>
  <c r="H68" i="2"/>
  <c r="H80" i="2"/>
  <c r="H84" i="2"/>
  <c r="H86" i="2"/>
  <c r="H90" i="2"/>
  <c r="H96" i="2"/>
  <c r="H100" i="2"/>
  <c r="H112" i="2"/>
  <c r="H114" i="2"/>
  <c r="H122" i="2"/>
  <c r="H128" i="2"/>
  <c r="H132" i="2"/>
  <c r="H134" i="2"/>
  <c r="H142" i="2"/>
  <c r="H156" i="2"/>
  <c r="H158" i="2"/>
  <c r="H164" i="2"/>
  <c r="H174" i="2"/>
  <c r="H178" i="2"/>
  <c r="H200" i="2"/>
  <c r="H204" i="2"/>
  <c r="H206" i="2"/>
  <c r="H210" i="2"/>
  <c r="H212" i="2"/>
  <c r="H214" i="2"/>
  <c r="H216" i="2"/>
  <c r="H222" i="2"/>
  <c r="H232" i="2"/>
  <c r="H234" i="2"/>
  <c r="H246" i="2"/>
  <c r="H248" i="2"/>
  <c r="H250" i="2"/>
  <c r="H252" i="2"/>
  <c r="H254" i="2"/>
  <c r="H255" i="2"/>
  <c r="H257" i="2"/>
  <c r="H5" i="2"/>
  <c r="H33" i="2"/>
  <c r="H35" i="2"/>
  <c r="H37" i="2"/>
  <c r="H51" i="2"/>
  <c r="H55" i="2"/>
  <c r="H63" i="2"/>
  <c r="H65" i="2"/>
  <c r="H67" i="2"/>
  <c r="H73" i="2"/>
  <c r="H77" i="2"/>
  <c r="H79" i="2"/>
  <c r="H81" i="2"/>
  <c r="H83" i="2"/>
  <c r="H91" i="2"/>
  <c r="H95" i="2"/>
  <c r="H103" i="2"/>
  <c r="H111" i="2"/>
  <c r="H127" i="2"/>
  <c r="H137" i="2"/>
  <c r="H143" i="2"/>
  <c r="H145" i="2"/>
  <c r="H147" i="2"/>
  <c r="H149" i="2"/>
  <c r="H159" i="2"/>
  <c r="H161" i="2"/>
  <c r="H165" i="2"/>
  <c r="H171" i="2"/>
  <c r="H175" i="2"/>
  <c r="H177" i="2"/>
  <c r="H187" i="2"/>
  <c r="H191" i="2"/>
  <c r="H201" i="2"/>
  <c r="H205" i="2"/>
  <c r="H207" i="2"/>
  <c r="H213" i="2"/>
  <c r="H217" i="2"/>
  <c r="H223" i="2"/>
  <c r="H227" i="2"/>
  <c r="H235" i="2"/>
  <c r="H237" i="2"/>
  <c r="H239" i="2"/>
  <c r="H245" i="2"/>
  <c r="D4" i="2"/>
  <c r="D10" i="2"/>
  <c r="D12" i="2"/>
  <c r="D14" i="2"/>
  <c r="D16" i="2"/>
  <c r="D18" i="2"/>
  <c r="D22" i="2"/>
  <c r="D24" i="2"/>
  <c r="D26" i="2"/>
  <c r="D28" i="2"/>
  <c r="D30" i="2"/>
  <c r="D32" i="2"/>
  <c r="D34" i="2"/>
  <c r="D42" i="2"/>
  <c r="D44" i="2"/>
  <c r="D46" i="2"/>
  <c r="D50" i="2"/>
  <c r="D52" i="2"/>
  <c r="D54" i="2"/>
  <c r="D56" i="2"/>
  <c r="D62" i="2"/>
  <c r="D64" i="2"/>
  <c r="D66" i="2"/>
  <c r="D68" i="2"/>
  <c r="D70" i="2"/>
  <c r="D72" i="2"/>
  <c r="D74" i="2"/>
  <c r="D76" i="2"/>
  <c r="D78" i="2"/>
  <c r="D80" i="2"/>
  <c r="D82" i="2"/>
  <c r="D84" i="2"/>
  <c r="D86" i="2"/>
  <c r="D88" i="2"/>
  <c r="D90" i="2"/>
  <c r="D92" i="2"/>
  <c r="D96" i="2"/>
  <c r="D98" i="2"/>
  <c r="D100" i="2"/>
  <c r="D102" i="2"/>
  <c r="D104" i="2"/>
  <c r="D106" i="2"/>
  <c r="D108" i="2"/>
  <c r="D110" i="2"/>
  <c r="D112" i="2"/>
  <c r="D114" i="2"/>
  <c r="D116" i="2"/>
  <c r="D118" i="2"/>
  <c r="D120" i="2"/>
  <c r="D122" i="2"/>
  <c r="D124" i="2"/>
  <c r="D126" i="2"/>
  <c r="D128" i="2"/>
  <c r="D130" i="2"/>
  <c r="D132" i="2"/>
  <c r="D134" i="2"/>
  <c r="D136" i="2"/>
  <c r="D138" i="2"/>
  <c r="D140" i="2"/>
  <c r="D142" i="2"/>
  <c r="D144" i="2"/>
  <c r="D146" i="2"/>
  <c r="D150" i="2"/>
  <c r="D152" i="2"/>
  <c r="D154" i="2"/>
  <c r="D156" i="2"/>
  <c r="D158" i="2"/>
  <c r="D160" i="2"/>
  <c r="D162" i="2"/>
  <c r="D164" i="2"/>
  <c r="D166" i="2"/>
  <c r="D168" i="2"/>
  <c r="D170" i="2"/>
  <c r="D172" i="2"/>
  <c r="D174" i="2"/>
  <c r="D176" i="2"/>
  <c r="D178" i="2"/>
  <c r="D180" i="2"/>
  <c r="D182" i="2"/>
  <c r="D184" i="2"/>
  <c r="D186" i="2"/>
  <c r="D188" i="2"/>
  <c r="D190" i="2"/>
  <c r="D192" i="2"/>
  <c r="D196" i="2"/>
  <c r="D198" i="2"/>
  <c r="D200" i="2"/>
  <c r="D202" i="2"/>
  <c r="D204" i="2"/>
  <c r="D206" i="2"/>
  <c r="D208" i="2"/>
  <c r="D210" i="2"/>
  <c r="D212" i="2"/>
  <c r="D214" i="2"/>
  <c r="D216" i="2"/>
  <c r="D218" i="2"/>
  <c r="D220" i="2"/>
  <c r="D222" i="2"/>
  <c r="D224" i="2"/>
  <c r="D226" i="2"/>
  <c r="D228" i="2"/>
  <c r="D230" i="2"/>
  <c r="D232" i="2"/>
  <c r="D234" i="2"/>
  <c r="D236" i="2"/>
  <c r="D238" i="2"/>
  <c r="D240" i="2"/>
  <c r="D242" i="2"/>
  <c r="D244" i="2"/>
  <c r="D246" i="2"/>
  <c r="D248" i="2"/>
  <c r="D250" i="2"/>
  <c r="D252" i="2"/>
  <c r="D254" i="2"/>
  <c r="D255" i="2"/>
  <c r="D256" i="2"/>
  <c r="D257" i="2"/>
  <c r="D258" i="2"/>
  <c r="D259" i="2"/>
  <c r="D260" i="2"/>
  <c r="D5" i="2"/>
  <c r="D7" i="2"/>
  <c r="D9" i="2"/>
  <c r="D11" i="2"/>
  <c r="D13" i="2"/>
  <c r="D15" i="2"/>
  <c r="D17" i="2"/>
  <c r="D19" i="2"/>
  <c r="D21" i="2"/>
  <c r="D23" i="2"/>
  <c r="D25" i="2"/>
  <c r="D27" i="2"/>
  <c r="D29" i="2"/>
  <c r="D31" i="2"/>
  <c r="D35" i="2"/>
  <c r="D37" i="2"/>
  <c r="D39" i="2"/>
  <c r="D41" i="2"/>
  <c r="D43" i="2"/>
  <c r="D45" i="2"/>
  <c r="D47" i="2"/>
  <c r="D49" i="2"/>
  <c r="D51" i="2"/>
  <c r="D53" i="2"/>
  <c r="D55" i="2"/>
  <c r="D57" i="2"/>
  <c r="D59" i="2"/>
  <c r="D61" i="2"/>
  <c r="D63" i="2"/>
  <c r="D65" i="2"/>
  <c r="D67" i="2"/>
  <c r="D69" i="2"/>
  <c r="D71" i="2"/>
  <c r="D73" i="2"/>
  <c r="D75" i="2"/>
  <c r="D77" i="2"/>
  <c r="D79" i="2"/>
  <c r="D81" i="2"/>
  <c r="D83" i="2"/>
  <c r="D85" i="2"/>
  <c r="D87" i="2"/>
  <c r="D89" i="2"/>
  <c r="D91" i="2"/>
  <c r="D93" i="2"/>
  <c r="D95" i="2"/>
  <c r="D97" i="2"/>
  <c r="D99" i="2"/>
  <c r="D101" i="2"/>
  <c r="D103" i="2"/>
  <c r="D105" i="2"/>
  <c r="D107" i="2"/>
  <c r="D109" i="2"/>
  <c r="D111" i="2"/>
  <c r="D115" i="2"/>
  <c r="D117" i="2"/>
  <c r="D119" i="2"/>
  <c r="D121" i="2"/>
  <c r="D123" i="2"/>
  <c r="D125" i="2"/>
  <c r="D127" i="2"/>
  <c r="D129" i="2"/>
  <c r="D131" i="2"/>
  <c r="D133" i="2"/>
  <c r="D135" i="2"/>
  <c r="D137" i="2"/>
  <c r="D139" i="2"/>
  <c r="D141" i="2"/>
  <c r="D143" i="2"/>
  <c r="D145" i="2"/>
  <c r="D147" i="2"/>
  <c r="D149" i="2"/>
  <c r="D151" i="2"/>
  <c r="D153" i="2"/>
  <c r="D155" i="2"/>
  <c r="D157" i="2"/>
  <c r="D159" i="2"/>
  <c r="D161" i="2"/>
  <c r="D163" i="2"/>
  <c r="D165" i="2"/>
  <c r="D167" i="2"/>
  <c r="D169" i="2"/>
  <c r="D171" i="2"/>
  <c r="D173" i="2"/>
  <c r="D175" i="2"/>
  <c r="D177" i="2"/>
  <c r="D179" i="2"/>
  <c r="D181" i="2"/>
  <c r="D183" i="2"/>
  <c r="D185" i="2"/>
  <c r="D187" i="2"/>
  <c r="D189" i="2"/>
  <c r="D191" i="2"/>
  <c r="D193" i="2"/>
  <c r="D195" i="2"/>
  <c r="D197" i="2"/>
  <c r="D199" i="2"/>
  <c r="D201" i="2"/>
  <c r="D203" i="2"/>
  <c r="D205" i="2"/>
  <c r="D207" i="2"/>
  <c r="D209" i="2"/>
  <c r="D211" i="2"/>
  <c r="D213" i="2"/>
  <c r="D215" i="2"/>
  <c r="D217" i="2"/>
  <c r="D219" i="2"/>
  <c r="D221" i="2"/>
  <c r="D223" i="2"/>
  <c r="D225" i="2"/>
  <c r="D227" i="2"/>
  <c r="D229" i="2"/>
  <c r="D231" i="2"/>
  <c r="D233" i="2"/>
  <c r="D235" i="2"/>
  <c r="D237" i="2"/>
  <c r="D239" i="2"/>
  <c r="D241" i="2"/>
  <c r="D243" i="2"/>
  <c r="D245" i="2"/>
  <c r="D247" i="2"/>
  <c r="D249" i="2"/>
  <c r="D251" i="2"/>
  <c r="D253" i="2"/>
  <c r="C4" i="2"/>
  <c r="C12" i="2"/>
  <c r="C14" i="2"/>
  <c r="C18" i="2"/>
  <c r="C28" i="2"/>
  <c r="C32" i="2"/>
  <c r="C44" i="2"/>
  <c r="C46" i="2"/>
  <c r="C52" i="2"/>
  <c r="C86" i="2"/>
  <c r="C154" i="2"/>
  <c r="C196" i="2"/>
  <c r="C57" i="2"/>
  <c r="C115" i="2"/>
  <c r="C123" i="2"/>
  <c r="C183" i="2"/>
  <c r="C195" i="2"/>
  <c r="C7" i="4"/>
  <c r="C10" i="4"/>
  <c r="C15" i="4"/>
  <c r="C17" i="4"/>
  <c r="C19" i="4"/>
  <c r="C20" i="4"/>
  <c r="C21" i="4"/>
  <c r="C22" i="4"/>
  <c r="C27" i="4"/>
  <c r="C29" i="4"/>
  <c r="C30" i="4"/>
  <c r="C31" i="4"/>
  <c r="C33" i="4"/>
  <c r="C34" i="4"/>
  <c r="C35" i="4"/>
  <c r="C36" i="4"/>
  <c r="C37" i="4"/>
  <c r="C38" i="4"/>
  <c r="C39" i="4"/>
  <c r="C40" i="4"/>
  <c r="C43" i="4"/>
  <c r="C44" i="4"/>
  <c r="C48" i="4"/>
  <c r="C49" i="4"/>
  <c r="C50" i="4"/>
  <c r="C54" i="4"/>
  <c r="C55" i="4"/>
  <c r="C56" i="4"/>
  <c r="C59" i="4"/>
  <c r="C62" i="4"/>
  <c r="C63" i="4"/>
  <c r="C65" i="4"/>
  <c r="C69" i="4"/>
  <c r="C70" i="4"/>
  <c r="C72" i="4"/>
  <c r="C73" i="4"/>
  <c r="C74" i="4"/>
  <c r="C81" i="4"/>
  <c r="C82" i="4"/>
  <c r="C83" i="4"/>
  <c r="C84" i="4"/>
  <c r="C86" i="4"/>
  <c r="C88" i="4"/>
  <c r="C89" i="4"/>
  <c r="C93" i="4"/>
  <c r="C94" i="4"/>
  <c r="C95" i="4"/>
  <c r="C96" i="4"/>
  <c r="C97" i="4"/>
  <c r="C99" i="4"/>
  <c r="C101" i="4"/>
  <c r="C102" i="4"/>
  <c r="C107" i="4"/>
  <c r="C108" i="4"/>
  <c r="C109" i="4"/>
  <c r="C111" i="4"/>
  <c r="C113" i="4"/>
  <c r="C115" i="4"/>
  <c r="C116" i="4"/>
  <c r="C117" i="4"/>
  <c r="C118" i="4"/>
  <c r="C120" i="4"/>
  <c r="C121" i="4"/>
  <c r="C123" i="4"/>
  <c r="C124" i="4"/>
  <c r="C125" i="4"/>
  <c r="C128" i="4"/>
  <c r="J128" i="4"/>
  <c r="H128" i="4"/>
  <c r="G128" i="4"/>
  <c r="F128" i="4"/>
  <c r="E128" i="4"/>
  <c r="B128" i="4"/>
  <c r="A128" i="4"/>
  <c r="J127" i="4"/>
  <c r="H127" i="4"/>
  <c r="G127" i="4"/>
  <c r="F127" i="4"/>
  <c r="E127" i="4"/>
  <c r="C127" i="4"/>
  <c r="B127" i="4"/>
  <c r="A127" i="4"/>
  <c r="J126" i="4"/>
  <c r="H126" i="4"/>
  <c r="G126" i="4"/>
  <c r="F126" i="4"/>
  <c r="E126" i="4"/>
  <c r="C126" i="4"/>
  <c r="B126" i="4"/>
  <c r="A126" i="4"/>
  <c r="J125" i="4"/>
  <c r="H125" i="4"/>
  <c r="G125" i="4"/>
  <c r="F125" i="4"/>
  <c r="E125" i="4"/>
  <c r="B125" i="4"/>
  <c r="A125" i="4"/>
  <c r="J124" i="4"/>
  <c r="G124" i="4"/>
  <c r="F124" i="4"/>
  <c r="E124" i="4"/>
  <c r="B124" i="4"/>
  <c r="A124" i="4"/>
  <c r="J123" i="4"/>
  <c r="H123" i="4"/>
  <c r="G123" i="4"/>
  <c r="F123" i="4"/>
  <c r="E123" i="4"/>
  <c r="B123" i="4"/>
  <c r="A123" i="4"/>
  <c r="J122" i="4"/>
  <c r="H122" i="4"/>
  <c r="G122" i="4"/>
  <c r="F122" i="4"/>
  <c r="E122" i="4"/>
  <c r="C122" i="4"/>
  <c r="B122" i="4"/>
  <c r="A122" i="4"/>
  <c r="J121" i="4"/>
  <c r="G121" i="4"/>
  <c r="F121" i="4"/>
  <c r="E121" i="4"/>
  <c r="B121" i="4"/>
  <c r="A121" i="4"/>
  <c r="J120" i="4"/>
  <c r="G120" i="4"/>
  <c r="F120" i="4"/>
  <c r="E120" i="4"/>
  <c r="B120" i="4"/>
  <c r="A120" i="4"/>
  <c r="J119" i="4"/>
  <c r="G119" i="4"/>
  <c r="F119" i="4"/>
  <c r="E119" i="4"/>
  <c r="C119" i="4"/>
  <c r="B119" i="4"/>
  <c r="A119" i="4"/>
  <c r="J118" i="4"/>
  <c r="H118" i="4"/>
  <c r="G118" i="4"/>
  <c r="F118" i="4"/>
  <c r="E118" i="4"/>
  <c r="B118" i="4"/>
  <c r="A118" i="4"/>
  <c r="J117" i="4"/>
  <c r="H117" i="4"/>
  <c r="G117" i="4"/>
  <c r="F117" i="4"/>
  <c r="E117" i="4"/>
  <c r="B117" i="4"/>
  <c r="A117" i="4"/>
  <c r="J116" i="4"/>
  <c r="H116" i="4"/>
  <c r="G116" i="4"/>
  <c r="F116" i="4"/>
  <c r="E116" i="4"/>
  <c r="B116" i="4"/>
  <c r="A116" i="4"/>
  <c r="J115" i="4"/>
  <c r="G115" i="4"/>
  <c r="F115" i="4"/>
  <c r="E115" i="4"/>
  <c r="B115" i="4"/>
  <c r="A115" i="4"/>
  <c r="J114" i="4"/>
  <c r="H114" i="4"/>
  <c r="G114" i="4"/>
  <c r="F114" i="4"/>
  <c r="E114" i="4"/>
  <c r="C114" i="4"/>
  <c r="B114" i="4"/>
  <c r="A114" i="4"/>
  <c r="J113" i="4"/>
  <c r="G113" i="4"/>
  <c r="F113" i="4"/>
  <c r="E113" i="4"/>
  <c r="B113" i="4"/>
  <c r="A113" i="4"/>
  <c r="J112" i="4"/>
  <c r="H112" i="4"/>
  <c r="G112" i="4"/>
  <c r="F112" i="4"/>
  <c r="E112" i="4"/>
  <c r="C112" i="4"/>
  <c r="B112" i="4"/>
  <c r="A112" i="4"/>
  <c r="J111" i="4"/>
  <c r="H111" i="4"/>
  <c r="G111" i="4"/>
  <c r="F111" i="4"/>
  <c r="E111" i="4"/>
  <c r="B111" i="4"/>
  <c r="A111" i="4"/>
  <c r="J110" i="4"/>
  <c r="G110" i="4"/>
  <c r="F110" i="4"/>
  <c r="E110" i="4"/>
  <c r="C110" i="4"/>
  <c r="B110" i="4"/>
  <c r="A110" i="4"/>
  <c r="J109" i="4"/>
  <c r="H109" i="4"/>
  <c r="G109" i="4"/>
  <c r="F109" i="4"/>
  <c r="E109" i="4"/>
  <c r="B109" i="4"/>
  <c r="A109" i="4"/>
  <c r="J108" i="4"/>
  <c r="G108" i="4"/>
  <c r="F108" i="4"/>
  <c r="E108" i="4"/>
  <c r="B108" i="4"/>
  <c r="A108" i="4"/>
  <c r="J107" i="4"/>
  <c r="H107" i="4"/>
  <c r="G107" i="4"/>
  <c r="F107" i="4"/>
  <c r="E107" i="4"/>
  <c r="B107" i="4"/>
  <c r="A107" i="4"/>
  <c r="J106" i="4"/>
  <c r="H106" i="4"/>
  <c r="G106" i="4"/>
  <c r="F106" i="4"/>
  <c r="E106" i="4"/>
  <c r="C106" i="4"/>
  <c r="B106" i="4"/>
  <c r="A106" i="4"/>
  <c r="J105" i="4"/>
  <c r="G105" i="4"/>
  <c r="F105" i="4"/>
  <c r="E105" i="4"/>
  <c r="C105" i="4"/>
  <c r="B105" i="4"/>
  <c r="A105" i="4"/>
  <c r="J104" i="4"/>
  <c r="G104" i="4"/>
  <c r="F104" i="4"/>
  <c r="E104" i="4"/>
  <c r="C104" i="4"/>
  <c r="B104" i="4"/>
  <c r="A104" i="4"/>
  <c r="J103" i="4"/>
  <c r="H103" i="4"/>
  <c r="G103" i="4"/>
  <c r="F103" i="4"/>
  <c r="E103" i="4"/>
  <c r="C103" i="4"/>
  <c r="B103" i="4"/>
  <c r="A103" i="4"/>
  <c r="J102" i="4"/>
  <c r="G102" i="4"/>
  <c r="F102" i="4"/>
  <c r="E102" i="4"/>
  <c r="B102" i="4"/>
  <c r="A102" i="4"/>
  <c r="J101" i="4"/>
  <c r="H101" i="4"/>
  <c r="G101" i="4"/>
  <c r="F101" i="4"/>
  <c r="E101" i="4"/>
  <c r="B101" i="4"/>
  <c r="A101" i="4"/>
  <c r="J100" i="4"/>
  <c r="H100" i="4"/>
  <c r="G100" i="4"/>
  <c r="F100" i="4"/>
  <c r="E100" i="4"/>
  <c r="C100" i="4"/>
  <c r="B100" i="4"/>
  <c r="A100" i="4"/>
  <c r="J99" i="4"/>
  <c r="H99" i="4"/>
  <c r="G99" i="4"/>
  <c r="F99" i="4"/>
  <c r="E99" i="4"/>
  <c r="B99" i="4"/>
  <c r="A99" i="4"/>
  <c r="J98" i="4"/>
  <c r="H98" i="4"/>
  <c r="G98" i="4"/>
  <c r="F98" i="4"/>
  <c r="E98" i="4"/>
  <c r="C98" i="4"/>
  <c r="B98" i="4"/>
  <c r="A98" i="4"/>
  <c r="J97" i="4"/>
  <c r="G97" i="4"/>
  <c r="F97" i="4"/>
  <c r="E97" i="4"/>
  <c r="B97" i="4"/>
  <c r="A97" i="4"/>
  <c r="J96" i="4"/>
  <c r="H96" i="4"/>
  <c r="G96" i="4"/>
  <c r="F96" i="4"/>
  <c r="E96" i="4"/>
  <c r="B96" i="4"/>
  <c r="A96" i="4"/>
  <c r="J95" i="4"/>
  <c r="G95" i="4"/>
  <c r="F95" i="4"/>
  <c r="E95" i="4"/>
  <c r="B95" i="4"/>
  <c r="A95" i="4"/>
  <c r="J94" i="4"/>
  <c r="H94" i="4"/>
  <c r="G94" i="4"/>
  <c r="F94" i="4"/>
  <c r="E94" i="4"/>
  <c r="B94" i="4"/>
  <c r="A94" i="4"/>
  <c r="J93" i="4"/>
  <c r="H93" i="4"/>
  <c r="G93" i="4"/>
  <c r="F93" i="4"/>
  <c r="E93" i="4"/>
  <c r="B93" i="4"/>
  <c r="A93" i="4"/>
  <c r="J92" i="4"/>
  <c r="H92" i="4"/>
  <c r="G92" i="4"/>
  <c r="F92" i="4"/>
  <c r="E92" i="4"/>
  <c r="C92" i="4"/>
  <c r="B92" i="4"/>
  <c r="A92" i="4"/>
  <c r="J91" i="4"/>
  <c r="H91" i="4"/>
  <c r="G91" i="4"/>
  <c r="F91" i="4"/>
  <c r="E91" i="4"/>
  <c r="C91" i="4"/>
  <c r="B91" i="4"/>
  <c r="A91" i="4"/>
  <c r="J90" i="4"/>
  <c r="G90" i="4"/>
  <c r="F90" i="4"/>
  <c r="E90" i="4"/>
  <c r="C90" i="4"/>
  <c r="B90" i="4"/>
  <c r="A90" i="4"/>
  <c r="J89" i="4"/>
  <c r="G89" i="4"/>
  <c r="F89" i="4"/>
  <c r="E89" i="4"/>
  <c r="B89" i="4"/>
  <c r="A89" i="4"/>
  <c r="J88" i="4"/>
  <c r="H88" i="4"/>
  <c r="G88" i="4"/>
  <c r="F88" i="4"/>
  <c r="E88" i="4"/>
  <c r="B88" i="4"/>
  <c r="A88" i="4"/>
  <c r="J87" i="4"/>
  <c r="G87" i="4"/>
  <c r="F87" i="4"/>
  <c r="E87" i="4"/>
  <c r="C87" i="4"/>
  <c r="B87" i="4"/>
  <c r="A87" i="4"/>
  <c r="J86" i="4"/>
  <c r="H86" i="4"/>
  <c r="G86" i="4"/>
  <c r="F86" i="4"/>
  <c r="E86" i="4"/>
  <c r="B86" i="4"/>
  <c r="A86" i="4"/>
  <c r="J85" i="4"/>
  <c r="H85" i="4"/>
  <c r="G85" i="4"/>
  <c r="F85" i="4"/>
  <c r="E85" i="4"/>
  <c r="C85" i="4"/>
  <c r="B85" i="4"/>
  <c r="A85" i="4"/>
  <c r="J84" i="4"/>
  <c r="G84" i="4"/>
  <c r="F84" i="4"/>
  <c r="E84" i="4"/>
  <c r="B84" i="4"/>
  <c r="A84" i="4"/>
  <c r="J83" i="4"/>
  <c r="H83" i="4"/>
  <c r="G83" i="4"/>
  <c r="F83" i="4"/>
  <c r="E83" i="4"/>
  <c r="B83" i="4"/>
  <c r="A83" i="4"/>
  <c r="J82" i="4"/>
  <c r="G82" i="4"/>
  <c r="F82" i="4"/>
  <c r="E82" i="4"/>
  <c r="B82" i="4"/>
  <c r="A82" i="4"/>
  <c r="J81" i="4"/>
  <c r="G81" i="4"/>
  <c r="F81" i="4"/>
  <c r="E81" i="4"/>
  <c r="B81" i="4"/>
  <c r="A81" i="4"/>
  <c r="J80" i="4"/>
  <c r="H80" i="4"/>
  <c r="G80" i="4"/>
  <c r="F80" i="4"/>
  <c r="E80" i="4"/>
  <c r="C80" i="4"/>
  <c r="B80" i="4"/>
  <c r="A80" i="4"/>
  <c r="J79" i="4"/>
  <c r="H79" i="4"/>
  <c r="G79" i="4"/>
  <c r="F79" i="4"/>
  <c r="E79" i="4"/>
  <c r="C79" i="4"/>
  <c r="B79" i="4"/>
  <c r="A79" i="4"/>
  <c r="J78" i="4"/>
  <c r="H78" i="4"/>
  <c r="G78" i="4"/>
  <c r="F78" i="4"/>
  <c r="E78" i="4"/>
  <c r="C78" i="4"/>
  <c r="B78" i="4"/>
  <c r="A78" i="4"/>
  <c r="J77" i="4"/>
  <c r="H77" i="4"/>
  <c r="G77" i="4"/>
  <c r="F77" i="4"/>
  <c r="E77" i="4"/>
  <c r="C77" i="4"/>
  <c r="B77" i="4"/>
  <c r="A77" i="4"/>
  <c r="J76" i="4"/>
  <c r="G76" i="4"/>
  <c r="F76" i="4"/>
  <c r="E76" i="4"/>
  <c r="C76" i="4"/>
  <c r="B76" i="4"/>
  <c r="A76" i="4"/>
  <c r="J75" i="4"/>
  <c r="G75" i="4"/>
  <c r="F75" i="4"/>
  <c r="E75" i="4"/>
  <c r="C75" i="4"/>
  <c r="B75" i="4"/>
  <c r="A75" i="4"/>
  <c r="J74" i="4"/>
  <c r="G74" i="4"/>
  <c r="F74" i="4"/>
  <c r="E74" i="4"/>
  <c r="B74" i="4"/>
  <c r="A74" i="4"/>
  <c r="J73" i="4"/>
  <c r="G73" i="4"/>
  <c r="F73" i="4"/>
  <c r="E73" i="4"/>
  <c r="B73" i="4"/>
  <c r="A73" i="4"/>
  <c r="J72" i="4"/>
  <c r="H72" i="4"/>
  <c r="G72" i="4"/>
  <c r="F72" i="4"/>
  <c r="E72" i="4"/>
  <c r="B72" i="4"/>
  <c r="A72" i="4"/>
  <c r="J71" i="4"/>
  <c r="H71" i="4"/>
  <c r="G71" i="4"/>
  <c r="F71" i="4"/>
  <c r="E71" i="4"/>
  <c r="C71" i="4"/>
  <c r="B71" i="4"/>
  <c r="A71" i="4"/>
  <c r="J70" i="4"/>
  <c r="G70" i="4"/>
  <c r="F70" i="4"/>
  <c r="E70" i="4"/>
  <c r="B70" i="4"/>
  <c r="A70" i="4"/>
  <c r="J69" i="4"/>
  <c r="H69" i="4"/>
  <c r="G69" i="4"/>
  <c r="F69" i="4"/>
  <c r="E69" i="4"/>
  <c r="B69" i="4"/>
  <c r="A69" i="4"/>
  <c r="J68" i="4"/>
  <c r="H68" i="4"/>
  <c r="G68" i="4"/>
  <c r="F68" i="4"/>
  <c r="E68" i="4"/>
  <c r="C68" i="4"/>
  <c r="B68" i="4"/>
  <c r="A68" i="4"/>
  <c r="J67" i="4"/>
  <c r="H67" i="4"/>
  <c r="G67" i="4"/>
  <c r="F67" i="4"/>
  <c r="E67" i="4"/>
  <c r="C67" i="4"/>
  <c r="B67" i="4"/>
  <c r="A67" i="4"/>
  <c r="J66" i="4"/>
  <c r="H66" i="4"/>
  <c r="G66" i="4"/>
  <c r="F66" i="4"/>
  <c r="E66" i="4"/>
  <c r="C66" i="4"/>
  <c r="B66" i="4"/>
  <c r="A66" i="4"/>
  <c r="J65" i="4"/>
  <c r="G65" i="4"/>
  <c r="F65" i="4"/>
  <c r="E65" i="4"/>
  <c r="B65" i="4"/>
  <c r="A65" i="4"/>
  <c r="J64" i="4"/>
  <c r="H64" i="4"/>
  <c r="G64" i="4"/>
  <c r="F64" i="4"/>
  <c r="E64" i="4"/>
  <c r="C64" i="4"/>
  <c r="B64" i="4"/>
  <c r="A64" i="4"/>
  <c r="J63" i="4"/>
  <c r="H63" i="4"/>
  <c r="G63" i="4"/>
  <c r="F63" i="4"/>
  <c r="E63" i="4"/>
  <c r="B63" i="4"/>
  <c r="A63" i="4"/>
  <c r="J62" i="4"/>
  <c r="I62" i="4"/>
  <c r="H62" i="4"/>
  <c r="G62" i="4"/>
  <c r="F62" i="4"/>
  <c r="E62" i="4"/>
  <c r="B62" i="4"/>
  <c r="A62" i="4"/>
  <c r="J61" i="4"/>
  <c r="H61" i="4"/>
  <c r="G61" i="4"/>
  <c r="F61" i="4"/>
  <c r="E61" i="4"/>
  <c r="C61" i="4"/>
  <c r="B61" i="4"/>
  <c r="A61" i="4"/>
  <c r="J60" i="4"/>
  <c r="H60" i="4"/>
  <c r="G60" i="4"/>
  <c r="F60" i="4"/>
  <c r="E60" i="4"/>
  <c r="C60" i="4"/>
  <c r="B60" i="4"/>
  <c r="A60" i="4"/>
  <c r="J59" i="4"/>
  <c r="H59" i="4"/>
  <c r="G59" i="4"/>
  <c r="F59" i="4"/>
  <c r="E59" i="4"/>
  <c r="B59" i="4"/>
  <c r="A59" i="4"/>
  <c r="J58" i="4"/>
  <c r="H58" i="4"/>
  <c r="G58" i="4"/>
  <c r="F58" i="4"/>
  <c r="E58" i="4"/>
  <c r="D58" i="4"/>
  <c r="C58" i="4"/>
  <c r="B58" i="4"/>
  <c r="A58" i="4"/>
  <c r="J57" i="4"/>
  <c r="G57" i="4"/>
  <c r="F57" i="4"/>
  <c r="E57" i="4"/>
  <c r="C57" i="4"/>
  <c r="B57" i="4"/>
  <c r="A57" i="4"/>
  <c r="J56" i="4"/>
  <c r="I56" i="4"/>
  <c r="H56" i="4"/>
  <c r="G56" i="4"/>
  <c r="F56" i="4"/>
  <c r="E56" i="4"/>
  <c r="B56" i="4"/>
  <c r="A56" i="4"/>
  <c r="J55" i="4"/>
  <c r="I55" i="4"/>
  <c r="H55" i="4"/>
  <c r="G55" i="4"/>
  <c r="F55" i="4"/>
  <c r="E55" i="4"/>
  <c r="B55" i="4"/>
  <c r="A55" i="4"/>
  <c r="J54" i="4"/>
  <c r="H54" i="4"/>
  <c r="G54" i="4"/>
  <c r="F54" i="4"/>
  <c r="E54" i="4"/>
  <c r="B54" i="4"/>
  <c r="A54" i="4"/>
  <c r="J53" i="4"/>
  <c r="G53" i="4"/>
  <c r="F53" i="4"/>
  <c r="E53" i="4"/>
  <c r="C53" i="4"/>
  <c r="B53" i="4"/>
  <c r="A53" i="4"/>
  <c r="J52" i="4"/>
  <c r="H52" i="4"/>
  <c r="G52" i="4"/>
  <c r="F52" i="4"/>
  <c r="E52" i="4"/>
  <c r="C52" i="4"/>
  <c r="B52" i="4"/>
  <c r="A52" i="4"/>
  <c r="J51" i="4"/>
  <c r="H51" i="4"/>
  <c r="G51" i="4"/>
  <c r="F51" i="4"/>
  <c r="E51" i="4"/>
  <c r="C51" i="4"/>
  <c r="B51" i="4"/>
  <c r="A51" i="4"/>
  <c r="J50" i="4"/>
  <c r="H50" i="4"/>
  <c r="G50" i="4"/>
  <c r="F50" i="4"/>
  <c r="E50" i="4"/>
  <c r="B50" i="4"/>
  <c r="A50" i="4"/>
  <c r="J49" i="4"/>
  <c r="G49" i="4"/>
  <c r="F49" i="4"/>
  <c r="E49" i="4"/>
  <c r="B49" i="4"/>
  <c r="A49" i="4"/>
  <c r="J48" i="4"/>
  <c r="I48" i="4"/>
  <c r="H48" i="4"/>
  <c r="G48" i="4"/>
  <c r="F48" i="4"/>
  <c r="E48" i="4"/>
  <c r="B48" i="4"/>
  <c r="A48" i="4"/>
  <c r="J47" i="4"/>
  <c r="G47" i="4"/>
  <c r="F47" i="4"/>
  <c r="E47" i="4"/>
  <c r="C47" i="4"/>
  <c r="B47" i="4"/>
  <c r="A47" i="4"/>
  <c r="J46" i="4"/>
  <c r="I46" i="4"/>
  <c r="H46" i="4"/>
  <c r="G46" i="4"/>
  <c r="F46" i="4"/>
  <c r="E46" i="4"/>
  <c r="C46" i="4"/>
  <c r="B46" i="4"/>
  <c r="A46" i="4"/>
  <c r="J45" i="4"/>
  <c r="I45" i="4"/>
  <c r="H45" i="4"/>
  <c r="G45" i="4"/>
  <c r="F45" i="4"/>
  <c r="E45" i="4"/>
  <c r="D45" i="4"/>
  <c r="C45" i="4"/>
  <c r="B45" i="4"/>
  <c r="A45" i="4"/>
  <c r="J44" i="4"/>
  <c r="H44" i="4"/>
  <c r="G44" i="4"/>
  <c r="F44" i="4"/>
  <c r="E44" i="4"/>
  <c r="B44" i="4"/>
  <c r="A44" i="4"/>
  <c r="J43" i="4"/>
  <c r="G43" i="4"/>
  <c r="F43" i="4"/>
  <c r="E43" i="4"/>
  <c r="B43" i="4"/>
  <c r="A43" i="4"/>
  <c r="J42" i="4"/>
  <c r="G42" i="4"/>
  <c r="F42" i="4"/>
  <c r="E42" i="4"/>
  <c r="D42" i="4"/>
  <c r="C42" i="4"/>
  <c r="B42" i="4"/>
  <c r="A42" i="4"/>
  <c r="J41" i="4"/>
  <c r="G41" i="4"/>
  <c r="F41" i="4"/>
  <c r="E41" i="4"/>
  <c r="C41" i="4"/>
  <c r="B41" i="4"/>
  <c r="A41" i="4"/>
  <c r="J40" i="4"/>
  <c r="G40" i="4"/>
  <c r="F40" i="4"/>
  <c r="E40" i="4"/>
  <c r="B40" i="4"/>
  <c r="A40" i="4"/>
  <c r="J39" i="4"/>
  <c r="H39" i="4"/>
  <c r="G39" i="4"/>
  <c r="F39" i="4"/>
  <c r="E39" i="4"/>
  <c r="B39" i="4"/>
  <c r="A39" i="4"/>
  <c r="J38" i="4"/>
  <c r="G38" i="4"/>
  <c r="F38" i="4"/>
  <c r="E38" i="4"/>
  <c r="B38" i="4"/>
  <c r="A38" i="4"/>
  <c r="J37" i="4"/>
  <c r="H37" i="4"/>
  <c r="G37" i="4"/>
  <c r="F37" i="4"/>
  <c r="E37" i="4"/>
  <c r="B37" i="4"/>
  <c r="A37" i="4"/>
  <c r="J36" i="4"/>
  <c r="I36" i="4"/>
  <c r="H36" i="4"/>
  <c r="G36" i="4"/>
  <c r="F36" i="4"/>
  <c r="E36" i="4"/>
  <c r="B36" i="4"/>
  <c r="A36" i="4"/>
  <c r="J35" i="4"/>
  <c r="G35" i="4"/>
  <c r="F35" i="4"/>
  <c r="E35" i="4"/>
  <c r="B35" i="4"/>
  <c r="A35" i="4"/>
  <c r="J34" i="4"/>
  <c r="G34" i="4"/>
  <c r="F34" i="4"/>
  <c r="E34" i="4"/>
  <c r="B34" i="4"/>
  <c r="A34" i="4"/>
  <c r="J33" i="4"/>
  <c r="G33" i="4"/>
  <c r="F33" i="4"/>
  <c r="E33" i="4"/>
  <c r="B33" i="4"/>
  <c r="A33" i="4"/>
  <c r="J32" i="4"/>
  <c r="H32" i="4"/>
  <c r="G32" i="4"/>
  <c r="F32" i="4"/>
  <c r="E32" i="4"/>
  <c r="C32" i="4"/>
  <c r="B32" i="4"/>
  <c r="A32" i="4"/>
  <c r="J31" i="4"/>
  <c r="I31" i="4"/>
  <c r="H31" i="4"/>
  <c r="G31" i="4"/>
  <c r="F31" i="4"/>
  <c r="E31" i="4"/>
  <c r="B31" i="4"/>
  <c r="A31" i="4"/>
  <c r="J30" i="4"/>
  <c r="I30" i="4"/>
  <c r="H30" i="4"/>
  <c r="G30" i="4"/>
  <c r="F30" i="4"/>
  <c r="E30" i="4"/>
  <c r="B30" i="4"/>
  <c r="A30" i="4"/>
  <c r="J29" i="4"/>
  <c r="G29" i="4"/>
  <c r="F29" i="4"/>
  <c r="E29" i="4"/>
  <c r="B29" i="4"/>
  <c r="A29" i="4"/>
  <c r="J28" i="4"/>
  <c r="H28" i="4"/>
  <c r="G28" i="4"/>
  <c r="F28" i="4"/>
  <c r="E28" i="4"/>
  <c r="C28" i="4"/>
  <c r="B28" i="4"/>
  <c r="A28" i="4"/>
  <c r="J27" i="4"/>
  <c r="G27" i="4"/>
  <c r="F27" i="4"/>
  <c r="E27" i="4"/>
  <c r="B27" i="4"/>
  <c r="A27" i="4"/>
  <c r="J26" i="4"/>
  <c r="H26" i="4"/>
  <c r="G26" i="4"/>
  <c r="F26" i="4"/>
  <c r="E26" i="4"/>
  <c r="C26" i="4"/>
  <c r="B26" i="4"/>
  <c r="A26" i="4"/>
  <c r="J25" i="4"/>
  <c r="I25" i="4"/>
  <c r="H25" i="4"/>
  <c r="G25" i="4"/>
  <c r="F25" i="4"/>
  <c r="E25" i="4"/>
  <c r="D25" i="4"/>
  <c r="C25" i="4"/>
  <c r="B25" i="4"/>
  <c r="A25" i="4"/>
  <c r="J24" i="4"/>
  <c r="H24" i="4"/>
  <c r="G24" i="4"/>
  <c r="F24" i="4"/>
  <c r="E24" i="4"/>
  <c r="C24" i="4"/>
  <c r="B24" i="4"/>
  <c r="A24" i="4"/>
  <c r="J23" i="4"/>
  <c r="H23" i="4"/>
  <c r="G23" i="4"/>
  <c r="F23" i="4"/>
  <c r="E23" i="4"/>
  <c r="C23" i="4"/>
  <c r="B23" i="4"/>
  <c r="A23" i="4"/>
  <c r="J22" i="4"/>
  <c r="H22" i="4"/>
  <c r="G22" i="4"/>
  <c r="F22" i="4"/>
  <c r="E22" i="4"/>
  <c r="B22" i="4"/>
  <c r="A22" i="4"/>
  <c r="J21" i="4"/>
  <c r="H21" i="4"/>
  <c r="G21" i="4"/>
  <c r="F21" i="4"/>
  <c r="E21" i="4"/>
  <c r="B21" i="4"/>
  <c r="A21" i="4"/>
  <c r="J20" i="4"/>
  <c r="G20" i="4"/>
  <c r="F20" i="4"/>
  <c r="E20" i="4"/>
  <c r="B20" i="4"/>
  <c r="A20" i="4"/>
  <c r="J19" i="4"/>
  <c r="G19" i="4"/>
  <c r="F19" i="4"/>
  <c r="E19" i="4"/>
  <c r="B19" i="4"/>
  <c r="A19" i="4"/>
  <c r="J18" i="4"/>
  <c r="G18" i="4"/>
  <c r="F18" i="4"/>
  <c r="E18" i="4"/>
  <c r="D18" i="4"/>
  <c r="C18" i="4"/>
  <c r="B18" i="4"/>
  <c r="A18" i="4"/>
  <c r="J17" i="4"/>
  <c r="H17" i="4"/>
  <c r="G17" i="4"/>
  <c r="F17" i="4"/>
  <c r="E17" i="4"/>
  <c r="B17" i="4"/>
  <c r="A17" i="4"/>
  <c r="J16" i="4"/>
  <c r="I16" i="4"/>
  <c r="H16" i="4"/>
  <c r="G16" i="4"/>
  <c r="F16" i="4"/>
  <c r="E16" i="4"/>
  <c r="C16" i="4"/>
  <c r="B16" i="4"/>
  <c r="A16" i="4"/>
  <c r="J15" i="4"/>
  <c r="I15" i="4"/>
  <c r="H15" i="4"/>
  <c r="G15" i="4"/>
  <c r="F15" i="4"/>
  <c r="E15" i="4"/>
  <c r="B15" i="4"/>
  <c r="A15" i="4"/>
  <c r="J14" i="4"/>
  <c r="H14" i="4"/>
  <c r="G14" i="4"/>
  <c r="F14" i="4"/>
  <c r="E14" i="4"/>
  <c r="C14" i="4"/>
  <c r="B14" i="4"/>
  <c r="A14" i="4"/>
  <c r="J13" i="4"/>
  <c r="H13" i="4"/>
  <c r="G13" i="4"/>
  <c r="F13" i="4"/>
  <c r="E13" i="4"/>
  <c r="C13" i="4"/>
  <c r="B13" i="4"/>
  <c r="A13" i="4"/>
  <c r="J12" i="4"/>
  <c r="H12" i="4"/>
  <c r="G12" i="4"/>
  <c r="F12" i="4"/>
  <c r="E12" i="4"/>
  <c r="C12" i="4"/>
  <c r="B12" i="4"/>
  <c r="A12" i="4"/>
  <c r="J11" i="4"/>
  <c r="I11" i="4"/>
  <c r="H11" i="4"/>
  <c r="G11" i="4"/>
  <c r="F11" i="4"/>
  <c r="E11" i="4"/>
  <c r="C11" i="4"/>
  <c r="B11" i="4"/>
  <c r="A11" i="4"/>
  <c r="J10" i="4"/>
  <c r="I10" i="4"/>
  <c r="H10" i="4"/>
  <c r="G10" i="4"/>
  <c r="F10" i="4"/>
  <c r="E10" i="4"/>
  <c r="B10" i="4"/>
  <c r="A10" i="4"/>
  <c r="J9" i="4"/>
  <c r="H9" i="4"/>
  <c r="G9" i="4"/>
  <c r="F9" i="4"/>
  <c r="E9" i="4"/>
  <c r="D9" i="4"/>
  <c r="C9" i="4"/>
  <c r="B9" i="4"/>
  <c r="A9" i="4"/>
  <c r="J8" i="4"/>
  <c r="I8" i="4"/>
  <c r="H8" i="4"/>
  <c r="G8" i="4"/>
  <c r="F8" i="4"/>
  <c r="E8" i="4"/>
  <c r="D8" i="4"/>
  <c r="C8" i="4"/>
  <c r="B8" i="4"/>
  <c r="A8" i="4"/>
  <c r="J7" i="4"/>
  <c r="I7" i="4"/>
  <c r="H7" i="4"/>
  <c r="G7" i="4"/>
  <c r="F7" i="4"/>
  <c r="E7" i="4"/>
  <c r="B7" i="4"/>
  <c r="A7" i="4"/>
  <c r="J6" i="4"/>
  <c r="I6" i="4"/>
  <c r="H6" i="4"/>
  <c r="G6" i="4"/>
  <c r="F6" i="4"/>
  <c r="E6" i="4"/>
  <c r="D6" i="4"/>
  <c r="C6" i="4"/>
  <c r="B6" i="4"/>
  <c r="A6" i="4"/>
  <c r="J5" i="4"/>
  <c r="H5" i="4"/>
  <c r="G5" i="4"/>
  <c r="F5" i="4"/>
  <c r="E5" i="4"/>
  <c r="D5" i="4"/>
  <c r="C5" i="4"/>
  <c r="B5" i="4"/>
  <c r="A5" i="4"/>
  <c r="J4" i="4"/>
  <c r="G4" i="4"/>
  <c r="F4" i="4"/>
  <c r="E4" i="4"/>
  <c r="D4" i="4"/>
  <c r="C4" i="4"/>
  <c r="B4" i="4"/>
  <c r="A4" i="4"/>
  <c r="J3" i="4"/>
  <c r="I3" i="4"/>
  <c r="H3" i="4"/>
  <c r="G3" i="4"/>
  <c r="F3" i="4"/>
  <c r="E3" i="4"/>
  <c r="D3" i="4"/>
  <c r="C3" i="4"/>
  <c r="B3" i="4"/>
  <c r="A3" i="4"/>
  <c r="J1" i="4"/>
  <c r="I1" i="4"/>
  <c r="H1" i="4"/>
  <c r="G1" i="4"/>
  <c r="F1" i="4"/>
  <c r="E1" i="4"/>
  <c r="D1" i="4"/>
  <c r="C1" i="4"/>
  <c r="B1" i="4"/>
  <c r="A1" i="4"/>
  <c r="A3" i="3"/>
  <c r="B3" i="3"/>
  <c r="C3" i="3"/>
  <c r="D3" i="3"/>
  <c r="E3" i="3"/>
  <c r="F3" i="3"/>
  <c r="G3" i="3"/>
  <c r="H3" i="3"/>
  <c r="I3" i="3"/>
  <c r="J3" i="3"/>
  <c r="A4" i="3"/>
  <c r="B4" i="3"/>
  <c r="E4" i="3"/>
  <c r="F4" i="3"/>
  <c r="G4" i="3"/>
  <c r="H4" i="3"/>
  <c r="I4" i="3"/>
  <c r="J4" i="3"/>
  <c r="A5" i="3"/>
  <c r="B5" i="3"/>
  <c r="C5" i="3"/>
  <c r="D5" i="3"/>
  <c r="E5" i="3"/>
  <c r="F5" i="3"/>
  <c r="G5" i="3"/>
  <c r="H5" i="3"/>
  <c r="I5" i="3"/>
  <c r="J5" i="3"/>
  <c r="A6" i="3"/>
  <c r="B6" i="3"/>
  <c r="C6" i="3"/>
  <c r="D6" i="3"/>
  <c r="E6" i="3"/>
  <c r="F6" i="3"/>
  <c r="G6" i="3"/>
  <c r="H6" i="3"/>
  <c r="I6" i="3"/>
  <c r="J6" i="3"/>
  <c r="A7" i="3"/>
  <c r="B7" i="3"/>
  <c r="E7" i="3"/>
  <c r="F7" i="3"/>
  <c r="G7" i="3"/>
  <c r="J7" i="3"/>
  <c r="A8" i="3"/>
  <c r="B8" i="3"/>
  <c r="E8" i="3"/>
  <c r="F8" i="3"/>
  <c r="G8" i="3"/>
  <c r="J8" i="3"/>
  <c r="A9" i="3"/>
  <c r="B9" i="3"/>
  <c r="E9" i="3"/>
  <c r="F9" i="3"/>
  <c r="G9" i="3"/>
  <c r="H9" i="3"/>
  <c r="I9" i="3"/>
  <c r="J9" i="3"/>
  <c r="A10" i="3"/>
  <c r="B10" i="3"/>
  <c r="E10" i="3"/>
  <c r="F10" i="3"/>
  <c r="G10" i="3"/>
  <c r="H10" i="3"/>
  <c r="I10" i="3"/>
  <c r="J10" i="3"/>
  <c r="A11" i="3"/>
  <c r="B11" i="3"/>
  <c r="E11" i="3"/>
  <c r="F11" i="3"/>
  <c r="G11" i="3"/>
  <c r="H11" i="3"/>
  <c r="I11" i="3"/>
  <c r="J11" i="3"/>
  <c r="A12" i="3"/>
  <c r="B12" i="3"/>
  <c r="C12" i="3"/>
  <c r="D12" i="3"/>
  <c r="E12" i="3"/>
  <c r="F12" i="3"/>
  <c r="G12" i="3"/>
  <c r="H12" i="3"/>
  <c r="I12" i="3"/>
  <c r="J12" i="3"/>
  <c r="A13" i="3"/>
  <c r="B13" i="3"/>
  <c r="E13" i="3"/>
  <c r="F13" i="3"/>
  <c r="G13" i="3"/>
  <c r="H13" i="3"/>
  <c r="I13" i="3"/>
  <c r="J13" i="3"/>
  <c r="A14" i="3"/>
  <c r="B14" i="3"/>
  <c r="E14" i="3"/>
  <c r="F14" i="3"/>
  <c r="G14" i="3"/>
  <c r="J14" i="3"/>
  <c r="A15" i="3"/>
  <c r="B15" i="3"/>
  <c r="E15" i="3"/>
  <c r="F15" i="3"/>
  <c r="G15" i="3"/>
  <c r="J15" i="3"/>
  <c r="A16" i="3"/>
  <c r="B16" i="3"/>
  <c r="E16" i="3"/>
  <c r="F16" i="3"/>
  <c r="G16" i="3"/>
  <c r="J16" i="3"/>
  <c r="A17" i="3"/>
  <c r="B17" i="3"/>
  <c r="E17" i="3"/>
  <c r="F17" i="3"/>
  <c r="G17" i="3"/>
  <c r="J17" i="3"/>
  <c r="A18" i="3"/>
  <c r="B18" i="3"/>
  <c r="E18" i="3"/>
  <c r="F18" i="3"/>
  <c r="G18" i="3"/>
  <c r="J18" i="3"/>
  <c r="A19" i="3"/>
  <c r="B19" i="3"/>
  <c r="E19" i="3"/>
  <c r="F19" i="3"/>
  <c r="G19" i="3"/>
  <c r="H19" i="3"/>
  <c r="I19" i="3"/>
  <c r="J19" i="3"/>
  <c r="A20" i="3"/>
  <c r="B20" i="3"/>
  <c r="C20" i="3"/>
  <c r="D20" i="3"/>
  <c r="E20" i="3"/>
  <c r="F20" i="3"/>
  <c r="G20" i="3"/>
  <c r="H20" i="3"/>
  <c r="I20" i="3"/>
  <c r="J20" i="3"/>
  <c r="A21" i="3"/>
  <c r="B21" i="3"/>
  <c r="C21" i="3"/>
  <c r="D21" i="3"/>
  <c r="E21" i="3"/>
  <c r="F21" i="3"/>
  <c r="G21" i="3"/>
  <c r="H21" i="3"/>
  <c r="J21" i="3"/>
  <c r="A22" i="3"/>
  <c r="B22" i="3"/>
  <c r="C22" i="3"/>
  <c r="D22" i="3"/>
  <c r="E22" i="3"/>
  <c r="F22" i="3"/>
  <c r="G22" i="3"/>
  <c r="J22" i="3"/>
  <c r="A23" i="3"/>
  <c r="B23" i="3"/>
  <c r="E23" i="3"/>
  <c r="F23" i="3"/>
  <c r="G23" i="3"/>
  <c r="H23" i="3"/>
  <c r="J23" i="3"/>
  <c r="A24" i="3"/>
  <c r="B24" i="3"/>
  <c r="E24" i="3"/>
  <c r="F24" i="3"/>
  <c r="G24" i="3"/>
  <c r="H24" i="3"/>
  <c r="I24" i="3"/>
  <c r="J24" i="3"/>
  <c r="A25" i="3"/>
  <c r="B25" i="3"/>
  <c r="E25" i="3"/>
  <c r="F25" i="3"/>
  <c r="G25" i="3"/>
  <c r="H25" i="3"/>
  <c r="I25" i="3"/>
  <c r="J25" i="3"/>
  <c r="A26" i="3"/>
  <c r="B26" i="3"/>
  <c r="C26" i="3"/>
  <c r="D26" i="3"/>
  <c r="E26" i="3"/>
  <c r="F26" i="3"/>
  <c r="G26" i="3"/>
  <c r="H26" i="3"/>
  <c r="J26" i="3"/>
  <c r="A27" i="3"/>
  <c r="B27" i="3"/>
  <c r="E27" i="3"/>
  <c r="F27" i="3"/>
  <c r="G27" i="3"/>
  <c r="H27" i="3"/>
  <c r="I27" i="3"/>
  <c r="J27" i="3"/>
  <c r="A28" i="3"/>
  <c r="B28" i="3"/>
  <c r="E28" i="3"/>
  <c r="F28" i="3"/>
  <c r="G28" i="3"/>
  <c r="J28" i="3"/>
  <c r="A29" i="3"/>
  <c r="B29" i="3"/>
  <c r="E29" i="3"/>
  <c r="F29" i="3"/>
  <c r="G29" i="3"/>
  <c r="H29" i="3"/>
  <c r="J29" i="3"/>
  <c r="A30" i="3"/>
  <c r="B30" i="3"/>
  <c r="C30" i="3"/>
  <c r="E30" i="3"/>
  <c r="F30" i="3"/>
  <c r="G30" i="3"/>
  <c r="J30" i="3"/>
  <c r="A31" i="3"/>
  <c r="B31" i="3"/>
  <c r="C31" i="3"/>
  <c r="D31" i="3"/>
  <c r="E31" i="3"/>
  <c r="F31" i="3"/>
  <c r="G31" i="3"/>
  <c r="J31" i="3"/>
  <c r="A32" i="3"/>
  <c r="B32" i="3"/>
  <c r="C32" i="3"/>
  <c r="D32" i="3"/>
  <c r="E32" i="3"/>
  <c r="F32" i="3"/>
  <c r="G32" i="3"/>
  <c r="J32" i="3"/>
  <c r="A33" i="3"/>
  <c r="B33" i="3"/>
  <c r="C33" i="3"/>
  <c r="E33" i="3"/>
  <c r="F33" i="3"/>
  <c r="G33" i="3"/>
  <c r="H33" i="3"/>
  <c r="I33" i="3"/>
  <c r="J33" i="3"/>
  <c r="A34" i="3"/>
  <c r="B34" i="3"/>
  <c r="E34" i="3"/>
  <c r="F34" i="3"/>
  <c r="G34" i="3"/>
  <c r="J34" i="3"/>
  <c r="A35" i="3"/>
  <c r="B35" i="3"/>
  <c r="C35" i="3"/>
  <c r="E35" i="3"/>
  <c r="F35" i="3"/>
  <c r="G35" i="3"/>
  <c r="H35" i="3"/>
  <c r="I35" i="3"/>
  <c r="J35" i="3"/>
  <c r="A36" i="3"/>
  <c r="B36" i="3"/>
  <c r="E36" i="3"/>
  <c r="F36" i="3"/>
  <c r="G36" i="3"/>
  <c r="J36" i="3"/>
  <c r="A37" i="3"/>
  <c r="B37" i="3"/>
  <c r="E37" i="3"/>
  <c r="F37" i="3"/>
  <c r="G37" i="3"/>
  <c r="H37" i="3"/>
  <c r="J37" i="3"/>
  <c r="A38" i="3"/>
  <c r="B38" i="3"/>
  <c r="C38" i="3"/>
  <c r="E38" i="3"/>
  <c r="F38" i="3"/>
  <c r="G38" i="3"/>
  <c r="H38" i="3"/>
  <c r="J38" i="3"/>
  <c r="A39" i="3"/>
  <c r="B39" i="3"/>
  <c r="E39" i="3"/>
  <c r="F39" i="3"/>
  <c r="G39" i="3"/>
  <c r="H39" i="3"/>
  <c r="I39" i="3"/>
  <c r="J39" i="3"/>
  <c r="A40" i="3"/>
  <c r="B40" i="3"/>
  <c r="C40" i="3"/>
  <c r="E40" i="3"/>
  <c r="F40" i="3"/>
  <c r="G40" i="3"/>
  <c r="H40" i="3"/>
  <c r="J40" i="3"/>
  <c r="A41" i="3"/>
  <c r="B41" i="3"/>
  <c r="E41" i="3"/>
  <c r="F41" i="3"/>
  <c r="G41" i="3"/>
  <c r="H41" i="3"/>
  <c r="J41" i="3"/>
  <c r="A42" i="3"/>
  <c r="B42" i="3"/>
  <c r="C42" i="3"/>
  <c r="E42" i="3"/>
  <c r="F42" i="3"/>
  <c r="G42" i="3"/>
  <c r="J42" i="3"/>
  <c r="A43" i="3"/>
  <c r="B43" i="3"/>
  <c r="E43" i="3"/>
  <c r="F43" i="3"/>
  <c r="G43" i="3"/>
  <c r="H43" i="3"/>
  <c r="J43" i="3"/>
  <c r="A44" i="3"/>
  <c r="B44" i="3"/>
  <c r="E44" i="3"/>
  <c r="F44" i="3"/>
  <c r="G44" i="3"/>
  <c r="J44" i="3"/>
  <c r="A45" i="3"/>
  <c r="B45" i="3"/>
  <c r="E45" i="3"/>
  <c r="F45" i="3"/>
  <c r="G45" i="3"/>
  <c r="J45" i="3"/>
  <c r="A46" i="3"/>
  <c r="B46" i="3"/>
  <c r="E46" i="3"/>
  <c r="F46" i="3"/>
  <c r="G46" i="3"/>
  <c r="H46" i="3"/>
  <c r="I46" i="3"/>
  <c r="J46" i="3"/>
  <c r="A47" i="3"/>
  <c r="B47" i="3"/>
  <c r="C47" i="3"/>
  <c r="E47" i="3"/>
  <c r="F47" i="3"/>
  <c r="G47" i="3"/>
  <c r="J47" i="3"/>
  <c r="A48" i="3"/>
  <c r="B48" i="3"/>
  <c r="E48" i="3"/>
  <c r="F48" i="3"/>
  <c r="G48" i="3"/>
  <c r="H48" i="3"/>
  <c r="J48" i="3"/>
  <c r="A49" i="3"/>
  <c r="B49" i="3"/>
  <c r="C49" i="3"/>
  <c r="D49" i="3"/>
  <c r="E49" i="3"/>
  <c r="F49" i="3"/>
  <c r="G49" i="3"/>
  <c r="H49" i="3"/>
  <c r="I49" i="3"/>
  <c r="J49" i="3"/>
  <c r="A50" i="3"/>
  <c r="B50" i="3"/>
  <c r="C50" i="3"/>
  <c r="E50" i="3"/>
  <c r="F50" i="3"/>
  <c r="G50" i="3"/>
  <c r="J50" i="3"/>
  <c r="A51" i="3"/>
  <c r="B51" i="3"/>
  <c r="C51" i="3"/>
  <c r="E51" i="3"/>
  <c r="F51" i="3"/>
  <c r="G51" i="3"/>
  <c r="H51" i="3"/>
  <c r="J51" i="3"/>
  <c r="A52" i="3"/>
  <c r="B52" i="3"/>
  <c r="E52" i="3"/>
  <c r="F52" i="3"/>
  <c r="G52" i="3"/>
  <c r="J52" i="3"/>
  <c r="A53" i="3"/>
  <c r="B53" i="3"/>
  <c r="C53" i="3"/>
  <c r="E53" i="3"/>
  <c r="F53" i="3"/>
  <c r="G53" i="3"/>
  <c r="H53" i="3"/>
  <c r="J53" i="3"/>
  <c r="A54" i="3"/>
  <c r="B54" i="3"/>
  <c r="E54" i="3"/>
  <c r="F54" i="3"/>
  <c r="G54" i="3"/>
  <c r="H54" i="3"/>
  <c r="J54" i="3"/>
  <c r="A55" i="3"/>
  <c r="B55" i="3"/>
  <c r="E55" i="3"/>
  <c r="F55" i="3"/>
  <c r="G55" i="3"/>
  <c r="H55" i="3"/>
  <c r="J55" i="3"/>
  <c r="A56" i="3"/>
  <c r="B56" i="3"/>
  <c r="C56" i="3"/>
  <c r="E56" i="3"/>
  <c r="F56" i="3"/>
  <c r="G56" i="3"/>
  <c r="H56" i="3"/>
  <c r="J56" i="3"/>
  <c r="A57" i="3"/>
  <c r="B57" i="3"/>
  <c r="C57" i="3"/>
  <c r="E57" i="3"/>
  <c r="F57" i="3"/>
  <c r="G57" i="3"/>
  <c r="H57" i="3"/>
  <c r="J57" i="3"/>
  <c r="A58" i="3"/>
  <c r="B58" i="3"/>
  <c r="E58" i="3"/>
  <c r="F58" i="3"/>
  <c r="G58" i="3"/>
  <c r="J58" i="3"/>
  <c r="A59" i="3"/>
  <c r="B59" i="3"/>
  <c r="C59" i="3"/>
  <c r="E59" i="3"/>
  <c r="F59" i="3"/>
  <c r="G59" i="3"/>
  <c r="J59" i="3"/>
  <c r="A60" i="3"/>
  <c r="B60" i="3"/>
  <c r="E60" i="3"/>
  <c r="F60" i="3"/>
  <c r="G60" i="3"/>
  <c r="H60" i="3"/>
  <c r="J60" i="3"/>
  <c r="A61" i="3"/>
  <c r="B61" i="3"/>
  <c r="E61" i="3"/>
  <c r="F61" i="3"/>
  <c r="G61" i="3"/>
  <c r="H61" i="3"/>
  <c r="J61" i="3"/>
  <c r="A62" i="3"/>
  <c r="B62" i="3"/>
  <c r="C62" i="3"/>
  <c r="E62" i="3"/>
  <c r="F62" i="3"/>
  <c r="G62" i="3"/>
  <c r="H62" i="3"/>
  <c r="J62" i="3"/>
  <c r="A63" i="3"/>
  <c r="B63" i="3"/>
  <c r="C63" i="3"/>
  <c r="E63" i="3"/>
  <c r="F63" i="3"/>
  <c r="G63" i="3"/>
  <c r="J63" i="3"/>
  <c r="A64" i="3"/>
  <c r="B64" i="3"/>
  <c r="C64" i="3"/>
  <c r="E64" i="3"/>
  <c r="F64" i="3"/>
  <c r="G64" i="3"/>
  <c r="H64" i="3"/>
  <c r="J64" i="3"/>
  <c r="A65" i="3"/>
  <c r="B65" i="3"/>
  <c r="C65" i="3"/>
  <c r="E65" i="3"/>
  <c r="F65" i="3"/>
  <c r="G65" i="3"/>
  <c r="H65" i="3"/>
  <c r="J65" i="3"/>
  <c r="A66" i="3"/>
  <c r="B66" i="3"/>
  <c r="E66" i="3"/>
  <c r="F66" i="3"/>
  <c r="G66" i="3"/>
  <c r="J66" i="3"/>
  <c r="A67" i="3"/>
  <c r="B67" i="3"/>
  <c r="C67" i="3"/>
  <c r="E67" i="3"/>
  <c r="F67" i="3"/>
  <c r="G67" i="3"/>
  <c r="H67" i="3"/>
  <c r="I67" i="3"/>
  <c r="J67" i="3"/>
  <c r="A68" i="3"/>
  <c r="B68" i="3"/>
  <c r="C68" i="3"/>
  <c r="E68" i="3"/>
  <c r="F68" i="3"/>
  <c r="G68" i="3"/>
  <c r="J68" i="3"/>
  <c r="A69" i="3"/>
  <c r="B69" i="3"/>
  <c r="C69" i="3"/>
  <c r="E69" i="3"/>
  <c r="F69" i="3"/>
  <c r="G69" i="3"/>
  <c r="J69" i="3"/>
  <c r="A70" i="3"/>
  <c r="B70" i="3"/>
  <c r="C70" i="3"/>
  <c r="E70" i="3"/>
  <c r="F70" i="3"/>
  <c r="G70" i="3"/>
  <c r="H70" i="3"/>
  <c r="I70" i="3"/>
  <c r="J70" i="3"/>
  <c r="A71" i="3"/>
  <c r="B71" i="3"/>
  <c r="C71" i="3"/>
  <c r="E71" i="3"/>
  <c r="F71" i="3"/>
  <c r="G71" i="3"/>
  <c r="H71" i="3"/>
  <c r="J71" i="3"/>
  <c r="A72" i="3"/>
  <c r="B72" i="3"/>
  <c r="C72" i="3"/>
  <c r="E72" i="3"/>
  <c r="F72" i="3"/>
  <c r="G72" i="3"/>
  <c r="H72" i="3"/>
  <c r="J72" i="3"/>
  <c r="A73" i="3"/>
  <c r="B73" i="3"/>
  <c r="C73" i="3"/>
  <c r="E73" i="3"/>
  <c r="F73" i="3"/>
  <c r="G73" i="3"/>
  <c r="J73" i="3"/>
  <c r="A74" i="3"/>
  <c r="B74" i="3"/>
  <c r="C74" i="3"/>
  <c r="E74" i="3"/>
  <c r="F74" i="3"/>
  <c r="G74" i="3"/>
  <c r="H74" i="3"/>
  <c r="J74" i="3"/>
  <c r="A75" i="3"/>
  <c r="B75" i="3"/>
  <c r="C75" i="3"/>
  <c r="E75" i="3"/>
  <c r="F75" i="3"/>
  <c r="G75" i="3"/>
  <c r="H75" i="3"/>
  <c r="J75" i="3"/>
  <c r="A76" i="3"/>
  <c r="B76" i="3"/>
  <c r="C76" i="3"/>
  <c r="D76" i="3"/>
  <c r="E76" i="3"/>
  <c r="F76" i="3"/>
  <c r="G76" i="3"/>
  <c r="H76" i="3"/>
  <c r="J76" i="3"/>
  <c r="A77" i="3"/>
  <c r="B77" i="3"/>
  <c r="C77" i="3"/>
  <c r="E77" i="3"/>
  <c r="F77" i="3"/>
  <c r="G77" i="3"/>
  <c r="H77" i="3"/>
  <c r="J77" i="3"/>
  <c r="A78" i="3"/>
  <c r="B78" i="3"/>
  <c r="C78" i="3"/>
  <c r="E78" i="3"/>
  <c r="F78" i="3"/>
  <c r="G78" i="3"/>
  <c r="H78" i="3"/>
  <c r="J78" i="3"/>
  <c r="A79" i="3"/>
  <c r="B79" i="3"/>
  <c r="E79" i="3"/>
  <c r="F79" i="3"/>
  <c r="G79" i="3"/>
  <c r="H79" i="3"/>
  <c r="J79" i="3"/>
  <c r="A80" i="3"/>
  <c r="B80" i="3"/>
  <c r="C80" i="3"/>
  <c r="E80" i="3"/>
  <c r="F80" i="3"/>
  <c r="G80" i="3"/>
  <c r="J80" i="3"/>
  <c r="A81" i="3"/>
  <c r="B81" i="3"/>
  <c r="E81" i="3"/>
  <c r="F81" i="3"/>
  <c r="G81" i="3"/>
  <c r="J81" i="3"/>
  <c r="A82" i="3"/>
  <c r="B82" i="3"/>
  <c r="E82" i="3"/>
  <c r="F82" i="3"/>
  <c r="G82" i="3"/>
  <c r="H82" i="3"/>
  <c r="J82" i="3"/>
  <c r="A83" i="3"/>
  <c r="B83" i="3"/>
  <c r="C83" i="3"/>
  <c r="E83" i="3"/>
  <c r="F83" i="3"/>
  <c r="G83" i="3"/>
  <c r="H83" i="3"/>
  <c r="J83" i="3"/>
  <c r="A84" i="3"/>
  <c r="B84" i="3"/>
  <c r="C84" i="3"/>
  <c r="E84" i="3"/>
  <c r="F84" i="3"/>
  <c r="G84" i="3"/>
  <c r="J84" i="3"/>
  <c r="A85" i="3"/>
  <c r="B85" i="3"/>
  <c r="C85" i="3"/>
  <c r="E85" i="3"/>
  <c r="F85" i="3"/>
  <c r="G85" i="3"/>
  <c r="H85" i="3"/>
  <c r="J85" i="3"/>
  <c r="A86" i="3"/>
  <c r="B86" i="3"/>
  <c r="C86" i="3"/>
  <c r="E86" i="3"/>
  <c r="F86" i="3"/>
  <c r="G86" i="3"/>
  <c r="H86" i="3"/>
  <c r="J86" i="3"/>
  <c r="A87" i="3"/>
  <c r="B87" i="3"/>
  <c r="C87" i="3"/>
  <c r="E87" i="3"/>
  <c r="F87" i="3"/>
  <c r="G87" i="3"/>
  <c r="H87" i="3"/>
  <c r="J87" i="3"/>
  <c r="A88" i="3"/>
  <c r="B88" i="3"/>
  <c r="C88" i="3"/>
  <c r="E88" i="3"/>
  <c r="F88" i="3"/>
  <c r="G88" i="3"/>
  <c r="H88" i="3"/>
  <c r="J88" i="3"/>
  <c r="A89" i="3"/>
  <c r="B89" i="3"/>
  <c r="E89" i="3"/>
  <c r="F89" i="3"/>
  <c r="G89" i="3"/>
  <c r="J89" i="3"/>
  <c r="A90" i="3"/>
  <c r="B90" i="3"/>
  <c r="C90" i="3"/>
  <c r="E90" i="3"/>
  <c r="F90" i="3"/>
  <c r="G90" i="3"/>
  <c r="H90" i="3"/>
  <c r="J90" i="3"/>
  <c r="A91" i="3"/>
  <c r="B91" i="3"/>
  <c r="E91" i="3"/>
  <c r="F91" i="3"/>
  <c r="G91" i="3"/>
  <c r="J91" i="3"/>
  <c r="A92" i="3"/>
  <c r="B92" i="3"/>
  <c r="E92" i="3"/>
  <c r="F92" i="3"/>
  <c r="G92" i="3"/>
  <c r="H92" i="3"/>
  <c r="J92" i="3"/>
  <c r="A93" i="3"/>
  <c r="B93" i="3"/>
  <c r="C93" i="3"/>
  <c r="E93" i="3"/>
  <c r="F93" i="3"/>
  <c r="G93" i="3"/>
  <c r="H93" i="3"/>
  <c r="J93" i="3"/>
  <c r="A94" i="3"/>
  <c r="B94" i="3"/>
  <c r="C94" i="3"/>
  <c r="E94" i="3"/>
  <c r="F94" i="3"/>
  <c r="G94" i="3"/>
  <c r="H94" i="3"/>
  <c r="J94" i="3"/>
  <c r="A95" i="3"/>
  <c r="B95" i="3"/>
  <c r="E95" i="3"/>
  <c r="F95" i="3"/>
  <c r="G95" i="3"/>
  <c r="H95" i="3"/>
  <c r="J95" i="3"/>
  <c r="A96" i="3"/>
  <c r="B96" i="3"/>
  <c r="E96" i="3"/>
  <c r="F96" i="3"/>
  <c r="G96" i="3"/>
  <c r="H96" i="3"/>
  <c r="J96" i="3"/>
  <c r="A97" i="3"/>
  <c r="B97" i="3"/>
  <c r="E97" i="3"/>
  <c r="F97" i="3"/>
  <c r="G97" i="3"/>
  <c r="H97" i="3"/>
  <c r="J97" i="3"/>
  <c r="A98" i="3"/>
  <c r="B98" i="3"/>
  <c r="C98" i="3"/>
  <c r="E98" i="3"/>
  <c r="F98" i="3"/>
  <c r="G98" i="3"/>
  <c r="H98" i="3"/>
  <c r="J98" i="3"/>
  <c r="A99" i="3"/>
  <c r="B99" i="3"/>
  <c r="C99" i="3"/>
  <c r="D99" i="3"/>
  <c r="E99" i="3"/>
  <c r="F99" i="3"/>
  <c r="G99" i="3"/>
  <c r="H99" i="3"/>
  <c r="J99" i="3"/>
  <c r="A100" i="3"/>
  <c r="B100" i="3"/>
  <c r="E100" i="3"/>
  <c r="F100" i="3"/>
  <c r="G100" i="3"/>
  <c r="H100" i="3"/>
  <c r="J100" i="3"/>
  <c r="A101" i="3"/>
  <c r="B101" i="3"/>
  <c r="E101" i="3"/>
  <c r="F101" i="3"/>
  <c r="G101" i="3"/>
  <c r="H101" i="3"/>
  <c r="J101" i="3"/>
  <c r="A102" i="3"/>
  <c r="B102" i="3"/>
  <c r="E102" i="3"/>
  <c r="F102" i="3"/>
  <c r="G102" i="3"/>
  <c r="J102" i="3"/>
  <c r="A103" i="3"/>
  <c r="B103" i="3"/>
  <c r="C103" i="3"/>
  <c r="E103" i="3"/>
  <c r="F103" i="3"/>
  <c r="G103" i="3"/>
  <c r="H103" i="3"/>
  <c r="J103" i="3"/>
  <c r="A104" i="3"/>
  <c r="B104" i="3"/>
  <c r="E104" i="3"/>
  <c r="F104" i="3"/>
  <c r="G104" i="3"/>
  <c r="J104" i="3"/>
  <c r="A105" i="3"/>
  <c r="B105" i="3"/>
  <c r="E105" i="3"/>
  <c r="F105" i="3"/>
  <c r="G105" i="3"/>
  <c r="J105" i="3"/>
  <c r="A106" i="3"/>
  <c r="B106" i="3"/>
  <c r="C106" i="3"/>
  <c r="E106" i="3"/>
  <c r="F106" i="3"/>
  <c r="G106" i="3"/>
  <c r="H106" i="3"/>
  <c r="J106" i="3"/>
  <c r="A107" i="3"/>
  <c r="B107" i="3"/>
  <c r="E107" i="3"/>
  <c r="F107" i="3"/>
  <c r="G107" i="3"/>
  <c r="J107" i="3"/>
  <c r="A108" i="3"/>
  <c r="B108" i="3"/>
  <c r="E108" i="3"/>
  <c r="F108" i="3"/>
  <c r="G108" i="3"/>
  <c r="J108" i="3"/>
  <c r="A109" i="3"/>
  <c r="B109" i="3"/>
  <c r="E109" i="3"/>
  <c r="F109" i="3"/>
  <c r="G109" i="3"/>
  <c r="J109" i="3"/>
  <c r="A110" i="3"/>
  <c r="B110" i="3"/>
  <c r="E110" i="3"/>
  <c r="F110" i="3"/>
  <c r="G110" i="3"/>
  <c r="J110" i="3"/>
  <c r="A111" i="3"/>
  <c r="B111" i="3"/>
  <c r="E111" i="3"/>
  <c r="F111" i="3"/>
  <c r="G111" i="3"/>
  <c r="H111" i="3"/>
  <c r="J111" i="3"/>
  <c r="A112" i="3"/>
  <c r="B112" i="3"/>
  <c r="C112" i="3"/>
  <c r="E112" i="3"/>
  <c r="F112" i="3"/>
  <c r="G112" i="3"/>
  <c r="H112" i="3"/>
  <c r="J112" i="3"/>
  <c r="A113" i="3"/>
  <c r="B113" i="3"/>
  <c r="E113" i="3"/>
  <c r="F113" i="3"/>
  <c r="G113" i="3"/>
  <c r="J113" i="3"/>
  <c r="A114" i="3"/>
  <c r="B114" i="3"/>
  <c r="E114" i="3"/>
  <c r="F114" i="3"/>
  <c r="G114" i="3"/>
  <c r="H114" i="3"/>
  <c r="J114" i="3"/>
  <c r="A115" i="3"/>
  <c r="B115" i="3"/>
  <c r="E115" i="3"/>
  <c r="F115" i="3"/>
  <c r="G115" i="3"/>
  <c r="H115" i="3"/>
  <c r="J115" i="3"/>
  <c r="A116" i="3"/>
  <c r="B116" i="3"/>
  <c r="C116" i="3"/>
  <c r="E116" i="3"/>
  <c r="F116" i="3"/>
  <c r="G116" i="3"/>
  <c r="H116" i="3"/>
  <c r="J116" i="3"/>
  <c r="A117" i="3"/>
  <c r="B117" i="3"/>
  <c r="C117" i="3"/>
  <c r="E117" i="3"/>
  <c r="F117" i="3"/>
  <c r="G117" i="3"/>
  <c r="H117" i="3"/>
  <c r="J117" i="3"/>
  <c r="A118" i="3"/>
  <c r="B118" i="3"/>
  <c r="C118" i="3"/>
  <c r="E118" i="3"/>
  <c r="F118" i="3"/>
  <c r="G118" i="3"/>
  <c r="J118" i="3"/>
  <c r="A119" i="3"/>
  <c r="B119" i="3"/>
  <c r="E119" i="3"/>
  <c r="F119" i="3"/>
  <c r="G119" i="3"/>
  <c r="J119" i="3"/>
  <c r="A120" i="3"/>
  <c r="B120" i="3"/>
  <c r="E120" i="3"/>
  <c r="F120" i="3"/>
  <c r="G120" i="3"/>
  <c r="H120" i="3"/>
  <c r="J120" i="3"/>
  <c r="A121" i="3"/>
  <c r="B121" i="3"/>
  <c r="E121" i="3"/>
  <c r="F121" i="3"/>
  <c r="G121" i="3"/>
  <c r="H121" i="3"/>
  <c r="J121" i="3"/>
  <c r="A122" i="3"/>
  <c r="B122" i="3"/>
  <c r="C122" i="3"/>
  <c r="E122" i="3"/>
  <c r="F122" i="3"/>
  <c r="G122" i="3"/>
  <c r="H122" i="3"/>
  <c r="J122" i="3"/>
  <c r="A123" i="3"/>
  <c r="B123" i="3"/>
  <c r="C123" i="3"/>
  <c r="E123" i="3"/>
  <c r="F123" i="3"/>
  <c r="G123" i="3"/>
  <c r="H123" i="3"/>
  <c r="J123" i="3"/>
  <c r="A124" i="3"/>
  <c r="B124" i="3"/>
  <c r="C124" i="3"/>
  <c r="E124" i="3"/>
  <c r="F124" i="3"/>
  <c r="G124" i="3"/>
  <c r="H124" i="3"/>
  <c r="J124" i="3"/>
  <c r="A125" i="3"/>
  <c r="B125" i="3"/>
  <c r="C125" i="3"/>
  <c r="E125" i="3"/>
  <c r="F125" i="3"/>
  <c r="G125" i="3"/>
  <c r="J125" i="3"/>
  <c r="A126" i="3"/>
  <c r="B126" i="3"/>
  <c r="E126" i="3"/>
  <c r="F126" i="3"/>
  <c r="G126" i="3"/>
  <c r="J126" i="3"/>
  <c r="A127" i="3"/>
  <c r="B127" i="3"/>
  <c r="E127" i="3"/>
  <c r="F127" i="3"/>
  <c r="G127" i="3"/>
  <c r="J127" i="3"/>
  <c r="A128" i="3"/>
  <c r="B128" i="3"/>
  <c r="E128" i="3"/>
  <c r="F128" i="3"/>
  <c r="G128" i="3"/>
  <c r="J128" i="3"/>
  <c r="A129" i="3"/>
  <c r="B129" i="3"/>
  <c r="E129" i="3"/>
  <c r="F129" i="3"/>
  <c r="G129" i="3"/>
  <c r="J129" i="3"/>
  <c r="A130" i="3"/>
  <c r="B130" i="3"/>
  <c r="E130" i="3"/>
  <c r="F130" i="3"/>
  <c r="G130" i="3"/>
  <c r="J130" i="3"/>
  <c r="A131" i="3"/>
  <c r="B131" i="3"/>
  <c r="E131" i="3"/>
  <c r="F131" i="3"/>
  <c r="G131" i="3"/>
  <c r="H131" i="3"/>
  <c r="J131" i="3"/>
  <c r="A132" i="3"/>
  <c r="B132" i="3"/>
  <c r="C132" i="3"/>
  <c r="E132" i="3"/>
  <c r="F132" i="3"/>
  <c r="G132" i="3"/>
  <c r="J132" i="3"/>
  <c r="A133" i="3"/>
  <c r="B133" i="3"/>
  <c r="E133" i="3"/>
  <c r="F133" i="3"/>
  <c r="G133" i="3"/>
  <c r="H133" i="3"/>
  <c r="J133" i="3"/>
  <c r="A134" i="3"/>
  <c r="B134" i="3"/>
  <c r="C134" i="3"/>
  <c r="E134" i="3"/>
  <c r="F134" i="3"/>
  <c r="G134" i="3"/>
  <c r="H134" i="3"/>
  <c r="J134" i="3"/>
  <c r="A135" i="3"/>
  <c r="B135" i="3"/>
  <c r="C135" i="3"/>
  <c r="E135" i="3"/>
  <c r="F135" i="3"/>
  <c r="G135" i="3"/>
  <c r="H135" i="3"/>
  <c r="J135" i="3"/>
  <c r="B1" i="3"/>
  <c r="C1" i="3"/>
  <c r="D1" i="3"/>
  <c r="E1" i="3"/>
  <c r="F1" i="3"/>
  <c r="G1" i="3"/>
  <c r="H1" i="3"/>
  <c r="I1" i="3"/>
  <c r="J1" i="3"/>
  <c r="A1" i="3"/>
  <c r="A272" i="2" l="1"/>
  <c r="A271" i="2"/>
  <c r="I18" i="2" l="1"/>
  <c r="I22" i="2"/>
  <c r="I46" i="2"/>
  <c r="I50" i="2"/>
  <c r="I94" i="2"/>
  <c r="I136" i="2"/>
  <c r="D20" i="2"/>
  <c r="D40" i="2"/>
  <c r="D58" i="2"/>
  <c r="D94" i="2"/>
  <c r="D148" i="2"/>
  <c r="A2" i="2"/>
  <c r="B2" i="2"/>
  <c r="C2" i="2"/>
  <c r="D2" i="2"/>
  <c r="E2" i="2"/>
  <c r="F2" i="2"/>
  <c r="G2" i="2"/>
  <c r="H2" i="2"/>
  <c r="I2" i="2"/>
  <c r="J2" i="2"/>
  <c r="A3" i="2"/>
  <c r="B3" i="2"/>
  <c r="C3" i="2"/>
  <c r="D3" i="2"/>
  <c r="E3" i="2"/>
  <c r="F3" i="2"/>
  <c r="G3" i="2"/>
  <c r="H3" i="2"/>
  <c r="J3" i="2"/>
  <c r="A4" i="2"/>
  <c r="B4" i="2"/>
  <c r="E4" i="2"/>
  <c r="F4" i="2"/>
  <c r="G4" i="2"/>
  <c r="H4" i="2"/>
  <c r="I4" i="2"/>
  <c r="J4" i="2"/>
  <c r="A5" i="2"/>
  <c r="E5" i="2"/>
  <c r="F5" i="2"/>
  <c r="G5" i="2"/>
  <c r="J5" i="2"/>
  <c r="A6" i="2"/>
  <c r="B6" i="2"/>
  <c r="C6" i="2"/>
  <c r="D6" i="2"/>
  <c r="E6" i="2"/>
  <c r="F6" i="2"/>
  <c r="G6" i="2"/>
  <c r="H6" i="2"/>
  <c r="I6" i="2"/>
  <c r="J6" i="2"/>
  <c r="A7" i="2"/>
  <c r="B7" i="2"/>
  <c r="C7" i="2"/>
  <c r="E7" i="2"/>
  <c r="F7" i="2"/>
  <c r="G7" i="2"/>
  <c r="H7" i="2"/>
  <c r="J7" i="2"/>
  <c r="A8" i="2"/>
  <c r="B8" i="2"/>
  <c r="C8" i="2"/>
  <c r="D8" i="2"/>
  <c r="E8" i="2"/>
  <c r="F8" i="2"/>
  <c r="G8" i="2"/>
  <c r="H8" i="2"/>
  <c r="I8" i="2"/>
  <c r="J8" i="2"/>
  <c r="A9" i="2"/>
  <c r="B9" i="2"/>
  <c r="C9" i="2"/>
  <c r="E9" i="2"/>
  <c r="F9" i="2"/>
  <c r="G9" i="2"/>
  <c r="H9" i="2"/>
  <c r="J9" i="2"/>
  <c r="A10" i="2"/>
  <c r="E10" i="2"/>
  <c r="F10" i="2"/>
  <c r="G10" i="2"/>
  <c r="J10" i="2"/>
  <c r="A11" i="2"/>
  <c r="E11" i="2"/>
  <c r="F11" i="2"/>
  <c r="G11" i="2"/>
  <c r="H11" i="2"/>
  <c r="J11" i="2"/>
  <c r="A12" i="2"/>
  <c r="B12" i="2"/>
  <c r="E12" i="2"/>
  <c r="F12" i="2"/>
  <c r="G12" i="2"/>
  <c r="J12" i="2"/>
  <c r="A13" i="2"/>
  <c r="E13" i="2"/>
  <c r="F13" i="2"/>
  <c r="G13" i="2"/>
  <c r="H13" i="2"/>
  <c r="J13" i="2"/>
  <c r="A14" i="2"/>
  <c r="B14" i="2"/>
  <c r="E14" i="2"/>
  <c r="F14" i="2"/>
  <c r="G14" i="2"/>
  <c r="H14" i="2"/>
  <c r="I14" i="2"/>
  <c r="J14" i="2"/>
  <c r="A15" i="2"/>
  <c r="E15" i="2"/>
  <c r="F15" i="2"/>
  <c r="G15" i="2"/>
  <c r="H15" i="2"/>
  <c r="J15" i="2"/>
  <c r="A16" i="2"/>
  <c r="E16" i="2"/>
  <c r="F16" i="2"/>
  <c r="G16" i="2"/>
  <c r="H16" i="2"/>
  <c r="I16" i="2"/>
  <c r="J16" i="2"/>
  <c r="A17" i="2"/>
  <c r="E17" i="2"/>
  <c r="F17" i="2"/>
  <c r="G17" i="2"/>
  <c r="H17" i="2"/>
  <c r="I17" i="2"/>
  <c r="J17" i="2"/>
  <c r="A18" i="2"/>
  <c r="B18" i="2"/>
  <c r="E18" i="2"/>
  <c r="F18" i="2"/>
  <c r="G18" i="2"/>
  <c r="H18" i="2"/>
  <c r="J18" i="2"/>
  <c r="A19" i="2"/>
  <c r="E19" i="2"/>
  <c r="F19" i="2"/>
  <c r="G19" i="2"/>
  <c r="H19" i="2"/>
  <c r="I19" i="2"/>
  <c r="J19" i="2"/>
  <c r="A20" i="2"/>
  <c r="B20" i="2"/>
  <c r="C20" i="2"/>
  <c r="E20" i="2"/>
  <c r="F20" i="2"/>
  <c r="G20" i="2"/>
  <c r="H20" i="2"/>
  <c r="I20" i="2"/>
  <c r="J20" i="2"/>
  <c r="A21" i="2"/>
  <c r="B21" i="2"/>
  <c r="C21" i="2"/>
  <c r="E21" i="2"/>
  <c r="F21" i="2"/>
  <c r="G21" i="2"/>
  <c r="H21" i="2"/>
  <c r="J21" i="2"/>
  <c r="A22" i="2"/>
  <c r="E22" i="2"/>
  <c r="F22" i="2"/>
  <c r="G22" i="2"/>
  <c r="H22" i="2"/>
  <c r="J22" i="2"/>
  <c r="A23" i="2"/>
  <c r="B23" i="2"/>
  <c r="C23" i="2"/>
  <c r="E23" i="2"/>
  <c r="F23" i="2"/>
  <c r="G23" i="2"/>
  <c r="H23" i="2"/>
  <c r="J23" i="2"/>
  <c r="A24" i="2"/>
  <c r="E24" i="2"/>
  <c r="F24" i="2"/>
  <c r="G24" i="2"/>
  <c r="J24" i="2"/>
  <c r="A25" i="2"/>
  <c r="B25" i="2"/>
  <c r="C25" i="2"/>
  <c r="E25" i="2"/>
  <c r="F25" i="2"/>
  <c r="G25" i="2"/>
  <c r="H25" i="2"/>
  <c r="J25" i="2"/>
  <c r="A26" i="2"/>
  <c r="E26" i="2"/>
  <c r="F26" i="2"/>
  <c r="G26" i="2"/>
  <c r="J26" i="2"/>
  <c r="A27" i="2"/>
  <c r="E27" i="2"/>
  <c r="F27" i="2"/>
  <c r="G27" i="2"/>
  <c r="H27" i="2"/>
  <c r="J27" i="2"/>
  <c r="A28" i="2"/>
  <c r="B28" i="2"/>
  <c r="E28" i="2"/>
  <c r="F28" i="2"/>
  <c r="G28" i="2"/>
  <c r="J28" i="2"/>
  <c r="A29" i="2"/>
  <c r="E29" i="2"/>
  <c r="F29" i="2"/>
  <c r="G29" i="2"/>
  <c r="H29" i="2"/>
  <c r="I29" i="2"/>
  <c r="J29" i="2"/>
  <c r="A30" i="2"/>
  <c r="E30" i="2"/>
  <c r="F30" i="2"/>
  <c r="G30" i="2"/>
  <c r="J30" i="2"/>
  <c r="A31" i="2"/>
  <c r="E31" i="2"/>
  <c r="F31" i="2"/>
  <c r="G31" i="2"/>
  <c r="H31" i="2"/>
  <c r="J31" i="2"/>
  <c r="A32" i="2"/>
  <c r="B32" i="2"/>
  <c r="E32" i="2"/>
  <c r="F32" i="2"/>
  <c r="G32" i="2"/>
  <c r="J32" i="2"/>
  <c r="A33" i="2"/>
  <c r="D33" i="2"/>
  <c r="E33" i="2"/>
  <c r="F33" i="2"/>
  <c r="G33" i="2"/>
  <c r="J33" i="2"/>
  <c r="A34" i="2"/>
  <c r="E34" i="2"/>
  <c r="F34" i="2"/>
  <c r="G34" i="2"/>
  <c r="H34" i="2"/>
  <c r="I34" i="2"/>
  <c r="J34" i="2"/>
  <c r="A35" i="2"/>
  <c r="E35" i="2"/>
  <c r="F35" i="2"/>
  <c r="G35" i="2"/>
  <c r="J35" i="2"/>
  <c r="A36" i="2"/>
  <c r="B36" i="2"/>
  <c r="C36" i="2"/>
  <c r="D36" i="2"/>
  <c r="E36" i="2"/>
  <c r="F36" i="2"/>
  <c r="G36" i="2"/>
  <c r="H36" i="2"/>
  <c r="I36" i="2"/>
  <c r="J36" i="2"/>
  <c r="A37" i="2"/>
  <c r="E37" i="2"/>
  <c r="F37" i="2"/>
  <c r="G37" i="2"/>
  <c r="J37" i="2"/>
  <c r="A38" i="2"/>
  <c r="B38" i="2"/>
  <c r="C38" i="2"/>
  <c r="D38" i="2"/>
  <c r="E38" i="2"/>
  <c r="F38" i="2"/>
  <c r="G38" i="2"/>
  <c r="H38" i="2"/>
  <c r="J38" i="2"/>
  <c r="A39" i="2"/>
  <c r="E39" i="2"/>
  <c r="F39" i="2"/>
  <c r="G39" i="2"/>
  <c r="H39" i="2"/>
  <c r="J39" i="2"/>
  <c r="A40" i="2"/>
  <c r="B40" i="2"/>
  <c r="C40" i="2"/>
  <c r="E40" i="2"/>
  <c r="F40" i="2"/>
  <c r="G40" i="2"/>
  <c r="J40" i="2"/>
  <c r="A41" i="2"/>
  <c r="E41" i="2"/>
  <c r="F41" i="2"/>
  <c r="G41" i="2"/>
  <c r="H41" i="2"/>
  <c r="J41" i="2"/>
  <c r="A42" i="2"/>
  <c r="E42" i="2"/>
  <c r="F42" i="2"/>
  <c r="G42" i="2"/>
  <c r="H42" i="2"/>
  <c r="J42" i="2"/>
  <c r="A43" i="2"/>
  <c r="B43" i="2"/>
  <c r="C43" i="2"/>
  <c r="E43" i="2"/>
  <c r="F43" i="2"/>
  <c r="G43" i="2"/>
  <c r="H43" i="2"/>
  <c r="J43" i="2"/>
  <c r="A44" i="2"/>
  <c r="B44" i="2"/>
  <c r="E44" i="2"/>
  <c r="F44" i="2"/>
  <c r="G44" i="2"/>
  <c r="H44" i="2"/>
  <c r="I44" i="2"/>
  <c r="J44" i="2"/>
  <c r="A45" i="2"/>
  <c r="E45" i="2"/>
  <c r="F45" i="2"/>
  <c r="G45" i="2"/>
  <c r="H45" i="2"/>
  <c r="J45" i="2"/>
  <c r="A46" i="2"/>
  <c r="B46" i="2"/>
  <c r="E46" i="2"/>
  <c r="F46" i="2"/>
  <c r="G46" i="2"/>
  <c r="H46" i="2"/>
  <c r="J46" i="2"/>
  <c r="A47" i="2"/>
  <c r="E47" i="2"/>
  <c r="F47" i="2"/>
  <c r="G47" i="2"/>
  <c r="H47" i="2"/>
  <c r="J47" i="2"/>
  <c r="A48" i="2"/>
  <c r="B48" i="2"/>
  <c r="C48" i="2"/>
  <c r="D48" i="2"/>
  <c r="E48" i="2"/>
  <c r="F48" i="2"/>
  <c r="G48" i="2"/>
  <c r="H48" i="2"/>
  <c r="J48" i="2"/>
  <c r="A49" i="2"/>
  <c r="B49" i="2"/>
  <c r="C49" i="2"/>
  <c r="E49" i="2"/>
  <c r="F49" i="2"/>
  <c r="G49" i="2"/>
  <c r="H49" i="2"/>
  <c r="J49" i="2"/>
  <c r="A50" i="2"/>
  <c r="E50" i="2"/>
  <c r="F50" i="2"/>
  <c r="G50" i="2"/>
  <c r="H50" i="2"/>
  <c r="J50" i="2"/>
  <c r="A51" i="2"/>
  <c r="E51" i="2"/>
  <c r="F51" i="2"/>
  <c r="G51" i="2"/>
  <c r="J51" i="2"/>
  <c r="A52" i="2"/>
  <c r="B52" i="2"/>
  <c r="E52" i="2"/>
  <c r="F52" i="2"/>
  <c r="G52" i="2"/>
  <c r="J52" i="2"/>
  <c r="A53" i="2"/>
  <c r="E53" i="2"/>
  <c r="F53" i="2"/>
  <c r="G53" i="2"/>
  <c r="H53" i="2"/>
  <c r="J53" i="2"/>
  <c r="A54" i="2"/>
  <c r="E54" i="2"/>
  <c r="F54" i="2"/>
  <c r="G54" i="2"/>
  <c r="H54" i="2"/>
  <c r="J54" i="2"/>
  <c r="A55" i="2"/>
  <c r="E55" i="2"/>
  <c r="F55" i="2"/>
  <c r="G55" i="2"/>
  <c r="J55" i="2"/>
  <c r="A56" i="2"/>
  <c r="E56" i="2"/>
  <c r="F56" i="2"/>
  <c r="G56" i="2"/>
  <c r="J56" i="2"/>
  <c r="A57" i="2"/>
  <c r="B57" i="2"/>
  <c r="E57" i="2"/>
  <c r="F57" i="2"/>
  <c r="G57" i="2"/>
  <c r="H57" i="2"/>
  <c r="I57" i="2"/>
  <c r="J57" i="2"/>
  <c r="A58" i="2"/>
  <c r="B58" i="2"/>
  <c r="C58" i="2"/>
  <c r="E58" i="2"/>
  <c r="F58" i="2"/>
  <c r="G58" i="2"/>
  <c r="J58" i="2"/>
  <c r="A59" i="2"/>
  <c r="E59" i="2"/>
  <c r="F59" i="2"/>
  <c r="G59" i="2"/>
  <c r="H59" i="2"/>
  <c r="J59" i="2"/>
  <c r="A60" i="2"/>
  <c r="B60" i="2"/>
  <c r="C60" i="2"/>
  <c r="D60" i="2"/>
  <c r="E60" i="2"/>
  <c r="F60" i="2"/>
  <c r="G60" i="2"/>
  <c r="J60" i="2"/>
  <c r="A61" i="2"/>
  <c r="B61" i="2"/>
  <c r="C61" i="2"/>
  <c r="E61" i="2"/>
  <c r="F61" i="2"/>
  <c r="G61" i="2"/>
  <c r="H61" i="2"/>
  <c r="J61" i="2"/>
  <c r="A62" i="2"/>
  <c r="B62" i="2"/>
  <c r="C62" i="2"/>
  <c r="E62" i="2"/>
  <c r="F62" i="2"/>
  <c r="G62" i="2"/>
  <c r="H62" i="2"/>
  <c r="I62" i="2"/>
  <c r="J62" i="2"/>
  <c r="A63" i="2"/>
  <c r="E63" i="2"/>
  <c r="F63" i="2"/>
  <c r="G63" i="2"/>
  <c r="J63" i="2"/>
  <c r="A64" i="2"/>
  <c r="E64" i="2"/>
  <c r="F64" i="2"/>
  <c r="G64" i="2"/>
  <c r="J64" i="2"/>
  <c r="A65" i="2"/>
  <c r="E65" i="2"/>
  <c r="F65" i="2"/>
  <c r="G65" i="2"/>
  <c r="J65" i="2"/>
  <c r="A66" i="2"/>
  <c r="B66" i="2"/>
  <c r="C66" i="2"/>
  <c r="E66" i="2"/>
  <c r="F66" i="2"/>
  <c r="G66" i="2"/>
  <c r="H66" i="2"/>
  <c r="I66" i="2"/>
  <c r="J66" i="2"/>
  <c r="A67" i="2"/>
  <c r="E67" i="2"/>
  <c r="F67" i="2"/>
  <c r="G67" i="2"/>
  <c r="J67" i="2"/>
  <c r="A68" i="2"/>
  <c r="E68" i="2"/>
  <c r="F68" i="2"/>
  <c r="G68" i="2"/>
  <c r="J68" i="2"/>
  <c r="A69" i="2"/>
  <c r="E69" i="2"/>
  <c r="F69" i="2"/>
  <c r="G69" i="2"/>
  <c r="H69" i="2"/>
  <c r="J69" i="2"/>
  <c r="A70" i="2"/>
  <c r="E70" i="2"/>
  <c r="F70" i="2"/>
  <c r="G70" i="2"/>
  <c r="H70" i="2"/>
  <c r="J70" i="2"/>
  <c r="A71" i="2"/>
  <c r="E71" i="2"/>
  <c r="F71" i="2"/>
  <c r="G71" i="2"/>
  <c r="H71" i="2"/>
  <c r="J71" i="2"/>
  <c r="A72" i="2"/>
  <c r="B72" i="2"/>
  <c r="C72" i="2"/>
  <c r="E72" i="2"/>
  <c r="F72" i="2"/>
  <c r="G72" i="2"/>
  <c r="H72" i="2"/>
  <c r="J72" i="2"/>
  <c r="A73" i="2"/>
  <c r="E73" i="2"/>
  <c r="F73" i="2"/>
  <c r="G73" i="2"/>
  <c r="J73" i="2"/>
  <c r="A74" i="2"/>
  <c r="E74" i="2"/>
  <c r="F74" i="2"/>
  <c r="G74" i="2"/>
  <c r="H74" i="2"/>
  <c r="I74" i="2"/>
  <c r="J74" i="2"/>
  <c r="A75" i="2"/>
  <c r="E75" i="2"/>
  <c r="F75" i="2"/>
  <c r="G75" i="2"/>
  <c r="H75" i="2"/>
  <c r="J75" i="2"/>
  <c r="A76" i="2"/>
  <c r="B76" i="2"/>
  <c r="C76" i="2"/>
  <c r="E76" i="2"/>
  <c r="F76" i="2"/>
  <c r="G76" i="2"/>
  <c r="H76" i="2"/>
  <c r="J76" i="2"/>
  <c r="A77" i="2"/>
  <c r="E77" i="2"/>
  <c r="F77" i="2"/>
  <c r="G77" i="2"/>
  <c r="J77" i="2"/>
  <c r="A78" i="2"/>
  <c r="E78" i="2"/>
  <c r="F78" i="2"/>
  <c r="G78" i="2"/>
  <c r="H78" i="2"/>
  <c r="J78" i="2"/>
  <c r="A79" i="2"/>
  <c r="B79" i="2"/>
  <c r="C79" i="2"/>
  <c r="E79" i="2"/>
  <c r="F79" i="2"/>
  <c r="G79" i="2"/>
  <c r="J79" i="2"/>
  <c r="A80" i="2"/>
  <c r="B80" i="2"/>
  <c r="C80" i="2"/>
  <c r="E80" i="2"/>
  <c r="F80" i="2"/>
  <c r="G80" i="2"/>
  <c r="J80" i="2"/>
  <c r="A81" i="2"/>
  <c r="B81" i="2"/>
  <c r="C81" i="2"/>
  <c r="E81" i="2"/>
  <c r="F81" i="2"/>
  <c r="G81" i="2"/>
  <c r="J81" i="2"/>
  <c r="A82" i="2"/>
  <c r="E82" i="2"/>
  <c r="F82" i="2"/>
  <c r="G82" i="2"/>
  <c r="H82" i="2"/>
  <c r="J82" i="2"/>
  <c r="A83" i="2"/>
  <c r="E83" i="2"/>
  <c r="F83" i="2"/>
  <c r="G83" i="2"/>
  <c r="J83" i="2"/>
  <c r="A84" i="2"/>
  <c r="E84" i="2"/>
  <c r="F84" i="2"/>
  <c r="G84" i="2"/>
  <c r="J84" i="2"/>
  <c r="A85" i="2"/>
  <c r="E85" i="2"/>
  <c r="F85" i="2"/>
  <c r="G85" i="2"/>
  <c r="H85" i="2"/>
  <c r="J85" i="2"/>
  <c r="A86" i="2"/>
  <c r="B86" i="2"/>
  <c r="E86" i="2"/>
  <c r="F86" i="2"/>
  <c r="G86" i="2"/>
  <c r="J86" i="2"/>
  <c r="A87" i="2"/>
  <c r="E87" i="2"/>
  <c r="F87" i="2"/>
  <c r="G87" i="2"/>
  <c r="H87" i="2"/>
  <c r="I87" i="2"/>
  <c r="J87" i="2"/>
  <c r="A88" i="2"/>
  <c r="E88" i="2"/>
  <c r="F88" i="2"/>
  <c r="G88" i="2"/>
  <c r="H88" i="2"/>
  <c r="I88" i="2"/>
  <c r="J88" i="2"/>
  <c r="A89" i="2"/>
  <c r="B89" i="2"/>
  <c r="C89" i="2"/>
  <c r="E89" i="2"/>
  <c r="F89" i="2"/>
  <c r="G89" i="2"/>
  <c r="H89" i="2"/>
  <c r="J89" i="2"/>
  <c r="A90" i="2"/>
  <c r="B90" i="2"/>
  <c r="C90" i="2"/>
  <c r="E90" i="2"/>
  <c r="F90" i="2"/>
  <c r="G90" i="2"/>
  <c r="J90" i="2"/>
  <c r="A91" i="2"/>
  <c r="B91" i="2"/>
  <c r="C91" i="2"/>
  <c r="E91" i="2"/>
  <c r="F91" i="2"/>
  <c r="G91" i="2"/>
  <c r="J91" i="2"/>
  <c r="A92" i="2"/>
  <c r="E92" i="2"/>
  <c r="F92" i="2"/>
  <c r="G92" i="2"/>
  <c r="H92" i="2"/>
  <c r="J92" i="2"/>
  <c r="A93" i="2"/>
  <c r="E93" i="2"/>
  <c r="F93" i="2"/>
  <c r="G93" i="2"/>
  <c r="H93" i="2"/>
  <c r="J93" i="2"/>
  <c r="A94" i="2"/>
  <c r="B94" i="2"/>
  <c r="C94" i="2"/>
  <c r="E94" i="2"/>
  <c r="F94" i="2"/>
  <c r="G94" i="2"/>
  <c r="H94" i="2"/>
  <c r="J94" i="2"/>
  <c r="A95" i="2"/>
  <c r="E95" i="2"/>
  <c r="F95" i="2"/>
  <c r="G95" i="2"/>
  <c r="J95" i="2"/>
  <c r="A96" i="2"/>
  <c r="B96" i="2"/>
  <c r="C96" i="2"/>
  <c r="E96" i="2"/>
  <c r="F96" i="2"/>
  <c r="G96" i="2"/>
  <c r="J96" i="2"/>
  <c r="A97" i="2"/>
  <c r="E97" i="2"/>
  <c r="F97" i="2"/>
  <c r="G97" i="2"/>
  <c r="H97" i="2"/>
  <c r="J97" i="2"/>
  <c r="A98" i="2"/>
  <c r="B98" i="2"/>
  <c r="C98" i="2"/>
  <c r="E98" i="2"/>
  <c r="F98" i="2"/>
  <c r="G98" i="2"/>
  <c r="H98" i="2"/>
  <c r="J98" i="2"/>
  <c r="A99" i="2"/>
  <c r="B99" i="2"/>
  <c r="C99" i="2"/>
  <c r="E99" i="2"/>
  <c r="F99" i="2"/>
  <c r="G99" i="2"/>
  <c r="H99" i="2"/>
  <c r="J99" i="2"/>
  <c r="A100" i="2"/>
  <c r="E100" i="2"/>
  <c r="F100" i="2"/>
  <c r="G100" i="2"/>
  <c r="J100" i="2"/>
  <c r="A101" i="2"/>
  <c r="B101" i="2"/>
  <c r="C101" i="2"/>
  <c r="E101" i="2"/>
  <c r="F101" i="2"/>
  <c r="G101" i="2"/>
  <c r="H101" i="2"/>
  <c r="J101" i="2"/>
  <c r="A102" i="2"/>
  <c r="B102" i="2"/>
  <c r="C102" i="2"/>
  <c r="E102" i="2"/>
  <c r="F102" i="2"/>
  <c r="G102" i="2"/>
  <c r="H102" i="2"/>
  <c r="J102" i="2"/>
  <c r="A103" i="2"/>
  <c r="B103" i="2"/>
  <c r="C103" i="2"/>
  <c r="E103" i="2"/>
  <c r="F103" i="2"/>
  <c r="G103" i="2"/>
  <c r="J103" i="2"/>
  <c r="A104" i="2"/>
  <c r="E104" i="2"/>
  <c r="F104" i="2"/>
  <c r="G104" i="2"/>
  <c r="H104" i="2"/>
  <c r="J104" i="2"/>
  <c r="A105" i="2"/>
  <c r="E105" i="2"/>
  <c r="F105" i="2"/>
  <c r="G105" i="2"/>
  <c r="H105" i="2"/>
  <c r="J105" i="2"/>
  <c r="A106" i="2"/>
  <c r="E106" i="2"/>
  <c r="F106" i="2"/>
  <c r="G106" i="2"/>
  <c r="H106" i="2"/>
  <c r="J106" i="2"/>
  <c r="A107" i="2"/>
  <c r="E107" i="2"/>
  <c r="F107" i="2"/>
  <c r="G107" i="2"/>
  <c r="H107" i="2"/>
  <c r="J107" i="2"/>
  <c r="A108" i="2"/>
  <c r="B108" i="2"/>
  <c r="C108" i="2"/>
  <c r="E108" i="2"/>
  <c r="F108" i="2"/>
  <c r="G108" i="2"/>
  <c r="H108" i="2"/>
  <c r="J108" i="2"/>
  <c r="A109" i="2"/>
  <c r="E109" i="2"/>
  <c r="F109" i="2"/>
  <c r="G109" i="2"/>
  <c r="H109" i="2"/>
  <c r="I109" i="2"/>
  <c r="J109" i="2"/>
  <c r="A110" i="2"/>
  <c r="B110" i="2"/>
  <c r="C110" i="2"/>
  <c r="E110" i="2"/>
  <c r="F110" i="2"/>
  <c r="G110" i="2"/>
  <c r="H110" i="2"/>
  <c r="J110" i="2"/>
  <c r="A111" i="2"/>
  <c r="B111" i="2"/>
  <c r="C111" i="2"/>
  <c r="E111" i="2"/>
  <c r="F111" i="2"/>
  <c r="G111" i="2"/>
  <c r="J111" i="2"/>
  <c r="A112" i="2"/>
  <c r="E112" i="2"/>
  <c r="F112" i="2"/>
  <c r="G112" i="2"/>
  <c r="J112" i="2"/>
  <c r="A113" i="2"/>
  <c r="B113" i="2"/>
  <c r="C113" i="2"/>
  <c r="D113" i="2"/>
  <c r="E113" i="2"/>
  <c r="F113" i="2"/>
  <c r="G113" i="2"/>
  <c r="H113" i="2"/>
  <c r="J113" i="2"/>
  <c r="A114" i="2"/>
  <c r="E114" i="2"/>
  <c r="F114" i="2"/>
  <c r="G114" i="2"/>
  <c r="J114" i="2"/>
  <c r="A115" i="2"/>
  <c r="B115" i="2"/>
  <c r="E115" i="2"/>
  <c r="F115" i="2"/>
  <c r="G115" i="2"/>
  <c r="H115" i="2"/>
  <c r="J115" i="2"/>
  <c r="A116" i="2"/>
  <c r="E116" i="2"/>
  <c r="F116" i="2"/>
  <c r="G116" i="2"/>
  <c r="H116" i="2"/>
  <c r="J116" i="2"/>
  <c r="A117" i="2"/>
  <c r="B117" i="2"/>
  <c r="C117" i="2"/>
  <c r="E117" i="2"/>
  <c r="F117" i="2"/>
  <c r="G117" i="2"/>
  <c r="H117" i="2"/>
  <c r="J117" i="2"/>
  <c r="A118" i="2"/>
  <c r="E118" i="2"/>
  <c r="F118" i="2"/>
  <c r="G118" i="2"/>
  <c r="H118" i="2"/>
  <c r="J118" i="2"/>
  <c r="A119" i="2"/>
  <c r="B119" i="2"/>
  <c r="C119" i="2"/>
  <c r="E119" i="2"/>
  <c r="F119" i="2"/>
  <c r="G119" i="2"/>
  <c r="H119" i="2"/>
  <c r="J119" i="2"/>
  <c r="A120" i="2"/>
  <c r="B120" i="2"/>
  <c r="C120" i="2"/>
  <c r="E120" i="2"/>
  <c r="F120" i="2"/>
  <c r="G120" i="2"/>
  <c r="H120" i="2"/>
  <c r="J120" i="2"/>
  <c r="A121" i="2"/>
  <c r="E121" i="2"/>
  <c r="F121" i="2"/>
  <c r="G121" i="2"/>
  <c r="H121" i="2"/>
  <c r="J121" i="2"/>
  <c r="A122" i="2"/>
  <c r="E122" i="2"/>
  <c r="F122" i="2"/>
  <c r="G122" i="2"/>
  <c r="J122" i="2"/>
  <c r="A123" i="2"/>
  <c r="B123" i="2"/>
  <c r="E123" i="2"/>
  <c r="F123" i="2"/>
  <c r="G123" i="2"/>
  <c r="H123" i="2"/>
  <c r="J123" i="2"/>
  <c r="A124" i="2"/>
  <c r="B124" i="2"/>
  <c r="C124" i="2"/>
  <c r="E124" i="2"/>
  <c r="F124" i="2"/>
  <c r="G124" i="2"/>
  <c r="H124" i="2"/>
  <c r="J124" i="2"/>
  <c r="A125" i="2"/>
  <c r="B125" i="2"/>
  <c r="C125" i="2"/>
  <c r="E125" i="2"/>
  <c r="F125" i="2"/>
  <c r="G125" i="2"/>
  <c r="H125" i="2"/>
  <c r="J125" i="2"/>
  <c r="A126" i="2"/>
  <c r="B126" i="2"/>
  <c r="C126" i="2"/>
  <c r="E126" i="2"/>
  <c r="F126" i="2"/>
  <c r="G126" i="2"/>
  <c r="H126" i="2"/>
  <c r="J126" i="2"/>
  <c r="A127" i="2"/>
  <c r="E127" i="2"/>
  <c r="F127" i="2"/>
  <c r="G127" i="2"/>
  <c r="J127" i="2"/>
  <c r="A128" i="2"/>
  <c r="E128" i="2"/>
  <c r="F128" i="2"/>
  <c r="G128" i="2"/>
  <c r="J128" i="2"/>
  <c r="A129" i="2"/>
  <c r="B129" i="2"/>
  <c r="C129" i="2"/>
  <c r="E129" i="2"/>
  <c r="F129" i="2"/>
  <c r="G129" i="2"/>
  <c r="H129" i="2"/>
  <c r="J129" i="2"/>
  <c r="A130" i="2"/>
  <c r="B130" i="2"/>
  <c r="C130" i="2"/>
  <c r="E130" i="2"/>
  <c r="F130" i="2"/>
  <c r="G130" i="2"/>
  <c r="H130" i="2"/>
  <c r="I130" i="2"/>
  <c r="J130" i="2"/>
  <c r="A131" i="2"/>
  <c r="B131" i="2"/>
  <c r="C131" i="2"/>
  <c r="E131" i="2"/>
  <c r="F131" i="2"/>
  <c r="G131" i="2"/>
  <c r="H131" i="2"/>
  <c r="J131" i="2"/>
  <c r="A132" i="2"/>
  <c r="B132" i="2"/>
  <c r="C132" i="2"/>
  <c r="E132" i="2"/>
  <c r="F132" i="2"/>
  <c r="G132" i="2"/>
  <c r="J132" i="2"/>
  <c r="A133" i="2"/>
  <c r="B133" i="2"/>
  <c r="C133" i="2"/>
  <c r="E133" i="2"/>
  <c r="F133" i="2"/>
  <c r="G133" i="2"/>
  <c r="H133" i="2"/>
  <c r="J133" i="2"/>
  <c r="A134" i="2"/>
  <c r="B134" i="2"/>
  <c r="C134" i="2"/>
  <c r="E134" i="2"/>
  <c r="F134" i="2"/>
  <c r="G134" i="2"/>
  <c r="J134" i="2"/>
  <c r="A135" i="2"/>
  <c r="E135" i="2"/>
  <c r="F135" i="2"/>
  <c r="G135" i="2"/>
  <c r="H135" i="2"/>
  <c r="J135" i="2"/>
  <c r="A136" i="2"/>
  <c r="B136" i="2"/>
  <c r="C136" i="2"/>
  <c r="E136" i="2"/>
  <c r="F136" i="2"/>
  <c r="G136" i="2"/>
  <c r="H136" i="2"/>
  <c r="J136" i="2"/>
  <c r="A137" i="2"/>
  <c r="E137" i="2"/>
  <c r="F137" i="2"/>
  <c r="G137" i="2"/>
  <c r="J137" i="2"/>
  <c r="A138" i="2"/>
  <c r="B138" i="2"/>
  <c r="C138" i="2"/>
  <c r="E138" i="2"/>
  <c r="F138" i="2"/>
  <c r="G138" i="2"/>
  <c r="H138" i="2"/>
  <c r="J138" i="2"/>
  <c r="A139" i="2"/>
  <c r="B139" i="2"/>
  <c r="C139" i="2"/>
  <c r="E139" i="2"/>
  <c r="F139" i="2"/>
  <c r="G139" i="2"/>
  <c r="H139" i="2"/>
  <c r="J139" i="2"/>
  <c r="A140" i="2"/>
  <c r="B140" i="2"/>
  <c r="C140" i="2"/>
  <c r="E140" i="2"/>
  <c r="F140" i="2"/>
  <c r="G140" i="2"/>
  <c r="H140" i="2"/>
  <c r="J140" i="2"/>
  <c r="A141" i="2"/>
  <c r="E141" i="2"/>
  <c r="F141" i="2"/>
  <c r="G141" i="2"/>
  <c r="H141" i="2"/>
  <c r="J141" i="2"/>
  <c r="A142" i="2"/>
  <c r="B142" i="2"/>
  <c r="C142" i="2"/>
  <c r="E142" i="2"/>
  <c r="F142" i="2"/>
  <c r="G142" i="2"/>
  <c r="J142" i="2"/>
  <c r="A143" i="2"/>
  <c r="E143" i="2"/>
  <c r="F143" i="2"/>
  <c r="G143" i="2"/>
  <c r="J143" i="2"/>
  <c r="A144" i="2"/>
  <c r="B144" i="2"/>
  <c r="C144" i="2"/>
  <c r="E144" i="2"/>
  <c r="F144" i="2"/>
  <c r="G144" i="2"/>
  <c r="H144" i="2"/>
  <c r="J144" i="2"/>
  <c r="A145" i="2"/>
  <c r="E145" i="2"/>
  <c r="F145" i="2"/>
  <c r="G145" i="2"/>
  <c r="J145" i="2"/>
  <c r="A146" i="2"/>
  <c r="B146" i="2"/>
  <c r="C146" i="2"/>
  <c r="E146" i="2"/>
  <c r="F146" i="2"/>
  <c r="G146" i="2"/>
  <c r="H146" i="2"/>
  <c r="J146" i="2"/>
  <c r="A147" i="2"/>
  <c r="B147" i="2"/>
  <c r="C147" i="2"/>
  <c r="E147" i="2"/>
  <c r="F147" i="2"/>
  <c r="G147" i="2"/>
  <c r="J147" i="2"/>
  <c r="A148" i="2"/>
  <c r="B148" i="2"/>
  <c r="C148" i="2"/>
  <c r="E148" i="2"/>
  <c r="F148" i="2"/>
  <c r="G148" i="2"/>
  <c r="H148" i="2"/>
  <c r="J148" i="2"/>
  <c r="A149" i="2"/>
  <c r="B149" i="2"/>
  <c r="C149" i="2"/>
  <c r="E149" i="2"/>
  <c r="F149" i="2"/>
  <c r="G149" i="2"/>
  <c r="J149" i="2"/>
  <c r="A150" i="2"/>
  <c r="B150" i="2"/>
  <c r="C150" i="2"/>
  <c r="E150" i="2"/>
  <c r="F150" i="2"/>
  <c r="G150" i="2"/>
  <c r="H150" i="2"/>
  <c r="J150" i="2"/>
  <c r="A151" i="2"/>
  <c r="B151" i="2"/>
  <c r="C151" i="2"/>
  <c r="E151" i="2"/>
  <c r="F151" i="2"/>
  <c r="G151" i="2"/>
  <c r="H151" i="2"/>
  <c r="J151" i="2"/>
  <c r="A152" i="2"/>
  <c r="B152" i="2"/>
  <c r="C152" i="2"/>
  <c r="E152" i="2"/>
  <c r="F152" i="2"/>
  <c r="G152" i="2"/>
  <c r="H152" i="2"/>
  <c r="J152" i="2"/>
  <c r="A153" i="2"/>
  <c r="B153" i="2"/>
  <c r="C153" i="2"/>
  <c r="E153" i="2"/>
  <c r="F153" i="2"/>
  <c r="G153" i="2"/>
  <c r="H153" i="2"/>
  <c r="J153" i="2"/>
  <c r="A154" i="2"/>
  <c r="B154" i="2"/>
  <c r="E154" i="2"/>
  <c r="F154" i="2"/>
  <c r="G154" i="2"/>
  <c r="H154" i="2"/>
  <c r="J154" i="2"/>
  <c r="A155" i="2"/>
  <c r="E155" i="2"/>
  <c r="F155" i="2"/>
  <c r="G155" i="2"/>
  <c r="H155" i="2"/>
  <c r="J155" i="2"/>
  <c r="A156" i="2"/>
  <c r="B156" i="2"/>
  <c r="C156" i="2"/>
  <c r="E156" i="2"/>
  <c r="F156" i="2"/>
  <c r="G156" i="2"/>
  <c r="J156" i="2"/>
  <c r="A157" i="2"/>
  <c r="B157" i="2"/>
  <c r="C157" i="2"/>
  <c r="E157" i="2"/>
  <c r="F157" i="2"/>
  <c r="G157" i="2"/>
  <c r="H157" i="2"/>
  <c r="J157" i="2"/>
  <c r="A158" i="2"/>
  <c r="E158" i="2"/>
  <c r="F158" i="2"/>
  <c r="G158" i="2"/>
  <c r="J158" i="2"/>
  <c r="A159" i="2"/>
  <c r="E159" i="2"/>
  <c r="F159" i="2"/>
  <c r="G159" i="2"/>
  <c r="J159" i="2"/>
  <c r="A160" i="2"/>
  <c r="E160" i="2"/>
  <c r="F160" i="2"/>
  <c r="G160" i="2"/>
  <c r="H160" i="2"/>
  <c r="J160" i="2"/>
  <c r="A161" i="2"/>
  <c r="E161" i="2"/>
  <c r="F161" i="2"/>
  <c r="G161" i="2"/>
  <c r="J161" i="2"/>
  <c r="A162" i="2"/>
  <c r="B162" i="2"/>
  <c r="C162" i="2"/>
  <c r="E162" i="2"/>
  <c r="F162" i="2"/>
  <c r="G162" i="2"/>
  <c r="H162" i="2"/>
  <c r="J162" i="2"/>
  <c r="A163" i="2"/>
  <c r="E163" i="2"/>
  <c r="F163" i="2"/>
  <c r="G163" i="2"/>
  <c r="H163" i="2"/>
  <c r="J163" i="2"/>
  <c r="A164" i="2"/>
  <c r="B164" i="2"/>
  <c r="C164" i="2"/>
  <c r="E164" i="2"/>
  <c r="F164" i="2"/>
  <c r="G164" i="2"/>
  <c r="J164" i="2"/>
  <c r="A165" i="2"/>
  <c r="E165" i="2"/>
  <c r="F165" i="2"/>
  <c r="G165" i="2"/>
  <c r="J165" i="2"/>
  <c r="A166" i="2"/>
  <c r="B166" i="2"/>
  <c r="C166" i="2"/>
  <c r="E166" i="2"/>
  <c r="F166" i="2"/>
  <c r="G166" i="2"/>
  <c r="H166" i="2"/>
  <c r="J166" i="2"/>
  <c r="A167" i="2"/>
  <c r="B167" i="2"/>
  <c r="C167" i="2"/>
  <c r="E167" i="2"/>
  <c r="F167" i="2"/>
  <c r="G167" i="2"/>
  <c r="H167" i="2"/>
  <c r="J167" i="2"/>
  <c r="A168" i="2"/>
  <c r="B168" i="2"/>
  <c r="C168" i="2"/>
  <c r="E168" i="2"/>
  <c r="F168" i="2"/>
  <c r="G168" i="2"/>
  <c r="H168" i="2"/>
  <c r="J168" i="2"/>
  <c r="A169" i="2"/>
  <c r="E169" i="2"/>
  <c r="F169" i="2"/>
  <c r="G169" i="2"/>
  <c r="H169" i="2"/>
  <c r="J169" i="2"/>
  <c r="A170" i="2"/>
  <c r="B170" i="2"/>
  <c r="C170" i="2"/>
  <c r="E170" i="2"/>
  <c r="F170" i="2"/>
  <c r="G170" i="2"/>
  <c r="H170" i="2"/>
  <c r="J170" i="2"/>
  <c r="A171" i="2"/>
  <c r="B171" i="2"/>
  <c r="C171" i="2"/>
  <c r="E171" i="2"/>
  <c r="F171" i="2"/>
  <c r="G171" i="2"/>
  <c r="J171" i="2"/>
  <c r="A172" i="2"/>
  <c r="B172" i="2"/>
  <c r="C172" i="2"/>
  <c r="E172" i="2"/>
  <c r="F172" i="2"/>
  <c r="G172" i="2"/>
  <c r="H172" i="2"/>
  <c r="J172" i="2"/>
  <c r="A173" i="2"/>
  <c r="E173" i="2"/>
  <c r="F173" i="2"/>
  <c r="G173" i="2"/>
  <c r="H173" i="2"/>
  <c r="J173" i="2"/>
  <c r="A174" i="2"/>
  <c r="E174" i="2"/>
  <c r="F174" i="2"/>
  <c r="G174" i="2"/>
  <c r="J174" i="2"/>
  <c r="A175" i="2"/>
  <c r="E175" i="2"/>
  <c r="F175" i="2"/>
  <c r="G175" i="2"/>
  <c r="J175" i="2"/>
  <c r="A176" i="2"/>
  <c r="B176" i="2"/>
  <c r="C176" i="2"/>
  <c r="E176" i="2"/>
  <c r="F176" i="2"/>
  <c r="G176" i="2"/>
  <c r="H176" i="2"/>
  <c r="J176" i="2"/>
  <c r="A177" i="2"/>
  <c r="B177" i="2"/>
  <c r="C177" i="2"/>
  <c r="E177" i="2"/>
  <c r="F177" i="2"/>
  <c r="G177" i="2"/>
  <c r="J177" i="2"/>
  <c r="A178" i="2"/>
  <c r="E178" i="2"/>
  <c r="F178" i="2"/>
  <c r="G178" i="2"/>
  <c r="J178" i="2"/>
  <c r="A179" i="2"/>
  <c r="B179" i="2"/>
  <c r="C179" i="2"/>
  <c r="E179" i="2"/>
  <c r="F179" i="2"/>
  <c r="G179" i="2"/>
  <c r="H179" i="2"/>
  <c r="J179" i="2"/>
  <c r="A180" i="2"/>
  <c r="E180" i="2"/>
  <c r="F180" i="2"/>
  <c r="G180" i="2"/>
  <c r="H180" i="2"/>
  <c r="J180" i="2"/>
  <c r="A181" i="2"/>
  <c r="B181" i="2"/>
  <c r="C181" i="2"/>
  <c r="E181" i="2"/>
  <c r="F181" i="2"/>
  <c r="G181" i="2"/>
  <c r="H181" i="2"/>
  <c r="J181" i="2"/>
  <c r="A182" i="2"/>
  <c r="E182" i="2"/>
  <c r="F182" i="2"/>
  <c r="G182" i="2"/>
  <c r="H182" i="2"/>
  <c r="J182" i="2"/>
  <c r="A183" i="2"/>
  <c r="B183" i="2"/>
  <c r="E183" i="2"/>
  <c r="F183" i="2"/>
  <c r="G183" i="2"/>
  <c r="H183" i="2"/>
  <c r="J183" i="2"/>
  <c r="A184" i="2"/>
  <c r="B184" i="2"/>
  <c r="C184" i="2"/>
  <c r="E184" i="2"/>
  <c r="F184" i="2"/>
  <c r="G184" i="2"/>
  <c r="H184" i="2"/>
  <c r="J184" i="2"/>
  <c r="A185" i="2"/>
  <c r="E185" i="2"/>
  <c r="F185" i="2"/>
  <c r="G185" i="2"/>
  <c r="H185" i="2"/>
  <c r="J185" i="2"/>
  <c r="A186" i="2"/>
  <c r="E186" i="2"/>
  <c r="F186" i="2"/>
  <c r="G186" i="2"/>
  <c r="H186" i="2"/>
  <c r="J186" i="2"/>
  <c r="A187" i="2"/>
  <c r="E187" i="2"/>
  <c r="F187" i="2"/>
  <c r="G187" i="2"/>
  <c r="J187" i="2"/>
  <c r="A188" i="2"/>
  <c r="E188" i="2"/>
  <c r="F188" i="2"/>
  <c r="G188" i="2"/>
  <c r="H188" i="2"/>
  <c r="J188" i="2"/>
  <c r="A189" i="2"/>
  <c r="E189" i="2"/>
  <c r="F189" i="2"/>
  <c r="G189" i="2"/>
  <c r="H189" i="2"/>
  <c r="J189" i="2"/>
  <c r="A190" i="2"/>
  <c r="E190" i="2"/>
  <c r="F190" i="2"/>
  <c r="G190" i="2"/>
  <c r="H190" i="2"/>
  <c r="J190" i="2"/>
  <c r="A191" i="2"/>
  <c r="E191" i="2"/>
  <c r="F191" i="2"/>
  <c r="G191" i="2"/>
  <c r="J191" i="2"/>
  <c r="A192" i="2"/>
  <c r="B192" i="2"/>
  <c r="C192" i="2"/>
  <c r="E192" i="2"/>
  <c r="F192" i="2"/>
  <c r="G192" i="2"/>
  <c r="H192" i="2"/>
  <c r="J192" i="2"/>
  <c r="A193" i="2"/>
  <c r="B193" i="2"/>
  <c r="C193" i="2"/>
  <c r="E193" i="2"/>
  <c r="F193" i="2"/>
  <c r="G193" i="2"/>
  <c r="H193" i="2"/>
  <c r="J193" i="2"/>
  <c r="A194" i="2"/>
  <c r="D194" i="2"/>
  <c r="E194" i="2"/>
  <c r="F194" i="2"/>
  <c r="G194" i="2"/>
  <c r="H194" i="2"/>
  <c r="J194" i="2"/>
  <c r="A195" i="2"/>
  <c r="B195" i="2"/>
  <c r="E195" i="2"/>
  <c r="F195" i="2"/>
  <c r="G195" i="2"/>
  <c r="H195" i="2"/>
  <c r="J195" i="2"/>
  <c r="A196" i="2"/>
  <c r="B196" i="2"/>
  <c r="E196" i="2"/>
  <c r="F196" i="2"/>
  <c r="G196" i="2"/>
  <c r="H196" i="2"/>
  <c r="J196" i="2"/>
  <c r="A197" i="2"/>
  <c r="E197" i="2"/>
  <c r="F197" i="2"/>
  <c r="G197" i="2"/>
  <c r="H197" i="2"/>
  <c r="J197" i="2"/>
  <c r="A198" i="2"/>
  <c r="E198" i="2"/>
  <c r="F198" i="2"/>
  <c r="G198" i="2"/>
  <c r="H198" i="2"/>
  <c r="J198" i="2"/>
  <c r="A199" i="2"/>
  <c r="E199" i="2"/>
  <c r="F199" i="2"/>
  <c r="G199" i="2"/>
  <c r="H199" i="2"/>
  <c r="J199" i="2"/>
  <c r="A200" i="2"/>
  <c r="E200" i="2"/>
  <c r="F200" i="2"/>
  <c r="G200" i="2"/>
  <c r="J200" i="2"/>
  <c r="A201" i="2"/>
  <c r="E201" i="2"/>
  <c r="F201" i="2"/>
  <c r="G201" i="2"/>
  <c r="J201" i="2"/>
  <c r="A202" i="2"/>
  <c r="B202" i="2"/>
  <c r="C202" i="2"/>
  <c r="E202" i="2"/>
  <c r="F202" i="2"/>
  <c r="G202" i="2"/>
  <c r="H202" i="2"/>
  <c r="J202" i="2"/>
  <c r="A203" i="2"/>
  <c r="B203" i="2"/>
  <c r="C203" i="2"/>
  <c r="E203" i="2"/>
  <c r="F203" i="2"/>
  <c r="G203" i="2"/>
  <c r="H203" i="2"/>
  <c r="J203" i="2"/>
  <c r="A204" i="2"/>
  <c r="E204" i="2"/>
  <c r="F204" i="2"/>
  <c r="G204" i="2"/>
  <c r="J204" i="2"/>
  <c r="A205" i="2"/>
  <c r="B205" i="2"/>
  <c r="C205" i="2"/>
  <c r="E205" i="2"/>
  <c r="F205" i="2"/>
  <c r="G205" i="2"/>
  <c r="J205" i="2"/>
  <c r="A206" i="2"/>
  <c r="E206" i="2"/>
  <c r="F206" i="2"/>
  <c r="G206" i="2"/>
  <c r="J206" i="2"/>
  <c r="A207" i="2"/>
  <c r="B207" i="2"/>
  <c r="C207" i="2"/>
  <c r="E207" i="2"/>
  <c r="F207" i="2"/>
  <c r="G207" i="2"/>
  <c r="J207" i="2"/>
  <c r="A208" i="2"/>
  <c r="B208" i="2"/>
  <c r="C208" i="2"/>
  <c r="E208" i="2"/>
  <c r="F208" i="2"/>
  <c r="G208" i="2"/>
  <c r="H208" i="2"/>
  <c r="J208" i="2"/>
  <c r="A209" i="2"/>
  <c r="B209" i="2"/>
  <c r="C209" i="2"/>
  <c r="E209" i="2"/>
  <c r="F209" i="2"/>
  <c r="G209" i="2"/>
  <c r="H209" i="2"/>
  <c r="J209" i="2"/>
  <c r="A210" i="2"/>
  <c r="E210" i="2"/>
  <c r="F210" i="2"/>
  <c r="G210" i="2"/>
  <c r="J210" i="2"/>
  <c r="A211" i="2"/>
  <c r="E211" i="2"/>
  <c r="F211" i="2"/>
  <c r="G211" i="2"/>
  <c r="H211" i="2"/>
  <c r="J211" i="2"/>
  <c r="A212" i="2"/>
  <c r="E212" i="2"/>
  <c r="F212" i="2"/>
  <c r="G212" i="2"/>
  <c r="J212" i="2"/>
  <c r="A213" i="2"/>
  <c r="E213" i="2"/>
  <c r="F213" i="2"/>
  <c r="G213" i="2"/>
  <c r="J213" i="2"/>
  <c r="A214" i="2"/>
  <c r="E214" i="2"/>
  <c r="F214" i="2"/>
  <c r="G214" i="2"/>
  <c r="J214" i="2"/>
  <c r="A215" i="2"/>
  <c r="E215" i="2"/>
  <c r="F215" i="2"/>
  <c r="G215" i="2"/>
  <c r="H215" i="2"/>
  <c r="J215" i="2"/>
  <c r="A216" i="2"/>
  <c r="E216" i="2"/>
  <c r="F216" i="2"/>
  <c r="G216" i="2"/>
  <c r="J216" i="2"/>
  <c r="A217" i="2"/>
  <c r="B217" i="2"/>
  <c r="C217" i="2"/>
  <c r="E217" i="2"/>
  <c r="F217" i="2"/>
  <c r="G217" i="2"/>
  <c r="J217" i="2"/>
  <c r="A218" i="2"/>
  <c r="E218" i="2"/>
  <c r="F218" i="2"/>
  <c r="G218" i="2"/>
  <c r="H218" i="2"/>
  <c r="J218" i="2"/>
  <c r="A219" i="2"/>
  <c r="E219" i="2"/>
  <c r="F219" i="2"/>
  <c r="G219" i="2"/>
  <c r="H219" i="2"/>
  <c r="J219" i="2"/>
  <c r="A220" i="2"/>
  <c r="B220" i="2"/>
  <c r="C220" i="2"/>
  <c r="E220" i="2"/>
  <c r="F220" i="2"/>
  <c r="G220" i="2"/>
  <c r="H220" i="2"/>
  <c r="J220" i="2"/>
  <c r="A221" i="2"/>
  <c r="B221" i="2"/>
  <c r="C221" i="2"/>
  <c r="E221" i="2"/>
  <c r="F221" i="2"/>
  <c r="G221" i="2"/>
  <c r="H221" i="2"/>
  <c r="J221" i="2"/>
  <c r="A222" i="2"/>
  <c r="E222" i="2"/>
  <c r="F222" i="2"/>
  <c r="G222" i="2"/>
  <c r="J222" i="2"/>
  <c r="A223" i="2"/>
  <c r="E223" i="2"/>
  <c r="F223" i="2"/>
  <c r="G223" i="2"/>
  <c r="J223" i="2"/>
  <c r="A224" i="2"/>
  <c r="E224" i="2"/>
  <c r="F224" i="2"/>
  <c r="G224" i="2"/>
  <c r="H224" i="2"/>
  <c r="J224" i="2"/>
  <c r="A225" i="2"/>
  <c r="B225" i="2"/>
  <c r="C225" i="2"/>
  <c r="E225" i="2"/>
  <c r="F225" i="2"/>
  <c r="G225" i="2"/>
  <c r="H225" i="2"/>
  <c r="J225" i="2"/>
  <c r="A226" i="2"/>
  <c r="E226" i="2"/>
  <c r="F226" i="2"/>
  <c r="G226" i="2"/>
  <c r="H226" i="2"/>
  <c r="J226" i="2"/>
  <c r="A227" i="2"/>
  <c r="E227" i="2"/>
  <c r="F227" i="2"/>
  <c r="G227" i="2"/>
  <c r="J227" i="2"/>
  <c r="A228" i="2"/>
  <c r="B228" i="2"/>
  <c r="C228" i="2"/>
  <c r="E228" i="2"/>
  <c r="F228" i="2"/>
  <c r="G228" i="2"/>
  <c r="H228" i="2"/>
  <c r="J228" i="2"/>
  <c r="A229" i="2"/>
  <c r="E229" i="2"/>
  <c r="F229" i="2"/>
  <c r="G229" i="2"/>
  <c r="H229" i="2"/>
  <c r="J229" i="2"/>
  <c r="A230" i="2"/>
  <c r="B230" i="2"/>
  <c r="C230" i="2"/>
  <c r="E230" i="2"/>
  <c r="F230" i="2"/>
  <c r="G230" i="2"/>
  <c r="H230" i="2"/>
  <c r="J230" i="2"/>
  <c r="A231" i="2"/>
  <c r="E231" i="2"/>
  <c r="F231" i="2"/>
  <c r="G231" i="2"/>
  <c r="H231" i="2"/>
  <c r="J231" i="2"/>
  <c r="A232" i="2"/>
  <c r="B232" i="2"/>
  <c r="C232" i="2"/>
  <c r="E232" i="2"/>
  <c r="F232" i="2"/>
  <c r="G232" i="2"/>
  <c r="J232" i="2"/>
  <c r="A233" i="2"/>
  <c r="E233" i="2"/>
  <c r="F233" i="2"/>
  <c r="G233" i="2"/>
  <c r="H233" i="2"/>
  <c r="J233" i="2"/>
  <c r="A234" i="2"/>
  <c r="E234" i="2"/>
  <c r="F234" i="2"/>
  <c r="G234" i="2"/>
  <c r="J234" i="2"/>
  <c r="A235" i="2"/>
  <c r="B235" i="2"/>
  <c r="C235" i="2"/>
  <c r="E235" i="2"/>
  <c r="F235" i="2"/>
  <c r="G235" i="2"/>
  <c r="J235" i="2"/>
  <c r="A236" i="2"/>
  <c r="E236" i="2"/>
  <c r="F236" i="2"/>
  <c r="G236" i="2"/>
  <c r="H236" i="2"/>
  <c r="J236" i="2"/>
  <c r="A237" i="2"/>
  <c r="E237" i="2"/>
  <c r="F237" i="2"/>
  <c r="G237" i="2"/>
  <c r="J237" i="2"/>
  <c r="A238" i="2"/>
  <c r="E238" i="2"/>
  <c r="F238" i="2"/>
  <c r="G238" i="2"/>
  <c r="H238" i="2"/>
  <c r="J238" i="2"/>
  <c r="A239" i="2"/>
  <c r="E239" i="2"/>
  <c r="F239" i="2"/>
  <c r="G239" i="2"/>
  <c r="J239" i="2"/>
  <c r="A240" i="2"/>
  <c r="B240" i="2"/>
  <c r="C240" i="2"/>
  <c r="E240" i="2"/>
  <c r="F240" i="2"/>
  <c r="G240" i="2"/>
  <c r="H240" i="2"/>
  <c r="J240" i="2"/>
  <c r="A241" i="2"/>
  <c r="B241" i="2"/>
  <c r="C241" i="2"/>
  <c r="E241" i="2"/>
  <c r="F241" i="2"/>
  <c r="G241" i="2"/>
  <c r="H241" i="2"/>
  <c r="J241" i="2"/>
  <c r="A242" i="2"/>
  <c r="B242" i="2"/>
  <c r="C242" i="2"/>
  <c r="E242" i="2"/>
  <c r="F242" i="2"/>
  <c r="G242" i="2"/>
  <c r="H242" i="2"/>
  <c r="J242" i="2"/>
  <c r="A243" i="2"/>
  <c r="E243" i="2"/>
  <c r="F243" i="2"/>
  <c r="G243" i="2"/>
  <c r="H243" i="2"/>
  <c r="J243" i="2"/>
  <c r="A244" i="2"/>
  <c r="B244" i="2"/>
  <c r="C244" i="2"/>
  <c r="E244" i="2"/>
  <c r="F244" i="2"/>
  <c r="G244" i="2"/>
  <c r="H244" i="2"/>
  <c r="J244" i="2"/>
  <c r="A245" i="2"/>
  <c r="E245" i="2"/>
  <c r="F245" i="2"/>
  <c r="G245" i="2"/>
  <c r="J245" i="2"/>
  <c r="A246" i="2"/>
  <c r="B246" i="2"/>
  <c r="C246" i="2"/>
  <c r="E246" i="2"/>
  <c r="F246" i="2"/>
  <c r="G246" i="2"/>
  <c r="J246" i="2"/>
  <c r="A247" i="2"/>
  <c r="E247" i="2"/>
  <c r="F247" i="2"/>
  <c r="G247" i="2"/>
  <c r="H247" i="2"/>
  <c r="J247" i="2"/>
  <c r="A248" i="2"/>
  <c r="E248" i="2"/>
  <c r="F248" i="2"/>
  <c r="G248" i="2"/>
  <c r="J248" i="2"/>
  <c r="A249" i="2"/>
  <c r="B249" i="2"/>
  <c r="C249" i="2"/>
  <c r="E249" i="2"/>
  <c r="F249" i="2"/>
  <c r="G249" i="2"/>
  <c r="H249" i="2"/>
  <c r="J249" i="2"/>
  <c r="A250" i="2"/>
  <c r="E250" i="2"/>
  <c r="F250" i="2"/>
  <c r="G250" i="2"/>
  <c r="J250" i="2"/>
  <c r="A251" i="2"/>
  <c r="B251" i="2"/>
  <c r="C251" i="2"/>
  <c r="E251" i="2"/>
  <c r="F251" i="2"/>
  <c r="G251" i="2"/>
  <c r="H251" i="2"/>
  <c r="J251" i="2"/>
  <c r="A252" i="2"/>
  <c r="E252" i="2"/>
  <c r="F252" i="2"/>
  <c r="G252" i="2"/>
  <c r="J252" i="2"/>
  <c r="A253" i="2"/>
  <c r="E253" i="2"/>
  <c r="F253" i="2"/>
  <c r="G253" i="2"/>
  <c r="H253" i="2"/>
  <c r="J253" i="2"/>
  <c r="A254" i="2"/>
  <c r="E254" i="2"/>
  <c r="F254" i="2"/>
  <c r="G254" i="2"/>
  <c r="J254" i="2"/>
  <c r="A255" i="2"/>
  <c r="E255" i="2"/>
  <c r="F255" i="2"/>
  <c r="G255" i="2"/>
  <c r="J255" i="2"/>
  <c r="A256" i="2"/>
  <c r="E256" i="2"/>
  <c r="F256" i="2"/>
  <c r="G256" i="2"/>
  <c r="H256" i="2"/>
  <c r="J256" i="2"/>
  <c r="A257" i="2"/>
  <c r="B257" i="2"/>
  <c r="C257" i="2"/>
  <c r="E257" i="2"/>
  <c r="F257" i="2"/>
  <c r="G257" i="2"/>
  <c r="J257" i="2"/>
  <c r="A258" i="2"/>
  <c r="E258" i="2"/>
  <c r="F258" i="2"/>
  <c r="G258" i="2"/>
  <c r="H258" i="2"/>
  <c r="J258" i="2"/>
  <c r="A259" i="2"/>
  <c r="B259" i="2"/>
  <c r="C259" i="2"/>
  <c r="E259" i="2"/>
  <c r="F259" i="2"/>
  <c r="G259" i="2"/>
  <c r="H259" i="2"/>
  <c r="J259" i="2"/>
  <c r="A260" i="2"/>
  <c r="B260" i="2"/>
  <c r="C260" i="2"/>
  <c r="E260" i="2"/>
  <c r="F260" i="2"/>
  <c r="G260" i="2"/>
  <c r="H260" i="2"/>
  <c r="J260" i="2"/>
  <c r="B1" i="2"/>
  <c r="C1" i="2"/>
  <c r="D1" i="2"/>
  <c r="E1" i="2"/>
  <c r="F1" i="2"/>
  <c r="G1" i="2"/>
  <c r="H1" i="2"/>
  <c r="I1" i="2"/>
  <c r="J1" i="2"/>
  <c r="A1" i="2"/>
  <c r="E26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odelConnection_win rate assessment" description="Data Model" type="5" refreshedVersion="7" minRefreshableVersion="5" saveData="1">
    <dbPr connection="Data Model Connection" command="win rate assessmen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2000000}" name="New Text Document (2)1" type="103" refreshedVersion="7" minRefreshableVersion="5">
    <extLst>
      <ext xmlns:x15="http://schemas.microsoft.com/office/spreadsheetml/2010/11/main" uri="{DE250136-89BD-433C-8126-D09CA5730AF9}">
        <x15:connection id="New Text Document  2" autoDelete="1">
          <x15:textPr codePage="437" sourceFile="C:\Users\268\OneDrive - University of Technology Sydney\38888 - Microcredential Data Visualization\Assessments\Assessment 2\New Text Document (2).txt" comma="1" delimiter="-">
            <textFields count="10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</x15:connection>
      </ext>
    </extLst>
  </connection>
  <connection id="3" xr16:uid="{00000000-0015-0000-FFFF-FFFF04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5000000}" name="win rate assessment" type="103" refreshedVersion="7" minRefreshableVersion="5">
    <extLst>
      <ext xmlns:x15="http://schemas.microsoft.com/office/spreadsheetml/2010/11/main" uri="{DE250136-89BD-433C-8126-D09CA5730AF9}">
        <x15:connection id="win rate assessment" autoDelete="1">
          <x15:textPr codePage="437" sourceFile="C:\Users\268\OneDrive - University of Technology Sydney\38888 - Microcredential Data Visualization\Assessments\Assessment 2\win rate assessment.txt" comma="1" delimiter="-">
            <textFields count="10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</x15:connection>
      </ext>
    </extLst>
  </connection>
</connections>
</file>

<file path=xl/sharedStrings.xml><?xml version="1.0" encoding="utf-8"?>
<sst xmlns="http://schemas.openxmlformats.org/spreadsheetml/2006/main" count="12669" uniqueCount="942">
  <si>
    <t>Gender</t>
  </si>
  <si>
    <t>Champion</t>
  </si>
  <si>
    <t>Mins</t>
  </si>
  <si>
    <t>Runner-up Nationality</t>
  </si>
  <si>
    <t>Champion Nationality</t>
  </si>
  <si>
    <t>Runner-up</t>
  </si>
  <si>
    <t>Score</t>
  </si>
  <si>
    <t>Runner-up Seed</t>
  </si>
  <si>
    <t>Champion Seed</t>
  </si>
  <si>
    <t>Year</t>
  </si>
  <si>
    <t>Men's</t>
  </si>
  <si>
    <t>G.L. Patterson</t>
  </si>
  <si>
    <t>AUS</t>
  </si>
  <si>
    <t>N.E. Brookes</t>
  </si>
  <si>
    <t>6-3, 7-5, 6-2</t>
  </si>
  <si>
    <t>GBR</t>
  </si>
  <si>
    <t>R. Lycett</t>
  </si>
  <si>
    <t>6-3, 6-4, 6-2</t>
  </si>
  <si>
    <t>A.W. Gore</t>
  </si>
  <si>
    <t>6-4, 6-2, 6-2</t>
  </si>
  <si>
    <t>NZL</t>
  </si>
  <si>
    <t>A.F. Wilding</t>
  </si>
  <si>
    <t>6-4, 6-4, 7-5</t>
  </si>
  <si>
    <t>J.R. Borotra</t>
  </si>
  <si>
    <t>FRA</t>
  </si>
  <si>
    <t>J.R. Lacoste</t>
  </si>
  <si>
    <t>6-1, 3-6, 6-1, 3-6, 6-4</t>
  </si>
  <si>
    <t>6-3, 6-3, 4-6, 8-6</t>
  </si>
  <si>
    <t>USA</t>
  </si>
  <si>
    <t>H.O. Kinsey</t>
  </si>
  <si>
    <t>8-6, 6-1, 6-3</t>
  </si>
  <si>
    <t>H.L. Doherty</t>
  </si>
  <si>
    <t>8-6, 6-2, 6-4</t>
  </si>
  <si>
    <t>H.R. Barrett</t>
  </si>
  <si>
    <t>6-3, 6-2, 4-6, 3-6, 6-4</t>
  </si>
  <si>
    <t>M.J.G. Ritchie</t>
  </si>
  <si>
    <t>6-8, 1-6, 6-2, 6-2, 6-2</t>
  </si>
  <si>
    <t>R.F. Doherty</t>
  </si>
  <si>
    <t>4-6, 7-5, 6-4, 6-4</t>
  </si>
  <si>
    <t>H.F. Lawford</t>
  </si>
  <si>
    <t>J.E. Renshaw</t>
  </si>
  <si>
    <t>1-6, 6-3, 3-6, 6-4, 6-4</t>
  </si>
  <si>
    <t>6-4, 6-3, 3-6, 6-0</t>
  </si>
  <si>
    <t>F.L. Riseley</t>
  </si>
  <si>
    <t>6-1, 7-5, 8-6</t>
  </si>
  <si>
    <t>6-4, 4-6, 6-2, 6-3</t>
  </si>
  <si>
    <t>7-5, 6-3, 6-0</t>
  </si>
  <si>
    <t>H.S. Mahony</t>
  </si>
  <si>
    <t>W. Baddeley</t>
  </si>
  <si>
    <t>6-2, 6-8, 5-7, 8-6, 6-3</t>
  </si>
  <si>
    <t>J. Pim</t>
  </si>
  <si>
    <t>10-8, 6-2, 8-6</t>
  </si>
  <si>
    <t>3-6, 6-1, 6-3, 6-2</t>
  </si>
  <si>
    <t>6-3, 7-5, 6-0</t>
  </si>
  <si>
    <t>J.T. Hartley</t>
  </si>
  <si>
    <t>6-3, 6-2, 2-6, 6-3</t>
  </si>
  <si>
    <t>V.T.St.L. Goold</t>
  </si>
  <si>
    <t>6-2, 6-4, 6-2</t>
  </si>
  <si>
    <t>P.F. Hadow</t>
  </si>
  <si>
    <t>S.W. Gore</t>
  </si>
  <si>
    <t>7-5, 6-1, 9-7</t>
  </si>
  <si>
    <t>1-6, 4-6, 6-3, 6-3, 6-3</t>
  </si>
  <si>
    <t>6-3, 6-3, 2-6, 5-7, 6-1</t>
  </si>
  <si>
    <t>6-4, 6-4, 6-3</t>
  </si>
  <si>
    <t>S.H. Smith</t>
  </si>
  <si>
    <t>6-8, 6-3, 6-1, 6-2</t>
  </si>
  <si>
    <t>W.C. Marshall</t>
  </si>
  <si>
    <t>6-1, 6-2, 6-4</t>
  </si>
  <si>
    <t>4-6, 6-3, 6-3, 6-2</t>
  </si>
  <si>
    <t>J.Pim</t>
  </si>
  <si>
    <t>6-4, 1-6, 7-5, 6-0</t>
  </si>
  <si>
    <t>W.V. Eaves</t>
  </si>
  <si>
    <t>4-6, 2-6, 8-6, 6-2, 6-3</t>
  </si>
  <si>
    <t>W.C. Renshaw</t>
  </si>
  <si>
    <t>6-0, 5-7, 6-3, 6-4</t>
  </si>
  <si>
    <t>6-0, 6-4, 9-7</t>
  </si>
  <si>
    <t>7-5, 6-2, 4-6, 7-5</t>
  </si>
  <si>
    <t>2-6, 6-3, 6-3, 4-6, 6-3</t>
  </si>
  <si>
    <t>6-1, 2-6, 4-6, 6-2, 6-2</t>
  </si>
  <si>
    <t>6-4, 6-1, 3-6, 6-0</t>
  </si>
  <si>
    <t>6-0, 6-1, 6-1</t>
  </si>
  <si>
    <t>W.J. Hamilton</t>
  </si>
  <si>
    <t>6-8, 6-2, 3-6, 6-1, 6-1</t>
  </si>
  <si>
    <t>6-4, 6-4, 4-6, 6-4</t>
  </si>
  <si>
    <t>6-4, 7-5, 4-6, 6-2</t>
  </si>
  <si>
    <t>6-4, 4-6, 2-6, 6-2, retd</t>
  </si>
  <si>
    <t>M.E. McLoughlin</t>
  </si>
  <si>
    <t>8-6, 6-3, 10-8</t>
  </si>
  <si>
    <t>W.T. Tilden</t>
  </si>
  <si>
    <t>2-6, 6-3, 6-2, 6-4</t>
  </si>
  <si>
    <t>RSA</t>
  </si>
  <si>
    <t>B.I.C. Norton</t>
  </si>
  <si>
    <t>4-6, 2-6, 6-1, 6-0, 7-5</t>
  </si>
  <si>
    <t>W. M. Johnston</t>
  </si>
  <si>
    <t>F.T. Hunter</t>
  </si>
  <si>
    <t>6-0, 6-3, 6-1</t>
  </si>
  <si>
    <t>R.G. Laver</t>
  </si>
  <si>
    <t>A.D. Roche</t>
  </si>
  <si>
    <t>L.A. Hoad</t>
  </si>
  <si>
    <t>A.J. Cooper</t>
  </si>
  <si>
    <t>6-2, 6-1, 6-2</t>
  </si>
  <si>
    <t>K.R. Rosewall</t>
  </si>
  <si>
    <t>6-2, 4-6, 7-5, 6-4</t>
  </si>
  <si>
    <t>R.S. Emerson</t>
  </si>
  <si>
    <t>F.S. Stolle</t>
  </si>
  <si>
    <t>6-2, 6-4, 6-4</t>
  </si>
  <si>
    <t>F.A. Sedgman</t>
  </si>
  <si>
    <t>CZE</t>
  </si>
  <si>
    <t>J. Drobny</t>
  </si>
  <si>
    <t>4-6, 6-2, 6-3, 6-2</t>
  </si>
  <si>
    <t>L.G. Hewitt</t>
  </si>
  <si>
    <t>ARG</t>
  </si>
  <si>
    <t>D.P. Nalbandian</t>
  </si>
  <si>
    <t>6-1, 6-3, 6-2</t>
  </si>
  <si>
    <t>N.A. Fraser</t>
  </si>
  <si>
    <t>6-4, 3-6, 9-7, 7-5</t>
  </si>
  <si>
    <t>3-6, 6-3, 6-4, 13-11</t>
  </si>
  <si>
    <t>J.D. Newcombe</t>
  </si>
  <si>
    <t>6-4, 5-7, 6-4, 6-4</t>
  </si>
  <si>
    <t>6-4, 12-10, 4-6, 6-3</t>
  </si>
  <si>
    <t>M.F. Mulligan</t>
  </si>
  <si>
    <t>6-2, 6-2, 6-1</t>
  </si>
  <si>
    <t>U</t>
  </si>
  <si>
    <t>H.J. Cochet</t>
  </si>
  <si>
    <t>6-4, 6-3, 6-4</t>
  </si>
  <si>
    <t>F.J. Perry</t>
  </si>
  <si>
    <t>GER</t>
  </si>
  <si>
    <t>G. von Cramm</t>
  </si>
  <si>
    <t>6-1, 6-1, 6-0</t>
  </si>
  <si>
    <t>N. Djokovic</t>
  </si>
  <si>
    <t>SUI</t>
  </si>
  <si>
    <t>SRB</t>
  </si>
  <si>
    <t>R. Federer</t>
  </si>
  <si>
    <t>7-6, 6-7, 6-4, 6-3</t>
  </si>
  <si>
    <t>6-7, 6-4, 7-64, 5-7, 6-4</t>
  </si>
  <si>
    <t>ESP</t>
  </si>
  <si>
    <t>R. Nadal</t>
  </si>
  <si>
    <t>6-0, 7-6 (7-5), 6-7 (2-7), 6-3</t>
  </si>
  <si>
    <t>7-6 (9-7), 4-6, 7-6 (7-3), 2-6, 6-2</t>
  </si>
  <si>
    <t>A. Roddick</t>
  </si>
  <si>
    <t>4-6, 7-5, 7-6 (7-3), 6-4</t>
  </si>
  <si>
    <t>6-2, 7-6 (7-2), 6-4</t>
  </si>
  <si>
    <t>B.R. Borg</t>
  </si>
  <si>
    <t>SWE</t>
  </si>
  <si>
    <t>J.P. McEnroe</t>
  </si>
  <si>
    <t>1-6, 7-5, 6-3, 6-7 (16-18), 8-6</t>
  </si>
  <si>
    <t>J.S. Connors</t>
  </si>
  <si>
    <t>6-2, 6-2, 6-3</t>
  </si>
  <si>
    <t>R. Tanner</t>
  </si>
  <si>
    <t>6-7(4-7), 6-1, 3-6, 6-3, 6-4</t>
  </si>
  <si>
    <t>P. Sampras</t>
  </si>
  <si>
    <t>P.M. Rafter</t>
  </si>
  <si>
    <t>6-7 (10-12), 7-6 (7-5), 6-4, 6-2</t>
  </si>
  <si>
    <t>CRO</t>
  </si>
  <si>
    <t>G.S. Ivanisevic</t>
  </si>
  <si>
    <t>6-7 (2-7), 7-6 (11-9), 6-4, 3-6, 6-2</t>
  </si>
  <si>
    <t>J.D. Budge</t>
  </si>
  <si>
    <t>H.W. Austin</t>
  </si>
  <si>
    <t>6-1, 6-0, 6-3</t>
  </si>
  <si>
    <t>S.R. Smith</t>
  </si>
  <si>
    <t>ROM</t>
  </si>
  <si>
    <t>I. Nastase</t>
  </si>
  <si>
    <t>4-6, 6-3, 6-3, 4-6, 7-5</t>
  </si>
  <si>
    <t>J.A. Kramer</t>
  </si>
  <si>
    <t>T.P. Brown</t>
  </si>
  <si>
    <t>6-1, 6-1, 6-2</t>
  </si>
  <si>
    <t>J.S. Courier</t>
  </si>
  <si>
    <t>7-6 (7-3), 7-6 (8-6), 3-6, 6-3</t>
  </si>
  <si>
    <t>7-6 (7-2), 7-6 (7-5), 6-0</t>
  </si>
  <si>
    <t>A.K. Agassi</t>
  </si>
  <si>
    <t>6-3, 6-4, 7-5</t>
  </si>
  <si>
    <t>F.R. Schroeder</t>
  </si>
  <si>
    <t>3-6, 6-0, 6-3, 4-6, 6-4</t>
  </si>
  <si>
    <t>A.R. Olmedo</t>
  </si>
  <si>
    <t>M.A. Trabert</t>
  </si>
  <si>
    <t>DEN</t>
  </si>
  <si>
    <t>K. Nielsen</t>
  </si>
  <si>
    <t>6-3, 7-5, 6-1</t>
  </si>
  <si>
    <t>C.A. Pioline</t>
  </si>
  <si>
    <t>6-4, 6-2, 6-4</t>
  </si>
  <si>
    <t>P.H. Cash</t>
  </si>
  <si>
    <t>TCH</t>
  </si>
  <si>
    <t>I. Lendl</t>
  </si>
  <si>
    <t>7-6 (7-5), 6-2, 7-5</t>
  </si>
  <si>
    <t>13-11, 4-6, 6-2, 9-7</t>
  </si>
  <si>
    <t>6-7 (8-10), 6-4, 6-4, 1-6, 6-4</t>
  </si>
  <si>
    <t>J.H. Crawford</t>
  </si>
  <si>
    <t>H.E. Vines</t>
  </si>
  <si>
    <t>4-6, 11-9, 6-2, 2-6, 6-4</t>
  </si>
  <si>
    <t>6-3, 5-7, 2-6, 6-4, 6-4</t>
  </si>
  <si>
    <t>5-7, 6-3, 6-2, 3-6, 6-1</t>
  </si>
  <si>
    <t>C.R. McKinley</t>
  </si>
  <si>
    <t>6-3, 6-1, 6-4</t>
  </si>
  <si>
    <t>J. Kodes</t>
  </si>
  <si>
    <t>URS</t>
  </si>
  <si>
    <t>A. Metreveli</t>
  </si>
  <si>
    <t>6-1, 9-8(7-5), 6-3</t>
  </si>
  <si>
    <t>6-4, 6-4, 6-7 (5-7), 6-7 (8-10), 9-7</t>
  </si>
  <si>
    <t>CZ</t>
  </si>
  <si>
    <t>T. Berdych</t>
  </si>
  <si>
    <t>6-3, 7-5, 6-4</t>
  </si>
  <si>
    <t>6-1, 4-6, 6-4, 6-2</t>
  </si>
  <si>
    <t>6-3, 6-0, 7-5</t>
  </si>
  <si>
    <t>A. Murray</t>
  </si>
  <si>
    <t>6-4, 7-5, 6-4</t>
  </si>
  <si>
    <t>CND</t>
  </si>
  <si>
    <t>M. Raonic</t>
  </si>
  <si>
    <t>6-4, 7-6, 7-6</t>
  </si>
  <si>
    <t>6-4 6-1 1-6 6-3</t>
  </si>
  <si>
    <t>5-7, 7-6 (8-6), 7-6 (7-5), 3-6, 16-14</t>
  </si>
  <si>
    <t>3-6, 6-2, 6-1, 5-7, 6-4</t>
  </si>
  <si>
    <t>4-6, 7-6 (7-1), 7-6 (7-4), 6-4</t>
  </si>
  <si>
    <t>3-6, 6-3, 6-7 (2-7), 7-6 (7-5), 6-4</t>
  </si>
  <si>
    <t>B.F. Becker</t>
  </si>
  <si>
    <t>6-7 (5-7), 6-2, 6-4, 6-2</t>
  </si>
  <si>
    <t>H.E.Vines</t>
  </si>
  <si>
    <t>6-2, 6-2, 6-0</t>
  </si>
  <si>
    <t>R.L. Riggs</t>
  </si>
  <si>
    <t>E.T. Cooke</t>
  </si>
  <si>
    <t>2-6, 8-6, 3-6, 6-3, 6-2</t>
  </si>
  <si>
    <t>E.V. Seixas</t>
  </si>
  <si>
    <t>9-7, 6-3, 6-4</t>
  </si>
  <si>
    <t>C.J. Lewis</t>
  </si>
  <si>
    <t>6-2, 6-2, 6-2</t>
  </si>
  <si>
    <t>W.L. Allison</t>
  </si>
  <si>
    <t>6-3, 9-7, 6-4</t>
  </si>
  <si>
    <t>W.P. Bungert</t>
  </si>
  <si>
    <t>6-3, 6-1, 6-1</t>
  </si>
  <si>
    <t>S.B. Edberg</t>
  </si>
  <si>
    <t>6-0, 7-6 (7-1), 6-4</t>
  </si>
  <si>
    <t>4-6, 7-5, 6-3, 6-4</t>
  </si>
  <si>
    <t>6-2, 6-2, 3-6, 3-6, 6-4</t>
  </si>
  <si>
    <t>4-6, 7-6 (7-2), 6-4, 6-2</t>
  </si>
  <si>
    <t>6-1, 6-1, 6-4</t>
  </si>
  <si>
    <t>M.M. Santana</t>
  </si>
  <si>
    <t>R.D. Ralston</t>
  </si>
  <si>
    <t>6-4, 11-9, 6-4</t>
  </si>
  <si>
    <t>4-6, 4-6, 6-3, 6-4, 7-5</t>
  </si>
  <si>
    <t>6-4, 6-3, 7-5</t>
  </si>
  <si>
    <t>M. Philippousis</t>
  </si>
  <si>
    <t>7-6 (7-5), 6-2, 7-6 (7-3)</t>
  </si>
  <si>
    <t>6-4, 6-2, 9-7</t>
  </si>
  <si>
    <t>9-7, 6-1, 6-4</t>
  </si>
  <si>
    <t>Y.F.M. Petra</t>
  </si>
  <si>
    <t>G.E. Brown</t>
  </si>
  <si>
    <t>6-2, 6-4, 7-9, 5-7, 6-4</t>
  </si>
  <si>
    <t>J.E. Patty</t>
  </si>
  <si>
    <t>6-1, 8-10, 6-2, 6-3</t>
  </si>
  <si>
    <t>M.D. Stich</t>
  </si>
  <si>
    <t>6-4, 7-6 (7-4), 6-4</t>
  </si>
  <si>
    <t>A.R. Ashe</t>
  </si>
  <si>
    <t>6-1, 6-1, 5-7, 6-4</t>
  </si>
  <si>
    <t>R. Savitt</t>
  </si>
  <si>
    <t>K.B. McGregor</t>
  </si>
  <si>
    <t>6-4, 6-4, 6-4</t>
  </si>
  <si>
    <t>R. Falkenburg</t>
  </si>
  <si>
    <t>J.E. Bromwich</t>
  </si>
  <si>
    <t>7-5, 0-6, 6-2, 3-6, 7-5</t>
  </si>
  <si>
    <t>S.B.B. Wood</t>
  </si>
  <si>
    <t>F.X. Shields</t>
  </si>
  <si>
    <t>walk over</t>
  </si>
  <si>
    <t>R.P.S. Krajicek</t>
  </si>
  <si>
    <t>NED</t>
  </si>
  <si>
    <t>M.O. Washington</t>
  </si>
  <si>
    <t>6-3, 6-4, 6-3</t>
  </si>
  <si>
    <t>6-3, 3-6, 6-3, 2-6, 9-7</t>
  </si>
  <si>
    <t>K.M. Curren</t>
  </si>
  <si>
    <t>6-3, 6-7 (4-7), 7-6 (7-3), 6-4</t>
  </si>
  <si>
    <t>Women's</t>
  </si>
  <si>
    <t>B.M. Court</t>
  </si>
  <si>
    <t>14-12, 11-9,</t>
  </si>
  <si>
    <t>L.W. King</t>
  </si>
  <si>
    <t>M. Smith</t>
  </si>
  <si>
    <t>6-3, 6-4,</t>
  </si>
  <si>
    <t>B.J. Moffitt</t>
  </si>
  <si>
    <t>6-4, 7-5,</t>
  </si>
  <si>
    <t>BRA</t>
  </si>
  <si>
    <t>M.E.A. Bueno</t>
  </si>
  <si>
    <t>E.F. Goolagong</t>
  </si>
  <si>
    <t>6-4, 6-1,</t>
  </si>
  <si>
    <t>R.A. Cawley</t>
  </si>
  <si>
    <t>6-1, 7-6 (7-4)</t>
  </si>
  <si>
    <t>J.M. Lloyd</t>
  </si>
  <si>
    <t>8-6, 6-0</t>
  </si>
  <si>
    <t>S. Reynolds</t>
  </si>
  <si>
    <t>6-4, 7-9, 6-3,</t>
  </si>
  <si>
    <t>6-4, 6-3,</t>
  </si>
  <si>
    <t>D.R. Hard</t>
  </si>
  <si>
    <t>J. Novotna</t>
  </si>
  <si>
    <t>6-4, 7-6 (7-2)</t>
  </si>
  <si>
    <t>N. Tauziat</t>
  </si>
  <si>
    <t>P. Kvitová</t>
  </si>
  <si>
    <t>6-3, 6-0</t>
  </si>
  <si>
    <t>E. Bouchard</t>
  </si>
  <si>
    <t>P.Kvitova</t>
  </si>
  <si>
    <t>6-3, 6-4</t>
  </si>
  <si>
    <t>RUS</t>
  </si>
  <si>
    <t>M. Sharapova</t>
  </si>
  <si>
    <t>I.C. Martinez</t>
  </si>
  <si>
    <t>6-4, 3-6, 6-3,</t>
  </si>
  <si>
    <t>M. Navratilova</t>
  </si>
  <si>
    <t>S.R.F. Lenglen</t>
  </si>
  <si>
    <t>6-2, 6-0</t>
  </si>
  <si>
    <t>J.C. Fry</t>
  </si>
  <si>
    <t>6-2, 6-2</t>
  </si>
  <si>
    <t>K. McKane</t>
  </si>
  <si>
    <t>10-8, 4-6, 9-7</t>
  </si>
  <si>
    <t>R.L. Chambers</t>
  </si>
  <si>
    <t>E.M. Ryan</t>
  </si>
  <si>
    <t>F.I. Mallory</t>
  </si>
  <si>
    <t>A. Mauresmo</t>
  </si>
  <si>
    <t>2-6, 6-3, 6-4</t>
  </si>
  <si>
    <t>BEL</t>
  </si>
  <si>
    <t>P-Y Hardenne</t>
  </si>
  <si>
    <t>M. Bartoli</t>
  </si>
  <si>
    <t>6-2,1-6,6-4</t>
  </si>
  <si>
    <t>S. Lisicki</t>
  </si>
  <si>
    <t>L.A. Godfree</t>
  </si>
  <si>
    <t>6-2, 4-6, 6-3</t>
  </si>
  <si>
    <t>E.M. de Alvarez</t>
  </si>
  <si>
    <t>A. Sterry</t>
  </si>
  <si>
    <t>6-4, 6-4</t>
  </si>
  <si>
    <t>A.M. Morton</t>
  </si>
  <si>
    <t>G.W. Hillyard</t>
  </si>
  <si>
    <t>B. Bingley</t>
  </si>
  <si>
    <t>6-3, 6-3</t>
  </si>
  <si>
    <t>M.E.E Watson</t>
  </si>
  <si>
    <t>C. Dod</t>
  </si>
  <si>
    <t>6-1, 6-1</t>
  </si>
  <si>
    <t>6-2, 6-1</t>
  </si>
  <si>
    <t>6-8, 6-1, 6-4</t>
  </si>
  <si>
    <t>C.R. Cooper</t>
  </si>
  <si>
    <t>7-5, 8-6</t>
  </si>
  <si>
    <t>H. Jackson</t>
  </si>
  <si>
    <t>M.L.Martin</t>
  </si>
  <si>
    <t>6-2, 6-3</t>
  </si>
  <si>
    <t>W.H. Pickering</t>
  </si>
  <si>
    <t>D.K. Douglass</t>
  </si>
  <si>
    <t>6-0, 6-3</t>
  </si>
  <si>
    <t>4-6, 6-4, 6-2</t>
  </si>
  <si>
    <t>E.W. Thomson</t>
  </si>
  <si>
    <t>D.T.R. Larcombe</t>
  </si>
  <si>
    <t>6-3, 6-1</t>
  </si>
  <si>
    <t>4-6, 6-4, 6-4</t>
  </si>
  <si>
    <t>5-7, 7-5, 6-2</t>
  </si>
  <si>
    <t>E.L. Austin</t>
  </si>
  <si>
    <t>4-6, 8-6, 6-4</t>
  </si>
  <si>
    <t>H.G.B. Rice</t>
  </si>
  <si>
    <t>6-4, 6-1</t>
  </si>
  <si>
    <t>M. Jacks</t>
  </si>
  <si>
    <t>M.E. Robb</t>
  </si>
  <si>
    <t>7-5, 6-1</t>
  </si>
  <si>
    <t>M.E.E. Watson</t>
  </si>
  <si>
    <t>6-1, 7-5</t>
  </si>
  <si>
    <t>B Bingley</t>
  </si>
  <si>
    <t>6-8, 6-3, 6-3</t>
  </si>
  <si>
    <t>L.M. Watson</t>
  </si>
  <si>
    <t>P.D.H. Boothby</t>
  </si>
  <si>
    <t>6-4, 4-6, 8-6</t>
  </si>
  <si>
    <t>7-5, 6-4</t>
  </si>
  <si>
    <t>6-0, 6-0</t>
  </si>
  <si>
    <t>6-0, 6-4</t>
  </si>
  <si>
    <t>R.J. McNair</t>
  </si>
  <si>
    <t>6-3, 9-7</t>
  </si>
  <si>
    <t>M.G. Sutton</t>
  </si>
  <si>
    <t>H.N. Wills</t>
  </si>
  <si>
    <t>D.E. Round</t>
  </si>
  <si>
    <t>6-2, 5-7, 6-3</t>
  </si>
  <si>
    <t>H.H. Jacobs</t>
  </si>
  <si>
    <t>S.V. Wade</t>
  </si>
  <si>
    <t>4-6, 6-3, 6-1,</t>
  </si>
  <si>
    <t>B.F. Stove</t>
  </si>
  <si>
    <t>P.F. Jones</t>
  </si>
  <si>
    <t>3-6, 6-3, 6-2,</t>
  </si>
  <si>
    <t>6-2, 2-6, 7-5</t>
  </si>
  <si>
    <t>POL</t>
  </si>
  <si>
    <t>J. Jedrzejowska</t>
  </si>
  <si>
    <t>F.A.M. Mortimer</t>
  </si>
  <si>
    <t>4-6, 6-4, 7-5,</t>
  </si>
  <si>
    <t>C.C. Truman</t>
  </si>
  <si>
    <t>S.M. Graf</t>
  </si>
  <si>
    <t>6-4, 3-6, 8-6,</t>
  </si>
  <si>
    <t>G.B. Sabatini</t>
  </si>
  <si>
    <t>4-6, 6-1, 7-5,</t>
  </si>
  <si>
    <t>A.I.M. Sanchez Vicario</t>
  </si>
  <si>
    <t>5-7, 6-2, 6-1,</t>
  </si>
  <si>
    <t>6-2, 6-7 (1-7), 6-1,</t>
  </si>
  <si>
    <t>6-3, 7-5,</t>
  </si>
  <si>
    <t>C. Aussem</t>
  </si>
  <si>
    <t>6-2, 7-5</t>
  </si>
  <si>
    <t>H. Krahwinkel</t>
  </si>
  <si>
    <t>7-6 (8-6), 1-6, 6-4,</t>
  </si>
  <si>
    <t>6-2, 6-1,</t>
  </si>
  <si>
    <t>YUG</t>
  </si>
  <si>
    <t>M. Seles</t>
  </si>
  <si>
    <t>6-1, 6-4</t>
  </si>
  <si>
    <t>M. Hingis</t>
  </si>
  <si>
    <t>2-6, 6-3, 6-3</t>
  </si>
  <si>
    <t>4-6, 6-3, 6-2,</t>
  </si>
  <si>
    <t>C.M. Evert</t>
  </si>
  <si>
    <t>6-3, 4-6, 8-6,</t>
  </si>
  <si>
    <t>F.S. Moody</t>
  </si>
  <si>
    <t>6-4, 6-8, 6-3</t>
  </si>
  <si>
    <t>7-5, 6-3,</t>
  </si>
  <si>
    <t>6-2, 6-2,</t>
  </si>
  <si>
    <t>H. Mandlikova</t>
  </si>
  <si>
    <t>A.L. Brough</t>
  </si>
  <si>
    <t>10-8, 1-6, 10-8,</t>
  </si>
  <si>
    <t>W. du Pont</t>
  </si>
  <si>
    <t>6-1, 3-6, 6-1,</t>
  </si>
  <si>
    <t>6-1, 3-6, 6-2,</t>
  </si>
  <si>
    <t>6-4, 6-4,</t>
  </si>
  <si>
    <t>7-6 (7-5), 6-2,</t>
  </si>
  <si>
    <t>M.C. Connolly</t>
  </si>
  <si>
    <t>8-6, 7-5,</t>
  </si>
  <si>
    <t>D.J. Hart</t>
  </si>
  <si>
    <t>S. Williams</t>
  </si>
  <si>
    <t>G. Muguruza</t>
  </si>
  <si>
    <t>6-3, 6-2</t>
  </si>
  <si>
    <t>V. Zvonareva</t>
  </si>
  <si>
    <t>7-6 (7-1), 6-3,</t>
  </si>
  <si>
    <t>6-0, 6-3,</t>
  </si>
  <si>
    <t>A. Jaeger</t>
  </si>
  <si>
    <t>M.E. Osborne</t>
  </si>
  <si>
    <t>6-2, 6-4,</t>
  </si>
  <si>
    <t>P.M. Betz</t>
  </si>
  <si>
    <t>6-2, 6-4</t>
  </si>
  <si>
    <t>7-5, 6-3</t>
  </si>
  <si>
    <t>A. Kerber</t>
  </si>
  <si>
    <t>6-2, 7-5,</t>
  </si>
  <si>
    <t>V.E.S. Williams</t>
  </si>
  <si>
    <t>A. Gibson</t>
  </si>
  <si>
    <t>6-3, 6-2,</t>
  </si>
  <si>
    <t>6-1, 6-2</t>
  </si>
  <si>
    <t>A. Marble</t>
  </si>
  <si>
    <t>K.E. Stammers</t>
  </si>
  <si>
    <t>9-7, 7-5,</t>
  </si>
  <si>
    <t>J.A.M. Tegart</t>
  </si>
  <si>
    <t>8-6, 6-2,</t>
  </si>
  <si>
    <t>6-4, 6-0</t>
  </si>
  <si>
    <t>4-6, 7-6 (7-4), 9-7</t>
  </si>
  <si>
    <t>L. Davenport</t>
  </si>
  <si>
    <t>6-3, 6-3,</t>
  </si>
  <si>
    <t>2-6, 6-4, 7-5,</t>
  </si>
  <si>
    <t>7-6 (7-4), 6-3</t>
  </si>
  <si>
    <t>7-5, 8-6,</t>
  </si>
  <si>
    <t>J.G. Fleitz</t>
  </si>
  <si>
    <t>7-6 (7-3), 6-2</t>
  </si>
  <si>
    <t>6-3, 8-6,</t>
  </si>
  <si>
    <t>6-0, 7-5</t>
  </si>
  <si>
    <t>6-2, 4-6, 7-5</t>
  </si>
  <si>
    <t>S. Sperling</t>
  </si>
  <si>
    <t>Z.L. Garrison</t>
  </si>
  <si>
    <t>6-1, 3-6, 6-0</t>
  </si>
  <si>
    <t>J. Henin</t>
  </si>
  <si>
    <t>O.V. Morozova</t>
  </si>
  <si>
    <t>L.A. Davenport</t>
  </si>
  <si>
    <t>6-4, 7-5</t>
  </si>
  <si>
    <t>6-0, 6-1,</t>
  </si>
  <si>
    <t>6-1, 6-0</t>
  </si>
  <si>
    <t>S.J. Fry</t>
  </si>
  <si>
    <t>6-3, 3-6, 6-1,</t>
  </si>
  <si>
    <t>6-3, 3-6, 7-5</t>
  </si>
  <si>
    <t>6-3, 7-6 (7-3)</t>
  </si>
  <si>
    <t>6-3, 6-1,</t>
  </si>
  <si>
    <t>A. Buxton</t>
  </si>
  <si>
    <t>6-1, 5-7, 6-2</t>
  </si>
  <si>
    <t>A. Radwańska</t>
  </si>
  <si>
    <t>J.R. Susman</t>
  </si>
  <si>
    <t>C. Sukova</t>
  </si>
  <si>
    <t>7-6,1-6,7-6,4-6,7-6</t>
  </si>
  <si>
    <t>S.Halep</t>
  </si>
  <si>
    <t>ROU</t>
  </si>
  <si>
    <t>6-2,6-2</t>
  </si>
  <si>
    <t>K.Anderson</t>
  </si>
  <si>
    <t>6-2,6-2,7-6</t>
  </si>
  <si>
    <t>A.Kerber</t>
  </si>
  <si>
    <t>6-3,6-3</t>
  </si>
  <si>
    <t>6-3,6-1,6-4</t>
  </si>
  <si>
    <t>M.Cilic</t>
  </si>
  <si>
    <t>HRV</t>
  </si>
  <si>
    <t>G.Muguruza</t>
  </si>
  <si>
    <t>7-5,6-0</t>
  </si>
  <si>
    <t>total</t>
  </si>
  <si>
    <t>men's</t>
  </si>
  <si>
    <t>women</t>
  </si>
  <si>
    <t>R. Federer win rate 8 to 4</t>
  </si>
  <si>
    <t>Men</t>
  </si>
  <si>
    <t>Woman</t>
  </si>
  <si>
    <t>M. Navratilova win rate 9 to 3</t>
  </si>
  <si>
    <t>Men's Champion Nationality</t>
  </si>
  <si>
    <t>Women's Champion Nationality</t>
  </si>
  <si>
    <t>Champion Country</t>
  </si>
  <si>
    <t>Romania</t>
  </si>
  <si>
    <t>Serbia</t>
  </si>
  <si>
    <t>Germany</t>
  </si>
  <si>
    <t>Spain</t>
  </si>
  <si>
    <t>Switzerland</t>
  </si>
  <si>
    <t>United Kingdom</t>
  </si>
  <si>
    <t>United States</t>
  </si>
  <si>
    <t>Czechia</t>
  </si>
  <si>
    <t>France</t>
  </si>
  <si>
    <t>Russia</t>
  </si>
  <si>
    <t>Australia</t>
  </si>
  <si>
    <t>Croatia</t>
  </si>
  <si>
    <t>Netherlands</t>
  </si>
  <si>
    <t>Sweden</t>
  </si>
  <si>
    <t>Brazil</t>
  </si>
  <si>
    <t>New Zealand</t>
  </si>
  <si>
    <t>South Africa</t>
  </si>
  <si>
    <t>Croatiaatia</t>
  </si>
  <si>
    <t>Canada</t>
  </si>
  <si>
    <t>Poland</t>
  </si>
  <si>
    <t>Belgium</t>
  </si>
  <si>
    <t>Argentina</t>
  </si>
  <si>
    <t>Yugoslavia</t>
  </si>
  <si>
    <t>SweDenmark</t>
  </si>
  <si>
    <t>Czechoslovakia</t>
  </si>
  <si>
    <t>Soviet Union</t>
  </si>
  <si>
    <t>Denmark</t>
  </si>
  <si>
    <t>Runner-up Country</t>
  </si>
  <si>
    <t>6-4,7-6,7-6</t>
  </si>
  <si>
    <t>7-5,6-3</t>
  </si>
  <si>
    <t>7-6,6-7,6-4,6-3</t>
  </si>
  <si>
    <t>6-4,6-4</t>
  </si>
  <si>
    <t>6-3,6-0</t>
  </si>
  <si>
    <t>6-4,7-5,6-4</t>
  </si>
  <si>
    <t>4-6,7-5,6-3,6-4</t>
  </si>
  <si>
    <t>6-1,5-7,6-2</t>
  </si>
  <si>
    <t>6-3,6-4</t>
  </si>
  <si>
    <t>6-3,7-5,6-4</t>
  </si>
  <si>
    <t>6-3,6-2</t>
  </si>
  <si>
    <t>5-7,7-6(8-6),7-6(7-5),3-6,16-14</t>
  </si>
  <si>
    <t>7-6(7-3),6-2</t>
  </si>
  <si>
    <t>6-4,6-4,6-7(5-7),6-7(8-10),9-7</t>
  </si>
  <si>
    <t>7-5,6-4</t>
  </si>
  <si>
    <t>7-6(9-7),4-6,7-6(7-3),2-6,6-2</t>
  </si>
  <si>
    <t>6-4,6-1</t>
  </si>
  <si>
    <t>2-6,6-3,6-4</t>
  </si>
  <si>
    <t>6-0,7-6(7-5),6-7(2-7),6-3</t>
  </si>
  <si>
    <t>6-2,7-6(7-2),6-4</t>
  </si>
  <si>
    <t>4-6,7-6(7-4),9-7</t>
  </si>
  <si>
    <t>6-1,6-4</t>
  </si>
  <si>
    <t>4-6,7-5,7-6(7-3),6-4</t>
  </si>
  <si>
    <t>7-6(7-5),6-2,7-6(7-3)</t>
  </si>
  <si>
    <t>4-6,6-4,6-2</t>
  </si>
  <si>
    <t>6-1,6-3,6-2</t>
  </si>
  <si>
    <t>7-6(7-4),6-3</t>
  </si>
  <si>
    <t>6-3,3-6,6-3,2-6,9-7</t>
  </si>
  <si>
    <t>6-1,3-6,6-0</t>
  </si>
  <si>
    <t>6-7(10-12),7-6(7-5),6-4,6-2</t>
  </si>
  <si>
    <t>6-3,7-6(7-3)</t>
  </si>
  <si>
    <t>6-3,6-4,7-5</t>
  </si>
  <si>
    <t>6-4,7-5</t>
  </si>
  <si>
    <t>6-4,7-6(7-2)</t>
  </si>
  <si>
    <t>6-7(2-7),7-6(11-9),6-4,3-6,6-2</t>
  </si>
  <si>
    <t>2-6,6-3,6-3</t>
  </si>
  <si>
    <t>6-4,6-2,6-4</t>
  </si>
  <si>
    <t>6-3,7-5,</t>
  </si>
  <si>
    <t>6-3,6-4,6-3</t>
  </si>
  <si>
    <t>4-6,6-1,7-5,</t>
  </si>
  <si>
    <t>6-7(5-7),6-2,6-4,6-2</t>
  </si>
  <si>
    <t>6-4,3-6,6-3,</t>
  </si>
  <si>
    <t>7-6(7-2),7-6(7-5),6-0</t>
  </si>
  <si>
    <t>7-6(8-6),1-6,6-4,</t>
  </si>
  <si>
    <t>7-6(7-3),7-6(8-6),3-6,6-3</t>
  </si>
  <si>
    <t>6-2,6-1,</t>
  </si>
  <si>
    <t>6-7(8-10),6-4,6-4,1-6,6-4</t>
  </si>
  <si>
    <t>6-4,7-6(7-4),6-4</t>
  </si>
  <si>
    <t>6-4,3-6,8-6,</t>
  </si>
  <si>
    <t>6-2,6-2,3-6,3-6,6-4</t>
  </si>
  <si>
    <t>6-4,6-1,</t>
  </si>
  <si>
    <t>6-0,7-6(7-1),6-4</t>
  </si>
  <si>
    <t>6-2,6-7(1-7),6-1,</t>
  </si>
  <si>
    <t>5-7,6-2,6-1,</t>
  </si>
  <si>
    <t>4-6,7-6(7-2),6-4,6-2</t>
  </si>
  <si>
    <t>7-6(7-5),6-2,7-5</t>
  </si>
  <si>
    <t>7-5,6-3,</t>
  </si>
  <si>
    <t>6-4,6-3,7-5</t>
  </si>
  <si>
    <t>7-6(7-1),6-3,</t>
  </si>
  <si>
    <t>6-3,6-7(4-7),7-6(7-3),6-4</t>
  </si>
  <si>
    <t>4-6,6-3,6-2,</t>
  </si>
  <si>
    <t>6-1,6-1,6-2</t>
  </si>
  <si>
    <t>7-6(7-5),6-2,</t>
  </si>
  <si>
    <t>6-2,6-2,6-2</t>
  </si>
  <si>
    <t>6-0,6-3,</t>
  </si>
  <si>
    <t>3-6,6-3,6-7(2-7),7-6(7-5),6-4</t>
  </si>
  <si>
    <t>6-1,3-6,6-2,</t>
  </si>
  <si>
    <t>4-6,7-6(7-1),7-6(7-4),6-4</t>
  </si>
  <si>
    <t>6-2,6-2,</t>
  </si>
  <si>
    <t>6-1,7-6(7-4)</t>
  </si>
  <si>
    <t>1-6,7-5,6-3,6-7(16-18),8-6</t>
  </si>
  <si>
    <t>6-7(4-7),6-1,3-6,6-3,6-4</t>
  </si>
  <si>
    <t>6-4,6-4,</t>
  </si>
  <si>
    <t>6-2,6-2,6-3</t>
  </si>
  <si>
    <t>2-6,6-4,7-5,</t>
  </si>
  <si>
    <t>4-6,6-3,6-1,</t>
  </si>
  <si>
    <t>3-6,6-2,6-1,5-7,6-4</t>
  </si>
  <si>
    <t>6-4,6-2,9-7</t>
  </si>
  <si>
    <t>6-3,4-6,8-6,</t>
  </si>
  <si>
    <t>6-1,6-1,5-7,6-4</t>
  </si>
  <si>
    <t>6-0,6-1,</t>
  </si>
  <si>
    <t>6-1,6-1,6-4</t>
  </si>
  <si>
    <t>6-0,6-4</t>
  </si>
  <si>
    <t>6-1,9-8(7-5),6-3</t>
  </si>
  <si>
    <t>6-0,7-5</t>
  </si>
  <si>
    <t>4-6,6-3,6-3,4-6,7-5</t>
  </si>
  <si>
    <t>6-3,6-3,</t>
  </si>
  <si>
    <t>6-3,5-7,2-6,6-4,6-4</t>
  </si>
  <si>
    <t>5-7,6-3,6-2,3-6,6-1</t>
  </si>
  <si>
    <t>14-12,11-9,</t>
  </si>
  <si>
    <t>6-4,5-7,6-4,6-4</t>
  </si>
  <si>
    <t>3-6,6-3,6-2,</t>
  </si>
  <si>
    <t>6-3,6-4,6-2</t>
  </si>
  <si>
    <t>9-7,7-5,</t>
  </si>
  <si>
    <t>6-3,6-1,6-1</t>
  </si>
  <si>
    <t>6-3,6-4,</t>
  </si>
  <si>
    <t>6-4,11-9,6-4</t>
  </si>
  <si>
    <t>6-3,3-6,6-1,</t>
  </si>
  <si>
    <t>6-2,6-4,6-4</t>
  </si>
  <si>
    <t>6-4,7-5,</t>
  </si>
  <si>
    <t>6-4,12-10,4-6,6-3</t>
  </si>
  <si>
    <t>6-4,7-9,6-3,</t>
  </si>
  <si>
    <t>9-7,6-1,6-4</t>
  </si>
  <si>
    <t>6-2,6-2,6-1</t>
  </si>
  <si>
    <t>4-6,6-4,7-5,</t>
  </si>
  <si>
    <t>6-4,3-6,9-7,7-5</t>
  </si>
  <si>
    <t>8-6,6-0</t>
  </si>
  <si>
    <t>6-4,6-3,</t>
  </si>
  <si>
    <t>6-4,6-3,6-4</t>
  </si>
  <si>
    <t>3-6,6-3,6-4,13-11</t>
  </si>
  <si>
    <t>8-6,6-2,</t>
  </si>
  <si>
    <t>6-2,6-1,6-2</t>
  </si>
  <si>
    <t>6-3,6-2,</t>
  </si>
  <si>
    <t>6-2,4-6,7-5,6-4</t>
  </si>
  <si>
    <t>6-3,6-1,</t>
  </si>
  <si>
    <t>6-3,7-5,6-1</t>
  </si>
  <si>
    <t>7-5,8-6,</t>
  </si>
  <si>
    <t>13-11,4-6,6-2,9-7</t>
  </si>
  <si>
    <t>6-2,7-5,</t>
  </si>
  <si>
    <t>9-7,6-3,6-4</t>
  </si>
  <si>
    <t>8-6,7-5,</t>
  </si>
  <si>
    <t>4-6,6-2,6-3,6-2</t>
  </si>
  <si>
    <t>6-4,6-4,6-4</t>
  </si>
  <si>
    <t>6-1,6-0</t>
  </si>
  <si>
    <t>6-1,8-10,6-2,6-3</t>
  </si>
  <si>
    <t>6-1,3-6,6-1,</t>
  </si>
  <si>
    <t>3-6,6-0,6-3,4-6,6-4</t>
  </si>
  <si>
    <t>10-8,1-6,10-8,</t>
  </si>
  <si>
    <t>7-5,0-6,6-2,3-6,7-5</t>
  </si>
  <si>
    <t>6-3,8-6,</t>
  </si>
  <si>
    <t>6-2,6-4,</t>
  </si>
  <si>
    <t>6-2,6-4,7-9,5-7,6-4</t>
  </si>
  <si>
    <t>2-6,8-6,3-6,6-3,6-2</t>
  </si>
  <si>
    <t>6-2,6-0</t>
  </si>
  <si>
    <t>6-1,6-0,6-3</t>
  </si>
  <si>
    <t>6-4,6-0</t>
  </si>
  <si>
    <t>6-2,2-6,7-5</t>
  </si>
  <si>
    <t>6-1,6-1,6-0</t>
  </si>
  <si>
    <t>6-2,4-6,7-5</t>
  </si>
  <si>
    <t>6-3,3-6,7-5</t>
  </si>
  <si>
    <t>6-3,6-0,7-5</t>
  </si>
  <si>
    <t>6-2,5-7,6-3</t>
  </si>
  <si>
    <t>4-6,11-9,6-2,2-6,6-4</t>
  </si>
  <si>
    <t>6-4,6-8,6-3</t>
  </si>
  <si>
    <t>6-2,6-2,6-0</t>
  </si>
  <si>
    <t>6-3,6-1</t>
  </si>
  <si>
    <t>6-2,7-5</t>
  </si>
  <si>
    <t>walkover</t>
  </si>
  <si>
    <t>6-3,9-7,6-4</t>
  </si>
  <si>
    <t>6-1,6-2</t>
  </si>
  <si>
    <t>6-1,4-6,6-4,6-2</t>
  </si>
  <si>
    <t>6-2,6-3</t>
  </si>
  <si>
    <t>4-6,4-6,6-3,6-4,7-5</t>
  </si>
  <si>
    <t>6-2,6-4</t>
  </si>
  <si>
    <t>8-6,6-1,6-3</t>
  </si>
  <si>
    <t>6-2,4-6,6-3</t>
  </si>
  <si>
    <t>6-3,6-3,4-6,8-6</t>
  </si>
  <si>
    <t>6-1,3-6,6-1,3-6,6-4</t>
  </si>
  <si>
    <t>4-6,6-4,6-4</t>
  </si>
  <si>
    <t>6-0,6-3,6-1</t>
  </si>
  <si>
    <t>4-6,2-6,6-1,6-0,7-5</t>
  </si>
  <si>
    <t>2-6,6-3,6-2,6-4</t>
  </si>
  <si>
    <t>6-3,7-5,6-2</t>
  </si>
  <si>
    <t>10-8,4-6,9-7</t>
  </si>
  <si>
    <t>6-4,6-4,7-5</t>
  </si>
  <si>
    <t>8-6,6-3,10-8</t>
  </si>
  <si>
    <t>6-4,6-4,4-6,6-4</t>
  </si>
  <si>
    <t>6-0,6-0</t>
  </si>
  <si>
    <t>6-4,4-6,2-6,6-2,retd</t>
  </si>
  <si>
    <t>6-4,7-5,4-6,6-2</t>
  </si>
  <si>
    <t>6-8,1-6,6-2,6-2,6-2</t>
  </si>
  <si>
    <t>6-4,4-6,8-6</t>
  </si>
  <si>
    <t>6-3,6-2,4-6,3-6,6-4</t>
  </si>
  <si>
    <t>6-4,6-2,6-2</t>
  </si>
  <si>
    <t>6-4,4-6,6-2,6-3</t>
  </si>
  <si>
    <t>6-3,9-7</t>
  </si>
  <si>
    <t>8-6,6-2,6-4</t>
  </si>
  <si>
    <t>6-1,7-5,8-6</t>
  </si>
  <si>
    <t>6-0,6-3</t>
  </si>
  <si>
    <t>7-5,6-3,6-0</t>
  </si>
  <si>
    <t>6-4,6-3,3-6,6-0</t>
  </si>
  <si>
    <t>7-5,6-1</t>
  </si>
  <si>
    <t>4-6,7-5,6-4,6-4</t>
  </si>
  <si>
    <t>6-8,6-3,6-1,6-2</t>
  </si>
  <si>
    <t>1-6,4-6,6-3,6-3,6-3</t>
  </si>
  <si>
    <t>6-3,6-3,2-6,5-7,6-1</t>
  </si>
  <si>
    <t>6-4,6-4,6-3</t>
  </si>
  <si>
    <t>5-7,7-5,6-2</t>
  </si>
  <si>
    <t>6-2,6-8,5-7,8-6,6-3</t>
  </si>
  <si>
    <t>4-6,2-6,8-6,6-2,6-3</t>
  </si>
  <si>
    <t>7-5,8-6</t>
  </si>
  <si>
    <t>10-8,6-2,8-6</t>
  </si>
  <si>
    <t>6-1,6-1</t>
  </si>
  <si>
    <t>3-6,6-1,6-3,6-2</t>
  </si>
  <si>
    <t>6-8,6-1,6-4</t>
  </si>
  <si>
    <t>4-6,6-3,6-3,6-2</t>
  </si>
  <si>
    <t>6-4,1-6,7-5,6-0</t>
  </si>
  <si>
    <t>6-2,6-1</t>
  </si>
  <si>
    <t>6-8,6-2,3-6,6-1,6-1</t>
  </si>
  <si>
    <t>6-4,6-1,3-6,6-0</t>
  </si>
  <si>
    <t>4-6,8-6,6-4</t>
  </si>
  <si>
    <t>6-3,7-5,6-0</t>
  </si>
  <si>
    <t>1-6,6-3,3-6,6-4,6-4</t>
  </si>
  <si>
    <t>6-0,5-7,6-3,6-4</t>
  </si>
  <si>
    <t>7-5,6-2,4-6,7-5</t>
  </si>
  <si>
    <t>6-1,7-5</t>
  </si>
  <si>
    <t>6-0,6-4,9-7</t>
  </si>
  <si>
    <t>6-8,6-3,6-3</t>
  </si>
  <si>
    <t>2-6,6-3,6-3,4-6,6-3</t>
  </si>
  <si>
    <t>6-1,2-6,4-6,6-2,6-2</t>
  </si>
  <si>
    <t>6-0,6-1,6-1</t>
  </si>
  <si>
    <t>6-3,6-2,2-6,6-3</t>
  </si>
  <si>
    <t>6-2,6-4,6-2</t>
  </si>
  <si>
    <t>7-5,6-1,9-7</t>
  </si>
  <si>
    <t>6-1,6-2,6-4</t>
  </si>
  <si>
    <t>6-7,6-4,7-6,5-7,6-4</t>
  </si>
  <si>
    <t>6-4,6-1,1-6,6-3</t>
  </si>
  <si>
    <t>Win Rate</t>
  </si>
  <si>
    <t>Win</t>
  </si>
  <si>
    <t>Loss</t>
  </si>
  <si>
    <t>6</t>
  </si>
  <si>
    <t>7</t>
  </si>
  <si>
    <t>4</t>
  </si>
  <si>
    <t>5</t>
  </si>
  <si>
    <t>16</t>
  </si>
  <si>
    <t>9</t>
  </si>
  <si>
    <t>2</t>
  </si>
  <si>
    <t>3</t>
  </si>
  <si>
    <t>1</t>
  </si>
  <si>
    <t>8</t>
  </si>
  <si>
    <t>14</t>
  </si>
  <si>
    <t>13</t>
  </si>
  <si>
    <t>10</t>
  </si>
  <si>
    <t>retd</t>
  </si>
  <si>
    <t>V.E.S Williams</t>
  </si>
  <si>
    <t>6-7,6-4,6-4,6-3</t>
  </si>
  <si>
    <t>M. Berrettini</t>
  </si>
  <si>
    <t>Italy</t>
  </si>
  <si>
    <t>A. Barty</t>
  </si>
  <si>
    <t>Aus</t>
  </si>
  <si>
    <t>6-3,6-7,6-3</t>
  </si>
  <si>
    <t>k.Pliskova</t>
  </si>
  <si>
    <t>Czech</t>
  </si>
  <si>
    <t>ITA</t>
  </si>
  <si>
    <t>A. Barty Count</t>
  </si>
  <si>
    <t>A. Gibson Count</t>
  </si>
  <si>
    <t>A. Marble Count</t>
  </si>
  <si>
    <t>A. Mauresmo Count</t>
  </si>
  <si>
    <t>A. Murray Count</t>
  </si>
  <si>
    <t>A. Sterry Count</t>
  </si>
  <si>
    <t>A.F. Wilding Count</t>
  </si>
  <si>
    <t>A.J. Cooper Count</t>
  </si>
  <si>
    <t>A.K. Agassi Count</t>
  </si>
  <si>
    <t>A.Kerber Count</t>
  </si>
  <si>
    <t>A.L. Brough Count</t>
  </si>
  <si>
    <t>A.R. Ashe Count</t>
  </si>
  <si>
    <t>A.R. Olmedo Count</t>
  </si>
  <si>
    <t>A.W. Gore Count</t>
  </si>
  <si>
    <t>B. Bingley Count</t>
  </si>
  <si>
    <t>B.F. Becker Count</t>
  </si>
  <si>
    <t>B.M. Court Count</t>
  </si>
  <si>
    <t>B.R. Borg Count</t>
  </si>
  <si>
    <t>C. Aussem Count</t>
  </si>
  <si>
    <t>C. Dod Count</t>
  </si>
  <si>
    <t>C.M. Evert Count</t>
  </si>
  <si>
    <t>C.R. Cooper Count</t>
  </si>
  <si>
    <t>C.R. McKinley Count</t>
  </si>
  <si>
    <t>D.E. Round Count</t>
  </si>
  <si>
    <t>D.J. Hart Count</t>
  </si>
  <si>
    <t>D.K. Douglass Count</t>
  </si>
  <si>
    <t>D.T.R. Larcombe Count</t>
  </si>
  <si>
    <t>E.F. Goolagong Count</t>
  </si>
  <si>
    <t>E.V. Seixas Count</t>
  </si>
  <si>
    <t>F.A. Sedgman Count</t>
  </si>
  <si>
    <t>F.A.M. Mortimer Count</t>
  </si>
  <si>
    <t>F.J. Perry Count</t>
  </si>
  <si>
    <t>F.R. Schroeder Count</t>
  </si>
  <si>
    <t>F.S. Moody Count</t>
  </si>
  <si>
    <t>G.L. Patterson Count</t>
  </si>
  <si>
    <t>G.Muguruza Count</t>
  </si>
  <si>
    <t>G.S. Ivanisevic Count</t>
  </si>
  <si>
    <t>G.W. Hillyard Count</t>
  </si>
  <si>
    <t>H.E.Vines Count</t>
  </si>
  <si>
    <t>H.F. Lawford Count</t>
  </si>
  <si>
    <t>H.G.B. Rice Count</t>
  </si>
  <si>
    <t>H.H. Jacobs Count</t>
  </si>
  <si>
    <t>H.J. Cochet Count</t>
  </si>
  <si>
    <t>H.L. Doherty Count</t>
  </si>
  <si>
    <t>H.N. Wills Count</t>
  </si>
  <si>
    <t>H.S. Mahony Count</t>
  </si>
  <si>
    <t>I.C. Martinez Count</t>
  </si>
  <si>
    <t>J. Drobny Count</t>
  </si>
  <si>
    <t>J. Kodes Count</t>
  </si>
  <si>
    <t>J. Novotna Count</t>
  </si>
  <si>
    <t>J. Pim Count</t>
  </si>
  <si>
    <t>J.A. Kramer Count</t>
  </si>
  <si>
    <t>J.D. Budge Count</t>
  </si>
  <si>
    <t>J.D. Newcombe Count</t>
  </si>
  <si>
    <t>J.E. Patty Count</t>
  </si>
  <si>
    <t>J.E. Renshaw Count</t>
  </si>
  <si>
    <t>J.H. Crawford Count</t>
  </si>
  <si>
    <t>J.M. Lloyd Count</t>
  </si>
  <si>
    <t>J.P. McEnroe Count</t>
  </si>
  <si>
    <t>J.R. Borotra Count</t>
  </si>
  <si>
    <t>J.R. Lacoste Count</t>
  </si>
  <si>
    <t>J.R. Susman Count</t>
  </si>
  <si>
    <t>J.S. Connors Count</t>
  </si>
  <si>
    <t>J.T. Hartley Count</t>
  </si>
  <si>
    <t>K. McKane Count</t>
  </si>
  <si>
    <t>L.A. Davenport Count</t>
  </si>
  <si>
    <t>L.A. Godfree Count</t>
  </si>
  <si>
    <t>L.A. Hoad Count</t>
  </si>
  <si>
    <t>L.G. Hewitt Count</t>
  </si>
  <si>
    <t>L.W. King Count</t>
  </si>
  <si>
    <t>M. Bartoli Count</t>
  </si>
  <si>
    <t>M. Hingis Count</t>
  </si>
  <si>
    <t>M. Navratilova Count</t>
  </si>
  <si>
    <t>M. Sharapova Count</t>
  </si>
  <si>
    <t>M. Smith Count</t>
  </si>
  <si>
    <t>M.A. Trabert Count</t>
  </si>
  <si>
    <t>M.C. Connolly Count</t>
  </si>
  <si>
    <t>M.D. Stich Count</t>
  </si>
  <si>
    <t>M.E. Osborne Count</t>
  </si>
  <si>
    <t>M.E. Robb Count</t>
  </si>
  <si>
    <t>M.E.A. Bueno Count</t>
  </si>
  <si>
    <t>M.E.E. Watson Count</t>
  </si>
  <si>
    <t>M.G. Sutton Count</t>
  </si>
  <si>
    <t>M.M. Santana Count</t>
  </si>
  <si>
    <t>N. Djokovic Count</t>
  </si>
  <si>
    <t>N.A. Fraser Count</t>
  </si>
  <si>
    <t>N.E. Brookes Count</t>
  </si>
  <si>
    <t>P. Kvitová Count</t>
  </si>
  <si>
    <t>P. Sampras Count</t>
  </si>
  <si>
    <t>P.D.H. Boothby Count</t>
  </si>
  <si>
    <t>P.F. Hadow Count</t>
  </si>
  <si>
    <t>P.F. Jones Count</t>
  </si>
  <si>
    <t>P.H. Cash Count</t>
  </si>
  <si>
    <t>P.Kvitova Count</t>
  </si>
  <si>
    <t>P.M. Betz Count</t>
  </si>
  <si>
    <t>R. Falkenburg Count</t>
  </si>
  <si>
    <t>R. Federer Count</t>
  </si>
  <si>
    <t>R. Nadal Count</t>
  </si>
  <si>
    <t>R. Savitt Count</t>
  </si>
  <si>
    <t>R.A. Cawley Count</t>
  </si>
  <si>
    <t>R.F. Doherty Count</t>
  </si>
  <si>
    <t>R.G. Laver Count</t>
  </si>
  <si>
    <t>R.L. Chambers Count</t>
  </si>
  <si>
    <t>R.L. Riggs Count</t>
  </si>
  <si>
    <t>R.P.S. Krajicek Count</t>
  </si>
  <si>
    <t>R.S. Emerson Count</t>
  </si>
  <si>
    <t>S. Williams Count</t>
  </si>
  <si>
    <t>S.B. Edberg Count</t>
  </si>
  <si>
    <t>S.B.B. Wood Count</t>
  </si>
  <si>
    <t>S.Halep Count</t>
  </si>
  <si>
    <t>S.J. Fry Count</t>
  </si>
  <si>
    <t>S.M. Graf Count</t>
  </si>
  <si>
    <t>S.R. Smith Count</t>
  </si>
  <si>
    <t>S.R.F. Lenglen Count</t>
  </si>
  <si>
    <t>S.V. Wade Count</t>
  </si>
  <si>
    <t>S.W. Gore Count</t>
  </si>
  <si>
    <t>V.E.S. Williams Count</t>
  </si>
  <si>
    <t>W. Baddeley Count</t>
  </si>
  <si>
    <t>W. M. Johnston Count</t>
  </si>
  <si>
    <t>W.C. Renshaw Count</t>
  </si>
  <si>
    <t>W.J. Hamilton Count</t>
  </si>
  <si>
    <t>W.T. Tilden Count</t>
  </si>
  <si>
    <t>Y.F.M. Petra Count</t>
  </si>
  <si>
    <t>Grand Count</t>
  </si>
  <si>
    <t>P. Kvitova</t>
  </si>
  <si>
    <t>WC</t>
  </si>
  <si>
    <t>K. Anderson</t>
  </si>
  <si>
    <t>PY. Hardenne</t>
  </si>
  <si>
    <t>H.W. Moody</t>
  </si>
  <si>
    <t>D.L. Chambers</t>
  </si>
  <si>
    <t>M. duPont</t>
  </si>
  <si>
    <t>N. KYRGIOS</t>
  </si>
  <si>
    <t>E. RYBAKINA</t>
  </si>
  <si>
    <t>Kazakhstan</t>
  </si>
  <si>
    <t>O. JABEUR</t>
  </si>
  <si>
    <t>3-6,6-2,6-2</t>
  </si>
  <si>
    <t>Tunisia</t>
  </si>
  <si>
    <t>KAZ</t>
  </si>
  <si>
    <t>TUN</t>
  </si>
  <si>
    <t>E. Rybakina</t>
  </si>
  <si>
    <t>O. Jabeur</t>
  </si>
  <si>
    <t>N. Kyrgios</t>
  </si>
  <si>
    <t>4-6,6-3,6-4,7-6(7-3)</t>
  </si>
  <si>
    <t>6-7(4-7),6-4,6-4,6-3</t>
  </si>
  <si>
    <t>7-6(7-5),1-6,7-6(7-4),4-6,13-12(7-3)</t>
  </si>
  <si>
    <t>6-2,6-2,7-6(7-3)</t>
  </si>
  <si>
    <t>6-4, 7-6(7-3), 7-6(7-2)</t>
  </si>
  <si>
    <t>7-6(7-1), 6-7(10-12), 6-4, 6-3</t>
  </si>
  <si>
    <t>6-7(7-9), 6-4, 7-6(7-4), 5-7, 6-4</t>
  </si>
  <si>
    <t>6-3,6-7(4-7),6-3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</si>
  <si>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</si>
  <si>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</si>
  <si>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</si>
  <si>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</si>
  <si>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</si>
  <si>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</si>
  <si>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</si>
  <si>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</si>
  <si>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</si>
  <si>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</si>
  <si>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C.Alcaraz</t>
  </si>
  <si>
    <t>1-6, 7-6, 6-1, 3-6, 6-4</t>
  </si>
  <si>
    <t>N.Djokovic</t>
  </si>
  <si>
    <t>M.Vondrousova</t>
  </si>
  <si>
    <t>O.Jabeur</t>
  </si>
  <si>
    <t>C. Alcaraz</t>
  </si>
  <si>
    <t>B. Krejčíková</t>
  </si>
  <si>
    <t>6-2,2-6,6-4</t>
  </si>
  <si>
    <t>J. Paolini</t>
  </si>
  <si>
    <t>J. Sinner</t>
  </si>
  <si>
    <t>4-6,6-4,6-4,6-4</t>
  </si>
  <si>
    <t>A. Anisimova</t>
  </si>
  <si>
    <t>I. Świątek</t>
  </si>
  <si>
    <t>K.Muchova</t>
  </si>
  <si>
    <t>L. Noskova</t>
  </si>
  <si>
    <t>6-7,7-6,6-3,6-4</t>
  </si>
  <si>
    <t>A. Zverev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</si>
</sst>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6" fillId="0" borderId="0" xfId="0" applyFont="1" applyAlignment="1">
      <alignment horizontal="center" vertical="center"/>
    </xf>
    <xf numFmtId="0" fontId="0" fillId="33" borderId="0" xfId="0" applyFill="1"/>
    <xf numFmtId="0" fontId="16" fillId="33" borderId="0" xfId="0" applyFont="1" applyFill="1"/>
    <xf numFmtId="0" fontId="18" fillId="0" borderId="0" xfId="0" applyFont="1"/>
    <xf numFmtId="2" fontId="16" fillId="33" borderId="0" xfId="0" applyNumberFormat="1" applyFont="1" applyFill="1"/>
    <xf numFmtId="9" fontId="0" fillId="33" borderId="0" xfId="0" applyNumberFormat="1" applyFill="1"/>
    <xf numFmtId="0" fontId="0" fillId="0" borderId="0" xfId="0" applyAlignment="1">
      <alignment horizontal="right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20" fillId="33" borderId="0" xfId="0" applyFont="1" applyFill="1"/>
    <xf numFmtId="0" fontId="19" fillId="33" borderId="0" xfId="0" applyFont="1" applyFill="1"/>
    <xf numFmtId="0" fontId="20" fillId="34" borderId="0" xfId="0" applyFont="1" applyFill="1"/>
    <xf numFmtId="0" fontId="20" fillId="35" borderId="0" xfId="0" applyFont="1" applyFill="1"/>
    <xf numFmtId="0" fontId="20" fillId="36" borderId="0" xfId="0" applyFont="1" applyFill="1"/>
    <xf numFmtId="0" fontId="16" fillId="0" borderId="0" xfId="0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18" fillId="33" borderId="0" xfId="0" applyFont="1" applyFill="1" applyAlignment="1">
      <alignment horizontal="center"/>
    </xf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  <xf numFmtId="10" fontId="19" fillId="0" borderId="0" xfId="0" applyNumberFormat="1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right"/>
    </xf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1" fillId="0" borderId="0" xfId="0" applyFont="1"/>
    <xf numFmtId="1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n rate assessment" backgroundRefresh="0" connectionId="1" xr16:uid="{00000000-0016-0000-0100-000000000000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  <extLst>
    <ext xmlns:x15="http://schemas.microsoft.com/office/spreadsheetml/2010/11/main" uri="{883FBD77-0823-4a55-B5E3-86C4891E6966}">
      <x15:queryTable sourceDataName="win rate assessmen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win_rate_assessment" displayName="Table_win_rate_assessment" ref="O1:X264" tableType="queryTable" totalsRowShown="0" headerRowDxfId="11" dataDxfId="10">
  <autoFilter ref="O1:X264" xr:uid="{00000000-0009-0000-0100-000001000000}"/>
  <tableColumns count="10">
    <tableColumn id="1" xr3:uid="{00000000-0010-0000-0000-000001000000}" uniqueName="1" name="1st-won" queryTableFieldId="1" dataDxfId="9"/>
    <tableColumn id="2" xr3:uid="{00000000-0010-0000-0000-000002000000}" uniqueName="2" name="1st-loss" queryTableFieldId="2" dataDxfId="8"/>
    <tableColumn id="3" xr3:uid="{00000000-0010-0000-0000-000003000000}" uniqueName="3" name="2nd-won" queryTableFieldId="3" dataDxfId="7"/>
    <tableColumn id="4" xr3:uid="{00000000-0010-0000-0000-000004000000}" uniqueName="4" name="2nd-loss" queryTableFieldId="4" dataDxfId="6"/>
    <tableColumn id="5" xr3:uid="{00000000-0010-0000-0000-000005000000}" uniqueName="5" name="3rd-won" queryTableFieldId="5" dataDxfId="5"/>
    <tableColumn id="6" xr3:uid="{00000000-0010-0000-0000-000006000000}" uniqueName="6" name="3rd-loss" queryTableFieldId="6" dataDxfId="4"/>
    <tableColumn id="7" xr3:uid="{00000000-0010-0000-0000-000007000000}" uniqueName="7" name="4th-won" queryTableFieldId="7" dataDxfId="3"/>
    <tableColumn id="8" xr3:uid="{00000000-0010-0000-0000-000008000000}" uniqueName="8" name="4th-loss" queryTableFieldId="8" dataDxfId="2"/>
    <tableColumn id="9" xr3:uid="{00000000-0010-0000-0000-000009000000}" uniqueName="9" name="5th-won" queryTableFieldId="9" dataDxfId="1"/>
    <tableColumn id="10" xr3:uid="{00000000-0010-0000-0000-00000A000000}" uniqueName="10" name="5th-loss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R2" sqref="R2"/>
    </sheetView>
  </sheetViews>
  <sheetFormatPr defaultRowHeight="14.6" x14ac:dyDescent="0.4"/>
  <cols>
    <col min="1" max="1" width="4.84375" bestFit="1" customWidth="1"/>
    <col min="2" max="2" width="11.61328125" style="25" customWidth="1"/>
    <col min="3" max="3" width="14.4609375" style="25" customWidth="1"/>
    <col min="4" max="4" width="19.07421875" style="25" bestFit="1" customWidth="1"/>
    <col min="5" max="5" width="16.4609375" style="25" bestFit="1" customWidth="1"/>
    <col min="6" max="6" width="13.84375" style="7" bestFit="1" customWidth="1"/>
    <col min="7" max="7" width="4.921875" style="22" bestFit="1" customWidth="1"/>
    <col min="8" max="8" width="20.69140625" style="22" bestFit="1" customWidth="1"/>
    <col min="9" max="9" width="7.53515625" style="29" bestFit="1" customWidth="1"/>
    <col min="10" max="10" width="7" style="29" bestFit="1" customWidth="1"/>
    <col min="11" max="11" width="8.23046875" style="29" bestFit="1" customWidth="1"/>
    <col min="12" max="12" width="7.69140625" style="29" bestFit="1" customWidth="1"/>
    <col min="13" max="13" width="7.84375" style="29" bestFit="1" customWidth="1"/>
    <col min="14" max="14" width="7.3046875" style="29" bestFit="1" customWidth="1"/>
    <col min="15" max="15" width="7.84375" style="29" bestFit="1" customWidth="1"/>
    <col min="16" max="16" width="7.3046875" style="29" bestFit="1" customWidth="1"/>
    <col min="17" max="17" width="7.84375" style="29" bestFit="1" customWidth="1"/>
    <col min="18" max="18" width="7.3046875" style="29" bestFit="1" customWidth="1"/>
    <col min="19" max="19" width="13.4609375" style="25" bestFit="1" customWidth="1"/>
    <col min="20" max="20" width="19.4609375" style="25" bestFit="1" customWidth="1"/>
    <col min="21" max="21" width="16.84375" style="25" bestFit="1" customWidth="1"/>
    <col min="22" max="22" width="14.23046875" style="7" bestFit="1" customWidth="1"/>
    <col min="23" max="23" width="7.53515625" customWidth="1"/>
  </cols>
  <sheetData>
    <row r="1" spans="1:22" s="15" customFormat="1" x14ac:dyDescent="0.4">
      <c r="A1" s="15" t="s">
        <v>9</v>
      </c>
      <c r="B1" s="15" t="s">
        <v>0</v>
      </c>
      <c r="C1" s="15" t="s">
        <v>1</v>
      </c>
      <c r="D1" s="15" t="s">
        <v>4</v>
      </c>
      <c r="E1" s="27" t="s">
        <v>492</v>
      </c>
      <c r="F1" s="15" t="s">
        <v>8</v>
      </c>
      <c r="G1" s="15" t="s">
        <v>2</v>
      </c>
      <c r="H1" s="15" t="s">
        <v>6</v>
      </c>
      <c r="I1" s="28" t="s">
        <v>915</v>
      </c>
      <c r="J1" s="28" t="s">
        <v>916</v>
      </c>
      <c r="K1" s="28" t="s">
        <v>917</v>
      </c>
      <c r="L1" s="28" t="s">
        <v>918</v>
      </c>
      <c r="M1" s="28" t="s">
        <v>919</v>
      </c>
      <c r="N1" s="28" t="s">
        <v>920</v>
      </c>
      <c r="O1" s="28" t="s">
        <v>921</v>
      </c>
      <c r="P1" s="28" t="s">
        <v>922</v>
      </c>
      <c r="Q1" s="28" t="s">
        <v>923</v>
      </c>
      <c r="R1" s="28" t="s">
        <v>924</v>
      </c>
      <c r="S1" s="15" t="s">
        <v>5</v>
      </c>
      <c r="T1" s="15" t="s">
        <v>3</v>
      </c>
      <c r="U1" s="27" t="s">
        <v>520</v>
      </c>
      <c r="V1" s="15" t="s">
        <v>7</v>
      </c>
    </row>
    <row r="2" spans="1:22" s="25" customFormat="1" x14ac:dyDescent="0.4">
      <c r="A2" s="25">
        <v>2026</v>
      </c>
      <c r="B2" s="25" t="s">
        <v>268</v>
      </c>
      <c r="C2" s="25" t="s">
        <v>939</v>
      </c>
      <c r="D2" s="25" t="s">
        <v>107</v>
      </c>
      <c r="E2" s="25" t="s">
        <v>500</v>
      </c>
      <c r="F2" s="7">
        <v>9</v>
      </c>
      <c r="G2" s="22">
        <v>148</v>
      </c>
      <c r="H2" s="22" t="s">
        <v>662</v>
      </c>
      <c r="I2" s="29">
        <v>6</v>
      </c>
      <c r="J2" s="29">
        <v>2</v>
      </c>
      <c r="K2" s="29">
        <v>5</v>
      </c>
      <c r="L2" s="29">
        <v>7</v>
      </c>
      <c r="M2" s="29">
        <v>6</v>
      </c>
      <c r="N2" s="29">
        <v>3</v>
      </c>
      <c r="O2" s="29"/>
      <c r="P2" s="29"/>
      <c r="Q2" s="29"/>
      <c r="R2" s="29"/>
      <c r="S2" s="25" t="s">
        <v>938</v>
      </c>
      <c r="T2" s="25" t="s">
        <v>107</v>
      </c>
      <c r="U2" s="25" t="s">
        <v>500</v>
      </c>
      <c r="V2" s="7">
        <v>10</v>
      </c>
    </row>
    <row r="3" spans="1:22" s="25" customFormat="1" x14ac:dyDescent="0.4">
      <c r="A3" s="25">
        <v>2026</v>
      </c>
      <c r="B3" s="25" t="s">
        <v>10</v>
      </c>
      <c r="C3" s="25" t="s">
        <v>934</v>
      </c>
      <c r="D3" s="25" t="s">
        <v>764</v>
      </c>
      <c r="E3" s="25" t="s">
        <v>758</v>
      </c>
      <c r="F3" s="7">
        <v>1</v>
      </c>
      <c r="G3" s="22">
        <v>154</v>
      </c>
      <c r="H3" s="22" t="s">
        <v>940</v>
      </c>
      <c r="I3" s="29">
        <v>6</v>
      </c>
      <c r="J3" s="29">
        <v>7</v>
      </c>
      <c r="K3" s="29">
        <v>7</v>
      </c>
      <c r="L3" s="29">
        <v>6</v>
      </c>
      <c r="M3" s="29">
        <v>6</v>
      </c>
      <c r="N3" s="29">
        <v>3</v>
      </c>
      <c r="O3" s="29">
        <v>6</v>
      </c>
      <c r="P3" s="29">
        <v>4</v>
      </c>
      <c r="Q3" s="29"/>
      <c r="R3" s="29"/>
      <c r="S3" s="25" t="s">
        <v>941</v>
      </c>
      <c r="T3" s="25" t="s">
        <v>126</v>
      </c>
      <c r="U3" s="25" t="s">
        <v>495</v>
      </c>
      <c r="V3" s="7">
        <v>2</v>
      </c>
    </row>
    <row r="4" spans="1:22" s="25" customFormat="1" x14ac:dyDescent="0.4">
      <c r="A4" s="25">
        <v>2025</v>
      </c>
      <c r="B4" s="25" t="s">
        <v>268</v>
      </c>
      <c r="C4" s="25" t="s">
        <v>937</v>
      </c>
      <c r="D4" s="25" t="s">
        <v>375</v>
      </c>
      <c r="E4" s="25" t="s">
        <v>512</v>
      </c>
      <c r="F4" s="7">
        <v>8</v>
      </c>
      <c r="G4" s="22">
        <v>57</v>
      </c>
      <c r="H4" s="22" t="s">
        <v>688</v>
      </c>
      <c r="I4" s="29">
        <v>6</v>
      </c>
      <c r="J4" s="29">
        <v>0</v>
      </c>
      <c r="K4" s="29">
        <v>6</v>
      </c>
      <c r="L4" s="29">
        <v>0</v>
      </c>
      <c r="M4" s="29"/>
      <c r="N4" s="29"/>
      <c r="O4" s="29"/>
      <c r="P4" s="29"/>
      <c r="Q4" s="29"/>
      <c r="R4" s="29"/>
      <c r="S4" s="25" t="s">
        <v>936</v>
      </c>
      <c r="T4" s="25" t="s">
        <v>28</v>
      </c>
      <c r="U4" s="25" t="s">
        <v>499</v>
      </c>
      <c r="V4" s="7">
        <v>13</v>
      </c>
    </row>
    <row r="5" spans="1:22" s="25" customFormat="1" x14ac:dyDescent="0.4">
      <c r="A5" s="25">
        <v>2025</v>
      </c>
      <c r="B5" s="25" t="s">
        <v>10</v>
      </c>
      <c r="C5" s="25" t="s">
        <v>934</v>
      </c>
      <c r="D5" s="25" t="s">
        <v>764</v>
      </c>
      <c r="E5" s="25" t="s">
        <v>758</v>
      </c>
      <c r="F5" s="7">
        <v>1</v>
      </c>
      <c r="G5" s="22">
        <v>184</v>
      </c>
      <c r="H5" s="22" t="s">
        <v>935</v>
      </c>
      <c r="I5" s="29">
        <v>4</v>
      </c>
      <c r="J5" s="29">
        <v>6</v>
      </c>
      <c r="K5" s="29">
        <v>6</v>
      </c>
      <c r="L5" s="29">
        <v>4</v>
      </c>
      <c r="M5" s="29">
        <v>6</v>
      </c>
      <c r="N5" s="29">
        <v>4</v>
      </c>
      <c r="O5" s="29">
        <v>6</v>
      </c>
      <c r="P5" s="29">
        <v>4</v>
      </c>
      <c r="Q5" s="29"/>
      <c r="R5" s="29"/>
      <c r="S5" s="25" t="s">
        <v>930</v>
      </c>
      <c r="T5" s="25" t="s">
        <v>135</v>
      </c>
      <c r="U5" s="25" t="s">
        <v>496</v>
      </c>
      <c r="V5" s="7">
        <v>2</v>
      </c>
    </row>
    <row r="6" spans="1:22" s="22" customFormat="1" x14ac:dyDescent="0.4">
      <c r="A6" s="22">
        <v>2024</v>
      </c>
      <c r="B6" s="25" t="s">
        <v>268</v>
      </c>
      <c r="C6" s="25" t="s">
        <v>931</v>
      </c>
      <c r="D6" s="25" t="s">
        <v>107</v>
      </c>
      <c r="E6" s="25" t="s">
        <v>500</v>
      </c>
      <c r="F6" s="7">
        <v>31</v>
      </c>
      <c r="G6" s="22">
        <v>116</v>
      </c>
      <c r="H6" s="22" t="s">
        <v>932</v>
      </c>
      <c r="I6" s="29">
        <v>6</v>
      </c>
      <c r="J6" s="29">
        <v>2</v>
      </c>
      <c r="K6" s="29">
        <v>2</v>
      </c>
      <c r="L6" s="29">
        <v>6</v>
      </c>
      <c r="M6" s="29">
        <v>6</v>
      </c>
      <c r="N6" s="29">
        <v>4</v>
      </c>
      <c r="O6" s="31"/>
      <c r="P6" s="31"/>
      <c r="Q6" s="31"/>
      <c r="R6" s="31"/>
      <c r="S6" s="25" t="s">
        <v>933</v>
      </c>
      <c r="T6" s="25" t="s">
        <v>764</v>
      </c>
      <c r="U6" s="25" t="s">
        <v>758</v>
      </c>
      <c r="V6" s="7">
        <v>7</v>
      </c>
    </row>
    <row r="7" spans="1:22" s="22" customFormat="1" x14ac:dyDescent="0.4">
      <c r="A7" s="22">
        <v>2024</v>
      </c>
      <c r="B7" s="25" t="s">
        <v>10</v>
      </c>
      <c r="C7" s="25" t="s">
        <v>930</v>
      </c>
      <c r="D7" s="25" t="s">
        <v>135</v>
      </c>
      <c r="E7" s="25" t="s">
        <v>496</v>
      </c>
      <c r="F7" s="7">
        <v>3</v>
      </c>
      <c r="G7" s="22">
        <v>147</v>
      </c>
      <c r="H7" s="22" t="s">
        <v>475</v>
      </c>
      <c r="I7" s="29">
        <v>6</v>
      </c>
      <c r="J7" s="29">
        <v>2</v>
      </c>
      <c r="K7" s="29">
        <v>6</v>
      </c>
      <c r="L7" s="29">
        <v>2</v>
      </c>
      <c r="M7" s="29">
        <v>7</v>
      </c>
      <c r="N7" s="29">
        <v>6</v>
      </c>
      <c r="O7" s="31"/>
      <c r="P7" s="31"/>
      <c r="Q7" s="31"/>
      <c r="R7" s="31"/>
      <c r="S7" s="25" t="s">
        <v>129</v>
      </c>
      <c r="T7" s="25" t="s">
        <v>131</v>
      </c>
      <c r="U7" s="25" t="s">
        <v>494</v>
      </c>
      <c r="V7" s="7">
        <v>2</v>
      </c>
    </row>
    <row r="8" spans="1:22" s="15" customFormat="1" x14ac:dyDescent="0.4">
      <c r="A8" s="15">
        <v>2023</v>
      </c>
      <c r="B8" s="25" t="s">
        <v>268</v>
      </c>
      <c r="C8" s="25" t="s">
        <v>928</v>
      </c>
      <c r="D8" s="25" t="s">
        <v>107</v>
      </c>
      <c r="E8" s="25" t="s">
        <v>500</v>
      </c>
      <c r="F8" s="7" t="s">
        <v>122</v>
      </c>
      <c r="G8" s="22">
        <v>80</v>
      </c>
      <c r="H8" s="22" t="s">
        <v>321</v>
      </c>
      <c r="I8" s="29">
        <v>6</v>
      </c>
      <c r="J8" s="29">
        <v>4</v>
      </c>
      <c r="K8" s="29">
        <v>6</v>
      </c>
      <c r="L8" s="29">
        <v>4</v>
      </c>
      <c r="M8" s="29"/>
      <c r="N8" s="29"/>
      <c r="O8" s="29"/>
      <c r="P8" s="29"/>
      <c r="Q8" s="29"/>
      <c r="R8" s="29"/>
      <c r="S8" s="25" t="s">
        <v>929</v>
      </c>
      <c r="T8" s="25" t="s">
        <v>903</v>
      </c>
      <c r="U8" s="30" t="s">
        <v>901</v>
      </c>
      <c r="V8" s="7">
        <v>6</v>
      </c>
    </row>
    <row r="9" spans="1:22" s="15" customFormat="1" x14ac:dyDescent="0.4">
      <c r="A9" s="15">
        <v>2023</v>
      </c>
      <c r="B9" s="25" t="s">
        <v>10</v>
      </c>
      <c r="C9" s="25" t="s">
        <v>925</v>
      </c>
      <c r="D9" s="25" t="s">
        <v>135</v>
      </c>
      <c r="E9" s="25" t="s">
        <v>496</v>
      </c>
      <c r="F9" s="7">
        <v>1</v>
      </c>
      <c r="G9" s="22">
        <v>283</v>
      </c>
      <c r="H9" s="22" t="s">
        <v>926</v>
      </c>
      <c r="I9" s="29">
        <v>1</v>
      </c>
      <c r="J9" s="29">
        <v>6</v>
      </c>
      <c r="K9" s="29">
        <v>7</v>
      </c>
      <c r="L9" s="29">
        <v>6</v>
      </c>
      <c r="M9" s="29">
        <v>6</v>
      </c>
      <c r="N9" s="29">
        <v>1</v>
      </c>
      <c r="O9" s="29">
        <v>3</v>
      </c>
      <c r="P9" s="29">
        <v>6</v>
      </c>
      <c r="Q9" s="29">
        <v>6</v>
      </c>
      <c r="R9" s="29">
        <v>4</v>
      </c>
      <c r="S9" s="25" t="s">
        <v>927</v>
      </c>
      <c r="T9" s="25" t="s">
        <v>131</v>
      </c>
      <c r="U9" s="25" t="s">
        <v>494</v>
      </c>
      <c r="V9" s="7">
        <v>2</v>
      </c>
    </row>
    <row r="10" spans="1:22" s="15" customFormat="1" x14ac:dyDescent="0.4">
      <c r="A10" s="15">
        <v>2022</v>
      </c>
      <c r="B10" s="25" t="s">
        <v>268</v>
      </c>
      <c r="C10" s="25" t="s">
        <v>904</v>
      </c>
      <c r="D10" s="25" t="s">
        <v>902</v>
      </c>
      <c r="E10" s="25" t="s">
        <v>898</v>
      </c>
      <c r="F10" s="7">
        <v>17</v>
      </c>
      <c r="G10" s="22">
        <v>108</v>
      </c>
      <c r="H10" s="22" t="s">
        <v>900</v>
      </c>
      <c r="I10" s="29">
        <v>3</v>
      </c>
      <c r="J10" s="29">
        <v>6</v>
      </c>
      <c r="K10" s="29">
        <v>6</v>
      </c>
      <c r="L10" s="29">
        <v>5</v>
      </c>
      <c r="M10" s="29">
        <v>6</v>
      </c>
      <c r="N10" s="29">
        <v>2</v>
      </c>
      <c r="O10" s="29"/>
      <c r="P10" s="29"/>
      <c r="Q10" s="29"/>
      <c r="R10" s="29"/>
      <c r="S10" s="25" t="s">
        <v>905</v>
      </c>
      <c r="T10" s="25" t="s">
        <v>903</v>
      </c>
      <c r="U10" s="25" t="s">
        <v>901</v>
      </c>
      <c r="V10" s="7">
        <v>3</v>
      </c>
    </row>
    <row r="11" spans="1:22" s="15" customFormat="1" x14ac:dyDescent="0.4">
      <c r="A11" s="15">
        <v>2022</v>
      </c>
      <c r="B11" s="25" t="s">
        <v>10</v>
      </c>
      <c r="C11" s="25" t="s">
        <v>129</v>
      </c>
      <c r="D11" s="25" t="s">
        <v>131</v>
      </c>
      <c r="E11" s="25" t="s">
        <v>494</v>
      </c>
      <c r="F11" s="7">
        <v>1</v>
      </c>
      <c r="G11" s="22">
        <v>181</v>
      </c>
      <c r="H11" s="22" t="s">
        <v>907</v>
      </c>
      <c r="I11" s="29">
        <v>4</v>
      </c>
      <c r="J11" s="29">
        <v>6</v>
      </c>
      <c r="K11" s="29">
        <v>6</v>
      </c>
      <c r="L11" s="29">
        <v>3</v>
      </c>
      <c r="M11" s="29">
        <v>6</v>
      </c>
      <c r="N11" s="29">
        <v>4</v>
      </c>
      <c r="O11" s="29">
        <v>7</v>
      </c>
      <c r="P11" s="29">
        <v>6</v>
      </c>
      <c r="Q11" s="29"/>
      <c r="R11" s="29"/>
      <c r="S11" s="25" t="s">
        <v>906</v>
      </c>
      <c r="T11" s="25" t="s">
        <v>760</v>
      </c>
      <c r="U11" s="25" t="s">
        <v>503</v>
      </c>
      <c r="V11" s="7" t="s">
        <v>122</v>
      </c>
    </row>
    <row r="12" spans="1:22" s="22" customFormat="1" x14ac:dyDescent="0.4">
      <c r="A12" s="22">
        <v>2021</v>
      </c>
      <c r="B12" s="25" t="s">
        <v>268</v>
      </c>
      <c r="C12" s="25" t="s">
        <v>759</v>
      </c>
      <c r="D12" s="25" t="s">
        <v>12</v>
      </c>
      <c r="E12" s="25" t="s">
        <v>503</v>
      </c>
      <c r="F12" s="7">
        <v>1</v>
      </c>
      <c r="G12" s="22">
        <v>116</v>
      </c>
      <c r="H12" s="22" t="s">
        <v>914</v>
      </c>
      <c r="I12" s="29">
        <v>6</v>
      </c>
      <c r="J12" s="29">
        <v>3</v>
      </c>
      <c r="K12" s="29">
        <v>6</v>
      </c>
      <c r="L12" s="29">
        <v>7</v>
      </c>
      <c r="M12" s="29">
        <v>6</v>
      </c>
      <c r="N12" s="29">
        <v>3</v>
      </c>
      <c r="O12" s="29"/>
      <c r="P12" s="29"/>
      <c r="Q12" s="29"/>
      <c r="R12" s="29"/>
      <c r="S12" s="25" t="s">
        <v>762</v>
      </c>
      <c r="T12" s="25" t="s">
        <v>107</v>
      </c>
      <c r="U12" s="25" t="s">
        <v>500</v>
      </c>
      <c r="V12" s="7">
        <v>8</v>
      </c>
    </row>
    <row r="13" spans="1:22" s="22" customFormat="1" x14ac:dyDescent="0.4">
      <c r="A13" s="22">
        <v>2021</v>
      </c>
      <c r="B13" s="25" t="s">
        <v>10</v>
      </c>
      <c r="C13" s="25" t="s">
        <v>129</v>
      </c>
      <c r="D13" s="25" t="s">
        <v>131</v>
      </c>
      <c r="E13" s="25" t="s">
        <v>494</v>
      </c>
      <c r="F13" s="7">
        <v>1</v>
      </c>
      <c r="G13" s="22">
        <v>204</v>
      </c>
      <c r="H13" s="22" t="s">
        <v>908</v>
      </c>
      <c r="I13" s="29">
        <v>6</v>
      </c>
      <c r="J13" s="29">
        <v>7</v>
      </c>
      <c r="K13" s="29">
        <v>6</v>
      </c>
      <c r="L13" s="29">
        <v>4</v>
      </c>
      <c r="M13" s="29">
        <v>6</v>
      </c>
      <c r="N13" s="29">
        <v>4</v>
      </c>
      <c r="O13" s="29">
        <v>6</v>
      </c>
      <c r="P13" s="29">
        <v>3</v>
      </c>
      <c r="Q13" s="29"/>
      <c r="R13" s="29"/>
      <c r="S13" s="25" t="s">
        <v>757</v>
      </c>
      <c r="T13" s="25" t="s">
        <v>764</v>
      </c>
      <c r="U13" s="25" t="s">
        <v>758</v>
      </c>
      <c r="V13" s="7">
        <v>7</v>
      </c>
    </row>
    <row r="14" spans="1:22" x14ac:dyDescent="0.4">
      <c r="A14">
        <v>2019</v>
      </c>
      <c r="B14" s="25" t="s">
        <v>268</v>
      </c>
      <c r="C14" s="25" t="s">
        <v>471</v>
      </c>
      <c r="D14" s="25" t="s">
        <v>472</v>
      </c>
      <c r="E14" s="25" t="s">
        <v>493</v>
      </c>
      <c r="F14" s="7">
        <v>7</v>
      </c>
      <c r="G14" s="22">
        <v>56</v>
      </c>
      <c r="H14" s="22" t="s">
        <v>473</v>
      </c>
      <c r="I14" s="22">
        <v>6</v>
      </c>
      <c r="J14" s="29">
        <v>2</v>
      </c>
      <c r="K14" s="29">
        <v>6</v>
      </c>
      <c r="L14" s="29">
        <v>2</v>
      </c>
      <c r="S14" s="25" t="s">
        <v>416</v>
      </c>
      <c r="T14" s="25" t="s">
        <v>28</v>
      </c>
      <c r="U14" s="25" t="s">
        <v>499</v>
      </c>
      <c r="V14" s="7">
        <v>11</v>
      </c>
    </row>
    <row r="15" spans="1:22" x14ac:dyDescent="0.4">
      <c r="A15">
        <v>2019</v>
      </c>
      <c r="B15" s="25" t="s">
        <v>10</v>
      </c>
      <c r="C15" s="25" t="s">
        <v>129</v>
      </c>
      <c r="D15" s="25" t="s">
        <v>131</v>
      </c>
      <c r="E15" s="25" t="s">
        <v>494</v>
      </c>
      <c r="F15" s="7">
        <v>1</v>
      </c>
      <c r="G15" s="22">
        <v>297</v>
      </c>
      <c r="H15" s="22" t="s">
        <v>909</v>
      </c>
      <c r="I15" s="22">
        <v>7</v>
      </c>
      <c r="J15" s="29">
        <v>6</v>
      </c>
      <c r="K15" s="29">
        <v>1</v>
      </c>
      <c r="L15" s="29">
        <v>6</v>
      </c>
      <c r="M15" s="29">
        <v>7</v>
      </c>
      <c r="N15" s="29">
        <v>6</v>
      </c>
      <c r="O15" s="29">
        <v>4</v>
      </c>
      <c r="P15" s="29">
        <v>6</v>
      </c>
      <c r="Q15" s="22">
        <v>7</v>
      </c>
      <c r="R15" s="29">
        <v>6</v>
      </c>
      <c r="S15" s="25" t="s">
        <v>132</v>
      </c>
      <c r="T15" s="25" t="s">
        <v>130</v>
      </c>
      <c r="U15" s="25" t="s">
        <v>497</v>
      </c>
      <c r="V15" s="7">
        <v>2</v>
      </c>
    </row>
    <row r="16" spans="1:22" x14ac:dyDescent="0.4">
      <c r="A16">
        <v>2018</v>
      </c>
      <c r="B16" s="25" t="s">
        <v>268</v>
      </c>
      <c r="C16" s="25" t="s">
        <v>428</v>
      </c>
      <c r="D16" s="25" t="s">
        <v>126</v>
      </c>
      <c r="E16" s="25" t="s">
        <v>495</v>
      </c>
      <c r="F16" s="7">
        <v>11</v>
      </c>
      <c r="G16" s="22">
        <v>65</v>
      </c>
      <c r="H16" s="22" t="s">
        <v>477</v>
      </c>
      <c r="I16" s="22">
        <v>6</v>
      </c>
      <c r="J16" s="29">
        <v>3</v>
      </c>
      <c r="K16" s="29">
        <v>6</v>
      </c>
      <c r="L16" s="29">
        <v>3</v>
      </c>
      <c r="S16" s="25" t="s">
        <v>416</v>
      </c>
      <c r="T16" s="25" t="s">
        <v>28</v>
      </c>
      <c r="U16" s="25" t="s">
        <v>499</v>
      </c>
      <c r="V16" s="7">
        <v>25</v>
      </c>
    </row>
    <row r="17" spans="1:22" x14ac:dyDescent="0.4">
      <c r="A17">
        <v>2018</v>
      </c>
      <c r="B17" s="25" t="s">
        <v>10</v>
      </c>
      <c r="C17" s="25" t="s">
        <v>129</v>
      </c>
      <c r="D17" s="25" t="s">
        <v>131</v>
      </c>
      <c r="E17" s="25" t="s">
        <v>494</v>
      </c>
      <c r="F17" s="7">
        <v>12</v>
      </c>
      <c r="G17" s="22">
        <v>170</v>
      </c>
      <c r="H17" s="22" t="s">
        <v>910</v>
      </c>
      <c r="I17" s="22">
        <v>6</v>
      </c>
      <c r="J17" s="29">
        <v>2</v>
      </c>
      <c r="K17" s="29">
        <v>6</v>
      </c>
      <c r="L17" s="29">
        <v>2</v>
      </c>
      <c r="M17" s="29">
        <v>7</v>
      </c>
      <c r="N17" s="29">
        <v>6</v>
      </c>
      <c r="S17" s="25" t="s">
        <v>891</v>
      </c>
      <c r="T17" s="25" t="s">
        <v>90</v>
      </c>
      <c r="U17" s="25" t="s">
        <v>509</v>
      </c>
      <c r="V17" s="7">
        <v>8</v>
      </c>
    </row>
    <row r="18" spans="1:22" x14ac:dyDescent="0.4">
      <c r="A18">
        <v>2017</v>
      </c>
      <c r="B18" s="25" t="s">
        <v>268</v>
      </c>
      <c r="C18" s="25" t="s">
        <v>417</v>
      </c>
      <c r="D18" s="25" t="s">
        <v>135</v>
      </c>
      <c r="E18" s="25" t="s">
        <v>496</v>
      </c>
      <c r="F18" s="7">
        <v>14</v>
      </c>
      <c r="G18" s="22">
        <v>77</v>
      </c>
      <c r="H18" s="22" t="s">
        <v>482</v>
      </c>
      <c r="I18" s="22">
        <v>7</v>
      </c>
      <c r="J18" s="29">
        <v>5</v>
      </c>
      <c r="K18" s="29">
        <v>6</v>
      </c>
      <c r="L18" s="29">
        <v>0</v>
      </c>
      <c r="S18" s="25" t="s">
        <v>430</v>
      </c>
      <c r="T18" s="25" t="s">
        <v>28</v>
      </c>
      <c r="U18" s="25" t="s">
        <v>499</v>
      </c>
      <c r="V18" s="7">
        <v>10</v>
      </c>
    </row>
    <row r="19" spans="1:22" x14ac:dyDescent="0.4">
      <c r="A19">
        <v>2017</v>
      </c>
      <c r="B19" s="25" t="s">
        <v>10</v>
      </c>
      <c r="C19" s="25" t="s">
        <v>132</v>
      </c>
      <c r="D19" s="25" t="s">
        <v>130</v>
      </c>
      <c r="E19" s="25" t="s">
        <v>497</v>
      </c>
      <c r="F19" s="7">
        <v>3</v>
      </c>
      <c r="G19" s="22">
        <v>101</v>
      </c>
      <c r="H19" s="22" t="s">
        <v>478</v>
      </c>
      <c r="I19" s="22">
        <v>6</v>
      </c>
      <c r="J19" s="29">
        <v>3</v>
      </c>
      <c r="K19" s="29">
        <v>6</v>
      </c>
      <c r="L19" s="29">
        <v>1</v>
      </c>
      <c r="M19" s="29">
        <v>6</v>
      </c>
      <c r="N19" s="29">
        <v>4</v>
      </c>
      <c r="S19" s="25" t="s">
        <v>479</v>
      </c>
      <c r="T19" s="25" t="s">
        <v>153</v>
      </c>
      <c r="U19" s="25" t="s">
        <v>504</v>
      </c>
      <c r="V19" s="7">
        <v>7</v>
      </c>
    </row>
    <row r="20" spans="1:22" x14ac:dyDescent="0.4">
      <c r="A20">
        <v>2016</v>
      </c>
      <c r="B20" s="25" t="s">
        <v>268</v>
      </c>
      <c r="C20" s="25" t="s">
        <v>416</v>
      </c>
      <c r="D20" s="25" t="s">
        <v>28</v>
      </c>
      <c r="E20" s="25" t="s">
        <v>499</v>
      </c>
      <c r="F20" s="7">
        <v>1</v>
      </c>
      <c r="G20" s="22">
        <v>83</v>
      </c>
      <c r="H20" s="22" t="s">
        <v>427</v>
      </c>
      <c r="I20" s="22">
        <v>7</v>
      </c>
      <c r="J20" s="29">
        <v>5</v>
      </c>
      <c r="K20" s="29">
        <v>6</v>
      </c>
      <c r="L20" s="29">
        <v>3</v>
      </c>
      <c r="S20" s="25" t="s">
        <v>428</v>
      </c>
      <c r="T20" s="25" t="s">
        <v>126</v>
      </c>
      <c r="U20" s="25" t="s">
        <v>495</v>
      </c>
      <c r="V20" s="7">
        <v>4</v>
      </c>
    </row>
    <row r="21" spans="1:22" x14ac:dyDescent="0.4">
      <c r="A21">
        <v>2016</v>
      </c>
      <c r="B21" s="25" t="s">
        <v>10</v>
      </c>
      <c r="C21" s="25" t="s">
        <v>203</v>
      </c>
      <c r="D21" s="25" t="s">
        <v>15</v>
      </c>
      <c r="E21" s="25" t="s">
        <v>498</v>
      </c>
      <c r="F21" s="7">
        <v>2</v>
      </c>
      <c r="G21" s="22">
        <v>170</v>
      </c>
      <c r="H21" s="22" t="s">
        <v>911</v>
      </c>
      <c r="I21" s="22">
        <v>6</v>
      </c>
      <c r="J21" s="29">
        <v>4</v>
      </c>
      <c r="K21" s="29">
        <v>7</v>
      </c>
      <c r="L21" s="29">
        <v>6</v>
      </c>
      <c r="M21" s="29">
        <v>7</v>
      </c>
      <c r="N21" s="29">
        <v>6</v>
      </c>
      <c r="S21" s="25" t="s">
        <v>206</v>
      </c>
      <c r="T21" s="25" t="s">
        <v>205</v>
      </c>
      <c r="U21" s="25" t="s">
        <v>511</v>
      </c>
      <c r="V21" s="7">
        <v>6</v>
      </c>
    </row>
    <row r="22" spans="1:22" x14ac:dyDescent="0.4">
      <c r="A22">
        <v>2015</v>
      </c>
      <c r="B22" s="25" t="s">
        <v>268</v>
      </c>
      <c r="C22" s="25" t="s">
        <v>416</v>
      </c>
      <c r="D22" s="25" t="s">
        <v>28</v>
      </c>
      <c r="E22" s="25" t="s">
        <v>499</v>
      </c>
      <c r="F22" s="7">
        <v>1</v>
      </c>
      <c r="G22" s="22">
        <v>83</v>
      </c>
      <c r="H22" s="22" t="s">
        <v>321</v>
      </c>
      <c r="I22" s="22">
        <v>6</v>
      </c>
      <c r="J22" s="29">
        <v>4</v>
      </c>
      <c r="K22" s="29">
        <v>6</v>
      </c>
      <c r="L22" s="29">
        <v>4</v>
      </c>
      <c r="S22" s="25" t="s">
        <v>417</v>
      </c>
      <c r="T22" s="25" t="s">
        <v>135</v>
      </c>
      <c r="U22" s="25" t="s">
        <v>496</v>
      </c>
      <c r="V22" s="7">
        <v>20</v>
      </c>
    </row>
    <row r="23" spans="1:22" x14ac:dyDescent="0.4">
      <c r="A23">
        <v>2015</v>
      </c>
      <c r="B23" s="25" t="s">
        <v>10</v>
      </c>
      <c r="C23" s="25" t="s">
        <v>129</v>
      </c>
      <c r="D23" s="25" t="s">
        <v>131</v>
      </c>
      <c r="E23" s="25" t="s">
        <v>494</v>
      </c>
      <c r="F23" s="7">
        <v>1</v>
      </c>
      <c r="G23" s="22">
        <v>176</v>
      </c>
      <c r="H23" s="22" t="s">
        <v>912</v>
      </c>
      <c r="I23" s="22">
        <v>7</v>
      </c>
      <c r="J23" s="29">
        <v>6</v>
      </c>
      <c r="K23" s="29">
        <v>6</v>
      </c>
      <c r="L23" s="29">
        <v>7</v>
      </c>
      <c r="M23" s="29">
        <v>6</v>
      </c>
      <c r="N23" s="29">
        <v>4</v>
      </c>
      <c r="O23" s="29">
        <v>6</v>
      </c>
      <c r="P23" s="29">
        <v>3</v>
      </c>
      <c r="S23" s="25" t="s">
        <v>132</v>
      </c>
      <c r="T23" s="25" t="s">
        <v>130</v>
      </c>
      <c r="U23" s="25" t="s">
        <v>497</v>
      </c>
      <c r="V23" s="7">
        <v>2</v>
      </c>
    </row>
    <row r="24" spans="1:22" x14ac:dyDescent="0.4">
      <c r="A24">
        <v>2014</v>
      </c>
      <c r="B24" s="25" t="s">
        <v>268</v>
      </c>
      <c r="C24" s="25" t="s">
        <v>291</v>
      </c>
      <c r="D24" s="25" t="s">
        <v>107</v>
      </c>
      <c r="E24" s="25" t="s">
        <v>500</v>
      </c>
      <c r="F24" s="7">
        <v>6</v>
      </c>
      <c r="G24" s="22">
        <v>55</v>
      </c>
      <c r="H24" s="22" t="s">
        <v>292</v>
      </c>
      <c r="I24" s="22">
        <v>6</v>
      </c>
      <c r="J24" s="29">
        <v>3</v>
      </c>
      <c r="K24" s="29">
        <v>6</v>
      </c>
      <c r="L24" s="29">
        <v>0</v>
      </c>
      <c r="S24" s="25" t="s">
        <v>293</v>
      </c>
      <c r="T24" s="25" t="s">
        <v>205</v>
      </c>
      <c r="U24" s="25" t="s">
        <v>511</v>
      </c>
      <c r="V24" s="7">
        <v>13</v>
      </c>
    </row>
    <row r="25" spans="1:22" x14ac:dyDescent="0.4">
      <c r="A25">
        <v>2014</v>
      </c>
      <c r="B25" s="25" t="s">
        <v>10</v>
      </c>
      <c r="C25" s="25" t="s">
        <v>129</v>
      </c>
      <c r="D25" s="25" t="s">
        <v>131</v>
      </c>
      <c r="E25" s="25" t="s">
        <v>494</v>
      </c>
      <c r="F25" s="7">
        <v>1</v>
      </c>
      <c r="G25" s="22">
        <v>236</v>
      </c>
      <c r="H25" s="22" t="s">
        <v>913</v>
      </c>
      <c r="I25" s="22">
        <v>6</v>
      </c>
      <c r="J25" s="29">
        <v>7</v>
      </c>
      <c r="K25" s="29">
        <v>6</v>
      </c>
      <c r="L25" s="29">
        <v>4</v>
      </c>
      <c r="M25" s="29">
        <v>7</v>
      </c>
      <c r="N25" s="29">
        <v>6</v>
      </c>
      <c r="O25" s="29">
        <v>5</v>
      </c>
      <c r="P25" s="29">
        <v>7</v>
      </c>
      <c r="Q25" s="22">
        <v>6</v>
      </c>
      <c r="R25" s="29">
        <v>4</v>
      </c>
      <c r="S25" s="25" t="s">
        <v>132</v>
      </c>
      <c r="T25" s="25" t="s">
        <v>130</v>
      </c>
      <c r="U25" s="25" t="s">
        <v>497</v>
      </c>
      <c r="V25" s="7">
        <v>4</v>
      </c>
    </row>
    <row r="26" spans="1:22" x14ac:dyDescent="0.4">
      <c r="A26">
        <v>2013</v>
      </c>
      <c r="B26" s="25" t="s">
        <v>268</v>
      </c>
      <c r="C26" s="25" t="s">
        <v>314</v>
      </c>
      <c r="D26" s="25" t="s">
        <v>24</v>
      </c>
      <c r="E26" s="25" t="s">
        <v>501</v>
      </c>
      <c r="F26" s="7">
        <v>15</v>
      </c>
      <c r="G26" s="22">
        <v>81</v>
      </c>
      <c r="H26" s="22" t="s">
        <v>315</v>
      </c>
      <c r="I26" s="22">
        <v>6</v>
      </c>
      <c r="J26" s="29">
        <v>2</v>
      </c>
      <c r="K26" s="29">
        <v>1</v>
      </c>
      <c r="L26" s="29">
        <v>6</v>
      </c>
      <c r="M26" s="29">
        <v>6</v>
      </c>
      <c r="N26" s="29">
        <v>4</v>
      </c>
      <c r="S26" s="25" t="s">
        <v>316</v>
      </c>
      <c r="T26" s="25" t="s">
        <v>126</v>
      </c>
      <c r="U26" s="25" t="s">
        <v>495</v>
      </c>
      <c r="V26" s="7">
        <v>23</v>
      </c>
    </row>
    <row r="27" spans="1:22" x14ac:dyDescent="0.4">
      <c r="A27">
        <v>2013</v>
      </c>
      <c r="B27" s="25" t="s">
        <v>10</v>
      </c>
      <c r="C27" s="25" t="s">
        <v>203</v>
      </c>
      <c r="D27" s="25" t="s">
        <v>15</v>
      </c>
      <c r="E27" s="25" t="s">
        <v>498</v>
      </c>
      <c r="F27" s="7">
        <v>2</v>
      </c>
      <c r="G27" s="22">
        <v>134</v>
      </c>
      <c r="H27" s="22" t="s">
        <v>204</v>
      </c>
      <c r="I27" s="22">
        <v>6</v>
      </c>
      <c r="J27" s="29">
        <v>4</v>
      </c>
      <c r="K27" s="29">
        <v>7</v>
      </c>
      <c r="L27" s="29">
        <v>5</v>
      </c>
      <c r="M27" s="29">
        <v>6</v>
      </c>
      <c r="N27" s="29">
        <v>4</v>
      </c>
      <c r="S27" s="25" t="s">
        <v>129</v>
      </c>
      <c r="T27" s="25" t="s">
        <v>131</v>
      </c>
      <c r="U27" s="25" t="s">
        <v>494</v>
      </c>
      <c r="V27" s="7">
        <v>1</v>
      </c>
    </row>
    <row r="28" spans="1:22" x14ac:dyDescent="0.4">
      <c r="A28">
        <v>2012</v>
      </c>
      <c r="B28" s="25" t="s">
        <v>268</v>
      </c>
      <c r="C28" s="25" t="s">
        <v>416</v>
      </c>
      <c r="D28" s="25" t="s">
        <v>28</v>
      </c>
      <c r="E28" s="25" t="s">
        <v>499</v>
      </c>
      <c r="F28" s="7">
        <v>6</v>
      </c>
      <c r="G28" s="22">
        <v>122</v>
      </c>
      <c r="H28" s="22" t="s">
        <v>466</v>
      </c>
      <c r="I28" s="22">
        <v>6</v>
      </c>
      <c r="J28" s="29">
        <v>1</v>
      </c>
      <c r="K28" s="29">
        <v>5</v>
      </c>
      <c r="L28" s="29">
        <v>7</v>
      </c>
      <c r="M28" s="29">
        <v>6</v>
      </c>
      <c r="N28" s="29">
        <v>2</v>
      </c>
      <c r="S28" s="25" t="s">
        <v>467</v>
      </c>
      <c r="T28" s="25" t="s">
        <v>375</v>
      </c>
      <c r="U28" s="25" t="s">
        <v>512</v>
      </c>
      <c r="V28" s="7">
        <v>3</v>
      </c>
    </row>
    <row r="29" spans="1:22" x14ac:dyDescent="0.4">
      <c r="A29">
        <v>2012</v>
      </c>
      <c r="B29" s="25" t="s">
        <v>10</v>
      </c>
      <c r="C29" s="25" t="s">
        <v>132</v>
      </c>
      <c r="D29" s="25" t="s">
        <v>130</v>
      </c>
      <c r="E29" s="25" t="s">
        <v>497</v>
      </c>
      <c r="F29" s="7">
        <v>3</v>
      </c>
      <c r="G29" s="22">
        <v>204</v>
      </c>
      <c r="H29" s="22" t="s">
        <v>230</v>
      </c>
      <c r="I29" s="22">
        <v>4</v>
      </c>
      <c r="J29" s="29">
        <v>6</v>
      </c>
      <c r="K29" s="29">
        <v>7</v>
      </c>
      <c r="L29" s="29">
        <v>5</v>
      </c>
      <c r="M29" s="29">
        <v>6</v>
      </c>
      <c r="N29" s="29">
        <v>3</v>
      </c>
      <c r="O29" s="29">
        <v>6</v>
      </c>
      <c r="P29" s="29">
        <v>4</v>
      </c>
      <c r="S29" s="25" t="s">
        <v>203</v>
      </c>
      <c r="T29" s="25" t="s">
        <v>15</v>
      </c>
      <c r="U29" s="25" t="s">
        <v>498</v>
      </c>
      <c r="V29" s="7">
        <v>4</v>
      </c>
    </row>
    <row r="30" spans="1:22" x14ac:dyDescent="0.4">
      <c r="A30">
        <v>2011</v>
      </c>
      <c r="B30" s="25" t="s">
        <v>268</v>
      </c>
      <c r="C30" s="25" t="s">
        <v>889</v>
      </c>
      <c r="D30" s="25" t="s">
        <v>107</v>
      </c>
      <c r="E30" s="25" t="s">
        <v>500</v>
      </c>
      <c r="F30" s="7">
        <v>8</v>
      </c>
      <c r="G30" s="22">
        <v>85</v>
      </c>
      <c r="H30" s="22" t="s">
        <v>295</v>
      </c>
      <c r="I30" s="22">
        <v>6</v>
      </c>
      <c r="J30" s="29">
        <v>3</v>
      </c>
      <c r="K30" s="29">
        <v>6</v>
      </c>
      <c r="L30" s="29">
        <v>4</v>
      </c>
      <c r="S30" s="25" t="s">
        <v>297</v>
      </c>
      <c r="T30" s="25" t="s">
        <v>296</v>
      </c>
      <c r="U30" s="25" t="s">
        <v>502</v>
      </c>
      <c r="V30" s="7">
        <v>5</v>
      </c>
    </row>
    <row r="31" spans="1:22" x14ac:dyDescent="0.4">
      <c r="A31">
        <v>2011</v>
      </c>
      <c r="B31" s="25" t="s">
        <v>10</v>
      </c>
      <c r="C31" s="25" t="s">
        <v>129</v>
      </c>
      <c r="D31" s="25" t="s">
        <v>131</v>
      </c>
      <c r="E31" s="25" t="s">
        <v>494</v>
      </c>
      <c r="F31" s="7">
        <v>2</v>
      </c>
      <c r="G31" s="22">
        <v>148</v>
      </c>
      <c r="H31" s="22" t="s">
        <v>208</v>
      </c>
      <c r="I31" s="22">
        <v>6</v>
      </c>
      <c r="J31" s="29">
        <v>4</v>
      </c>
      <c r="K31" s="29">
        <v>6</v>
      </c>
      <c r="L31" s="29">
        <v>1</v>
      </c>
      <c r="M31" s="29">
        <v>1</v>
      </c>
      <c r="N31" s="29">
        <v>6</v>
      </c>
      <c r="O31" s="29">
        <v>6</v>
      </c>
      <c r="P31" s="29">
        <v>3</v>
      </c>
      <c r="S31" s="25" t="s">
        <v>136</v>
      </c>
      <c r="T31" s="25" t="s">
        <v>135</v>
      </c>
      <c r="U31" s="25" t="s">
        <v>496</v>
      </c>
      <c r="V31" s="7">
        <v>1</v>
      </c>
    </row>
    <row r="32" spans="1:22" x14ac:dyDescent="0.4">
      <c r="A32">
        <v>2010</v>
      </c>
      <c r="B32" s="25" t="s">
        <v>268</v>
      </c>
      <c r="C32" s="25" t="s">
        <v>416</v>
      </c>
      <c r="D32" s="25" t="s">
        <v>28</v>
      </c>
      <c r="E32" s="25" t="s">
        <v>499</v>
      </c>
      <c r="F32" s="7">
        <v>1</v>
      </c>
      <c r="G32" s="22">
        <v>66</v>
      </c>
      <c r="H32" s="22" t="s">
        <v>418</v>
      </c>
      <c r="I32" s="22">
        <v>6</v>
      </c>
      <c r="J32" s="29">
        <v>3</v>
      </c>
      <c r="K32" s="29">
        <v>6</v>
      </c>
      <c r="L32" s="29">
        <v>2</v>
      </c>
      <c r="S32" s="25" t="s">
        <v>419</v>
      </c>
      <c r="T32" s="25" t="s">
        <v>296</v>
      </c>
      <c r="U32" s="25" t="s">
        <v>502</v>
      </c>
      <c r="V32" s="7">
        <v>21</v>
      </c>
    </row>
    <row r="33" spans="1:22" x14ac:dyDescent="0.4">
      <c r="A33">
        <v>2010</v>
      </c>
      <c r="B33" s="25" t="s">
        <v>10</v>
      </c>
      <c r="C33" s="25" t="s">
        <v>136</v>
      </c>
      <c r="D33" s="25" t="s">
        <v>135</v>
      </c>
      <c r="E33" s="25" t="s">
        <v>496</v>
      </c>
      <c r="F33" s="7">
        <v>2</v>
      </c>
      <c r="G33" s="22">
        <v>133</v>
      </c>
      <c r="H33" s="22" t="s">
        <v>200</v>
      </c>
      <c r="I33" s="22">
        <v>6</v>
      </c>
      <c r="J33" s="29">
        <v>3</v>
      </c>
      <c r="K33" s="29">
        <v>7</v>
      </c>
      <c r="L33" s="29">
        <v>5</v>
      </c>
      <c r="M33" s="29">
        <v>6</v>
      </c>
      <c r="N33" s="29">
        <v>4</v>
      </c>
      <c r="S33" s="25" t="s">
        <v>199</v>
      </c>
      <c r="T33" s="25" t="s">
        <v>107</v>
      </c>
      <c r="U33" s="25" t="s">
        <v>500</v>
      </c>
      <c r="V33" s="7">
        <v>12</v>
      </c>
    </row>
    <row r="34" spans="1:22" x14ac:dyDescent="0.4">
      <c r="A34">
        <v>2009</v>
      </c>
      <c r="B34" s="25" t="s">
        <v>268</v>
      </c>
      <c r="C34" s="25" t="s">
        <v>416</v>
      </c>
      <c r="D34" s="25" t="s">
        <v>28</v>
      </c>
      <c r="E34" s="25" t="s">
        <v>499</v>
      </c>
      <c r="F34" s="7">
        <v>2</v>
      </c>
      <c r="G34" s="22">
        <v>87</v>
      </c>
      <c r="H34" s="22" t="s">
        <v>447</v>
      </c>
      <c r="I34" s="22">
        <v>7</v>
      </c>
      <c r="J34" s="29">
        <v>6</v>
      </c>
      <c r="K34" s="29">
        <v>6</v>
      </c>
      <c r="L34" s="29">
        <v>2</v>
      </c>
      <c r="S34" s="25" t="s">
        <v>430</v>
      </c>
      <c r="T34" s="25" t="s">
        <v>28</v>
      </c>
      <c r="U34" s="25" t="s">
        <v>499</v>
      </c>
      <c r="V34" s="7">
        <v>3</v>
      </c>
    </row>
    <row r="35" spans="1:22" x14ac:dyDescent="0.4">
      <c r="A35">
        <v>2009</v>
      </c>
      <c r="B35" s="25" t="s">
        <v>10</v>
      </c>
      <c r="C35" s="25" t="s">
        <v>132</v>
      </c>
      <c r="D35" s="25" t="s">
        <v>130</v>
      </c>
      <c r="E35" s="25" t="s">
        <v>497</v>
      </c>
      <c r="F35" s="7">
        <v>2</v>
      </c>
      <c r="G35" s="22">
        <v>256</v>
      </c>
      <c r="H35" s="22" t="s">
        <v>209</v>
      </c>
      <c r="I35" s="22">
        <v>5</v>
      </c>
      <c r="J35" s="29">
        <v>7</v>
      </c>
      <c r="K35" s="29">
        <v>7</v>
      </c>
      <c r="L35" s="29">
        <v>6</v>
      </c>
      <c r="M35" s="29">
        <v>7</v>
      </c>
      <c r="N35" s="29">
        <v>6</v>
      </c>
      <c r="O35" s="29">
        <v>3</v>
      </c>
      <c r="P35" s="29">
        <v>6</v>
      </c>
      <c r="Q35" s="22">
        <v>16</v>
      </c>
      <c r="R35" s="29">
        <v>14</v>
      </c>
      <c r="S35" s="25" t="s">
        <v>139</v>
      </c>
      <c r="T35" s="25" t="s">
        <v>28</v>
      </c>
      <c r="U35" s="25" t="s">
        <v>499</v>
      </c>
      <c r="V35" s="7">
        <v>6</v>
      </c>
    </row>
    <row r="36" spans="1:22" x14ac:dyDescent="0.4">
      <c r="A36">
        <v>2008</v>
      </c>
      <c r="B36" s="25" t="s">
        <v>268</v>
      </c>
      <c r="C36" s="25" t="s">
        <v>430</v>
      </c>
      <c r="D36" s="25" t="s">
        <v>28</v>
      </c>
      <c r="E36" s="25" t="s">
        <v>499</v>
      </c>
      <c r="F36" s="7">
        <v>7</v>
      </c>
      <c r="G36" s="22">
        <v>111</v>
      </c>
      <c r="H36" s="22" t="s">
        <v>359</v>
      </c>
      <c r="I36" s="22">
        <v>7</v>
      </c>
      <c r="J36" s="29">
        <v>5</v>
      </c>
      <c r="K36" s="29">
        <v>6</v>
      </c>
      <c r="L36" s="29">
        <v>4</v>
      </c>
      <c r="S36" s="25" t="s">
        <v>416</v>
      </c>
      <c r="T36" s="25" t="s">
        <v>28</v>
      </c>
      <c r="U36" s="25" t="s">
        <v>499</v>
      </c>
      <c r="V36" s="7">
        <v>6</v>
      </c>
    </row>
    <row r="37" spans="1:22" x14ac:dyDescent="0.4">
      <c r="A37">
        <v>2008</v>
      </c>
      <c r="B37" s="25" t="s">
        <v>10</v>
      </c>
      <c r="C37" s="25" t="s">
        <v>136</v>
      </c>
      <c r="D37" s="25" t="s">
        <v>135</v>
      </c>
      <c r="E37" s="25" t="s">
        <v>496</v>
      </c>
      <c r="F37" s="7">
        <v>2</v>
      </c>
      <c r="G37" s="22">
        <v>288</v>
      </c>
      <c r="H37" s="22" t="s">
        <v>197</v>
      </c>
      <c r="I37" s="22">
        <v>6</v>
      </c>
      <c r="J37" s="29">
        <v>4</v>
      </c>
      <c r="K37" s="29">
        <v>6</v>
      </c>
      <c r="L37" s="29">
        <v>4</v>
      </c>
      <c r="M37" s="29">
        <v>6</v>
      </c>
      <c r="N37" s="29">
        <v>7</v>
      </c>
      <c r="O37" s="29">
        <v>6</v>
      </c>
      <c r="P37" s="29">
        <v>7</v>
      </c>
      <c r="Q37" s="22">
        <v>9</v>
      </c>
      <c r="R37" s="29">
        <v>7</v>
      </c>
      <c r="S37" s="25" t="s">
        <v>132</v>
      </c>
      <c r="T37" s="25" t="s">
        <v>130</v>
      </c>
      <c r="U37" s="25" t="s">
        <v>497</v>
      </c>
      <c r="V37" s="7">
        <v>1</v>
      </c>
    </row>
    <row r="38" spans="1:22" x14ac:dyDescent="0.4">
      <c r="A38">
        <v>2007</v>
      </c>
      <c r="B38" s="25" t="s">
        <v>268</v>
      </c>
      <c r="C38" s="25" t="s">
        <v>430</v>
      </c>
      <c r="D38" s="25" t="s">
        <v>28</v>
      </c>
      <c r="E38" s="25" t="s">
        <v>499</v>
      </c>
      <c r="F38" s="7">
        <v>23</v>
      </c>
      <c r="G38" s="22">
        <v>90</v>
      </c>
      <c r="H38" s="22" t="s">
        <v>348</v>
      </c>
      <c r="I38" s="22">
        <v>6</v>
      </c>
      <c r="J38" s="29">
        <v>4</v>
      </c>
      <c r="K38" s="29">
        <v>6</v>
      </c>
      <c r="L38" s="29">
        <v>1</v>
      </c>
      <c r="S38" s="25" t="s">
        <v>314</v>
      </c>
      <c r="T38" s="25" t="s">
        <v>24</v>
      </c>
      <c r="U38" s="25" t="s">
        <v>501</v>
      </c>
      <c r="V38" s="7">
        <v>18</v>
      </c>
    </row>
    <row r="39" spans="1:22" x14ac:dyDescent="0.4">
      <c r="A39">
        <v>2007</v>
      </c>
      <c r="B39" s="25" t="s">
        <v>10</v>
      </c>
      <c r="C39" s="25" t="s">
        <v>132</v>
      </c>
      <c r="D39" s="25" t="s">
        <v>130</v>
      </c>
      <c r="E39" s="25" t="s">
        <v>497</v>
      </c>
      <c r="F39" s="7">
        <v>1</v>
      </c>
      <c r="G39" s="22">
        <v>225</v>
      </c>
      <c r="H39" s="22" t="s">
        <v>138</v>
      </c>
      <c r="I39" s="22">
        <v>7</v>
      </c>
      <c r="J39" s="29">
        <v>6</v>
      </c>
      <c r="K39" s="29">
        <v>4</v>
      </c>
      <c r="L39" s="29">
        <v>6</v>
      </c>
      <c r="M39" s="29">
        <v>7</v>
      </c>
      <c r="N39" s="29">
        <v>6</v>
      </c>
      <c r="O39" s="29">
        <v>2</v>
      </c>
      <c r="P39" s="29">
        <v>6</v>
      </c>
      <c r="Q39" s="22">
        <v>6</v>
      </c>
      <c r="R39" s="29">
        <v>2</v>
      </c>
      <c r="S39" s="25" t="s">
        <v>136</v>
      </c>
      <c r="T39" s="25" t="s">
        <v>135</v>
      </c>
      <c r="U39" s="25" t="s">
        <v>496</v>
      </c>
      <c r="V39" s="7">
        <v>2</v>
      </c>
    </row>
    <row r="40" spans="1:22" x14ac:dyDescent="0.4">
      <c r="A40">
        <v>2006</v>
      </c>
      <c r="B40" s="25" t="s">
        <v>268</v>
      </c>
      <c r="C40" s="25" t="s">
        <v>310</v>
      </c>
      <c r="D40" s="25" t="s">
        <v>24</v>
      </c>
      <c r="E40" s="25" t="s">
        <v>501</v>
      </c>
      <c r="F40" s="7">
        <v>1</v>
      </c>
      <c r="G40" s="22">
        <v>122</v>
      </c>
      <c r="H40" s="22" t="s">
        <v>311</v>
      </c>
      <c r="I40" s="22">
        <v>2</v>
      </c>
      <c r="J40" s="29">
        <v>6</v>
      </c>
      <c r="K40" s="29">
        <v>6</v>
      </c>
      <c r="L40" s="29">
        <v>3</v>
      </c>
      <c r="M40" s="29">
        <v>6</v>
      </c>
      <c r="N40" s="29">
        <v>4</v>
      </c>
      <c r="S40" s="25" t="s">
        <v>892</v>
      </c>
      <c r="T40" s="25" t="s">
        <v>312</v>
      </c>
      <c r="U40" s="25" t="s">
        <v>513</v>
      </c>
      <c r="V40" s="7">
        <v>3</v>
      </c>
    </row>
    <row r="41" spans="1:22" x14ac:dyDescent="0.4">
      <c r="A41">
        <v>2006</v>
      </c>
      <c r="B41" s="25" t="s">
        <v>10</v>
      </c>
      <c r="C41" s="25" t="s">
        <v>132</v>
      </c>
      <c r="D41" s="25" t="s">
        <v>130</v>
      </c>
      <c r="E41" s="25" t="s">
        <v>497</v>
      </c>
      <c r="F41" s="7">
        <v>1</v>
      </c>
      <c r="G41" s="22">
        <v>170</v>
      </c>
      <c r="H41" s="22" t="s">
        <v>137</v>
      </c>
      <c r="I41" s="22">
        <v>6</v>
      </c>
      <c r="J41" s="29">
        <v>0</v>
      </c>
      <c r="K41" s="29">
        <v>7</v>
      </c>
      <c r="L41" s="29">
        <v>6</v>
      </c>
      <c r="M41" s="29">
        <v>6</v>
      </c>
      <c r="N41" s="29">
        <v>7</v>
      </c>
      <c r="O41" s="29">
        <v>6</v>
      </c>
      <c r="P41" s="29">
        <v>3</v>
      </c>
      <c r="S41" s="25" t="s">
        <v>136</v>
      </c>
      <c r="T41" s="25" t="s">
        <v>135</v>
      </c>
      <c r="U41" s="25" t="s">
        <v>496</v>
      </c>
      <c r="V41" s="7">
        <v>2</v>
      </c>
    </row>
    <row r="42" spans="1:22" x14ac:dyDescent="0.4">
      <c r="A42">
        <v>2005</v>
      </c>
      <c r="B42" s="25" t="s">
        <v>268</v>
      </c>
      <c r="C42" s="25" t="s">
        <v>430</v>
      </c>
      <c r="D42" s="25" t="s">
        <v>28</v>
      </c>
      <c r="E42" s="25" t="s">
        <v>499</v>
      </c>
      <c r="F42" s="7">
        <v>14</v>
      </c>
      <c r="G42" s="22">
        <v>166</v>
      </c>
      <c r="H42" s="22" t="s">
        <v>440</v>
      </c>
      <c r="I42" s="22">
        <v>4</v>
      </c>
      <c r="J42" s="29">
        <v>6</v>
      </c>
      <c r="K42" s="29">
        <v>7</v>
      </c>
      <c r="L42" s="29">
        <v>6</v>
      </c>
      <c r="M42" s="29">
        <v>9</v>
      </c>
      <c r="N42" s="29">
        <v>7</v>
      </c>
      <c r="S42" s="25" t="s">
        <v>456</v>
      </c>
      <c r="T42" s="25" t="s">
        <v>28</v>
      </c>
      <c r="U42" s="25" t="s">
        <v>499</v>
      </c>
      <c r="V42" s="7">
        <v>1</v>
      </c>
    </row>
    <row r="43" spans="1:22" x14ac:dyDescent="0.4">
      <c r="A43">
        <v>2005</v>
      </c>
      <c r="B43" s="25" t="s">
        <v>10</v>
      </c>
      <c r="C43" s="25" t="s">
        <v>132</v>
      </c>
      <c r="D43" s="25" t="s">
        <v>130</v>
      </c>
      <c r="E43" s="25" t="s">
        <v>497</v>
      </c>
      <c r="F43" s="7">
        <v>1</v>
      </c>
      <c r="G43" s="22">
        <v>101</v>
      </c>
      <c r="H43" s="22" t="s">
        <v>141</v>
      </c>
      <c r="I43" s="22">
        <v>6</v>
      </c>
      <c r="J43" s="29">
        <v>2</v>
      </c>
      <c r="K43" s="29">
        <v>7</v>
      </c>
      <c r="L43" s="29">
        <v>6</v>
      </c>
      <c r="M43" s="29">
        <v>6</v>
      </c>
      <c r="N43" s="29">
        <v>4</v>
      </c>
      <c r="S43" s="25" t="s">
        <v>139</v>
      </c>
      <c r="T43" s="25" t="s">
        <v>28</v>
      </c>
      <c r="U43" s="25" t="s">
        <v>499</v>
      </c>
      <c r="V43" s="7">
        <v>2</v>
      </c>
    </row>
    <row r="44" spans="1:22" x14ac:dyDescent="0.4">
      <c r="A44">
        <v>2004</v>
      </c>
      <c r="B44" s="25" t="s">
        <v>268</v>
      </c>
      <c r="C44" s="25" t="s">
        <v>297</v>
      </c>
      <c r="D44" s="25" t="s">
        <v>296</v>
      </c>
      <c r="E44" s="25" t="s">
        <v>502</v>
      </c>
      <c r="F44" s="7">
        <v>13</v>
      </c>
      <c r="G44" s="22">
        <v>74</v>
      </c>
      <c r="H44" s="22" t="s">
        <v>395</v>
      </c>
      <c r="I44" s="22">
        <v>6</v>
      </c>
      <c r="J44" s="29">
        <v>1</v>
      </c>
      <c r="K44" s="29">
        <v>6</v>
      </c>
      <c r="L44" s="29">
        <v>4</v>
      </c>
      <c r="S44" s="25" t="s">
        <v>416</v>
      </c>
      <c r="T44" s="25" t="s">
        <v>28</v>
      </c>
      <c r="U44" s="25" t="s">
        <v>499</v>
      </c>
      <c r="V44" s="7">
        <v>1</v>
      </c>
    </row>
    <row r="45" spans="1:22" x14ac:dyDescent="0.4">
      <c r="A45">
        <v>2004</v>
      </c>
      <c r="B45" s="25" t="s">
        <v>10</v>
      </c>
      <c r="C45" s="25" t="s">
        <v>132</v>
      </c>
      <c r="D45" s="25" t="s">
        <v>130</v>
      </c>
      <c r="E45" s="25" t="s">
        <v>497</v>
      </c>
      <c r="F45" s="7">
        <v>1</v>
      </c>
      <c r="G45" s="22">
        <v>151</v>
      </c>
      <c r="H45" s="22" t="s">
        <v>140</v>
      </c>
      <c r="I45" s="22">
        <v>4</v>
      </c>
      <c r="J45" s="29">
        <v>6</v>
      </c>
      <c r="K45" s="29">
        <v>7</v>
      </c>
      <c r="L45" s="29">
        <v>5</v>
      </c>
      <c r="M45" s="29">
        <v>7</v>
      </c>
      <c r="N45" s="29">
        <v>6</v>
      </c>
      <c r="O45" s="29">
        <v>6</v>
      </c>
      <c r="P45" s="29">
        <v>4</v>
      </c>
      <c r="S45" s="25" t="s">
        <v>139</v>
      </c>
      <c r="T45" s="25" t="s">
        <v>28</v>
      </c>
      <c r="U45" s="25" t="s">
        <v>499</v>
      </c>
      <c r="V45" s="7">
        <v>2</v>
      </c>
    </row>
    <row r="46" spans="1:22" x14ac:dyDescent="0.4">
      <c r="A46">
        <v>2003</v>
      </c>
      <c r="B46" s="25" t="s">
        <v>268</v>
      </c>
      <c r="C46" s="25" t="s">
        <v>416</v>
      </c>
      <c r="D46" s="25" t="s">
        <v>28</v>
      </c>
      <c r="E46" s="25" t="s">
        <v>499</v>
      </c>
      <c r="F46" s="7">
        <v>1</v>
      </c>
      <c r="G46" s="22">
        <v>123</v>
      </c>
      <c r="H46" s="22" t="s">
        <v>339</v>
      </c>
      <c r="I46" s="22">
        <v>4</v>
      </c>
      <c r="J46" s="29">
        <v>6</v>
      </c>
      <c r="K46" s="29">
        <v>6</v>
      </c>
      <c r="L46" s="29">
        <v>4</v>
      </c>
      <c r="M46" s="29">
        <v>6</v>
      </c>
      <c r="N46" s="29">
        <v>2</v>
      </c>
      <c r="S46" s="25" t="s">
        <v>430</v>
      </c>
      <c r="T46" s="25" t="s">
        <v>28</v>
      </c>
      <c r="U46" s="25" t="s">
        <v>499</v>
      </c>
      <c r="V46" s="7">
        <v>4</v>
      </c>
    </row>
    <row r="47" spans="1:22" x14ac:dyDescent="0.4">
      <c r="A47">
        <v>2003</v>
      </c>
      <c r="B47" s="25" t="s">
        <v>10</v>
      </c>
      <c r="C47" s="25" t="s">
        <v>132</v>
      </c>
      <c r="D47" s="25" t="s">
        <v>130</v>
      </c>
      <c r="E47" s="25" t="s">
        <v>497</v>
      </c>
      <c r="F47" s="7">
        <v>4</v>
      </c>
      <c r="G47" s="22">
        <v>119</v>
      </c>
      <c r="H47" s="22" t="s">
        <v>240</v>
      </c>
      <c r="I47" s="22">
        <v>7</v>
      </c>
      <c r="J47" s="29">
        <v>6</v>
      </c>
      <c r="K47" s="29">
        <v>6</v>
      </c>
      <c r="L47" s="29">
        <v>2</v>
      </c>
      <c r="M47" s="29">
        <v>7</v>
      </c>
      <c r="N47" s="29">
        <v>6</v>
      </c>
      <c r="S47" s="25" t="s">
        <v>239</v>
      </c>
      <c r="T47" s="25" t="s">
        <v>12</v>
      </c>
      <c r="U47" s="25" t="s">
        <v>503</v>
      </c>
      <c r="V47" s="7" t="s">
        <v>122</v>
      </c>
    </row>
    <row r="48" spans="1:22" x14ac:dyDescent="0.4">
      <c r="A48">
        <v>2002</v>
      </c>
      <c r="B48" s="25" t="s">
        <v>268</v>
      </c>
      <c r="C48" s="25" t="s">
        <v>416</v>
      </c>
      <c r="D48" s="25" t="s">
        <v>28</v>
      </c>
      <c r="E48" s="25" t="s">
        <v>499</v>
      </c>
      <c r="F48" s="7">
        <v>2</v>
      </c>
      <c r="G48" s="22">
        <v>78</v>
      </c>
      <c r="H48" s="22" t="s">
        <v>444</v>
      </c>
      <c r="I48" s="22">
        <v>7</v>
      </c>
      <c r="J48" s="29">
        <v>6</v>
      </c>
      <c r="K48" s="29">
        <v>6</v>
      </c>
      <c r="L48" s="29">
        <v>3</v>
      </c>
      <c r="S48" s="25" t="s">
        <v>430</v>
      </c>
      <c r="T48" s="25" t="s">
        <v>28</v>
      </c>
      <c r="U48" s="25" t="s">
        <v>499</v>
      </c>
      <c r="V48" s="7">
        <v>1</v>
      </c>
    </row>
    <row r="49" spans="1:22" x14ac:dyDescent="0.4">
      <c r="A49">
        <v>2002</v>
      </c>
      <c r="B49" s="25" t="s">
        <v>10</v>
      </c>
      <c r="C49" s="25" t="s">
        <v>110</v>
      </c>
      <c r="D49" s="25" t="s">
        <v>12</v>
      </c>
      <c r="E49" s="25" t="s">
        <v>503</v>
      </c>
      <c r="F49" s="7">
        <v>1</v>
      </c>
      <c r="G49" s="22">
        <v>116</v>
      </c>
      <c r="H49" s="22" t="s">
        <v>113</v>
      </c>
      <c r="I49" s="22">
        <v>6</v>
      </c>
      <c r="J49" s="29">
        <v>1</v>
      </c>
      <c r="K49" s="29">
        <v>6</v>
      </c>
      <c r="L49" s="29">
        <v>3</v>
      </c>
      <c r="M49" s="29">
        <v>6</v>
      </c>
      <c r="N49" s="29">
        <v>2</v>
      </c>
      <c r="S49" s="25" t="s">
        <v>112</v>
      </c>
      <c r="T49" s="25" t="s">
        <v>111</v>
      </c>
      <c r="U49" s="25" t="s">
        <v>514</v>
      </c>
      <c r="V49" s="7">
        <v>28</v>
      </c>
    </row>
    <row r="50" spans="1:22" x14ac:dyDescent="0.4">
      <c r="A50">
        <v>2001</v>
      </c>
      <c r="B50" s="25" t="s">
        <v>268</v>
      </c>
      <c r="C50" s="25" t="s">
        <v>430</v>
      </c>
      <c r="D50" s="25" t="s">
        <v>28</v>
      </c>
      <c r="E50" s="25" t="s">
        <v>499</v>
      </c>
      <c r="F50" s="7">
        <v>2</v>
      </c>
      <c r="G50" s="22">
        <v>69</v>
      </c>
      <c r="H50" s="22" t="s">
        <v>453</v>
      </c>
      <c r="I50" s="22">
        <v>6</v>
      </c>
      <c r="J50" s="29">
        <v>1</v>
      </c>
      <c r="K50" s="29">
        <v>3</v>
      </c>
      <c r="L50" s="29">
        <v>6</v>
      </c>
      <c r="M50" s="29">
        <v>6</v>
      </c>
      <c r="N50" s="29">
        <v>0</v>
      </c>
      <c r="S50" s="25" t="s">
        <v>454</v>
      </c>
      <c r="T50" s="25" t="s">
        <v>312</v>
      </c>
      <c r="U50" s="25" t="s">
        <v>513</v>
      </c>
      <c r="V50" s="7">
        <v>8</v>
      </c>
    </row>
    <row r="51" spans="1:22" x14ac:dyDescent="0.4">
      <c r="A51">
        <v>2001</v>
      </c>
      <c r="B51" s="25" t="s">
        <v>10</v>
      </c>
      <c r="C51" s="25" t="s">
        <v>154</v>
      </c>
      <c r="D51" s="25" t="s">
        <v>153</v>
      </c>
      <c r="E51" s="25" t="s">
        <v>504</v>
      </c>
      <c r="F51" s="7" t="s">
        <v>890</v>
      </c>
      <c r="G51" s="22">
        <v>182</v>
      </c>
      <c r="H51" s="22" t="s">
        <v>265</v>
      </c>
      <c r="I51" s="22">
        <v>6</v>
      </c>
      <c r="J51" s="29">
        <v>3</v>
      </c>
      <c r="K51" s="29">
        <v>3</v>
      </c>
      <c r="L51" s="29">
        <v>6</v>
      </c>
      <c r="M51" s="29">
        <v>6</v>
      </c>
      <c r="N51" s="29">
        <v>3</v>
      </c>
      <c r="O51" s="29">
        <v>2</v>
      </c>
      <c r="P51" s="29">
        <v>6</v>
      </c>
      <c r="Q51" s="22">
        <v>9</v>
      </c>
      <c r="R51" s="29">
        <v>7</v>
      </c>
      <c r="S51" s="25" t="s">
        <v>151</v>
      </c>
      <c r="T51" s="25" t="s">
        <v>12</v>
      </c>
      <c r="U51" s="25" t="s">
        <v>503</v>
      </c>
      <c r="V51" s="7">
        <v>3</v>
      </c>
    </row>
    <row r="52" spans="1:22" x14ac:dyDescent="0.4">
      <c r="A52">
        <v>2000</v>
      </c>
      <c r="B52" s="25" t="s">
        <v>268</v>
      </c>
      <c r="C52" s="25" t="s">
        <v>430</v>
      </c>
      <c r="D52" s="25" t="s">
        <v>28</v>
      </c>
      <c r="E52" s="25" t="s">
        <v>499</v>
      </c>
      <c r="F52" s="7">
        <v>5</v>
      </c>
      <c r="G52" s="22">
        <v>84</v>
      </c>
      <c r="H52" s="22" t="s">
        <v>463</v>
      </c>
      <c r="I52" s="22">
        <v>6</v>
      </c>
      <c r="J52" s="29">
        <v>3</v>
      </c>
      <c r="K52" s="29">
        <v>7</v>
      </c>
      <c r="L52" s="29">
        <v>6</v>
      </c>
      <c r="S52" s="25" t="s">
        <v>456</v>
      </c>
      <c r="T52" s="25" t="s">
        <v>28</v>
      </c>
      <c r="U52" s="25" t="s">
        <v>499</v>
      </c>
      <c r="V52" s="7">
        <v>2</v>
      </c>
    </row>
    <row r="53" spans="1:22" x14ac:dyDescent="0.4">
      <c r="A53">
        <v>2000</v>
      </c>
      <c r="B53" s="25" t="s">
        <v>10</v>
      </c>
      <c r="C53" s="25" t="s">
        <v>150</v>
      </c>
      <c r="D53" s="25" t="s">
        <v>28</v>
      </c>
      <c r="E53" s="25" t="s">
        <v>499</v>
      </c>
      <c r="F53" s="7">
        <v>1</v>
      </c>
      <c r="G53" s="22">
        <v>182</v>
      </c>
      <c r="H53" s="22" t="s">
        <v>152</v>
      </c>
      <c r="I53" s="22">
        <v>6</v>
      </c>
      <c r="J53" s="29">
        <v>7</v>
      </c>
      <c r="K53" s="29">
        <v>7</v>
      </c>
      <c r="L53" s="29">
        <v>6</v>
      </c>
      <c r="M53" s="29">
        <v>6</v>
      </c>
      <c r="N53" s="29">
        <v>4</v>
      </c>
      <c r="O53" s="29">
        <v>6</v>
      </c>
      <c r="P53" s="29">
        <v>2</v>
      </c>
      <c r="S53" s="25" t="s">
        <v>151</v>
      </c>
      <c r="T53" s="25" t="s">
        <v>12</v>
      </c>
      <c r="U53" s="25" t="s">
        <v>503</v>
      </c>
      <c r="V53" s="7">
        <v>12</v>
      </c>
    </row>
    <row r="54" spans="1:22" x14ac:dyDescent="0.4">
      <c r="A54">
        <v>1999</v>
      </c>
      <c r="B54" s="25" t="s">
        <v>268</v>
      </c>
      <c r="C54" s="25" t="s">
        <v>456</v>
      </c>
      <c r="D54" s="25" t="s">
        <v>28</v>
      </c>
      <c r="E54" s="25" t="s">
        <v>499</v>
      </c>
      <c r="F54" s="7">
        <v>3</v>
      </c>
      <c r="G54" s="22">
        <v>75</v>
      </c>
      <c r="H54" s="22" t="s">
        <v>457</v>
      </c>
      <c r="I54" s="22">
        <v>6</v>
      </c>
      <c r="J54" s="29">
        <v>4</v>
      </c>
      <c r="K54" s="29">
        <v>7</v>
      </c>
      <c r="L54" s="29">
        <v>5</v>
      </c>
      <c r="S54" s="25" t="s">
        <v>380</v>
      </c>
      <c r="T54" s="25" t="s">
        <v>126</v>
      </c>
      <c r="U54" s="25" t="s">
        <v>495</v>
      </c>
      <c r="V54" s="7">
        <v>2</v>
      </c>
    </row>
    <row r="55" spans="1:22" x14ac:dyDescent="0.4">
      <c r="A55">
        <v>1999</v>
      </c>
      <c r="B55" s="25" t="s">
        <v>10</v>
      </c>
      <c r="C55" s="25" t="s">
        <v>150</v>
      </c>
      <c r="D55" s="25" t="s">
        <v>28</v>
      </c>
      <c r="E55" s="25" t="s">
        <v>499</v>
      </c>
      <c r="F55" s="7">
        <v>1</v>
      </c>
      <c r="G55" s="22">
        <v>115</v>
      </c>
      <c r="H55" s="22" t="s">
        <v>170</v>
      </c>
      <c r="I55" s="22">
        <v>6</v>
      </c>
      <c r="J55" s="29">
        <v>3</v>
      </c>
      <c r="K55" s="29">
        <v>6</v>
      </c>
      <c r="L55" s="29">
        <v>4</v>
      </c>
      <c r="M55" s="29">
        <v>7</v>
      </c>
      <c r="N55" s="29">
        <v>5</v>
      </c>
      <c r="S55" s="25" t="s">
        <v>169</v>
      </c>
      <c r="T55" s="25" t="s">
        <v>28</v>
      </c>
      <c r="U55" s="25" t="s">
        <v>499</v>
      </c>
      <c r="V55" s="7">
        <v>4</v>
      </c>
    </row>
    <row r="56" spans="1:22" x14ac:dyDescent="0.4">
      <c r="A56">
        <v>1998</v>
      </c>
      <c r="B56" s="25" t="s">
        <v>268</v>
      </c>
      <c r="C56" s="25" t="s">
        <v>288</v>
      </c>
      <c r="D56" s="25" t="s">
        <v>107</v>
      </c>
      <c r="E56" s="25" t="s">
        <v>500</v>
      </c>
      <c r="F56" s="7">
        <v>3</v>
      </c>
      <c r="G56" s="22">
        <v>94</v>
      </c>
      <c r="H56" s="22" t="s">
        <v>289</v>
      </c>
      <c r="I56" s="22">
        <v>6</v>
      </c>
      <c r="J56" s="29">
        <v>4</v>
      </c>
      <c r="K56" s="29">
        <v>7</v>
      </c>
      <c r="L56" s="29">
        <v>6</v>
      </c>
      <c r="S56" s="25" t="s">
        <v>290</v>
      </c>
      <c r="T56" s="25" t="s">
        <v>24</v>
      </c>
      <c r="U56" s="25" t="s">
        <v>501</v>
      </c>
      <c r="V56" s="7">
        <v>16</v>
      </c>
    </row>
    <row r="57" spans="1:22" x14ac:dyDescent="0.4">
      <c r="A57">
        <v>1998</v>
      </c>
      <c r="B57" s="25" t="s">
        <v>10</v>
      </c>
      <c r="C57" s="25" t="s">
        <v>150</v>
      </c>
      <c r="D57" s="25" t="s">
        <v>28</v>
      </c>
      <c r="E57" s="25" t="s">
        <v>499</v>
      </c>
      <c r="F57" s="7">
        <v>1</v>
      </c>
      <c r="G57" s="22">
        <v>172</v>
      </c>
      <c r="H57" s="22" t="s">
        <v>155</v>
      </c>
      <c r="I57" s="22">
        <v>6</v>
      </c>
      <c r="J57" s="29">
        <v>7</v>
      </c>
      <c r="K57" s="29">
        <v>7</v>
      </c>
      <c r="L57" s="29">
        <v>6</v>
      </c>
      <c r="M57" s="29">
        <v>6</v>
      </c>
      <c r="N57" s="29">
        <v>4</v>
      </c>
      <c r="O57" s="29">
        <v>3</v>
      </c>
      <c r="P57" s="29">
        <v>6</v>
      </c>
      <c r="Q57" s="22">
        <v>6</v>
      </c>
      <c r="R57" s="29">
        <v>2</v>
      </c>
      <c r="S57" s="25" t="s">
        <v>154</v>
      </c>
      <c r="T57" s="25" t="s">
        <v>153</v>
      </c>
      <c r="U57" s="25" t="s">
        <v>504</v>
      </c>
      <c r="V57" s="7">
        <v>14</v>
      </c>
    </row>
    <row r="58" spans="1:22" x14ac:dyDescent="0.4">
      <c r="A58">
        <v>1997</v>
      </c>
      <c r="B58" s="25" t="s">
        <v>268</v>
      </c>
      <c r="C58" s="25" t="s">
        <v>396</v>
      </c>
      <c r="D58" s="25" t="s">
        <v>130</v>
      </c>
      <c r="E58" s="25" t="s">
        <v>497</v>
      </c>
      <c r="F58" s="7">
        <v>1</v>
      </c>
      <c r="G58" s="22">
        <v>110</v>
      </c>
      <c r="H58" s="22" t="s">
        <v>397</v>
      </c>
      <c r="I58" s="22">
        <v>2</v>
      </c>
      <c r="J58" s="29">
        <v>6</v>
      </c>
      <c r="K58" s="29">
        <v>6</v>
      </c>
      <c r="L58" s="29">
        <v>3</v>
      </c>
      <c r="M58" s="29">
        <v>6</v>
      </c>
      <c r="N58" s="29">
        <v>3</v>
      </c>
      <c r="S58" s="25" t="s">
        <v>288</v>
      </c>
      <c r="T58" s="25" t="s">
        <v>107</v>
      </c>
      <c r="U58" s="25" t="s">
        <v>500</v>
      </c>
      <c r="V58" s="7">
        <v>3</v>
      </c>
    </row>
    <row r="59" spans="1:22" x14ac:dyDescent="0.4">
      <c r="A59">
        <v>1997</v>
      </c>
      <c r="B59" s="25" t="s">
        <v>10</v>
      </c>
      <c r="C59" s="25" t="s">
        <v>150</v>
      </c>
      <c r="D59" s="25" t="s">
        <v>28</v>
      </c>
      <c r="E59" s="25" t="s">
        <v>499</v>
      </c>
      <c r="F59" s="7">
        <v>1</v>
      </c>
      <c r="G59" s="22">
        <v>94</v>
      </c>
      <c r="H59" s="22" t="s">
        <v>179</v>
      </c>
      <c r="I59" s="22">
        <v>6</v>
      </c>
      <c r="J59" s="29">
        <v>4</v>
      </c>
      <c r="K59" s="29">
        <v>6</v>
      </c>
      <c r="L59" s="29">
        <v>2</v>
      </c>
      <c r="M59" s="29">
        <v>6</v>
      </c>
      <c r="N59" s="29">
        <v>4</v>
      </c>
      <c r="S59" s="25" t="s">
        <v>178</v>
      </c>
      <c r="T59" s="25" t="s">
        <v>24</v>
      </c>
      <c r="U59" s="25" t="s">
        <v>501</v>
      </c>
      <c r="V59" s="7" t="s">
        <v>122</v>
      </c>
    </row>
    <row r="60" spans="1:22" x14ac:dyDescent="0.4">
      <c r="A60">
        <v>1996</v>
      </c>
      <c r="B60" s="25" t="s">
        <v>268</v>
      </c>
      <c r="C60" s="25" t="s">
        <v>380</v>
      </c>
      <c r="D60" s="25" t="s">
        <v>126</v>
      </c>
      <c r="E60" s="25" t="s">
        <v>495</v>
      </c>
      <c r="F60" s="7">
        <v>1</v>
      </c>
      <c r="G60" s="22">
        <v>88</v>
      </c>
      <c r="H60" s="22" t="s">
        <v>387</v>
      </c>
      <c r="I60" s="22">
        <v>6</v>
      </c>
      <c r="J60" s="29">
        <v>3</v>
      </c>
      <c r="K60" s="29">
        <v>7</v>
      </c>
      <c r="L60" s="29">
        <v>5</v>
      </c>
      <c r="S60" s="25" t="s">
        <v>384</v>
      </c>
      <c r="T60" s="25" t="s">
        <v>135</v>
      </c>
      <c r="U60" s="25" t="s">
        <v>496</v>
      </c>
      <c r="V60" s="7">
        <v>4</v>
      </c>
    </row>
    <row r="61" spans="1:22" x14ac:dyDescent="0.4">
      <c r="A61">
        <v>1996</v>
      </c>
      <c r="B61" s="25" t="s">
        <v>10</v>
      </c>
      <c r="C61" s="25" t="s">
        <v>261</v>
      </c>
      <c r="D61" s="25" t="s">
        <v>262</v>
      </c>
      <c r="E61" s="25" t="s">
        <v>505</v>
      </c>
      <c r="F61" s="7" t="s">
        <v>122</v>
      </c>
      <c r="G61" s="22">
        <v>94</v>
      </c>
      <c r="H61" s="22" t="s">
        <v>264</v>
      </c>
      <c r="I61" s="22">
        <v>6</v>
      </c>
      <c r="J61" s="29">
        <v>3</v>
      </c>
      <c r="K61" s="29">
        <v>6</v>
      </c>
      <c r="L61" s="29">
        <v>4</v>
      </c>
      <c r="M61" s="29">
        <v>6</v>
      </c>
      <c r="N61" s="29">
        <v>3</v>
      </c>
      <c r="S61" s="25" t="s">
        <v>263</v>
      </c>
      <c r="T61" s="25" t="s">
        <v>28</v>
      </c>
      <c r="U61" s="25" t="s">
        <v>499</v>
      </c>
      <c r="V61" s="7" t="s">
        <v>122</v>
      </c>
    </row>
    <row r="62" spans="1:22" x14ac:dyDescent="0.4">
      <c r="A62">
        <v>1995</v>
      </c>
      <c r="B62" s="25" t="s">
        <v>268</v>
      </c>
      <c r="C62" s="25" t="s">
        <v>380</v>
      </c>
      <c r="D62" s="25" t="s">
        <v>126</v>
      </c>
      <c r="E62" s="25" t="s">
        <v>495</v>
      </c>
      <c r="F62" s="7">
        <v>1</v>
      </c>
      <c r="G62" s="22">
        <v>122</v>
      </c>
      <c r="H62" s="22" t="s">
        <v>383</v>
      </c>
      <c r="I62" s="22">
        <v>4</v>
      </c>
      <c r="J62" s="29">
        <v>6</v>
      </c>
      <c r="K62" s="29">
        <v>6</v>
      </c>
      <c r="L62" s="29">
        <v>1</v>
      </c>
      <c r="M62" s="29">
        <v>7</v>
      </c>
      <c r="N62" s="29">
        <v>5</v>
      </c>
      <c r="S62" s="25" t="s">
        <v>384</v>
      </c>
      <c r="T62" s="25" t="s">
        <v>135</v>
      </c>
      <c r="U62" s="25" t="s">
        <v>496</v>
      </c>
      <c r="V62" s="7">
        <v>2</v>
      </c>
    </row>
    <row r="63" spans="1:22" x14ac:dyDescent="0.4">
      <c r="A63">
        <v>1995</v>
      </c>
      <c r="B63" s="25" t="s">
        <v>10</v>
      </c>
      <c r="C63" s="25" t="s">
        <v>150</v>
      </c>
      <c r="D63" s="25" t="s">
        <v>28</v>
      </c>
      <c r="E63" s="25" t="s">
        <v>499</v>
      </c>
      <c r="F63" s="7">
        <v>2</v>
      </c>
      <c r="G63" s="22">
        <v>149</v>
      </c>
      <c r="H63" s="22" t="s">
        <v>214</v>
      </c>
      <c r="I63" s="22">
        <v>6</v>
      </c>
      <c r="J63" s="29">
        <v>7</v>
      </c>
      <c r="K63" s="29">
        <v>6</v>
      </c>
      <c r="L63" s="29">
        <v>2</v>
      </c>
      <c r="M63" s="29">
        <v>6</v>
      </c>
      <c r="N63" s="29">
        <v>4</v>
      </c>
      <c r="O63" s="29">
        <v>6</v>
      </c>
      <c r="P63" s="29">
        <v>2</v>
      </c>
      <c r="S63" s="25" t="s">
        <v>213</v>
      </c>
      <c r="T63" s="25" t="s">
        <v>126</v>
      </c>
      <c r="U63" s="25" t="s">
        <v>495</v>
      </c>
      <c r="V63" s="7">
        <v>3</v>
      </c>
    </row>
    <row r="64" spans="1:22" x14ac:dyDescent="0.4">
      <c r="A64">
        <v>1994</v>
      </c>
      <c r="B64" s="25" t="s">
        <v>268</v>
      </c>
      <c r="C64" s="25" t="s">
        <v>298</v>
      </c>
      <c r="D64" s="25" t="s">
        <v>135</v>
      </c>
      <c r="E64" s="25" t="s">
        <v>496</v>
      </c>
      <c r="F64" s="7">
        <v>3</v>
      </c>
      <c r="G64" s="22">
        <v>119</v>
      </c>
      <c r="H64" s="22" t="s">
        <v>299</v>
      </c>
      <c r="I64" s="22">
        <v>6</v>
      </c>
      <c r="J64" s="29">
        <v>4</v>
      </c>
      <c r="K64" s="29">
        <v>3</v>
      </c>
      <c r="L64" s="29">
        <v>6</v>
      </c>
      <c r="M64" s="29">
        <v>6</v>
      </c>
      <c r="N64" s="29">
        <v>3</v>
      </c>
      <c r="S64" s="25" t="s">
        <v>300</v>
      </c>
      <c r="T64" s="25" t="s">
        <v>28</v>
      </c>
      <c r="U64" s="25" t="s">
        <v>499</v>
      </c>
      <c r="V64" s="7">
        <v>4</v>
      </c>
    </row>
    <row r="65" spans="1:22" x14ac:dyDescent="0.4">
      <c r="A65">
        <v>1994</v>
      </c>
      <c r="B65" s="25" t="s">
        <v>10</v>
      </c>
      <c r="C65" s="25" t="s">
        <v>150</v>
      </c>
      <c r="D65" s="25" t="s">
        <v>28</v>
      </c>
      <c r="E65" s="25" t="s">
        <v>499</v>
      </c>
      <c r="F65" s="7">
        <v>1</v>
      </c>
      <c r="G65" s="22">
        <v>115</v>
      </c>
      <c r="H65" s="22" t="s">
        <v>168</v>
      </c>
      <c r="I65" s="22">
        <v>7</v>
      </c>
      <c r="J65" s="29">
        <v>6</v>
      </c>
      <c r="K65" s="29">
        <v>7</v>
      </c>
      <c r="L65" s="29">
        <v>6</v>
      </c>
      <c r="M65" s="29">
        <v>6</v>
      </c>
      <c r="N65" s="29">
        <v>0</v>
      </c>
      <c r="S65" s="25" t="s">
        <v>154</v>
      </c>
      <c r="T65" s="25" t="s">
        <v>153</v>
      </c>
      <c r="U65" s="25" t="s">
        <v>504</v>
      </c>
      <c r="V65" s="7">
        <v>4</v>
      </c>
    </row>
    <row r="66" spans="1:22" x14ac:dyDescent="0.4">
      <c r="A66">
        <v>1993</v>
      </c>
      <c r="B66" s="25" t="s">
        <v>268</v>
      </c>
      <c r="C66" s="25" t="s">
        <v>380</v>
      </c>
      <c r="D66" s="25" t="s">
        <v>126</v>
      </c>
      <c r="E66" s="25" t="s">
        <v>495</v>
      </c>
      <c r="F66" s="7">
        <v>1</v>
      </c>
      <c r="G66" s="22">
        <v>134</v>
      </c>
      <c r="H66" s="22" t="s">
        <v>391</v>
      </c>
      <c r="I66" s="22">
        <v>7</v>
      </c>
      <c r="J66" s="29">
        <v>6</v>
      </c>
      <c r="K66" s="29">
        <v>1</v>
      </c>
      <c r="L66" s="29">
        <v>6</v>
      </c>
      <c r="M66" s="29">
        <v>6</v>
      </c>
      <c r="N66" s="29">
        <v>4</v>
      </c>
      <c r="S66" s="25" t="s">
        <v>288</v>
      </c>
      <c r="T66" s="25" t="s">
        <v>107</v>
      </c>
      <c r="U66" s="25" t="s">
        <v>500</v>
      </c>
      <c r="V66" s="7">
        <v>8</v>
      </c>
    </row>
    <row r="67" spans="1:22" x14ac:dyDescent="0.4">
      <c r="A67">
        <v>1993</v>
      </c>
      <c r="B67" s="25" t="s">
        <v>10</v>
      </c>
      <c r="C67" s="25" t="s">
        <v>150</v>
      </c>
      <c r="D67" s="25" t="s">
        <v>28</v>
      </c>
      <c r="E67" s="25" t="s">
        <v>499</v>
      </c>
      <c r="F67" s="7">
        <v>1</v>
      </c>
      <c r="G67" s="22">
        <v>178</v>
      </c>
      <c r="H67" s="22" t="s">
        <v>167</v>
      </c>
      <c r="I67" s="22">
        <v>7</v>
      </c>
      <c r="J67" s="29">
        <v>6</v>
      </c>
      <c r="K67" s="29">
        <v>7</v>
      </c>
      <c r="L67" s="29">
        <v>6</v>
      </c>
      <c r="M67" s="29">
        <v>3</v>
      </c>
      <c r="N67" s="29">
        <v>6</v>
      </c>
      <c r="O67" s="29">
        <v>6</v>
      </c>
      <c r="P67" s="29">
        <v>3</v>
      </c>
      <c r="S67" s="25" t="s">
        <v>166</v>
      </c>
      <c r="T67" s="25" t="s">
        <v>28</v>
      </c>
      <c r="U67" s="25" t="s">
        <v>499</v>
      </c>
      <c r="V67" s="7">
        <v>3</v>
      </c>
    </row>
    <row r="68" spans="1:22" x14ac:dyDescent="0.4">
      <c r="A68">
        <v>1992</v>
      </c>
      <c r="B68" s="25" t="s">
        <v>268</v>
      </c>
      <c r="C68" s="25" t="s">
        <v>380</v>
      </c>
      <c r="D68" s="25" t="s">
        <v>126</v>
      </c>
      <c r="E68" s="25" t="s">
        <v>495</v>
      </c>
      <c r="F68" s="7">
        <v>2</v>
      </c>
      <c r="G68" s="22">
        <v>58</v>
      </c>
      <c r="H68" s="22" t="s">
        <v>392</v>
      </c>
      <c r="I68" s="22">
        <v>6</v>
      </c>
      <c r="J68" s="29">
        <v>2</v>
      </c>
      <c r="K68" s="29">
        <v>6</v>
      </c>
      <c r="L68" s="29">
        <v>1</v>
      </c>
      <c r="S68" s="25" t="s">
        <v>394</v>
      </c>
      <c r="T68" s="25" t="s">
        <v>131</v>
      </c>
      <c r="U68" s="25" t="s">
        <v>494</v>
      </c>
      <c r="V68" s="7">
        <v>1</v>
      </c>
    </row>
    <row r="69" spans="1:22" x14ac:dyDescent="0.4">
      <c r="A69">
        <v>1992</v>
      </c>
      <c r="B69" s="25" t="s">
        <v>10</v>
      </c>
      <c r="C69" s="25" t="s">
        <v>169</v>
      </c>
      <c r="D69" s="25" t="s">
        <v>28</v>
      </c>
      <c r="E69" s="25" t="s">
        <v>499</v>
      </c>
      <c r="F69" s="7">
        <v>12</v>
      </c>
      <c r="G69" s="22">
        <v>170</v>
      </c>
      <c r="H69" s="22" t="s">
        <v>185</v>
      </c>
      <c r="I69" s="22">
        <v>6</v>
      </c>
      <c r="J69" s="29">
        <v>7</v>
      </c>
      <c r="K69" s="29">
        <v>6</v>
      </c>
      <c r="L69" s="29">
        <v>4</v>
      </c>
      <c r="M69" s="29">
        <v>6</v>
      </c>
      <c r="N69" s="29">
        <v>4</v>
      </c>
      <c r="O69" s="29">
        <v>1</v>
      </c>
      <c r="P69" s="29">
        <v>6</v>
      </c>
      <c r="Q69" s="22">
        <v>6</v>
      </c>
      <c r="R69" s="29">
        <v>4</v>
      </c>
      <c r="S69" s="25" t="s">
        <v>154</v>
      </c>
      <c r="T69" s="25" t="s">
        <v>153</v>
      </c>
      <c r="U69" s="25" t="s">
        <v>504</v>
      </c>
      <c r="V69" s="7">
        <v>8</v>
      </c>
    </row>
    <row r="70" spans="1:22" x14ac:dyDescent="0.4">
      <c r="A70">
        <v>1991</v>
      </c>
      <c r="B70" s="25" t="s">
        <v>268</v>
      </c>
      <c r="C70" s="25" t="s">
        <v>380</v>
      </c>
      <c r="D70" s="25" t="s">
        <v>126</v>
      </c>
      <c r="E70" s="25" t="s">
        <v>495</v>
      </c>
      <c r="F70" s="7">
        <v>1</v>
      </c>
      <c r="G70" s="22">
        <v>127</v>
      </c>
      <c r="H70" s="22" t="s">
        <v>381</v>
      </c>
      <c r="I70" s="22">
        <v>6</v>
      </c>
      <c r="J70" s="29">
        <v>4</v>
      </c>
      <c r="K70" s="29">
        <v>3</v>
      </c>
      <c r="L70" s="29">
        <v>6</v>
      </c>
      <c r="M70" s="29">
        <v>8</v>
      </c>
      <c r="N70" s="29">
        <v>6</v>
      </c>
      <c r="S70" s="25" t="s">
        <v>382</v>
      </c>
      <c r="T70" s="25" t="s">
        <v>111</v>
      </c>
      <c r="U70" s="25" t="s">
        <v>514</v>
      </c>
      <c r="V70" s="7">
        <v>2</v>
      </c>
    </row>
    <row r="71" spans="1:22" x14ac:dyDescent="0.4">
      <c r="A71">
        <v>1991</v>
      </c>
      <c r="B71" s="25" t="s">
        <v>10</v>
      </c>
      <c r="C71" s="25" t="s">
        <v>248</v>
      </c>
      <c r="D71" s="25" t="s">
        <v>126</v>
      </c>
      <c r="E71" s="25" t="s">
        <v>495</v>
      </c>
      <c r="F71" s="7">
        <v>6</v>
      </c>
      <c r="G71" s="22">
        <v>153</v>
      </c>
      <c r="H71" s="22" t="s">
        <v>249</v>
      </c>
      <c r="I71" s="22">
        <v>6</v>
      </c>
      <c r="J71" s="29">
        <v>4</v>
      </c>
      <c r="K71" s="29">
        <v>7</v>
      </c>
      <c r="L71" s="29">
        <v>6</v>
      </c>
      <c r="M71" s="29">
        <v>6</v>
      </c>
      <c r="N71" s="29">
        <v>4</v>
      </c>
      <c r="S71" s="25" t="s">
        <v>213</v>
      </c>
      <c r="T71" s="25" t="s">
        <v>126</v>
      </c>
      <c r="U71" s="25" t="s">
        <v>495</v>
      </c>
      <c r="V71" s="7">
        <v>2</v>
      </c>
    </row>
    <row r="72" spans="1:22" x14ac:dyDescent="0.4">
      <c r="A72">
        <v>1990</v>
      </c>
      <c r="B72" s="25" t="s">
        <v>268</v>
      </c>
      <c r="C72" s="25" t="s">
        <v>300</v>
      </c>
      <c r="D72" s="25" t="s">
        <v>28</v>
      </c>
      <c r="E72" s="25" t="s">
        <v>499</v>
      </c>
      <c r="F72" s="7">
        <v>2</v>
      </c>
      <c r="G72" s="22">
        <v>75</v>
      </c>
      <c r="H72" s="22" t="s">
        <v>279</v>
      </c>
      <c r="I72" s="22">
        <v>6</v>
      </c>
      <c r="J72" s="29">
        <v>4</v>
      </c>
      <c r="K72" s="29">
        <v>6</v>
      </c>
      <c r="L72" s="29">
        <v>1</v>
      </c>
      <c r="S72" s="25" t="s">
        <v>452</v>
      </c>
      <c r="T72" s="25" t="s">
        <v>28</v>
      </c>
      <c r="U72" s="25" t="s">
        <v>499</v>
      </c>
      <c r="V72" s="7">
        <v>5</v>
      </c>
    </row>
    <row r="73" spans="1:22" x14ac:dyDescent="0.4">
      <c r="A73">
        <v>1990</v>
      </c>
      <c r="B73" s="25" t="s">
        <v>10</v>
      </c>
      <c r="C73" s="25" t="s">
        <v>228</v>
      </c>
      <c r="D73" s="25" t="s">
        <v>143</v>
      </c>
      <c r="E73" s="25" t="s">
        <v>506</v>
      </c>
      <c r="F73" s="7">
        <v>3</v>
      </c>
      <c r="G73" s="22">
        <v>178</v>
      </c>
      <c r="H73" s="22" t="s">
        <v>231</v>
      </c>
      <c r="I73" s="22">
        <v>6</v>
      </c>
      <c r="J73" s="29">
        <v>2</v>
      </c>
      <c r="K73" s="29">
        <v>6</v>
      </c>
      <c r="L73" s="29">
        <v>2</v>
      </c>
      <c r="M73" s="29">
        <v>3</v>
      </c>
      <c r="N73" s="29">
        <v>6</v>
      </c>
      <c r="O73" s="29">
        <v>3</v>
      </c>
      <c r="P73" s="29">
        <v>6</v>
      </c>
      <c r="Q73" s="22">
        <v>6</v>
      </c>
      <c r="R73" s="29">
        <v>4</v>
      </c>
      <c r="S73" s="25" t="s">
        <v>213</v>
      </c>
      <c r="T73" s="25" t="s">
        <v>126</v>
      </c>
      <c r="U73" s="25" t="s">
        <v>495</v>
      </c>
      <c r="V73" s="7">
        <v>2</v>
      </c>
    </row>
    <row r="74" spans="1:22" x14ac:dyDescent="0.4">
      <c r="A74">
        <v>1989</v>
      </c>
      <c r="B74" s="25" t="s">
        <v>268</v>
      </c>
      <c r="C74" s="25" t="s">
        <v>380</v>
      </c>
      <c r="D74" s="25" t="s">
        <v>126</v>
      </c>
      <c r="E74" s="25" t="s">
        <v>495</v>
      </c>
      <c r="F74" s="7">
        <v>1</v>
      </c>
      <c r="G74" s="22">
        <v>92</v>
      </c>
      <c r="H74" s="22" t="s">
        <v>386</v>
      </c>
      <c r="I74" s="22">
        <v>6</v>
      </c>
      <c r="J74" s="29">
        <v>2</v>
      </c>
      <c r="K74" s="29">
        <v>6</v>
      </c>
      <c r="L74" s="29">
        <v>7</v>
      </c>
      <c r="M74" s="29">
        <v>6</v>
      </c>
      <c r="N74" s="29">
        <v>1</v>
      </c>
      <c r="S74" s="25" t="s">
        <v>300</v>
      </c>
      <c r="T74" s="25" t="s">
        <v>28</v>
      </c>
      <c r="U74" s="25" t="s">
        <v>499</v>
      </c>
      <c r="V74" s="7">
        <v>2</v>
      </c>
    </row>
    <row r="75" spans="1:22" x14ac:dyDescent="0.4">
      <c r="A75">
        <v>1989</v>
      </c>
      <c r="B75" s="25" t="s">
        <v>10</v>
      </c>
      <c r="C75" s="25" t="s">
        <v>213</v>
      </c>
      <c r="D75" s="25" t="s">
        <v>126</v>
      </c>
      <c r="E75" s="25" t="s">
        <v>495</v>
      </c>
      <c r="F75" s="7">
        <v>3</v>
      </c>
      <c r="G75" s="22">
        <v>132</v>
      </c>
      <c r="H75" s="22" t="s">
        <v>229</v>
      </c>
      <c r="I75" s="22">
        <v>6</v>
      </c>
      <c r="J75" s="29">
        <v>0</v>
      </c>
      <c r="K75" s="29">
        <v>7</v>
      </c>
      <c r="L75" s="29">
        <v>6</v>
      </c>
      <c r="M75" s="29">
        <v>6</v>
      </c>
      <c r="N75" s="29">
        <v>4</v>
      </c>
      <c r="S75" s="25" t="s">
        <v>228</v>
      </c>
      <c r="T75" s="25" t="s">
        <v>143</v>
      </c>
      <c r="U75" s="25" t="s">
        <v>506</v>
      </c>
      <c r="V75" s="7">
        <v>2</v>
      </c>
    </row>
    <row r="76" spans="1:22" x14ac:dyDescent="0.4">
      <c r="A76">
        <v>1988</v>
      </c>
      <c r="B76" s="25" t="s">
        <v>268</v>
      </c>
      <c r="C76" s="25" t="s">
        <v>380</v>
      </c>
      <c r="D76" s="25" t="s">
        <v>126</v>
      </c>
      <c r="E76" s="25" t="s">
        <v>495</v>
      </c>
      <c r="F76" s="7">
        <v>1</v>
      </c>
      <c r="G76" s="22">
        <v>93</v>
      </c>
      <c r="H76" s="22" t="s">
        <v>385</v>
      </c>
      <c r="I76" s="22">
        <v>5</v>
      </c>
      <c r="J76" s="29">
        <v>7</v>
      </c>
      <c r="K76" s="29">
        <v>6</v>
      </c>
      <c r="L76" s="29">
        <v>2</v>
      </c>
      <c r="M76" s="29">
        <v>6</v>
      </c>
      <c r="N76" s="29">
        <v>1</v>
      </c>
      <c r="S76" s="25" t="s">
        <v>300</v>
      </c>
      <c r="T76" s="25" t="s">
        <v>28</v>
      </c>
      <c r="U76" s="25" t="s">
        <v>499</v>
      </c>
      <c r="V76" s="7">
        <v>2</v>
      </c>
    </row>
    <row r="77" spans="1:22" x14ac:dyDescent="0.4">
      <c r="A77">
        <v>1988</v>
      </c>
      <c r="B77" s="25" t="s">
        <v>10</v>
      </c>
      <c r="C77" s="25" t="s">
        <v>228</v>
      </c>
      <c r="D77" s="25" t="s">
        <v>143</v>
      </c>
      <c r="E77" s="25" t="s">
        <v>506</v>
      </c>
      <c r="F77" s="7">
        <v>3</v>
      </c>
      <c r="G77" s="22">
        <v>170</v>
      </c>
      <c r="H77" s="22" t="s">
        <v>232</v>
      </c>
      <c r="I77" s="22">
        <v>4</v>
      </c>
      <c r="J77" s="29">
        <v>6</v>
      </c>
      <c r="K77" s="29">
        <v>7</v>
      </c>
      <c r="L77" s="29">
        <v>6</v>
      </c>
      <c r="M77" s="29">
        <v>6</v>
      </c>
      <c r="N77" s="29">
        <v>4</v>
      </c>
      <c r="O77" s="29">
        <v>6</v>
      </c>
      <c r="P77" s="29">
        <v>2</v>
      </c>
      <c r="S77" s="25" t="s">
        <v>213</v>
      </c>
      <c r="T77" s="25" t="s">
        <v>126</v>
      </c>
      <c r="U77" s="25" t="s">
        <v>495</v>
      </c>
      <c r="V77" s="7">
        <v>6</v>
      </c>
    </row>
    <row r="78" spans="1:22" x14ac:dyDescent="0.4">
      <c r="A78">
        <v>1987</v>
      </c>
      <c r="B78" s="25" t="s">
        <v>268</v>
      </c>
      <c r="C78" s="25" t="s">
        <v>300</v>
      </c>
      <c r="D78" s="25" t="s">
        <v>28</v>
      </c>
      <c r="E78" s="25" t="s">
        <v>499</v>
      </c>
      <c r="F78" s="7">
        <v>1</v>
      </c>
      <c r="G78" s="22">
        <v>69</v>
      </c>
      <c r="H78" s="22" t="s">
        <v>403</v>
      </c>
      <c r="I78" s="22">
        <v>7</v>
      </c>
      <c r="J78" s="29">
        <v>5</v>
      </c>
      <c r="K78" s="29">
        <v>6</v>
      </c>
      <c r="L78" s="29">
        <v>3</v>
      </c>
      <c r="S78" s="25" t="s">
        <v>380</v>
      </c>
      <c r="T78" s="25" t="s">
        <v>126</v>
      </c>
      <c r="U78" s="25" t="s">
        <v>495</v>
      </c>
      <c r="V78" s="7">
        <v>2</v>
      </c>
    </row>
    <row r="79" spans="1:22" x14ac:dyDescent="0.4">
      <c r="A79">
        <v>1987</v>
      </c>
      <c r="B79" s="25" t="s">
        <v>10</v>
      </c>
      <c r="C79" s="25" t="s">
        <v>180</v>
      </c>
      <c r="D79" s="25" t="s">
        <v>12</v>
      </c>
      <c r="E79" s="25" t="s">
        <v>503</v>
      </c>
      <c r="F79" s="7">
        <v>11</v>
      </c>
      <c r="G79" s="22">
        <v>165</v>
      </c>
      <c r="H79" s="22" t="s">
        <v>183</v>
      </c>
      <c r="I79" s="22">
        <v>7</v>
      </c>
      <c r="J79" s="29">
        <v>6</v>
      </c>
      <c r="K79" s="29">
        <v>6</v>
      </c>
      <c r="L79" s="29">
        <v>2</v>
      </c>
      <c r="M79" s="29">
        <v>7</v>
      </c>
      <c r="N79" s="29">
        <v>5</v>
      </c>
      <c r="S79" s="25" t="s">
        <v>182</v>
      </c>
      <c r="T79" s="25" t="s">
        <v>107</v>
      </c>
      <c r="U79" s="25" t="s">
        <v>500</v>
      </c>
      <c r="V79" s="7">
        <v>2</v>
      </c>
    </row>
    <row r="80" spans="1:22" x14ac:dyDescent="0.4">
      <c r="A80">
        <v>1986</v>
      </c>
      <c r="B80" s="25" t="s">
        <v>268</v>
      </c>
      <c r="C80" s="25" t="s">
        <v>300</v>
      </c>
      <c r="D80" s="25" t="s">
        <v>28</v>
      </c>
      <c r="E80" s="25" t="s">
        <v>499</v>
      </c>
      <c r="F80" s="7">
        <v>1</v>
      </c>
      <c r="G80" s="22">
        <v>72</v>
      </c>
      <c r="H80" s="22" t="s">
        <v>420</v>
      </c>
      <c r="I80" s="22">
        <v>7</v>
      </c>
      <c r="J80" s="29">
        <v>6</v>
      </c>
      <c r="K80" s="29">
        <v>6</v>
      </c>
      <c r="L80" s="29">
        <v>3</v>
      </c>
      <c r="S80" s="25" t="s">
        <v>405</v>
      </c>
      <c r="T80" s="25" t="s">
        <v>107</v>
      </c>
      <c r="U80" s="25" t="s">
        <v>500</v>
      </c>
      <c r="V80" s="7">
        <v>3</v>
      </c>
    </row>
    <row r="81" spans="1:22" x14ac:dyDescent="0.4">
      <c r="A81">
        <v>1986</v>
      </c>
      <c r="B81" s="25" t="s">
        <v>10</v>
      </c>
      <c r="C81" s="25" t="s">
        <v>213</v>
      </c>
      <c r="D81" s="25" t="s">
        <v>126</v>
      </c>
      <c r="E81" s="25" t="s">
        <v>495</v>
      </c>
      <c r="F81" s="7">
        <v>4</v>
      </c>
      <c r="G81" s="22">
        <v>122</v>
      </c>
      <c r="H81" s="22" t="s">
        <v>238</v>
      </c>
      <c r="I81" s="22">
        <v>6</v>
      </c>
      <c r="J81" s="29">
        <v>4</v>
      </c>
      <c r="K81" s="29">
        <v>6</v>
      </c>
      <c r="L81" s="29">
        <v>3</v>
      </c>
      <c r="M81" s="29">
        <v>7</v>
      </c>
      <c r="N81" s="29">
        <v>5</v>
      </c>
      <c r="S81" s="25" t="s">
        <v>182</v>
      </c>
      <c r="T81" s="25" t="s">
        <v>107</v>
      </c>
      <c r="U81" s="25" t="s">
        <v>500</v>
      </c>
      <c r="V81" s="7">
        <v>1</v>
      </c>
    </row>
    <row r="82" spans="1:22" x14ac:dyDescent="0.4">
      <c r="A82">
        <v>1985</v>
      </c>
      <c r="B82" s="25" t="s">
        <v>268</v>
      </c>
      <c r="C82" s="25" t="s">
        <v>300</v>
      </c>
      <c r="D82" s="25" t="s">
        <v>28</v>
      </c>
      <c r="E82" s="25" t="s">
        <v>499</v>
      </c>
      <c r="F82" s="7">
        <v>1</v>
      </c>
      <c r="G82" s="22">
        <v>107</v>
      </c>
      <c r="H82" s="22" t="s">
        <v>398</v>
      </c>
      <c r="I82" s="22">
        <v>4</v>
      </c>
      <c r="J82" s="29">
        <v>6</v>
      </c>
      <c r="K82" s="29">
        <v>6</v>
      </c>
      <c r="L82" s="29">
        <v>3</v>
      </c>
      <c r="M82" s="29">
        <v>6</v>
      </c>
      <c r="N82" s="29">
        <v>2</v>
      </c>
      <c r="S82" s="25" t="s">
        <v>282</v>
      </c>
      <c r="T82" s="25" t="s">
        <v>28</v>
      </c>
      <c r="U82" s="25" t="s">
        <v>499</v>
      </c>
      <c r="V82" s="7">
        <v>1</v>
      </c>
    </row>
    <row r="83" spans="1:22" x14ac:dyDescent="0.4">
      <c r="A83">
        <v>1985</v>
      </c>
      <c r="B83" s="25" t="s">
        <v>10</v>
      </c>
      <c r="C83" s="25" t="s">
        <v>213</v>
      </c>
      <c r="D83" s="25" t="s">
        <v>126</v>
      </c>
      <c r="E83" s="25" t="s">
        <v>495</v>
      </c>
      <c r="F83" s="7" t="s">
        <v>122</v>
      </c>
      <c r="G83" s="22">
        <v>198</v>
      </c>
      <c r="H83" s="22" t="s">
        <v>267</v>
      </c>
      <c r="I83" s="22">
        <v>6</v>
      </c>
      <c r="J83" s="29">
        <v>3</v>
      </c>
      <c r="K83" s="29">
        <v>6</v>
      </c>
      <c r="L83" s="29">
        <v>7</v>
      </c>
      <c r="M83" s="29">
        <v>7</v>
      </c>
      <c r="N83" s="29">
        <v>6</v>
      </c>
      <c r="O83" s="29">
        <v>6</v>
      </c>
      <c r="P83" s="29">
        <v>4</v>
      </c>
      <c r="S83" s="25" t="s">
        <v>266</v>
      </c>
      <c r="T83" s="25" t="s">
        <v>28</v>
      </c>
      <c r="U83" s="25" t="s">
        <v>499</v>
      </c>
      <c r="V83" s="7">
        <v>8</v>
      </c>
    </row>
    <row r="84" spans="1:22" x14ac:dyDescent="0.4">
      <c r="A84">
        <v>1984</v>
      </c>
      <c r="B84" s="25" t="s">
        <v>268</v>
      </c>
      <c r="C84" s="25" t="s">
        <v>300</v>
      </c>
      <c r="D84" s="25" t="s">
        <v>28</v>
      </c>
      <c r="E84" s="25" t="s">
        <v>499</v>
      </c>
      <c r="F84" s="7">
        <v>1</v>
      </c>
      <c r="G84" s="22">
        <v>84</v>
      </c>
      <c r="H84" s="22" t="s">
        <v>412</v>
      </c>
      <c r="I84" s="22">
        <v>7</v>
      </c>
      <c r="J84" s="29">
        <v>6</v>
      </c>
      <c r="K84" s="29">
        <v>6</v>
      </c>
      <c r="L84" s="29">
        <v>2</v>
      </c>
      <c r="S84" s="25" t="s">
        <v>282</v>
      </c>
      <c r="T84" s="25" t="s">
        <v>28</v>
      </c>
      <c r="U84" s="25" t="s">
        <v>499</v>
      </c>
      <c r="V84" s="7">
        <v>2</v>
      </c>
    </row>
    <row r="85" spans="1:22" x14ac:dyDescent="0.4">
      <c r="A85">
        <v>1984</v>
      </c>
      <c r="B85" s="25" t="s">
        <v>10</v>
      </c>
      <c r="C85" s="25" t="s">
        <v>144</v>
      </c>
      <c r="D85" s="25" t="s">
        <v>28</v>
      </c>
      <c r="E85" s="25" t="s">
        <v>499</v>
      </c>
      <c r="F85" s="7">
        <v>1</v>
      </c>
      <c r="G85" s="22">
        <v>80</v>
      </c>
      <c r="H85" s="22" t="s">
        <v>165</v>
      </c>
      <c r="I85" s="22">
        <v>6</v>
      </c>
      <c r="J85" s="29">
        <v>1</v>
      </c>
      <c r="K85" s="29">
        <v>6</v>
      </c>
      <c r="L85" s="29">
        <v>1</v>
      </c>
      <c r="M85" s="29">
        <v>6</v>
      </c>
      <c r="N85" s="29">
        <v>2</v>
      </c>
      <c r="S85" s="25" t="s">
        <v>146</v>
      </c>
      <c r="T85" s="25" t="s">
        <v>28</v>
      </c>
      <c r="U85" s="25" t="s">
        <v>499</v>
      </c>
      <c r="V85" s="7">
        <v>3</v>
      </c>
    </row>
    <row r="86" spans="1:22" x14ac:dyDescent="0.4">
      <c r="A86">
        <v>1983</v>
      </c>
      <c r="B86" s="25" t="s">
        <v>268</v>
      </c>
      <c r="C86" s="25" t="s">
        <v>300</v>
      </c>
      <c r="D86" s="25" t="s">
        <v>28</v>
      </c>
      <c r="E86" s="25" t="s">
        <v>499</v>
      </c>
      <c r="F86" s="7">
        <v>1</v>
      </c>
      <c r="G86" s="22">
        <v>54</v>
      </c>
      <c r="H86" s="22" t="s">
        <v>421</v>
      </c>
      <c r="I86" s="22">
        <v>6</v>
      </c>
      <c r="J86" s="29">
        <v>0</v>
      </c>
      <c r="K86" s="29">
        <v>6</v>
      </c>
      <c r="L86" s="29">
        <v>3</v>
      </c>
      <c r="S86" s="25" t="s">
        <v>422</v>
      </c>
      <c r="T86" s="25" t="s">
        <v>28</v>
      </c>
      <c r="U86" s="25" t="s">
        <v>499</v>
      </c>
      <c r="V86" s="7">
        <v>3</v>
      </c>
    </row>
    <row r="87" spans="1:22" x14ac:dyDescent="0.4">
      <c r="A87">
        <v>1983</v>
      </c>
      <c r="B87" s="25" t="s">
        <v>10</v>
      </c>
      <c r="C87" s="25" t="s">
        <v>144</v>
      </c>
      <c r="D87" s="25" t="s">
        <v>28</v>
      </c>
      <c r="E87" s="25" t="s">
        <v>499</v>
      </c>
      <c r="F87" s="7">
        <v>2</v>
      </c>
      <c r="G87" s="22">
        <v>85</v>
      </c>
      <c r="H87" s="22" t="s">
        <v>223</v>
      </c>
      <c r="I87" s="22">
        <v>6</v>
      </c>
      <c r="J87" s="29">
        <v>2</v>
      </c>
      <c r="K87" s="29">
        <v>6</v>
      </c>
      <c r="L87" s="29">
        <v>2</v>
      </c>
      <c r="M87" s="29">
        <v>6</v>
      </c>
      <c r="N87" s="29">
        <v>2</v>
      </c>
      <c r="S87" s="25" t="s">
        <v>222</v>
      </c>
      <c r="T87" s="25" t="s">
        <v>20</v>
      </c>
      <c r="U87" s="25" t="s">
        <v>508</v>
      </c>
      <c r="V87" s="7" t="s">
        <v>122</v>
      </c>
    </row>
    <row r="88" spans="1:22" x14ac:dyDescent="0.4">
      <c r="A88">
        <v>1982</v>
      </c>
      <c r="B88" s="25" t="s">
        <v>268</v>
      </c>
      <c r="C88" s="25" t="s">
        <v>300</v>
      </c>
      <c r="D88" s="25" t="s">
        <v>28</v>
      </c>
      <c r="E88" s="25" t="s">
        <v>499</v>
      </c>
      <c r="F88" s="7">
        <v>1</v>
      </c>
      <c r="G88" s="22">
        <v>87</v>
      </c>
      <c r="H88" s="22" t="s">
        <v>410</v>
      </c>
      <c r="I88" s="22">
        <v>6</v>
      </c>
      <c r="J88" s="29">
        <v>1</v>
      </c>
      <c r="K88" s="29">
        <v>3</v>
      </c>
      <c r="L88" s="29">
        <v>6</v>
      </c>
      <c r="M88" s="29">
        <v>6</v>
      </c>
      <c r="N88" s="29">
        <v>2</v>
      </c>
      <c r="S88" s="25" t="s">
        <v>282</v>
      </c>
      <c r="T88" s="25" t="s">
        <v>28</v>
      </c>
      <c r="U88" s="25" t="s">
        <v>499</v>
      </c>
      <c r="V88" s="7">
        <v>2</v>
      </c>
    </row>
    <row r="89" spans="1:22" x14ac:dyDescent="0.4">
      <c r="A89">
        <v>1982</v>
      </c>
      <c r="B89" s="25" t="s">
        <v>10</v>
      </c>
      <c r="C89" s="25" t="s">
        <v>146</v>
      </c>
      <c r="D89" s="25" t="s">
        <v>28</v>
      </c>
      <c r="E89" s="25" t="s">
        <v>499</v>
      </c>
      <c r="F89" s="7">
        <v>2</v>
      </c>
      <c r="G89" s="22">
        <v>256</v>
      </c>
      <c r="H89" s="22" t="s">
        <v>212</v>
      </c>
      <c r="I89" s="22">
        <v>3</v>
      </c>
      <c r="J89" s="29">
        <v>6</v>
      </c>
      <c r="K89" s="29">
        <v>6</v>
      </c>
      <c r="L89" s="29">
        <v>3</v>
      </c>
      <c r="M89" s="29">
        <v>6</v>
      </c>
      <c r="N89" s="29">
        <v>7</v>
      </c>
      <c r="O89" s="29">
        <v>7</v>
      </c>
      <c r="P89" s="29">
        <v>6</v>
      </c>
      <c r="Q89" s="22">
        <v>6</v>
      </c>
      <c r="R89" s="29">
        <v>4</v>
      </c>
      <c r="S89" s="25" t="s">
        <v>144</v>
      </c>
      <c r="T89" s="25" t="s">
        <v>28</v>
      </c>
      <c r="U89" s="25" t="s">
        <v>499</v>
      </c>
      <c r="V89" s="7">
        <v>1</v>
      </c>
    </row>
    <row r="90" spans="1:22" x14ac:dyDescent="0.4">
      <c r="A90">
        <v>1981</v>
      </c>
      <c r="B90" s="25" t="s">
        <v>268</v>
      </c>
      <c r="C90" s="25" t="s">
        <v>282</v>
      </c>
      <c r="D90" s="25" t="s">
        <v>28</v>
      </c>
      <c r="E90" s="25" t="s">
        <v>499</v>
      </c>
      <c r="F90" s="7">
        <v>1</v>
      </c>
      <c r="G90" s="22">
        <v>60</v>
      </c>
      <c r="H90" s="22" t="s">
        <v>404</v>
      </c>
      <c r="I90" s="22">
        <v>6</v>
      </c>
      <c r="J90" s="29">
        <v>2</v>
      </c>
      <c r="K90" s="29">
        <v>6</v>
      </c>
      <c r="L90" s="29">
        <v>2</v>
      </c>
      <c r="S90" s="25" t="s">
        <v>405</v>
      </c>
      <c r="T90" s="25" t="s">
        <v>107</v>
      </c>
      <c r="U90" s="25" t="s">
        <v>500</v>
      </c>
      <c r="V90" s="7">
        <v>2</v>
      </c>
    </row>
    <row r="91" spans="1:22" x14ac:dyDescent="0.4">
      <c r="A91">
        <v>1981</v>
      </c>
      <c r="B91" s="25" t="s">
        <v>10</v>
      </c>
      <c r="C91" s="25" t="s">
        <v>144</v>
      </c>
      <c r="D91" s="25" t="s">
        <v>28</v>
      </c>
      <c r="E91" s="25" t="s">
        <v>499</v>
      </c>
      <c r="F91" s="7">
        <v>2</v>
      </c>
      <c r="G91" s="22">
        <v>202</v>
      </c>
      <c r="H91" s="22" t="s">
        <v>211</v>
      </c>
      <c r="I91" s="22">
        <v>4</v>
      </c>
      <c r="J91" s="29">
        <v>6</v>
      </c>
      <c r="K91" s="29">
        <v>7</v>
      </c>
      <c r="L91" s="29">
        <v>6</v>
      </c>
      <c r="M91" s="29">
        <v>7</v>
      </c>
      <c r="N91" s="29">
        <v>6</v>
      </c>
      <c r="O91" s="29">
        <v>6</v>
      </c>
      <c r="P91" s="29">
        <v>4</v>
      </c>
      <c r="S91" s="25" t="s">
        <v>142</v>
      </c>
      <c r="T91" s="25" t="s">
        <v>143</v>
      </c>
      <c r="U91" s="25" t="s">
        <v>506</v>
      </c>
      <c r="V91" s="7">
        <v>1</v>
      </c>
    </row>
    <row r="92" spans="1:22" x14ac:dyDescent="0.4">
      <c r="A92">
        <v>1980</v>
      </c>
      <c r="B92" s="25" t="s">
        <v>268</v>
      </c>
      <c r="C92" s="25" t="s">
        <v>280</v>
      </c>
      <c r="D92" s="25" t="s">
        <v>12</v>
      </c>
      <c r="E92" s="25" t="s">
        <v>503</v>
      </c>
      <c r="F92" s="7">
        <v>4</v>
      </c>
      <c r="G92" s="22">
        <v>93</v>
      </c>
      <c r="H92" s="22" t="s">
        <v>281</v>
      </c>
      <c r="I92" s="22">
        <v>6</v>
      </c>
      <c r="J92" s="29">
        <v>1</v>
      </c>
      <c r="K92" s="29">
        <v>7</v>
      </c>
      <c r="L92" s="29">
        <v>6</v>
      </c>
      <c r="S92" s="25" t="s">
        <v>282</v>
      </c>
      <c r="T92" s="25" t="s">
        <v>28</v>
      </c>
      <c r="U92" s="25" t="s">
        <v>499</v>
      </c>
      <c r="V92" s="7">
        <v>3</v>
      </c>
    </row>
    <row r="93" spans="1:22" x14ac:dyDescent="0.4">
      <c r="A93">
        <v>1980</v>
      </c>
      <c r="B93" s="25" t="s">
        <v>10</v>
      </c>
      <c r="C93" s="25" t="s">
        <v>142</v>
      </c>
      <c r="D93" s="25" t="s">
        <v>143</v>
      </c>
      <c r="E93" s="25" t="s">
        <v>506</v>
      </c>
      <c r="F93" s="7">
        <v>1</v>
      </c>
      <c r="G93" s="22">
        <v>233</v>
      </c>
      <c r="H93" s="22" t="s">
        <v>145</v>
      </c>
      <c r="I93" s="22">
        <v>1</v>
      </c>
      <c r="J93" s="29">
        <v>6</v>
      </c>
      <c r="K93" s="29">
        <v>7</v>
      </c>
      <c r="L93" s="29">
        <v>5</v>
      </c>
      <c r="M93" s="29">
        <v>6</v>
      </c>
      <c r="N93" s="29">
        <v>3</v>
      </c>
      <c r="O93" s="29">
        <v>6</v>
      </c>
      <c r="P93" s="29">
        <v>7</v>
      </c>
      <c r="Q93" s="22">
        <v>8</v>
      </c>
      <c r="R93" s="29">
        <v>6</v>
      </c>
      <c r="S93" s="25" t="s">
        <v>144</v>
      </c>
      <c r="T93" s="25" t="s">
        <v>28</v>
      </c>
      <c r="U93" s="25" t="s">
        <v>499</v>
      </c>
      <c r="V93" s="7">
        <v>2</v>
      </c>
    </row>
    <row r="94" spans="1:22" x14ac:dyDescent="0.4">
      <c r="A94">
        <v>1979</v>
      </c>
      <c r="B94" s="25" t="s">
        <v>268</v>
      </c>
      <c r="C94" s="25" t="s">
        <v>300</v>
      </c>
      <c r="D94" s="25" t="s">
        <v>28</v>
      </c>
      <c r="E94" s="25" t="s">
        <v>499</v>
      </c>
      <c r="F94" s="7">
        <v>1</v>
      </c>
      <c r="G94" s="22">
        <v>60</v>
      </c>
      <c r="H94" s="22" t="s">
        <v>411</v>
      </c>
      <c r="I94" s="22">
        <v>6</v>
      </c>
      <c r="J94" s="29">
        <v>4</v>
      </c>
      <c r="K94" s="29">
        <v>6</v>
      </c>
      <c r="L94" s="29">
        <v>4</v>
      </c>
      <c r="S94" s="25" t="s">
        <v>282</v>
      </c>
      <c r="T94" s="25" t="s">
        <v>28</v>
      </c>
      <c r="U94" s="25" t="s">
        <v>499</v>
      </c>
      <c r="V94" s="7">
        <v>2</v>
      </c>
    </row>
    <row r="95" spans="1:22" x14ac:dyDescent="0.4">
      <c r="A95">
        <v>1979</v>
      </c>
      <c r="B95" s="25" t="s">
        <v>10</v>
      </c>
      <c r="C95" s="25" t="s">
        <v>142</v>
      </c>
      <c r="D95" s="25" t="s">
        <v>143</v>
      </c>
      <c r="E95" s="25" t="s">
        <v>506</v>
      </c>
      <c r="F95" s="7">
        <v>1</v>
      </c>
      <c r="G95" s="22">
        <v>169</v>
      </c>
      <c r="H95" s="22" t="s">
        <v>149</v>
      </c>
      <c r="I95" s="22">
        <v>6</v>
      </c>
      <c r="J95" s="29">
        <v>7</v>
      </c>
      <c r="K95" s="29">
        <v>6</v>
      </c>
      <c r="L95" s="29">
        <v>1</v>
      </c>
      <c r="M95" s="29">
        <v>3</v>
      </c>
      <c r="N95" s="29">
        <v>6</v>
      </c>
      <c r="O95" s="29">
        <v>6</v>
      </c>
      <c r="P95" s="29">
        <v>3</v>
      </c>
      <c r="Q95" s="22">
        <v>6</v>
      </c>
      <c r="R95" s="29">
        <v>4</v>
      </c>
      <c r="S95" s="25" t="s">
        <v>148</v>
      </c>
      <c r="T95" s="25" t="s">
        <v>28</v>
      </c>
      <c r="U95" s="25" t="s">
        <v>499</v>
      </c>
      <c r="V95" s="7">
        <v>5</v>
      </c>
    </row>
    <row r="96" spans="1:22" x14ac:dyDescent="0.4">
      <c r="A96">
        <v>1978</v>
      </c>
      <c r="B96" s="25" t="s">
        <v>268</v>
      </c>
      <c r="C96" s="25" t="s">
        <v>300</v>
      </c>
      <c r="D96" s="25" t="s">
        <v>28</v>
      </c>
      <c r="E96" s="25" t="s">
        <v>499</v>
      </c>
      <c r="F96" s="7">
        <v>2</v>
      </c>
      <c r="G96" s="22">
        <v>102</v>
      </c>
      <c r="H96" s="22" t="s">
        <v>443</v>
      </c>
      <c r="I96" s="22">
        <v>2</v>
      </c>
      <c r="J96" s="29">
        <v>6</v>
      </c>
      <c r="K96" s="29">
        <v>6</v>
      </c>
      <c r="L96" s="29">
        <v>4</v>
      </c>
      <c r="M96" s="29">
        <v>7</v>
      </c>
      <c r="N96" s="29">
        <v>5</v>
      </c>
      <c r="S96" s="25" t="s">
        <v>399</v>
      </c>
      <c r="T96" s="25" t="s">
        <v>28</v>
      </c>
      <c r="U96" s="25" t="s">
        <v>499</v>
      </c>
      <c r="V96" s="7">
        <v>1</v>
      </c>
    </row>
    <row r="97" spans="1:22" x14ac:dyDescent="0.4">
      <c r="A97">
        <v>1978</v>
      </c>
      <c r="B97" s="25" t="s">
        <v>10</v>
      </c>
      <c r="C97" s="25" t="s">
        <v>142</v>
      </c>
      <c r="D97" s="25" t="s">
        <v>143</v>
      </c>
      <c r="E97" s="25" t="s">
        <v>506</v>
      </c>
      <c r="F97" s="7">
        <v>1</v>
      </c>
      <c r="G97" s="22">
        <v>108</v>
      </c>
      <c r="H97" s="22" t="s">
        <v>147</v>
      </c>
      <c r="I97" s="22">
        <v>6</v>
      </c>
      <c r="J97" s="29">
        <v>2</v>
      </c>
      <c r="K97" s="29">
        <v>6</v>
      </c>
      <c r="L97" s="29">
        <v>2</v>
      </c>
      <c r="M97" s="29">
        <v>6</v>
      </c>
      <c r="N97" s="29">
        <v>3</v>
      </c>
      <c r="S97" s="25" t="s">
        <v>146</v>
      </c>
      <c r="T97" s="25" t="s">
        <v>28</v>
      </c>
      <c r="U97" s="25" t="s">
        <v>499</v>
      </c>
      <c r="V97" s="7">
        <v>2</v>
      </c>
    </row>
    <row r="98" spans="1:22" x14ac:dyDescent="0.4">
      <c r="A98">
        <v>1977</v>
      </c>
      <c r="B98" s="25" t="s">
        <v>268</v>
      </c>
      <c r="C98" s="25" t="s">
        <v>369</v>
      </c>
      <c r="D98" s="25" t="s">
        <v>15</v>
      </c>
      <c r="E98" s="25" t="s">
        <v>498</v>
      </c>
      <c r="F98" s="7">
        <v>3</v>
      </c>
      <c r="G98" s="22">
        <v>98</v>
      </c>
      <c r="H98" s="22" t="s">
        <v>370</v>
      </c>
      <c r="I98" s="22">
        <v>4</v>
      </c>
      <c r="J98" s="29">
        <v>6</v>
      </c>
      <c r="K98" s="29">
        <v>6</v>
      </c>
      <c r="L98" s="29">
        <v>3</v>
      </c>
      <c r="M98" s="29">
        <v>6</v>
      </c>
      <c r="N98" s="29">
        <v>1</v>
      </c>
      <c r="S98" s="25" t="s">
        <v>371</v>
      </c>
      <c r="T98" s="25" t="s">
        <v>262</v>
      </c>
      <c r="U98" s="25" t="s">
        <v>505</v>
      </c>
      <c r="V98" s="7">
        <v>7</v>
      </c>
    </row>
    <row r="99" spans="1:22" x14ac:dyDescent="0.4">
      <c r="A99">
        <v>1977</v>
      </c>
      <c r="B99" s="25" t="s">
        <v>10</v>
      </c>
      <c r="C99" s="25" t="s">
        <v>142</v>
      </c>
      <c r="D99" s="25" t="s">
        <v>143</v>
      </c>
      <c r="E99" s="25" t="s">
        <v>506</v>
      </c>
      <c r="F99" s="7">
        <v>2</v>
      </c>
      <c r="G99" s="22">
        <v>194</v>
      </c>
      <c r="H99" s="22" t="s">
        <v>210</v>
      </c>
      <c r="I99" s="22">
        <v>3</v>
      </c>
      <c r="J99" s="29">
        <v>6</v>
      </c>
      <c r="K99" s="29">
        <v>6</v>
      </c>
      <c r="L99" s="29">
        <v>2</v>
      </c>
      <c r="M99" s="29">
        <v>6</v>
      </c>
      <c r="N99" s="29">
        <v>1</v>
      </c>
      <c r="O99" s="29">
        <v>5</v>
      </c>
      <c r="P99" s="29">
        <v>7</v>
      </c>
      <c r="Q99" s="22">
        <v>6</v>
      </c>
      <c r="R99" s="29">
        <v>4</v>
      </c>
      <c r="S99" s="25" t="s">
        <v>146</v>
      </c>
      <c r="T99" s="25" t="s">
        <v>28</v>
      </c>
      <c r="U99" s="25" t="s">
        <v>499</v>
      </c>
      <c r="V99" s="7">
        <v>1</v>
      </c>
    </row>
    <row r="100" spans="1:22" x14ac:dyDescent="0.4">
      <c r="A100">
        <v>1976</v>
      </c>
      <c r="B100" s="25" t="s">
        <v>268</v>
      </c>
      <c r="C100" s="25" t="s">
        <v>399</v>
      </c>
      <c r="D100" s="25" t="s">
        <v>28</v>
      </c>
      <c r="E100" s="25" t="s">
        <v>499</v>
      </c>
      <c r="F100" s="7">
        <v>1</v>
      </c>
      <c r="G100" s="22">
        <v>120</v>
      </c>
      <c r="H100" s="22" t="s">
        <v>400</v>
      </c>
      <c r="I100" s="22">
        <v>6</v>
      </c>
      <c r="J100" s="29">
        <v>3</v>
      </c>
      <c r="K100" s="29">
        <v>4</v>
      </c>
      <c r="L100" s="29">
        <v>6</v>
      </c>
      <c r="M100" s="29">
        <v>8</v>
      </c>
      <c r="N100" s="29">
        <v>6</v>
      </c>
      <c r="S100" s="25" t="s">
        <v>280</v>
      </c>
      <c r="T100" s="25" t="s">
        <v>12</v>
      </c>
      <c r="U100" s="25" t="s">
        <v>503</v>
      </c>
      <c r="V100" s="7">
        <v>2</v>
      </c>
    </row>
    <row r="101" spans="1:22" x14ac:dyDescent="0.4">
      <c r="A101">
        <v>1976</v>
      </c>
      <c r="B101" s="25" t="s">
        <v>10</v>
      </c>
      <c r="C101" s="25" t="s">
        <v>142</v>
      </c>
      <c r="D101" s="25" t="s">
        <v>143</v>
      </c>
      <c r="E101" s="25" t="s">
        <v>506</v>
      </c>
      <c r="F101" s="7">
        <v>4</v>
      </c>
      <c r="G101" s="22">
        <v>110</v>
      </c>
      <c r="H101" s="22" t="s">
        <v>241</v>
      </c>
      <c r="I101" s="22">
        <v>6</v>
      </c>
      <c r="J101" s="29">
        <v>4</v>
      </c>
      <c r="K101" s="29">
        <v>6</v>
      </c>
      <c r="L101" s="29">
        <v>2</v>
      </c>
      <c r="M101" s="29">
        <v>9</v>
      </c>
      <c r="N101" s="29">
        <v>7</v>
      </c>
      <c r="S101" s="25" t="s">
        <v>161</v>
      </c>
      <c r="T101" s="25" t="s">
        <v>160</v>
      </c>
      <c r="U101" s="25" t="s">
        <v>493</v>
      </c>
      <c r="V101" s="7">
        <v>3</v>
      </c>
    </row>
    <row r="102" spans="1:22" x14ac:dyDescent="0.4">
      <c r="A102">
        <v>1975</v>
      </c>
      <c r="B102" s="25" t="s">
        <v>268</v>
      </c>
      <c r="C102" s="25" t="s">
        <v>271</v>
      </c>
      <c r="D102" s="25" t="s">
        <v>28</v>
      </c>
      <c r="E102" s="25" t="s">
        <v>499</v>
      </c>
      <c r="F102" s="7">
        <v>3</v>
      </c>
      <c r="G102" s="22">
        <v>38</v>
      </c>
      <c r="H102" s="22" t="s">
        <v>458</v>
      </c>
      <c r="I102" s="22">
        <v>6</v>
      </c>
      <c r="J102" s="29">
        <v>0</v>
      </c>
      <c r="K102" s="29">
        <v>6</v>
      </c>
      <c r="L102" s="29">
        <v>1</v>
      </c>
      <c r="S102" s="25" t="s">
        <v>280</v>
      </c>
      <c r="T102" s="25" t="s">
        <v>12</v>
      </c>
      <c r="U102" s="25" t="s">
        <v>503</v>
      </c>
      <c r="V102" s="7">
        <v>4</v>
      </c>
    </row>
    <row r="103" spans="1:22" x14ac:dyDescent="0.4">
      <c r="A103">
        <v>1975</v>
      </c>
      <c r="B103" s="25" t="s">
        <v>10</v>
      </c>
      <c r="C103" s="25" t="s">
        <v>250</v>
      </c>
      <c r="D103" s="25" t="s">
        <v>28</v>
      </c>
      <c r="E103" s="25" t="s">
        <v>499</v>
      </c>
      <c r="F103" s="7">
        <v>6</v>
      </c>
      <c r="G103" s="22">
        <v>125</v>
      </c>
      <c r="H103" s="22" t="s">
        <v>251</v>
      </c>
      <c r="I103" s="22">
        <v>6</v>
      </c>
      <c r="J103" s="29">
        <v>1</v>
      </c>
      <c r="K103" s="29">
        <v>6</v>
      </c>
      <c r="L103" s="29">
        <v>1</v>
      </c>
      <c r="M103" s="29">
        <v>5</v>
      </c>
      <c r="N103" s="29">
        <v>7</v>
      </c>
      <c r="O103" s="29">
        <v>6</v>
      </c>
      <c r="P103" s="29">
        <v>4</v>
      </c>
      <c r="S103" s="25" t="s">
        <v>146</v>
      </c>
      <c r="T103" s="25" t="s">
        <v>28</v>
      </c>
      <c r="U103" s="25" t="s">
        <v>499</v>
      </c>
      <c r="V103" s="7">
        <v>1</v>
      </c>
    </row>
    <row r="104" spans="1:22" x14ac:dyDescent="0.4">
      <c r="A104">
        <v>1974</v>
      </c>
      <c r="B104" s="25" t="s">
        <v>268</v>
      </c>
      <c r="C104" s="25" t="s">
        <v>399</v>
      </c>
      <c r="D104" s="25" t="s">
        <v>28</v>
      </c>
      <c r="E104" s="25" t="s">
        <v>499</v>
      </c>
      <c r="F104" s="7">
        <v>2</v>
      </c>
      <c r="G104" s="22">
        <v>59</v>
      </c>
      <c r="H104" s="22" t="s">
        <v>361</v>
      </c>
      <c r="I104" s="22">
        <v>6</v>
      </c>
      <c r="J104" s="29">
        <v>0</v>
      </c>
      <c r="K104" s="29">
        <v>6</v>
      </c>
      <c r="L104" s="29">
        <v>4</v>
      </c>
      <c r="S104" s="25" t="s">
        <v>455</v>
      </c>
      <c r="T104" s="25" t="s">
        <v>194</v>
      </c>
      <c r="U104" s="25" t="s">
        <v>518</v>
      </c>
      <c r="V104" s="7">
        <v>8</v>
      </c>
    </row>
    <row r="105" spans="1:22" x14ac:dyDescent="0.4">
      <c r="A105">
        <v>1974</v>
      </c>
      <c r="B105" s="25" t="s">
        <v>10</v>
      </c>
      <c r="C105" s="25" t="s">
        <v>146</v>
      </c>
      <c r="D105" s="25" t="s">
        <v>28</v>
      </c>
      <c r="E105" s="25" t="s">
        <v>499</v>
      </c>
      <c r="F105" s="7">
        <v>3</v>
      </c>
      <c r="G105" s="22">
        <v>93</v>
      </c>
      <c r="H105" s="22" t="s">
        <v>233</v>
      </c>
      <c r="I105" s="22">
        <v>6</v>
      </c>
      <c r="J105" s="29">
        <v>1</v>
      </c>
      <c r="K105" s="29">
        <v>6</v>
      </c>
      <c r="L105" s="29">
        <v>1</v>
      </c>
      <c r="M105" s="29">
        <v>6</v>
      </c>
      <c r="N105" s="29">
        <v>4</v>
      </c>
      <c r="S105" s="25" t="s">
        <v>101</v>
      </c>
      <c r="T105" s="25" t="s">
        <v>12</v>
      </c>
      <c r="U105" s="25" t="s">
        <v>503</v>
      </c>
      <c r="V105" s="7">
        <v>9</v>
      </c>
    </row>
    <row r="106" spans="1:22" x14ac:dyDescent="0.4">
      <c r="A106">
        <v>1973</v>
      </c>
      <c r="B106" s="25" t="s">
        <v>268</v>
      </c>
      <c r="C106" s="25" t="s">
        <v>271</v>
      </c>
      <c r="D106" s="25" t="s">
        <v>28</v>
      </c>
      <c r="E106" s="25" t="s">
        <v>499</v>
      </c>
      <c r="F106" s="7">
        <v>2</v>
      </c>
      <c r="G106" s="22">
        <v>53</v>
      </c>
      <c r="H106" s="22" t="s">
        <v>449</v>
      </c>
      <c r="I106" s="22">
        <v>6</v>
      </c>
      <c r="J106" s="29">
        <v>0</v>
      </c>
      <c r="K106" s="29">
        <v>7</v>
      </c>
      <c r="L106" s="29">
        <v>5</v>
      </c>
      <c r="S106" s="25" t="s">
        <v>399</v>
      </c>
      <c r="T106" s="25" t="s">
        <v>28</v>
      </c>
      <c r="U106" s="25" t="s">
        <v>499</v>
      </c>
      <c r="V106" s="7">
        <v>4</v>
      </c>
    </row>
    <row r="107" spans="1:22" x14ac:dyDescent="0.4">
      <c r="A107">
        <v>1973</v>
      </c>
      <c r="B107" s="25" t="s">
        <v>10</v>
      </c>
      <c r="C107" s="25" t="s">
        <v>193</v>
      </c>
      <c r="D107" s="25" t="s">
        <v>107</v>
      </c>
      <c r="E107" s="25" t="s">
        <v>500</v>
      </c>
      <c r="F107" s="7">
        <v>2</v>
      </c>
      <c r="G107" s="22">
        <v>110</v>
      </c>
      <c r="H107" s="22" t="s">
        <v>196</v>
      </c>
      <c r="I107" s="22">
        <v>6</v>
      </c>
      <c r="J107" s="29">
        <v>1</v>
      </c>
      <c r="K107" s="29">
        <v>9</v>
      </c>
      <c r="L107" s="29">
        <v>8</v>
      </c>
      <c r="M107" s="29">
        <v>6</v>
      </c>
      <c r="N107" s="29">
        <v>3</v>
      </c>
      <c r="S107" s="25" t="s">
        <v>195</v>
      </c>
      <c r="T107" s="25" t="s">
        <v>194</v>
      </c>
      <c r="U107" s="25" t="s">
        <v>518</v>
      </c>
      <c r="V107" s="7">
        <v>4</v>
      </c>
    </row>
    <row r="108" spans="1:22" x14ac:dyDescent="0.4">
      <c r="A108">
        <v>1972</v>
      </c>
      <c r="B108" s="25" t="s">
        <v>268</v>
      </c>
      <c r="C108" s="25" t="s">
        <v>271</v>
      </c>
      <c r="D108" s="25" t="s">
        <v>28</v>
      </c>
      <c r="E108" s="25" t="s">
        <v>499</v>
      </c>
      <c r="F108" s="7">
        <v>2</v>
      </c>
      <c r="G108" s="22">
        <v>50</v>
      </c>
      <c r="H108" s="22" t="s">
        <v>442</v>
      </c>
      <c r="I108" s="22">
        <v>6</v>
      </c>
      <c r="J108" s="29">
        <v>3</v>
      </c>
      <c r="K108" s="29">
        <v>6</v>
      </c>
      <c r="L108" s="29">
        <v>3</v>
      </c>
      <c r="S108" s="25" t="s">
        <v>278</v>
      </c>
      <c r="T108" s="25" t="s">
        <v>12</v>
      </c>
      <c r="U108" s="25" t="s">
        <v>503</v>
      </c>
      <c r="V108" s="7">
        <v>1</v>
      </c>
    </row>
    <row r="109" spans="1:22" x14ac:dyDescent="0.4">
      <c r="A109">
        <v>1972</v>
      </c>
      <c r="B109" s="25" t="s">
        <v>10</v>
      </c>
      <c r="C109" s="25" t="s">
        <v>159</v>
      </c>
      <c r="D109" s="25" t="s">
        <v>28</v>
      </c>
      <c r="E109" s="25" t="s">
        <v>499</v>
      </c>
      <c r="F109" s="7">
        <v>1</v>
      </c>
      <c r="G109" s="22">
        <v>161</v>
      </c>
      <c r="H109" s="22" t="s">
        <v>162</v>
      </c>
      <c r="I109" s="22">
        <v>4</v>
      </c>
      <c r="J109" s="29">
        <v>6</v>
      </c>
      <c r="K109" s="29">
        <v>6</v>
      </c>
      <c r="L109" s="29">
        <v>3</v>
      </c>
      <c r="M109" s="29">
        <v>6</v>
      </c>
      <c r="N109" s="29">
        <v>3</v>
      </c>
      <c r="O109" s="29">
        <v>4</v>
      </c>
      <c r="P109" s="29">
        <v>6</v>
      </c>
      <c r="Q109" s="22">
        <v>7</v>
      </c>
      <c r="R109" s="29">
        <v>5</v>
      </c>
      <c r="S109" s="25" t="s">
        <v>161</v>
      </c>
      <c r="T109" s="25" t="s">
        <v>160</v>
      </c>
      <c r="U109" s="25" t="s">
        <v>493</v>
      </c>
      <c r="V109" s="7">
        <v>2</v>
      </c>
    </row>
    <row r="110" spans="1:22" x14ac:dyDescent="0.4">
      <c r="A110">
        <v>1971</v>
      </c>
      <c r="B110" s="25" t="s">
        <v>268</v>
      </c>
      <c r="C110" s="25" t="s">
        <v>278</v>
      </c>
      <c r="D110" s="25" t="s">
        <v>12</v>
      </c>
      <c r="E110" s="25" t="s">
        <v>503</v>
      </c>
      <c r="F110" s="7">
        <v>3</v>
      </c>
      <c r="G110" s="22">
        <v>62</v>
      </c>
      <c r="H110" s="22" t="s">
        <v>279</v>
      </c>
      <c r="I110" s="22">
        <v>6</v>
      </c>
      <c r="J110" s="29">
        <v>4</v>
      </c>
      <c r="K110" s="29">
        <v>6</v>
      </c>
      <c r="L110" s="29">
        <v>1</v>
      </c>
      <c r="S110" s="25" t="s">
        <v>269</v>
      </c>
      <c r="T110" s="25" t="s">
        <v>12</v>
      </c>
      <c r="U110" s="25" t="s">
        <v>503</v>
      </c>
      <c r="V110" s="7">
        <v>1</v>
      </c>
    </row>
    <row r="111" spans="1:22" x14ac:dyDescent="0.4">
      <c r="A111">
        <v>1971</v>
      </c>
      <c r="B111" s="25" t="s">
        <v>10</v>
      </c>
      <c r="C111" s="25" t="s">
        <v>117</v>
      </c>
      <c r="D111" s="25" t="s">
        <v>12</v>
      </c>
      <c r="E111" s="25" t="s">
        <v>503</v>
      </c>
      <c r="F111" s="7">
        <v>2</v>
      </c>
      <c r="G111" s="22">
        <v>170</v>
      </c>
      <c r="H111" s="22" t="s">
        <v>189</v>
      </c>
      <c r="I111" s="22">
        <v>6</v>
      </c>
      <c r="J111" s="29">
        <v>3</v>
      </c>
      <c r="K111" s="29">
        <v>5</v>
      </c>
      <c r="L111" s="29">
        <v>7</v>
      </c>
      <c r="M111" s="29">
        <v>2</v>
      </c>
      <c r="N111" s="29">
        <v>6</v>
      </c>
      <c r="O111" s="29">
        <v>6</v>
      </c>
      <c r="P111" s="29">
        <v>4</v>
      </c>
      <c r="Q111" s="22">
        <v>6</v>
      </c>
      <c r="R111" s="29">
        <v>4</v>
      </c>
      <c r="S111" s="25" t="s">
        <v>159</v>
      </c>
      <c r="T111" s="25" t="s">
        <v>28</v>
      </c>
      <c r="U111" s="25" t="s">
        <v>499</v>
      </c>
      <c r="V111" s="7">
        <v>4</v>
      </c>
    </row>
    <row r="112" spans="1:22" x14ac:dyDescent="0.4">
      <c r="A112">
        <v>1970</v>
      </c>
      <c r="B112" s="25" t="s">
        <v>268</v>
      </c>
      <c r="C112" s="25" t="s">
        <v>269</v>
      </c>
      <c r="D112" s="25" t="s">
        <v>12</v>
      </c>
      <c r="E112" s="25" t="s">
        <v>503</v>
      </c>
      <c r="F112" s="7">
        <v>1</v>
      </c>
      <c r="G112" s="22">
        <v>148</v>
      </c>
      <c r="H112" s="22" t="s">
        <v>270</v>
      </c>
      <c r="I112" s="22">
        <v>14</v>
      </c>
      <c r="J112" s="29">
        <v>12</v>
      </c>
      <c r="K112" s="29">
        <v>11</v>
      </c>
      <c r="L112" s="29">
        <v>9</v>
      </c>
      <c r="S112" s="25" t="s">
        <v>271</v>
      </c>
      <c r="T112" s="25" t="s">
        <v>28</v>
      </c>
      <c r="U112" s="25" t="s">
        <v>499</v>
      </c>
      <c r="V112" s="7">
        <v>2</v>
      </c>
    </row>
    <row r="113" spans="1:22" x14ac:dyDescent="0.4">
      <c r="A113">
        <v>1970</v>
      </c>
      <c r="B113" s="25" t="s">
        <v>10</v>
      </c>
      <c r="C113" s="25" t="s">
        <v>117</v>
      </c>
      <c r="D113" s="25" t="s">
        <v>12</v>
      </c>
      <c r="E113" s="25" t="s">
        <v>503</v>
      </c>
      <c r="F113" s="7">
        <v>2</v>
      </c>
      <c r="G113" s="22">
        <v>163</v>
      </c>
      <c r="H113" s="22" t="s">
        <v>190</v>
      </c>
      <c r="I113" s="22">
        <v>5</v>
      </c>
      <c r="J113" s="29">
        <v>7</v>
      </c>
      <c r="K113" s="29">
        <v>6</v>
      </c>
      <c r="L113" s="29">
        <v>3</v>
      </c>
      <c r="M113" s="29">
        <v>6</v>
      </c>
      <c r="N113" s="29">
        <v>2</v>
      </c>
      <c r="O113" s="29">
        <v>3</v>
      </c>
      <c r="P113" s="29">
        <v>6</v>
      </c>
      <c r="Q113" s="22">
        <v>6</v>
      </c>
      <c r="R113" s="29">
        <v>1</v>
      </c>
      <c r="S113" s="25" t="s">
        <v>101</v>
      </c>
      <c r="T113" s="25" t="s">
        <v>12</v>
      </c>
      <c r="U113" s="25" t="s">
        <v>503</v>
      </c>
      <c r="V113" s="7">
        <v>5</v>
      </c>
    </row>
    <row r="114" spans="1:22" x14ac:dyDescent="0.4">
      <c r="A114">
        <v>1969</v>
      </c>
      <c r="B114" s="25" t="s">
        <v>268</v>
      </c>
      <c r="C114" s="25" t="s">
        <v>372</v>
      </c>
      <c r="D114" s="25" t="s">
        <v>15</v>
      </c>
      <c r="E114" s="25" t="s">
        <v>498</v>
      </c>
      <c r="F114" s="7">
        <v>4</v>
      </c>
      <c r="G114" s="22">
        <v>71</v>
      </c>
      <c r="H114" s="22" t="s">
        <v>373</v>
      </c>
      <c r="I114" s="22">
        <v>3</v>
      </c>
      <c r="J114" s="29">
        <v>6</v>
      </c>
      <c r="K114" s="29">
        <v>6</v>
      </c>
      <c r="L114" s="29">
        <v>3</v>
      </c>
      <c r="M114" s="29">
        <v>6</v>
      </c>
      <c r="N114" s="29">
        <v>2</v>
      </c>
      <c r="S114" s="25" t="s">
        <v>271</v>
      </c>
      <c r="T114" s="25" t="s">
        <v>28</v>
      </c>
      <c r="U114" s="25" t="s">
        <v>499</v>
      </c>
      <c r="V114" s="7">
        <v>2</v>
      </c>
    </row>
    <row r="115" spans="1:22" x14ac:dyDescent="0.4">
      <c r="A115">
        <v>1969</v>
      </c>
      <c r="B115" s="25" t="s">
        <v>10</v>
      </c>
      <c r="C115" s="25" t="s">
        <v>96</v>
      </c>
      <c r="D115" s="25" t="s">
        <v>12</v>
      </c>
      <c r="E115" s="25" t="s">
        <v>503</v>
      </c>
      <c r="F115" s="7">
        <v>1</v>
      </c>
      <c r="G115" s="22">
        <v>136</v>
      </c>
      <c r="H115" s="22" t="s">
        <v>118</v>
      </c>
      <c r="I115" s="22">
        <v>6</v>
      </c>
      <c r="J115" s="29">
        <v>4</v>
      </c>
      <c r="K115" s="29">
        <v>5</v>
      </c>
      <c r="L115" s="29">
        <v>7</v>
      </c>
      <c r="M115" s="29">
        <v>6</v>
      </c>
      <c r="N115" s="29">
        <v>4</v>
      </c>
      <c r="O115" s="29">
        <v>6</v>
      </c>
      <c r="P115" s="29">
        <v>4</v>
      </c>
      <c r="S115" s="25" t="s">
        <v>117</v>
      </c>
      <c r="T115" s="25" t="s">
        <v>12</v>
      </c>
      <c r="U115" s="25" t="s">
        <v>503</v>
      </c>
      <c r="V115" s="7">
        <v>6</v>
      </c>
    </row>
    <row r="116" spans="1:22" x14ac:dyDescent="0.4">
      <c r="A116">
        <v>1968</v>
      </c>
      <c r="B116" s="25" t="s">
        <v>268</v>
      </c>
      <c r="C116" s="25" t="s">
        <v>271</v>
      </c>
      <c r="D116" s="25" t="s">
        <v>28</v>
      </c>
      <c r="E116" s="25" t="s">
        <v>499</v>
      </c>
      <c r="F116" s="7">
        <v>1</v>
      </c>
      <c r="G116" s="22">
        <v>69</v>
      </c>
      <c r="H116" s="22" t="s">
        <v>436</v>
      </c>
      <c r="I116" s="22">
        <v>9</v>
      </c>
      <c r="J116" s="29">
        <v>7</v>
      </c>
      <c r="K116" s="29">
        <v>7</v>
      </c>
      <c r="L116" s="29">
        <v>5</v>
      </c>
      <c r="S116" s="25" t="s">
        <v>437</v>
      </c>
      <c r="T116" s="25" t="s">
        <v>12</v>
      </c>
      <c r="U116" s="25" t="s">
        <v>503</v>
      </c>
      <c r="V116" s="7">
        <v>7</v>
      </c>
    </row>
    <row r="117" spans="1:22" x14ac:dyDescent="0.4">
      <c r="A117">
        <v>1968</v>
      </c>
      <c r="B117" s="25" t="s">
        <v>10</v>
      </c>
      <c r="C117" s="25" t="s">
        <v>96</v>
      </c>
      <c r="D117" s="25" t="s">
        <v>12</v>
      </c>
      <c r="E117" s="25" t="s">
        <v>503</v>
      </c>
      <c r="F117" s="7">
        <v>1</v>
      </c>
      <c r="G117" s="22">
        <v>60</v>
      </c>
      <c r="H117" s="22" t="s">
        <v>17</v>
      </c>
      <c r="I117" s="22">
        <v>6</v>
      </c>
      <c r="J117" s="29">
        <v>3</v>
      </c>
      <c r="K117" s="29">
        <v>6</v>
      </c>
      <c r="L117" s="29">
        <v>4</v>
      </c>
      <c r="M117" s="29">
        <v>6</v>
      </c>
      <c r="N117" s="29">
        <v>2</v>
      </c>
      <c r="S117" s="25" t="s">
        <v>97</v>
      </c>
      <c r="T117" s="25" t="s">
        <v>12</v>
      </c>
      <c r="U117" s="25" t="s">
        <v>503</v>
      </c>
      <c r="V117" s="7">
        <v>15</v>
      </c>
    </row>
    <row r="118" spans="1:22" x14ac:dyDescent="0.4">
      <c r="A118">
        <v>1967</v>
      </c>
      <c r="B118" s="25" t="s">
        <v>268</v>
      </c>
      <c r="C118" s="25" t="s">
        <v>271</v>
      </c>
      <c r="D118" s="25" t="s">
        <v>28</v>
      </c>
      <c r="E118" s="25" t="s">
        <v>499</v>
      </c>
      <c r="F118" s="7">
        <v>1</v>
      </c>
      <c r="G118" s="22">
        <v>60</v>
      </c>
      <c r="H118" s="22" t="s">
        <v>273</v>
      </c>
      <c r="I118" s="22">
        <v>6</v>
      </c>
      <c r="J118" s="29">
        <v>3</v>
      </c>
      <c r="K118" s="29">
        <v>6</v>
      </c>
      <c r="L118" s="29">
        <v>4</v>
      </c>
      <c r="S118" s="25" t="s">
        <v>372</v>
      </c>
      <c r="T118" s="25" t="s">
        <v>15</v>
      </c>
      <c r="U118" s="25" t="s">
        <v>498</v>
      </c>
      <c r="V118" s="7">
        <v>3</v>
      </c>
    </row>
    <row r="119" spans="1:22" x14ac:dyDescent="0.4">
      <c r="A119">
        <v>1967</v>
      </c>
      <c r="B119" s="25" t="s">
        <v>10</v>
      </c>
      <c r="C119" s="25" t="s">
        <v>117</v>
      </c>
      <c r="D119" s="25" t="s">
        <v>12</v>
      </c>
      <c r="E119" s="25" t="s">
        <v>503</v>
      </c>
      <c r="F119" s="7">
        <v>3</v>
      </c>
      <c r="G119" s="22">
        <v>71</v>
      </c>
      <c r="H119" s="22" t="s">
        <v>227</v>
      </c>
      <c r="I119" s="22">
        <v>6</v>
      </c>
      <c r="J119" s="29">
        <v>3</v>
      </c>
      <c r="K119" s="29">
        <v>6</v>
      </c>
      <c r="L119" s="29">
        <v>1</v>
      </c>
      <c r="M119" s="29">
        <v>6</v>
      </c>
      <c r="N119" s="29">
        <v>1</v>
      </c>
      <c r="S119" s="25" t="s">
        <v>226</v>
      </c>
      <c r="T119" s="25" t="s">
        <v>126</v>
      </c>
      <c r="U119" s="25" t="s">
        <v>495</v>
      </c>
      <c r="V119" s="7" t="s">
        <v>122</v>
      </c>
    </row>
    <row r="120" spans="1:22" x14ac:dyDescent="0.4">
      <c r="A120">
        <v>1966</v>
      </c>
      <c r="B120" s="25" t="s">
        <v>268</v>
      </c>
      <c r="C120" s="25" t="s">
        <v>271</v>
      </c>
      <c r="D120" s="25" t="s">
        <v>28</v>
      </c>
      <c r="E120" s="25" t="s">
        <v>499</v>
      </c>
      <c r="F120" s="7">
        <v>4</v>
      </c>
      <c r="G120" s="22">
        <v>68</v>
      </c>
      <c r="H120" s="22" t="s">
        <v>461</v>
      </c>
      <c r="I120" s="22">
        <v>6</v>
      </c>
      <c r="J120" s="29">
        <v>3</v>
      </c>
      <c r="K120" s="29">
        <v>3</v>
      </c>
      <c r="L120" s="29">
        <v>6</v>
      </c>
      <c r="M120" s="29">
        <v>6</v>
      </c>
      <c r="N120" s="29">
        <v>1</v>
      </c>
      <c r="S120" s="25" t="s">
        <v>277</v>
      </c>
      <c r="T120" s="25" t="s">
        <v>276</v>
      </c>
      <c r="U120" s="25" t="s">
        <v>507</v>
      </c>
      <c r="V120" s="7">
        <v>2</v>
      </c>
    </row>
    <row r="121" spans="1:22" x14ac:dyDescent="0.4">
      <c r="A121">
        <v>1966</v>
      </c>
      <c r="B121" s="25" t="s">
        <v>10</v>
      </c>
      <c r="C121" s="25" t="s">
        <v>234</v>
      </c>
      <c r="D121" s="25" t="s">
        <v>135</v>
      </c>
      <c r="E121" s="25" t="s">
        <v>496</v>
      </c>
      <c r="F121" s="7">
        <v>4</v>
      </c>
      <c r="G121" s="22">
        <v>104</v>
      </c>
      <c r="H121" s="22" t="s">
        <v>236</v>
      </c>
      <c r="I121" s="22">
        <v>6</v>
      </c>
      <c r="J121" s="29">
        <v>4</v>
      </c>
      <c r="K121" s="29">
        <v>11</v>
      </c>
      <c r="L121" s="29">
        <v>9</v>
      </c>
      <c r="M121" s="29">
        <v>6</v>
      </c>
      <c r="N121" s="29">
        <v>4</v>
      </c>
      <c r="S121" s="25" t="s">
        <v>235</v>
      </c>
      <c r="T121" s="25" t="s">
        <v>28</v>
      </c>
      <c r="U121" s="25" t="s">
        <v>499</v>
      </c>
      <c r="V121" s="7">
        <v>6</v>
      </c>
    </row>
    <row r="122" spans="1:22" x14ac:dyDescent="0.4">
      <c r="A122">
        <v>1965</v>
      </c>
      <c r="B122" s="25" t="s">
        <v>268</v>
      </c>
      <c r="C122" s="25" t="s">
        <v>269</v>
      </c>
      <c r="D122" s="25" t="s">
        <v>12</v>
      </c>
      <c r="E122" s="25" t="s">
        <v>503</v>
      </c>
      <c r="F122" s="7">
        <v>2</v>
      </c>
      <c r="G122" s="22">
        <v>56</v>
      </c>
      <c r="H122" s="22" t="s">
        <v>275</v>
      </c>
      <c r="I122" s="22">
        <v>6</v>
      </c>
      <c r="J122" s="29">
        <v>4</v>
      </c>
      <c r="K122" s="29">
        <v>7</v>
      </c>
      <c r="L122" s="29">
        <v>5</v>
      </c>
      <c r="S122" s="25" t="s">
        <v>277</v>
      </c>
      <c r="T122" s="25" t="s">
        <v>276</v>
      </c>
      <c r="U122" s="25" t="s">
        <v>507</v>
      </c>
      <c r="V122" s="7">
        <v>1</v>
      </c>
    </row>
    <row r="123" spans="1:22" x14ac:dyDescent="0.4">
      <c r="A123">
        <v>1965</v>
      </c>
      <c r="B123" s="25" t="s">
        <v>10</v>
      </c>
      <c r="C123" s="25" t="s">
        <v>103</v>
      </c>
      <c r="D123" s="25" t="s">
        <v>12</v>
      </c>
      <c r="E123" s="25" t="s">
        <v>503</v>
      </c>
      <c r="F123" s="7">
        <v>1</v>
      </c>
      <c r="G123" s="22">
        <v>67</v>
      </c>
      <c r="H123" s="22" t="s">
        <v>105</v>
      </c>
      <c r="I123" s="22">
        <v>6</v>
      </c>
      <c r="J123" s="29">
        <v>2</v>
      </c>
      <c r="K123" s="29">
        <v>6</v>
      </c>
      <c r="L123" s="29">
        <v>4</v>
      </c>
      <c r="M123" s="29">
        <v>6</v>
      </c>
      <c r="N123" s="29">
        <v>4</v>
      </c>
      <c r="S123" s="25" t="s">
        <v>104</v>
      </c>
      <c r="T123" s="25" t="s">
        <v>12</v>
      </c>
      <c r="U123" s="25" t="s">
        <v>503</v>
      </c>
      <c r="V123" s="7">
        <v>2</v>
      </c>
    </row>
    <row r="124" spans="1:22" x14ac:dyDescent="0.4">
      <c r="A124">
        <v>1964</v>
      </c>
      <c r="B124" s="25" t="s">
        <v>268</v>
      </c>
      <c r="C124" s="25" t="s">
        <v>277</v>
      </c>
      <c r="D124" s="25" t="s">
        <v>276</v>
      </c>
      <c r="E124" s="25" t="s">
        <v>507</v>
      </c>
      <c r="F124" s="7">
        <v>2</v>
      </c>
      <c r="G124" s="22">
        <v>90</v>
      </c>
      <c r="H124" s="22" t="s">
        <v>285</v>
      </c>
      <c r="I124" s="22">
        <v>6</v>
      </c>
      <c r="J124" s="29">
        <v>4</v>
      </c>
      <c r="K124" s="29">
        <v>7</v>
      </c>
      <c r="L124" s="29">
        <v>9</v>
      </c>
      <c r="M124" s="29">
        <v>6</v>
      </c>
      <c r="N124" s="29">
        <v>3</v>
      </c>
      <c r="S124" s="25" t="s">
        <v>269</v>
      </c>
      <c r="T124" s="25" t="s">
        <v>12</v>
      </c>
      <c r="U124" s="25" t="s">
        <v>503</v>
      </c>
      <c r="V124" s="7">
        <v>1</v>
      </c>
    </row>
    <row r="125" spans="1:22" x14ac:dyDescent="0.4">
      <c r="A125">
        <v>1964</v>
      </c>
      <c r="B125" s="25" t="s">
        <v>10</v>
      </c>
      <c r="C125" s="25" t="s">
        <v>103</v>
      </c>
      <c r="D125" s="25" t="s">
        <v>12</v>
      </c>
      <c r="E125" s="25" t="s">
        <v>503</v>
      </c>
      <c r="F125" s="7">
        <v>1</v>
      </c>
      <c r="G125" s="22">
        <v>127</v>
      </c>
      <c r="H125" s="22" t="s">
        <v>119</v>
      </c>
      <c r="I125" s="22">
        <v>6</v>
      </c>
      <c r="J125" s="29">
        <v>4</v>
      </c>
      <c r="K125" s="29">
        <v>12</v>
      </c>
      <c r="L125" s="29">
        <v>10</v>
      </c>
      <c r="M125" s="29">
        <v>4</v>
      </c>
      <c r="N125" s="29">
        <v>6</v>
      </c>
      <c r="O125" s="29">
        <v>6</v>
      </c>
      <c r="P125" s="29">
        <v>3</v>
      </c>
      <c r="S125" s="25" t="s">
        <v>104</v>
      </c>
      <c r="T125" s="25" t="s">
        <v>12</v>
      </c>
      <c r="U125" s="25" t="s">
        <v>503</v>
      </c>
      <c r="V125" s="7">
        <v>6</v>
      </c>
    </row>
    <row r="126" spans="1:22" x14ac:dyDescent="0.4">
      <c r="A126">
        <v>1963</v>
      </c>
      <c r="B126" s="25" t="s">
        <v>268</v>
      </c>
      <c r="C126" s="25" t="s">
        <v>269</v>
      </c>
      <c r="D126" s="25" t="s">
        <v>12</v>
      </c>
      <c r="E126" s="25" t="s">
        <v>503</v>
      </c>
      <c r="F126" s="7">
        <v>1</v>
      </c>
      <c r="G126" s="22">
        <v>51</v>
      </c>
      <c r="H126" s="22" t="s">
        <v>273</v>
      </c>
      <c r="I126" s="22">
        <v>6</v>
      </c>
      <c r="J126" s="29">
        <v>3</v>
      </c>
      <c r="K126" s="29">
        <v>6</v>
      </c>
      <c r="L126" s="29">
        <v>4</v>
      </c>
      <c r="S126" s="25" t="s">
        <v>274</v>
      </c>
      <c r="T126" s="25" t="s">
        <v>28</v>
      </c>
      <c r="U126" s="25" t="s">
        <v>499</v>
      </c>
      <c r="V126" s="7" t="s">
        <v>122</v>
      </c>
    </row>
    <row r="127" spans="1:22" x14ac:dyDescent="0.4">
      <c r="A127">
        <v>1963</v>
      </c>
      <c r="B127" s="25" t="s">
        <v>10</v>
      </c>
      <c r="C127" s="25" t="s">
        <v>191</v>
      </c>
      <c r="D127" s="25" t="s">
        <v>28</v>
      </c>
      <c r="E127" s="25" t="s">
        <v>499</v>
      </c>
      <c r="F127" s="7">
        <v>4</v>
      </c>
      <c r="G127" s="22">
        <v>78</v>
      </c>
      <c r="H127" s="22" t="s">
        <v>242</v>
      </c>
      <c r="I127" s="22">
        <v>9</v>
      </c>
      <c r="J127" s="29">
        <v>7</v>
      </c>
      <c r="K127" s="29">
        <v>6</v>
      </c>
      <c r="L127" s="29">
        <v>1</v>
      </c>
      <c r="M127" s="29">
        <v>6</v>
      </c>
      <c r="N127" s="29">
        <v>4</v>
      </c>
      <c r="S127" s="25" t="s">
        <v>104</v>
      </c>
      <c r="T127" s="25" t="s">
        <v>12</v>
      </c>
      <c r="U127" s="25" t="s">
        <v>503</v>
      </c>
      <c r="V127" s="7" t="s">
        <v>122</v>
      </c>
    </row>
    <row r="128" spans="1:22" x14ac:dyDescent="0.4">
      <c r="A128">
        <v>1962</v>
      </c>
      <c r="B128" s="25" t="s">
        <v>268</v>
      </c>
      <c r="C128" s="25" t="s">
        <v>468</v>
      </c>
      <c r="D128" s="25" t="s">
        <v>28</v>
      </c>
      <c r="E128" s="25" t="s">
        <v>499</v>
      </c>
      <c r="F128" s="7">
        <v>8</v>
      </c>
      <c r="G128" s="22">
        <v>57</v>
      </c>
      <c r="H128" s="22" t="s">
        <v>411</v>
      </c>
      <c r="I128" s="22">
        <v>6</v>
      </c>
      <c r="J128" s="29">
        <v>4</v>
      </c>
      <c r="K128" s="29">
        <v>6</v>
      </c>
      <c r="L128" s="29">
        <v>4</v>
      </c>
      <c r="S128" s="25" t="s">
        <v>469</v>
      </c>
      <c r="T128" s="25" t="s">
        <v>107</v>
      </c>
      <c r="U128" s="25" t="s">
        <v>500</v>
      </c>
      <c r="V128" s="7" t="s">
        <v>122</v>
      </c>
    </row>
    <row r="129" spans="1:22" x14ac:dyDescent="0.4">
      <c r="A129">
        <v>1962</v>
      </c>
      <c r="B129" s="25" t="s">
        <v>10</v>
      </c>
      <c r="C129" s="25" t="s">
        <v>96</v>
      </c>
      <c r="D129" s="25" t="s">
        <v>12</v>
      </c>
      <c r="E129" s="25" t="s">
        <v>503</v>
      </c>
      <c r="F129" s="7">
        <v>1</v>
      </c>
      <c r="G129" s="22">
        <v>51</v>
      </c>
      <c r="H129" s="22" t="s">
        <v>121</v>
      </c>
      <c r="I129" s="22">
        <v>6</v>
      </c>
      <c r="J129" s="29">
        <v>2</v>
      </c>
      <c r="K129" s="29">
        <v>6</v>
      </c>
      <c r="L129" s="29">
        <v>2</v>
      </c>
      <c r="M129" s="29">
        <v>6</v>
      </c>
      <c r="N129" s="29">
        <v>1</v>
      </c>
      <c r="S129" s="25" t="s">
        <v>120</v>
      </c>
      <c r="T129" s="25" t="s">
        <v>12</v>
      </c>
      <c r="U129" s="25" t="s">
        <v>503</v>
      </c>
      <c r="V129" s="7" t="s">
        <v>122</v>
      </c>
    </row>
    <row r="130" spans="1:22" x14ac:dyDescent="0.4">
      <c r="A130">
        <v>1961</v>
      </c>
      <c r="B130" s="25" t="s">
        <v>268</v>
      </c>
      <c r="C130" s="25" t="s">
        <v>377</v>
      </c>
      <c r="D130" s="25" t="s">
        <v>15</v>
      </c>
      <c r="E130" s="25" t="s">
        <v>498</v>
      </c>
      <c r="F130" s="7">
        <v>7</v>
      </c>
      <c r="G130" s="22">
        <v>96</v>
      </c>
      <c r="H130" s="22" t="s">
        <v>378</v>
      </c>
      <c r="I130" s="22">
        <v>4</v>
      </c>
      <c r="J130" s="29">
        <v>6</v>
      </c>
      <c r="K130" s="29">
        <v>6</v>
      </c>
      <c r="L130" s="29">
        <v>4</v>
      </c>
      <c r="M130" s="29">
        <v>7</v>
      </c>
      <c r="N130" s="29">
        <v>5</v>
      </c>
      <c r="S130" s="25" t="s">
        <v>379</v>
      </c>
      <c r="T130" s="25" t="s">
        <v>15</v>
      </c>
      <c r="U130" s="25" t="s">
        <v>498</v>
      </c>
      <c r="V130" s="7">
        <v>6</v>
      </c>
    </row>
    <row r="131" spans="1:22" x14ac:dyDescent="0.4">
      <c r="A131">
        <v>1961</v>
      </c>
      <c r="B131" s="25" t="s">
        <v>10</v>
      </c>
      <c r="C131" s="25" t="s">
        <v>96</v>
      </c>
      <c r="D131" s="25" t="s">
        <v>12</v>
      </c>
      <c r="E131" s="25" t="s">
        <v>503</v>
      </c>
      <c r="F131" s="7">
        <v>2</v>
      </c>
      <c r="G131" s="22">
        <v>55</v>
      </c>
      <c r="H131" s="22" t="s">
        <v>192</v>
      </c>
      <c r="I131" s="22">
        <v>6</v>
      </c>
      <c r="J131" s="29">
        <v>3</v>
      </c>
      <c r="K131" s="29">
        <v>6</v>
      </c>
      <c r="L131" s="29">
        <v>1</v>
      </c>
      <c r="M131" s="29">
        <v>6</v>
      </c>
      <c r="N131" s="29">
        <v>4</v>
      </c>
      <c r="S131" s="25" t="s">
        <v>191</v>
      </c>
      <c r="T131" s="25" t="s">
        <v>28</v>
      </c>
      <c r="U131" s="25" t="s">
        <v>499</v>
      </c>
      <c r="V131" s="7">
        <v>8</v>
      </c>
    </row>
    <row r="132" spans="1:22" x14ac:dyDescent="0.4">
      <c r="A132">
        <v>1960</v>
      </c>
      <c r="B132" s="25" t="s">
        <v>268</v>
      </c>
      <c r="C132" s="25" t="s">
        <v>277</v>
      </c>
      <c r="D132" s="25" t="s">
        <v>276</v>
      </c>
      <c r="E132" s="25" t="s">
        <v>507</v>
      </c>
      <c r="F132" s="7">
        <v>1</v>
      </c>
      <c r="G132" s="22">
        <v>59</v>
      </c>
      <c r="H132" s="22" t="s">
        <v>283</v>
      </c>
      <c r="I132" s="22">
        <v>8</v>
      </c>
      <c r="J132" s="29">
        <v>6</v>
      </c>
      <c r="K132" s="29">
        <v>6</v>
      </c>
      <c r="L132" s="29">
        <v>0</v>
      </c>
      <c r="S132" s="25" t="s">
        <v>284</v>
      </c>
      <c r="T132" s="25" t="s">
        <v>90</v>
      </c>
      <c r="U132" s="25" t="s">
        <v>509</v>
      </c>
      <c r="V132" s="7">
        <v>8</v>
      </c>
    </row>
    <row r="133" spans="1:22" x14ac:dyDescent="0.4">
      <c r="A133">
        <v>1960</v>
      </c>
      <c r="B133" s="25" t="s">
        <v>10</v>
      </c>
      <c r="C133" s="25" t="s">
        <v>114</v>
      </c>
      <c r="D133" s="25" t="s">
        <v>12</v>
      </c>
      <c r="E133" s="25" t="s">
        <v>503</v>
      </c>
      <c r="F133" s="7">
        <v>1</v>
      </c>
      <c r="G133" s="22">
        <v>130</v>
      </c>
      <c r="H133" s="22" t="s">
        <v>115</v>
      </c>
      <c r="I133" s="22">
        <v>6</v>
      </c>
      <c r="J133" s="29">
        <v>4</v>
      </c>
      <c r="K133" s="29">
        <v>3</v>
      </c>
      <c r="L133" s="29">
        <v>6</v>
      </c>
      <c r="M133" s="29">
        <v>9</v>
      </c>
      <c r="N133" s="29">
        <v>7</v>
      </c>
      <c r="O133" s="29">
        <v>7</v>
      </c>
      <c r="P133" s="29">
        <v>5</v>
      </c>
      <c r="S133" s="25" t="s">
        <v>96</v>
      </c>
      <c r="T133" s="25" t="s">
        <v>12</v>
      </c>
      <c r="U133" s="25" t="s">
        <v>503</v>
      </c>
      <c r="V133" s="7">
        <v>3</v>
      </c>
    </row>
    <row r="134" spans="1:22" x14ac:dyDescent="0.4">
      <c r="A134">
        <v>1959</v>
      </c>
      <c r="B134" s="25" t="s">
        <v>268</v>
      </c>
      <c r="C134" s="25" t="s">
        <v>277</v>
      </c>
      <c r="D134" s="25" t="s">
        <v>276</v>
      </c>
      <c r="E134" s="25" t="s">
        <v>507</v>
      </c>
      <c r="F134" s="7">
        <v>6</v>
      </c>
      <c r="G134" s="22">
        <v>43</v>
      </c>
      <c r="H134" s="22" t="s">
        <v>286</v>
      </c>
      <c r="I134" s="22">
        <v>6</v>
      </c>
      <c r="J134" s="29">
        <v>4</v>
      </c>
      <c r="K134" s="29">
        <v>6</v>
      </c>
      <c r="L134" s="29">
        <v>3</v>
      </c>
      <c r="S134" s="25" t="s">
        <v>287</v>
      </c>
      <c r="T134" s="25" t="s">
        <v>28</v>
      </c>
      <c r="U134" s="25" t="s">
        <v>499</v>
      </c>
      <c r="V134" s="7">
        <v>4</v>
      </c>
    </row>
    <row r="135" spans="1:22" x14ac:dyDescent="0.4">
      <c r="A135">
        <v>1959</v>
      </c>
      <c r="B135" s="25" t="s">
        <v>10</v>
      </c>
      <c r="C135" s="25" t="s">
        <v>173</v>
      </c>
      <c r="D135" s="25" t="s">
        <v>28</v>
      </c>
      <c r="E135" s="25" t="s">
        <v>499</v>
      </c>
      <c r="F135" s="7">
        <v>1</v>
      </c>
      <c r="G135" s="22">
        <v>71</v>
      </c>
      <c r="H135" s="22" t="s">
        <v>124</v>
      </c>
      <c r="I135" s="22">
        <v>6</v>
      </c>
      <c r="J135" s="29">
        <v>4</v>
      </c>
      <c r="K135" s="29">
        <v>6</v>
      </c>
      <c r="L135" s="29">
        <v>3</v>
      </c>
      <c r="M135" s="29">
        <v>6</v>
      </c>
      <c r="N135" s="29">
        <v>4</v>
      </c>
      <c r="S135" s="25" t="s">
        <v>96</v>
      </c>
      <c r="T135" s="25" t="s">
        <v>12</v>
      </c>
      <c r="U135" s="25" t="s">
        <v>503</v>
      </c>
      <c r="V135" s="7" t="s">
        <v>122</v>
      </c>
    </row>
    <row r="136" spans="1:22" x14ac:dyDescent="0.4">
      <c r="A136">
        <v>1958</v>
      </c>
      <c r="B136" s="25" t="s">
        <v>268</v>
      </c>
      <c r="C136" s="25" t="s">
        <v>431</v>
      </c>
      <c r="D136" s="25" t="s">
        <v>28</v>
      </c>
      <c r="E136" s="25" t="s">
        <v>499</v>
      </c>
      <c r="F136" s="7">
        <v>1</v>
      </c>
      <c r="G136" s="22">
        <v>62</v>
      </c>
      <c r="H136" s="22" t="s">
        <v>438</v>
      </c>
      <c r="I136" s="22">
        <v>8</v>
      </c>
      <c r="J136" s="29">
        <v>6</v>
      </c>
      <c r="K136" s="29">
        <v>6</v>
      </c>
      <c r="L136" s="29">
        <v>2</v>
      </c>
      <c r="S136" s="25" t="s">
        <v>377</v>
      </c>
      <c r="T136" s="25" t="s">
        <v>15</v>
      </c>
      <c r="U136" s="25" t="s">
        <v>498</v>
      </c>
      <c r="V136" s="7" t="s">
        <v>122</v>
      </c>
    </row>
    <row r="137" spans="1:22" x14ac:dyDescent="0.4">
      <c r="A137">
        <v>1958</v>
      </c>
      <c r="B137" s="25" t="s">
        <v>10</v>
      </c>
      <c r="C137" s="25" t="s">
        <v>99</v>
      </c>
      <c r="D137" s="25" t="s">
        <v>12</v>
      </c>
      <c r="E137" s="25" t="s">
        <v>503</v>
      </c>
      <c r="F137" s="7">
        <v>1</v>
      </c>
      <c r="G137" s="22">
        <v>130</v>
      </c>
      <c r="H137" s="22" t="s">
        <v>116</v>
      </c>
      <c r="I137" s="22">
        <v>3</v>
      </c>
      <c r="J137" s="29">
        <v>6</v>
      </c>
      <c r="K137" s="29">
        <v>6</v>
      </c>
      <c r="L137" s="29">
        <v>3</v>
      </c>
      <c r="M137" s="29">
        <v>6</v>
      </c>
      <c r="N137" s="29">
        <v>4</v>
      </c>
      <c r="O137" s="29">
        <v>13</v>
      </c>
      <c r="P137" s="29">
        <v>11</v>
      </c>
      <c r="S137" s="25" t="s">
        <v>114</v>
      </c>
      <c r="T137" s="25" t="s">
        <v>12</v>
      </c>
      <c r="U137" s="25" t="s">
        <v>503</v>
      </c>
      <c r="V137" s="7">
        <v>4</v>
      </c>
    </row>
    <row r="138" spans="1:22" x14ac:dyDescent="0.4">
      <c r="A138">
        <v>1957</v>
      </c>
      <c r="B138" s="25" t="s">
        <v>268</v>
      </c>
      <c r="C138" s="25" t="s">
        <v>431</v>
      </c>
      <c r="D138" s="25" t="s">
        <v>28</v>
      </c>
      <c r="E138" s="25" t="s">
        <v>499</v>
      </c>
      <c r="F138" s="7">
        <v>1</v>
      </c>
      <c r="G138" s="22">
        <v>50</v>
      </c>
      <c r="H138" s="22" t="s">
        <v>432</v>
      </c>
      <c r="I138" s="22">
        <v>6</v>
      </c>
      <c r="J138" s="29">
        <v>3</v>
      </c>
      <c r="K138" s="29">
        <v>6</v>
      </c>
      <c r="L138" s="29">
        <v>2</v>
      </c>
      <c r="S138" s="25" t="s">
        <v>287</v>
      </c>
      <c r="T138" s="25" t="s">
        <v>28</v>
      </c>
      <c r="U138" s="25" t="s">
        <v>499</v>
      </c>
      <c r="V138" s="7">
        <v>5</v>
      </c>
    </row>
    <row r="139" spans="1:22" x14ac:dyDescent="0.4">
      <c r="A139">
        <v>1957</v>
      </c>
      <c r="B139" s="25" t="s">
        <v>10</v>
      </c>
      <c r="C139" s="25" t="s">
        <v>98</v>
      </c>
      <c r="D139" s="25" t="s">
        <v>12</v>
      </c>
      <c r="E139" s="25" t="s">
        <v>503</v>
      </c>
      <c r="F139" s="7">
        <v>1</v>
      </c>
      <c r="G139" s="22">
        <v>57</v>
      </c>
      <c r="H139" s="22" t="s">
        <v>100</v>
      </c>
      <c r="I139" s="22">
        <v>6</v>
      </c>
      <c r="J139" s="29">
        <v>2</v>
      </c>
      <c r="K139" s="29">
        <v>6</v>
      </c>
      <c r="L139" s="29">
        <v>1</v>
      </c>
      <c r="M139" s="29">
        <v>6</v>
      </c>
      <c r="N139" s="29">
        <v>2</v>
      </c>
      <c r="S139" s="25" t="s">
        <v>99</v>
      </c>
      <c r="T139" s="25" t="s">
        <v>12</v>
      </c>
      <c r="U139" s="25" t="s">
        <v>503</v>
      </c>
      <c r="V139" s="7">
        <v>2</v>
      </c>
    </row>
    <row r="140" spans="1:22" x14ac:dyDescent="0.4">
      <c r="A140">
        <v>1956</v>
      </c>
      <c r="B140" s="25" t="s">
        <v>268</v>
      </c>
      <c r="C140" s="25" t="s">
        <v>460</v>
      </c>
      <c r="D140" s="25" t="s">
        <v>28</v>
      </c>
      <c r="E140" s="25" t="s">
        <v>499</v>
      </c>
      <c r="F140" s="7">
        <v>5</v>
      </c>
      <c r="G140" s="22">
        <v>50</v>
      </c>
      <c r="H140" s="22" t="s">
        <v>464</v>
      </c>
      <c r="I140" s="22">
        <v>6</v>
      </c>
      <c r="J140" s="29">
        <v>3</v>
      </c>
      <c r="K140" s="29">
        <v>6</v>
      </c>
      <c r="L140" s="29">
        <v>1</v>
      </c>
      <c r="S140" s="25" t="s">
        <v>465</v>
      </c>
      <c r="T140" s="25" t="s">
        <v>15</v>
      </c>
      <c r="U140" s="25" t="s">
        <v>498</v>
      </c>
      <c r="V140" s="7">
        <v>6</v>
      </c>
    </row>
    <row r="141" spans="1:22" x14ac:dyDescent="0.4">
      <c r="A141">
        <v>1956</v>
      </c>
      <c r="B141" s="25" t="s">
        <v>10</v>
      </c>
      <c r="C141" s="25" t="s">
        <v>98</v>
      </c>
      <c r="D141" s="25" t="s">
        <v>12</v>
      </c>
      <c r="E141" s="25" t="s">
        <v>503</v>
      </c>
      <c r="F141" s="7">
        <v>1</v>
      </c>
      <c r="G141" s="22">
        <v>117</v>
      </c>
      <c r="H141" s="22" t="s">
        <v>102</v>
      </c>
      <c r="I141" s="22">
        <v>6</v>
      </c>
      <c r="J141" s="29">
        <v>2</v>
      </c>
      <c r="K141" s="29">
        <v>4</v>
      </c>
      <c r="L141" s="29">
        <v>6</v>
      </c>
      <c r="M141" s="29">
        <v>7</v>
      </c>
      <c r="N141" s="29">
        <v>5</v>
      </c>
      <c r="O141" s="29">
        <v>6</v>
      </c>
      <c r="P141" s="29">
        <v>4</v>
      </c>
      <c r="S141" s="25" t="s">
        <v>101</v>
      </c>
      <c r="T141" s="25" t="s">
        <v>12</v>
      </c>
      <c r="U141" s="25" t="s">
        <v>503</v>
      </c>
      <c r="V141" s="7">
        <v>2</v>
      </c>
    </row>
    <row r="142" spans="1:22" x14ac:dyDescent="0.4">
      <c r="A142">
        <v>1955</v>
      </c>
      <c r="B142" s="25" t="s">
        <v>268</v>
      </c>
      <c r="C142" s="25" t="s">
        <v>406</v>
      </c>
      <c r="D142" s="25" t="s">
        <v>28</v>
      </c>
      <c r="E142" s="25" t="s">
        <v>499</v>
      </c>
      <c r="F142" s="7">
        <v>2</v>
      </c>
      <c r="G142" s="22">
        <v>90</v>
      </c>
      <c r="H142" s="22" t="s">
        <v>445</v>
      </c>
      <c r="I142" s="22">
        <v>7</v>
      </c>
      <c r="J142" s="29">
        <v>5</v>
      </c>
      <c r="K142" s="29">
        <v>8</v>
      </c>
      <c r="L142" s="29">
        <v>6</v>
      </c>
      <c r="S142" s="25" t="s">
        <v>446</v>
      </c>
      <c r="T142" s="25" t="s">
        <v>28</v>
      </c>
      <c r="U142" s="25" t="s">
        <v>499</v>
      </c>
      <c r="V142" s="7">
        <v>3</v>
      </c>
    </row>
    <row r="143" spans="1:22" x14ac:dyDescent="0.4">
      <c r="A143">
        <v>1955</v>
      </c>
      <c r="B143" s="25" t="s">
        <v>10</v>
      </c>
      <c r="C143" s="25" t="s">
        <v>174</v>
      </c>
      <c r="D143" s="25" t="s">
        <v>28</v>
      </c>
      <c r="E143" s="25" t="s">
        <v>499</v>
      </c>
      <c r="F143" s="7">
        <v>1</v>
      </c>
      <c r="G143" s="22">
        <v>73</v>
      </c>
      <c r="H143" s="22" t="s">
        <v>177</v>
      </c>
      <c r="I143" s="22">
        <v>6</v>
      </c>
      <c r="J143" s="29">
        <v>3</v>
      </c>
      <c r="K143" s="29">
        <v>7</v>
      </c>
      <c r="L143" s="29">
        <v>5</v>
      </c>
      <c r="M143" s="29">
        <v>6</v>
      </c>
      <c r="N143" s="29">
        <v>1</v>
      </c>
      <c r="S143" s="25" t="s">
        <v>176</v>
      </c>
      <c r="T143" s="25" t="s">
        <v>175</v>
      </c>
      <c r="U143" s="25" t="s">
        <v>519</v>
      </c>
      <c r="V143" s="7" t="s">
        <v>122</v>
      </c>
    </row>
    <row r="144" spans="1:22" x14ac:dyDescent="0.4">
      <c r="A144">
        <v>1954</v>
      </c>
      <c r="B144" s="25" t="s">
        <v>268</v>
      </c>
      <c r="C144" s="25" t="s">
        <v>413</v>
      </c>
      <c r="D144" s="25" t="s">
        <v>28</v>
      </c>
      <c r="E144" s="25" t="s">
        <v>499</v>
      </c>
      <c r="F144" s="7">
        <v>1</v>
      </c>
      <c r="G144" s="22">
        <v>50</v>
      </c>
      <c r="H144" s="22" t="s">
        <v>429</v>
      </c>
      <c r="I144" s="22">
        <v>6</v>
      </c>
      <c r="J144" s="29">
        <v>2</v>
      </c>
      <c r="K144" s="29">
        <v>7</v>
      </c>
      <c r="L144" s="29">
        <v>5</v>
      </c>
      <c r="S144" s="25" t="s">
        <v>406</v>
      </c>
      <c r="T144" s="25" t="s">
        <v>28</v>
      </c>
      <c r="U144" s="25" t="s">
        <v>499</v>
      </c>
      <c r="V144" s="7">
        <v>4</v>
      </c>
    </row>
    <row r="145" spans="1:22" x14ac:dyDescent="0.4">
      <c r="A145">
        <v>1954</v>
      </c>
      <c r="B145" s="25" t="s">
        <v>10</v>
      </c>
      <c r="C145" s="25" t="s">
        <v>108</v>
      </c>
      <c r="D145" s="25" t="s">
        <v>107</v>
      </c>
      <c r="E145" s="25" t="s">
        <v>500</v>
      </c>
      <c r="F145" s="7">
        <v>11</v>
      </c>
      <c r="G145" s="22">
        <v>157</v>
      </c>
      <c r="H145" s="22" t="s">
        <v>184</v>
      </c>
      <c r="I145" s="22">
        <v>13</v>
      </c>
      <c r="J145" s="29">
        <v>11</v>
      </c>
      <c r="K145" s="29">
        <v>4</v>
      </c>
      <c r="L145" s="29">
        <v>6</v>
      </c>
      <c r="M145" s="29">
        <v>6</v>
      </c>
      <c r="N145" s="29">
        <v>2</v>
      </c>
      <c r="O145" s="29">
        <v>9</v>
      </c>
      <c r="P145" s="29">
        <v>7</v>
      </c>
      <c r="S145" s="25" t="s">
        <v>101</v>
      </c>
      <c r="T145" s="25" t="s">
        <v>12</v>
      </c>
      <c r="U145" s="25" t="s">
        <v>503</v>
      </c>
      <c r="V145" s="7">
        <v>3</v>
      </c>
    </row>
    <row r="146" spans="1:22" x14ac:dyDescent="0.4">
      <c r="A146">
        <v>1953</v>
      </c>
      <c r="B146" s="25" t="s">
        <v>268</v>
      </c>
      <c r="C146" s="25" t="s">
        <v>413</v>
      </c>
      <c r="D146" s="25" t="s">
        <v>28</v>
      </c>
      <c r="E146" s="25" t="s">
        <v>499</v>
      </c>
      <c r="F146" s="7">
        <v>1</v>
      </c>
      <c r="G146" s="22">
        <v>67</v>
      </c>
      <c r="H146" s="22" t="s">
        <v>414</v>
      </c>
      <c r="I146" s="22">
        <v>8</v>
      </c>
      <c r="J146" s="29">
        <v>6</v>
      </c>
      <c r="K146" s="29">
        <v>7</v>
      </c>
      <c r="L146" s="29">
        <v>5</v>
      </c>
      <c r="S146" s="25" t="s">
        <v>415</v>
      </c>
      <c r="T146" s="25" t="s">
        <v>28</v>
      </c>
      <c r="U146" s="25" t="s">
        <v>499</v>
      </c>
      <c r="V146" s="7">
        <v>2</v>
      </c>
    </row>
    <row r="147" spans="1:22" x14ac:dyDescent="0.4">
      <c r="A147">
        <v>1953</v>
      </c>
      <c r="B147" s="25" t="s">
        <v>10</v>
      </c>
      <c r="C147" s="25" t="s">
        <v>220</v>
      </c>
      <c r="D147" s="25" t="s">
        <v>28</v>
      </c>
      <c r="E147" s="25" t="s">
        <v>499</v>
      </c>
      <c r="F147" s="7">
        <v>2</v>
      </c>
      <c r="G147" s="22">
        <v>80</v>
      </c>
      <c r="H147" s="22" t="s">
        <v>221</v>
      </c>
      <c r="I147" s="22">
        <v>9</v>
      </c>
      <c r="J147" s="29">
        <v>7</v>
      </c>
      <c r="K147" s="29">
        <v>6</v>
      </c>
      <c r="L147" s="29">
        <v>3</v>
      </c>
      <c r="M147" s="29">
        <v>6</v>
      </c>
      <c r="N147" s="29">
        <v>4</v>
      </c>
      <c r="S147" s="25" t="s">
        <v>176</v>
      </c>
      <c r="T147" s="25" t="s">
        <v>175</v>
      </c>
      <c r="U147" s="25" t="s">
        <v>519</v>
      </c>
      <c r="V147" s="7" t="s">
        <v>122</v>
      </c>
    </row>
    <row r="148" spans="1:22" x14ac:dyDescent="0.4">
      <c r="A148">
        <v>1952</v>
      </c>
      <c r="B148" s="25" t="s">
        <v>268</v>
      </c>
      <c r="C148" s="25" t="s">
        <v>413</v>
      </c>
      <c r="D148" s="25" t="s">
        <v>28</v>
      </c>
      <c r="E148" s="25" t="s">
        <v>499</v>
      </c>
      <c r="F148" s="7">
        <v>2</v>
      </c>
      <c r="G148" s="22">
        <v>65</v>
      </c>
      <c r="H148" s="22" t="s">
        <v>403</v>
      </c>
      <c r="I148" s="22">
        <v>7</v>
      </c>
      <c r="J148" s="29">
        <v>5</v>
      </c>
      <c r="K148" s="29">
        <v>6</v>
      </c>
      <c r="L148" s="29">
        <v>3</v>
      </c>
      <c r="S148" s="25" t="s">
        <v>406</v>
      </c>
      <c r="T148" s="25" t="s">
        <v>28</v>
      </c>
      <c r="U148" s="25" t="s">
        <v>499</v>
      </c>
      <c r="V148" s="7">
        <v>4</v>
      </c>
    </row>
    <row r="149" spans="1:22" x14ac:dyDescent="0.4">
      <c r="A149">
        <v>1952</v>
      </c>
      <c r="B149" s="25" t="s">
        <v>10</v>
      </c>
      <c r="C149" s="25" t="s">
        <v>106</v>
      </c>
      <c r="D149" s="25" t="s">
        <v>12</v>
      </c>
      <c r="E149" s="25" t="s">
        <v>503</v>
      </c>
      <c r="F149" s="7">
        <v>1</v>
      </c>
      <c r="G149" s="22">
        <v>80</v>
      </c>
      <c r="H149" s="22" t="s">
        <v>109</v>
      </c>
      <c r="I149" s="22">
        <v>4</v>
      </c>
      <c r="J149" s="29">
        <v>6</v>
      </c>
      <c r="K149" s="29">
        <v>6</v>
      </c>
      <c r="L149" s="29">
        <v>2</v>
      </c>
      <c r="M149" s="29">
        <v>6</v>
      </c>
      <c r="N149" s="29">
        <v>3</v>
      </c>
      <c r="O149" s="29">
        <v>6</v>
      </c>
      <c r="P149" s="29">
        <v>2</v>
      </c>
      <c r="S149" s="25" t="s">
        <v>108</v>
      </c>
      <c r="T149" s="25" t="s">
        <v>107</v>
      </c>
      <c r="U149" s="25" t="s">
        <v>500</v>
      </c>
      <c r="V149" s="7">
        <v>2</v>
      </c>
    </row>
    <row r="150" spans="1:22" x14ac:dyDescent="0.4">
      <c r="A150">
        <v>1951</v>
      </c>
      <c r="B150" s="25" t="s">
        <v>268</v>
      </c>
      <c r="C150" s="25" t="s">
        <v>415</v>
      </c>
      <c r="D150" s="25" t="s">
        <v>28</v>
      </c>
      <c r="E150" s="25" t="s">
        <v>499</v>
      </c>
      <c r="F150" s="7">
        <v>3</v>
      </c>
      <c r="G150" s="22">
        <v>35</v>
      </c>
      <c r="H150" s="22" t="s">
        <v>459</v>
      </c>
      <c r="I150" s="22">
        <v>6</v>
      </c>
      <c r="J150" s="29">
        <v>1</v>
      </c>
      <c r="K150" s="29">
        <v>6</v>
      </c>
      <c r="L150" s="29">
        <v>0</v>
      </c>
      <c r="S150" s="25" t="s">
        <v>460</v>
      </c>
      <c r="T150" s="25" t="s">
        <v>28</v>
      </c>
      <c r="U150" s="25" t="s">
        <v>499</v>
      </c>
      <c r="V150" s="7">
        <v>4</v>
      </c>
    </row>
    <row r="151" spans="1:22" x14ac:dyDescent="0.4">
      <c r="A151">
        <v>1951</v>
      </c>
      <c r="B151" s="25" t="s">
        <v>10</v>
      </c>
      <c r="C151" s="25" t="s">
        <v>252</v>
      </c>
      <c r="D151" s="25" t="s">
        <v>28</v>
      </c>
      <c r="E151" s="25" t="s">
        <v>499</v>
      </c>
      <c r="F151" s="7">
        <v>6</v>
      </c>
      <c r="G151" s="22">
        <v>62</v>
      </c>
      <c r="H151" s="22" t="s">
        <v>254</v>
      </c>
      <c r="I151" s="22">
        <v>6</v>
      </c>
      <c r="J151" s="29">
        <v>4</v>
      </c>
      <c r="K151" s="29">
        <v>6</v>
      </c>
      <c r="L151" s="29">
        <v>4</v>
      </c>
      <c r="M151" s="29">
        <v>6</v>
      </c>
      <c r="N151" s="29">
        <v>4</v>
      </c>
      <c r="S151" s="25" t="s">
        <v>253</v>
      </c>
      <c r="T151" s="25" t="s">
        <v>12</v>
      </c>
      <c r="U151" s="25" t="s">
        <v>503</v>
      </c>
      <c r="V151" s="7">
        <v>7</v>
      </c>
    </row>
    <row r="152" spans="1:22" x14ac:dyDescent="0.4">
      <c r="A152">
        <v>1950</v>
      </c>
      <c r="B152" s="25" t="s">
        <v>268</v>
      </c>
      <c r="C152" s="25" t="s">
        <v>406</v>
      </c>
      <c r="D152" s="25" t="s">
        <v>28</v>
      </c>
      <c r="E152" s="25" t="s">
        <v>499</v>
      </c>
      <c r="F152" s="7">
        <v>1</v>
      </c>
      <c r="G152" s="22">
        <v>62</v>
      </c>
      <c r="H152" s="22" t="s">
        <v>409</v>
      </c>
      <c r="I152" s="22">
        <v>6</v>
      </c>
      <c r="J152" s="29">
        <v>1</v>
      </c>
      <c r="K152" s="29">
        <v>3</v>
      </c>
      <c r="L152" s="29">
        <v>6</v>
      </c>
      <c r="M152" s="29">
        <v>6</v>
      </c>
      <c r="N152" s="29">
        <v>1</v>
      </c>
      <c r="S152" s="25" t="s">
        <v>895</v>
      </c>
      <c r="T152" s="25" t="s">
        <v>28</v>
      </c>
      <c r="U152" s="25" t="s">
        <v>499</v>
      </c>
      <c r="V152" s="7">
        <v>2</v>
      </c>
    </row>
    <row r="153" spans="1:22" x14ac:dyDescent="0.4">
      <c r="A153">
        <v>1950</v>
      </c>
      <c r="B153" s="25" t="s">
        <v>10</v>
      </c>
      <c r="C153" s="25" t="s">
        <v>246</v>
      </c>
      <c r="D153" s="25" t="s">
        <v>28</v>
      </c>
      <c r="E153" s="25" t="s">
        <v>499</v>
      </c>
      <c r="F153" s="7">
        <v>5</v>
      </c>
      <c r="G153" s="22">
        <v>120</v>
      </c>
      <c r="H153" s="22" t="s">
        <v>247</v>
      </c>
      <c r="I153" s="22">
        <v>6</v>
      </c>
      <c r="J153" s="29">
        <v>1</v>
      </c>
      <c r="K153" s="29">
        <v>8</v>
      </c>
      <c r="L153" s="29">
        <v>10</v>
      </c>
      <c r="M153" s="29">
        <v>6</v>
      </c>
      <c r="N153" s="29">
        <v>2</v>
      </c>
      <c r="O153" s="29">
        <v>6</v>
      </c>
      <c r="P153" s="29">
        <v>3</v>
      </c>
      <c r="S153" s="25" t="s">
        <v>106</v>
      </c>
      <c r="T153" s="25" t="s">
        <v>12</v>
      </c>
      <c r="U153" s="25" t="s">
        <v>503</v>
      </c>
      <c r="V153" s="7">
        <v>1</v>
      </c>
    </row>
    <row r="154" spans="1:22" x14ac:dyDescent="0.4">
      <c r="A154">
        <v>1949</v>
      </c>
      <c r="B154" s="25" t="s">
        <v>268</v>
      </c>
      <c r="C154" s="25" t="s">
        <v>406</v>
      </c>
      <c r="D154" s="25" t="s">
        <v>28</v>
      </c>
      <c r="E154" s="25" t="s">
        <v>499</v>
      </c>
      <c r="F154" s="7">
        <v>1</v>
      </c>
      <c r="G154" s="22">
        <v>120</v>
      </c>
      <c r="H154" s="22" t="s">
        <v>407</v>
      </c>
      <c r="I154" s="22">
        <v>10</v>
      </c>
      <c r="J154" s="29">
        <v>8</v>
      </c>
      <c r="K154" s="29">
        <v>1</v>
      </c>
      <c r="L154" s="29">
        <v>6</v>
      </c>
      <c r="M154" s="29">
        <v>10</v>
      </c>
      <c r="N154" s="29">
        <v>8</v>
      </c>
      <c r="S154" s="25" t="s">
        <v>895</v>
      </c>
      <c r="T154" s="25" t="s">
        <v>28</v>
      </c>
      <c r="U154" s="25" t="s">
        <v>499</v>
      </c>
      <c r="V154" s="7">
        <v>2</v>
      </c>
    </row>
    <row r="155" spans="1:22" x14ac:dyDescent="0.4">
      <c r="A155">
        <v>1949</v>
      </c>
      <c r="B155" s="25" t="s">
        <v>10</v>
      </c>
      <c r="C155" s="25" t="s">
        <v>171</v>
      </c>
      <c r="D155" s="25" t="s">
        <v>28</v>
      </c>
      <c r="E155" s="25" t="s">
        <v>499</v>
      </c>
      <c r="F155" s="7">
        <v>1</v>
      </c>
      <c r="G155" s="22">
        <v>100</v>
      </c>
      <c r="H155" s="22" t="s">
        <v>172</v>
      </c>
      <c r="I155" s="22">
        <v>3</v>
      </c>
      <c r="J155" s="29">
        <v>6</v>
      </c>
      <c r="K155" s="29">
        <v>6</v>
      </c>
      <c r="L155" s="29">
        <v>0</v>
      </c>
      <c r="M155" s="29">
        <v>6</v>
      </c>
      <c r="N155" s="29">
        <v>3</v>
      </c>
      <c r="O155" s="29">
        <v>4</v>
      </c>
      <c r="P155" s="29">
        <v>6</v>
      </c>
      <c r="Q155" s="22">
        <v>6</v>
      </c>
      <c r="R155" s="29">
        <v>4</v>
      </c>
      <c r="S155" s="25" t="s">
        <v>108</v>
      </c>
      <c r="T155" s="25" t="s">
        <v>107</v>
      </c>
      <c r="U155" s="25" t="s">
        <v>500</v>
      </c>
      <c r="V155" s="7">
        <v>6</v>
      </c>
    </row>
    <row r="156" spans="1:22" x14ac:dyDescent="0.4">
      <c r="A156">
        <v>1948</v>
      </c>
      <c r="B156" s="25" t="s">
        <v>268</v>
      </c>
      <c r="C156" s="25" t="s">
        <v>406</v>
      </c>
      <c r="D156" s="25" t="s">
        <v>28</v>
      </c>
      <c r="E156" s="25" t="s">
        <v>499</v>
      </c>
      <c r="F156" s="7">
        <v>2</v>
      </c>
      <c r="G156" s="22">
        <v>76</v>
      </c>
      <c r="H156" s="22" t="s">
        <v>448</v>
      </c>
      <c r="I156" s="22">
        <v>6</v>
      </c>
      <c r="J156" s="29">
        <v>3</v>
      </c>
      <c r="K156" s="29">
        <v>8</v>
      </c>
      <c r="L156" s="29">
        <v>6</v>
      </c>
      <c r="S156" s="25" t="s">
        <v>415</v>
      </c>
      <c r="T156" s="25" t="s">
        <v>28</v>
      </c>
      <c r="U156" s="25" t="s">
        <v>499</v>
      </c>
      <c r="V156" s="7">
        <v>4</v>
      </c>
    </row>
    <row r="157" spans="1:22" x14ac:dyDescent="0.4">
      <c r="A157">
        <v>1948</v>
      </c>
      <c r="B157" s="25" t="s">
        <v>10</v>
      </c>
      <c r="C157" s="25" t="s">
        <v>255</v>
      </c>
      <c r="D157" s="25" t="s">
        <v>28</v>
      </c>
      <c r="E157" s="25" t="s">
        <v>499</v>
      </c>
      <c r="F157" s="7">
        <v>7</v>
      </c>
      <c r="G157" s="22">
        <v>125</v>
      </c>
      <c r="H157" s="22" t="s">
        <v>257</v>
      </c>
      <c r="I157" s="22">
        <v>7</v>
      </c>
      <c r="J157" s="29">
        <v>5</v>
      </c>
      <c r="K157" s="29">
        <v>0</v>
      </c>
      <c r="L157" s="29">
        <v>6</v>
      </c>
      <c r="M157" s="29">
        <v>6</v>
      </c>
      <c r="N157" s="29">
        <v>2</v>
      </c>
      <c r="O157" s="29">
        <v>3</v>
      </c>
      <c r="P157" s="29">
        <v>6</v>
      </c>
      <c r="Q157" s="22">
        <v>7</v>
      </c>
      <c r="R157" s="29">
        <v>5</v>
      </c>
      <c r="S157" s="25" t="s">
        <v>256</v>
      </c>
      <c r="T157" s="25" t="s">
        <v>12</v>
      </c>
      <c r="U157" s="25" t="s">
        <v>503</v>
      </c>
      <c r="V157" s="7">
        <v>2</v>
      </c>
    </row>
    <row r="158" spans="1:22" x14ac:dyDescent="0.4">
      <c r="A158">
        <v>1947</v>
      </c>
      <c r="B158" s="25" t="s">
        <v>268</v>
      </c>
      <c r="C158" s="25" t="s">
        <v>423</v>
      </c>
      <c r="D158" s="25" t="s">
        <v>28</v>
      </c>
      <c r="E158" s="25" t="s">
        <v>499</v>
      </c>
      <c r="F158" s="7">
        <v>1</v>
      </c>
      <c r="H158" s="22" t="s">
        <v>424</v>
      </c>
      <c r="I158" s="22">
        <v>6</v>
      </c>
      <c r="J158" s="29">
        <v>2</v>
      </c>
      <c r="K158" s="29">
        <v>6</v>
      </c>
      <c r="L158" s="29">
        <v>4</v>
      </c>
      <c r="S158" s="25" t="s">
        <v>415</v>
      </c>
      <c r="T158" s="25" t="s">
        <v>28</v>
      </c>
      <c r="U158" s="25" t="s">
        <v>499</v>
      </c>
      <c r="V158" s="7">
        <v>3</v>
      </c>
    </row>
    <row r="159" spans="1:22" x14ac:dyDescent="0.4">
      <c r="A159">
        <v>1947</v>
      </c>
      <c r="B159" s="25" t="s">
        <v>10</v>
      </c>
      <c r="C159" s="25" t="s">
        <v>163</v>
      </c>
      <c r="D159" s="25" t="s">
        <v>28</v>
      </c>
      <c r="E159" s="25" t="s">
        <v>499</v>
      </c>
      <c r="F159" s="7">
        <v>1</v>
      </c>
      <c r="G159" s="22">
        <v>45</v>
      </c>
      <c r="H159" s="22" t="s">
        <v>113</v>
      </c>
      <c r="I159" s="22">
        <v>6</v>
      </c>
      <c r="J159" s="29">
        <v>1</v>
      </c>
      <c r="K159" s="29">
        <v>6</v>
      </c>
      <c r="L159" s="29">
        <v>3</v>
      </c>
      <c r="M159" s="29">
        <v>6</v>
      </c>
      <c r="N159" s="29">
        <v>2</v>
      </c>
      <c r="S159" s="25" t="s">
        <v>164</v>
      </c>
      <c r="T159" s="25" t="s">
        <v>28</v>
      </c>
      <c r="U159" s="25" t="s">
        <v>499</v>
      </c>
      <c r="V159" s="7">
        <v>3</v>
      </c>
    </row>
    <row r="160" spans="1:22" x14ac:dyDescent="0.4">
      <c r="A160">
        <v>1946</v>
      </c>
      <c r="B160" s="25" t="s">
        <v>268</v>
      </c>
      <c r="C160" s="25" t="s">
        <v>425</v>
      </c>
      <c r="D160" s="25" t="s">
        <v>28</v>
      </c>
      <c r="E160" s="25" t="s">
        <v>499</v>
      </c>
      <c r="F160" s="7">
        <v>1</v>
      </c>
      <c r="H160" s="22" t="s">
        <v>424</v>
      </c>
      <c r="I160" s="22">
        <v>6</v>
      </c>
      <c r="J160" s="29">
        <v>2</v>
      </c>
      <c r="K160" s="29">
        <v>6</v>
      </c>
      <c r="L160" s="29">
        <v>4</v>
      </c>
      <c r="S160" s="25" t="s">
        <v>406</v>
      </c>
      <c r="T160" s="25" t="s">
        <v>28</v>
      </c>
      <c r="U160" s="25" t="s">
        <v>499</v>
      </c>
      <c r="V160" s="7">
        <v>3</v>
      </c>
    </row>
    <row r="161" spans="1:22" x14ac:dyDescent="0.4">
      <c r="A161">
        <v>1946</v>
      </c>
      <c r="B161" s="25" t="s">
        <v>10</v>
      </c>
      <c r="C161" s="25" t="s">
        <v>243</v>
      </c>
      <c r="D161" s="25" t="s">
        <v>24</v>
      </c>
      <c r="E161" s="25" t="s">
        <v>501</v>
      </c>
      <c r="F161" s="7">
        <v>5</v>
      </c>
      <c r="H161" s="22" t="s">
        <v>245</v>
      </c>
      <c r="I161" s="22">
        <v>6</v>
      </c>
      <c r="J161" s="29">
        <v>2</v>
      </c>
      <c r="K161" s="29">
        <v>6</v>
      </c>
      <c r="L161" s="29">
        <v>4</v>
      </c>
      <c r="M161" s="29">
        <v>7</v>
      </c>
      <c r="N161" s="29">
        <v>9</v>
      </c>
      <c r="O161" s="29">
        <v>5</v>
      </c>
      <c r="P161" s="29">
        <v>7</v>
      </c>
      <c r="Q161" s="22">
        <v>6</v>
      </c>
      <c r="R161" s="29">
        <v>4</v>
      </c>
      <c r="S161" s="25" t="s">
        <v>244</v>
      </c>
      <c r="T161" s="25" t="s">
        <v>12</v>
      </c>
      <c r="U161" s="25" t="s">
        <v>503</v>
      </c>
      <c r="V161" s="7">
        <v>3</v>
      </c>
    </row>
    <row r="162" spans="1:22" x14ac:dyDescent="0.4">
      <c r="A162">
        <v>1939</v>
      </c>
      <c r="B162" s="25" t="s">
        <v>268</v>
      </c>
      <c r="C162" s="25" t="s">
        <v>434</v>
      </c>
      <c r="D162" s="25" t="s">
        <v>28</v>
      </c>
      <c r="E162" s="25" t="s">
        <v>499</v>
      </c>
      <c r="F162" s="7">
        <v>1</v>
      </c>
      <c r="G162" s="22">
        <v>30</v>
      </c>
      <c r="H162" s="22" t="s">
        <v>302</v>
      </c>
      <c r="I162" s="22">
        <v>6</v>
      </c>
      <c r="J162" s="29">
        <v>2</v>
      </c>
      <c r="K162" s="29">
        <v>6</v>
      </c>
      <c r="L162" s="29">
        <v>0</v>
      </c>
      <c r="S162" s="25" t="s">
        <v>435</v>
      </c>
      <c r="T162" s="25" t="s">
        <v>15</v>
      </c>
      <c r="U162" s="25" t="s">
        <v>498</v>
      </c>
      <c r="V162" s="7">
        <v>6</v>
      </c>
    </row>
    <row r="163" spans="1:22" x14ac:dyDescent="0.4">
      <c r="A163">
        <v>1939</v>
      </c>
      <c r="B163" s="25" t="s">
        <v>10</v>
      </c>
      <c r="C163" s="25" t="s">
        <v>217</v>
      </c>
      <c r="D163" s="25" t="s">
        <v>28</v>
      </c>
      <c r="E163" s="25" t="s">
        <v>499</v>
      </c>
      <c r="F163" s="7">
        <v>2</v>
      </c>
      <c r="G163" s="22">
        <v>135</v>
      </c>
      <c r="H163" s="22" t="s">
        <v>219</v>
      </c>
      <c r="I163" s="22">
        <v>2</v>
      </c>
      <c r="J163" s="29">
        <v>6</v>
      </c>
      <c r="K163" s="29">
        <v>8</v>
      </c>
      <c r="L163" s="29">
        <v>6</v>
      </c>
      <c r="M163" s="29">
        <v>3</v>
      </c>
      <c r="N163" s="29">
        <v>6</v>
      </c>
      <c r="O163" s="29">
        <v>6</v>
      </c>
      <c r="P163" s="29">
        <v>3</v>
      </c>
      <c r="Q163" s="22">
        <v>6</v>
      </c>
      <c r="R163" s="29">
        <v>2</v>
      </c>
      <c r="S163" s="25" t="s">
        <v>218</v>
      </c>
      <c r="T163" s="25" t="s">
        <v>28</v>
      </c>
      <c r="U163" s="25" t="s">
        <v>499</v>
      </c>
      <c r="V163" s="7">
        <v>6</v>
      </c>
    </row>
    <row r="164" spans="1:22" x14ac:dyDescent="0.4">
      <c r="A164">
        <v>1938</v>
      </c>
      <c r="B164" s="25" t="s">
        <v>268</v>
      </c>
      <c r="C164" s="25" t="s">
        <v>893</v>
      </c>
      <c r="D164" s="25" t="s">
        <v>28</v>
      </c>
      <c r="E164" s="25" t="s">
        <v>499</v>
      </c>
      <c r="F164" s="7">
        <v>1</v>
      </c>
      <c r="H164" s="22" t="s">
        <v>439</v>
      </c>
      <c r="I164" s="22">
        <v>6</v>
      </c>
      <c r="J164" s="29">
        <v>4</v>
      </c>
      <c r="K164" s="29">
        <v>6</v>
      </c>
      <c r="L164" s="29">
        <v>0</v>
      </c>
      <c r="S164" s="25" t="s">
        <v>368</v>
      </c>
      <c r="T164" s="25" t="s">
        <v>28</v>
      </c>
      <c r="U164" s="25" t="s">
        <v>499</v>
      </c>
      <c r="V164" s="7" t="s">
        <v>122</v>
      </c>
    </row>
    <row r="165" spans="1:22" x14ac:dyDescent="0.4">
      <c r="A165">
        <v>1938</v>
      </c>
      <c r="B165" s="25" t="s">
        <v>10</v>
      </c>
      <c r="C165" s="25" t="s">
        <v>156</v>
      </c>
      <c r="D165" s="25" t="s">
        <v>28</v>
      </c>
      <c r="E165" s="25" t="s">
        <v>499</v>
      </c>
      <c r="F165" s="7">
        <v>1</v>
      </c>
      <c r="G165" s="22">
        <v>59</v>
      </c>
      <c r="H165" s="22" t="s">
        <v>158</v>
      </c>
      <c r="I165" s="22">
        <v>6</v>
      </c>
      <c r="J165" s="29">
        <v>1</v>
      </c>
      <c r="K165" s="29">
        <v>6</v>
      </c>
      <c r="L165" s="29">
        <v>0</v>
      </c>
      <c r="M165" s="29">
        <v>6</v>
      </c>
      <c r="N165" s="29">
        <v>3</v>
      </c>
      <c r="S165" s="25" t="s">
        <v>157</v>
      </c>
      <c r="T165" s="25" t="s">
        <v>15</v>
      </c>
      <c r="U165" s="25" t="s">
        <v>498</v>
      </c>
      <c r="V165" s="7">
        <v>2</v>
      </c>
    </row>
    <row r="166" spans="1:22" x14ac:dyDescent="0.4">
      <c r="A166">
        <v>1937</v>
      </c>
      <c r="B166" s="25" t="s">
        <v>268</v>
      </c>
      <c r="C166" s="25" t="s">
        <v>366</v>
      </c>
      <c r="D166" s="25" t="s">
        <v>15</v>
      </c>
      <c r="E166" s="25" t="s">
        <v>498</v>
      </c>
      <c r="F166" s="7">
        <v>7</v>
      </c>
      <c r="G166" s="22">
        <v>60</v>
      </c>
      <c r="H166" s="22" t="s">
        <v>374</v>
      </c>
      <c r="I166" s="22">
        <v>6</v>
      </c>
      <c r="J166" s="29">
        <v>2</v>
      </c>
      <c r="K166" s="29">
        <v>2</v>
      </c>
      <c r="L166" s="29">
        <v>6</v>
      </c>
      <c r="M166" s="29">
        <v>7</v>
      </c>
      <c r="N166" s="29">
        <v>5</v>
      </c>
      <c r="S166" s="25" t="s">
        <v>376</v>
      </c>
      <c r="T166" s="25" t="s">
        <v>375</v>
      </c>
      <c r="U166" s="25" t="s">
        <v>512</v>
      </c>
      <c r="V166" s="7">
        <v>4</v>
      </c>
    </row>
    <row r="167" spans="1:22" x14ac:dyDescent="0.4">
      <c r="A167">
        <v>1937</v>
      </c>
      <c r="B167" s="25" t="s">
        <v>10</v>
      </c>
      <c r="C167" s="25" t="s">
        <v>156</v>
      </c>
      <c r="D167" s="25" t="s">
        <v>28</v>
      </c>
      <c r="E167" s="25" t="s">
        <v>499</v>
      </c>
      <c r="F167" s="7">
        <v>1</v>
      </c>
      <c r="G167" s="22">
        <v>65</v>
      </c>
      <c r="H167" s="22" t="s">
        <v>17</v>
      </c>
      <c r="I167" s="22">
        <v>6</v>
      </c>
      <c r="J167" s="29">
        <v>3</v>
      </c>
      <c r="K167" s="29">
        <v>6</v>
      </c>
      <c r="L167" s="29">
        <v>4</v>
      </c>
      <c r="M167" s="29">
        <v>6</v>
      </c>
      <c r="N167" s="29">
        <v>2</v>
      </c>
      <c r="S167" s="25" t="s">
        <v>127</v>
      </c>
      <c r="T167" s="25" t="s">
        <v>126</v>
      </c>
      <c r="U167" s="25" t="s">
        <v>495</v>
      </c>
      <c r="V167" s="7">
        <v>2</v>
      </c>
    </row>
    <row r="168" spans="1:22" x14ac:dyDescent="0.4">
      <c r="A168">
        <v>1936</v>
      </c>
      <c r="B168" s="25" t="s">
        <v>268</v>
      </c>
      <c r="C168" s="25" t="s">
        <v>368</v>
      </c>
      <c r="D168" s="25" t="s">
        <v>28</v>
      </c>
      <c r="E168" s="25" t="s">
        <v>499</v>
      </c>
      <c r="F168" s="7">
        <v>2</v>
      </c>
      <c r="G168" s="22">
        <v>101</v>
      </c>
      <c r="H168" s="22" t="s">
        <v>450</v>
      </c>
      <c r="I168" s="22">
        <v>6</v>
      </c>
      <c r="J168" s="29">
        <v>2</v>
      </c>
      <c r="K168" s="29">
        <v>4</v>
      </c>
      <c r="L168" s="29">
        <v>6</v>
      </c>
      <c r="M168" s="29">
        <v>7</v>
      </c>
      <c r="N168" s="29">
        <v>5</v>
      </c>
      <c r="S168" s="25" t="s">
        <v>451</v>
      </c>
      <c r="T168" s="25" t="s">
        <v>126</v>
      </c>
      <c r="U168" s="25" t="s">
        <v>495</v>
      </c>
      <c r="V168" s="7">
        <v>5</v>
      </c>
    </row>
    <row r="169" spans="1:22" x14ac:dyDescent="0.4">
      <c r="A169">
        <v>1936</v>
      </c>
      <c r="B169" s="25" t="s">
        <v>10</v>
      </c>
      <c r="C169" s="25" t="s">
        <v>125</v>
      </c>
      <c r="D169" s="25" t="s">
        <v>15</v>
      </c>
      <c r="E169" s="25" t="s">
        <v>498</v>
      </c>
      <c r="F169" s="7">
        <v>1</v>
      </c>
      <c r="G169" s="22">
        <v>40</v>
      </c>
      <c r="H169" s="22" t="s">
        <v>128</v>
      </c>
      <c r="I169" s="22">
        <v>6</v>
      </c>
      <c r="J169" s="29">
        <v>1</v>
      </c>
      <c r="K169" s="29">
        <v>6</v>
      </c>
      <c r="L169" s="29">
        <v>1</v>
      </c>
      <c r="M169" s="29">
        <v>6</v>
      </c>
      <c r="N169" s="29">
        <v>0</v>
      </c>
      <c r="S169" s="25" t="s">
        <v>127</v>
      </c>
      <c r="T169" s="25" t="s">
        <v>126</v>
      </c>
      <c r="U169" s="25" t="s">
        <v>495</v>
      </c>
      <c r="V169" s="7">
        <v>2</v>
      </c>
    </row>
    <row r="170" spans="1:22" x14ac:dyDescent="0.4">
      <c r="A170">
        <v>1935</v>
      </c>
      <c r="B170" s="25" t="s">
        <v>268</v>
      </c>
      <c r="C170" s="25" t="s">
        <v>893</v>
      </c>
      <c r="D170" s="25" t="s">
        <v>28</v>
      </c>
      <c r="E170" s="25" t="s">
        <v>499</v>
      </c>
      <c r="F170" s="7">
        <v>4</v>
      </c>
      <c r="G170" s="22">
        <v>100</v>
      </c>
      <c r="H170" s="22" t="s">
        <v>462</v>
      </c>
      <c r="I170" s="22">
        <v>6</v>
      </c>
      <c r="J170" s="29">
        <v>3</v>
      </c>
      <c r="K170" s="29">
        <v>3</v>
      </c>
      <c r="L170" s="29">
        <v>6</v>
      </c>
      <c r="M170" s="29">
        <v>7</v>
      </c>
      <c r="N170" s="29">
        <v>5</v>
      </c>
      <c r="S170" s="25" t="s">
        <v>368</v>
      </c>
      <c r="T170" s="25" t="s">
        <v>28</v>
      </c>
      <c r="U170" s="25" t="s">
        <v>499</v>
      </c>
      <c r="V170" s="7">
        <v>3</v>
      </c>
    </row>
    <row r="171" spans="1:22" x14ac:dyDescent="0.4">
      <c r="A171">
        <v>1935</v>
      </c>
      <c r="B171" s="25" t="s">
        <v>10</v>
      </c>
      <c r="C171" s="25" t="s">
        <v>125</v>
      </c>
      <c r="D171" s="25" t="s">
        <v>15</v>
      </c>
      <c r="E171" s="25" t="s">
        <v>498</v>
      </c>
      <c r="F171" s="7">
        <v>1</v>
      </c>
      <c r="G171" s="22">
        <v>80</v>
      </c>
      <c r="H171" s="22" t="s">
        <v>105</v>
      </c>
      <c r="I171" s="22">
        <v>6</v>
      </c>
      <c r="J171" s="29">
        <v>2</v>
      </c>
      <c r="K171" s="29">
        <v>6</v>
      </c>
      <c r="L171" s="29">
        <v>4</v>
      </c>
      <c r="M171" s="29">
        <v>6</v>
      </c>
      <c r="N171" s="29">
        <v>4</v>
      </c>
      <c r="S171" s="25" t="s">
        <v>127</v>
      </c>
      <c r="T171" s="25" t="s">
        <v>126</v>
      </c>
      <c r="U171" s="25" t="s">
        <v>495</v>
      </c>
      <c r="V171" s="7">
        <v>2</v>
      </c>
    </row>
    <row r="172" spans="1:22" x14ac:dyDescent="0.4">
      <c r="A172">
        <v>1934</v>
      </c>
      <c r="B172" s="25" t="s">
        <v>268</v>
      </c>
      <c r="C172" s="25" t="s">
        <v>366</v>
      </c>
      <c r="D172" s="25" t="s">
        <v>15</v>
      </c>
      <c r="E172" s="25" t="s">
        <v>498</v>
      </c>
      <c r="F172" s="7">
        <v>2</v>
      </c>
      <c r="H172" s="22" t="s">
        <v>367</v>
      </c>
      <c r="I172" s="22">
        <v>6</v>
      </c>
      <c r="J172" s="29">
        <v>2</v>
      </c>
      <c r="K172" s="29">
        <v>5</v>
      </c>
      <c r="L172" s="29">
        <v>7</v>
      </c>
      <c r="M172" s="29">
        <v>6</v>
      </c>
      <c r="N172" s="29">
        <v>3</v>
      </c>
      <c r="S172" s="25" t="s">
        <v>368</v>
      </c>
      <c r="T172" s="25" t="s">
        <v>28</v>
      </c>
      <c r="U172" s="25" t="s">
        <v>499</v>
      </c>
      <c r="V172" s="7">
        <v>1</v>
      </c>
    </row>
    <row r="173" spans="1:22" x14ac:dyDescent="0.4">
      <c r="A173">
        <v>1934</v>
      </c>
      <c r="B173" s="25" t="s">
        <v>10</v>
      </c>
      <c r="C173" s="25" t="s">
        <v>125</v>
      </c>
      <c r="D173" s="25" t="s">
        <v>15</v>
      </c>
      <c r="E173" s="25" t="s">
        <v>498</v>
      </c>
      <c r="F173" s="7">
        <v>2</v>
      </c>
      <c r="G173" s="22">
        <v>72</v>
      </c>
      <c r="H173" s="22" t="s">
        <v>202</v>
      </c>
      <c r="I173" s="22">
        <v>6</v>
      </c>
      <c r="J173" s="29">
        <v>3</v>
      </c>
      <c r="K173" s="29">
        <v>6</v>
      </c>
      <c r="L173" s="29">
        <v>0</v>
      </c>
      <c r="M173" s="29">
        <v>7</v>
      </c>
      <c r="N173" s="29">
        <v>5</v>
      </c>
      <c r="S173" s="25" t="s">
        <v>186</v>
      </c>
      <c r="T173" s="25" t="s">
        <v>12</v>
      </c>
      <c r="U173" s="25" t="s">
        <v>503</v>
      </c>
      <c r="V173" s="7">
        <v>1</v>
      </c>
    </row>
    <row r="174" spans="1:22" x14ac:dyDescent="0.4">
      <c r="A174">
        <v>1933</v>
      </c>
      <c r="B174" s="25" t="s">
        <v>268</v>
      </c>
      <c r="C174" s="25" t="s">
        <v>893</v>
      </c>
      <c r="D174" s="25" t="s">
        <v>28</v>
      </c>
      <c r="E174" s="25" t="s">
        <v>499</v>
      </c>
      <c r="F174" s="7">
        <v>1</v>
      </c>
      <c r="G174" s="22">
        <v>120</v>
      </c>
      <c r="H174" s="22" t="s">
        <v>402</v>
      </c>
      <c r="I174" s="22">
        <v>6</v>
      </c>
      <c r="J174" s="29">
        <v>4</v>
      </c>
      <c r="K174" s="29">
        <v>6</v>
      </c>
      <c r="L174" s="29">
        <v>8</v>
      </c>
      <c r="M174" s="29">
        <v>6</v>
      </c>
      <c r="N174" s="29">
        <v>3</v>
      </c>
      <c r="S174" s="25" t="s">
        <v>366</v>
      </c>
      <c r="T174" s="25" t="s">
        <v>15</v>
      </c>
      <c r="U174" s="25" t="s">
        <v>498</v>
      </c>
      <c r="V174" s="7">
        <v>2</v>
      </c>
    </row>
    <row r="175" spans="1:22" x14ac:dyDescent="0.4">
      <c r="A175">
        <v>1933</v>
      </c>
      <c r="B175" s="25" t="s">
        <v>10</v>
      </c>
      <c r="C175" s="25" t="s">
        <v>186</v>
      </c>
      <c r="D175" s="25" t="s">
        <v>12</v>
      </c>
      <c r="E175" s="25" t="s">
        <v>503</v>
      </c>
      <c r="F175" s="7">
        <v>2</v>
      </c>
      <c r="G175" s="22">
        <v>120</v>
      </c>
      <c r="H175" s="22" t="s">
        <v>188</v>
      </c>
      <c r="I175" s="22">
        <v>4</v>
      </c>
      <c r="J175" s="29">
        <v>6</v>
      </c>
      <c r="K175" s="29">
        <v>11</v>
      </c>
      <c r="L175" s="29">
        <v>9</v>
      </c>
      <c r="M175" s="29">
        <v>6</v>
      </c>
      <c r="N175" s="29">
        <v>2</v>
      </c>
      <c r="O175" s="29">
        <v>2</v>
      </c>
      <c r="P175" s="29">
        <v>6</v>
      </c>
      <c r="Q175" s="22">
        <v>6</v>
      </c>
      <c r="R175" s="29">
        <v>4</v>
      </c>
      <c r="S175" s="25" t="s">
        <v>187</v>
      </c>
      <c r="T175" s="25" t="s">
        <v>28</v>
      </c>
      <c r="U175" s="25" t="s">
        <v>499</v>
      </c>
      <c r="V175" s="7">
        <v>1</v>
      </c>
    </row>
    <row r="176" spans="1:22" x14ac:dyDescent="0.4">
      <c r="A176">
        <v>1932</v>
      </c>
      <c r="B176" s="25" t="s">
        <v>268</v>
      </c>
      <c r="C176" s="25" t="s">
        <v>893</v>
      </c>
      <c r="D176" s="25" t="s">
        <v>28</v>
      </c>
      <c r="E176" s="25" t="s">
        <v>499</v>
      </c>
      <c r="F176" s="7">
        <v>1</v>
      </c>
      <c r="G176" s="22">
        <v>50</v>
      </c>
      <c r="H176" s="22" t="s">
        <v>342</v>
      </c>
      <c r="I176" s="22">
        <v>6</v>
      </c>
      <c r="J176" s="29">
        <v>3</v>
      </c>
      <c r="K176" s="29">
        <v>6</v>
      </c>
      <c r="L176" s="29">
        <v>1</v>
      </c>
      <c r="S176" s="25" t="s">
        <v>368</v>
      </c>
      <c r="T176" s="25" t="s">
        <v>28</v>
      </c>
      <c r="U176" s="25" t="s">
        <v>499</v>
      </c>
      <c r="V176" s="7">
        <v>5</v>
      </c>
    </row>
    <row r="177" spans="1:22" x14ac:dyDescent="0.4">
      <c r="A177">
        <v>1932</v>
      </c>
      <c r="B177" s="25" t="s">
        <v>10</v>
      </c>
      <c r="C177" s="25" t="s">
        <v>187</v>
      </c>
      <c r="D177" s="25" t="s">
        <v>28</v>
      </c>
      <c r="E177" s="25" t="s">
        <v>499</v>
      </c>
      <c r="F177" s="7">
        <v>2</v>
      </c>
      <c r="G177" s="22">
        <v>50</v>
      </c>
      <c r="H177" s="22" t="s">
        <v>216</v>
      </c>
      <c r="I177" s="22">
        <v>6</v>
      </c>
      <c r="J177" s="29">
        <v>2</v>
      </c>
      <c r="K177" s="29">
        <v>6</v>
      </c>
      <c r="L177" s="29">
        <v>2</v>
      </c>
      <c r="M177" s="29">
        <v>6</v>
      </c>
      <c r="N177" s="29">
        <v>0</v>
      </c>
      <c r="S177" s="25" t="s">
        <v>157</v>
      </c>
      <c r="T177" s="25" t="s">
        <v>15</v>
      </c>
      <c r="U177" s="25" t="s">
        <v>498</v>
      </c>
      <c r="V177" s="7">
        <v>6</v>
      </c>
    </row>
    <row r="178" spans="1:22" x14ac:dyDescent="0.4">
      <c r="A178">
        <v>1931</v>
      </c>
      <c r="B178" s="25" t="s">
        <v>268</v>
      </c>
      <c r="C178" s="25" t="s">
        <v>388</v>
      </c>
      <c r="D178" s="25" t="s">
        <v>126</v>
      </c>
      <c r="E178" s="25" t="s">
        <v>495</v>
      </c>
      <c r="F178" s="7">
        <v>1</v>
      </c>
      <c r="H178" s="22" t="s">
        <v>389</v>
      </c>
      <c r="I178" s="22">
        <v>6</v>
      </c>
      <c r="J178" s="29">
        <v>2</v>
      </c>
      <c r="K178" s="29">
        <v>7</v>
      </c>
      <c r="L178" s="29">
        <v>5</v>
      </c>
      <c r="S178" s="25" t="s">
        <v>390</v>
      </c>
      <c r="T178" s="25" t="s">
        <v>126</v>
      </c>
      <c r="U178" s="25" t="s">
        <v>495</v>
      </c>
      <c r="V178" s="7">
        <v>4</v>
      </c>
    </row>
    <row r="179" spans="1:22" x14ac:dyDescent="0.4">
      <c r="A179">
        <v>1931</v>
      </c>
      <c r="B179" s="25" t="s">
        <v>10</v>
      </c>
      <c r="C179" s="25" t="s">
        <v>258</v>
      </c>
      <c r="D179" s="25" t="s">
        <v>28</v>
      </c>
      <c r="E179" s="25" t="s">
        <v>499</v>
      </c>
      <c r="F179" s="7">
        <v>7</v>
      </c>
      <c r="H179" s="22" t="s">
        <v>260</v>
      </c>
      <c r="I179" s="29" t="s">
        <v>668</v>
      </c>
      <c r="S179" s="25" t="s">
        <v>259</v>
      </c>
      <c r="T179" s="25" t="s">
        <v>28</v>
      </c>
      <c r="U179" s="25" t="s">
        <v>499</v>
      </c>
      <c r="V179" s="7">
        <v>3</v>
      </c>
    </row>
    <row r="180" spans="1:22" x14ac:dyDescent="0.4">
      <c r="A180">
        <v>1930</v>
      </c>
      <c r="B180" s="25" t="s">
        <v>268</v>
      </c>
      <c r="C180" s="25" t="s">
        <v>893</v>
      </c>
      <c r="D180" s="25" t="s">
        <v>28</v>
      </c>
      <c r="E180" s="25" t="s">
        <v>499</v>
      </c>
      <c r="F180" s="7">
        <v>1</v>
      </c>
      <c r="H180" s="22" t="s">
        <v>304</v>
      </c>
      <c r="I180" s="22">
        <v>6</v>
      </c>
      <c r="J180" s="29">
        <v>2</v>
      </c>
      <c r="K180" s="29">
        <v>6</v>
      </c>
      <c r="L180" s="29">
        <v>2</v>
      </c>
      <c r="S180" s="25" t="s">
        <v>308</v>
      </c>
      <c r="T180" s="25" t="s">
        <v>28</v>
      </c>
      <c r="U180" s="25" t="s">
        <v>499</v>
      </c>
      <c r="V180" s="7">
        <v>8</v>
      </c>
    </row>
    <row r="181" spans="1:22" x14ac:dyDescent="0.4">
      <c r="A181">
        <v>1930</v>
      </c>
      <c r="B181" s="25" t="s">
        <v>10</v>
      </c>
      <c r="C181" s="25" t="s">
        <v>88</v>
      </c>
      <c r="D181" s="25" t="s">
        <v>28</v>
      </c>
      <c r="E181" s="25" t="s">
        <v>499</v>
      </c>
      <c r="F181" s="7">
        <v>2</v>
      </c>
      <c r="G181" s="22">
        <v>70</v>
      </c>
      <c r="H181" s="22" t="s">
        <v>225</v>
      </c>
      <c r="I181" s="22">
        <v>6</v>
      </c>
      <c r="J181" s="29">
        <v>3</v>
      </c>
      <c r="K181" s="29">
        <v>9</v>
      </c>
      <c r="L181" s="29">
        <v>7</v>
      </c>
      <c r="M181" s="29">
        <v>6</v>
      </c>
      <c r="N181" s="29">
        <v>4</v>
      </c>
      <c r="S181" s="25" t="s">
        <v>224</v>
      </c>
      <c r="T181" s="25" t="s">
        <v>28</v>
      </c>
      <c r="U181" s="25" t="s">
        <v>499</v>
      </c>
      <c r="V181" s="7" t="s">
        <v>122</v>
      </c>
    </row>
    <row r="182" spans="1:22" x14ac:dyDescent="0.4">
      <c r="A182">
        <v>1929</v>
      </c>
      <c r="B182" s="25" t="s">
        <v>268</v>
      </c>
      <c r="C182" s="25" t="s">
        <v>893</v>
      </c>
      <c r="D182" s="25" t="s">
        <v>28</v>
      </c>
      <c r="E182" s="25" t="s">
        <v>499</v>
      </c>
      <c r="F182" s="7">
        <v>1</v>
      </c>
      <c r="H182" s="22" t="s">
        <v>433</v>
      </c>
      <c r="I182" s="22">
        <v>6</v>
      </c>
      <c r="J182" s="29">
        <v>1</v>
      </c>
      <c r="K182" s="29">
        <v>6</v>
      </c>
      <c r="L182" s="29">
        <v>2</v>
      </c>
      <c r="S182" s="25" t="s">
        <v>368</v>
      </c>
      <c r="T182" s="25" t="s">
        <v>28</v>
      </c>
      <c r="U182" s="25" t="s">
        <v>499</v>
      </c>
      <c r="V182" s="7">
        <v>5</v>
      </c>
    </row>
    <row r="183" spans="1:22" x14ac:dyDescent="0.4">
      <c r="A183">
        <v>1929</v>
      </c>
      <c r="B183" s="25" t="s">
        <v>10</v>
      </c>
      <c r="C183" s="25" t="s">
        <v>123</v>
      </c>
      <c r="D183" s="25" t="s">
        <v>24</v>
      </c>
      <c r="E183" s="25" t="s">
        <v>501</v>
      </c>
      <c r="F183" s="7">
        <v>1</v>
      </c>
      <c r="G183" s="22">
        <v>60</v>
      </c>
      <c r="H183" s="22" t="s">
        <v>124</v>
      </c>
      <c r="I183" s="22">
        <v>6</v>
      </c>
      <c r="J183" s="29">
        <v>4</v>
      </c>
      <c r="K183" s="29">
        <v>6</v>
      </c>
      <c r="L183" s="29">
        <v>3</v>
      </c>
      <c r="M183" s="29">
        <v>6</v>
      </c>
      <c r="N183" s="29">
        <v>4</v>
      </c>
      <c r="S183" s="25" t="s">
        <v>23</v>
      </c>
      <c r="T183" s="25" t="s">
        <v>24</v>
      </c>
      <c r="U183" s="25" t="s">
        <v>501</v>
      </c>
      <c r="V183" s="7">
        <v>2</v>
      </c>
    </row>
    <row r="184" spans="1:22" x14ac:dyDescent="0.4">
      <c r="A184">
        <v>1928</v>
      </c>
      <c r="B184" s="25" t="s">
        <v>268</v>
      </c>
      <c r="C184" s="25" t="s">
        <v>893</v>
      </c>
      <c r="D184" s="25" t="s">
        <v>28</v>
      </c>
      <c r="E184" s="25" t="s">
        <v>499</v>
      </c>
      <c r="F184" s="7">
        <v>1</v>
      </c>
      <c r="H184" s="22" t="s">
        <v>335</v>
      </c>
      <c r="I184" s="22">
        <v>6</v>
      </c>
      <c r="J184" s="29">
        <v>2</v>
      </c>
      <c r="K184" s="29">
        <v>6</v>
      </c>
      <c r="L184" s="29">
        <v>3</v>
      </c>
      <c r="S184" s="25" t="s">
        <v>319</v>
      </c>
      <c r="T184" s="25" t="s">
        <v>135</v>
      </c>
      <c r="U184" s="25" t="s">
        <v>496</v>
      </c>
      <c r="V184" s="7">
        <v>2</v>
      </c>
    </row>
    <row r="185" spans="1:22" x14ac:dyDescent="0.4">
      <c r="A185">
        <v>1928</v>
      </c>
      <c r="B185" s="25" t="s">
        <v>10</v>
      </c>
      <c r="C185" s="25" t="s">
        <v>25</v>
      </c>
      <c r="D185" s="25" t="s">
        <v>24</v>
      </c>
      <c r="E185" s="25" t="s">
        <v>501</v>
      </c>
      <c r="F185" s="7">
        <v>2</v>
      </c>
      <c r="H185" s="22" t="s">
        <v>201</v>
      </c>
      <c r="I185" s="22">
        <v>6</v>
      </c>
      <c r="J185" s="29">
        <v>1</v>
      </c>
      <c r="K185" s="29">
        <v>4</v>
      </c>
      <c r="L185" s="29">
        <v>6</v>
      </c>
      <c r="M185" s="29">
        <v>6</v>
      </c>
      <c r="N185" s="29">
        <v>4</v>
      </c>
      <c r="O185" s="29">
        <v>6</v>
      </c>
      <c r="P185" s="29">
        <v>2</v>
      </c>
      <c r="S185" s="25" t="s">
        <v>123</v>
      </c>
      <c r="T185" s="25" t="s">
        <v>24</v>
      </c>
      <c r="U185" s="25" t="s">
        <v>501</v>
      </c>
      <c r="V185" s="7">
        <v>1</v>
      </c>
    </row>
    <row r="186" spans="1:22" x14ac:dyDescent="0.4">
      <c r="A186">
        <v>1927</v>
      </c>
      <c r="B186" s="25" t="s">
        <v>268</v>
      </c>
      <c r="C186" s="25" t="s">
        <v>893</v>
      </c>
      <c r="D186" s="25" t="s">
        <v>28</v>
      </c>
      <c r="E186" s="25" t="s">
        <v>499</v>
      </c>
      <c r="F186" s="7">
        <v>1</v>
      </c>
      <c r="H186" s="22" t="s">
        <v>426</v>
      </c>
      <c r="I186" s="22">
        <v>6</v>
      </c>
      <c r="J186" s="29">
        <v>2</v>
      </c>
      <c r="K186" s="29">
        <v>6</v>
      </c>
      <c r="L186" s="29">
        <v>4</v>
      </c>
      <c r="S186" s="25" t="s">
        <v>319</v>
      </c>
      <c r="T186" s="25" t="s">
        <v>135</v>
      </c>
      <c r="U186" s="25" t="s">
        <v>496</v>
      </c>
      <c r="V186" s="7">
        <v>4</v>
      </c>
    </row>
    <row r="187" spans="1:22" x14ac:dyDescent="0.4">
      <c r="A187">
        <v>1927</v>
      </c>
      <c r="B187" s="25" t="s">
        <v>10</v>
      </c>
      <c r="C187" s="25" t="s">
        <v>123</v>
      </c>
      <c r="D187" s="25" t="s">
        <v>24</v>
      </c>
      <c r="E187" s="25" t="s">
        <v>501</v>
      </c>
      <c r="F187" s="7">
        <v>4</v>
      </c>
      <c r="H187" s="22" t="s">
        <v>237</v>
      </c>
      <c r="I187" s="22">
        <v>4</v>
      </c>
      <c r="J187" s="29">
        <v>6</v>
      </c>
      <c r="K187" s="29">
        <v>4</v>
      </c>
      <c r="L187" s="29">
        <v>6</v>
      </c>
      <c r="M187" s="29">
        <v>6</v>
      </c>
      <c r="N187" s="29">
        <v>3</v>
      </c>
      <c r="O187" s="29">
        <v>6</v>
      </c>
      <c r="P187" s="29">
        <v>4</v>
      </c>
      <c r="Q187" s="22">
        <v>7</v>
      </c>
      <c r="R187" s="29">
        <v>5</v>
      </c>
      <c r="S187" s="25" t="s">
        <v>23</v>
      </c>
      <c r="T187" s="25" t="s">
        <v>24</v>
      </c>
      <c r="U187" s="25" t="s">
        <v>501</v>
      </c>
      <c r="V187" s="7">
        <v>3</v>
      </c>
    </row>
    <row r="188" spans="1:22" x14ac:dyDescent="0.4">
      <c r="A188">
        <v>1926</v>
      </c>
      <c r="B188" s="25" t="s">
        <v>268</v>
      </c>
      <c r="C188" s="25" t="s">
        <v>317</v>
      </c>
      <c r="D188" s="25" t="s">
        <v>15</v>
      </c>
      <c r="E188" s="25" t="s">
        <v>498</v>
      </c>
      <c r="G188" s="22">
        <v>60</v>
      </c>
      <c r="H188" s="22" t="s">
        <v>318</v>
      </c>
      <c r="I188" s="22">
        <v>6</v>
      </c>
      <c r="J188" s="29">
        <v>2</v>
      </c>
      <c r="K188" s="29">
        <v>4</v>
      </c>
      <c r="L188" s="29">
        <v>6</v>
      </c>
      <c r="M188" s="29">
        <v>6</v>
      </c>
      <c r="N188" s="29">
        <v>3</v>
      </c>
      <c r="S188" s="25" t="s">
        <v>319</v>
      </c>
      <c r="T188" s="25" t="s">
        <v>135</v>
      </c>
      <c r="U188" s="25" t="s">
        <v>496</v>
      </c>
    </row>
    <row r="189" spans="1:22" x14ac:dyDescent="0.4">
      <c r="A189">
        <v>1926</v>
      </c>
      <c r="B189" s="25" t="s">
        <v>10</v>
      </c>
      <c r="C189" s="25" t="s">
        <v>23</v>
      </c>
      <c r="D189" s="25" t="s">
        <v>24</v>
      </c>
      <c r="E189" s="25" t="s">
        <v>501</v>
      </c>
      <c r="G189" s="22">
        <v>65</v>
      </c>
      <c r="H189" s="22" t="s">
        <v>30</v>
      </c>
      <c r="I189" s="22">
        <v>8</v>
      </c>
      <c r="J189" s="29">
        <v>6</v>
      </c>
      <c r="K189" s="29">
        <v>6</v>
      </c>
      <c r="L189" s="29">
        <v>1</v>
      </c>
      <c r="M189" s="29">
        <v>6</v>
      </c>
      <c r="N189" s="29">
        <v>3</v>
      </c>
      <c r="S189" s="25" t="s">
        <v>29</v>
      </c>
      <c r="T189" s="25" t="s">
        <v>28</v>
      </c>
      <c r="U189" s="25" t="s">
        <v>499</v>
      </c>
    </row>
    <row r="190" spans="1:22" x14ac:dyDescent="0.4">
      <c r="A190">
        <v>1925</v>
      </c>
      <c r="B190" s="25" t="s">
        <v>268</v>
      </c>
      <c r="C190" s="25" t="s">
        <v>301</v>
      </c>
      <c r="D190" s="25" t="s">
        <v>24</v>
      </c>
      <c r="E190" s="25" t="s">
        <v>501</v>
      </c>
      <c r="G190" s="22">
        <v>25</v>
      </c>
      <c r="H190" s="22" t="s">
        <v>302</v>
      </c>
      <c r="I190" s="22">
        <v>6</v>
      </c>
      <c r="J190" s="29">
        <v>2</v>
      </c>
      <c r="K190" s="29">
        <v>6</v>
      </c>
      <c r="L190" s="29">
        <v>0</v>
      </c>
      <c r="S190" s="25" t="s">
        <v>303</v>
      </c>
      <c r="T190" s="25" t="s">
        <v>15</v>
      </c>
      <c r="U190" s="25" t="s">
        <v>498</v>
      </c>
    </row>
    <row r="191" spans="1:22" x14ac:dyDescent="0.4">
      <c r="A191">
        <v>1925</v>
      </c>
      <c r="B191" s="25" t="s">
        <v>10</v>
      </c>
      <c r="C191" s="25" t="s">
        <v>25</v>
      </c>
      <c r="D191" s="25" t="s">
        <v>24</v>
      </c>
      <c r="E191" s="25" t="s">
        <v>501</v>
      </c>
      <c r="H191" s="22" t="s">
        <v>27</v>
      </c>
      <c r="I191" s="22">
        <v>6</v>
      </c>
      <c r="J191" s="29">
        <v>3</v>
      </c>
      <c r="K191" s="29">
        <v>6</v>
      </c>
      <c r="L191" s="29">
        <v>3</v>
      </c>
      <c r="M191" s="29">
        <v>4</v>
      </c>
      <c r="N191" s="29">
        <v>6</v>
      </c>
      <c r="O191" s="29">
        <v>8</v>
      </c>
      <c r="P191" s="29">
        <v>6</v>
      </c>
      <c r="S191" s="25" t="s">
        <v>23</v>
      </c>
      <c r="T191" s="25" t="s">
        <v>24</v>
      </c>
      <c r="U191" s="25" t="s">
        <v>501</v>
      </c>
    </row>
    <row r="192" spans="1:22" x14ac:dyDescent="0.4">
      <c r="A192">
        <v>1924</v>
      </c>
      <c r="B192" s="25" t="s">
        <v>268</v>
      </c>
      <c r="C192" s="25" t="s">
        <v>305</v>
      </c>
      <c r="D192" s="25" t="s">
        <v>15</v>
      </c>
      <c r="E192" s="25" t="s">
        <v>498</v>
      </c>
      <c r="G192" s="22">
        <v>75</v>
      </c>
      <c r="H192" s="22" t="s">
        <v>343</v>
      </c>
      <c r="I192" s="22">
        <v>4</v>
      </c>
      <c r="J192" s="29">
        <v>6</v>
      </c>
      <c r="K192" s="29">
        <v>6</v>
      </c>
      <c r="L192" s="29">
        <v>4</v>
      </c>
      <c r="M192" s="29">
        <v>6</v>
      </c>
      <c r="N192" s="29">
        <v>4</v>
      </c>
      <c r="S192" s="25" t="s">
        <v>893</v>
      </c>
      <c r="T192" s="25" t="s">
        <v>28</v>
      </c>
      <c r="U192" s="25" t="s">
        <v>499</v>
      </c>
    </row>
    <row r="193" spans="1:21" x14ac:dyDescent="0.4">
      <c r="A193">
        <v>1924</v>
      </c>
      <c r="B193" s="25" t="s">
        <v>10</v>
      </c>
      <c r="C193" s="25" t="s">
        <v>23</v>
      </c>
      <c r="D193" s="25" t="s">
        <v>24</v>
      </c>
      <c r="E193" s="25" t="s">
        <v>501</v>
      </c>
      <c r="G193" s="22">
        <v>80</v>
      </c>
      <c r="H193" s="22" t="s">
        <v>26</v>
      </c>
      <c r="I193" s="22">
        <v>6</v>
      </c>
      <c r="J193" s="29">
        <v>1</v>
      </c>
      <c r="K193" s="29">
        <v>3</v>
      </c>
      <c r="L193" s="29">
        <v>6</v>
      </c>
      <c r="M193" s="29">
        <v>6</v>
      </c>
      <c r="N193" s="29">
        <v>1</v>
      </c>
      <c r="O193" s="29">
        <v>3</v>
      </c>
      <c r="P193" s="29">
        <v>6</v>
      </c>
      <c r="Q193" s="22">
        <v>6</v>
      </c>
      <c r="R193" s="29">
        <v>4</v>
      </c>
      <c r="S193" s="25" t="s">
        <v>25</v>
      </c>
      <c r="T193" s="25" t="s">
        <v>24</v>
      </c>
      <c r="U193" s="25" t="s">
        <v>501</v>
      </c>
    </row>
    <row r="194" spans="1:21" x14ac:dyDescent="0.4">
      <c r="A194">
        <v>1923</v>
      </c>
      <c r="B194" s="25" t="s">
        <v>268</v>
      </c>
      <c r="C194" s="25" t="s">
        <v>301</v>
      </c>
      <c r="D194" s="25" t="s">
        <v>24</v>
      </c>
      <c r="E194" s="25" t="s">
        <v>501</v>
      </c>
      <c r="H194" s="22" t="s">
        <v>304</v>
      </c>
      <c r="I194" s="22">
        <v>6</v>
      </c>
      <c r="J194" s="29">
        <v>2</v>
      </c>
      <c r="K194" s="29">
        <v>6</v>
      </c>
      <c r="L194" s="29">
        <v>2</v>
      </c>
      <c r="S194" s="25" t="s">
        <v>305</v>
      </c>
      <c r="T194" s="25" t="s">
        <v>15</v>
      </c>
      <c r="U194" s="25" t="s">
        <v>498</v>
      </c>
    </row>
    <row r="195" spans="1:21" x14ac:dyDescent="0.4">
      <c r="A195">
        <v>1923</v>
      </c>
      <c r="B195" s="25" t="s">
        <v>10</v>
      </c>
      <c r="C195" s="25" t="s">
        <v>93</v>
      </c>
      <c r="D195" s="25" t="s">
        <v>28</v>
      </c>
      <c r="E195" s="25" t="s">
        <v>499</v>
      </c>
      <c r="G195" s="22">
        <v>46</v>
      </c>
      <c r="H195" s="22" t="s">
        <v>95</v>
      </c>
      <c r="I195" s="22">
        <v>6</v>
      </c>
      <c r="J195" s="29">
        <v>0</v>
      </c>
      <c r="K195" s="29">
        <v>6</v>
      </c>
      <c r="L195" s="29">
        <v>3</v>
      </c>
      <c r="M195" s="29">
        <v>6</v>
      </c>
      <c r="N195" s="29">
        <v>1</v>
      </c>
      <c r="S195" s="25" t="s">
        <v>94</v>
      </c>
      <c r="T195" s="25" t="s">
        <v>28</v>
      </c>
      <c r="U195" s="25" t="s">
        <v>499</v>
      </c>
    </row>
    <row r="196" spans="1:21" x14ac:dyDescent="0.4">
      <c r="A196">
        <v>1922</v>
      </c>
      <c r="B196" s="25" t="s">
        <v>268</v>
      </c>
      <c r="C196" s="25" t="s">
        <v>301</v>
      </c>
      <c r="D196" s="25" t="s">
        <v>24</v>
      </c>
      <c r="E196" s="25" t="s">
        <v>501</v>
      </c>
      <c r="G196" s="22">
        <v>23</v>
      </c>
      <c r="H196" s="22" t="s">
        <v>302</v>
      </c>
      <c r="I196" s="22">
        <v>6</v>
      </c>
      <c r="J196" s="29">
        <v>2</v>
      </c>
      <c r="K196" s="29">
        <v>6</v>
      </c>
      <c r="L196" s="29">
        <v>0</v>
      </c>
      <c r="S196" s="25" t="s">
        <v>309</v>
      </c>
      <c r="T196" s="25" t="s">
        <v>28</v>
      </c>
      <c r="U196" s="25" t="s">
        <v>499</v>
      </c>
    </row>
    <row r="197" spans="1:21" x14ac:dyDescent="0.4">
      <c r="A197">
        <v>1922</v>
      </c>
      <c r="B197" s="25" t="s">
        <v>10</v>
      </c>
      <c r="C197" s="25" t="s">
        <v>11</v>
      </c>
      <c r="D197" s="25" t="s">
        <v>12</v>
      </c>
      <c r="E197" s="25" t="s">
        <v>503</v>
      </c>
      <c r="H197" s="22" t="s">
        <v>17</v>
      </c>
      <c r="I197" s="22">
        <v>6</v>
      </c>
      <c r="J197" s="29">
        <v>3</v>
      </c>
      <c r="K197" s="29">
        <v>6</v>
      </c>
      <c r="L197" s="29">
        <v>4</v>
      </c>
      <c r="M197" s="29">
        <v>6</v>
      </c>
      <c r="N197" s="29">
        <v>2</v>
      </c>
      <c r="S197" s="25" t="s">
        <v>16</v>
      </c>
      <c r="T197" s="25" t="s">
        <v>15</v>
      </c>
      <c r="U197" s="25" t="s">
        <v>498</v>
      </c>
    </row>
    <row r="198" spans="1:21" x14ac:dyDescent="0.4">
      <c r="A198">
        <v>1921</v>
      </c>
      <c r="B198" s="25" t="s">
        <v>268</v>
      </c>
      <c r="C198" s="25" t="s">
        <v>301</v>
      </c>
      <c r="D198" s="25" t="s">
        <v>24</v>
      </c>
      <c r="E198" s="25" t="s">
        <v>501</v>
      </c>
      <c r="H198" s="22" t="s">
        <v>302</v>
      </c>
      <c r="I198" s="22">
        <v>6</v>
      </c>
      <c r="J198" s="29">
        <v>2</v>
      </c>
      <c r="K198" s="29">
        <v>6</v>
      </c>
      <c r="L198" s="29">
        <v>0</v>
      </c>
      <c r="S198" s="25" t="s">
        <v>308</v>
      </c>
      <c r="T198" s="25" t="s">
        <v>28</v>
      </c>
      <c r="U198" s="25" t="s">
        <v>499</v>
      </c>
    </row>
    <row r="199" spans="1:21" x14ac:dyDescent="0.4">
      <c r="A199">
        <v>1921</v>
      </c>
      <c r="B199" s="25" t="s">
        <v>10</v>
      </c>
      <c r="C199" s="25" t="s">
        <v>88</v>
      </c>
      <c r="D199" s="25" t="s">
        <v>28</v>
      </c>
      <c r="E199" s="25" t="s">
        <v>499</v>
      </c>
      <c r="H199" s="22" t="s">
        <v>92</v>
      </c>
      <c r="I199" s="22">
        <v>4</v>
      </c>
      <c r="J199" s="29">
        <v>6</v>
      </c>
      <c r="K199" s="29">
        <v>2</v>
      </c>
      <c r="L199" s="29">
        <v>6</v>
      </c>
      <c r="M199" s="29">
        <v>6</v>
      </c>
      <c r="N199" s="29">
        <v>1</v>
      </c>
      <c r="O199" s="29">
        <v>6</v>
      </c>
      <c r="P199" s="29">
        <v>0</v>
      </c>
      <c r="Q199" s="22">
        <v>7</v>
      </c>
      <c r="R199" s="29">
        <v>5</v>
      </c>
      <c r="S199" s="25" t="s">
        <v>91</v>
      </c>
      <c r="T199" s="25" t="s">
        <v>90</v>
      </c>
      <c r="U199" s="25" t="s">
        <v>509</v>
      </c>
    </row>
    <row r="200" spans="1:21" x14ac:dyDescent="0.4">
      <c r="A200">
        <v>1920</v>
      </c>
      <c r="B200" s="25" t="s">
        <v>268</v>
      </c>
      <c r="C200" s="25" t="s">
        <v>301</v>
      </c>
      <c r="D200" s="25" t="s">
        <v>24</v>
      </c>
      <c r="E200" s="25" t="s">
        <v>501</v>
      </c>
      <c r="H200" s="22" t="s">
        <v>292</v>
      </c>
      <c r="I200" s="22">
        <v>6</v>
      </c>
      <c r="J200" s="29">
        <v>3</v>
      </c>
      <c r="K200" s="29">
        <v>6</v>
      </c>
      <c r="L200" s="29">
        <v>0</v>
      </c>
      <c r="S200" s="25" t="s">
        <v>894</v>
      </c>
      <c r="T200" s="25" t="s">
        <v>15</v>
      </c>
      <c r="U200" s="25" t="s">
        <v>498</v>
      </c>
    </row>
    <row r="201" spans="1:21" x14ac:dyDescent="0.4">
      <c r="A201">
        <v>1920</v>
      </c>
      <c r="B201" s="25" t="s">
        <v>10</v>
      </c>
      <c r="C201" s="25" t="s">
        <v>88</v>
      </c>
      <c r="D201" s="25" t="s">
        <v>28</v>
      </c>
      <c r="E201" s="25" t="s">
        <v>499</v>
      </c>
      <c r="H201" s="22" t="s">
        <v>89</v>
      </c>
      <c r="I201" s="22">
        <v>2</v>
      </c>
      <c r="J201" s="29">
        <v>6</v>
      </c>
      <c r="K201" s="29">
        <v>6</v>
      </c>
      <c r="L201" s="29">
        <v>3</v>
      </c>
      <c r="M201" s="29">
        <v>6</v>
      </c>
      <c r="N201" s="29">
        <v>2</v>
      </c>
      <c r="O201" s="29">
        <v>6</v>
      </c>
      <c r="P201" s="29">
        <v>4</v>
      </c>
      <c r="S201" s="25" t="s">
        <v>11</v>
      </c>
      <c r="T201" s="25" t="s">
        <v>12</v>
      </c>
      <c r="U201" s="25" t="s">
        <v>503</v>
      </c>
    </row>
    <row r="202" spans="1:21" x14ac:dyDescent="0.4">
      <c r="A202">
        <v>1919</v>
      </c>
      <c r="B202" s="25" t="s">
        <v>268</v>
      </c>
      <c r="C202" s="25" t="s">
        <v>301</v>
      </c>
      <c r="D202" s="25" t="s">
        <v>24</v>
      </c>
      <c r="E202" s="25" t="s">
        <v>501</v>
      </c>
      <c r="G202" s="22">
        <v>125</v>
      </c>
      <c r="H202" s="22" t="s">
        <v>306</v>
      </c>
      <c r="I202" s="22">
        <v>10</v>
      </c>
      <c r="J202" s="29">
        <v>8</v>
      </c>
      <c r="K202" s="29">
        <v>4</v>
      </c>
      <c r="L202" s="29">
        <v>6</v>
      </c>
      <c r="M202" s="29">
        <v>9</v>
      </c>
      <c r="N202" s="29">
        <v>7</v>
      </c>
      <c r="S202" s="25" t="s">
        <v>894</v>
      </c>
      <c r="T202" s="25" t="s">
        <v>15</v>
      </c>
      <c r="U202" s="25" t="s">
        <v>498</v>
      </c>
    </row>
    <row r="203" spans="1:21" x14ac:dyDescent="0.4">
      <c r="A203">
        <v>1919</v>
      </c>
      <c r="B203" s="25" t="s">
        <v>10</v>
      </c>
      <c r="C203" s="25" t="s">
        <v>11</v>
      </c>
      <c r="D203" s="25" t="s">
        <v>12</v>
      </c>
      <c r="E203" s="25" t="s">
        <v>503</v>
      </c>
      <c r="H203" s="22" t="s">
        <v>14</v>
      </c>
      <c r="I203" s="22">
        <v>6</v>
      </c>
      <c r="J203" s="29">
        <v>3</v>
      </c>
      <c r="K203" s="29">
        <v>7</v>
      </c>
      <c r="L203" s="29">
        <v>5</v>
      </c>
      <c r="M203" s="29">
        <v>6</v>
      </c>
      <c r="N203" s="29">
        <v>2</v>
      </c>
      <c r="S203" s="25" t="s">
        <v>13</v>
      </c>
      <c r="T203" s="25" t="s">
        <v>12</v>
      </c>
      <c r="U203" s="25" t="s">
        <v>503</v>
      </c>
    </row>
    <row r="204" spans="1:21" x14ac:dyDescent="0.4">
      <c r="A204">
        <v>1914</v>
      </c>
      <c r="B204" s="25" t="s">
        <v>268</v>
      </c>
      <c r="C204" s="25" t="s">
        <v>894</v>
      </c>
      <c r="D204" s="25" t="s">
        <v>15</v>
      </c>
      <c r="E204" s="25" t="s">
        <v>498</v>
      </c>
      <c r="H204" s="22" t="s">
        <v>359</v>
      </c>
      <c r="I204" s="22">
        <v>7</v>
      </c>
      <c r="J204" s="29">
        <v>5</v>
      </c>
      <c r="K204" s="29">
        <v>6</v>
      </c>
      <c r="L204" s="29">
        <v>4</v>
      </c>
      <c r="S204" s="25" t="s">
        <v>341</v>
      </c>
      <c r="T204" s="25" t="s">
        <v>15</v>
      </c>
      <c r="U204" s="25" t="s">
        <v>498</v>
      </c>
    </row>
    <row r="205" spans="1:21" x14ac:dyDescent="0.4">
      <c r="A205">
        <v>1914</v>
      </c>
      <c r="B205" s="25" t="s">
        <v>10</v>
      </c>
      <c r="C205" s="25" t="s">
        <v>13</v>
      </c>
      <c r="D205" s="25" t="s">
        <v>12</v>
      </c>
      <c r="E205" s="25" t="s">
        <v>503</v>
      </c>
      <c r="H205" s="22" t="s">
        <v>22</v>
      </c>
      <c r="I205" s="22">
        <v>6</v>
      </c>
      <c r="J205" s="29">
        <v>4</v>
      </c>
      <c r="K205" s="29">
        <v>6</v>
      </c>
      <c r="L205" s="29">
        <v>4</v>
      </c>
      <c r="M205" s="29">
        <v>7</v>
      </c>
      <c r="N205" s="29">
        <v>5</v>
      </c>
      <c r="S205" s="25" t="s">
        <v>21</v>
      </c>
      <c r="T205" s="25" t="s">
        <v>20</v>
      </c>
      <c r="U205" s="25" t="s">
        <v>508</v>
      </c>
    </row>
    <row r="206" spans="1:21" x14ac:dyDescent="0.4">
      <c r="A206">
        <v>1913</v>
      </c>
      <c r="B206" s="25" t="s">
        <v>268</v>
      </c>
      <c r="C206" s="25" t="s">
        <v>894</v>
      </c>
      <c r="D206" s="25" t="s">
        <v>15</v>
      </c>
      <c r="E206" s="25" t="s">
        <v>498</v>
      </c>
      <c r="H206" s="22" t="s">
        <v>361</v>
      </c>
      <c r="I206" s="22">
        <v>6</v>
      </c>
      <c r="J206" s="29">
        <v>0</v>
      </c>
      <c r="K206" s="29">
        <v>6</v>
      </c>
      <c r="L206" s="29">
        <v>4</v>
      </c>
      <c r="S206" s="25" t="s">
        <v>362</v>
      </c>
      <c r="T206" s="25" t="s">
        <v>15</v>
      </c>
      <c r="U206" s="25" t="s">
        <v>498</v>
      </c>
    </row>
    <row r="207" spans="1:21" x14ac:dyDescent="0.4">
      <c r="A207">
        <v>1913</v>
      </c>
      <c r="B207" s="25" t="s">
        <v>10</v>
      </c>
      <c r="C207" s="25" t="s">
        <v>21</v>
      </c>
      <c r="D207" s="25" t="s">
        <v>20</v>
      </c>
      <c r="E207" s="25" t="s">
        <v>508</v>
      </c>
      <c r="H207" s="22" t="s">
        <v>87</v>
      </c>
      <c r="I207" s="22">
        <v>8</v>
      </c>
      <c r="J207" s="29">
        <v>6</v>
      </c>
      <c r="K207" s="29">
        <v>6</v>
      </c>
      <c r="L207" s="29">
        <v>3</v>
      </c>
      <c r="M207" s="29">
        <v>10</v>
      </c>
      <c r="N207" s="29">
        <v>8</v>
      </c>
      <c r="S207" s="25" t="s">
        <v>86</v>
      </c>
      <c r="T207" s="25" t="s">
        <v>28</v>
      </c>
      <c r="U207" s="25" t="s">
        <v>499</v>
      </c>
    </row>
    <row r="208" spans="1:21" x14ac:dyDescent="0.4">
      <c r="A208">
        <v>1912</v>
      </c>
      <c r="B208" s="25" t="s">
        <v>268</v>
      </c>
      <c r="C208" s="25" t="s">
        <v>341</v>
      </c>
      <c r="D208" s="25" t="s">
        <v>15</v>
      </c>
      <c r="E208" s="25" t="s">
        <v>498</v>
      </c>
      <c r="H208" s="22" t="s">
        <v>342</v>
      </c>
      <c r="I208" s="22">
        <v>6</v>
      </c>
      <c r="J208" s="29">
        <v>3</v>
      </c>
      <c r="K208" s="29">
        <v>6</v>
      </c>
      <c r="L208" s="29">
        <v>1</v>
      </c>
      <c r="S208" s="25" t="s">
        <v>331</v>
      </c>
      <c r="T208" s="25" t="s">
        <v>15</v>
      </c>
      <c r="U208" s="25" t="s">
        <v>498</v>
      </c>
    </row>
    <row r="209" spans="1:21" x14ac:dyDescent="0.4">
      <c r="A209">
        <v>1912</v>
      </c>
      <c r="B209" s="25" t="s">
        <v>10</v>
      </c>
      <c r="C209" s="25" t="s">
        <v>21</v>
      </c>
      <c r="D209" s="25" t="s">
        <v>20</v>
      </c>
      <c r="E209" s="25" t="s">
        <v>508</v>
      </c>
      <c r="H209" s="22" t="s">
        <v>83</v>
      </c>
      <c r="I209" s="22">
        <v>6</v>
      </c>
      <c r="J209" s="29">
        <v>4</v>
      </c>
      <c r="K209" s="29">
        <v>6</v>
      </c>
      <c r="L209" s="29">
        <v>4</v>
      </c>
      <c r="M209" s="29">
        <v>4</v>
      </c>
      <c r="N209" s="29">
        <v>6</v>
      </c>
      <c r="O209" s="29">
        <v>6</v>
      </c>
      <c r="P209" s="29">
        <v>4</v>
      </c>
      <c r="S209" s="25" t="s">
        <v>18</v>
      </c>
      <c r="T209" s="25" t="s">
        <v>15</v>
      </c>
      <c r="U209" s="25" t="s">
        <v>498</v>
      </c>
    </row>
    <row r="210" spans="1:21" x14ac:dyDescent="0.4">
      <c r="A210">
        <v>1911</v>
      </c>
      <c r="B210" s="25" t="s">
        <v>268</v>
      </c>
      <c r="C210" s="25" t="s">
        <v>894</v>
      </c>
      <c r="D210" s="25" t="s">
        <v>15</v>
      </c>
      <c r="E210" s="25" t="s">
        <v>498</v>
      </c>
      <c r="G210" s="22">
        <v>25</v>
      </c>
      <c r="H210" s="22" t="s">
        <v>360</v>
      </c>
      <c r="I210" s="22">
        <v>6</v>
      </c>
      <c r="J210" s="29">
        <v>0</v>
      </c>
      <c r="K210" s="29">
        <v>6</v>
      </c>
      <c r="L210" s="29">
        <v>0</v>
      </c>
      <c r="S210" s="25" t="s">
        <v>357</v>
      </c>
      <c r="T210" s="25" t="s">
        <v>15</v>
      </c>
      <c r="U210" s="25" t="s">
        <v>498</v>
      </c>
    </row>
    <row r="211" spans="1:21" x14ac:dyDescent="0.4">
      <c r="A211">
        <v>1911</v>
      </c>
      <c r="B211" s="25" t="s">
        <v>10</v>
      </c>
      <c r="C211" s="25" t="s">
        <v>21</v>
      </c>
      <c r="D211" s="25" t="s">
        <v>20</v>
      </c>
      <c r="E211" s="25" t="s">
        <v>508</v>
      </c>
      <c r="H211" s="22" t="s">
        <v>85</v>
      </c>
      <c r="I211" s="22">
        <v>6</v>
      </c>
      <c r="J211" s="29">
        <v>4</v>
      </c>
      <c r="K211" s="29">
        <v>4</v>
      </c>
      <c r="L211" s="29">
        <v>6</v>
      </c>
      <c r="M211" s="29">
        <v>2</v>
      </c>
      <c r="N211" s="29">
        <v>6</v>
      </c>
      <c r="O211" s="29">
        <v>6</v>
      </c>
      <c r="P211" s="29">
        <v>2</v>
      </c>
      <c r="Q211" s="29" t="s">
        <v>754</v>
      </c>
      <c r="S211" s="25" t="s">
        <v>33</v>
      </c>
      <c r="T211" s="25" t="s">
        <v>15</v>
      </c>
      <c r="U211" s="25" t="s">
        <v>498</v>
      </c>
    </row>
    <row r="212" spans="1:21" x14ac:dyDescent="0.4">
      <c r="A212">
        <v>1910</v>
      </c>
      <c r="B212" s="25" t="s">
        <v>268</v>
      </c>
      <c r="C212" s="25" t="s">
        <v>894</v>
      </c>
      <c r="D212" s="25" t="s">
        <v>15</v>
      </c>
      <c r="E212" s="25" t="s">
        <v>498</v>
      </c>
      <c r="H212" s="22" t="s">
        <v>304</v>
      </c>
      <c r="I212" s="22">
        <v>6</v>
      </c>
      <c r="J212" s="29">
        <v>2</v>
      </c>
      <c r="K212" s="29">
        <v>6</v>
      </c>
      <c r="L212" s="29">
        <v>2</v>
      </c>
      <c r="S212" s="25" t="s">
        <v>357</v>
      </c>
      <c r="T212" s="25" t="s">
        <v>15</v>
      </c>
      <c r="U212" s="25" t="s">
        <v>498</v>
      </c>
    </row>
    <row r="213" spans="1:21" x14ac:dyDescent="0.4">
      <c r="A213">
        <v>1910</v>
      </c>
      <c r="B213" s="25" t="s">
        <v>10</v>
      </c>
      <c r="C213" s="25" t="s">
        <v>21</v>
      </c>
      <c r="D213" s="25" t="s">
        <v>20</v>
      </c>
      <c r="E213" s="25" t="s">
        <v>508</v>
      </c>
      <c r="H213" s="22" t="s">
        <v>84</v>
      </c>
      <c r="I213" s="22">
        <v>6</v>
      </c>
      <c r="J213" s="29">
        <v>4</v>
      </c>
      <c r="K213" s="29">
        <v>7</v>
      </c>
      <c r="L213" s="29">
        <v>5</v>
      </c>
      <c r="M213" s="29">
        <v>4</v>
      </c>
      <c r="N213" s="29">
        <v>6</v>
      </c>
      <c r="O213" s="29">
        <v>6</v>
      </c>
      <c r="P213" s="29">
        <v>2</v>
      </c>
      <c r="S213" s="25" t="s">
        <v>18</v>
      </c>
      <c r="T213" s="25" t="s">
        <v>15</v>
      </c>
      <c r="U213" s="25" t="s">
        <v>498</v>
      </c>
    </row>
    <row r="214" spans="1:21" x14ac:dyDescent="0.4">
      <c r="A214">
        <v>1909</v>
      </c>
      <c r="B214" s="25" t="s">
        <v>268</v>
      </c>
      <c r="C214" s="25" t="s">
        <v>357</v>
      </c>
      <c r="D214" s="25" t="s">
        <v>15</v>
      </c>
      <c r="E214" s="25" t="s">
        <v>498</v>
      </c>
      <c r="H214" s="22" t="s">
        <v>358</v>
      </c>
      <c r="I214" s="22">
        <v>6</v>
      </c>
      <c r="J214" s="29">
        <v>4</v>
      </c>
      <c r="K214" s="29">
        <v>4</v>
      </c>
      <c r="L214" s="29">
        <v>6</v>
      </c>
      <c r="M214" s="29">
        <v>8</v>
      </c>
      <c r="N214" s="29">
        <v>6</v>
      </c>
      <c r="S214" s="25" t="s">
        <v>322</v>
      </c>
      <c r="T214" s="25" t="s">
        <v>15</v>
      </c>
      <c r="U214" s="25" t="s">
        <v>498</v>
      </c>
    </row>
    <row r="215" spans="1:21" x14ac:dyDescent="0.4">
      <c r="A215">
        <v>1909</v>
      </c>
      <c r="B215" s="25" t="s">
        <v>10</v>
      </c>
      <c r="C215" s="25" t="s">
        <v>18</v>
      </c>
      <c r="D215" s="25" t="s">
        <v>15</v>
      </c>
      <c r="E215" s="25" t="s">
        <v>498</v>
      </c>
      <c r="G215" s="22">
        <v>95</v>
      </c>
      <c r="H215" s="22" t="s">
        <v>36</v>
      </c>
      <c r="I215" s="22">
        <v>6</v>
      </c>
      <c r="J215" s="29">
        <v>8</v>
      </c>
      <c r="K215" s="29">
        <v>1</v>
      </c>
      <c r="L215" s="29">
        <v>6</v>
      </c>
      <c r="M215" s="29">
        <v>6</v>
      </c>
      <c r="N215" s="29">
        <v>2</v>
      </c>
      <c r="O215" s="29">
        <v>6</v>
      </c>
      <c r="P215" s="29">
        <v>2</v>
      </c>
      <c r="Q215" s="22">
        <v>6</v>
      </c>
      <c r="R215" s="29">
        <v>2</v>
      </c>
      <c r="S215" s="25" t="s">
        <v>35</v>
      </c>
      <c r="T215" s="25" t="s">
        <v>15</v>
      </c>
      <c r="U215" s="25" t="s">
        <v>498</v>
      </c>
    </row>
    <row r="216" spans="1:21" x14ac:dyDescent="0.4">
      <c r="A216">
        <v>1908</v>
      </c>
      <c r="B216" s="25" t="s">
        <v>268</v>
      </c>
      <c r="C216" s="25" t="s">
        <v>331</v>
      </c>
      <c r="D216" s="25" t="s">
        <v>15</v>
      </c>
      <c r="E216" s="25" t="s">
        <v>498</v>
      </c>
      <c r="H216" s="22" t="s">
        <v>321</v>
      </c>
      <c r="I216" s="22">
        <v>6</v>
      </c>
      <c r="J216" s="29">
        <v>4</v>
      </c>
      <c r="K216" s="29">
        <v>6</v>
      </c>
      <c r="L216" s="29">
        <v>4</v>
      </c>
      <c r="S216" s="25" t="s">
        <v>322</v>
      </c>
      <c r="T216" s="25" t="s">
        <v>15</v>
      </c>
      <c r="U216" s="25" t="s">
        <v>498</v>
      </c>
    </row>
    <row r="217" spans="1:21" x14ac:dyDescent="0.4">
      <c r="A217">
        <v>1908</v>
      </c>
      <c r="B217" s="25" t="s">
        <v>10</v>
      </c>
      <c r="C217" s="25" t="s">
        <v>18</v>
      </c>
      <c r="D217" s="25" t="s">
        <v>15</v>
      </c>
      <c r="E217" s="25" t="s">
        <v>498</v>
      </c>
      <c r="H217" s="22" t="s">
        <v>34</v>
      </c>
      <c r="I217" s="22">
        <v>6</v>
      </c>
      <c r="J217" s="29">
        <v>3</v>
      </c>
      <c r="K217" s="29">
        <v>6</v>
      </c>
      <c r="L217" s="29">
        <v>2</v>
      </c>
      <c r="M217" s="29">
        <v>4</v>
      </c>
      <c r="N217" s="29">
        <v>6</v>
      </c>
      <c r="O217" s="29">
        <v>3</v>
      </c>
      <c r="P217" s="29">
        <v>6</v>
      </c>
      <c r="Q217" s="22">
        <v>6</v>
      </c>
      <c r="R217" s="29">
        <v>4</v>
      </c>
      <c r="S217" s="25" t="s">
        <v>33</v>
      </c>
      <c r="T217" s="25" t="s">
        <v>15</v>
      </c>
      <c r="U217" s="25" t="s">
        <v>498</v>
      </c>
    </row>
    <row r="218" spans="1:21" x14ac:dyDescent="0.4">
      <c r="A218">
        <v>1907</v>
      </c>
      <c r="B218" s="25" t="s">
        <v>268</v>
      </c>
      <c r="C218" s="25" t="s">
        <v>364</v>
      </c>
      <c r="D218" s="25" t="s">
        <v>28</v>
      </c>
      <c r="E218" s="25" t="s">
        <v>499</v>
      </c>
      <c r="H218" s="22" t="s">
        <v>395</v>
      </c>
      <c r="I218" s="22">
        <v>6</v>
      </c>
      <c r="J218" s="29">
        <v>1</v>
      </c>
      <c r="K218" s="29">
        <v>6</v>
      </c>
      <c r="L218" s="29">
        <v>4</v>
      </c>
      <c r="S218" s="25" t="s">
        <v>894</v>
      </c>
      <c r="T218" s="25" t="s">
        <v>15</v>
      </c>
      <c r="U218" s="25" t="s">
        <v>498</v>
      </c>
    </row>
    <row r="219" spans="1:21" x14ac:dyDescent="0.4">
      <c r="A219">
        <v>1907</v>
      </c>
      <c r="B219" s="25" t="s">
        <v>10</v>
      </c>
      <c r="C219" s="25" t="s">
        <v>13</v>
      </c>
      <c r="D219" s="25" t="s">
        <v>12</v>
      </c>
      <c r="E219" s="25" t="s">
        <v>503</v>
      </c>
      <c r="H219" s="22" t="s">
        <v>19</v>
      </c>
      <c r="I219" s="22">
        <v>6</v>
      </c>
      <c r="J219" s="29">
        <v>4</v>
      </c>
      <c r="K219" s="29">
        <v>6</v>
      </c>
      <c r="L219" s="29">
        <v>2</v>
      </c>
      <c r="M219" s="29">
        <v>6</v>
      </c>
      <c r="N219" s="29">
        <v>2</v>
      </c>
      <c r="S219" s="25" t="s">
        <v>18</v>
      </c>
      <c r="T219" s="25" t="s">
        <v>15</v>
      </c>
      <c r="U219" s="25" t="s">
        <v>498</v>
      </c>
    </row>
    <row r="220" spans="1:21" x14ac:dyDescent="0.4">
      <c r="A220">
        <v>1906</v>
      </c>
      <c r="B220" s="25" t="s">
        <v>268</v>
      </c>
      <c r="C220" s="25" t="s">
        <v>894</v>
      </c>
      <c r="D220" s="25" t="s">
        <v>15</v>
      </c>
      <c r="E220" s="25" t="s">
        <v>498</v>
      </c>
      <c r="G220" s="22">
        <v>57</v>
      </c>
      <c r="H220" s="22" t="s">
        <v>363</v>
      </c>
      <c r="I220" s="22">
        <v>6</v>
      </c>
      <c r="J220" s="29">
        <v>3</v>
      </c>
      <c r="K220" s="29">
        <v>9</v>
      </c>
      <c r="L220" s="29">
        <v>7</v>
      </c>
      <c r="S220" s="25" t="s">
        <v>364</v>
      </c>
      <c r="T220" s="25" t="s">
        <v>28</v>
      </c>
      <c r="U220" s="25" t="s">
        <v>499</v>
      </c>
    </row>
    <row r="221" spans="1:21" x14ac:dyDescent="0.4">
      <c r="A221">
        <v>1906</v>
      </c>
      <c r="B221" s="25" t="s">
        <v>10</v>
      </c>
      <c r="C221" s="25" t="s">
        <v>31</v>
      </c>
      <c r="D221" s="25" t="s">
        <v>15</v>
      </c>
      <c r="E221" s="25" t="s">
        <v>498</v>
      </c>
      <c r="G221" s="22">
        <v>74</v>
      </c>
      <c r="H221" s="22" t="s">
        <v>45</v>
      </c>
      <c r="I221" s="22">
        <v>6</v>
      </c>
      <c r="J221" s="29">
        <v>4</v>
      </c>
      <c r="K221" s="29">
        <v>4</v>
      </c>
      <c r="L221" s="29">
        <v>6</v>
      </c>
      <c r="M221" s="29">
        <v>6</v>
      </c>
      <c r="N221" s="29">
        <v>2</v>
      </c>
      <c r="O221" s="29">
        <v>6</v>
      </c>
      <c r="P221" s="29">
        <v>3</v>
      </c>
      <c r="S221" s="25" t="s">
        <v>43</v>
      </c>
      <c r="T221" s="25" t="s">
        <v>15</v>
      </c>
      <c r="U221" s="25" t="s">
        <v>498</v>
      </c>
    </row>
    <row r="222" spans="1:21" x14ac:dyDescent="0.4">
      <c r="A222">
        <v>1905</v>
      </c>
      <c r="B222" s="25" t="s">
        <v>268</v>
      </c>
      <c r="C222" s="25" t="s">
        <v>364</v>
      </c>
      <c r="D222" s="25" t="s">
        <v>28</v>
      </c>
      <c r="E222" s="25" t="s">
        <v>499</v>
      </c>
      <c r="H222" s="22" t="s">
        <v>295</v>
      </c>
      <c r="I222" s="22">
        <v>6</v>
      </c>
      <c r="J222" s="29">
        <v>3</v>
      </c>
      <c r="K222" s="29">
        <v>6</v>
      </c>
      <c r="L222" s="29">
        <v>4</v>
      </c>
      <c r="S222" s="25" t="s">
        <v>894</v>
      </c>
      <c r="T222" s="25" t="s">
        <v>15</v>
      </c>
      <c r="U222" s="25" t="s">
        <v>498</v>
      </c>
    </row>
    <row r="223" spans="1:21" x14ac:dyDescent="0.4">
      <c r="A223">
        <v>1905</v>
      </c>
      <c r="B223" s="25" t="s">
        <v>10</v>
      </c>
      <c r="C223" s="25" t="s">
        <v>31</v>
      </c>
      <c r="D223" s="25" t="s">
        <v>15</v>
      </c>
      <c r="E223" s="25" t="s">
        <v>498</v>
      </c>
      <c r="G223" s="22">
        <v>65</v>
      </c>
      <c r="H223" s="22" t="s">
        <v>32</v>
      </c>
      <c r="I223" s="22">
        <v>8</v>
      </c>
      <c r="J223" s="29">
        <v>6</v>
      </c>
      <c r="K223" s="29">
        <v>6</v>
      </c>
      <c r="L223" s="29">
        <v>2</v>
      </c>
      <c r="M223" s="29">
        <v>6</v>
      </c>
      <c r="N223" s="29">
        <v>4</v>
      </c>
      <c r="S223" s="25" t="s">
        <v>13</v>
      </c>
      <c r="T223" s="25" t="s">
        <v>12</v>
      </c>
      <c r="U223" s="25" t="s">
        <v>503</v>
      </c>
    </row>
    <row r="224" spans="1:21" x14ac:dyDescent="0.4">
      <c r="A224">
        <v>1904</v>
      </c>
      <c r="B224" s="25" t="s">
        <v>268</v>
      </c>
      <c r="C224" s="25" t="s">
        <v>894</v>
      </c>
      <c r="D224" s="25" t="s">
        <v>15</v>
      </c>
      <c r="E224" s="25" t="s">
        <v>498</v>
      </c>
      <c r="H224" s="22" t="s">
        <v>338</v>
      </c>
      <c r="I224" s="22">
        <v>6</v>
      </c>
      <c r="J224" s="29">
        <v>0</v>
      </c>
      <c r="K224" s="29">
        <v>6</v>
      </c>
      <c r="L224" s="29">
        <v>3</v>
      </c>
      <c r="S224" s="25" t="s">
        <v>331</v>
      </c>
      <c r="T224" s="25" t="s">
        <v>15</v>
      </c>
      <c r="U224" s="25" t="s">
        <v>498</v>
      </c>
    </row>
    <row r="225" spans="1:21" x14ac:dyDescent="0.4">
      <c r="A225">
        <v>1904</v>
      </c>
      <c r="B225" s="25" t="s">
        <v>10</v>
      </c>
      <c r="C225" s="25" t="s">
        <v>31</v>
      </c>
      <c r="D225" s="25" t="s">
        <v>15</v>
      </c>
      <c r="E225" s="25" t="s">
        <v>498</v>
      </c>
      <c r="H225" s="22" t="s">
        <v>44</v>
      </c>
      <c r="I225" s="22">
        <v>6</v>
      </c>
      <c r="J225" s="29">
        <v>1</v>
      </c>
      <c r="K225" s="29">
        <v>7</v>
      </c>
      <c r="L225" s="29">
        <v>5</v>
      </c>
      <c r="M225" s="29">
        <v>8</v>
      </c>
      <c r="N225" s="29">
        <v>6</v>
      </c>
      <c r="S225" s="25" t="s">
        <v>43</v>
      </c>
      <c r="T225" s="25" t="s">
        <v>15</v>
      </c>
      <c r="U225" s="25" t="s">
        <v>498</v>
      </c>
    </row>
    <row r="226" spans="1:21" x14ac:dyDescent="0.4">
      <c r="A226">
        <v>1903</v>
      </c>
      <c r="B226" s="25" t="s">
        <v>268</v>
      </c>
      <c r="C226" s="25" t="s">
        <v>894</v>
      </c>
      <c r="D226" s="25" t="s">
        <v>15</v>
      </c>
      <c r="E226" s="25" t="s">
        <v>498</v>
      </c>
      <c r="H226" s="22" t="s">
        <v>339</v>
      </c>
      <c r="I226" s="22">
        <v>4</v>
      </c>
      <c r="J226" s="29">
        <v>6</v>
      </c>
      <c r="K226" s="29">
        <v>6</v>
      </c>
      <c r="L226" s="29">
        <v>4</v>
      </c>
      <c r="M226" s="29">
        <v>6</v>
      </c>
      <c r="N226" s="29">
        <v>2</v>
      </c>
      <c r="S226" s="25" t="s">
        <v>340</v>
      </c>
      <c r="T226" s="25" t="s">
        <v>15</v>
      </c>
      <c r="U226" s="25" t="s">
        <v>498</v>
      </c>
    </row>
    <row r="227" spans="1:21" x14ac:dyDescent="0.4">
      <c r="A227">
        <v>1903</v>
      </c>
      <c r="B227" s="25" t="s">
        <v>10</v>
      </c>
      <c r="C227" s="25" t="s">
        <v>31</v>
      </c>
      <c r="D227" s="25" t="s">
        <v>15</v>
      </c>
      <c r="E227" s="25" t="s">
        <v>498</v>
      </c>
      <c r="H227" s="22" t="s">
        <v>46</v>
      </c>
      <c r="I227" s="22">
        <v>7</v>
      </c>
      <c r="J227" s="29">
        <v>5</v>
      </c>
      <c r="K227" s="29">
        <v>6</v>
      </c>
      <c r="L227" s="29">
        <v>3</v>
      </c>
      <c r="M227" s="29">
        <v>6</v>
      </c>
      <c r="N227" s="29">
        <v>0</v>
      </c>
      <c r="S227" s="25" t="s">
        <v>43</v>
      </c>
      <c r="T227" s="25" t="s">
        <v>15</v>
      </c>
      <c r="U227" s="25" t="s">
        <v>498</v>
      </c>
    </row>
    <row r="228" spans="1:21" x14ac:dyDescent="0.4">
      <c r="A228">
        <v>1902</v>
      </c>
      <c r="B228" s="25" t="s">
        <v>268</v>
      </c>
      <c r="C228" s="25" t="s">
        <v>350</v>
      </c>
      <c r="D228" s="25" t="s">
        <v>15</v>
      </c>
      <c r="E228" s="25" t="s">
        <v>498</v>
      </c>
      <c r="H228" s="22" t="s">
        <v>351</v>
      </c>
      <c r="I228" s="22">
        <v>7</v>
      </c>
      <c r="J228" s="29">
        <v>5</v>
      </c>
      <c r="K228" s="29">
        <v>6</v>
      </c>
      <c r="L228" s="29">
        <v>1</v>
      </c>
      <c r="S228" s="25" t="s">
        <v>331</v>
      </c>
      <c r="T228" s="25" t="s">
        <v>15</v>
      </c>
      <c r="U228" s="25" t="s">
        <v>498</v>
      </c>
    </row>
    <row r="229" spans="1:21" x14ac:dyDescent="0.4">
      <c r="A229">
        <v>1902</v>
      </c>
      <c r="B229" s="25" t="s">
        <v>10</v>
      </c>
      <c r="C229" s="25" t="s">
        <v>31</v>
      </c>
      <c r="D229" s="25" t="s">
        <v>15</v>
      </c>
      <c r="E229" s="25" t="s">
        <v>498</v>
      </c>
      <c r="G229" s="22">
        <v>84</v>
      </c>
      <c r="H229" s="22" t="s">
        <v>42</v>
      </c>
      <c r="I229" s="22">
        <v>6</v>
      </c>
      <c r="J229" s="29">
        <v>4</v>
      </c>
      <c r="K229" s="29">
        <v>6</v>
      </c>
      <c r="L229" s="29">
        <v>3</v>
      </c>
      <c r="M229" s="29">
        <v>3</v>
      </c>
      <c r="N229" s="29">
        <v>6</v>
      </c>
      <c r="O229" s="29">
        <v>6</v>
      </c>
      <c r="P229" s="29">
        <v>0</v>
      </c>
      <c r="S229" s="25" t="s">
        <v>18</v>
      </c>
      <c r="T229" s="25" t="s">
        <v>15</v>
      </c>
      <c r="U229" s="25" t="s">
        <v>498</v>
      </c>
    </row>
    <row r="230" spans="1:21" x14ac:dyDescent="0.4">
      <c r="A230">
        <v>1901</v>
      </c>
      <c r="B230" s="25" t="s">
        <v>268</v>
      </c>
      <c r="C230" s="25" t="s">
        <v>331</v>
      </c>
      <c r="D230" s="25" t="s">
        <v>15</v>
      </c>
      <c r="E230" s="25" t="s">
        <v>498</v>
      </c>
      <c r="H230" s="22" t="s">
        <v>304</v>
      </c>
      <c r="I230" s="22">
        <v>6</v>
      </c>
      <c r="J230" s="29">
        <v>2</v>
      </c>
      <c r="K230" s="29">
        <v>6</v>
      </c>
      <c r="L230" s="29">
        <v>2</v>
      </c>
      <c r="S230" s="25" t="s">
        <v>323</v>
      </c>
      <c r="T230" s="25" t="s">
        <v>15</v>
      </c>
      <c r="U230" s="25" t="s">
        <v>498</v>
      </c>
    </row>
    <row r="231" spans="1:21" x14ac:dyDescent="0.4">
      <c r="A231">
        <v>1901</v>
      </c>
      <c r="B231" s="25" t="s">
        <v>10</v>
      </c>
      <c r="C231" s="25" t="s">
        <v>18</v>
      </c>
      <c r="D231" s="25" t="s">
        <v>15</v>
      </c>
      <c r="E231" s="25" t="s">
        <v>498</v>
      </c>
      <c r="G231" s="22">
        <v>95</v>
      </c>
      <c r="H231" s="22" t="s">
        <v>38</v>
      </c>
      <c r="I231" s="22">
        <v>4</v>
      </c>
      <c r="J231" s="29">
        <v>6</v>
      </c>
      <c r="K231" s="29">
        <v>7</v>
      </c>
      <c r="L231" s="29">
        <v>5</v>
      </c>
      <c r="M231" s="29">
        <v>6</v>
      </c>
      <c r="N231" s="29">
        <v>4</v>
      </c>
      <c r="O231" s="29">
        <v>6</v>
      </c>
      <c r="P231" s="29">
        <v>4</v>
      </c>
      <c r="S231" s="25" t="s">
        <v>37</v>
      </c>
      <c r="T231" s="25" t="s">
        <v>15</v>
      </c>
      <c r="U231" s="25" t="s">
        <v>498</v>
      </c>
    </row>
    <row r="232" spans="1:21" x14ac:dyDescent="0.4">
      <c r="A232">
        <v>1900</v>
      </c>
      <c r="B232" s="25" t="s">
        <v>268</v>
      </c>
      <c r="C232" s="25" t="s">
        <v>323</v>
      </c>
      <c r="D232" s="25" t="s">
        <v>15</v>
      </c>
      <c r="E232" s="25" t="s">
        <v>498</v>
      </c>
      <c r="H232" s="22" t="s">
        <v>343</v>
      </c>
      <c r="I232" s="22">
        <v>4</v>
      </c>
      <c r="J232" s="29">
        <v>6</v>
      </c>
      <c r="K232" s="29">
        <v>6</v>
      </c>
      <c r="L232" s="29">
        <v>4</v>
      </c>
      <c r="M232" s="29">
        <v>6</v>
      </c>
      <c r="N232" s="29">
        <v>4</v>
      </c>
      <c r="S232" s="25" t="s">
        <v>331</v>
      </c>
      <c r="T232" s="25" t="s">
        <v>15</v>
      </c>
      <c r="U232" s="25" t="s">
        <v>498</v>
      </c>
    </row>
    <row r="233" spans="1:21" x14ac:dyDescent="0.4">
      <c r="A233">
        <v>1900</v>
      </c>
      <c r="B233" s="25" t="s">
        <v>10</v>
      </c>
      <c r="C233" s="25" t="s">
        <v>37</v>
      </c>
      <c r="D233" s="25" t="s">
        <v>15</v>
      </c>
      <c r="E233" s="25" t="s">
        <v>498</v>
      </c>
      <c r="H233" s="22" t="s">
        <v>65</v>
      </c>
      <c r="I233" s="22">
        <v>6</v>
      </c>
      <c r="J233" s="29">
        <v>8</v>
      </c>
      <c r="K233" s="29">
        <v>6</v>
      </c>
      <c r="L233" s="29">
        <v>3</v>
      </c>
      <c r="M233" s="29">
        <v>6</v>
      </c>
      <c r="N233" s="29">
        <v>1</v>
      </c>
      <c r="O233" s="29">
        <v>6</v>
      </c>
      <c r="P233" s="29">
        <v>2</v>
      </c>
      <c r="S233" s="25" t="s">
        <v>64</v>
      </c>
      <c r="T233" s="25" t="s">
        <v>15</v>
      </c>
      <c r="U233" s="25" t="s">
        <v>498</v>
      </c>
    </row>
    <row r="234" spans="1:21" x14ac:dyDescent="0.4">
      <c r="A234">
        <v>1899</v>
      </c>
      <c r="B234" s="25" t="s">
        <v>268</v>
      </c>
      <c r="C234" s="25" t="s">
        <v>323</v>
      </c>
      <c r="D234" s="25" t="s">
        <v>15</v>
      </c>
      <c r="E234" s="25" t="s">
        <v>498</v>
      </c>
      <c r="H234" s="22" t="s">
        <v>335</v>
      </c>
      <c r="I234" s="22">
        <v>6</v>
      </c>
      <c r="J234" s="29">
        <v>2</v>
      </c>
      <c r="K234" s="29">
        <v>6</v>
      </c>
      <c r="L234" s="29">
        <v>3</v>
      </c>
      <c r="S234" s="25" t="s">
        <v>331</v>
      </c>
      <c r="T234" s="25" t="s">
        <v>15</v>
      </c>
      <c r="U234" s="25" t="s">
        <v>498</v>
      </c>
    </row>
    <row r="235" spans="1:21" x14ac:dyDescent="0.4">
      <c r="A235">
        <v>1899</v>
      </c>
      <c r="B235" s="25" t="s">
        <v>10</v>
      </c>
      <c r="C235" s="25" t="s">
        <v>37</v>
      </c>
      <c r="D235" s="25" t="s">
        <v>15</v>
      </c>
      <c r="E235" s="25" t="s">
        <v>498</v>
      </c>
      <c r="H235" s="22" t="s">
        <v>61</v>
      </c>
      <c r="I235" s="22">
        <v>1</v>
      </c>
      <c r="J235" s="29">
        <v>6</v>
      </c>
      <c r="K235" s="29">
        <v>4</v>
      </c>
      <c r="L235" s="29">
        <v>6</v>
      </c>
      <c r="M235" s="29">
        <v>6</v>
      </c>
      <c r="N235" s="29">
        <v>3</v>
      </c>
      <c r="O235" s="29">
        <v>6</v>
      </c>
      <c r="P235" s="29">
        <v>3</v>
      </c>
      <c r="Q235" s="22">
        <v>6</v>
      </c>
      <c r="R235" s="29">
        <v>3</v>
      </c>
      <c r="S235" s="25" t="s">
        <v>18</v>
      </c>
      <c r="T235" s="25" t="s">
        <v>15</v>
      </c>
      <c r="U235" s="25" t="s">
        <v>498</v>
      </c>
    </row>
    <row r="236" spans="1:21" x14ac:dyDescent="0.4">
      <c r="A236">
        <v>1898</v>
      </c>
      <c r="B236" s="25" t="s">
        <v>268</v>
      </c>
      <c r="C236" s="25" t="s">
        <v>331</v>
      </c>
      <c r="D236" s="25" t="s">
        <v>15</v>
      </c>
      <c r="E236" s="25" t="s">
        <v>498</v>
      </c>
      <c r="H236" s="22" t="s">
        <v>321</v>
      </c>
      <c r="I236" s="22">
        <v>6</v>
      </c>
      <c r="J236" s="29">
        <v>4</v>
      </c>
      <c r="K236" s="29">
        <v>6</v>
      </c>
      <c r="L236" s="29">
        <v>4</v>
      </c>
      <c r="S236" s="25" t="s">
        <v>334</v>
      </c>
      <c r="T236" s="25" t="s">
        <v>15</v>
      </c>
      <c r="U236" s="25" t="s">
        <v>498</v>
      </c>
    </row>
    <row r="237" spans="1:21" x14ac:dyDescent="0.4">
      <c r="A237">
        <v>1898</v>
      </c>
      <c r="B237" s="25" t="s">
        <v>10</v>
      </c>
      <c r="C237" s="25" t="s">
        <v>37</v>
      </c>
      <c r="D237" s="25" t="s">
        <v>15</v>
      </c>
      <c r="E237" s="25" t="s">
        <v>498</v>
      </c>
      <c r="G237" s="22">
        <v>55</v>
      </c>
      <c r="H237" s="22" t="s">
        <v>62</v>
      </c>
      <c r="I237" s="22">
        <v>6</v>
      </c>
      <c r="J237" s="29">
        <v>3</v>
      </c>
      <c r="K237" s="29">
        <v>6</v>
      </c>
      <c r="L237" s="29">
        <v>3</v>
      </c>
      <c r="M237" s="29">
        <v>2</v>
      </c>
      <c r="N237" s="29">
        <v>6</v>
      </c>
      <c r="O237" s="29">
        <v>5</v>
      </c>
      <c r="P237" s="29">
        <v>7</v>
      </c>
      <c r="Q237" s="22">
        <v>6</v>
      </c>
      <c r="R237" s="29">
        <v>1</v>
      </c>
      <c r="S237" s="25" t="s">
        <v>31</v>
      </c>
      <c r="T237" s="25" t="s">
        <v>15</v>
      </c>
      <c r="U237" s="25" t="s">
        <v>498</v>
      </c>
    </row>
    <row r="238" spans="1:21" x14ac:dyDescent="0.4">
      <c r="A238">
        <v>1897</v>
      </c>
      <c r="B238" s="25" t="s">
        <v>268</v>
      </c>
      <c r="C238" s="25" t="s">
        <v>323</v>
      </c>
      <c r="D238" s="25" t="s">
        <v>15</v>
      </c>
      <c r="E238" s="25" t="s">
        <v>498</v>
      </c>
      <c r="H238" s="22" t="s">
        <v>344</v>
      </c>
      <c r="I238" s="22">
        <v>5</v>
      </c>
      <c r="J238" s="29">
        <v>7</v>
      </c>
      <c r="K238" s="29">
        <v>7</v>
      </c>
      <c r="L238" s="29">
        <v>5</v>
      </c>
      <c r="M238" s="29">
        <v>6</v>
      </c>
      <c r="N238" s="29">
        <v>2</v>
      </c>
      <c r="S238" s="25" t="s">
        <v>331</v>
      </c>
      <c r="T238" s="25" t="s">
        <v>15</v>
      </c>
      <c r="U238" s="25" t="s">
        <v>498</v>
      </c>
    </row>
    <row r="239" spans="1:21" x14ac:dyDescent="0.4">
      <c r="A239">
        <v>1897</v>
      </c>
      <c r="B239" s="25" t="s">
        <v>10</v>
      </c>
      <c r="C239" s="25" t="s">
        <v>37</v>
      </c>
      <c r="D239" s="25" t="s">
        <v>15</v>
      </c>
      <c r="E239" s="25" t="s">
        <v>498</v>
      </c>
      <c r="G239" s="22">
        <v>67</v>
      </c>
      <c r="H239" s="22" t="s">
        <v>63</v>
      </c>
      <c r="I239" s="22">
        <v>6</v>
      </c>
      <c r="J239" s="29">
        <v>4</v>
      </c>
      <c r="K239" s="29">
        <v>6</v>
      </c>
      <c r="L239" s="29">
        <v>4</v>
      </c>
      <c r="M239" s="29">
        <v>6</v>
      </c>
      <c r="N239" s="29">
        <v>3</v>
      </c>
      <c r="S239" s="25" t="s">
        <v>47</v>
      </c>
      <c r="T239" s="25" t="s">
        <v>15</v>
      </c>
      <c r="U239" s="25" t="s">
        <v>498</v>
      </c>
    </row>
    <row r="240" spans="1:21" x14ac:dyDescent="0.4">
      <c r="A240">
        <v>1896</v>
      </c>
      <c r="B240" s="25" t="s">
        <v>268</v>
      </c>
      <c r="C240" s="25" t="s">
        <v>331</v>
      </c>
      <c r="D240" s="25" t="s">
        <v>15</v>
      </c>
      <c r="E240" s="25" t="s">
        <v>498</v>
      </c>
      <c r="H240" s="22" t="s">
        <v>335</v>
      </c>
      <c r="I240" s="22">
        <v>6</v>
      </c>
      <c r="J240" s="29">
        <v>2</v>
      </c>
      <c r="K240" s="29">
        <v>6</v>
      </c>
      <c r="L240" s="29">
        <v>3</v>
      </c>
      <c r="S240" s="25" t="s">
        <v>336</v>
      </c>
      <c r="T240" s="25" t="s">
        <v>15</v>
      </c>
      <c r="U240" s="25" t="s">
        <v>498</v>
      </c>
    </row>
    <row r="241" spans="1:21" x14ac:dyDescent="0.4">
      <c r="A241">
        <v>1896</v>
      </c>
      <c r="B241" s="25" t="s">
        <v>10</v>
      </c>
      <c r="C241" s="25" t="s">
        <v>47</v>
      </c>
      <c r="D241" s="25" t="s">
        <v>15</v>
      </c>
      <c r="E241" s="25" t="s">
        <v>498</v>
      </c>
      <c r="G241" s="22">
        <v>120</v>
      </c>
      <c r="H241" s="22" t="s">
        <v>49</v>
      </c>
      <c r="I241" s="22">
        <v>6</v>
      </c>
      <c r="J241" s="29">
        <v>2</v>
      </c>
      <c r="K241" s="29">
        <v>6</v>
      </c>
      <c r="L241" s="29">
        <v>8</v>
      </c>
      <c r="M241" s="29">
        <v>5</v>
      </c>
      <c r="N241" s="29">
        <v>7</v>
      </c>
      <c r="O241" s="29">
        <v>8</v>
      </c>
      <c r="P241" s="29">
        <v>6</v>
      </c>
      <c r="Q241" s="22">
        <v>6</v>
      </c>
      <c r="R241" s="29">
        <v>3</v>
      </c>
      <c r="S241" s="25" t="s">
        <v>48</v>
      </c>
      <c r="T241" s="25" t="s">
        <v>15</v>
      </c>
      <c r="U241" s="25" t="s">
        <v>498</v>
      </c>
    </row>
    <row r="242" spans="1:21" x14ac:dyDescent="0.4">
      <c r="A242">
        <v>1895</v>
      </c>
      <c r="B242" s="25" t="s">
        <v>268</v>
      </c>
      <c r="C242" s="25" t="s">
        <v>331</v>
      </c>
      <c r="D242" s="25" t="s">
        <v>15</v>
      </c>
      <c r="E242" s="25" t="s">
        <v>498</v>
      </c>
      <c r="H242" s="22" t="s">
        <v>332</v>
      </c>
      <c r="I242" s="22">
        <v>7</v>
      </c>
      <c r="J242" s="29">
        <v>5</v>
      </c>
      <c r="K242" s="29">
        <v>8</v>
      </c>
      <c r="L242" s="29">
        <v>6</v>
      </c>
      <c r="S242" s="25" t="s">
        <v>333</v>
      </c>
      <c r="T242" s="25" t="s">
        <v>15</v>
      </c>
      <c r="U242" s="25" t="s">
        <v>498</v>
      </c>
    </row>
    <row r="243" spans="1:21" x14ac:dyDescent="0.4">
      <c r="A243">
        <v>1895</v>
      </c>
      <c r="B243" s="25" t="s">
        <v>10</v>
      </c>
      <c r="C243" s="25" t="s">
        <v>48</v>
      </c>
      <c r="D243" s="25" t="s">
        <v>15</v>
      </c>
      <c r="E243" s="25" t="s">
        <v>498</v>
      </c>
      <c r="G243" s="22">
        <v>95</v>
      </c>
      <c r="H243" s="22" t="s">
        <v>72</v>
      </c>
      <c r="I243" s="22">
        <v>4</v>
      </c>
      <c r="J243" s="29">
        <v>6</v>
      </c>
      <c r="K243" s="29">
        <v>2</v>
      </c>
      <c r="L243" s="29">
        <v>6</v>
      </c>
      <c r="M243" s="29">
        <v>8</v>
      </c>
      <c r="N243" s="29">
        <v>6</v>
      </c>
      <c r="O243" s="29">
        <v>6</v>
      </c>
      <c r="P243" s="29">
        <v>2</v>
      </c>
      <c r="Q243" s="22">
        <v>6</v>
      </c>
      <c r="R243" s="29">
        <v>3</v>
      </c>
      <c r="S243" s="25" t="s">
        <v>71</v>
      </c>
      <c r="T243" s="25" t="s">
        <v>15</v>
      </c>
      <c r="U243" s="25" t="s">
        <v>498</v>
      </c>
    </row>
    <row r="244" spans="1:21" x14ac:dyDescent="0.4">
      <c r="A244">
        <v>1894</v>
      </c>
      <c r="B244" s="25" t="s">
        <v>268</v>
      </c>
      <c r="C244" s="25" t="s">
        <v>323</v>
      </c>
      <c r="D244" s="25" t="s">
        <v>15</v>
      </c>
      <c r="E244" s="25" t="s">
        <v>498</v>
      </c>
      <c r="H244" s="22" t="s">
        <v>328</v>
      </c>
      <c r="I244" s="22">
        <v>6</v>
      </c>
      <c r="J244" s="29">
        <v>1</v>
      </c>
      <c r="K244" s="29">
        <v>6</v>
      </c>
      <c r="L244" s="29">
        <v>1</v>
      </c>
      <c r="S244" s="25" t="s">
        <v>345</v>
      </c>
      <c r="T244" s="25" t="s">
        <v>15</v>
      </c>
      <c r="U244" s="25" t="s">
        <v>498</v>
      </c>
    </row>
    <row r="245" spans="1:21" x14ac:dyDescent="0.4">
      <c r="A245">
        <v>1894</v>
      </c>
      <c r="B245" s="25" t="s">
        <v>10</v>
      </c>
      <c r="C245" s="25" t="s">
        <v>50</v>
      </c>
      <c r="D245" s="25" t="s">
        <v>15</v>
      </c>
      <c r="E245" s="25" t="s">
        <v>498</v>
      </c>
      <c r="G245" s="22">
        <v>117</v>
      </c>
      <c r="H245" s="22" t="s">
        <v>51</v>
      </c>
      <c r="I245" s="22">
        <v>10</v>
      </c>
      <c r="J245" s="29">
        <v>8</v>
      </c>
      <c r="K245" s="29">
        <v>6</v>
      </c>
      <c r="L245" s="29">
        <v>2</v>
      </c>
      <c r="M245" s="29">
        <v>8</v>
      </c>
      <c r="N245" s="29">
        <v>6</v>
      </c>
      <c r="S245" s="25" t="s">
        <v>48</v>
      </c>
      <c r="T245" s="25" t="s">
        <v>15</v>
      </c>
      <c r="U245" s="25" t="s">
        <v>498</v>
      </c>
    </row>
    <row r="246" spans="1:21" x14ac:dyDescent="0.4">
      <c r="A246">
        <v>1893</v>
      </c>
      <c r="B246" s="25" t="s">
        <v>268</v>
      </c>
      <c r="C246" s="25" t="s">
        <v>327</v>
      </c>
      <c r="D246" s="25" t="s">
        <v>15</v>
      </c>
      <c r="E246" s="25" t="s">
        <v>498</v>
      </c>
      <c r="H246" s="22" t="s">
        <v>330</v>
      </c>
      <c r="I246" s="22">
        <v>6</v>
      </c>
      <c r="J246" s="29">
        <v>8</v>
      </c>
      <c r="K246" s="29">
        <v>6</v>
      </c>
      <c r="L246" s="29">
        <v>1</v>
      </c>
      <c r="M246" s="29">
        <v>6</v>
      </c>
      <c r="N246" s="29">
        <v>4</v>
      </c>
      <c r="S246" s="25" t="s">
        <v>323</v>
      </c>
      <c r="T246" s="25" t="s">
        <v>15</v>
      </c>
      <c r="U246" s="25" t="s">
        <v>498</v>
      </c>
    </row>
    <row r="247" spans="1:21" x14ac:dyDescent="0.4">
      <c r="A247">
        <v>1893</v>
      </c>
      <c r="B247" s="25" t="s">
        <v>10</v>
      </c>
      <c r="C247" s="25" t="s">
        <v>50</v>
      </c>
      <c r="D247" s="25" t="s">
        <v>15</v>
      </c>
      <c r="E247" s="25" t="s">
        <v>498</v>
      </c>
      <c r="G247" s="22">
        <v>65</v>
      </c>
      <c r="H247" s="22" t="s">
        <v>52</v>
      </c>
      <c r="I247" s="22">
        <v>3</v>
      </c>
      <c r="J247" s="29">
        <v>6</v>
      </c>
      <c r="K247" s="29">
        <v>6</v>
      </c>
      <c r="L247" s="29">
        <v>1</v>
      </c>
      <c r="M247" s="29">
        <v>6</v>
      </c>
      <c r="N247" s="29">
        <v>3</v>
      </c>
      <c r="O247" s="29">
        <v>6</v>
      </c>
      <c r="P247" s="29">
        <v>2</v>
      </c>
      <c r="S247" s="25" t="s">
        <v>48</v>
      </c>
      <c r="T247" s="25" t="s">
        <v>15</v>
      </c>
      <c r="U247" s="25" t="s">
        <v>498</v>
      </c>
    </row>
    <row r="248" spans="1:21" x14ac:dyDescent="0.4">
      <c r="A248">
        <v>1892</v>
      </c>
      <c r="B248" s="25" t="s">
        <v>268</v>
      </c>
      <c r="C248" s="25" t="s">
        <v>327</v>
      </c>
      <c r="D248" s="25" t="s">
        <v>15</v>
      </c>
      <c r="E248" s="25" t="s">
        <v>498</v>
      </c>
      <c r="H248" s="22" t="s">
        <v>328</v>
      </c>
      <c r="I248" s="22">
        <v>6</v>
      </c>
      <c r="J248" s="29">
        <v>1</v>
      </c>
      <c r="K248" s="29">
        <v>6</v>
      </c>
      <c r="L248" s="29">
        <v>1</v>
      </c>
      <c r="S248" s="25" t="s">
        <v>323</v>
      </c>
      <c r="T248" s="25" t="s">
        <v>15</v>
      </c>
      <c r="U248" s="25" t="s">
        <v>498</v>
      </c>
    </row>
    <row r="249" spans="1:21" x14ac:dyDescent="0.4">
      <c r="A249">
        <v>1892</v>
      </c>
      <c r="B249" s="25" t="s">
        <v>10</v>
      </c>
      <c r="C249" s="25" t="s">
        <v>48</v>
      </c>
      <c r="D249" s="25" t="s">
        <v>15</v>
      </c>
      <c r="E249" s="25" t="s">
        <v>498</v>
      </c>
      <c r="G249" s="22">
        <v>75</v>
      </c>
      <c r="H249" s="22" t="s">
        <v>68</v>
      </c>
      <c r="I249" s="22">
        <v>4</v>
      </c>
      <c r="J249" s="29">
        <v>6</v>
      </c>
      <c r="K249" s="29">
        <v>6</v>
      </c>
      <c r="L249" s="29">
        <v>3</v>
      </c>
      <c r="M249" s="29">
        <v>6</v>
      </c>
      <c r="N249" s="29">
        <v>3</v>
      </c>
      <c r="O249" s="29">
        <v>6</v>
      </c>
      <c r="P249" s="29">
        <v>2</v>
      </c>
      <c r="S249" s="25" t="s">
        <v>50</v>
      </c>
      <c r="T249" s="25" t="s">
        <v>15</v>
      </c>
      <c r="U249" s="25" t="s">
        <v>498</v>
      </c>
    </row>
    <row r="250" spans="1:21" x14ac:dyDescent="0.4">
      <c r="A250">
        <v>1891</v>
      </c>
      <c r="B250" s="25" t="s">
        <v>268</v>
      </c>
      <c r="C250" s="25" t="s">
        <v>327</v>
      </c>
      <c r="D250" s="25" t="s">
        <v>15</v>
      </c>
      <c r="E250" s="25" t="s">
        <v>498</v>
      </c>
      <c r="H250" s="22" t="s">
        <v>329</v>
      </c>
      <c r="I250" s="22">
        <v>6</v>
      </c>
      <c r="J250" s="29">
        <v>2</v>
      </c>
      <c r="K250" s="29">
        <v>6</v>
      </c>
      <c r="L250" s="29">
        <v>1</v>
      </c>
      <c r="S250" s="25" t="s">
        <v>323</v>
      </c>
      <c r="T250" s="25" t="s">
        <v>15</v>
      </c>
      <c r="U250" s="25" t="s">
        <v>498</v>
      </c>
    </row>
    <row r="251" spans="1:21" x14ac:dyDescent="0.4">
      <c r="A251">
        <v>1891</v>
      </c>
      <c r="B251" s="25" t="s">
        <v>10</v>
      </c>
      <c r="C251" s="25" t="s">
        <v>48</v>
      </c>
      <c r="D251" s="25" t="s">
        <v>15</v>
      </c>
      <c r="E251" s="25" t="s">
        <v>498</v>
      </c>
      <c r="H251" s="22" t="s">
        <v>70</v>
      </c>
      <c r="I251" s="22">
        <v>6</v>
      </c>
      <c r="J251" s="29">
        <v>4</v>
      </c>
      <c r="K251" s="29">
        <v>1</v>
      </c>
      <c r="L251" s="29">
        <v>6</v>
      </c>
      <c r="M251" s="29">
        <v>7</v>
      </c>
      <c r="N251" s="29">
        <v>5</v>
      </c>
      <c r="O251" s="29">
        <v>6</v>
      </c>
      <c r="P251" s="29">
        <v>0</v>
      </c>
      <c r="S251" s="25" t="s">
        <v>50</v>
      </c>
      <c r="T251" s="25" t="s">
        <v>15</v>
      </c>
      <c r="U251" s="25" t="s">
        <v>498</v>
      </c>
    </row>
    <row r="252" spans="1:21" x14ac:dyDescent="0.4">
      <c r="A252">
        <v>1890</v>
      </c>
      <c r="B252" s="25" t="s">
        <v>268</v>
      </c>
      <c r="C252" s="25" t="s">
        <v>347</v>
      </c>
      <c r="D252" s="25" t="s">
        <v>15</v>
      </c>
      <c r="E252" s="25" t="s">
        <v>498</v>
      </c>
      <c r="H252" s="22" t="s">
        <v>348</v>
      </c>
      <c r="I252" s="22">
        <v>6</v>
      </c>
      <c r="J252" s="29">
        <v>4</v>
      </c>
      <c r="K252" s="29">
        <v>6</v>
      </c>
      <c r="L252" s="29">
        <v>1</v>
      </c>
      <c r="S252" s="25" t="s">
        <v>349</v>
      </c>
      <c r="T252" s="25" t="s">
        <v>15</v>
      </c>
      <c r="U252" s="25" t="s">
        <v>498</v>
      </c>
    </row>
    <row r="253" spans="1:21" x14ac:dyDescent="0.4">
      <c r="A253">
        <v>1890</v>
      </c>
      <c r="B253" s="25" t="s">
        <v>10</v>
      </c>
      <c r="C253" s="25" t="s">
        <v>81</v>
      </c>
      <c r="D253" s="25" t="s">
        <v>15</v>
      </c>
      <c r="E253" s="25" t="s">
        <v>498</v>
      </c>
      <c r="G253" s="22">
        <v>96</v>
      </c>
      <c r="H253" s="22" t="s">
        <v>82</v>
      </c>
      <c r="I253" s="22">
        <v>6</v>
      </c>
      <c r="J253" s="29">
        <v>8</v>
      </c>
      <c r="K253" s="29">
        <v>6</v>
      </c>
      <c r="L253" s="29">
        <v>2</v>
      </c>
      <c r="M253" s="29">
        <v>3</v>
      </c>
      <c r="N253" s="29">
        <v>6</v>
      </c>
      <c r="O253" s="29">
        <v>6</v>
      </c>
      <c r="P253" s="29">
        <v>1</v>
      </c>
      <c r="Q253" s="22">
        <v>6</v>
      </c>
      <c r="R253" s="29">
        <v>1</v>
      </c>
      <c r="S253" s="25" t="s">
        <v>73</v>
      </c>
      <c r="T253" s="25" t="s">
        <v>15</v>
      </c>
      <c r="U253" s="25" t="s">
        <v>498</v>
      </c>
    </row>
    <row r="254" spans="1:21" x14ac:dyDescent="0.4">
      <c r="A254">
        <v>1889</v>
      </c>
      <c r="B254" s="25" t="s">
        <v>268</v>
      </c>
      <c r="C254" s="25" t="s">
        <v>323</v>
      </c>
      <c r="D254" s="25" t="s">
        <v>15</v>
      </c>
      <c r="E254" s="25" t="s">
        <v>498</v>
      </c>
      <c r="H254" s="22" t="s">
        <v>346</v>
      </c>
      <c r="I254" s="22">
        <v>4</v>
      </c>
      <c r="J254" s="29">
        <v>6</v>
      </c>
      <c r="K254" s="29">
        <v>8</v>
      </c>
      <c r="L254" s="29">
        <v>6</v>
      </c>
      <c r="M254" s="29">
        <v>6</v>
      </c>
      <c r="N254" s="29">
        <v>4</v>
      </c>
      <c r="S254" s="25" t="s">
        <v>347</v>
      </c>
      <c r="T254" s="25" t="s">
        <v>15</v>
      </c>
      <c r="U254" s="25" t="s">
        <v>498</v>
      </c>
    </row>
    <row r="255" spans="1:21" x14ac:dyDescent="0.4">
      <c r="A255">
        <v>1889</v>
      </c>
      <c r="B255" s="25" t="s">
        <v>10</v>
      </c>
      <c r="C255" s="25" t="s">
        <v>73</v>
      </c>
      <c r="D255" s="25" t="s">
        <v>15</v>
      </c>
      <c r="E255" s="25" t="s">
        <v>498</v>
      </c>
      <c r="G255" s="22">
        <v>63</v>
      </c>
      <c r="H255" s="22" t="s">
        <v>79</v>
      </c>
      <c r="I255" s="22">
        <v>6</v>
      </c>
      <c r="J255" s="29">
        <v>4</v>
      </c>
      <c r="K255" s="29">
        <v>6</v>
      </c>
      <c r="L255" s="29">
        <v>1</v>
      </c>
      <c r="M255" s="29">
        <v>3</v>
      </c>
      <c r="N255" s="29">
        <v>6</v>
      </c>
      <c r="O255" s="29">
        <v>6</v>
      </c>
      <c r="P255" s="29">
        <v>0</v>
      </c>
      <c r="S255" s="25" t="s">
        <v>40</v>
      </c>
      <c r="T255" s="25" t="s">
        <v>15</v>
      </c>
      <c r="U255" s="25" t="s">
        <v>498</v>
      </c>
    </row>
    <row r="256" spans="1:21" x14ac:dyDescent="0.4">
      <c r="A256">
        <v>1888</v>
      </c>
      <c r="B256" s="25" t="s">
        <v>268</v>
      </c>
      <c r="C256" s="25" t="s">
        <v>327</v>
      </c>
      <c r="D256" s="25" t="s">
        <v>15</v>
      </c>
      <c r="E256" s="25" t="s">
        <v>498</v>
      </c>
      <c r="H256" s="22" t="s">
        <v>325</v>
      </c>
      <c r="I256" s="22">
        <v>6</v>
      </c>
      <c r="J256" s="29">
        <v>3</v>
      </c>
      <c r="K256" s="29">
        <v>6</v>
      </c>
      <c r="L256" s="29">
        <v>3</v>
      </c>
      <c r="S256" s="25" t="s">
        <v>323</v>
      </c>
      <c r="T256" s="25" t="s">
        <v>15</v>
      </c>
      <c r="U256" s="25" t="s">
        <v>498</v>
      </c>
    </row>
    <row r="257" spans="1:21" x14ac:dyDescent="0.4">
      <c r="A257">
        <v>1888</v>
      </c>
      <c r="B257" s="25" t="s">
        <v>10</v>
      </c>
      <c r="C257" s="25" t="s">
        <v>40</v>
      </c>
      <c r="D257" s="25" t="s">
        <v>15</v>
      </c>
      <c r="E257" s="25" t="s">
        <v>498</v>
      </c>
      <c r="G257" s="22">
        <v>51</v>
      </c>
      <c r="H257" s="22" t="s">
        <v>53</v>
      </c>
      <c r="I257" s="22">
        <v>6</v>
      </c>
      <c r="J257" s="29">
        <v>3</v>
      </c>
      <c r="K257" s="29">
        <v>7</v>
      </c>
      <c r="L257" s="29">
        <v>5</v>
      </c>
      <c r="M257" s="29">
        <v>6</v>
      </c>
      <c r="N257" s="29">
        <v>0</v>
      </c>
      <c r="S257" s="25" t="s">
        <v>39</v>
      </c>
      <c r="T257" s="25" t="s">
        <v>15</v>
      </c>
      <c r="U257" s="25" t="s">
        <v>498</v>
      </c>
    </row>
    <row r="258" spans="1:21" x14ac:dyDescent="0.4">
      <c r="A258">
        <v>1887</v>
      </c>
      <c r="B258" s="25" t="s">
        <v>268</v>
      </c>
      <c r="C258" s="25" t="s">
        <v>327</v>
      </c>
      <c r="D258" s="25" t="s">
        <v>15</v>
      </c>
      <c r="E258" s="25" t="s">
        <v>498</v>
      </c>
      <c r="H258" s="22" t="s">
        <v>302</v>
      </c>
      <c r="I258" s="22">
        <v>6</v>
      </c>
      <c r="J258" s="29">
        <v>2</v>
      </c>
      <c r="K258" s="29">
        <v>6</v>
      </c>
      <c r="L258" s="29">
        <v>0</v>
      </c>
      <c r="S258" s="25" t="s">
        <v>323</v>
      </c>
      <c r="T258" s="25" t="s">
        <v>15</v>
      </c>
      <c r="U258" s="25" t="s">
        <v>498</v>
      </c>
    </row>
    <row r="259" spans="1:21" x14ac:dyDescent="0.4">
      <c r="A259">
        <v>1887</v>
      </c>
      <c r="B259" s="25" t="s">
        <v>10</v>
      </c>
      <c r="C259" s="25" t="s">
        <v>39</v>
      </c>
      <c r="D259" s="25" t="s">
        <v>15</v>
      </c>
      <c r="E259" s="25" t="s">
        <v>498</v>
      </c>
      <c r="G259" s="22">
        <v>120</v>
      </c>
      <c r="H259" s="22" t="s">
        <v>41</v>
      </c>
      <c r="I259" s="22">
        <v>1</v>
      </c>
      <c r="J259" s="29">
        <v>6</v>
      </c>
      <c r="K259" s="29">
        <v>6</v>
      </c>
      <c r="L259" s="29">
        <v>3</v>
      </c>
      <c r="M259" s="29">
        <v>3</v>
      </c>
      <c r="N259" s="29">
        <v>6</v>
      </c>
      <c r="O259" s="29">
        <v>6</v>
      </c>
      <c r="P259" s="29">
        <v>4</v>
      </c>
      <c r="Q259" s="22">
        <v>6</v>
      </c>
      <c r="R259" s="29">
        <v>4</v>
      </c>
      <c r="S259" s="25" t="s">
        <v>40</v>
      </c>
      <c r="T259" s="25" t="s">
        <v>15</v>
      </c>
      <c r="U259" s="25" t="s">
        <v>498</v>
      </c>
    </row>
    <row r="260" spans="1:21" x14ac:dyDescent="0.4">
      <c r="A260">
        <v>1886</v>
      </c>
      <c r="B260" s="25" t="s">
        <v>268</v>
      </c>
      <c r="C260" s="25" t="s">
        <v>323</v>
      </c>
      <c r="D260" s="25" t="s">
        <v>15</v>
      </c>
      <c r="E260" s="25" t="s">
        <v>498</v>
      </c>
      <c r="H260" s="22" t="s">
        <v>325</v>
      </c>
      <c r="I260" s="22">
        <v>6</v>
      </c>
      <c r="J260" s="29">
        <v>3</v>
      </c>
      <c r="K260" s="29">
        <v>6</v>
      </c>
      <c r="L260" s="29">
        <v>3</v>
      </c>
      <c r="S260" s="25" t="s">
        <v>352</v>
      </c>
      <c r="T260" s="25" t="s">
        <v>15</v>
      </c>
      <c r="U260" s="25" t="s">
        <v>498</v>
      </c>
    </row>
    <row r="261" spans="1:21" x14ac:dyDescent="0.4">
      <c r="A261">
        <v>1886</v>
      </c>
      <c r="B261" s="25" t="s">
        <v>10</v>
      </c>
      <c r="C261" s="25" t="s">
        <v>73</v>
      </c>
      <c r="D261" s="25" t="s">
        <v>15</v>
      </c>
      <c r="E261" s="25" t="s">
        <v>498</v>
      </c>
      <c r="G261" s="22">
        <v>96</v>
      </c>
      <c r="H261" s="22" t="s">
        <v>74</v>
      </c>
      <c r="I261" s="22">
        <v>6</v>
      </c>
      <c r="J261" s="29">
        <v>0</v>
      </c>
      <c r="K261" s="29">
        <v>5</v>
      </c>
      <c r="L261" s="29">
        <v>7</v>
      </c>
      <c r="M261" s="29">
        <v>6</v>
      </c>
      <c r="N261" s="29">
        <v>3</v>
      </c>
      <c r="O261" s="29">
        <v>6</v>
      </c>
      <c r="P261" s="29">
        <v>4</v>
      </c>
      <c r="S261" s="25" t="s">
        <v>39</v>
      </c>
      <c r="T261" s="25" t="s">
        <v>15</v>
      </c>
      <c r="U261" s="25" t="s">
        <v>498</v>
      </c>
    </row>
    <row r="262" spans="1:21" x14ac:dyDescent="0.4">
      <c r="A262">
        <v>1885</v>
      </c>
      <c r="B262" s="25" t="s">
        <v>268</v>
      </c>
      <c r="C262" s="25" t="s">
        <v>352</v>
      </c>
      <c r="D262" s="25" t="s">
        <v>15</v>
      </c>
      <c r="E262" s="25" t="s">
        <v>498</v>
      </c>
      <c r="H262" s="22" t="s">
        <v>353</v>
      </c>
      <c r="I262" s="22">
        <v>6</v>
      </c>
      <c r="J262" s="29">
        <v>1</v>
      </c>
      <c r="K262" s="29">
        <v>7</v>
      </c>
      <c r="L262" s="29">
        <v>5</v>
      </c>
      <c r="S262" s="25" t="s">
        <v>323</v>
      </c>
      <c r="T262" s="25" t="s">
        <v>15</v>
      </c>
      <c r="U262" s="25" t="s">
        <v>498</v>
      </c>
    </row>
    <row r="263" spans="1:21" x14ac:dyDescent="0.4">
      <c r="A263">
        <v>1885</v>
      </c>
      <c r="B263" s="25" t="s">
        <v>10</v>
      </c>
      <c r="C263" s="25" t="s">
        <v>73</v>
      </c>
      <c r="D263" s="25" t="s">
        <v>15</v>
      </c>
      <c r="E263" s="25" t="s">
        <v>498</v>
      </c>
      <c r="G263" s="22">
        <v>122</v>
      </c>
      <c r="H263" s="22" t="s">
        <v>76</v>
      </c>
      <c r="I263" s="22">
        <v>7</v>
      </c>
      <c r="J263" s="29">
        <v>5</v>
      </c>
      <c r="K263" s="29">
        <v>6</v>
      </c>
      <c r="L263" s="29">
        <v>2</v>
      </c>
      <c r="M263" s="29">
        <v>4</v>
      </c>
      <c r="N263" s="29">
        <v>6</v>
      </c>
      <c r="O263" s="29">
        <v>7</v>
      </c>
      <c r="P263" s="29">
        <v>5</v>
      </c>
      <c r="S263" s="25" t="s">
        <v>39</v>
      </c>
      <c r="T263" s="25" t="s">
        <v>15</v>
      </c>
      <c r="U263" s="25" t="s">
        <v>498</v>
      </c>
    </row>
    <row r="264" spans="1:21" x14ac:dyDescent="0.4">
      <c r="A264">
        <v>1884</v>
      </c>
      <c r="B264" s="25" t="s">
        <v>268</v>
      </c>
      <c r="C264" s="25" t="s">
        <v>352</v>
      </c>
      <c r="D264" s="25" t="s">
        <v>15</v>
      </c>
      <c r="E264" s="25" t="s">
        <v>498</v>
      </c>
      <c r="H264" s="22" t="s">
        <v>355</v>
      </c>
      <c r="I264" s="22">
        <v>6</v>
      </c>
      <c r="J264" s="29">
        <v>8</v>
      </c>
      <c r="K264" s="29">
        <v>6</v>
      </c>
      <c r="L264" s="29">
        <v>3</v>
      </c>
      <c r="M264" s="29">
        <v>6</v>
      </c>
      <c r="N264" s="29">
        <v>3</v>
      </c>
      <c r="S264" s="25" t="s">
        <v>356</v>
      </c>
      <c r="T264" s="25" t="s">
        <v>15</v>
      </c>
      <c r="U264" s="25" t="s">
        <v>498</v>
      </c>
    </row>
    <row r="265" spans="1:21" x14ac:dyDescent="0.4">
      <c r="A265">
        <v>1884</v>
      </c>
      <c r="B265" s="25" t="s">
        <v>10</v>
      </c>
      <c r="C265" s="25" t="s">
        <v>73</v>
      </c>
      <c r="D265" s="25" t="s">
        <v>15</v>
      </c>
      <c r="E265" s="25" t="s">
        <v>498</v>
      </c>
      <c r="G265" s="22">
        <v>69</v>
      </c>
      <c r="H265" s="22" t="s">
        <v>75</v>
      </c>
      <c r="I265" s="22">
        <v>6</v>
      </c>
      <c r="J265" s="29">
        <v>0</v>
      </c>
      <c r="K265" s="29">
        <v>6</v>
      </c>
      <c r="L265" s="29">
        <v>4</v>
      </c>
      <c r="M265" s="29">
        <v>9</v>
      </c>
      <c r="N265" s="29">
        <v>7</v>
      </c>
      <c r="S265" s="25" t="s">
        <v>39</v>
      </c>
      <c r="T265" s="25" t="s">
        <v>15</v>
      </c>
      <c r="U265" s="25" t="s">
        <v>498</v>
      </c>
    </row>
    <row r="266" spans="1:21" x14ac:dyDescent="0.4">
      <c r="A266">
        <v>1883</v>
      </c>
      <c r="B266" s="25" t="s">
        <v>10</v>
      </c>
      <c r="C266" s="25" t="s">
        <v>73</v>
      </c>
      <c r="D266" s="25" t="s">
        <v>15</v>
      </c>
      <c r="E266" s="25" t="s">
        <v>498</v>
      </c>
      <c r="G266" s="22">
        <v>89</v>
      </c>
      <c r="H266" s="22" t="s">
        <v>77</v>
      </c>
      <c r="I266" s="22">
        <v>2</v>
      </c>
      <c r="J266" s="29">
        <v>6</v>
      </c>
      <c r="K266" s="29">
        <v>6</v>
      </c>
      <c r="L266" s="29">
        <v>3</v>
      </c>
      <c r="M266" s="29">
        <v>6</v>
      </c>
      <c r="N266" s="29">
        <v>3</v>
      </c>
      <c r="O266" s="29">
        <v>4</v>
      </c>
      <c r="P266" s="29">
        <v>6</v>
      </c>
      <c r="Q266" s="22">
        <v>6</v>
      </c>
      <c r="R266" s="29">
        <v>3</v>
      </c>
      <c r="S266" s="25" t="s">
        <v>40</v>
      </c>
      <c r="T266" s="25" t="s">
        <v>15</v>
      </c>
      <c r="U266" s="25" t="s">
        <v>498</v>
      </c>
    </row>
    <row r="267" spans="1:21" x14ac:dyDescent="0.4">
      <c r="A267">
        <v>1882</v>
      </c>
      <c r="B267" s="25" t="s">
        <v>10</v>
      </c>
      <c r="C267" s="25" t="s">
        <v>73</v>
      </c>
      <c r="D267" s="25" t="s">
        <v>15</v>
      </c>
      <c r="E267" s="25" t="s">
        <v>498</v>
      </c>
      <c r="G267" s="22">
        <v>85</v>
      </c>
      <c r="H267" s="22" t="s">
        <v>78</v>
      </c>
      <c r="I267" s="22">
        <v>6</v>
      </c>
      <c r="J267" s="29">
        <v>1</v>
      </c>
      <c r="K267" s="29">
        <v>2</v>
      </c>
      <c r="L267" s="29">
        <v>6</v>
      </c>
      <c r="M267" s="29">
        <v>4</v>
      </c>
      <c r="N267" s="29">
        <v>6</v>
      </c>
      <c r="O267" s="29">
        <v>6</v>
      </c>
      <c r="P267" s="29">
        <v>2</v>
      </c>
      <c r="Q267" s="22">
        <v>6</v>
      </c>
      <c r="R267" s="29">
        <v>2</v>
      </c>
      <c r="S267" s="25" t="s">
        <v>40</v>
      </c>
      <c r="T267" s="25" t="s">
        <v>15</v>
      </c>
      <c r="U267" s="25" t="s">
        <v>498</v>
      </c>
    </row>
    <row r="268" spans="1:21" x14ac:dyDescent="0.4">
      <c r="A268">
        <v>1881</v>
      </c>
      <c r="B268" s="25" t="s">
        <v>10</v>
      </c>
      <c r="C268" s="25" t="s">
        <v>73</v>
      </c>
      <c r="D268" s="25" t="s">
        <v>15</v>
      </c>
      <c r="E268" s="25" t="s">
        <v>498</v>
      </c>
      <c r="G268" s="22">
        <v>37</v>
      </c>
      <c r="H268" s="22" t="s">
        <v>80</v>
      </c>
      <c r="I268" s="22">
        <v>6</v>
      </c>
      <c r="J268" s="29">
        <v>0</v>
      </c>
      <c r="K268" s="29">
        <v>6</v>
      </c>
      <c r="L268" s="29">
        <v>1</v>
      </c>
      <c r="M268" s="29">
        <v>6</v>
      </c>
      <c r="N268" s="29">
        <v>1</v>
      </c>
      <c r="S268" s="25" t="s">
        <v>54</v>
      </c>
      <c r="T268" s="25" t="s">
        <v>15</v>
      </c>
      <c r="U268" s="25" t="s">
        <v>498</v>
      </c>
    </row>
    <row r="269" spans="1:21" x14ac:dyDescent="0.4">
      <c r="A269">
        <v>1880</v>
      </c>
      <c r="B269" s="25" t="s">
        <v>10</v>
      </c>
      <c r="C269" s="25" t="s">
        <v>54</v>
      </c>
      <c r="D269" s="25" t="s">
        <v>15</v>
      </c>
      <c r="E269" s="25" t="s">
        <v>498</v>
      </c>
      <c r="H269" s="22" t="s">
        <v>55</v>
      </c>
      <c r="I269" s="22">
        <v>6</v>
      </c>
      <c r="J269" s="29">
        <v>3</v>
      </c>
      <c r="K269" s="29">
        <v>6</v>
      </c>
      <c r="L269" s="29">
        <v>2</v>
      </c>
      <c r="M269" s="29">
        <v>2</v>
      </c>
      <c r="N269" s="29">
        <v>6</v>
      </c>
      <c r="O269" s="29">
        <v>6</v>
      </c>
      <c r="P269" s="29">
        <v>3</v>
      </c>
      <c r="S269" s="25" t="s">
        <v>39</v>
      </c>
      <c r="T269" s="25" t="s">
        <v>15</v>
      </c>
      <c r="U269" s="25" t="s">
        <v>498</v>
      </c>
    </row>
    <row r="270" spans="1:21" x14ac:dyDescent="0.4">
      <c r="A270">
        <v>1879</v>
      </c>
      <c r="B270" s="25" t="s">
        <v>10</v>
      </c>
      <c r="C270" s="25" t="s">
        <v>54</v>
      </c>
      <c r="D270" s="25" t="s">
        <v>15</v>
      </c>
      <c r="E270" s="25" t="s">
        <v>498</v>
      </c>
      <c r="H270" s="22" t="s">
        <v>57</v>
      </c>
      <c r="I270" s="22">
        <v>6</v>
      </c>
      <c r="J270" s="29">
        <v>2</v>
      </c>
      <c r="K270" s="29">
        <v>6</v>
      </c>
      <c r="L270" s="29">
        <v>4</v>
      </c>
      <c r="M270" s="29">
        <v>6</v>
      </c>
      <c r="N270" s="29">
        <v>2</v>
      </c>
      <c r="S270" s="25" t="s">
        <v>56</v>
      </c>
      <c r="T270" s="25" t="s">
        <v>15</v>
      </c>
      <c r="U270" s="25" t="s">
        <v>498</v>
      </c>
    </row>
    <row r="271" spans="1:21" x14ac:dyDescent="0.4">
      <c r="A271">
        <v>1878</v>
      </c>
      <c r="B271" s="25" t="s">
        <v>10</v>
      </c>
      <c r="C271" s="25" t="s">
        <v>58</v>
      </c>
      <c r="D271" s="25" t="s">
        <v>15</v>
      </c>
      <c r="E271" s="25" t="s">
        <v>498</v>
      </c>
      <c r="H271" s="22" t="s">
        <v>60</v>
      </c>
      <c r="I271" s="22">
        <v>7</v>
      </c>
      <c r="J271" s="29">
        <v>5</v>
      </c>
      <c r="K271" s="29">
        <v>6</v>
      </c>
      <c r="L271" s="29">
        <v>1</v>
      </c>
      <c r="M271" s="29">
        <v>9</v>
      </c>
      <c r="N271" s="29">
        <v>7</v>
      </c>
      <c r="S271" s="25" t="s">
        <v>59</v>
      </c>
      <c r="T271" s="25" t="s">
        <v>15</v>
      </c>
      <c r="U271" s="25" t="s">
        <v>498</v>
      </c>
    </row>
    <row r="272" spans="1:21" x14ac:dyDescent="0.4">
      <c r="A272">
        <v>1877</v>
      </c>
      <c r="B272" s="25" t="s">
        <v>10</v>
      </c>
      <c r="C272" s="25" t="s">
        <v>59</v>
      </c>
      <c r="D272" s="25" t="s">
        <v>15</v>
      </c>
      <c r="E272" s="25" t="s">
        <v>498</v>
      </c>
      <c r="G272" s="22">
        <v>48</v>
      </c>
      <c r="H272" s="22" t="s">
        <v>67</v>
      </c>
      <c r="I272" s="22">
        <v>6</v>
      </c>
      <c r="J272" s="29">
        <v>1</v>
      </c>
      <c r="K272" s="29">
        <v>6</v>
      </c>
      <c r="L272" s="29">
        <v>2</v>
      </c>
      <c r="M272" s="29">
        <v>6</v>
      </c>
      <c r="N272" s="29">
        <v>4</v>
      </c>
      <c r="S272" s="25" t="s">
        <v>66</v>
      </c>
      <c r="T272" s="25" t="s">
        <v>15</v>
      </c>
      <c r="U272" s="25" t="s">
        <v>498</v>
      </c>
    </row>
  </sheetData>
  <sortState xmlns:xlrd2="http://schemas.microsoft.com/office/spreadsheetml/2017/richdata2" ref="A12:V272">
    <sortCondition descending="1" ref="A12:A272"/>
    <sortCondition descending="1" ref="B12:B272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700D-54FE-495E-9E30-F7FA949F0D96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64"/>
  <sheetViews>
    <sheetView zoomScale="90" zoomScaleNormal="90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O1" sqref="O1:X1048576"/>
    </sheetView>
  </sheetViews>
  <sheetFormatPr defaultRowHeight="14.6" x14ac:dyDescent="0.4"/>
  <cols>
    <col min="1" max="1" width="14" style="22" customWidth="1"/>
    <col min="2" max="2" width="9.3046875" style="25" bestFit="1" customWidth="1"/>
    <col min="3" max="3" width="15.69140625" style="25" bestFit="1" customWidth="1"/>
    <col min="4" max="4" width="20.53515625" style="22" bestFit="1" customWidth="1"/>
    <col min="5" max="5" width="17.69140625" style="25" bestFit="1" customWidth="1"/>
    <col min="6" max="6" width="15" style="22" bestFit="1" customWidth="1"/>
    <col min="7" max="7" width="5.4609375" style="22" bestFit="1" customWidth="1"/>
    <col min="8" max="8" width="34.69140625" style="25" customWidth="1"/>
    <col min="9" max="9" width="20.69140625" style="25" bestFit="1" customWidth="1"/>
    <col min="10" max="10" width="21" style="22" bestFit="1" customWidth="1"/>
    <col min="11" max="11" width="21" style="25" bestFit="1" customWidth="1"/>
    <col min="12" max="12" width="15.4609375" style="22" bestFit="1" customWidth="1"/>
    <col min="14" max="14" width="5" customWidth="1"/>
    <col min="15" max="23" width="11.07421875" bestFit="1" customWidth="1"/>
    <col min="24" max="24" width="12.07421875" bestFit="1" customWidth="1"/>
    <col min="25" max="26" width="4.69140625" bestFit="1" customWidth="1"/>
  </cols>
  <sheetData>
    <row r="1" spans="1:27" x14ac:dyDescent="0.4">
      <c r="A1" s="15" t="str">
        <f>wimbledons_champions!A1</f>
        <v>Year</v>
      </c>
      <c r="B1" s="24" t="str">
        <f>wimbledons_champions!B1</f>
        <v>Gender</v>
      </c>
      <c r="C1" s="24" t="s">
        <v>1</v>
      </c>
      <c r="D1" s="15" t="s">
        <v>4</v>
      </c>
      <c r="E1" s="24" t="s">
        <v>492</v>
      </c>
      <c r="F1" s="15" t="s">
        <v>8</v>
      </c>
      <c r="G1" s="15" t="str">
        <f>wimbledons_champions!G1</f>
        <v>Mins</v>
      </c>
      <c r="H1" s="24" t="str">
        <f>wimbledons_champions!H1</f>
        <v>Score</v>
      </c>
      <c r="I1" s="24" t="s">
        <v>5</v>
      </c>
      <c r="J1" s="15" t="s">
        <v>3</v>
      </c>
      <c r="K1" s="24" t="s">
        <v>520</v>
      </c>
      <c r="L1" s="15" t="s">
        <v>7</v>
      </c>
      <c r="M1" s="16" t="s">
        <v>738</v>
      </c>
      <c r="N1" s="16"/>
      <c r="O1" t="s">
        <v>915</v>
      </c>
      <c r="P1" t="s">
        <v>916</v>
      </c>
      <c r="Q1" t="s">
        <v>917</v>
      </c>
      <c r="R1" t="s">
        <v>918</v>
      </c>
      <c r="S1" t="s">
        <v>919</v>
      </c>
      <c r="T1" t="s">
        <v>920</v>
      </c>
      <c r="U1" t="s">
        <v>921</v>
      </c>
      <c r="V1" t="s">
        <v>922</v>
      </c>
      <c r="W1" t="s">
        <v>923</v>
      </c>
      <c r="X1" t="s">
        <v>924</v>
      </c>
      <c r="Y1" s="11" t="s">
        <v>739</v>
      </c>
      <c r="Z1" s="11" t="s">
        <v>740</v>
      </c>
      <c r="AA1" s="17" t="s">
        <v>738</v>
      </c>
    </row>
    <row r="2" spans="1:27" x14ac:dyDescent="0.4">
      <c r="A2" s="22">
        <v>2022</v>
      </c>
      <c r="B2" s="25" t="str">
        <f>wimbledons_champions!B10</f>
        <v>Women's</v>
      </c>
      <c r="C2" s="25" t="s">
        <v>897</v>
      </c>
      <c r="D2" s="22" t="s">
        <v>902</v>
      </c>
      <c r="E2" s="25" t="s">
        <v>898</v>
      </c>
      <c r="F2" s="22">
        <v>17</v>
      </c>
      <c r="G2" s="22">
        <v>108</v>
      </c>
      <c r="H2" s="25" t="s">
        <v>900</v>
      </c>
      <c r="I2" s="25" t="s">
        <v>899</v>
      </c>
      <c r="J2" s="22" t="s">
        <v>903</v>
      </c>
      <c r="K2" s="25" t="s">
        <v>901</v>
      </c>
      <c r="L2" s="22">
        <v>3</v>
      </c>
      <c r="M2" s="18">
        <v>0.5357142857142857</v>
      </c>
      <c r="O2" s="25">
        <v>3</v>
      </c>
      <c r="P2" s="25">
        <v>6</v>
      </c>
      <c r="Q2" s="25">
        <v>6</v>
      </c>
      <c r="R2" s="25">
        <v>5</v>
      </c>
      <c r="S2" s="25">
        <v>6</v>
      </c>
      <c r="T2" s="25">
        <v>2</v>
      </c>
      <c r="U2" s="25"/>
      <c r="V2" s="25"/>
      <c r="W2" s="25"/>
      <c r="X2" s="25"/>
      <c r="Y2" s="20">
        <f t="shared" ref="Y2:Y5" si="0">SUM(O2+Q2+S2+U2+W2)</f>
        <v>15</v>
      </c>
      <c r="Z2" s="20">
        <f t="shared" ref="Z2:Z5" si="1">SUM(P2+R2+T2+V2+X2)</f>
        <v>13</v>
      </c>
      <c r="AA2" s="21">
        <f t="shared" ref="AA2:AA5" si="2">Y2/(Y2+Z2)</f>
        <v>0.5357142857142857</v>
      </c>
    </row>
    <row r="3" spans="1:27" x14ac:dyDescent="0.4">
      <c r="A3" s="22">
        <v>2022</v>
      </c>
      <c r="B3" s="25" t="str">
        <f>wimbledons_champions!B11</f>
        <v>Men's</v>
      </c>
      <c r="C3" s="25" t="s">
        <v>129</v>
      </c>
      <c r="D3" s="22" t="s">
        <v>131</v>
      </c>
      <c r="E3" s="25" t="s">
        <v>494</v>
      </c>
      <c r="F3" s="22">
        <v>1</v>
      </c>
      <c r="G3" s="22">
        <v>181</v>
      </c>
      <c r="H3" s="25" t="s">
        <v>907</v>
      </c>
      <c r="I3" s="25" t="s">
        <v>896</v>
      </c>
      <c r="J3" s="22" t="s">
        <v>760</v>
      </c>
      <c r="K3" s="25" t="s">
        <v>503</v>
      </c>
      <c r="L3" s="22">
        <v>0</v>
      </c>
      <c r="M3" s="18">
        <v>0.54761904761904767</v>
      </c>
      <c r="O3" s="25">
        <v>4</v>
      </c>
      <c r="P3" s="25">
        <v>6</v>
      </c>
      <c r="Q3" s="25">
        <v>6</v>
      </c>
      <c r="R3" s="25">
        <v>3</v>
      </c>
      <c r="S3" s="25">
        <v>6</v>
      </c>
      <c r="T3" s="25">
        <v>4</v>
      </c>
      <c r="U3" s="25">
        <v>7</v>
      </c>
      <c r="V3" s="25">
        <v>6</v>
      </c>
      <c r="W3" s="25"/>
      <c r="X3" s="25"/>
      <c r="Y3" s="20">
        <f t="shared" si="0"/>
        <v>23</v>
      </c>
      <c r="Z3" s="20">
        <f t="shared" si="1"/>
        <v>19</v>
      </c>
      <c r="AA3" s="21">
        <f t="shared" si="2"/>
        <v>0.54761904761904767</v>
      </c>
    </row>
    <row r="4" spans="1:27" s="22" customFormat="1" x14ac:dyDescent="0.4">
      <c r="A4" s="22">
        <f>wimbledons_champions!A12</f>
        <v>2021</v>
      </c>
      <c r="B4" s="25" t="str">
        <f>wimbledons_champions!B12</f>
        <v>Women's</v>
      </c>
      <c r="C4" s="25" t="s">
        <v>759</v>
      </c>
      <c r="D4" s="22" t="s">
        <v>12</v>
      </c>
      <c r="E4" s="25" t="s">
        <v>503</v>
      </c>
      <c r="F4" s="22">
        <v>1</v>
      </c>
      <c r="G4" s="22">
        <f>wimbledons_champions!G12</f>
        <v>116</v>
      </c>
      <c r="H4" s="25" t="str">
        <f>wimbledons_champions!H12</f>
        <v>6-3,6-7(4-7),6-3</v>
      </c>
      <c r="I4" s="25" t="s">
        <v>762</v>
      </c>
      <c r="J4" s="22" t="s">
        <v>107</v>
      </c>
      <c r="K4" s="25" t="s">
        <v>500</v>
      </c>
      <c r="L4" s="22">
        <v>8</v>
      </c>
      <c r="M4" s="26">
        <v>0.58064516129032262</v>
      </c>
      <c r="N4" s="26"/>
      <c r="O4" s="25">
        <v>6</v>
      </c>
      <c r="P4" s="25">
        <v>3</v>
      </c>
      <c r="Q4" s="25">
        <v>6</v>
      </c>
      <c r="R4" s="25">
        <v>7</v>
      </c>
      <c r="S4" s="25">
        <v>6</v>
      </c>
      <c r="T4" s="25">
        <v>3</v>
      </c>
      <c r="U4" s="25"/>
      <c r="V4" s="25"/>
      <c r="W4" s="25"/>
      <c r="X4" s="25"/>
      <c r="Y4" s="20">
        <f t="shared" si="0"/>
        <v>18</v>
      </c>
      <c r="Z4" s="20">
        <f t="shared" si="1"/>
        <v>13</v>
      </c>
      <c r="AA4" s="21">
        <f t="shared" si="2"/>
        <v>0.58064516129032262</v>
      </c>
    </row>
    <row r="5" spans="1:27" s="22" customFormat="1" x14ac:dyDescent="0.4">
      <c r="A5" s="22">
        <f>wimbledons_champions!A13</f>
        <v>2021</v>
      </c>
      <c r="B5" s="25" t="str">
        <f>wimbledons_champions!B13</f>
        <v>Men's</v>
      </c>
      <c r="C5" s="25" t="s">
        <v>129</v>
      </c>
      <c r="D5" s="22" t="s">
        <v>131</v>
      </c>
      <c r="E5" s="25" t="s">
        <v>494</v>
      </c>
      <c r="F5" s="22">
        <v>1</v>
      </c>
      <c r="G5" s="22">
        <f>wimbledons_champions!G13</f>
        <v>204</v>
      </c>
      <c r="H5" s="25" t="str">
        <f>wimbledons_champions!H13</f>
        <v>6-7(4-7),6-4,6-4,6-3</v>
      </c>
      <c r="I5" s="25" t="s">
        <v>757</v>
      </c>
      <c r="J5" s="22" t="s">
        <v>764</v>
      </c>
      <c r="K5" s="25" t="s">
        <v>758</v>
      </c>
      <c r="L5" s="22">
        <v>7</v>
      </c>
      <c r="M5" s="26">
        <v>0.5714285714285714</v>
      </c>
      <c r="N5" s="26"/>
      <c r="O5" s="25">
        <v>6</v>
      </c>
      <c r="P5" s="25">
        <v>7</v>
      </c>
      <c r="Q5" s="25">
        <v>6</v>
      </c>
      <c r="R5" s="25">
        <v>4</v>
      </c>
      <c r="S5" s="25">
        <v>6</v>
      </c>
      <c r="T5" s="25">
        <v>4</v>
      </c>
      <c r="U5" s="25">
        <v>6</v>
      </c>
      <c r="V5" s="25">
        <v>3</v>
      </c>
      <c r="W5" s="25"/>
      <c r="X5" s="25"/>
      <c r="Y5" s="20">
        <f t="shared" si="0"/>
        <v>24</v>
      </c>
      <c r="Z5" s="20">
        <f t="shared" si="1"/>
        <v>18</v>
      </c>
      <c r="AA5" s="21">
        <f t="shared" si="2"/>
        <v>0.5714285714285714</v>
      </c>
    </row>
    <row r="6" spans="1:27" x14ac:dyDescent="0.4">
      <c r="A6" s="22">
        <f>wimbledons_champions!A14</f>
        <v>2019</v>
      </c>
      <c r="B6" s="25" t="str">
        <f>wimbledons_champions!B14</f>
        <v>Women's</v>
      </c>
      <c r="C6" s="25" t="s">
        <v>471</v>
      </c>
      <c r="D6" s="22" t="s">
        <v>472</v>
      </c>
      <c r="E6" s="25" t="s">
        <v>493</v>
      </c>
      <c r="F6" s="22">
        <v>7</v>
      </c>
      <c r="G6" s="22">
        <f>wimbledons_champions!G14</f>
        <v>56</v>
      </c>
      <c r="H6" s="25" t="str">
        <f>wimbledons_champions!H14</f>
        <v>6-2,6-2</v>
      </c>
      <c r="I6" s="25" t="s">
        <v>416</v>
      </c>
      <c r="J6" s="22" t="s">
        <v>28</v>
      </c>
      <c r="K6" s="25" t="s">
        <v>499</v>
      </c>
      <c r="L6" s="22">
        <v>11</v>
      </c>
      <c r="M6" s="26">
        <v>0.75</v>
      </c>
      <c r="N6" s="26"/>
      <c r="O6" s="19" t="s">
        <v>741</v>
      </c>
      <c r="P6" s="19">
        <v>2</v>
      </c>
      <c r="Q6" s="19">
        <v>6</v>
      </c>
      <c r="R6" s="19">
        <v>2</v>
      </c>
      <c r="S6" s="19"/>
      <c r="T6" s="19"/>
      <c r="U6" s="19"/>
      <c r="V6" s="19"/>
      <c r="W6" s="19"/>
      <c r="X6" s="19"/>
      <c r="Y6" s="20">
        <f>SUM(O6+Q6+S6+U6+W6)</f>
        <v>12</v>
      </c>
      <c r="Z6" s="20">
        <f>SUM(P6+R6+T6+V6+X6)</f>
        <v>4</v>
      </c>
      <c r="AA6" s="21">
        <f>Y6/(Y6+Z6)</f>
        <v>0.75</v>
      </c>
    </row>
    <row r="7" spans="1:27" x14ac:dyDescent="0.4">
      <c r="A7" s="22">
        <f>wimbledons_champions!A15</f>
        <v>2019</v>
      </c>
      <c r="B7" s="25" t="str">
        <f>wimbledons_champions!B15</f>
        <v>Men's</v>
      </c>
      <c r="C7" s="25" t="s">
        <v>129</v>
      </c>
      <c r="D7" s="22" t="s">
        <v>131</v>
      </c>
      <c r="E7" s="25" t="s">
        <v>494</v>
      </c>
      <c r="F7" s="22">
        <v>1</v>
      </c>
      <c r="G7" s="22">
        <f>wimbledons_champions!G15</f>
        <v>297</v>
      </c>
      <c r="H7" s="25" t="str">
        <f>wimbledons_champions!H15</f>
        <v>7-6(7-5),1-6,7-6(7-4),4-6,13-12(7-3)</v>
      </c>
      <c r="I7" s="25" t="s">
        <v>132</v>
      </c>
      <c r="J7" s="22" t="s">
        <v>130</v>
      </c>
      <c r="K7" s="25" t="s">
        <v>497</v>
      </c>
      <c r="L7" s="22">
        <v>2</v>
      </c>
      <c r="M7" s="18">
        <v>0.4642857142857143</v>
      </c>
      <c r="N7" s="18"/>
      <c r="O7" s="19" t="s">
        <v>742</v>
      </c>
      <c r="P7" s="19">
        <v>6</v>
      </c>
      <c r="Q7" s="19">
        <v>1</v>
      </c>
      <c r="R7" s="19">
        <v>6</v>
      </c>
      <c r="S7" s="19">
        <v>7</v>
      </c>
      <c r="T7" s="19">
        <v>6</v>
      </c>
      <c r="U7" s="19">
        <v>4</v>
      </c>
      <c r="V7" s="19">
        <v>6</v>
      </c>
      <c r="W7" s="19" t="s">
        <v>742</v>
      </c>
      <c r="X7" s="19">
        <v>6</v>
      </c>
      <c r="Y7" s="20">
        <f>SUM(O7+Q7+S7+U7+W7)</f>
        <v>26</v>
      </c>
      <c r="Z7" s="20">
        <f t="shared" ref="Z7:Z70" si="3">SUM(P7+R7+T7+V7+X7)</f>
        <v>30</v>
      </c>
      <c r="AA7" s="21">
        <f>Y7/(Y7+Z7)</f>
        <v>0.4642857142857143</v>
      </c>
    </row>
    <row r="8" spans="1:27" x14ac:dyDescent="0.4">
      <c r="A8" s="22">
        <f>wimbledons_champions!A16</f>
        <v>2018</v>
      </c>
      <c r="B8" s="25" t="str">
        <f>wimbledons_champions!B16</f>
        <v>Women's</v>
      </c>
      <c r="C8" s="25" t="s">
        <v>428</v>
      </c>
      <c r="D8" s="22" t="s">
        <v>126</v>
      </c>
      <c r="E8" s="25" t="s">
        <v>495</v>
      </c>
      <c r="F8" s="22">
        <v>11</v>
      </c>
      <c r="G8" s="22">
        <f>wimbledons_champions!G16</f>
        <v>65</v>
      </c>
      <c r="H8" s="25" t="str">
        <f>wimbledons_champions!H16</f>
        <v>6-3,6-3</v>
      </c>
      <c r="I8" s="25" t="s">
        <v>416</v>
      </c>
      <c r="J8" s="22" t="s">
        <v>28</v>
      </c>
      <c r="K8" s="25" t="s">
        <v>499</v>
      </c>
      <c r="L8" s="22">
        <v>25</v>
      </c>
      <c r="M8" s="18">
        <v>0.66666666666666663</v>
      </c>
      <c r="N8" s="18"/>
      <c r="O8" s="19" t="s">
        <v>741</v>
      </c>
      <c r="P8" s="19">
        <v>3</v>
      </c>
      <c r="Q8" s="19">
        <v>6</v>
      </c>
      <c r="R8" s="19">
        <v>3</v>
      </c>
      <c r="S8" s="19"/>
      <c r="T8" s="19"/>
      <c r="U8" s="19"/>
      <c r="V8" s="19"/>
      <c r="W8" s="19"/>
      <c r="X8" s="19"/>
      <c r="Y8" s="20">
        <f t="shared" ref="Y8:Z71" si="4">SUM(O8+Q8+S8+U8+W8)</f>
        <v>12</v>
      </c>
      <c r="Z8" s="20">
        <f t="shared" si="3"/>
        <v>6</v>
      </c>
      <c r="AA8" s="21">
        <f t="shared" ref="AA8:AA68" si="5">Y8/(Y8+Z8)</f>
        <v>0.66666666666666663</v>
      </c>
    </row>
    <row r="9" spans="1:27" x14ac:dyDescent="0.4">
      <c r="A9" s="22">
        <f>wimbledons_champions!A17</f>
        <v>2018</v>
      </c>
      <c r="B9" s="25" t="str">
        <f>wimbledons_champions!B17</f>
        <v>Men's</v>
      </c>
      <c r="C9" s="25" t="s">
        <v>129</v>
      </c>
      <c r="D9" s="22" t="s">
        <v>131</v>
      </c>
      <c r="E9" s="25" t="s">
        <v>494</v>
      </c>
      <c r="F9" s="22">
        <v>12</v>
      </c>
      <c r="G9" s="22">
        <f>wimbledons_champions!G17</f>
        <v>170</v>
      </c>
      <c r="H9" s="25" t="str">
        <f>wimbledons_champions!H17</f>
        <v>6-2,6-2,7-6(7-3)</v>
      </c>
      <c r="I9" s="25" t="s">
        <v>891</v>
      </c>
      <c r="J9" s="22" t="s">
        <v>90</v>
      </c>
      <c r="K9" s="25" t="s">
        <v>509</v>
      </c>
      <c r="L9" s="22">
        <v>8</v>
      </c>
      <c r="M9" s="18">
        <v>0.65517241379310343</v>
      </c>
      <c r="N9" s="18"/>
      <c r="O9" s="19" t="s">
        <v>741</v>
      </c>
      <c r="P9" s="19">
        <v>2</v>
      </c>
      <c r="Q9" s="19">
        <v>6</v>
      </c>
      <c r="R9" s="19">
        <v>2</v>
      </c>
      <c r="S9" s="19">
        <v>7</v>
      </c>
      <c r="T9" s="19">
        <v>6</v>
      </c>
      <c r="U9" s="19"/>
      <c r="V9" s="19"/>
      <c r="W9" s="19"/>
      <c r="X9" s="19"/>
      <c r="Y9" s="20">
        <f t="shared" si="4"/>
        <v>19</v>
      </c>
      <c r="Z9" s="20">
        <f t="shared" si="3"/>
        <v>10</v>
      </c>
      <c r="AA9" s="21">
        <f t="shared" si="5"/>
        <v>0.65517241379310343</v>
      </c>
    </row>
    <row r="10" spans="1:27" x14ac:dyDescent="0.4">
      <c r="A10" s="22">
        <f>wimbledons_champions!A18</f>
        <v>2017</v>
      </c>
      <c r="B10" s="25" t="str">
        <f>wimbledons_champions!B18</f>
        <v>Women's</v>
      </c>
      <c r="C10" s="25" t="s">
        <v>417</v>
      </c>
      <c r="D10" s="22" t="s">
        <v>135</v>
      </c>
      <c r="E10" s="25" t="s">
        <v>496</v>
      </c>
      <c r="F10" s="22">
        <v>14</v>
      </c>
      <c r="G10" s="22">
        <f>wimbledons_champions!G18</f>
        <v>77</v>
      </c>
      <c r="H10" s="25" t="str">
        <f>wimbledons_champions!H18</f>
        <v>7-5,6-0</v>
      </c>
      <c r="I10" s="25" t="s">
        <v>430</v>
      </c>
      <c r="J10" s="22" t="s">
        <v>28</v>
      </c>
      <c r="K10" s="25" t="s">
        <v>499</v>
      </c>
      <c r="L10" s="22">
        <v>10</v>
      </c>
      <c r="M10" s="18">
        <v>0.72222222222222221</v>
      </c>
      <c r="N10" s="18"/>
      <c r="O10" s="19" t="s">
        <v>742</v>
      </c>
      <c r="P10" s="19">
        <v>5</v>
      </c>
      <c r="Q10" s="19">
        <v>6</v>
      </c>
      <c r="R10" s="19">
        <v>0</v>
      </c>
      <c r="S10" s="19"/>
      <c r="T10" s="19"/>
      <c r="U10" s="19"/>
      <c r="V10" s="19"/>
      <c r="W10" s="19"/>
      <c r="X10" s="19"/>
      <c r="Y10" s="20">
        <f t="shared" si="4"/>
        <v>13</v>
      </c>
      <c r="Z10" s="20">
        <f t="shared" si="3"/>
        <v>5</v>
      </c>
      <c r="AA10" s="21">
        <f t="shared" si="5"/>
        <v>0.72222222222222221</v>
      </c>
    </row>
    <row r="11" spans="1:27" x14ac:dyDescent="0.4">
      <c r="A11" s="22">
        <f>wimbledons_champions!A19</f>
        <v>2017</v>
      </c>
      <c r="B11" s="25" t="str">
        <f>wimbledons_champions!B19</f>
        <v>Men's</v>
      </c>
      <c r="C11" s="25" t="s">
        <v>132</v>
      </c>
      <c r="D11" s="22" t="s">
        <v>130</v>
      </c>
      <c r="E11" s="25" t="s">
        <v>497</v>
      </c>
      <c r="F11" s="22">
        <v>3</v>
      </c>
      <c r="G11" s="22">
        <f>wimbledons_champions!G19</f>
        <v>101</v>
      </c>
      <c r="H11" s="25" t="str">
        <f>wimbledons_champions!H19</f>
        <v>6-3,6-1,6-4</v>
      </c>
      <c r="I11" s="25" t="s">
        <v>479</v>
      </c>
      <c r="J11" s="22" t="s">
        <v>153</v>
      </c>
      <c r="K11" s="25" t="s">
        <v>504</v>
      </c>
      <c r="L11" s="22">
        <v>7</v>
      </c>
      <c r="M11" s="18">
        <v>0.69230769230769229</v>
      </c>
      <c r="N11" s="18"/>
      <c r="O11" s="19" t="s">
        <v>741</v>
      </c>
      <c r="P11" s="19">
        <v>3</v>
      </c>
      <c r="Q11" s="19">
        <v>6</v>
      </c>
      <c r="R11" s="19">
        <v>1</v>
      </c>
      <c r="S11" s="19">
        <v>6</v>
      </c>
      <c r="T11" s="19">
        <v>4</v>
      </c>
      <c r="U11" s="19"/>
      <c r="V11" s="19"/>
      <c r="W11" s="19"/>
      <c r="X11" s="19"/>
      <c r="Y11" s="20">
        <f t="shared" si="4"/>
        <v>18</v>
      </c>
      <c r="Z11" s="20">
        <f t="shared" si="3"/>
        <v>8</v>
      </c>
      <c r="AA11" s="21">
        <f t="shared" si="5"/>
        <v>0.69230769230769229</v>
      </c>
    </row>
    <row r="12" spans="1:27" x14ac:dyDescent="0.4">
      <c r="A12" s="22">
        <f>wimbledons_champions!A20</f>
        <v>2016</v>
      </c>
      <c r="B12" s="25" t="str">
        <f>wimbledons_champions!B20</f>
        <v>Women's</v>
      </c>
      <c r="C12" s="25" t="s">
        <v>416</v>
      </c>
      <c r="D12" s="22" t="s">
        <v>28</v>
      </c>
      <c r="E12" s="25" t="s">
        <v>499</v>
      </c>
      <c r="F12" s="22">
        <v>1</v>
      </c>
      <c r="G12" s="22">
        <f>wimbledons_champions!G20</f>
        <v>83</v>
      </c>
      <c r="H12" s="25" t="str">
        <f>wimbledons_champions!H20</f>
        <v>7-5, 6-3</v>
      </c>
      <c r="I12" s="25" t="s">
        <v>428</v>
      </c>
      <c r="J12" s="22" t="s">
        <v>126</v>
      </c>
      <c r="K12" s="25" t="s">
        <v>495</v>
      </c>
      <c r="L12" s="22">
        <v>4</v>
      </c>
      <c r="M12" s="18">
        <v>0.61904761904761907</v>
      </c>
      <c r="N12" s="18"/>
      <c r="O12" s="19" t="s">
        <v>742</v>
      </c>
      <c r="P12" s="19">
        <v>5</v>
      </c>
      <c r="Q12" s="19">
        <v>6</v>
      </c>
      <c r="R12" s="19">
        <v>3</v>
      </c>
      <c r="S12" s="19"/>
      <c r="T12" s="19"/>
      <c r="U12" s="19"/>
      <c r="V12" s="19"/>
      <c r="W12" s="19"/>
      <c r="X12" s="19"/>
      <c r="Y12" s="20">
        <f t="shared" si="4"/>
        <v>13</v>
      </c>
      <c r="Z12" s="20">
        <f t="shared" si="3"/>
        <v>8</v>
      </c>
      <c r="AA12" s="21">
        <f t="shared" si="5"/>
        <v>0.61904761904761907</v>
      </c>
    </row>
    <row r="13" spans="1:27" x14ac:dyDescent="0.4">
      <c r="A13" s="22">
        <f>wimbledons_champions!A21</f>
        <v>2016</v>
      </c>
      <c r="B13" s="25" t="str">
        <f>wimbledons_champions!B21</f>
        <v>Men's</v>
      </c>
      <c r="C13" s="25" t="s">
        <v>203</v>
      </c>
      <c r="D13" s="22" t="s">
        <v>15</v>
      </c>
      <c r="E13" s="25" t="s">
        <v>498</v>
      </c>
      <c r="F13" s="22">
        <v>2</v>
      </c>
      <c r="G13" s="22">
        <f>wimbledons_champions!G21</f>
        <v>170</v>
      </c>
      <c r="H13" s="25" t="str">
        <f>wimbledons_champions!H21</f>
        <v>6-4, 7-6(7-3), 7-6(7-2)</v>
      </c>
      <c r="I13" s="25" t="s">
        <v>206</v>
      </c>
      <c r="J13" s="22" t="s">
        <v>205</v>
      </c>
      <c r="K13" s="25" t="s">
        <v>511</v>
      </c>
      <c r="L13" s="22">
        <v>6</v>
      </c>
      <c r="M13" s="18">
        <v>0.55555555555555558</v>
      </c>
      <c r="N13" s="18"/>
      <c r="O13" s="19" t="s">
        <v>741</v>
      </c>
      <c r="P13" s="19">
        <v>4</v>
      </c>
      <c r="Q13" s="19">
        <v>7</v>
      </c>
      <c r="R13" s="19">
        <v>6</v>
      </c>
      <c r="S13" s="19">
        <v>7</v>
      </c>
      <c r="T13" s="19">
        <v>6</v>
      </c>
      <c r="U13" s="19"/>
      <c r="V13" s="19"/>
      <c r="W13" s="19"/>
      <c r="X13" s="19"/>
      <c r="Y13" s="20">
        <f t="shared" si="4"/>
        <v>20</v>
      </c>
      <c r="Z13" s="20">
        <f t="shared" si="3"/>
        <v>16</v>
      </c>
      <c r="AA13" s="21">
        <f t="shared" si="5"/>
        <v>0.55555555555555558</v>
      </c>
    </row>
    <row r="14" spans="1:27" x14ac:dyDescent="0.4">
      <c r="A14" s="22">
        <f>wimbledons_champions!A22</f>
        <v>2015</v>
      </c>
      <c r="B14" s="25" t="str">
        <f>wimbledons_champions!B22</f>
        <v>Women's</v>
      </c>
      <c r="C14" s="25" t="s">
        <v>416</v>
      </c>
      <c r="D14" s="22" t="s">
        <v>28</v>
      </c>
      <c r="E14" s="25" t="s">
        <v>499</v>
      </c>
      <c r="F14" s="22">
        <v>1</v>
      </c>
      <c r="G14" s="22">
        <f>wimbledons_champions!G22</f>
        <v>83</v>
      </c>
      <c r="H14" s="25" t="str">
        <f>wimbledons_champions!H22</f>
        <v>6-4, 6-4</v>
      </c>
      <c r="I14" s="25" t="s">
        <v>417</v>
      </c>
      <c r="J14" s="22" t="s">
        <v>135</v>
      </c>
      <c r="K14" s="25" t="s">
        <v>496</v>
      </c>
      <c r="L14" s="22">
        <v>20</v>
      </c>
      <c r="M14" s="18">
        <v>0.6</v>
      </c>
      <c r="N14" s="18"/>
      <c r="O14" s="19" t="s">
        <v>741</v>
      </c>
      <c r="P14" s="19">
        <v>4</v>
      </c>
      <c r="Q14" s="19">
        <v>6</v>
      </c>
      <c r="R14" s="19">
        <v>4</v>
      </c>
      <c r="S14" s="19"/>
      <c r="T14" s="19"/>
      <c r="U14" s="19"/>
      <c r="V14" s="19"/>
      <c r="W14" s="19"/>
      <c r="X14" s="19"/>
      <c r="Y14" s="20">
        <f t="shared" si="4"/>
        <v>12</v>
      </c>
      <c r="Z14" s="20">
        <f t="shared" si="3"/>
        <v>8</v>
      </c>
      <c r="AA14" s="21">
        <f t="shared" si="5"/>
        <v>0.6</v>
      </c>
    </row>
    <row r="15" spans="1:27" x14ac:dyDescent="0.4">
      <c r="A15" s="22">
        <f>wimbledons_champions!A23</f>
        <v>2015</v>
      </c>
      <c r="B15" s="25" t="str">
        <f>wimbledons_champions!B23</f>
        <v>Men's</v>
      </c>
      <c r="C15" s="25" t="s">
        <v>129</v>
      </c>
      <c r="D15" s="22" t="s">
        <v>131</v>
      </c>
      <c r="E15" s="25" t="s">
        <v>494</v>
      </c>
      <c r="F15" s="22">
        <v>1</v>
      </c>
      <c r="G15" s="22">
        <f>wimbledons_champions!G23</f>
        <v>176</v>
      </c>
      <c r="H15" s="25" t="str">
        <f>wimbledons_champions!H23</f>
        <v>7-6(7-1), 6-7(10-12), 6-4, 6-3</v>
      </c>
      <c r="I15" s="25" t="s">
        <v>132</v>
      </c>
      <c r="J15" s="22" t="s">
        <v>130</v>
      </c>
      <c r="K15" s="25" t="s">
        <v>497</v>
      </c>
      <c r="L15" s="22">
        <v>2</v>
      </c>
      <c r="M15" s="18">
        <v>0.55555555555555558</v>
      </c>
      <c r="N15" s="18"/>
      <c r="O15" s="19" t="s">
        <v>742</v>
      </c>
      <c r="P15" s="19">
        <v>6</v>
      </c>
      <c r="Q15" s="19">
        <v>6</v>
      </c>
      <c r="R15" s="19">
        <v>7</v>
      </c>
      <c r="S15" s="19">
        <v>6</v>
      </c>
      <c r="T15" s="19">
        <v>4</v>
      </c>
      <c r="U15" s="19">
        <v>6</v>
      </c>
      <c r="V15" s="19">
        <v>3</v>
      </c>
      <c r="W15" s="19"/>
      <c r="X15" s="19"/>
      <c r="Y15" s="20">
        <f t="shared" si="4"/>
        <v>25</v>
      </c>
      <c r="Z15" s="20">
        <f t="shared" si="3"/>
        <v>20</v>
      </c>
      <c r="AA15" s="21">
        <f t="shared" si="5"/>
        <v>0.55555555555555558</v>
      </c>
    </row>
    <row r="16" spans="1:27" x14ac:dyDescent="0.4">
      <c r="A16" s="22">
        <f>wimbledons_champions!A24</f>
        <v>2014</v>
      </c>
      <c r="B16" s="25" t="str">
        <f>wimbledons_champions!B24</f>
        <v>Women's</v>
      </c>
      <c r="C16" s="25" t="s">
        <v>291</v>
      </c>
      <c r="D16" s="22" t="s">
        <v>107</v>
      </c>
      <c r="E16" s="25" t="s">
        <v>500</v>
      </c>
      <c r="F16" s="22">
        <v>6</v>
      </c>
      <c r="G16" s="22">
        <f>wimbledons_champions!G24</f>
        <v>55</v>
      </c>
      <c r="H16" s="25" t="str">
        <f>wimbledons_champions!H24</f>
        <v>6-3, 6-0</v>
      </c>
      <c r="I16" s="25" t="s">
        <v>293</v>
      </c>
      <c r="J16" s="22" t="s">
        <v>205</v>
      </c>
      <c r="K16" s="25" t="s">
        <v>511</v>
      </c>
      <c r="L16" s="22">
        <v>13</v>
      </c>
      <c r="M16" s="18">
        <v>0.8</v>
      </c>
      <c r="N16" s="18"/>
      <c r="O16" s="19" t="s">
        <v>741</v>
      </c>
      <c r="P16" s="19">
        <v>3</v>
      </c>
      <c r="Q16" s="19">
        <v>6</v>
      </c>
      <c r="R16" s="19">
        <v>0</v>
      </c>
      <c r="S16" s="19"/>
      <c r="T16" s="19"/>
      <c r="U16" s="19"/>
      <c r="V16" s="19"/>
      <c r="W16" s="19"/>
      <c r="X16" s="19"/>
      <c r="Y16" s="20">
        <f t="shared" si="4"/>
        <v>12</v>
      </c>
      <c r="Z16" s="20">
        <f t="shared" si="3"/>
        <v>3</v>
      </c>
      <c r="AA16" s="21">
        <f t="shared" si="5"/>
        <v>0.8</v>
      </c>
    </row>
    <row r="17" spans="1:27" x14ac:dyDescent="0.4">
      <c r="A17" s="22">
        <f>wimbledons_champions!A25</f>
        <v>2014</v>
      </c>
      <c r="B17" s="25" t="str">
        <f>wimbledons_champions!B25</f>
        <v>Men's</v>
      </c>
      <c r="C17" s="25" t="s">
        <v>129</v>
      </c>
      <c r="D17" s="22" t="s">
        <v>131</v>
      </c>
      <c r="E17" s="25" t="s">
        <v>494</v>
      </c>
      <c r="F17" s="22">
        <v>1</v>
      </c>
      <c r="G17" s="22">
        <f>wimbledons_champions!G25</f>
        <v>236</v>
      </c>
      <c r="H17" s="25" t="str">
        <f>wimbledons_champions!H25</f>
        <v>6-7(7-9), 6-4, 7-6(7-4), 5-7, 6-4</v>
      </c>
      <c r="I17" s="25" t="s">
        <v>132</v>
      </c>
      <c r="J17" s="22" t="s">
        <v>130</v>
      </c>
      <c r="K17" s="25" t="s">
        <v>497</v>
      </c>
      <c r="L17" s="22">
        <v>4</v>
      </c>
      <c r="M17" s="18">
        <v>0.51724137931034486</v>
      </c>
      <c r="N17" s="18"/>
      <c r="O17" s="19" t="s">
        <v>741</v>
      </c>
      <c r="P17" s="19">
        <v>7</v>
      </c>
      <c r="Q17" s="19">
        <v>6</v>
      </c>
      <c r="R17" s="19">
        <v>4</v>
      </c>
      <c r="S17" s="19">
        <v>7</v>
      </c>
      <c r="T17" s="19">
        <v>6</v>
      </c>
      <c r="U17" s="19">
        <v>5</v>
      </c>
      <c r="V17" s="19">
        <v>7</v>
      </c>
      <c r="W17" s="19" t="s">
        <v>741</v>
      </c>
      <c r="X17" s="19">
        <v>4</v>
      </c>
      <c r="Y17" s="20">
        <f t="shared" si="4"/>
        <v>30</v>
      </c>
      <c r="Z17" s="20">
        <f t="shared" si="3"/>
        <v>28</v>
      </c>
      <c r="AA17" s="21">
        <f t="shared" si="5"/>
        <v>0.51724137931034486</v>
      </c>
    </row>
    <row r="18" spans="1:27" x14ac:dyDescent="0.4">
      <c r="A18" s="22">
        <f>wimbledons_champions!A26</f>
        <v>2013</v>
      </c>
      <c r="B18" s="25" t="str">
        <f>wimbledons_champions!B26</f>
        <v>Women's</v>
      </c>
      <c r="C18" s="25" t="s">
        <v>314</v>
      </c>
      <c r="D18" s="22" t="s">
        <v>24</v>
      </c>
      <c r="E18" s="25" t="s">
        <v>501</v>
      </c>
      <c r="F18" s="22">
        <v>15</v>
      </c>
      <c r="G18" s="22">
        <f>wimbledons_champions!G26</f>
        <v>81</v>
      </c>
      <c r="H18" s="25" t="str">
        <f>wimbledons_champions!H26</f>
        <v>6-2,1-6,6-4</v>
      </c>
      <c r="I18" s="25" t="s">
        <v>316</v>
      </c>
      <c r="J18" s="22" t="s">
        <v>126</v>
      </c>
      <c r="K18" s="25" t="s">
        <v>495</v>
      </c>
      <c r="L18" s="22">
        <v>23</v>
      </c>
      <c r="M18" s="18">
        <v>0.52</v>
      </c>
      <c r="N18" s="18"/>
      <c r="O18" s="19" t="s">
        <v>741</v>
      </c>
      <c r="P18" s="19">
        <v>2</v>
      </c>
      <c r="Q18" s="19">
        <v>1</v>
      </c>
      <c r="R18" s="19">
        <v>6</v>
      </c>
      <c r="S18" s="19">
        <v>6</v>
      </c>
      <c r="T18" s="19">
        <v>4</v>
      </c>
      <c r="U18" s="19"/>
      <c r="V18" s="19"/>
      <c r="W18" s="19"/>
      <c r="X18" s="19"/>
      <c r="Y18" s="20">
        <f t="shared" si="4"/>
        <v>13</v>
      </c>
      <c r="Z18" s="20">
        <f t="shared" si="3"/>
        <v>12</v>
      </c>
      <c r="AA18" s="21">
        <f t="shared" si="5"/>
        <v>0.52</v>
      </c>
    </row>
    <row r="19" spans="1:27" x14ac:dyDescent="0.4">
      <c r="A19" s="22">
        <f>wimbledons_champions!A27</f>
        <v>2013</v>
      </c>
      <c r="B19" s="25" t="str">
        <f>wimbledons_champions!B27</f>
        <v>Men's</v>
      </c>
      <c r="C19" s="25" t="s">
        <v>203</v>
      </c>
      <c r="D19" s="22" t="s">
        <v>15</v>
      </c>
      <c r="E19" s="25" t="s">
        <v>498</v>
      </c>
      <c r="F19" s="22">
        <v>2</v>
      </c>
      <c r="G19" s="22">
        <f>wimbledons_champions!G27</f>
        <v>134</v>
      </c>
      <c r="H19" s="25" t="str">
        <f>wimbledons_champions!H27</f>
        <v>6-4, 7-5, 6-4</v>
      </c>
      <c r="I19" s="25" t="s">
        <v>129</v>
      </c>
      <c r="J19" s="22" t="s">
        <v>131</v>
      </c>
      <c r="K19" s="25" t="s">
        <v>494</v>
      </c>
      <c r="L19" s="22">
        <v>1</v>
      </c>
      <c r="M19" s="18">
        <v>0.59375</v>
      </c>
      <c r="N19" s="18"/>
      <c r="O19" s="19" t="s">
        <v>741</v>
      </c>
      <c r="P19" s="19">
        <v>4</v>
      </c>
      <c r="Q19" s="19">
        <v>7</v>
      </c>
      <c r="R19" s="19">
        <v>5</v>
      </c>
      <c r="S19" s="19">
        <v>6</v>
      </c>
      <c r="T19" s="19">
        <v>4</v>
      </c>
      <c r="U19" s="19"/>
      <c r="V19" s="19"/>
      <c r="W19" s="19"/>
      <c r="X19" s="19"/>
      <c r="Y19" s="20">
        <f t="shared" si="4"/>
        <v>19</v>
      </c>
      <c r="Z19" s="20">
        <f t="shared" si="3"/>
        <v>13</v>
      </c>
      <c r="AA19" s="21">
        <f t="shared" si="5"/>
        <v>0.59375</v>
      </c>
    </row>
    <row r="20" spans="1:27" x14ac:dyDescent="0.4">
      <c r="A20" s="22">
        <f>wimbledons_champions!A28</f>
        <v>2012</v>
      </c>
      <c r="B20" s="25" t="str">
        <f>wimbledons_champions!B28</f>
        <v>Women's</v>
      </c>
      <c r="C20" s="25" t="s">
        <v>416</v>
      </c>
      <c r="D20" s="22" t="s">
        <v>28</v>
      </c>
      <c r="E20" s="25" t="s">
        <v>499</v>
      </c>
      <c r="F20" s="22">
        <v>6</v>
      </c>
      <c r="G20" s="22">
        <f>wimbledons_champions!G28</f>
        <v>122</v>
      </c>
      <c r="H20" s="25" t="str">
        <f>wimbledons_champions!H28</f>
        <v>6-1, 5-7, 6-2</v>
      </c>
      <c r="I20" s="25" t="s">
        <v>467</v>
      </c>
      <c r="J20" s="22" t="s">
        <v>375</v>
      </c>
      <c r="K20" s="25" t="s">
        <v>512</v>
      </c>
      <c r="L20" s="22">
        <v>3</v>
      </c>
      <c r="M20" s="18">
        <v>0.62962962962962965</v>
      </c>
      <c r="N20" s="18"/>
      <c r="O20" s="19" t="s">
        <v>741</v>
      </c>
      <c r="P20" s="19">
        <v>1</v>
      </c>
      <c r="Q20" s="19">
        <v>5</v>
      </c>
      <c r="R20" s="19">
        <v>7</v>
      </c>
      <c r="S20" s="19">
        <v>6</v>
      </c>
      <c r="T20" s="19">
        <v>2</v>
      </c>
      <c r="U20" s="19"/>
      <c r="V20" s="19"/>
      <c r="W20" s="19"/>
      <c r="X20" s="19"/>
      <c r="Y20" s="20">
        <f t="shared" si="4"/>
        <v>17</v>
      </c>
      <c r="Z20" s="20">
        <f t="shared" si="3"/>
        <v>10</v>
      </c>
      <c r="AA20" s="21">
        <f t="shared" si="5"/>
        <v>0.62962962962962965</v>
      </c>
    </row>
    <row r="21" spans="1:27" x14ac:dyDescent="0.4">
      <c r="A21" s="22">
        <f>wimbledons_champions!A29</f>
        <v>2012</v>
      </c>
      <c r="B21" s="25" t="str">
        <f>wimbledons_champions!B29</f>
        <v>Men's</v>
      </c>
      <c r="C21" s="25" t="s">
        <v>132</v>
      </c>
      <c r="D21" s="22" t="s">
        <v>130</v>
      </c>
      <c r="E21" s="25" t="s">
        <v>497</v>
      </c>
      <c r="F21" s="22">
        <v>3</v>
      </c>
      <c r="G21" s="22">
        <f>wimbledons_champions!G29</f>
        <v>204</v>
      </c>
      <c r="H21" s="25" t="str">
        <f>wimbledons_champions!H29</f>
        <v>4-6, 7-5, 6-3, 6-4</v>
      </c>
      <c r="I21" s="25" t="s">
        <v>203</v>
      </c>
      <c r="J21" s="22" t="s">
        <v>15</v>
      </c>
      <c r="K21" s="25" t="s">
        <v>498</v>
      </c>
      <c r="L21" s="22">
        <v>4</v>
      </c>
      <c r="M21" s="18">
        <v>0.56097560975609762</v>
      </c>
      <c r="N21" s="18"/>
      <c r="O21" s="19" t="s">
        <v>743</v>
      </c>
      <c r="P21" s="19">
        <v>6</v>
      </c>
      <c r="Q21" s="19">
        <v>7</v>
      </c>
      <c r="R21" s="19">
        <v>5</v>
      </c>
      <c r="S21" s="19">
        <v>6</v>
      </c>
      <c r="T21" s="19">
        <v>3</v>
      </c>
      <c r="U21" s="19">
        <v>6</v>
      </c>
      <c r="V21" s="19">
        <v>4</v>
      </c>
      <c r="W21" s="19"/>
      <c r="X21" s="19"/>
      <c r="Y21" s="20">
        <f t="shared" si="4"/>
        <v>23</v>
      </c>
      <c r="Z21" s="20">
        <f t="shared" si="3"/>
        <v>18</v>
      </c>
      <c r="AA21" s="21">
        <f t="shared" si="5"/>
        <v>0.56097560975609762</v>
      </c>
    </row>
    <row r="22" spans="1:27" x14ac:dyDescent="0.4">
      <c r="A22" s="22">
        <f>wimbledons_champions!A30</f>
        <v>2011</v>
      </c>
      <c r="B22" s="25" t="str">
        <f>wimbledons_champions!B30</f>
        <v>Women's</v>
      </c>
      <c r="C22" s="25" t="s">
        <v>889</v>
      </c>
      <c r="D22" s="22" t="s">
        <v>107</v>
      </c>
      <c r="E22" s="25" t="s">
        <v>500</v>
      </c>
      <c r="F22" s="22">
        <v>8</v>
      </c>
      <c r="G22" s="22">
        <f>wimbledons_champions!G30</f>
        <v>85</v>
      </c>
      <c r="H22" s="25" t="str">
        <f>wimbledons_champions!H30</f>
        <v>6-3, 6-4</v>
      </c>
      <c r="I22" s="25" t="s">
        <v>297</v>
      </c>
      <c r="J22" s="22" t="s">
        <v>296</v>
      </c>
      <c r="K22" s="25" t="s">
        <v>502</v>
      </c>
      <c r="L22" s="22">
        <v>5</v>
      </c>
      <c r="M22" s="18">
        <v>0.63157894736842102</v>
      </c>
      <c r="N22" s="18"/>
      <c r="O22" s="19" t="s">
        <v>741</v>
      </c>
      <c r="P22" s="19">
        <v>3</v>
      </c>
      <c r="Q22" s="19">
        <v>6</v>
      </c>
      <c r="R22" s="19">
        <v>4</v>
      </c>
      <c r="S22" s="19"/>
      <c r="T22" s="19"/>
      <c r="U22" s="19"/>
      <c r="V22" s="19"/>
      <c r="W22" s="19"/>
      <c r="X22" s="19"/>
      <c r="Y22" s="20">
        <f t="shared" si="4"/>
        <v>12</v>
      </c>
      <c r="Z22" s="20">
        <f t="shared" si="3"/>
        <v>7</v>
      </c>
      <c r="AA22" s="21">
        <f t="shared" si="5"/>
        <v>0.63157894736842102</v>
      </c>
    </row>
    <row r="23" spans="1:27" x14ac:dyDescent="0.4">
      <c r="A23" s="22">
        <f>wimbledons_champions!A31</f>
        <v>2011</v>
      </c>
      <c r="B23" s="25" t="str">
        <f>wimbledons_champions!B31</f>
        <v>Men's</v>
      </c>
      <c r="C23" s="25" t="s">
        <v>129</v>
      </c>
      <c r="D23" s="22" t="s">
        <v>131</v>
      </c>
      <c r="E23" s="25" t="s">
        <v>494</v>
      </c>
      <c r="F23" s="22">
        <v>2</v>
      </c>
      <c r="G23" s="22">
        <f>wimbledons_champions!G31</f>
        <v>148</v>
      </c>
      <c r="H23" s="25" t="str">
        <f>wimbledons_champions!H31</f>
        <v>6-4 6-1 1-6 6-3</v>
      </c>
      <c r="I23" s="25" t="s">
        <v>136</v>
      </c>
      <c r="J23" s="22" t="s">
        <v>135</v>
      </c>
      <c r="K23" s="25" t="s">
        <v>496</v>
      </c>
      <c r="L23" s="22">
        <v>1</v>
      </c>
      <c r="M23" s="18">
        <v>0.5757575757575758</v>
      </c>
      <c r="N23" s="18"/>
      <c r="O23" s="19" t="s">
        <v>741</v>
      </c>
      <c r="P23" s="19">
        <v>4</v>
      </c>
      <c r="Q23" s="19">
        <v>6</v>
      </c>
      <c r="R23" s="19">
        <v>1</v>
      </c>
      <c r="S23" s="19">
        <v>1</v>
      </c>
      <c r="T23" s="19">
        <v>6</v>
      </c>
      <c r="U23" s="19">
        <v>6</v>
      </c>
      <c r="V23" s="19">
        <v>3</v>
      </c>
      <c r="W23" s="19"/>
      <c r="X23" s="19"/>
      <c r="Y23" s="20">
        <f t="shared" si="4"/>
        <v>19</v>
      </c>
      <c r="Z23" s="20">
        <f t="shared" si="3"/>
        <v>14</v>
      </c>
      <c r="AA23" s="21">
        <f t="shared" si="5"/>
        <v>0.5757575757575758</v>
      </c>
    </row>
    <row r="24" spans="1:27" x14ac:dyDescent="0.4">
      <c r="A24" s="22">
        <f>wimbledons_champions!A32</f>
        <v>2010</v>
      </c>
      <c r="B24" s="25" t="str">
        <f>wimbledons_champions!B32</f>
        <v>Women's</v>
      </c>
      <c r="C24" s="25" t="s">
        <v>416</v>
      </c>
      <c r="D24" s="22" t="s">
        <v>28</v>
      </c>
      <c r="E24" s="25" t="s">
        <v>499</v>
      </c>
      <c r="F24" s="22">
        <v>1</v>
      </c>
      <c r="G24" s="22">
        <f>wimbledons_champions!G32</f>
        <v>66</v>
      </c>
      <c r="H24" s="25" t="str">
        <f>wimbledons_champions!H32</f>
        <v>6-3, 6-2</v>
      </c>
      <c r="I24" s="25" t="s">
        <v>419</v>
      </c>
      <c r="J24" s="22" t="s">
        <v>296</v>
      </c>
      <c r="K24" s="25" t="s">
        <v>502</v>
      </c>
      <c r="L24" s="22">
        <v>21</v>
      </c>
      <c r="M24" s="18">
        <v>0.70588235294117652</v>
      </c>
      <c r="N24" s="18"/>
      <c r="O24" s="19" t="s">
        <v>741</v>
      </c>
      <c r="P24" s="19">
        <v>3</v>
      </c>
      <c r="Q24" s="19">
        <v>6</v>
      </c>
      <c r="R24" s="19">
        <v>2</v>
      </c>
      <c r="S24" s="19"/>
      <c r="T24" s="19"/>
      <c r="U24" s="19"/>
      <c r="V24" s="19"/>
      <c r="W24" s="19"/>
      <c r="X24" s="19"/>
      <c r="Y24" s="20">
        <f t="shared" si="4"/>
        <v>12</v>
      </c>
      <c r="Z24" s="20">
        <f t="shared" si="3"/>
        <v>5</v>
      </c>
      <c r="AA24" s="21">
        <f t="shared" si="5"/>
        <v>0.70588235294117652</v>
      </c>
    </row>
    <row r="25" spans="1:27" x14ac:dyDescent="0.4">
      <c r="A25" s="22">
        <f>wimbledons_champions!A33</f>
        <v>2010</v>
      </c>
      <c r="B25" s="25" t="str">
        <f>wimbledons_champions!B33</f>
        <v>Men's</v>
      </c>
      <c r="C25" s="25" t="s">
        <v>136</v>
      </c>
      <c r="D25" s="22" t="s">
        <v>135</v>
      </c>
      <c r="E25" s="25" t="s">
        <v>496</v>
      </c>
      <c r="F25" s="22">
        <v>2</v>
      </c>
      <c r="G25" s="22">
        <f>wimbledons_champions!G33</f>
        <v>133</v>
      </c>
      <c r="H25" s="25" t="str">
        <f>wimbledons_champions!H33</f>
        <v>6-3, 7-5, 6-4</v>
      </c>
      <c r="I25" s="25" t="s">
        <v>199</v>
      </c>
      <c r="J25" s="22" t="s">
        <v>107</v>
      </c>
      <c r="K25" s="25" t="s">
        <v>500</v>
      </c>
      <c r="L25" s="22">
        <v>12</v>
      </c>
      <c r="M25" s="18">
        <v>0.61290322580645162</v>
      </c>
      <c r="N25" s="18"/>
      <c r="O25" s="19" t="s">
        <v>741</v>
      </c>
      <c r="P25" s="19">
        <v>3</v>
      </c>
      <c r="Q25" s="19">
        <v>7</v>
      </c>
      <c r="R25" s="19">
        <v>5</v>
      </c>
      <c r="S25" s="19">
        <v>6</v>
      </c>
      <c r="T25" s="19">
        <v>4</v>
      </c>
      <c r="U25" s="19"/>
      <c r="V25" s="19"/>
      <c r="W25" s="19"/>
      <c r="X25" s="19"/>
      <c r="Y25" s="20">
        <f t="shared" si="4"/>
        <v>19</v>
      </c>
      <c r="Z25" s="20">
        <f t="shared" si="3"/>
        <v>12</v>
      </c>
      <c r="AA25" s="21">
        <f t="shared" si="5"/>
        <v>0.61290322580645162</v>
      </c>
    </row>
    <row r="26" spans="1:27" x14ac:dyDescent="0.4">
      <c r="A26" s="22">
        <f>wimbledons_champions!A34</f>
        <v>2009</v>
      </c>
      <c r="B26" s="25" t="str">
        <f>wimbledons_champions!B34</f>
        <v>Women's</v>
      </c>
      <c r="C26" s="25" t="s">
        <v>416</v>
      </c>
      <c r="D26" s="22" t="s">
        <v>28</v>
      </c>
      <c r="E26" s="25" t="s">
        <v>499</v>
      </c>
      <c r="F26" s="22">
        <v>2</v>
      </c>
      <c r="G26" s="22">
        <f>wimbledons_champions!G34</f>
        <v>87</v>
      </c>
      <c r="H26" s="25" t="str">
        <f>wimbledons_champions!H34</f>
        <v>7-6 (7-3), 6-2</v>
      </c>
      <c r="I26" s="25" t="s">
        <v>430</v>
      </c>
      <c r="J26" s="22" t="s">
        <v>28</v>
      </c>
      <c r="K26" s="25" t="s">
        <v>499</v>
      </c>
      <c r="L26" s="22">
        <v>3</v>
      </c>
      <c r="M26" s="18">
        <v>0.61904761904761907</v>
      </c>
      <c r="N26" s="18"/>
      <c r="O26" s="19" t="s">
        <v>742</v>
      </c>
      <c r="P26" s="19">
        <v>6</v>
      </c>
      <c r="Q26" s="19">
        <v>6</v>
      </c>
      <c r="R26" s="19">
        <v>2</v>
      </c>
      <c r="S26" s="19"/>
      <c r="T26" s="19"/>
      <c r="U26" s="19"/>
      <c r="V26" s="19"/>
      <c r="W26" s="19"/>
      <c r="X26" s="19"/>
      <c r="Y26" s="20">
        <f t="shared" si="4"/>
        <v>13</v>
      </c>
      <c r="Z26" s="20">
        <f t="shared" si="3"/>
        <v>8</v>
      </c>
      <c r="AA26" s="21">
        <f t="shared" si="5"/>
        <v>0.61904761904761907</v>
      </c>
    </row>
    <row r="27" spans="1:27" x14ac:dyDescent="0.4">
      <c r="A27" s="22">
        <f>wimbledons_champions!A35</f>
        <v>2009</v>
      </c>
      <c r="B27" s="25" t="str">
        <f>wimbledons_champions!B35</f>
        <v>Men's</v>
      </c>
      <c r="C27" s="25" t="s">
        <v>132</v>
      </c>
      <c r="D27" s="22" t="s">
        <v>130</v>
      </c>
      <c r="E27" s="25" t="s">
        <v>497</v>
      </c>
      <c r="F27" s="22">
        <v>2</v>
      </c>
      <c r="G27" s="22">
        <f>wimbledons_champions!G35</f>
        <v>256</v>
      </c>
      <c r="H27" s="25" t="str">
        <f>wimbledons_champions!H35</f>
        <v>5-7, 7-6 (8-6), 7-6 (7-5), 3-6, 16-14</v>
      </c>
      <c r="I27" s="25" t="s">
        <v>139</v>
      </c>
      <c r="J27" s="22" t="s">
        <v>28</v>
      </c>
      <c r="K27" s="25" t="s">
        <v>499</v>
      </c>
      <c r="L27" s="22">
        <v>6</v>
      </c>
      <c r="M27" s="18">
        <v>0.4935064935064935</v>
      </c>
      <c r="N27" s="18"/>
      <c r="O27" s="19" t="s">
        <v>744</v>
      </c>
      <c r="P27" s="19">
        <v>7</v>
      </c>
      <c r="Q27" s="19">
        <v>7</v>
      </c>
      <c r="R27" s="19">
        <v>6</v>
      </c>
      <c r="S27" s="19">
        <v>7</v>
      </c>
      <c r="T27" s="19">
        <v>6</v>
      </c>
      <c r="U27" s="19">
        <v>3</v>
      </c>
      <c r="V27" s="19">
        <v>6</v>
      </c>
      <c r="W27" s="19" t="s">
        <v>745</v>
      </c>
      <c r="X27" s="19">
        <v>14</v>
      </c>
      <c r="Y27" s="20">
        <f t="shared" si="4"/>
        <v>38</v>
      </c>
      <c r="Z27" s="20">
        <f t="shared" si="3"/>
        <v>39</v>
      </c>
      <c r="AA27" s="21">
        <f t="shared" si="5"/>
        <v>0.4935064935064935</v>
      </c>
    </row>
    <row r="28" spans="1:27" x14ac:dyDescent="0.4">
      <c r="A28" s="22">
        <f>wimbledons_champions!A36</f>
        <v>2008</v>
      </c>
      <c r="B28" s="25" t="str">
        <f>wimbledons_champions!B36</f>
        <v>Women's</v>
      </c>
      <c r="C28" s="25" t="s">
        <v>430</v>
      </c>
      <c r="D28" s="22" t="s">
        <v>28</v>
      </c>
      <c r="E28" s="25" t="s">
        <v>499</v>
      </c>
      <c r="F28" s="22">
        <v>7</v>
      </c>
      <c r="G28" s="22">
        <f>wimbledons_champions!G36</f>
        <v>111</v>
      </c>
      <c r="H28" s="25" t="str">
        <f>wimbledons_champions!H36</f>
        <v>7-5, 6-4</v>
      </c>
      <c r="I28" s="25" t="s">
        <v>416</v>
      </c>
      <c r="J28" s="22" t="s">
        <v>28</v>
      </c>
      <c r="K28" s="25" t="s">
        <v>499</v>
      </c>
      <c r="L28" s="22">
        <v>6</v>
      </c>
      <c r="M28" s="18">
        <v>0.59090909090909094</v>
      </c>
      <c r="N28" s="18"/>
      <c r="O28" s="19" t="s">
        <v>742</v>
      </c>
      <c r="P28" s="19">
        <v>5</v>
      </c>
      <c r="Q28" s="19">
        <v>6</v>
      </c>
      <c r="R28" s="19">
        <v>4</v>
      </c>
      <c r="S28" s="19"/>
      <c r="T28" s="19"/>
      <c r="U28" s="19"/>
      <c r="V28" s="19"/>
      <c r="W28" s="19"/>
      <c r="X28" s="19"/>
      <c r="Y28" s="20">
        <f t="shared" si="4"/>
        <v>13</v>
      </c>
      <c r="Z28" s="20">
        <f t="shared" si="3"/>
        <v>9</v>
      </c>
      <c r="AA28" s="21">
        <f t="shared" si="5"/>
        <v>0.59090909090909094</v>
      </c>
    </row>
    <row r="29" spans="1:27" x14ac:dyDescent="0.4">
      <c r="A29" s="22">
        <f>wimbledons_champions!A37</f>
        <v>2008</v>
      </c>
      <c r="B29" s="25" t="str">
        <f>wimbledons_champions!B37</f>
        <v>Men's</v>
      </c>
      <c r="C29" s="25" t="s">
        <v>136</v>
      </c>
      <c r="D29" s="22" t="s">
        <v>135</v>
      </c>
      <c r="E29" s="25" t="s">
        <v>496</v>
      </c>
      <c r="F29" s="22">
        <v>2</v>
      </c>
      <c r="G29" s="22">
        <f>wimbledons_champions!G37</f>
        <v>288</v>
      </c>
      <c r="H29" s="25" t="str">
        <f>wimbledons_champions!H37</f>
        <v>6-4, 6-4, 6-7 (5-7), 6-7 (8-10), 9-7</v>
      </c>
      <c r="I29" s="25" t="s">
        <v>132</v>
      </c>
      <c r="J29" s="22" t="s">
        <v>130</v>
      </c>
      <c r="K29" s="25" t="s">
        <v>497</v>
      </c>
      <c r="L29" s="22">
        <v>1</v>
      </c>
      <c r="M29" s="18">
        <v>0.532258064516129</v>
      </c>
      <c r="N29" s="18"/>
      <c r="O29" s="19" t="s">
        <v>741</v>
      </c>
      <c r="P29" s="19">
        <v>4</v>
      </c>
      <c r="Q29" s="19">
        <v>6</v>
      </c>
      <c r="R29" s="19">
        <v>4</v>
      </c>
      <c r="S29" s="19">
        <v>6</v>
      </c>
      <c r="T29" s="19">
        <v>7</v>
      </c>
      <c r="U29" s="19">
        <v>6</v>
      </c>
      <c r="V29" s="19">
        <v>7</v>
      </c>
      <c r="W29" s="19" t="s">
        <v>746</v>
      </c>
      <c r="X29" s="19">
        <v>7</v>
      </c>
      <c r="Y29" s="20">
        <f t="shared" si="4"/>
        <v>33</v>
      </c>
      <c r="Z29" s="20">
        <f t="shared" si="3"/>
        <v>29</v>
      </c>
      <c r="AA29" s="21">
        <f t="shared" si="5"/>
        <v>0.532258064516129</v>
      </c>
    </row>
    <row r="30" spans="1:27" x14ac:dyDescent="0.4">
      <c r="A30" s="22">
        <f>wimbledons_champions!A38</f>
        <v>2007</v>
      </c>
      <c r="B30" s="25" t="str">
        <f>wimbledons_champions!B38</f>
        <v>Women's</v>
      </c>
      <c r="C30" s="25" t="s">
        <v>430</v>
      </c>
      <c r="D30" s="22" t="s">
        <v>28</v>
      </c>
      <c r="E30" s="25" t="s">
        <v>499</v>
      </c>
      <c r="F30" s="22">
        <v>23</v>
      </c>
      <c r="G30" s="22">
        <f>wimbledons_champions!G38</f>
        <v>90</v>
      </c>
      <c r="H30" s="25" t="str">
        <f>wimbledons_champions!H38</f>
        <v>6-4, 6-1</v>
      </c>
      <c r="I30" s="25" t="s">
        <v>314</v>
      </c>
      <c r="J30" s="22" t="s">
        <v>24</v>
      </c>
      <c r="K30" s="25" t="s">
        <v>501</v>
      </c>
      <c r="L30" s="22">
        <v>18</v>
      </c>
      <c r="M30" s="18">
        <v>0.70588235294117652</v>
      </c>
      <c r="N30" s="18"/>
      <c r="O30" s="19" t="s">
        <v>741</v>
      </c>
      <c r="P30" s="19">
        <v>4</v>
      </c>
      <c r="Q30" s="19">
        <v>6</v>
      </c>
      <c r="R30" s="19">
        <v>1</v>
      </c>
      <c r="S30" s="19"/>
      <c r="T30" s="19"/>
      <c r="U30" s="19"/>
      <c r="V30" s="19"/>
      <c r="W30" s="19"/>
      <c r="X30" s="19"/>
      <c r="Y30" s="20">
        <f t="shared" si="4"/>
        <v>12</v>
      </c>
      <c r="Z30" s="20">
        <f t="shared" si="3"/>
        <v>5</v>
      </c>
      <c r="AA30" s="21">
        <f t="shared" si="5"/>
        <v>0.70588235294117652</v>
      </c>
    </row>
    <row r="31" spans="1:27" x14ac:dyDescent="0.4">
      <c r="A31" s="22">
        <f>wimbledons_champions!A39</f>
        <v>2007</v>
      </c>
      <c r="B31" s="25" t="str">
        <f>wimbledons_champions!B39</f>
        <v>Men's</v>
      </c>
      <c r="C31" s="25" t="s">
        <v>132</v>
      </c>
      <c r="D31" s="22" t="s">
        <v>130</v>
      </c>
      <c r="E31" s="25" t="s">
        <v>497</v>
      </c>
      <c r="F31" s="22">
        <v>1</v>
      </c>
      <c r="G31" s="22">
        <f>wimbledons_champions!G39</f>
        <v>225</v>
      </c>
      <c r="H31" s="25" t="str">
        <f>wimbledons_champions!H39</f>
        <v>7-6 (9-7), 4-6, 7-6 (7-3), 2-6, 6-2</v>
      </c>
      <c r="I31" s="25" t="s">
        <v>136</v>
      </c>
      <c r="J31" s="22" t="s">
        <v>135</v>
      </c>
      <c r="K31" s="25" t="s">
        <v>496</v>
      </c>
      <c r="L31" s="22">
        <v>2</v>
      </c>
      <c r="M31" s="18">
        <v>0.5</v>
      </c>
      <c r="N31" s="18"/>
      <c r="O31" s="19" t="s">
        <v>742</v>
      </c>
      <c r="P31" s="19">
        <v>6</v>
      </c>
      <c r="Q31" s="19">
        <v>4</v>
      </c>
      <c r="R31" s="19">
        <v>6</v>
      </c>
      <c r="S31" s="19">
        <v>7</v>
      </c>
      <c r="T31" s="19">
        <v>6</v>
      </c>
      <c r="U31" s="19">
        <v>2</v>
      </c>
      <c r="V31" s="19">
        <v>6</v>
      </c>
      <c r="W31" s="19" t="s">
        <v>741</v>
      </c>
      <c r="X31" s="19">
        <v>2</v>
      </c>
      <c r="Y31" s="20">
        <f t="shared" si="4"/>
        <v>26</v>
      </c>
      <c r="Z31" s="20">
        <f t="shared" si="3"/>
        <v>26</v>
      </c>
      <c r="AA31" s="21">
        <f t="shared" si="5"/>
        <v>0.5</v>
      </c>
    </row>
    <row r="32" spans="1:27" x14ac:dyDescent="0.4">
      <c r="A32" s="22">
        <f>wimbledons_champions!A40</f>
        <v>2006</v>
      </c>
      <c r="B32" s="25" t="str">
        <f>wimbledons_champions!B40</f>
        <v>Women's</v>
      </c>
      <c r="C32" s="25" t="s">
        <v>310</v>
      </c>
      <c r="D32" s="22" t="s">
        <v>24</v>
      </c>
      <c r="E32" s="25" t="s">
        <v>501</v>
      </c>
      <c r="F32" s="22">
        <v>1</v>
      </c>
      <c r="G32" s="22">
        <f>wimbledons_champions!G40</f>
        <v>122</v>
      </c>
      <c r="H32" s="25" t="str">
        <f>wimbledons_champions!H40</f>
        <v>2-6, 6-3, 6-4</v>
      </c>
      <c r="I32" s="25" t="s">
        <v>892</v>
      </c>
      <c r="J32" s="22" t="s">
        <v>312</v>
      </c>
      <c r="K32" s="25" t="s">
        <v>513</v>
      </c>
      <c r="L32" s="22">
        <v>3</v>
      </c>
      <c r="M32" s="18">
        <v>0.51851851851851849</v>
      </c>
      <c r="N32" s="18"/>
      <c r="O32" s="19" t="s">
        <v>747</v>
      </c>
      <c r="P32" s="19">
        <v>6</v>
      </c>
      <c r="Q32" s="19">
        <v>6</v>
      </c>
      <c r="R32" s="19">
        <v>3</v>
      </c>
      <c r="S32" s="19">
        <v>6</v>
      </c>
      <c r="T32" s="19">
        <v>4</v>
      </c>
      <c r="U32" s="19"/>
      <c r="V32" s="19"/>
      <c r="W32" s="19"/>
      <c r="X32" s="19"/>
      <c r="Y32" s="20">
        <f t="shared" si="4"/>
        <v>14</v>
      </c>
      <c r="Z32" s="20">
        <f t="shared" si="3"/>
        <v>13</v>
      </c>
      <c r="AA32" s="21">
        <f t="shared" si="5"/>
        <v>0.51851851851851849</v>
      </c>
    </row>
    <row r="33" spans="1:27" x14ac:dyDescent="0.4">
      <c r="A33" s="22">
        <f>wimbledons_champions!A41</f>
        <v>2006</v>
      </c>
      <c r="B33" s="25" t="str">
        <f>wimbledons_champions!B41</f>
        <v>Men's</v>
      </c>
      <c r="C33" s="25" t="s">
        <v>132</v>
      </c>
      <c r="D33" s="22" t="s">
        <v>130</v>
      </c>
      <c r="E33" s="25" t="s">
        <v>497</v>
      </c>
      <c r="F33" s="22">
        <v>1</v>
      </c>
      <c r="G33" s="22">
        <f>wimbledons_champions!G41</f>
        <v>170</v>
      </c>
      <c r="H33" s="25" t="str">
        <f>wimbledons_champions!H41</f>
        <v>6-0, 7-6 (7-5), 6-7 (2-7), 6-3</v>
      </c>
      <c r="I33" s="25" t="s">
        <v>136</v>
      </c>
      <c r="J33" s="22" t="s">
        <v>135</v>
      </c>
      <c r="K33" s="25" t="s">
        <v>496</v>
      </c>
      <c r="L33" s="22">
        <v>2</v>
      </c>
      <c r="M33" s="18">
        <v>0.6097560975609756</v>
      </c>
      <c r="N33" s="18"/>
      <c r="O33" s="19" t="s">
        <v>741</v>
      </c>
      <c r="P33" s="19">
        <v>0</v>
      </c>
      <c r="Q33" s="19">
        <v>7</v>
      </c>
      <c r="R33" s="19">
        <v>6</v>
      </c>
      <c r="S33" s="19">
        <v>6</v>
      </c>
      <c r="T33" s="19">
        <v>7</v>
      </c>
      <c r="U33" s="19">
        <v>6</v>
      </c>
      <c r="V33" s="19">
        <v>3</v>
      </c>
      <c r="W33" s="19"/>
      <c r="X33" s="19"/>
      <c r="Y33" s="20">
        <f t="shared" si="4"/>
        <v>25</v>
      </c>
      <c r="Z33" s="20">
        <f t="shared" si="3"/>
        <v>16</v>
      </c>
      <c r="AA33" s="21">
        <f t="shared" si="5"/>
        <v>0.6097560975609756</v>
      </c>
    </row>
    <row r="34" spans="1:27" x14ac:dyDescent="0.4">
      <c r="A34" s="22">
        <f>wimbledons_champions!A42</f>
        <v>2005</v>
      </c>
      <c r="B34" s="25" t="str">
        <f>wimbledons_champions!B42</f>
        <v>Women's</v>
      </c>
      <c r="C34" s="25" t="s">
        <v>430</v>
      </c>
      <c r="D34" s="22" t="s">
        <v>28</v>
      </c>
      <c r="E34" s="25" t="s">
        <v>499</v>
      </c>
      <c r="F34" s="22">
        <v>14</v>
      </c>
      <c r="G34" s="22">
        <f>wimbledons_champions!G42</f>
        <v>166</v>
      </c>
      <c r="H34" s="25" t="str">
        <f>wimbledons_champions!H42</f>
        <v>4-6, 7-6 (7-4), 9-7</v>
      </c>
      <c r="I34" s="25" t="s">
        <v>456</v>
      </c>
      <c r="J34" s="22" t="s">
        <v>28</v>
      </c>
      <c r="K34" s="25" t="s">
        <v>499</v>
      </c>
      <c r="L34" s="22">
        <v>1</v>
      </c>
      <c r="M34" s="18">
        <v>0.51282051282051277</v>
      </c>
      <c r="N34" s="18"/>
      <c r="O34" s="19" t="s">
        <v>743</v>
      </c>
      <c r="P34" s="19">
        <v>6</v>
      </c>
      <c r="Q34" s="19">
        <v>7</v>
      </c>
      <c r="R34" s="19">
        <v>6</v>
      </c>
      <c r="S34" s="19">
        <v>9</v>
      </c>
      <c r="T34" s="19">
        <v>7</v>
      </c>
      <c r="U34" s="19"/>
      <c r="V34" s="19"/>
      <c r="W34" s="19"/>
      <c r="X34" s="19"/>
      <c r="Y34" s="20">
        <f t="shared" si="4"/>
        <v>20</v>
      </c>
      <c r="Z34" s="20">
        <f t="shared" si="3"/>
        <v>19</v>
      </c>
      <c r="AA34" s="21">
        <f t="shared" si="5"/>
        <v>0.51282051282051277</v>
      </c>
    </row>
    <row r="35" spans="1:27" x14ac:dyDescent="0.4">
      <c r="A35" s="22">
        <f>wimbledons_champions!A43</f>
        <v>2005</v>
      </c>
      <c r="B35" s="25" t="str">
        <f>wimbledons_champions!B43</f>
        <v>Men's</v>
      </c>
      <c r="C35" s="25" t="s">
        <v>132</v>
      </c>
      <c r="D35" s="22" t="s">
        <v>130</v>
      </c>
      <c r="E35" s="25" t="s">
        <v>497</v>
      </c>
      <c r="F35" s="22">
        <v>1</v>
      </c>
      <c r="G35" s="22">
        <f>wimbledons_champions!G43</f>
        <v>101</v>
      </c>
      <c r="H35" s="25" t="str">
        <f>wimbledons_champions!H43</f>
        <v>6-2, 7-6 (7-2), 6-4</v>
      </c>
      <c r="I35" s="25" t="s">
        <v>139</v>
      </c>
      <c r="J35" s="22" t="s">
        <v>28</v>
      </c>
      <c r="K35" s="25" t="s">
        <v>499</v>
      </c>
      <c r="L35" s="22">
        <v>2</v>
      </c>
      <c r="M35" s="18">
        <v>0.61290322580645162</v>
      </c>
      <c r="N35" s="18"/>
      <c r="O35" s="19" t="s">
        <v>741</v>
      </c>
      <c r="P35" s="19">
        <v>2</v>
      </c>
      <c r="Q35" s="19">
        <v>7</v>
      </c>
      <c r="R35" s="19">
        <v>6</v>
      </c>
      <c r="S35" s="19">
        <v>6</v>
      </c>
      <c r="T35" s="19">
        <v>4</v>
      </c>
      <c r="U35" s="19"/>
      <c r="V35" s="19"/>
      <c r="W35" s="19"/>
      <c r="X35" s="19"/>
      <c r="Y35" s="20">
        <f t="shared" si="4"/>
        <v>19</v>
      </c>
      <c r="Z35" s="20">
        <f t="shared" si="3"/>
        <v>12</v>
      </c>
      <c r="AA35" s="21">
        <f t="shared" si="5"/>
        <v>0.61290322580645162</v>
      </c>
    </row>
    <row r="36" spans="1:27" x14ac:dyDescent="0.4">
      <c r="A36" s="22">
        <f>wimbledons_champions!A44</f>
        <v>2004</v>
      </c>
      <c r="B36" s="25" t="str">
        <f>wimbledons_champions!B44</f>
        <v>Women's</v>
      </c>
      <c r="C36" s="25" t="s">
        <v>297</v>
      </c>
      <c r="D36" s="22" t="s">
        <v>296</v>
      </c>
      <c r="E36" s="25" t="s">
        <v>502</v>
      </c>
      <c r="F36" s="22">
        <v>13</v>
      </c>
      <c r="G36" s="22">
        <f>wimbledons_champions!G44</f>
        <v>74</v>
      </c>
      <c r="H36" s="25" t="str">
        <f>wimbledons_champions!H44</f>
        <v>6-1, 6-4</v>
      </c>
      <c r="I36" s="25" t="s">
        <v>416</v>
      </c>
      <c r="J36" s="22" t="s">
        <v>28</v>
      </c>
      <c r="K36" s="25" t="s">
        <v>499</v>
      </c>
      <c r="L36" s="22">
        <v>1</v>
      </c>
      <c r="M36" s="18">
        <v>0.70588235294117652</v>
      </c>
      <c r="N36" s="18"/>
      <c r="O36" s="19" t="s">
        <v>741</v>
      </c>
      <c r="P36" s="19">
        <v>1</v>
      </c>
      <c r="Q36" s="19">
        <v>6</v>
      </c>
      <c r="R36" s="19">
        <v>4</v>
      </c>
      <c r="S36" s="19"/>
      <c r="T36" s="19"/>
      <c r="U36" s="19"/>
      <c r="V36" s="19"/>
      <c r="W36" s="19"/>
      <c r="X36" s="19"/>
      <c r="Y36" s="20">
        <f t="shared" si="4"/>
        <v>12</v>
      </c>
      <c r="Z36" s="20">
        <f t="shared" si="3"/>
        <v>5</v>
      </c>
      <c r="AA36" s="21">
        <f t="shared" si="5"/>
        <v>0.70588235294117652</v>
      </c>
    </row>
    <row r="37" spans="1:27" x14ac:dyDescent="0.4">
      <c r="A37" s="22">
        <f>wimbledons_champions!A45</f>
        <v>2004</v>
      </c>
      <c r="B37" s="25" t="str">
        <f>wimbledons_champions!B45</f>
        <v>Men's</v>
      </c>
      <c r="C37" s="25" t="s">
        <v>132</v>
      </c>
      <c r="D37" s="22" t="s">
        <v>130</v>
      </c>
      <c r="E37" s="25" t="s">
        <v>497</v>
      </c>
      <c r="F37" s="22">
        <v>1</v>
      </c>
      <c r="G37" s="22">
        <f>wimbledons_champions!G45</f>
        <v>151</v>
      </c>
      <c r="H37" s="25" t="str">
        <f>wimbledons_champions!H45</f>
        <v>4-6, 7-5, 7-6 (7-3), 6-4</v>
      </c>
      <c r="I37" s="25" t="s">
        <v>139</v>
      </c>
      <c r="J37" s="22" t="s">
        <v>28</v>
      </c>
      <c r="K37" s="25" t="s">
        <v>499</v>
      </c>
      <c r="L37" s="22">
        <v>2</v>
      </c>
      <c r="M37" s="18">
        <v>0.53333333333333333</v>
      </c>
      <c r="N37" s="18"/>
      <c r="O37" s="19" t="s">
        <v>743</v>
      </c>
      <c r="P37" s="19">
        <v>6</v>
      </c>
      <c r="Q37" s="19">
        <v>7</v>
      </c>
      <c r="R37" s="19">
        <v>5</v>
      </c>
      <c r="S37" s="19">
        <v>7</v>
      </c>
      <c r="T37" s="19">
        <v>6</v>
      </c>
      <c r="U37" s="19">
        <v>6</v>
      </c>
      <c r="V37" s="19">
        <v>4</v>
      </c>
      <c r="W37" s="19"/>
      <c r="X37" s="19"/>
      <c r="Y37" s="20">
        <f t="shared" si="4"/>
        <v>24</v>
      </c>
      <c r="Z37" s="20">
        <f t="shared" si="3"/>
        <v>21</v>
      </c>
      <c r="AA37" s="21">
        <f t="shared" si="5"/>
        <v>0.53333333333333333</v>
      </c>
    </row>
    <row r="38" spans="1:27" x14ac:dyDescent="0.4">
      <c r="A38" s="22">
        <f>wimbledons_champions!A46</f>
        <v>2003</v>
      </c>
      <c r="B38" s="25" t="str">
        <f>wimbledons_champions!B46</f>
        <v>Women's</v>
      </c>
      <c r="C38" s="25" t="s">
        <v>416</v>
      </c>
      <c r="D38" s="22" t="s">
        <v>28</v>
      </c>
      <c r="E38" s="25" t="s">
        <v>499</v>
      </c>
      <c r="F38" s="22">
        <v>1</v>
      </c>
      <c r="G38" s="22">
        <f>wimbledons_champions!G46</f>
        <v>123</v>
      </c>
      <c r="H38" s="25" t="str">
        <f>wimbledons_champions!H46</f>
        <v>4-6, 6-4, 6-2</v>
      </c>
      <c r="I38" s="25" t="s">
        <v>430</v>
      </c>
      <c r="J38" s="22" t="s">
        <v>28</v>
      </c>
      <c r="K38" s="25" t="s">
        <v>499</v>
      </c>
      <c r="L38" s="22">
        <v>4</v>
      </c>
      <c r="M38" s="18">
        <v>0.5714285714285714</v>
      </c>
      <c r="N38" s="18"/>
      <c r="O38" s="19" t="s">
        <v>743</v>
      </c>
      <c r="P38" s="19">
        <v>6</v>
      </c>
      <c r="Q38" s="19">
        <v>6</v>
      </c>
      <c r="R38" s="19">
        <v>4</v>
      </c>
      <c r="S38" s="19">
        <v>6</v>
      </c>
      <c r="T38" s="19">
        <v>2</v>
      </c>
      <c r="U38" s="19"/>
      <c r="V38" s="19"/>
      <c r="W38" s="19"/>
      <c r="X38" s="19"/>
      <c r="Y38" s="20">
        <f t="shared" si="4"/>
        <v>16</v>
      </c>
      <c r="Z38" s="20">
        <f t="shared" si="3"/>
        <v>12</v>
      </c>
      <c r="AA38" s="21">
        <f t="shared" si="5"/>
        <v>0.5714285714285714</v>
      </c>
    </row>
    <row r="39" spans="1:27" x14ac:dyDescent="0.4">
      <c r="A39" s="22">
        <f>wimbledons_champions!A47</f>
        <v>2003</v>
      </c>
      <c r="B39" s="25" t="str">
        <f>wimbledons_champions!B47</f>
        <v>Men's</v>
      </c>
      <c r="C39" s="25" t="s">
        <v>132</v>
      </c>
      <c r="D39" s="22" t="s">
        <v>130</v>
      </c>
      <c r="E39" s="25" t="s">
        <v>497</v>
      </c>
      <c r="F39" s="22">
        <v>4</v>
      </c>
      <c r="G39" s="22">
        <f>wimbledons_champions!G47</f>
        <v>119</v>
      </c>
      <c r="H39" s="25" t="str">
        <f>wimbledons_champions!H47</f>
        <v>7-6 (7-5), 6-2, 7-6 (7-3)</v>
      </c>
      <c r="I39" s="25" t="s">
        <v>239</v>
      </c>
      <c r="J39" s="22" t="s">
        <v>12</v>
      </c>
      <c r="K39" s="25" t="s">
        <v>503</v>
      </c>
      <c r="L39" s="22" t="s">
        <v>122</v>
      </c>
      <c r="M39" s="18">
        <v>0.58823529411764708</v>
      </c>
      <c r="N39" s="18"/>
      <c r="O39" s="19" t="s">
        <v>742</v>
      </c>
      <c r="P39" s="19">
        <v>6</v>
      </c>
      <c r="Q39" s="19">
        <v>6</v>
      </c>
      <c r="R39" s="19">
        <v>2</v>
      </c>
      <c r="S39" s="19">
        <v>7</v>
      </c>
      <c r="T39" s="19">
        <v>6</v>
      </c>
      <c r="U39" s="19"/>
      <c r="V39" s="19"/>
      <c r="W39" s="19"/>
      <c r="X39" s="19"/>
      <c r="Y39" s="20">
        <f t="shared" si="4"/>
        <v>20</v>
      </c>
      <c r="Z39" s="20">
        <f t="shared" si="3"/>
        <v>14</v>
      </c>
      <c r="AA39" s="21">
        <f t="shared" si="5"/>
        <v>0.58823529411764708</v>
      </c>
    </row>
    <row r="40" spans="1:27" x14ac:dyDescent="0.4">
      <c r="A40" s="22">
        <f>wimbledons_champions!A48</f>
        <v>2002</v>
      </c>
      <c r="B40" s="25" t="str">
        <f>wimbledons_champions!B48</f>
        <v>Women's</v>
      </c>
      <c r="C40" s="25" t="s">
        <v>416</v>
      </c>
      <c r="D40" s="22" t="s">
        <v>28</v>
      </c>
      <c r="E40" s="25" t="s">
        <v>499</v>
      </c>
      <c r="F40" s="22">
        <v>2</v>
      </c>
      <c r="G40" s="22">
        <f>wimbledons_champions!G48</f>
        <v>78</v>
      </c>
      <c r="H40" s="25" t="str">
        <f>wimbledons_champions!H48</f>
        <v>7-6 (7-4), 6-3</v>
      </c>
      <c r="I40" s="25" t="s">
        <v>430</v>
      </c>
      <c r="J40" s="22" t="s">
        <v>28</v>
      </c>
      <c r="K40" s="25" t="s">
        <v>499</v>
      </c>
      <c r="L40" s="22">
        <v>1</v>
      </c>
      <c r="M40" s="18">
        <v>0.59090909090909094</v>
      </c>
      <c r="N40" s="18"/>
      <c r="O40" s="19" t="s">
        <v>742</v>
      </c>
      <c r="P40" s="19">
        <v>6</v>
      </c>
      <c r="Q40" s="19">
        <v>6</v>
      </c>
      <c r="R40" s="19">
        <v>3</v>
      </c>
      <c r="S40" s="19"/>
      <c r="T40" s="19"/>
      <c r="U40" s="19"/>
      <c r="V40" s="19"/>
      <c r="W40" s="19"/>
      <c r="X40" s="19"/>
      <c r="Y40" s="20">
        <f t="shared" si="4"/>
        <v>13</v>
      </c>
      <c r="Z40" s="20">
        <f t="shared" si="3"/>
        <v>9</v>
      </c>
      <c r="AA40" s="21">
        <f t="shared" si="5"/>
        <v>0.59090909090909094</v>
      </c>
    </row>
    <row r="41" spans="1:27" x14ac:dyDescent="0.4">
      <c r="A41" s="22">
        <f>wimbledons_champions!A49</f>
        <v>2002</v>
      </c>
      <c r="B41" s="25" t="str">
        <f>wimbledons_champions!B49</f>
        <v>Men's</v>
      </c>
      <c r="C41" s="25" t="s">
        <v>110</v>
      </c>
      <c r="D41" s="22" t="s">
        <v>12</v>
      </c>
      <c r="E41" s="25" t="s">
        <v>503</v>
      </c>
      <c r="F41" s="22">
        <v>1</v>
      </c>
      <c r="G41" s="22">
        <f>wimbledons_champions!G49</f>
        <v>116</v>
      </c>
      <c r="H41" s="25" t="str">
        <f>wimbledons_champions!H49</f>
        <v>6-1, 6-3, 6-2</v>
      </c>
      <c r="I41" s="25" t="s">
        <v>112</v>
      </c>
      <c r="J41" s="22" t="s">
        <v>111</v>
      </c>
      <c r="K41" s="25" t="s">
        <v>514</v>
      </c>
      <c r="L41" s="22">
        <v>28</v>
      </c>
      <c r="M41" s="18">
        <v>0.75</v>
      </c>
      <c r="N41" s="18"/>
      <c r="O41" s="19" t="s">
        <v>741</v>
      </c>
      <c r="P41" s="19">
        <v>1</v>
      </c>
      <c r="Q41" s="19">
        <v>6</v>
      </c>
      <c r="R41" s="19">
        <v>3</v>
      </c>
      <c r="S41" s="19">
        <v>6</v>
      </c>
      <c r="T41" s="19">
        <v>2</v>
      </c>
      <c r="U41" s="19"/>
      <c r="V41" s="19"/>
      <c r="W41" s="19"/>
      <c r="X41" s="19"/>
      <c r="Y41" s="20">
        <f t="shared" si="4"/>
        <v>18</v>
      </c>
      <c r="Z41" s="20">
        <f t="shared" si="3"/>
        <v>6</v>
      </c>
      <c r="AA41" s="21">
        <f t="shared" si="5"/>
        <v>0.75</v>
      </c>
    </row>
    <row r="42" spans="1:27" x14ac:dyDescent="0.4">
      <c r="A42" s="22">
        <f>wimbledons_champions!A50</f>
        <v>2001</v>
      </c>
      <c r="B42" s="25" t="str">
        <f>wimbledons_champions!B50</f>
        <v>Women's</v>
      </c>
      <c r="C42" s="25" t="s">
        <v>430</v>
      </c>
      <c r="D42" s="22" t="s">
        <v>28</v>
      </c>
      <c r="E42" s="25" t="s">
        <v>499</v>
      </c>
      <c r="F42" s="22">
        <v>2</v>
      </c>
      <c r="G42" s="22">
        <f>wimbledons_champions!G50</f>
        <v>69</v>
      </c>
      <c r="H42" s="25" t="str">
        <f>wimbledons_champions!H50</f>
        <v>6-1, 3-6, 6-0</v>
      </c>
      <c r="I42" s="25" t="s">
        <v>454</v>
      </c>
      <c r="J42" s="22" t="s">
        <v>312</v>
      </c>
      <c r="K42" s="25" t="s">
        <v>513</v>
      </c>
      <c r="L42" s="22">
        <v>8</v>
      </c>
      <c r="M42" s="18">
        <v>0.68181818181818177</v>
      </c>
      <c r="N42" s="18"/>
      <c r="O42" s="19" t="s">
        <v>741</v>
      </c>
      <c r="P42" s="19">
        <v>1</v>
      </c>
      <c r="Q42" s="19">
        <v>3</v>
      </c>
      <c r="R42" s="19">
        <v>6</v>
      </c>
      <c r="S42" s="19">
        <v>6</v>
      </c>
      <c r="T42" s="19">
        <v>0</v>
      </c>
      <c r="U42" s="19"/>
      <c r="V42" s="19"/>
      <c r="W42" s="19"/>
      <c r="X42" s="19"/>
      <c r="Y42" s="20">
        <f t="shared" si="4"/>
        <v>15</v>
      </c>
      <c r="Z42" s="20">
        <f t="shared" si="3"/>
        <v>7</v>
      </c>
      <c r="AA42" s="21">
        <f t="shared" si="5"/>
        <v>0.68181818181818177</v>
      </c>
    </row>
    <row r="43" spans="1:27" x14ac:dyDescent="0.4">
      <c r="A43" s="22">
        <f>wimbledons_champions!A51</f>
        <v>2001</v>
      </c>
      <c r="B43" s="25" t="str">
        <f>wimbledons_champions!B51</f>
        <v>Men's</v>
      </c>
      <c r="C43" s="25" t="s">
        <v>154</v>
      </c>
      <c r="D43" s="22" t="s">
        <v>153</v>
      </c>
      <c r="E43" s="25" t="s">
        <v>504</v>
      </c>
      <c r="F43" s="22" t="s">
        <v>890</v>
      </c>
      <c r="G43" s="22">
        <f>wimbledons_champions!G51</f>
        <v>182</v>
      </c>
      <c r="H43" s="25" t="str">
        <f>wimbledons_champions!H51</f>
        <v>6-3, 3-6, 6-3, 2-6, 9-7</v>
      </c>
      <c r="I43" s="25" t="s">
        <v>151</v>
      </c>
      <c r="J43" s="22" t="s">
        <v>12</v>
      </c>
      <c r="K43" s="25" t="s">
        <v>503</v>
      </c>
      <c r="L43" s="22">
        <v>3</v>
      </c>
      <c r="M43" s="18">
        <v>0.50980392156862742</v>
      </c>
      <c r="N43" s="18"/>
      <c r="O43" s="19" t="s">
        <v>741</v>
      </c>
      <c r="P43" s="19">
        <v>3</v>
      </c>
      <c r="Q43" s="19">
        <v>3</v>
      </c>
      <c r="R43" s="19">
        <v>6</v>
      </c>
      <c r="S43" s="19">
        <v>6</v>
      </c>
      <c r="T43" s="19">
        <v>3</v>
      </c>
      <c r="U43" s="19">
        <v>2</v>
      </c>
      <c r="V43" s="19">
        <v>6</v>
      </c>
      <c r="W43" s="19" t="s">
        <v>746</v>
      </c>
      <c r="X43" s="19">
        <v>7</v>
      </c>
      <c r="Y43" s="20">
        <f t="shared" si="4"/>
        <v>26</v>
      </c>
      <c r="Z43" s="20">
        <f t="shared" si="3"/>
        <v>25</v>
      </c>
      <c r="AA43" s="21">
        <f t="shared" si="5"/>
        <v>0.50980392156862742</v>
      </c>
    </row>
    <row r="44" spans="1:27" x14ac:dyDescent="0.4">
      <c r="A44" s="22">
        <f>wimbledons_champions!A52</f>
        <v>2000</v>
      </c>
      <c r="B44" s="25" t="str">
        <f>wimbledons_champions!B52</f>
        <v>Women's</v>
      </c>
      <c r="C44" s="25" t="s">
        <v>430</v>
      </c>
      <c r="D44" s="22" t="s">
        <v>28</v>
      </c>
      <c r="E44" s="25" t="s">
        <v>499</v>
      </c>
      <c r="F44" s="22">
        <v>5</v>
      </c>
      <c r="G44" s="22">
        <f>wimbledons_champions!G52</f>
        <v>84</v>
      </c>
      <c r="H44" s="25" t="str">
        <f>wimbledons_champions!H52</f>
        <v>6-3, 7-6 (7-3)</v>
      </c>
      <c r="I44" s="25" t="s">
        <v>456</v>
      </c>
      <c r="J44" s="22" t="s">
        <v>28</v>
      </c>
      <c r="K44" s="25" t="s">
        <v>499</v>
      </c>
      <c r="L44" s="22">
        <v>2</v>
      </c>
      <c r="M44" s="18">
        <v>0.59090909090909094</v>
      </c>
      <c r="N44" s="18"/>
      <c r="O44" s="19" t="s">
        <v>741</v>
      </c>
      <c r="P44" s="19">
        <v>3</v>
      </c>
      <c r="Q44" s="19">
        <v>7</v>
      </c>
      <c r="R44" s="19">
        <v>6</v>
      </c>
      <c r="S44" s="19"/>
      <c r="T44" s="19"/>
      <c r="U44" s="19"/>
      <c r="V44" s="19"/>
      <c r="W44" s="19"/>
      <c r="X44" s="19"/>
      <c r="Y44" s="20">
        <f t="shared" si="4"/>
        <v>13</v>
      </c>
      <c r="Z44" s="20">
        <f t="shared" si="3"/>
        <v>9</v>
      </c>
      <c r="AA44" s="21">
        <f t="shared" si="5"/>
        <v>0.59090909090909094</v>
      </c>
    </row>
    <row r="45" spans="1:27" x14ac:dyDescent="0.4">
      <c r="A45" s="22">
        <f>wimbledons_champions!A53</f>
        <v>2000</v>
      </c>
      <c r="B45" s="25" t="str">
        <f>wimbledons_champions!B53</f>
        <v>Men's</v>
      </c>
      <c r="C45" s="25" t="s">
        <v>150</v>
      </c>
      <c r="D45" s="22" t="s">
        <v>28</v>
      </c>
      <c r="E45" s="25" t="s">
        <v>499</v>
      </c>
      <c r="F45" s="22">
        <v>1</v>
      </c>
      <c r="G45" s="22">
        <f>wimbledons_champions!G53</f>
        <v>182</v>
      </c>
      <c r="H45" s="25" t="str">
        <f>wimbledons_champions!H53</f>
        <v>6-7 (10-12), 7-6 (7-5), 6-4, 6-2</v>
      </c>
      <c r="I45" s="25" t="s">
        <v>151</v>
      </c>
      <c r="J45" s="22" t="s">
        <v>12</v>
      </c>
      <c r="K45" s="25" t="s">
        <v>503</v>
      </c>
      <c r="L45" s="22">
        <v>12</v>
      </c>
      <c r="M45" s="18">
        <v>0.56818181818181823</v>
      </c>
      <c r="N45" s="18"/>
      <c r="O45" s="19" t="s">
        <v>741</v>
      </c>
      <c r="P45" s="19">
        <v>7</v>
      </c>
      <c r="Q45" s="19">
        <v>7</v>
      </c>
      <c r="R45" s="19">
        <v>6</v>
      </c>
      <c r="S45" s="19">
        <v>6</v>
      </c>
      <c r="T45" s="19">
        <v>4</v>
      </c>
      <c r="U45" s="19">
        <v>6</v>
      </c>
      <c r="V45" s="19">
        <v>2</v>
      </c>
      <c r="W45" s="19"/>
      <c r="X45" s="19"/>
      <c r="Y45" s="20">
        <f t="shared" si="4"/>
        <v>25</v>
      </c>
      <c r="Z45" s="20">
        <f t="shared" si="3"/>
        <v>19</v>
      </c>
      <c r="AA45" s="21">
        <f t="shared" si="5"/>
        <v>0.56818181818181823</v>
      </c>
    </row>
    <row r="46" spans="1:27" x14ac:dyDescent="0.4">
      <c r="A46" s="22">
        <f>wimbledons_champions!A54</f>
        <v>1999</v>
      </c>
      <c r="B46" s="25" t="str">
        <f>wimbledons_champions!B54</f>
        <v>Women's</v>
      </c>
      <c r="C46" s="25" t="s">
        <v>456</v>
      </c>
      <c r="D46" s="22" t="s">
        <v>28</v>
      </c>
      <c r="E46" s="25" t="s">
        <v>499</v>
      </c>
      <c r="F46" s="22">
        <v>3</v>
      </c>
      <c r="G46" s="22">
        <f>wimbledons_champions!G54</f>
        <v>75</v>
      </c>
      <c r="H46" s="25" t="str">
        <f>wimbledons_champions!H54</f>
        <v>6-4, 7-5</v>
      </c>
      <c r="I46" s="25" t="s">
        <v>380</v>
      </c>
      <c r="J46" s="22" t="s">
        <v>126</v>
      </c>
      <c r="K46" s="25" t="s">
        <v>495</v>
      </c>
      <c r="L46" s="22">
        <v>2</v>
      </c>
      <c r="M46" s="18">
        <v>0.59090909090909094</v>
      </c>
      <c r="N46" s="18"/>
      <c r="O46" s="19" t="s">
        <v>741</v>
      </c>
      <c r="P46" s="19">
        <v>4</v>
      </c>
      <c r="Q46" s="19">
        <v>7</v>
      </c>
      <c r="R46" s="19">
        <v>5</v>
      </c>
      <c r="S46" s="19"/>
      <c r="T46" s="19"/>
      <c r="U46" s="19"/>
      <c r="V46" s="19"/>
      <c r="W46" s="19"/>
      <c r="X46" s="19"/>
      <c r="Y46" s="20">
        <f t="shared" si="4"/>
        <v>13</v>
      </c>
      <c r="Z46" s="20">
        <f t="shared" si="3"/>
        <v>9</v>
      </c>
      <c r="AA46" s="21">
        <f t="shared" si="5"/>
        <v>0.59090909090909094</v>
      </c>
    </row>
    <row r="47" spans="1:27" x14ac:dyDescent="0.4">
      <c r="A47" s="22">
        <f>wimbledons_champions!A55</f>
        <v>1999</v>
      </c>
      <c r="B47" s="25" t="str">
        <f>wimbledons_champions!B55</f>
        <v>Men's</v>
      </c>
      <c r="C47" s="25" t="s">
        <v>150</v>
      </c>
      <c r="D47" s="22" t="s">
        <v>28</v>
      </c>
      <c r="E47" s="25" t="s">
        <v>499</v>
      </c>
      <c r="F47" s="22">
        <v>1</v>
      </c>
      <c r="G47" s="22">
        <f>wimbledons_champions!G55</f>
        <v>115</v>
      </c>
      <c r="H47" s="25" t="str">
        <f>wimbledons_champions!H55</f>
        <v>6-3, 6-4, 7-5</v>
      </c>
      <c r="I47" s="25" t="s">
        <v>169</v>
      </c>
      <c r="J47" s="22" t="s">
        <v>28</v>
      </c>
      <c r="K47" s="25" t="s">
        <v>499</v>
      </c>
      <c r="L47" s="22">
        <v>4</v>
      </c>
      <c r="M47" s="18">
        <v>0.61290322580645162</v>
      </c>
      <c r="N47" s="18"/>
      <c r="O47" s="19" t="s">
        <v>741</v>
      </c>
      <c r="P47" s="19">
        <v>3</v>
      </c>
      <c r="Q47" s="19">
        <v>6</v>
      </c>
      <c r="R47" s="19">
        <v>4</v>
      </c>
      <c r="S47" s="19">
        <v>7</v>
      </c>
      <c r="T47" s="19">
        <v>5</v>
      </c>
      <c r="U47" s="19"/>
      <c r="V47" s="19"/>
      <c r="W47" s="19"/>
      <c r="X47" s="19"/>
      <c r="Y47" s="20">
        <f t="shared" si="4"/>
        <v>19</v>
      </c>
      <c r="Z47" s="20">
        <f t="shared" si="3"/>
        <v>12</v>
      </c>
      <c r="AA47" s="21">
        <f t="shared" si="5"/>
        <v>0.61290322580645162</v>
      </c>
    </row>
    <row r="48" spans="1:27" x14ac:dyDescent="0.4">
      <c r="A48" s="22">
        <f>wimbledons_champions!A56</f>
        <v>1998</v>
      </c>
      <c r="B48" s="25" t="str">
        <f>wimbledons_champions!B56</f>
        <v>Women's</v>
      </c>
      <c r="C48" s="25" t="s">
        <v>288</v>
      </c>
      <c r="D48" s="22" t="s">
        <v>107</v>
      </c>
      <c r="E48" s="25" t="s">
        <v>500</v>
      </c>
      <c r="F48" s="22">
        <v>3</v>
      </c>
      <c r="G48" s="22">
        <f>wimbledons_champions!G56</f>
        <v>94</v>
      </c>
      <c r="H48" s="25" t="str">
        <f>wimbledons_champions!H56</f>
        <v>6-4, 7-6 (7-2)</v>
      </c>
      <c r="I48" s="25" t="s">
        <v>290</v>
      </c>
      <c r="J48" s="22" t="s">
        <v>24</v>
      </c>
      <c r="K48" s="25" t="s">
        <v>501</v>
      </c>
      <c r="L48" s="22">
        <v>16</v>
      </c>
      <c r="M48" s="18">
        <v>0.56521739130434778</v>
      </c>
      <c r="N48" s="18"/>
      <c r="O48" s="19" t="s">
        <v>741</v>
      </c>
      <c r="P48" s="19">
        <v>4</v>
      </c>
      <c r="Q48" s="19">
        <v>7</v>
      </c>
      <c r="R48" s="19">
        <v>6</v>
      </c>
      <c r="S48" s="19"/>
      <c r="T48" s="19"/>
      <c r="U48" s="19"/>
      <c r="V48" s="19"/>
      <c r="W48" s="19"/>
      <c r="X48" s="19"/>
      <c r="Y48" s="20">
        <f t="shared" si="4"/>
        <v>13</v>
      </c>
      <c r="Z48" s="20">
        <f t="shared" si="3"/>
        <v>10</v>
      </c>
      <c r="AA48" s="21">
        <f t="shared" si="5"/>
        <v>0.56521739130434778</v>
      </c>
    </row>
    <row r="49" spans="1:27" x14ac:dyDescent="0.4">
      <c r="A49" s="22">
        <f>wimbledons_champions!A57</f>
        <v>1998</v>
      </c>
      <c r="B49" s="25" t="str">
        <f>wimbledons_champions!B57</f>
        <v>Men's</v>
      </c>
      <c r="C49" s="25" t="s">
        <v>150</v>
      </c>
      <c r="D49" s="22" t="s">
        <v>28</v>
      </c>
      <c r="E49" s="25" t="s">
        <v>499</v>
      </c>
      <c r="F49" s="22">
        <v>1</v>
      </c>
      <c r="G49" s="22">
        <f>wimbledons_champions!G57</f>
        <v>172</v>
      </c>
      <c r="H49" s="25" t="str">
        <f>wimbledons_champions!H57</f>
        <v>6-7 (2-7), 7-6 (11-9), 6-4, 3-6, 6-2</v>
      </c>
      <c r="I49" s="25" t="s">
        <v>154</v>
      </c>
      <c r="J49" s="22" t="s">
        <v>153</v>
      </c>
      <c r="K49" s="25" t="s">
        <v>504</v>
      </c>
      <c r="L49" s="22">
        <v>14</v>
      </c>
      <c r="M49" s="18">
        <v>0.52830188679245282</v>
      </c>
      <c r="N49" s="18"/>
      <c r="O49" s="19" t="s">
        <v>741</v>
      </c>
      <c r="P49" s="19">
        <v>7</v>
      </c>
      <c r="Q49" s="19">
        <v>7</v>
      </c>
      <c r="R49" s="19">
        <v>6</v>
      </c>
      <c r="S49" s="19">
        <v>6</v>
      </c>
      <c r="T49" s="19">
        <v>4</v>
      </c>
      <c r="U49" s="19">
        <v>3</v>
      </c>
      <c r="V49" s="19">
        <v>6</v>
      </c>
      <c r="W49" s="19" t="s">
        <v>741</v>
      </c>
      <c r="X49" s="19">
        <v>2</v>
      </c>
      <c r="Y49" s="20">
        <f t="shared" si="4"/>
        <v>28</v>
      </c>
      <c r="Z49" s="20">
        <f t="shared" si="3"/>
        <v>25</v>
      </c>
      <c r="AA49" s="21">
        <f t="shared" si="5"/>
        <v>0.52830188679245282</v>
      </c>
    </row>
    <row r="50" spans="1:27" x14ac:dyDescent="0.4">
      <c r="A50" s="22">
        <f>wimbledons_champions!A58</f>
        <v>1997</v>
      </c>
      <c r="B50" s="25" t="str">
        <f>wimbledons_champions!B58</f>
        <v>Women's</v>
      </c>
      <c r="C50" s="25" t="s">
        <v>396</v>
      </c>
      <c r="D50" s="22" t="s">
        <v>130</v>
      </c>
      <c r="E50" s="25" t="s">
        <v>497</v>
      </c>
      <c r="F50" s="22">
        <v>1</v>
      </c>
      <c r="G50" s="22">
        <f>wimbledons_champions!G58</f>
        <v>110</v>
      </c>
      <c r="H50" s="25" t="str">
        <f>wimbledons_champions!H58</f>
        <v>2-6, 6-3, 6-3</v>
      </c>
      <c r="I50" s="25" t="s">
        <v>288</v>
      </c>
      <c r="J50" s="22" t="s">
        <v>107</v>
      </c>
      <c r="K50" s="25" t="s">
        <v>500</v>
      </c>
      <c r="L50" s="22">
        <v>3</v>
      </c>
      <c r="M50" s="18">
        <v>0.53846153846153844</v>
      </c>
      <c r="N50" s="18"/>
      <c r="O50" s="19" t="s">
        <v>747</v>
      </c>
      <c r="P50" s="19">
        <v>6</v>
      </c>
      <c r="Q50" s="19">
        <v>6</v>
      </c>
      <c r="R50" s="19">
        <v>3</v>
      </c>
      <c r="S50" s="19">
        <v>6</v>
      </c>
      <c r="T50" s="19">
        <v>3</v>
      </c>
      <c r="U50" s="19"/>
      <c r="V50" s="19"/>
      <c r="W50" s="19"/>
      <c r="X50" s="19"/>
      <c r="Y50" s="20">
        <f t="shared" si="4"/>
        <v>14</v>
      </c>
      <c r="Z50" s="20">
        <f t="shared" si="3"/>
        <v>12</v>
      </c>
      <c r="AA50" s="21">
        <f t="shared" si="5"/>
        <v>0.53846153846153844</v>
      </c>
    </row>
    <row r="51" spans="1:27" x14ac:dyDescent="0.4">
      <c r="A51" s="22">
        <f>wimbledons_champions!A59</f>
        <v>1997</v>
      </c>
      <c r="B51" s="25" t="str">
        <f>wimbledons_champions!B59</f>
        <v>Men's</v>
      </c>
      <c r="C51" s="25" t="s">
        <v>150</v>
      </c>
      <c r="D51" s="22" t="s">
        <v>28</v>
      </c>
      <c r="E51" s="25" t="s">
        <v>499</v>
      </c>
      <c r="F51" s="22">
        <v>1</v>
      </c>
      <c r="G51" s="22">
        <f>wimbledons_champions!G59</f>
        <v>94</v>
      </c>
      <c r="H51" s="25" t="str">
        <f>wimbledons_champions!H59</f>
        <v>6-4, 6-2, 6-4</v>
      </c>
      <c r="I51" s="25" t="s">
        <v>178</v>
      </c>
      <c r="J51" s="22" t="s">
        <v>24</v>
      </c>
      <c r="K51" s="25" t="s">
        <v>501</v>
      </c>
      <c r="L51" s="22" t="s">
        <v>122</v>
      </c>
      <c r="M51" s="18">
        <v>0.6428571428571429</v>
      </c>
      <c r="N51" s="18"/>
      <c r="O51" s="19" t="s">
        <v>741</v>
      </c>
      <c r="P51" s="19">
        <v>4</v>
      </c>
      <c r="Q51" s="19">
        <v>6</v>
      </c>
      <c r="R51" s="19">
        <v>2</v>
      </c>
      <c r="S51" s="19">
        <v>6</v>
      </c>
      <c r="T51" s="19">
        <v>4</v>
      </c>
      <c r="U51" s="19"/>
      <c r="V51" s="19"/>
      <c r="W51" s="19"/>
      <c r="X51" s="19"/>
      <c r="Y51" s="20">
        <f t="shared" si="4"/>
        <v>18</v>
      </c>
      <c r="Z51" s="20">
        <f t="shared" si="3"/>
        <v>10</v>
      </c>
      <c r="AA51" s="21">
        <f t="shared" si="5"/>
        <v>0.6428571428571429</v>
      </c>
    </row>
    <row r="52" spans="1:27" x14ac:dyDescent="0.4">
      <c r="A52" s="22">
        <f>wimbledons_champions!A60</f>
        <v>1996</v>
      </c>
      <c r="B52" s="25" t="str">
        <f>wimbledons_champions!B60</f>
        <v>Women's</v>
      </c>
      <c r="C52" s="25" t="s">
        <v>380</v>
      </c>
      <c r="D52" s="22" t="s">
        <v>126</v>
      </c>
      <c r="E52" s="25" t="s">
        <v>495</v>
      </c>
      <c r="F52" s="22">
        <v>1</v>
      </c>
      <c r="G52" s="22">
        <f>wimbledons_champions!G60</f>
        <v>88</v>
      </c>
      <c r="H52" s="25" t="str">
        <f>wimbledons_champions!H60</f>
        <v>6-3, 7-5,</v>
      </c>
      <c r="I52" s="25" t="s">
        <v>384</v>
      </c>
      <c r="J52" s="22" t="s">
        <v>135</v>
      </c>
      <c r="K52" s="25" t="s">
        <v>496</v>
      </c>
      <c r="L52" s="22">
        <v>4</v>
      </c>
      <c r="M52" s="18">
        <v>0.61904761904761907</v>
      </c>
      <c r="N52" s="18"/>
      <c r="O52" s="19" t="s">
        <v>741</v>
      </c>
      <c r="P52" s="19">
        <v>3</v>
      </c>
      <c r="Q52" s="19">
        <v>7</v>
      </c>
      <c r="R52" s="19">
        <v>5</v>
      </c>
      <c r="S52" s="19"/>
      <c r="T52" s="19"/>
      <c r="U52" s="19"/>
      <c r="V52" s="19"/>
      <c r="W52" s="19"/>
      <c r="X52" s="19"/>
      <c r="Y52" s="20">
        <f t="shared" si="4"/>
        <v>13</v>
      </c>
      <c r="Z52" s="20">
        <f t="shared" si="3"/>
        <v>8</v>
      </c>
      <c r="AA52" s="21">
        <f t="shared" si="5"/>
        <v>0.61904761904761907</v>
      </c>
    </row>
    <row r="53" spans="1:27" x14ac:dyDescent="0.4">
      <c r="A53" s="22">
        <f>wimbledons_champions!A61</f>
        <v>1996</v>
      </c>
      <c r="B53" s="25" t="str">
        <f>wimbledons_champions!B61</f>
        <v>Men's</v>
      </c>
      <c r="C53" s="25" t="s">
        <v>261</v>
      </c>
      <c r="D53" s="22" t="s">
        <v>262</v>
      </c>
      <c r="E53" s="25" t="s">
        <v>505</v>
      </c>
      <c r="F53" s="22" t="s">
        <v>122</v>
      </c>
      <c r="G53" s="22">
        <f>wimbledons_champions!G61</f>
        <v>94</v>
      </c>
      <c r="H53" s="25" t="str">
        <f>wimbledons_champions!H61</f>
        <v>6-3, 6-4, 6-3</v>
      </c>
      <c r="I53" s="25" t="s">
        <v>263</v>
      </c>
      <c r="J53" s="22" t="s">
        <v>28</v>
      </c>
      <c r="K53" s="25" t="s">
        <v>499</v>
      </c>
      <c r="L53" s="22" t="s">
        <v>122</v>
      </c>
      <c r="M53" s="18">
        <v>0.6428571428571429</v>
      </c>
      <c r="N53" s="18"/>
      <c r="O53" s="19" t="s">
        <v>741</v>
      </c>
      <c r="P53" s="19">
        <v>3</v>
      </c>
      <c r="Q53" s="19">
        <v>6</v>
      </c>
      <c r="R53" s="19">
        <v>4</v>
      </c>
      <c r="S53" s="19">
        <v>6</v>
      </c>
      <c r="T53" s="19">
        <v>3</v>
      </c>
      <c r="U53" s="19"/>
      <c r="V53" s="19"/>
      <c r="W53" s="19"/>
      <c r="X53" s="19"/>
      <c r="Y53" s="20">
        <f t="shared" si="4"/>
        <v>18</v>
      </c>
      <c r="Z53" s="20">
        <f t="shared" si="3"/>
        <v>10</v>
      </c>
      <c r="AA53" s="21">
        <f t="shared" si="5"/>
        <v>0.6428571428571429</v>
      </c>
    </row>
    <row r="54" spans="1:27" x14ac:dyDescent="0.4">
      <c r="A54" s="22">
        <f>wimbledons_champions!A62</f>
        <v>1995</v>
      </c>
      <c r="B54" s="25" t="str">
        <f>wimbledons_champions!B62</f>
        <v>Women's</v>
      </c>
      <c r="C54" s="25" t="s">
        <v>380</v>
      </c>
      <c r="D54" s="22" t="s">
        <v>126</v>
      </c>
      <c r="E54" s="25" t="s">
        <v>495</v>
      </c>
      <c r="F54" s="22">
        <v>1</v>
      </c>
      <c r="G54" s="22">
        <f>wimbledons_champions!G62</f>
        <v>122</v>
      </c>
      <c r="H54" s="25" t="str">
        <f>wimbledons_champions!H62</f>
        <v>4-6, 6-1, 7-5,</v>
      </c>
      <c r="I54" s="25" t="s">
        <v>384</v>
      </c>
      <c r="J54" s="22" t="s">
        <v>135</v>
      </c>
      <c r="K54" s="25" t="s">
        <v>496</v>
      </c>
      <c r="L54" s="22">
        <v>2</v>
      </c>
      <c r="M54" s="18">
        <v>0.58620689655172409</v>
      </c>
      <c r="N54" s="18"/>
      <c r="O54" s="19" t="s">
        <v>743</v>
      </c>
      <c r="P54" s="19">
        <v>6</v>
      </c>
      <c r="Q54" s="19">
        <v>6</v>
      </c>
      <c r="R54" s="19">
        <v>1</v>
      </c>
      <c r="S54" s="19">
        <v>7</v>
      </c>
      <c r="T54" s="19">
        <v>5</v>
      </c>
      <c r="U54" s="19"/>
      <c r="V54" s="19"/>
      <c r="W54" s="19"/>
      <c r="X54" s="19"/>
      <c r="Y54" s="20">
        <f t="shared" si="4"/>
        <v>17</v>
      </c>
      <c r="Z54" s="20">
        <f t="shared" si="3"/>
        <v>12</v>
      </c>
      <c r="AA54" s="21">
        <f t="shared" si="5"/>
        <v>0.58620689655172409</v>
      </c>
    </row>
    <row r="55" spans="1:27" x14ac:dyDescent="0.4">
      <c r="A55" s="22">
        <f>wimbledons_champions!A63</f>
        <v>1995</v>
      </c>
      <c r="B55" s="25" t="str">
        <f>wimbledons_champions!B63</f>
        <v>Men's</v>
      </c>
      <c r="C55" s="25" t="s">
        <v>150</v>
      </c>
      <c r="D55" s="22" t="s">
        <v>28</v>
      </c>
      <c r="E55" s="25" t="s">
        <v>499</v>
      </c>
      <c r="F55" s="22">
        <v>2</v>
      </c>
      <c r="G55" s="22">
        <f>wimbledons_champions!G63</f>
        <v>149</v>
      </c>
      <c r="H55" s="25" t="str">
        <f>wimbledons_champions!H63</f>
        <v>6-7 (5-7), 6-2, 6-4, 6-2</v>
      </c>
      <c r="I55" s="25" t="s">
        <v>213</v>
      </c>
      <c r="J55" s="22" t="s">
        <v>126</v>
      </c>
      <c r="K55" s="25" t="s">
        <v>495</v>
      </c>
      <c r="L55" s="22">
        <v>3</v>
      </c>
      <c r="M55" s="18">
        <v>0.61538461538461542</v>
      </c>
      <c r="N55" s="18"/>
      <c r="O55" s="19" t="s">
        <v>741</v>
      </c>
      <c r="P55" s="19">
        <v>7</v>
      </c>
      <c r="Q55" s="19">
        <v>6</v>
      </c>
      <c r="R55" s="19">
        <v>2</v>
      </c>
      <c r="S55" s="19">
        <v>6</v>
      </c>
      <c r="T55" s="19">
        <v>4</v>
      </c>
      <c r="U55" s="19">
        <v>6</v>
      </c>
      <c r="V55" s="19">
        <v>2</v>
      </c>
      <c r="W55" s="19"/>
      <c r="X55" s="19"/>
      <c r="Y55" s="20">
        <f t="shared" si="4"/>
        <v>24</v>
      </c>
      <c r="Z55" s="20">
        <f t="shared" si="3"/>
        <v>15</v>
      </c>
      <c r="AA55" s="21">
        <f t="shared" si="5"/>
        <v>0.61538461538461542</v>
      </c>
    </row>
    <row r="56" spans="1:27" x14ac:dyDescent="0.4">
      <c r="A56" s="22">
        <f>wimbledons_champions!A64</f>
        <v>1994</v>
      </c>
      <c r="B56" s="25" t="str">
        <f>wimbledons_champions!B64</f>
        <v>Women's</v>
      </c>
      <c r="C56" s="25" t="s">
        <v>298</v>
      </c>
      <c r="D56" s="22" t="s">
        <v>135</v>
      </c>
      <c r="E56" s="25" t="s">
        <v>496</v>
      </c>
      <c r="F56" s="22">
        <v>3</v>
      </c>
      <c r="G56" s="22">
        <f>wimbledons_champions!G64</f>
        <v>119</v>
      </c>
      <c r="H56" s="25" t="str">
        <f>wimbledons_champions!H64</f>
        <v>6-4, 3-6, 6-3,</v>
      </c>
      <c r="I56" s="25" t="s">
        <v>300</v>
      </c>
      <c r="J56" s="22" t="s">
        <v>28</v>
      </c>
      <c r="K56" s="25" t="s">
        <v>499</v>
      </c>
      <c r="L56" s="22">
        <v>4</v>
      </c>
      <c r="M56" s="18">
        <v>0.5357142857142857</v>
      </c>
      <c r="N56" s="18"/>
      <c r="O56" s="19" t="s">
        <v>741</v>
      </c>
      <c r="P56" s="19">
        <v>4</v>
      </c>
      <c r="Q56" s="19">
        <v>3</v>
      </c>
      <c r="R56" s="19">
        <v>6</v>
      </c>
      <c r="S56" s="19">
        <v>6</v>
      </c>
      <c r="T56" s="19">
        <v>3</v>
      </c>
      <c r="U56" s="19"/>
      <c r="V56" s="19"/>
      <c r="W56" s="19"/>
      <c r="X56" s="19"/>
      <c r="Y56" s="20">
        <f t="shared" si="4"/>
        <v>15</v>
      </c>
      <c r="Z56" s="20">
        <f t="shared" si="3"/>
        <v>13</v>
      </c>
      <c r="AA56" s="21">
        <f t="shared" si="5"/>
        <v>0.5357142857142857</v>
      </c>
    </row>
    <row r="57" spans="1:27" x14ac:dyDescent="0.4">
      <c r="A57" s="22">
        <f>wimbledons_champions!A65</f>
        <v>1994</v>
      </c>
      <c r="B57" s="25" t="str">
        <f>wimbledons_champions!B65</f>
        <v>Men's</v>
      </c>
      <c r="C57" s="25" t="s">
        <v>150</v>
      </c>
      <c r="D57" s="22" t="s">
        <v>28</v>
      </c>
      <c r="E57" s="25" t="s">
        <v>499</v>
      </c>
      <c r="F57" s="22">
        <v>1</v>
      </c>
      <c r="G57" s="22">
        <f>wimbledons_champions!G65</f>
        <v>115</v>
      </c>
      <c r="H57" s="25" t="str">
        <f>wimbledons_champions!H65</f>
        <v>7-6 (7-2), 7-6 (7-5), 6-0</v>
      </c>
      <c r="I57" s="25" t="s">
        <v>154</v>
      </c>
      <c r="J57" s="22" t="s">
        <v>153</v>
      </c>
      <c r="K57" s="25" t="s">
        <v>504</v>
      </c>
      <c r="L57" s="22">
        <v>4</v>
      </c>
      <c r="M57" s="18">
        <v>0.625</v>
      </c>
      <c r="N57" s="18"/>
      <c r="O57" s="19" t="s">
        <v>742</v>
      </c>
      <c r="P57" s="19">
        <v>6</v>
      </c>
      <c r="Q57" s="19">
        <v>7</v>
      </c>
      <c r="R57" s="19">
        <v>6</v>
      </c>
      <c r="S57" s="19">
        <v>6</v>
      </c>
      <c r="T57" s="19">
        <v>0</v>
      </c>
      <c r="U57" s="19"/>
      <c r="V57" s="19"/>
      <c r="W57" s="19"/>
      <c r="X57" s="19"/>
      <c r="Y57" s="20">
        <f t="shared" si="4"/>
        <v>20</v>
      </c>
      <c r="Z57" s="20">
        <f t="shared" si="3"/>
        <v>12</v>
      </c>
      <c r="AA57" s="21">
        <f t="shared" si="5"/>
        <v>0.625</v>
      </c>
    </row>
    <row r="58" spans="1:27" x14ac:dyDescent="0.4">
      <c r="A58" s="22">
        <f>wimbledons_champions!A66</f>
        <v>1993</v>
      </c>
      <c r="B58" s="25" t="str">
        <f>wimbledons_champions!B66</f>
        <v>Women's</v>
      </c>
      <c r="C58" s="25" t="s">
        <v>380</v>
      </c>
      <c r="D58" s="22" t="s">
        <v>126</v>
      </c>
      <c r="E58" s="25" t="s">
        <v>495</v>
      </c>
      <c r="F58" s="22">
        <v>1</v>
      </c>
      <c r="G58" s="22">
        <f>wimbledons_champions!G66</f>
        <v>134</v>
      </c>
      <c r="H58" s="25" t="str">
        <f>wimbledons_champions!H66</f>
        <v>7-6 (8-6), 1-6, 6-4,</v>
      </c>
      <c r="I58" s="25" t="s">
        <v>288</v>
      </c>
      <c r="J58" s="22" t="s">
        <v>107</v>
      </c>
      <c r="K58" s="25" t="s">
        <v>500</v>
      </c>
      <c r="L58" s="22">
        <v>8</v>
      </c>
      <c r="M58" s="18">
        <v>0.46666666666666667</v>
      </c>
      <c r="N58" s="18"/>
      <c r="O58" s="19" t="s">
        <v>742</v>
      </c>
      <c r="P58" s="19">
        <v>6</v>
      </c>
      <c r="Q58" s="19">
        <v>1</v>
      </c>
      <c r="R58" s="19">
        <v>6</v>
      </c>
      <c r="S58" s="19">
        <v>6</v>
      </c>
      <c r="T58" s="19">
        <v>4</v>
      </c>
      <c r="U58" s="19"/>
      <c r="V58" s="19"/>
      <c r="W58" s="19"/>
      <c r="X58" s="19"/>
      <c r="Y58" s="20">
        <f t="shared" si="4"/>
        <v>14</v>
      </c>
      <c r="Z58" s="20">
        <f t="shared" si="3"/>
        <v>16</v>
      </c>
      <c r="AA58" s="21">
        <f t="shared" si="5"/>
        <v>0.46666666666666667</v>
      </c>
    </row>
    <row r="59" spans="1:27" x14ac:dyDescent="0.4">
      <c r="A59" s="22">
        <f>wimbledons_champions!A67</f>
        <v>1993</v>
      </c>
      <c r="B59" s="25" t="str">
        <f>wimbledons_champions!B67</f>
        <v>Men's</v>
      </c>
      <c r="C59" s="25" t="s">
        <v>150</v>
      </c>
      <c r="D59" s="22" t="s">
        <v>28</v>
      </c>
      <c r="E59" s="25" t="s">
        <v>499</v>
      </c>
      <c r="F59" s="22">
        <v>1</v>
      </c>
      <c r="G59" s="22">
        <f>wimbledons_champions!G67</f>
        <v>178</v>
      </c>
      <c r="H59" s="25" t="str">
        <f>wimbledons_champions!H67</f>
        <v>7-6 (7-3), 7-6 (8-6), 3-6, 6-3</v>
      </c>
      <c r="I59" s="25" t="s">
        <v>166</v>
      </c>
      <c r="J59" s="22" t="s">
        <v>28</v>
      </c>
      <c r="K59" s="25" t="s">
        <v>499</v>
      </c>
      <c r="L59" s="22">
        <v>3</v>
      </c>
      <c r="M59" s="18">
        <v>0.52272727272727271</v>
      </c>
      <c r="N59" s="18"/>
      <c r="O59" s="19" t="s">
        <v>742</v>
      </c>
      <c r="P59" s="19">
        <v>6</v>
      </c>
      <c r="Q59" s="19">
        <v>7</v>
      </c>
      <c r="R59" s="19">
        <v>6</v>
      </c>
      <c r="S59" s="19">
        <v>3</v>
      </c>
      <c r="T59" s="19">
        <v>6</v>
      </c>
      <c r="U59" s="19">
        <v>6</v>
      </c>
      <c r="V59" s="19">
        <v>3</v>
      </c>
      <c r="W59" s="19"/>
      <c r="X59" s="19"/>
      <c r="Y59" s="20">
        <f t="shared" si="4"/>
        <v>23</v>
      </c>
      <c r="Z59" s="20">
        <f t="shared" si="3"/>
        <v>21</v>
      </c>
      <c r="AA59" s="21">
        <f t="shared" si="5"/>
        <v>0.52272727272727271</v>
      </c>
    </row>
    <row r="60" spans="1:27" x14ac:dyDescent="0.4">
      <c r="A60" s="22">
        <f>wimbledons_champions!A68</f>
        <v>1992</v>
      </c>
      <c r="B60" s="25" t="str">
        <f>wimbledons_champions!B68</f>
        <v>Women's</v>
      </c>
      <c r="C60" s="25" t="s">
        <v>380</v>
      </c>
      <c r="D60" s="22" t="s">
        <v>126</v>
      </c>
      <c r="E60" s="25" t="s">
        <v>495</v>
      </c>
      <c r="F60" s="22">
        <v>2</v>
      </c>
      <c r="G60" s="22">
        <f>wimbledons_champions!G68</f>
        <v>58</v>
      </c>
      <c r="H60" s="25" t="str">
        <f>wimbledons_champions!H68</f>
        <v>6-2, 6-1,</v>
      </c>
      <c r="I60" s="25" t="s">
        <v>394</v>
      </c>
      <c r="J60" s="22" t="s">
        <v>393</v>
      </c>
      <c r="K60" s="25" t="s">
        <v>515</v>
      </c>
      <c r="L60" s="22">
        <v>1</v>
      </c>
      <c r="M60" s="18">
        <v>0.8</v>
      </c>
      <c r="N60" s="18"/>
      <c r="O60" s="19" t="s">
        <v>741</v>
      </c>
      <c r="P60" s="19">
        <v>2</v>
      </c>
      <c r="Q60" s="19">
        <v>6</v>
      </c>
      <c r="R60" s="19">
        <v>1</v>
      </c>
      <c r="S60" s="19"/>
      <c r="T60" s="19"/>
      <c r="U60" s="19"/>
      <c r="V60" s="19"/>
      <c r="W60" s="19"/>
      <c r="X60" s="19"/>
      <c r="Y60" s="20">
        <f t="shared" si="4"/>
        <v>12</v>
      </c>
      <c r="Z60" s="20">
        <f t="shared" si="3"/>
        <v>3</v>
      </c>
      <c r="AA60" s="21">
        <f t="shared" si="5"/>
        <v>0.8</v>
      </c>
    </row>
    <row r="61" spans="1:27" x14ac:dyDescent="0.4">
      <c r="A61" s="22">
        <f>wimbledons_champions!A69</f>
        <v>1992</v>
      </c>
      <c r="B61" s="25" t="str">
        <f>wimbledons_champions!B69</f>
        <v>Men's</v>
      </c>
      <c r="C61" s="25" t="s">
        <v>169</v>
      </c>
      <c r="D61" s="22" t="s">
        <v>28</v>
      </c>
      <c r="E61" s="25" t="s">
        <v>499</v>
      </c>
      <c r="F61" s="22">
        <v>12</v>
      </c>
      <c r="G61" s="22">
        <f>wimbledons_champions!G69</f>
        <v>170</v>
      </c>
      <c r="H61" s="25" t="str">
        <f>wimbledons_champions!H69</f>
        <v>6-7 (8-10), 6-4, 6-4, 1-6, 6-4</v>
      </c>
      <c r="I61" s="25" t="s">
        <v>154</v>
      </c>
      <c r="J61" s="22" t="s">
        <v>153</v>
      </c>
      <c r="K61" s="25" t="s">
        <v>504</v>
      </c>
      <c r="L61" s="22">
        <v>8</v>
      </c>
      <c r="M61" s="18">
        <v>0.5</v>
      </c>
      <c r="N61" s="18"/>
      <c r="O61" s="19" t="s">
        <v>741</v>
      </c>
      <c r="P61" s="19">
        <v>7</v>
      </c>
      <c r="Q61" s="19">
        <v>6</v>
      </c>
      <c r="R61" s="19">
        <v>4</v>
      </c>
      <c r="S61" s="19">
        <v>6</v>
      </c>
      <c r="T61" s="19">
        <v>4</v>
      </c>
      <c r="U61" s="19">
        <v>1</v>
      </c>
      <c r="V61" s="19">
        <v>6</v>
      </c>
      <c r="W61" s="19" t="s">
        <v>741</v>
      </c>
      <c r="X61" s="19">
        <v>4</v>
      </c>
      <c r="Y61" s="20">
        <f t="shared" si="4"/>
        <v>25</v>
      </c>
      <c r="Z61" s="20">
        <f t="shared" si="3"/>
        <v>25</v>
      </c>
      <c r="AA61" s="21">
        <f t="shared" si="5"/>
        <v>0.5</v>
      </c>
    </row>
    <row r="62" spans="1:27" x14ac:dyDescent="0.4">
      <c r="A62" s="22">
        <f>wimbledons_champions!A70</f>
        <v>1991</v>
      </c>
      <c r="B62" s="25" t="str">
        <f>wimbledons_champions!B70</f>
        <v>Women's</v>
      </c>
      <c r="C62" s="25" t="s">
        <v>380</v>
      </c>
      <c r="D62" s="22" t="s">
        <v>126</v>
      </c>
      <c r="E62" s="25" t="s">
        <v>495</v>
      </c>
      <c r="F62" s="22">
        <v>1</v>
      </c>
      <c r="G62" s="22">
        <f>wimbledons_champions!G70</f>
        <v>127</v>
      </c>
      <c r="H62" s="25" t="str">
        <f>wimbledons_champions!H70</f>
        <v>6-4, 3-6, 8-6,</v>
      </c>
      <c r="I62" s="25" t="s">
        <v>382</v>
      </c>
      <c r="J62" s="22" t="s">
        <v>111</v>
      </c>
      <c r="K62" s="25" t="s">
        <v>514</v>
      </c>
      <c r="L62" s="22">
        <v>2</v>
      </c>
      <c r="M62" s="18">
        <v>0.51515151515151514</v>
      </c>
      <c r="N62" s="18"/>
      <c r="O62" s="19" t="s">
        <v>741</v>
      </c>
      <c r="P62" s="19">
        <v>4</v>
      </c>
      <c r="Q62" s="19">
        <v>3</v>
      </c>
      <c r="R62" s="19">
        <v>6</v>
      </c>
      <c r="S62" s="19">
        <v>8</v>
      </c>
      <c r="T62" s="19">
        <v>6</v>
      </c>
      <c r="U62" s="19"/>
      <c r="V62" s="19"/>
      <c r="W62" s="19"/>
      <c r="X62" s="19"/>
      <c r="Y62" s="20">
        <f t="shared" si="4"/>
        <v>17</v>
      </c>
      <c r="Z62" s="20">
        <f t="shared" si="3"/>
        <v>16</v>
      </c>
      <c r="AA62" s="21">
        <f t="shared" si="5"/>
        <v>0.51515151515151514</v>
      </c>
    </row>
    <row r="63" spans="1:27" x14ac:dyDescent="0.4">
      <c r="A63" s="22">
        <f>wimbledons_champions!A71</f>
        <v>1991</v>
      </c>
      <c r="B63" s="25" t="str">
        <f>wimbledons_champions!B71</f>
        <v>Men's</v>
      </c>
      <c r="C63" s="25" t="s">
        <v>248</v>
      </c>
      <c r="D63" s="22" t="s">
        <v>126</v>
      </c>
      <c r="E63" s="25" t="s">
        <v>495</v>
      </c>
      <c r="F63" s="22">
        <v>6</v>
      </c>
      <c r="G63" s="22">
        <f>wimbledons_champions!G71</f>
        <v>153</v>
      </c>
      <c r="H63" s="25" t="str">
        <f>wimbledons_champions!H71</f>
        <v>6-4, 7-6 (7-4), 6-4</v>
      </c>
      <c r="I63" s="25" t="s">
        <v>213</v>
      </c>
      <c r="J63" s="22" t="s">
        <v>126</v>
      </c>
      <c r="K63" s="25" t="s">
        <v>495</v>
      </c>
      <c r="L63" s="22">
        <v>2</v>
      </c>
      <c r="M63" s="18">
        <v>0.5757575757575758</v>
      </c>
      <c r="N63" s="18"/>
      <c r="O63" s="19" t="s">
        <v>741</v>
      </c>
      <c r="P63" s="19">
        <v>4</v>
      </c>
      <c r="Q63" s="19">
        <v>7</v>
      </c>
      <c r="R63" s="19">
        <v>6</v>
      </c>
      <c r="S63" s="19">
        <v>6</v>
      </c>
      <c r="T63" s="19">
        <v>4</v>
      </c>
      <c r="U63" s="19"/>
      <c r="V63" s="19"/>
      <c r="W63" s="19"/>
      <c r="X63" s="19"/>
      <c r="Y63" s="20">
        <f t="shared" si="4"/>
        <v>19</v>
      </c>
      <c r="Z63" s="20">
        <f t="shared" si="3"/>
        <v>14</v>
      </c>
      <c r="AA63" s="21">
        <f t="shared" si="5"/>
        <v>0.5757575757575758</v>
      </c>
    </row>
    <row r="64" spans="1:27" x14ac:dyDescent="0.4">
      <c r="A64" s="22">
        <f>wimbledons_champions!A72</f>
        <v>1990</v>
      </c>
      <c r="B64" s="25" t="str">
        <f>wimbledons_champions!B72</f>
        <v>Women's</v>
      </c>
      <c r="C64" s="25" t="s">
        <v>300</v>
      </c>
      <c r="D64" s="22" t="s">
        <v>28</v>
      </c>
      <c r="E64" s="25" t="s">
        <v>499</v>
      </c>
      <c r="F64" s="22">
        <v>2</v>
      </c>
      <c r="G64" s="22">
        <f>wimbledons_champions!G72</f>
        <v>75</v>
      </c>
      <c r="H64" s="25" t="str">
        <f>wimbledons_champions!H72</f>
        <v>6-4, 6-1,</v>
      </c>
      <c r="I64" s="25" t="s">
        <v>452</v>
      </c>
      <c r="J64" s="22" t="s">
        <v>28</v>
      </c>
      <c r="K64" s="25" t="s">
        <v>499</v>
      </c>
      <c r="L64" s="22">
        <v>5</v>
      </c>
      <c r="M64" s="18">
        <v>0.70588235294117652</v>
      </c>
      <c r="N64" s="18"/>
      <c r="O64" s="19" t="s">
        <v>741</v>
      </c>
      <c r="P64" s="19">
        <v>4</v>
      </c>
      <c r="Q64" s="19">
        <v>6</v>
      </c>
      <c r="R64" s="19">
        <v>1</v>
      </c>
      <c r="S64" s="19"/>
      <c r="T64" s="19"/>
      <c r="U64" s="19"/>
      <c r="V64" s="19"/>
      <c r="W64" s="19"/>
      <c r="X64" s="19"/>
      <c r="Y64" s="20">
        <f t="shared" si="4"/>
        <v>12</v>
      </c>
      <c r="Z64" s="20">
        <f t="shared" si="3"/>
        <v>5</v>
      </c>
      <c r="AA64" s="21">
        <f t="shared" si="5"/>
        <v>0.70588235294117652</v>
      </c>
    </row>
    <row r="65" spans="1:27" x14ac:dyDescent="0.4">
      <c r="A65" s="22">
        <f>wimbledons_champions!A73</f>
        <v>1990</v>
      </c>
      <c r="B65" s="25" t="str">
        <f>wimbledons_champions!B73</f>
        <v>Men's</v>
      </c>
      <c r="C65" s="25" t="s">
        <v>228</v>
      </c>
      <c r="D65" s="22" t="s">
        <v>143</v>
      </c>
      <c r="E65" s="25" t="s">
        <v>506</v>
      </c>
      <c r="F65" s="22">
        <v>3</v>
      </c>
      <c r="G65" s="22">
        <f>wimbledons_champions!G73</f>
        <v>178</v>
      </c>
      <c r="H65" s="25" t="str">
        <f>wimbledons_champions!H73</f>
        <v>6-2, 6-2, 3-6, 3-6, 6-4</v>
      </c>
      <c r="I65" s="25" t="s">
        <v>213</v>
      </c>
      <c r="J65" s="22" t="s">
        <v>126</v>
      </c>
      <c r="K65" s="25" t="s">
        <v>495</v>
      </c>
      <c r="L65" s="22">
        <v>2</v>
      </c>
      <c r="M65" s="18">
        <v>0.54545454545454541</v>
      </c>
      <c r="N65" s="18"/>
      <c r="O65" s="19" t="s">
        <v>741</v>
      </c>
      <c r="P65" s="19">
        <v>2</v>
      </c>
      <c r="Q65" s="19">
        <v>6</v>
      </c>
      <c r="R65" s="19">
        <v>2</v>
      </c>
      <c r="S65" s="19">
        <v>3</v>
      </c>
      <c r="T65" s="19">
        <v>6</v>
      </c>
      <c r="U65" s="19">
        <v>3</v>
      </c>
      <c r="V65" s="19">
        <v>6</v>
      </c>
      <c r="W65" s="19" t="s">
        <v>741</v>
      </c>
      <c r="X65" s="19">
        <v>4</v>
      </c>
      <c r="Y65" s="20">
        <f t="shared" si="4"/>
        <v>24</v>
      </c>
      <c r="Z65" s="20">
        <f t="shared" si="3"/>
        <v>20</v>
      </c>
      <c r="AA65" s="21">
        <f t="shared" si="5"/>
        <v>0.54545454545454541</v>
      </c>
    </row>
    <row r="66" spans="1:27" x14ac:dyDescent="0.4">
      <c r="A66" s="22">
        <f>wimbledons_champions!A74</f>
        <v>1989</v>
      </c>
      <c r="B66" s="25" t="str">
        <f>wimbledons_champions!B74</f>
        <v>Women's</v>
      </c>
      <c r="C66" s="25" t="s">
        <v>380</v>
      </c>
      <c r="D66" s="22" t="s">
        <v>126</v>
      </c>
      <c r="E66" s="25" t="s">
        <v>495</v>
      </c>
      <c r="F66" s="22">
        <v>1</v>
      </c>
      <c r="G66" s="22">
        <f>wimbledons_champions!G74</f>
        <v>92</v>
      </c>
      <c r="H66" s="25" t="str">
        <f>wimbledons_champions!H74</f>
        <v>6-2, 6-7 (1-7), 6-1,</v>
      </c>
      <c r="I66" s="25" t="s">
        <v>300</v>
      </c>
      <c r="J66" s="22" t="s">
        <v>28</v>
      </c>
      <c r="K66" s="25" t="s">
        <v>499</v>
      </c>
      <c r="L66" s="22">
        <v>2</v>
      </c>
      <c r="M66" s="18">
        <v>0.6428571428571429</v>
      </c>
      <c r="N66" s="18"/>
      <c r="O66" s="19" t="s">
        <v>741</v>
      </c>
      <c r="P66" s="19">
        <v>2</v>
      </c>
      <c r="Q66" s="19">
        <v>6</v>
      </c>
      <c r="R66" s="19">
        <v>7</v>
      </c>
      <c r="S66" s="19">
        <v>6</v>
      </c>
      <c r="T66" s="19">
        <v>1</v>
      </c>
      <c r="U66" s="19"/>
      <c r="V66" s="19"/>
      <c r="W66" s="19"/>
      <c r="X66" s="19"/>
      <c r="Y66" s="20">
        <f t="shared" si="4"/>
        <v>18</v>
      </c>
      <c r="Z66" s="20">
        <f t="shared" si="3"/>
        <v>10</v>
      </c>
      <c r="AA66" s="21">
        <f t="shared" si="5"/>
        <v>0.6428571428571429</v>
      </c>
    </row>
    <row r="67" spans="1:27" x14ac:dyDescent="0.4">
      <c r="A67" s="22">
        <f>wimbledons_champions!A75</f>
        <v>1989</v>
      </c>
      <c r="B67" s="25" t="str">
        <f>wimbledons_champions!B75</f>
        <v>Men's</v>
      </c>
      <c r="C67" s="25" t="s">
        <v>213</v>
      </c>
      <c r="D67" s="22" t="s">
        <v>126</v>
      </c>
      <c r="E67" s="25" t="s">
        <v>495</v>
      </c>
      <c r="F67" s="22">
        <v>3</v>
      </c>
      <c r="G67" s="22">
        <f>wimbledons_champions!G75</f>
        <v>132</v>
      </c>
      <c r="H67" s="25" t="str">
        <f>wimbledons_champions!H75</f>
        <v>6-0, 7-6 (7-1), 6-4</v>
      </c>
      <c r="I67" s="25" t="s">
        <v>228</v>
      </c>
      <c r="J67" s="22" t="s">
        <v>143</v>
      </c>
      <c r="K67" s="25" t="s">
        <v>506</v>
      </c>
      <c r="L67" s="22">
        <v>2</v>
      </c>
      <c r="M67" s="18">
        <v>0.65517241379310343</v>
      </c>
      <c r="N67" s="18"/>
      <c r="O67" s="19" t="s">
        <v>741</v>
      </c>
      <c r="P67" s="19">
        <v>0</v>
      </c>
      <c r="Q67" s="19">
        <v>7</v>
      </c>
      <c r="R67" s="19">
        <v>6</v>
      </c>
      <c r="S67" s="19">
        <v>6</v>
      </c>
      <c r="T67" s="19">
        <v>4</v>
      </c>
      <c r="U67" s="19"/>
      <c r="V67" s="19"/>
      <c r="W67" s="19"/>
      <c r="X67" s="19"/>
      <c r="Y67" s="20">
        <f t="shared" si="4"/>
        <v>19</v>
      </c>
      <c r="Z67" s="20">
        <f t="shared" si="3"/>
        <v>10</v>
      </c>
      <c r="AA67" s="21">
        <f t="shared" si="5"/>
        <v>0.65517241379310343</v>
      </c>
    </row>
    <row r="68" spans="1:27" x14ac:dyDescent="0.4">
      <c r="A68" s="22">
        <f>wimbledons_champions!A76</f>
        <v>1988</v>
      </c>
      <c r="B68" s="25" t="str">
        <f>wimbledons_champions!B76</f>
        <v>Women's</v>
      </c>
      <c r="C68" s="25" t="s">
        <v>380</v>
      </c>
      <c r="D68" s="22" t="s">
        <v>126</v>
      </c>
      <c r="E68" s="25" t="s">
        <v>495</v>
      </c>
      <c r="F68" s="22">
        <v>1</v>
      </c>
      <c r="G68" s="22">
        <f>wimbledons_champions!G76</f>
        <v>93</v>
      </c>
      <c r="H68" s="25" t="str">
        <f>wimbledons_champions!H76</f>
        <v>5-7, 6-2, 6-1,</v>
      </c>
      <c r="I68" s="25" t="s">
        <v>300</v>
      </c>
      <c r="J68" s="22" t="s">
        <v>28</v>
      </c>
      <c r="K68" s="25" t="s">
        <v>499</v>
      </c>
      <c r="L68" s="22">
        <v>2</v>
      </c>
      <c r="M68" s="18">
        <v>0.62962962962962965</v>
      </c>
      <c r="N68" s="18"/>
      <c r="O68" s="19" t="s">
        <v>744</v>
      </c>
      <c r="P68" s="19">
        <v>7</v>
      </c>
      <c r="Q68" s="19">
        <v>6</v>
      </c>
      <c r="R68" s="19">
        <v>2</v>
      </c>
      <c r="S68" s="19">
        <v>6</v>
      </c>
      <c r="T68" s="19">
        <v>1</v>
      </c>
      <c r="U68" s="19"/>
      <c r="V68" s="19"/>
      <c r="W68" s="19"/>
      <c r="X68" s="19"/>
      <c r="Y68" s="20">
        <f t="shared" si="4"/>
        <v>17</v>
      </c>
      <c r="Z68" s="20">
        <f t="shared" si="3"/>
        <v>10</v>
      </c>
      <c r="AA68" s="21">
        <f t="shared" si="5"/>
        <v>0.62962962962962965</v>
      </c>
    </row>
    <row r="69" spans="1:27" x14ac:dyDescent="0.4">
      <c r="A69" s="22">
        <f>wimbledons_champions!A77</f>
        <v>1988</v>
      </c>
      <c r="B69" s="25" t="str">
        <f>wimbledons_champions!B77</f>
        <v>Men's</v>
      </c>
      <c r="C69" s="25" t="s">
        <v>228</v>
      </c>
      <c r="D69" s="22" t="s">
        <v>143</v>
      </c>
      <c r="E69" s="25" t="s">
        <v>506</v>
      </c>
      <c r="F69" s="22">
        <v>3</v>
      </c>
      <c r="G69" s="22">
        <f>wimbledons_champions!G77</f>
        <v>170</v>
      </c>
      <c r="H69" s="25" t="str">
        <f>wimbledons_champions!H77</f>
        <v>4-6, 7-6 (7-2), 6-4, 6-2</v>
      </c>
      <c r="I69" s="25" t="s">
        <v>213</v>
      </c>
      <c r="J69" s="22" t="s">
        <v>126</v>
      </c>
      <c r="K69" s="25" t="s">
        <v>495</v>
      </c>
      <c r="L69" s="22">
        <v>6</v>
      </c>
      <c r="M69" s="18">
        <v>0.56097560975609762</v>
      </c>
      <c r="N69" s="18"/>
      <c r="O69" s="19" t="s">
        <v>743</v>
      </c>
      <c r="P69" s="19">
        <v>6</v>
      </c>
      <c r="Q69" s="19">
        <v>7</v>
      </c>
      <c r="R69" s="19">
        <v>6</v>
      </c>
      <c r="S69" s="19">
        <v>6</v>
      </c>
      <c r="T69" s="19">
        <v>4</v>
      </c>
      <c r="U69" s="19">
        <v>6</v>
      </c>
      <c r="V69" s="19">
        <v>2</v>
      </c>
      <c r="W69" s="19"/>
      <c r="X69" s="19"/>
      <c r="Y69" s="20">
        <f t="shared" si="4"/>
        <v>23</v>
      </c>
      <c r="Z69" s="20">
        <f t="shared" si="3"/>
        <v>18</v>
      </c>
      <c r="AA69" s="21">
        <f>Y69/(Y69+Z69)</f>
        <v>0.56097560975609762</v>
      </c>
    </row>
    <row r="70" spans="1:27" x14ac:dyDescent="0.4">
      <c r="A70" s="22">
        <f>wimbledons_champions!A78</f>
        <v>1987</v>
      </c>
      <c r="B70" s="25" t="str">
        <f>wimbledons_champions!B78</f>
        <v>Women's</v>
      </c>
      <c r="C70" s="25" t="s">
        <v>300</v>
      </c>
      <c r="D70" s="22" t="s">
        <v>28</v>
      </c>
      <c r="E70" s="25" t="s">
        <v>499</v>
      </c>
      <c r="F70" s="22">
        <v>1</v>
      </c>
      <c r="G70" s="22">
        <f>wimbledons_champions!G78</f>
        <v>69</v>
      </c>
      <c r="H70" s="25" t="str">
        <f>wimbledons_champions!H78</f>
        <v>7-5, 6-3,</v>
      </c>
      <c r="I70" s="25" t="s">
        <v>380</v>
      </c>
      <c r="J70" s="22" t="s">
        <v>126</v>
      </c>
      <c r="K70" s="25" t="s">
        <v>495</v>
      </c>
      <c r="L70" s="22">
        <v>2</v>
      </c>
      <c r="M70" s="18">
        <v>0.61904761904761907</v>
      </c>
      <c r="N70" s="18"/>
      <c r="O70" s="19" t="s">
        <v>742</v>
      </c>
      <c r="P70" s="19">
        <v>5</v>
      </c>
      <c r="Q70" s="19">
        <v>6</v>
      </c>
      <c r="R70" s="19">
        <v>3</v>
      </c>
      <c r="S70" s="19"/>
      <c r="T70" s="19"/>
      <c r="U70" s="19"/>
      <c r="V70" s="19"/>
      <c r="W70" s="19"/>
      <c r="X70" s="19"/>
      <c r="Y70" s="20">
        <f t="shared" si="4"/>
        <v>13</v>
      </c>
      <c r="Z70" s="20">
        <f t="shared" si="3"/>
        <v>8</v>
      </c>
      <c r="AA70" s="21">
        <f t="shared" ref="AA70:AA133" si="6">Y70/(Y70+Z70)</f>
        <v>0.61904761904761907</v>
      </c>
    </row>
    <row r="71" spans="1:27" x14ac:dyDescent="0.4">
      <c r="A71" s="22">
        <f>wimbledons_champions!A79</f>
        <v>1987</v>
      </c>
      <c r="B71" s="25" t="str">
        <f>wimbledons_champions!B79</f>
        <v>Men's</v>
      </c>
      <c r="C71" s="25" t="s">
        <v>180</v>
      </c>
      <c r="D71" s="22" t="s">
        <v>12</v>
      </c>
      <c r="E71" s="25" t="s">
        <v>503</v>
      </c>
      <c r="F71" s="22">
        <v>11</v>
      </c>
      <c r="G71" s="22">
        <f>wimbledons_champions!G79</f>
        <v>165</v>
      </c>
      <c r="H71" s="25" t="str">
        <f>wimbledons_champions!H79</f>
        <v>7-6 (7-5), 6-2, 7-5</v>
      </c>
      <c r="I71" s="25" t="s">
        <v>182</v>
      </c>
      <c r="J71" s="22" t="s">
        <v>181</v>
      </c>
      <c r="K71" s="25" t="s">
        <v>517</v>
      </c>
      <c r="L71" s="22">
        <v>2</v>
      </c>
      <c r="M71" s="18">
        <v>0.60606060606060608</v>
      </c>
      <c r="N71" s="18"/>
      <c r="O71" s="19" t="s">
        <v>742</v>
      </c>
      <c r="P71" s="19">
        <v>6</v>
      </c>
      <c r="Q71" s="19">
        <v>6</v>
      </c>
      <c r="R71" s="19">
        <v>2</v>
      </c>
      <c r="S71" s="19">
        <v>7</v>
      </c>
      <c r="T71" s="19">
        <v>5</v>
      </c>
      <c r="U71" s="19"/>
      <c r="V71" s="19"/>
      <c r="W71" s="19"/>
      <c r="X71" s="19"/>
      <c r="Y71" s="20">
        <f t="shared" si="4"/>
        <v>20</v>
      </c>
      <c r="Z71" s="20">
        <f t="shared" si="4"/>
        <v>13</v>
      </c>
      <c r="AA71" s="21">
        <f t="shared" si="6"/>
        <v>0.60606060606060608</v>
      </c>
    </row>
    <row r="72" spans="1:27" x14ac:dyDescent="0.4">
      <c r="A72" s="22">
        <f>wimbledons_champions!A80</f>
        <v>1986</v>
      </c>
      <c r="B72" s="25" t="str">
        <f>wimbledons_champions!B80</f>
        <v>Women's</v>
      </c>
      <c r="C72" s="25" t="s">
        <v>300</v>
      </c>
      <c r="D72" s="22" t="s">
        <v>28</v>
      </c>
      <c r="E72" s="25" t="s">
        <v>499</v>
      </c>
      <c r="F72" s="22">
        <v>1</v>
      </c>
      <c r="G72" s="22">
        <f>wimbledons_champions!G80</f>
        <v>72</v>
      </c>
      <c r="H72" s="25" t="str">
        <f>wimbledons_champions!H80</f>
        <v>7-6 (7-1), 6-3,</v>
      </c>
      <c r="I72" s="25" t="s">
        <v>405</v>
      </c>
      <c r="J72" s="22" t="s">
        <v>181</v>
      </c>
      <c r="K72" s="25" t="s">
        <v>517</v>
      </c>
      <c r="L72" s="22">
        <v>3</v>
      </c>
      <c r="M72" s="18">
        <v>0.59090909090909094</v>
      </c>
      <c r="N72" s="18"/>
      <c r="O72" s="19" t="s">
        <v>742</v>
      </c>
      <c r="P72" s="19">
        <v>6</v>
      </c>
      <c r="Q72" s="19">
        <v>6</v>
      </c>
      <c r="R72" s="19">
        <v>3</v>
      </c>
      <c r="S72" s="19"/>
      <c r="T72" s="19"/>
      <c r="U72" s="19"/>
      <c r="V72" s="19"/>
      <c r="W72" s="19"/>
      <c r="X72" s="19"/>
      <c r="Y72" s="20">
        <f t="shared" ref="Y72:Z135" si="7">SUM(O72+Q72+S72+U72+W72)</f>
        <v>13</v>
      </c>
      <c r="Z72" s="20">
        <f t="shared" si="7"/>
        <v>9</v>
      </c>
      <c r="AA72" s="21">
        <f t="shared" si="6"/>
        <v>0.59090909090909094</v>
      </c>
    </row>
    <row r="73" spans="1:27" x14ac:dyDescent="0.4">
      <c r="A73" s="22">
        <f>wimbledons_champions!A81</f>
        <v>1986</v>
      </c>
      <c r="B73" s="25" t="str">
        <f>wimbledons_champions!B81</f>
        <v>Men's</v>
      </c>
      <c r="C73" s="25" t="s">
        <v>213</v>
      </c>
      <c r="D73" s="22" t="s">
        <v>126</v>
      </c>
      <c r="E73" s="25" t="s">
        <v>495</v>
      </c>
      <c r="F73" s="22">
        <v>4</v>
      </c>
      <c r="G73" s="22">
        <f>wimbledons_champions!G81</f>
        <v>122</v>
      </c>
      <c r="H73" s="25" t="str">
        <f>wimbledons_champions!H81</f>
        <v>6-4, 6-3, 7-5</v>
      </c>
      <c r="I73" s="25" t="s">
        <v>182</v>
      </c>
      <c r="J73" s="22" t="s">
        <v>181</v>
      </c>
      <c r="K73" s="25" t="s">
        <v>517</v>
      </c>
      <c r="L73" s="22">
        <v>1</v>
      </c>
      <c r="M73" s="18">
        <v>0.61290322580645162</v>
      </c>
      <c r="N73" s="18"/>
      <c r="O73" s="19" t="s">
        <v>741</v>
      </c>
      <c r="P73" s="19">
        <v>4</v>
      </c>
      <c r="Q73" s="19">
        <v>6</v>
      </c>
      <c r="R73" s="19">
        <v>3</v>
      </c>
      <c r="S73" s="19">
        <v>7</v>
      </c>
      <c r="T73" s="19">
        <v>5</v>
      </c>
      <c r="U73" s="19"/>
      <c r="V73" s="19"/>
      <c r="W73" s="19"/>
      <c r="X73" s="19"/>
      <c r="Y73" s="20">
        <f t="shared" si="7"/>
        <v>19</v>
      </c>
      <c r="Z73" s="20">
        <f t="shared" si="7"/>
        <v>12</v>
      </c>
      <c r="AA73" s="21">
        <f t="shared" si="6"/>
        <v>0.61290322580645162</v>
      </c>
    </row>
    <row r="74" spans="1:27" x14ac:dyDescent="0.4">
      <c r="A74" s="22">
        <f>wimbledons_champions!A82</f>
        <v>1985</v>
      </c>
      <c r="B74" s="25" t="str">
        <f>wimbledons_champions!B82</f>
        <v>Women's</v>
      </c>
      <c r="C74" s="25" t="s">
        <v>300</v>
      </c>
      <c r="D74" s="22" t="s">
        <v>28</v>
      </c>
      <c r="E74" s="25" t="s">
        <v>499</v>
      </c>
      <c r="F74" s="22">
        <v>1</v>
      </c>
      <c r="G74" s="22">
        <f>wimbledons_champions!G82</f>
        <v>107</v>
      </c>
      <c r="H74" s="25" t="str">
        <f>wimbledons_champions!H82</f>
        <v>4-6, 6-3, 6-2,</v>
      </c>
      <c r="I74" s="25" t="s">
        <v>282</v>
      </c>
      <c r="J74" s="22" t="s">
        <v>28</v>
      </c>
      <c r="K74" s="25" t="s">
        <v>499</v>
      </c>
      <c r="L74" s="22">
        <v>1</v>
      </c>
      <c r="M74" s="18">
        <v>0.59259259259259256</v>
      </c>
      <c r="N74" s="18"/>
      <c r="O74" s="19" t="s">
        <v>743</v>
      </c>
      <c r="P74" s="19">
        <v>6</v>
      </c>
      <c r="Q74" s="19">
        <v>6</v>
      </c>
      <c r="R74" s="19">
        <v>3</v>
      </c>
      <c r="S74" s="19">
        <v>6</v>
      </c>
      <c r="T74" s="19">
        <v>2</v>
      </c>
      <c r="U74" s="19"/>
      <c r="V74" s="19"/>
      <c r="W74" s="19"/>
      <c r="X74" s="19"/>
      <c r="Y74" s="20">
        <f t="shared" si="7"/>
        <v>16</v>
      </c>
      <c r="Z74" s="20">
        <f t="shared" si="7"/>
        <v>11</v>
      </c>
      <c r="AA74" s="21">
        <f t="shared" si="6"/>
        <v>0.59259259259259256</v>
      </c>
    </row>
    <row r="75" spans="1:27" x14ac:dyDescent="0.4">
      <c r="A75" s="22">
        <f>wimbledons_champions!A83</f>
        <v>1985</v>
      </c>
      <c r="B75" s="25" t="str">
        <f>wimbledons_champions!B83</f>
        <v>Men's</v>
      </c>
      <c r="C75" s="25" t="s">
        <v>213</v>
      </c>
      <c r="D75" s="22" t="s">
        <v>126</v>
      </c>
      <c r="E75" s="25" t="s">
        <v>495</v>
      </c>
      <c r="F75" s="22" t="s">
        <v>122</v>
      </c>
      <c r="G75" s="22">
        <f>wimbledons_champions!G83</f>
        <v>198</v>
      </c>
      <c r="H75" s="25" t="str">
        <f>wimbledons_champions!H83</f>
        <v>6-3, 6-7 (4-7), 7-6 (7-3), 6-4</v>
      </c>
      <c r="I75" s="25" t="s">
        <v>266</v>
      </c>
      <c r="J75" s="22" t="s">
        <v>28</v>
      </c>
      <c r="K75" s="25" t="s">
        <v>499</v>
      </c>
      <c r="L75" s="22">
        <v>8</v>
      </c>
      <c r="M75" s="18">
        <v>0.55555555555555558</v>
      </c>
      <c r="N75" s="18"/>
      <c r="O75" s="19" t="s">
        <v>741</v>
      </c>
      <c r="P75" s="19">
        <v>3</v>
      </c>
      <c r="Q75" s="19">
        <v>6</v>
      </c>
      <c r="R75" s="19">
        <v>7</v>
      </c>
      <c r="S75" s="19">
        <v>7</v>
      </c>
      <c r="T75" s="19">
        <v>6</v>
      </c>
      <c r="U75" s="19">
        <v>6</v>
      </c>
      <c r="V75" s="19">
        <v>4</v>
      </c>
      <c r="W75" s="19"/>
      <c r="X75" s="19"/>
      <c r="Y75" s="20">
        <f t="shared" si="7"/>
        <v>25</v>
      </c>
      <c r="Z75" s="20">
        <f t="shared" si="7"/>
        <v>20</v>
      </c>
      <c r="AA75" s="21">
        <f t="shared" si="6"/>
        <v>0.55555555555555558</v>
      </c>
    </row>
    <row r="76" spans="1:27" x14ac:dyDescent="0.4">
      <c r="A76" s="22">
        <f>wimbledons_champions!A84</f>
        <v>1984</v>
      </c>
      <c r="B76" s="25" t="str">
        <f>wimbledons_champions!B84</f>
        <v>Women's</v>
      </c>
      <c r="C76" s="25" t="s">
        <v>300</v>
      </c>
      <c r="D76" s="22" t="s">
        <v>28</v>
      </c>
      <c r="E76" s="25" t="s">
        <v>499</v>
      </c>
      <c r="F76" s="22">
        <v>1</v>
      </c>
      <c r="G76" s="22">
        <f>wimbledons_champions!G84</f>
        <v>84</v>
      </c>
      <c r="H76" s="25" t="str">
        <f>wimbledons_champions!H84</f>
        <v>7-6 (7-5), 6-2,</v>
      </c>
      <c r="I76" s="25" t="s">
        <v>282</v>
      </c>
      <c r="J76" s="22" t="s">
        <v>28</v>
      </c>
      <c r="K76" s="25" t="s">
        <v>499</v>
      </c>
      <c r="L76" s="22">
        <v>2</v>
      </c>
      <c r="M76" s="18">
        <v>0.61904761904761907</v>
      </c>
      <c r="N76" s="18"/>
      <c r="O76" s="19" t="s">
        <v>742</v>
      </c>
      <c r="P76" s="19">
        <v>6</v>
      </c>
      <c r="Q76" s="19">
        <v>6</v>
      </c>
      <c r="R76" s="19">
        <v>2</v>
      </c>
      <c r="S76" s="19"/>
      <c r="T76" s="19"/>
      <c r="U76" s="19"/>
      <c r="V76" s="19"/>
      <c r="W76" s="19"/>
      <c r="X76" s="19"/>
      <c r="Y76" s="20">
        <f t="shared" si="7"/>
        <v>13</v>
      </c>
      <c r="Z76" s="20">
        <f t="shared" si="7"/>
        <v>8</v>
      </c>
      <c r="AA76" s="21">
        <f t="shared" si="6"/>
        <v>0.61904761904761907</v>
      </c>
    </row>
    <row r="77" spans="1:27" x14ac:dyDescent="0.4">
      <c r="A77" s="22">
        <f>wimbledons_champions!A85</f>
        <v>1984</v>
      </c>
      <c r="B77" s="25" t="str">
        <f>wimbledons_champions!B85</f>
        <v>Men's</v>
      </c>
      <c r="C77" s="25" t="s">
        <v>144</v>
      </c>
      <c r="D77" s="22" t="s">
        <v>28</v>
      </c>
      <c r="E77" s="25" t="s">
        <v>499</v>
      </c>
      <c r="F77" s="22">
        <v>1</v>
      </c>
      <c r="G77" s="22">
        <f>wimbledons_champions!G85</f>
        <v>80</v>
      </c>
      <c r="H77" s="25" t="str">
        <f>wimbledons_champions!H85</f>
        <v>6-1, 6-1, 6-2</v>
      </c>
      <c r="I77" s="25" t="s">
        <v>146</v>
      </c>
      <c r="J77" s="22" t="s">
        <v>28</v>
      </c>
      <c r="K77" s="25" t="s">
        <v>499</v>
      </c>
      <c r="L77" s="22">
        <v>3</v>
      </c>
      <c r="M77" s="18">
        <v>0.81818181818181823</v>
      </c>
      <c r="N77" s="18"/>
      <c r="O77" s="19" t="s">
        <v>741</v>
      </c>
      <c r="P77" s="19">
        <v>1</v>
      </c>
      <c r="Q77" s="19">
        <v>6</v>
      </c>
      <c r="R77" s="19">
        <v>1</v>
      </c>
      <c r="S77" s="19">
        <v>6</v>
      </c>
      <c r="T77" s="19">
        <v>2</v>
      </c>
      <c r="U77" s="19"/>
      <c r="V77" s="19"/>
      <c r="W77" s="19"/>
      <c r="X77" s="19"/>
      <c r="Y77" s="20">
        <f t="shared" si="7"/>
        <v>18</v>
      </c>
      <c r="Z77" s="20">
        <f t="shared" si="7"/>
        <v>4</v>
      </c>
      <c r="AA77" s="21">
        <f t="shared" si="6"/>
        <v>0.81818181818181823</v>
      </c>
    </row>
    <row r="78" spans="1:27" x14ac:dyDescent="0.4">
      <c r="A78" s="22">
        <f>wimbledons_champions!A86</f>
        <v>1983</v>
      </c>
      <c r="B78" s="25" t="str">
        <f>wimbledons_champions!B86</f>
        <v>Women's</v>
      </c>
      <c r="C78" s="25" t="s">
        <v>300</v>
      </c>
      <c r="D78" s="22" t="s">
        <v>28</v>
      </c>
      <c r="E78" s="25" t="s">
        <v>499</v>
      </c>
      <c r="F78" s="22">
        <v>1</v>
      </c>
      <c r="G78" s="22">
        <f>wimbledons_champions!G86</f>
        <v>54</v>
      </c>
      <c r="H78" s="25" t="str">
        <f>wimbledons_champions!H86</f>
        <v>6-0, 6-3,</v>
      </c>
      <c r="I78" s="25" t="s">
        <v>422</v>
      </c>
      <c r="J78" s="22" t="s">
        <v>28</v>
      </c>
      <c r="K78" s="25" t="s">
        <v>499</v>
      </c>
      <c r="L78" s="22">
        <v>3</v>
      </c>
      <c r="M78" s="18">
        <v>0.8</v>
      </c>
      <c r="N78" s="18"/>
      <c r="O78" s="19" t="s">
        <v>741</v>
      </c>
      <c r="P78" s="19">
        <v>0</v>
      </c>
      <c r="Q78" s="19">
        <v>6</v>
      </c>
      <c r="R78" s="19">
        <v>3</v>
      </c>
      <c r="S78" s="19"/>
      <c r="T78" s="19"/>
      <c r="U78" s="19"/>
      <c r="V78" s="19"/>
      <c r="W78" s="19"/>
      <c r="X78" s="19"/>
      <c r="Y78" s="20">
        <f t="shared" si="7"/>
        <v>12</v>
      </c>
      <c r="Z78" s="20">
        <f t="shared" si="7"/>
        <v>3</v>
      </c>
      <c r="AA78" s="21">
        <f t="shared" si="6"/>
        <v>0.8</v>
      </c>
    </row>
    <row r="79" spans="1:27" x14ac:dyDescent="0.4">
      <c r="A79" s="22">
        <f>wimbledons_champions!A87</f>
        <v>1983</v>
      </c>
      <c r="B79" s="25" t="str">
        <f>wimbledons_champions!B87</f>
        <v>Men's</v>
      </c>
      <c r="C79" s="25" t="s">
        <v>144</v>
      </c>
      <c r="D79" s="22" t="s">
        <v>28</v>
      </c>
      <c r="E79" s="25" t="s">
        <v>499</v>
      </c>
      <c r="F79" s="22">
        <v>2</v>
      </c>
      <c r="G79" s="22">
        <f>wimbledons_champions!G87</f>
        <v>85</v>
      </c>
      <c r="H79" s="25" t="str">
        <f>wimbledons_champions!H87</f>
        <v>6-2, 6-2, 6-2</v>
      </c>
      <c r="I79" s="25" t="s">
        <v>222</v>
      </c>
      <c r="J79" s="22" t="s">
        <v>20</v>
      </c>
      <c r="K79" s="25" t="s">
        <v>508</v>
      </c>
      <c r="L79" s="22" t="s">
        <v>122</v>
      </c>
      <c r="M79" s="18">
        <v>0.75</v>
      </c>
      <c r="N79" s="18"/>
      <c r="O79" s="19" t="s">
        <v>741</v>
      </c>
      <c r="P79" s="19">
        <v>2</v>
      </c>
      <c r="Q79" s="19">
        <v>6</v>
      </c>
      <c r="R79" s="19">
        <v>2</v>
      </c>
      <c r="S79" s="19">
        <v>6</v>
      </c>
      <c r="T79" s="19">
        <v>2</v>
      </c>
      <c r="U79" s="19"/>
      <c r="V79" s="19"/>
      <c r="W79" s="19"/>
      <c r="X79" s="19"/>
      <c r="Y79" s="20">
        <f t="shared" si="7"/>
        <v>18</v>
      </c>
      <c r="Z79" s="20">
        <f t="shared" si="7"/>
        <v>6</v>
      </c>
      <c r="AA79" s="21">
        <f t="shared" si="6"/>
        <v>0.75</v>
      </c>
    </row>
    <row r="80" spans="1:27" x14ac:dyDescent="0.4">
      <c r="A80" s="22">
        <f>wimbledons_champions!A88</f>
        <v>1982</v>
      </c>
      <c r="B80" s="25" t="str">
        <f>wimbledons_champions!B88</f>
        <v>Women's</v>
      </c>
      <c r="C80" s="25" t="s">
        <v>300</v>
      </c>
      <c r="D80" s="22" t="s">
        <v>28</v>
      </c>
      <c r="E80" s="25" t="s">
        <v>499</v>
      </c>
      <c r="F80" s="22">
        <v>1</v>
      </c>
      <c r="G80" s="22">
        <f>wimbledons_champions!G88</f>
        <v>87</v>
      </c>
      <c r="H80" s="25" t="str">
        <f>wimbledons_champions!H88</f>
        <v>6-1, 3-6, 6-2,</v>
      </c>
      <c r="I80" s="25" t="s">
        <v>282</v>
      </c>
      <c r="J80" s="22" t="s">
        <v>28</v>
      </c>
      <c r="K80" s="25" t="s">
        <v>499</v>
      </c>
      <c r="L80" s="22">
        <v>2</v>
      </c>
      <c r="M80" s="18">
        <v>0.625</v>
      </c>
      <c r="N80" s="18"/>
      <c r="O80" s="19" t="s">
        <v>741</v>
      </c>
      <c r="P80" s="19">
        <v>1</v>
      </c>
      <c r="Q80" s="19">
        <v>3</v>
      </c>
      <c r="R80" s="19">
        <v>6</v>
      </c>
      <c r="S80" s="19">
        <v>6</v>
      </c>
      <c r="T80" s="19">
        <v>2</v>
      </c>
      <c r="U80" s="19"/>
      <c r="V80" s="19"/>
      <c r="W80" s="19"/>
      <c r="X80" s="19"/>
      <c r="Y80" s="20">
        <f t="shared" si="7"/>
        <v>15</v>
      </c>
      <c r="Z80" s="20">
        <f t="shared" si="7"/>
        <v>9</v>
      </c>
      <c r="AA80" s="21">
        <f t="shared" si="6"/>
        <v>0.625</v>
      </c>
    </row>
    <row r="81" spans="1:27" x14ac:dyDescent="0.4">
      <c r="A81" s="22">
        <f>wimbledons_champions!A89</f>
        <v>1982</v>
      </c>
      <c r="B81" s="25" t="str">
        <f>wimbledons_champions!B89</f>
        <v>Men's</v>
      </c>
      <c r="C81" s="25" t="s">
        <v>146</v>
      </c>
      <c r="D81" s="22" t="s">
        <v>28</v>
      </c>
      <c r="E81" s="25" t="s">
        <v>499</v>
      </c>
      <c r="F81" s="22">
        <v>2</v>
      </c>
      <c r="G81" s="22">
        <f>wimbledons_champions!G89</f>
        <v>256</v>
      </c>
      <c r="H81" s="25" t="str">
        <f>wimbledons_champions!H89</f>
        <v>3-6, 6-3, 6-7 (2-7), 7-6 (7-5), 6-4</v>
      </c>
      <c r="I81" s="25" t="s">
        <v>144</v>
      </c>
      <c r="J81" s="22" t="s">
        <v>28</v>
      </c>
      <c r="K81" s="25" t="s">
        <v>499</v>
      </c>
      <c r="L81" s="22">
        <v>1</v>
      </c>
      <c r="M81" s="18">
        <v>0.51851851851851849</v>
      </c>
      <c r="N81" s="18"/>
      <c r="O81" s="19" t="s">
        <v>748</v>
      </c>
      <c r="P81" s="19">
        <v>6</v>
      </c>
      <c r="Q81" s="19">
        <v>6</v>
      </c>
      <c r="R81" s="19">
        <v>3</v>
      </c>
      <c r="S81" s="19">
        <v>6</v>
      </c>
      <c r="T81" s="19">
        <v>7</v>
      </c>
      <c r="U81" s="19">
        <v>7</v>
      </c>
      <c r="V81" s="19">
        <v>6</v>
      </c>
      <c r="W81" s="19" t="s">
        <v>741</v>
      </c>
      <c r="X81" s="19">
        <v>4</v>
      </c>
      <c r="Y81" s="20">
        <f t="shared" si="7"/>
        <v>28</v>
      </c>
      <c r="Z81" s="20">
        <f t="shared" si="7"/>
        <v>26</v>
      </c>
      <c r="AA81" s="21">
        <f t="shared" si="6"/>
        <v>0.51851851851851849</v>
      </c>
    </row>
    <row r="82" spans="1:27" x14ac:dyDescent="0.4">
      <c r="A82" s="22">
        <f>wimbledons_champions!A90</f>
        <v>1981</v>
      </c>
      <c r="B82" s="25" t="str">
        <f>wimbledons_champions!B90</f>
        <v>Women's</v>
      </c>
      <c r="C82" s="25" t="s">
        <v>282</v>
      </c>
      <c r="D82" s="22" t="s">
        <v>28</v>
      </c>
      <c r="E82" s="25" t="s">
        <v>499</v>
      </c>
      <c r="F82" s="22">
        <v>1</v>
      </c>
      <c r="G82" s="22">
        <f>wimbledons_champions!G90</f>
        <v>60</v>
      </c>
      <c r="H82" s="25" t="str">
        <f>wimbledons_champions!H90</f>
        <v>6-2, 6-2,</v>
      </c>
      <c r="I82" s="25" t="s">
        <v>405</v>
      </c>
      <c r="J82" s="22" t="s">
        <v>181</v>
      </c>
      <c r="K82" s="25" t="s">
        <v>517</v>
      </c>
      <c r="L82" s="22">
        <v>2</v>
      </c>
      <c r="M82" s="18">
        <v>0.75</v>
      </c>
      <c r="N82" s="18"/>
      <c r="O82" s="19" t="s">
        <v>741</v>
      </c>
      <c r="P82" s="19">
        <v>2</v>
      </c>
      <c r="Q82" s="19">
        <v>6</v>
      </c>
      <c r="R82" s="19">
        <v>2</v>
      </c>
      <c r="S82" s="19"/>
      <c r="T82" s="19"/>
      <c r="U82" s="19"/>
      <c r="V82" s="19"/>
      <c r="W82" s="19"/>
      <c r="X82" s="19"/>
      <c r="Y82" s="20">
        <f t="shared" si="7"/>
        <v>12</v>
      </c>
      <c r="Z82" s="20">
        <f t="shared" si="7"/>
        <v>4</v>
      </c>
      <c r="AA82" s="21">
        <f t="shared" si="6"/>
        <v>0.75</v>
      </c>
    </row>
    <row r="83" spans="1:27" x14ac:dyDescent="0.4">
      <c r="A83" s="22">
        <f>wimbledons_champions!A91</f>
        <v>1981</v>
      </c>
      <c r="B83" s="25" t="str">
        <f>wimbledons_champions!B91</f>
        <v>Men's</v>
      </c>
      <c r="C83" s="25" t="s">
        <v>144</v>
      </c>
      <c r="D83" s="22" t="s">
        <v>28</v>
      </c>
      <c r="E83" s="25" t="s">
        <v>499</v>
      </c>
      <c r="F83" s="22">
        <v>2</v>
      </c>
      <c r="G83" s="22">
        <f>wimbledons_champions!G91</f>
        <v>202</v>
      </c>
      <c r="H83" s="25" t="str">
        <f>wimbledons_champions!H91</f>
        <v>4-6, 7-6 (7-1), 7-6 (7-4), 6-4</v>
      </c>
      <c r="I83" s="25" t="s">
        <v>142</v>
      </c>
      <c r="J83" s="22" t="s">
        <v>143</v>
      </c>
      <c r="K83" s="25" t="s">
        <v>506</v>
      </c>
      <c r="L83" s="22">
        <v>1</v>
      </c>
      <c r="M83" s="18">
        <v>0.52173913043478259</v>
      </c>
      <c r="N83" s="18"/>
      <c r="O83" s="19" t="s">
        <v>743</v>
      </c>
      <c r="P83" s="19">
        <v>6</v>
      </c>
      <c r="Q83" s="19">
        <v>7</v>
      </c>
      <c r="R83" s="19">
        <v>6</v>
      </c>
      <c r="S83" s="19">
        <v>7</v>
      </c>
      <c r="T83" s="19">
        <v>6</v>
      </c>
      <c r="U83" s="19">
        <v>6</v>
      </c>
      <c r="V83" s="19">
        <v>4</v>
      </c>
      <c r="W83" s="19"/>
      <c r="X83" s="19"/>
      <c r="Y83" s="20">
        <f t="shared" si="7"/>
        <v>24</v>
      </c>
      <c r="Z83" s="20">
        <f t="shared" si="7"/>
        <v>22</v>
      </c>
      <c r="AA83" s="21">
        <f t="shared" si="6"/>
        <v>0.52173913043478259</v>
      </c>
    </row>
    <row r="84" spans="1:27" x14ac:dyDescent="0.4">
      <c r="A84" s="22">
        <f>wimbledons_champions!A92</f>
        <v>1980</v>
      </c>
      <c r="B84" s="25" t="str">
        <f>wimbledons_champions!B92</f>
        <v>Women's</v>
      </c>
      <c r="C84" s="25" t="s">
        <v>280</v>
      </c>
      <c r="D84" s="22" t="s">
        <v>12</v>
      </c>
      <c r="E84" s="25" t="s">
        <v>503</v>
      </c>
      <c r="F84" s="22">
        <v>4</v>
      </c>
      <c r="G84" s="22">
        <f>wimbledons_champions!G92</f>
        <v>93</v>
      </c>
      <c r="H84" s="25" t="str">
        <f>wimbledons_champions!H92</f>
        <v>6-1, 7-6 (7-4)</v>
      </c>
      <c r="I84" s="25" t="s">
        <v>282</v>
      </c>
      <c r="J84" s="22" t="s">
        <v>28</v>
      </c>
      <c r="K84" s="25" t="s">
        <v>499</v>
      </c>
      <c r="L84" s="22">
        <v>3</v>
      </c>
      <c r="M84" s="18">
        <v>0.65</v>
      </c>
      <c r="N84" s="18"/>
      <c r="O84" s="19" t="s">
        <v>741</v>
      </c>
      <c r="P84" s="19">
        <v>1</v>
      </c>
      <c r="Q84" s="19">
        <v>7</v>
      </c>
      <c r="R84" s="19">
        <v>6</v>
      </c>
      <c r="S84" s="19"/>
      <c r="T84" s="19"/>
      <c r="U84" s="19"/>
      <c r="V84" s="19"/>
      <c r="W84" s="19"/>
      <c r="X84" s="19"/>
      <c r="Y84" s="20">
        <f t="shared" si="7"/>
        <v>13</v>
      </c>
      <c r="Z84" s="20">
        <f t="shared" si="7"/>
        <v>7</v>
      </c>
      <c r="AA84" s="21">
        <f t="shared" si="6"/>
        <v>0.65</v>
      </c>
    </row>
    <row r="85" spans="1:27" x14ac:dyDescent="0.4">
      <c r="A85" s="22">
        <f>wimbledons_champions!A93</f>
        <v>1980</v>
      </c>
      <c r="B85" s="25" t="str">
        <f>wimbledons_champions!B93</f>
        <v>Men's</v>
      </c>
      <c r="C85" s="25" t="s">
        <v>142</v>
      </c>
      <c r="D85" s="22" t="s">
        <v>143</v>
      </c>
      <c r="E85" s="25" t="s">
        <v>506</v>
      </c>
      <c r="F85" s="22">
        <v>1</v>
      </c>
      <c r="G85" s="22">
        <f>wimbledons_champions!G93</f>
        <v>233</v>
      </c>
      <c r="H85" s="25" t="str">
        <f>wimbledons_champions!H93</f>
        <v>1-6, 7-5, 6-3, 6-7 (16-18), 8-6</v>
      </c>
      <c r="I85" s="25" t="s">
        <v>144</v>
      </c>
      <c r="J85" s="22" t="s">
        <v>28</v>
      </c>
      <c r="K85" s="25" t="s">
        <v>499</v>
      </c>
      <c r="L85" s="22">
        <v>2</v>
      </c>
      <c r="M85" s="18">
        <v>0.50909090909090904</v>
      </c>
      <c r="N85" s="18"/>
      <c r="O85" s="19" t="s">
        <v>749</v>
      </c>
      <c r="P85" s="19">
        <v>6</v>
      </c>
      <c r="Q85" s="19">
        <v>7</v>
      </c>
      <c r="R85" s="19">
        <v>5</v>
      </c>
      <c r="S85" s="19">
        <v>6</v>
      </c>
      <c r="T85" s="19">
        <v>3</v>
      </c>
      <c r="U85" s="19">
        <v>6</v>
      </c>
      <c r="V85" s="19">
        <v>7</v>
      </c>
      <c r="W85" s="19" t="s">
        <v>750</v>
      </c>
      <c r="X85" s="19">
        <v>6</v>
      </c>
      <c r="Y85" s="20">
        <f t="shared" si="7"/>
        <v>28</v>
      </c>
      <c r="Z85" s="20">
        <f t="shared" si="7"/>
        <v>27</v>
      </c>
      <c r="AA85" s="21">
        <f t="shared" si="6"/>
        <v>0.50909090909090904</v>
      </c>
    </row>
    <row r="86" spans="1:27" x14ac:dyDescent="0.4">
      <c r="A86" s="22">
        <f>wimbledons_champions!A94</f>
        <v>1979</v>
      </c>
      <c r="B86" s="25" t="str">
        <f>wimbledons_champions!B94</f>
        <v>Women's</v>
      </c>
      <c r="C86" s="25" t="s">
        <v>300</v>
      </c>
      <c r="D86" s="22" t="s">
        <v>28</v>
      </c>
      <c r="E86" s="25" t="s">
        <v>499</v>
      </c>
      <c r="F86" s="22">
        <v>1</v>
      </c>
      <c r="G86" s="22">
        <f>wimbledons_champions!G94</f>
        <v>60</v>
      </c>
      <c r="H86" s="25" t="str">
        <f>wimbledons_champions!H94</f>
        <v>6-4, 6-4,</v>
      </c>
      <c r="I86" s="25" t="s">
        <v>282</v>
      </c>
      <c r="J86" s="22" t="s">
        <v>28</v>
      </c>
      <c r="K86" s="25" t="s">
        <v>499</v>
      </c>
      <c r="L86" s="22">
        <v>2</v>
      </c>
      <c r="M86" s="18">
        <v>0.6</v>
      </c>
      <c r="N86" s="18"/>
      <c r="O86" s="19" t="s">
        <v>741</v>
      </c>
      <c r="P86" s="19">
        <v>4</v>
      </c>
      <c r="Q86" s="19">
        <v>6</v>
      </c>
      <c r="R86" s="19">
        <v>4</v>
      </c>
      <c r="S86" s="19"/>
      <c r="T86" s="19"/>
      <c r="U86" s="19"/>
      <c r="V86" s="19"/>
      <c r="W86" s="19"/>
      <c r="X86" s="19"/>
      <c r="Y86" s="20">
        <f t="shared" si="7"/>
        <v>12</v>
      </c>
      <c r="Z86" s="20">
        <f t="shared" si="7"/>
        <v>8</v>
      </c>
      <c r="AA86" s="21">
        <f t="shared" si="6"/>
        <v>0.6</v>
      </c>
    </row>
    <row r="87" spans="1:27" x14ac:dyDescent="0.4">
      <c r="A87" s="22">
        <f>wimbledons_champions!A95</f>
        <v>1979</v>
      </c>
      <c r="B87" s="25" t="str">
        <f>wimbledons_champions!B95</f>
        <v>Men's</v>
      </c>
      <c r="C87" s="25" t="s">
        <v>142</v>
      </c>
      <c r="D87" s="22" t="s">
        <v>143</v>
      </c>
      <c r="E87" s="25" t="s">
        <v>506</v>
      </c>
      <c r="F87" s="22">
        <v>1</v>
      </c>
      <c r="G87" s="22">
        <f>wimbledons_champions!G95</f>
        <v>169</v>
      </c>
      <c r="H87" s="25" t="str">
        <f>wimbledons_champions!H95</f>
        <v>6-7(4-7), 6-1, 3-6, 6-3, 6-4</v>
      </c>
      <c r="I87" s="25" t="s">
        <v>148</v>
      </c>
      <c r="J87" s="22" t="s">
        <v>28</v>
      </c>
      <c r="K87" s="25" t="s">
        <v>499</v>
      </c>
      <c r="L87" s="22">
        <v>5</v>
      </c>
      <c r="M87" s="18">
        <v>0.5625</v>
      </c>
      <c r="N87" s="18"/>
      <c r="O87" s="19" t="s">
        <v>741</v>
      </c>
      <c r="P87" s="19">
        <v>7</v>
      </c>
      <c r="Q87" s="19">
        <v>6</v>
      </c>
      <c r="R87" s="19">
        <v>1</v>
      </c>
      <c r="S87" s="19">
        <v>3</v>
      </c>
      <c r="T87" s="19">
        <v>6</v>
      </c>
      <c r="U87" s="19">
        <v>6</v>
      </c>
      <c r="V87" s="19">
        <v>3</v>
      </c>
      <c r="W87" s="19" t="s">
        <v>741</v>
      </c>
      <c r="X87" s="19">
        <v>4</v>
      </c>
      <c r="Y87" s="20">
        <f t="shared" si="7"/>
        <v>27</v>
      </c>
      <c r="Z87" s="20">
        <f t="shared" si="7"/>
        <v>21</v>
      </c>
      <c r="AA87" s="21">
        <f t="shared" si="6"/>
        <v>0.5625</v>
      </c>
    </row>
    <row r="88" spans="1:27" x14ac:dyDescent="0.4">
      <c r="A88" s="22">
        <f>wimbledons_champions!A96</f>
        <v>1978</v>
      </c>
      <c r="B88" s="25" t="str">
        <f>wimbledons_champions!B96</f>
        <v>Women's</v>
      </c>
      <c r="C88" s="25" t="s">
        <v>300</v>
      </c>
      <c r="D88" s="22" t="s">
        <v>28</v>
      </c>
      <c r="E88" s="25" t="s">
        <v>499</v>
      </c>
      <c r="F88" s="22">
        <v>2</v>
      </c>
      <c r="G88" s="22">
        <f>wimbledons_champions!G96</f>
        <v>102</v>
      </c>
      <c r="H88" s="25" t="str">
        <f>wimbledons_champions!H96</f>
        <v>2-6, 6-4, 7-5,</v>
      </c>
      <c r="I88" s="25" t="s">
        <v>399</v>
      </c>
      <c r="J88" s="22" t="s">
        <v>28</v>
      </c>
      <c r="K88" s="25" t="s">
        <v>499</v>
      </c>
      <c r="L88" s="22">
        <v>1</v>
      </c>
      <c r="M88" s="18">
        <v>0.5</v>
      </c>
      <c r="N88" s="18"/>
      <c r="O88" s="19" t="s">
        <v>747</v>
      </c>
      <c r="P88" s="19">
        <v>6</v>
      </c>
      <c r="Q88" s="19">
        <v>6</v>
      </c>
      <c r="R88" s="19">
        <v>4</v>
      </c>
      <c r="S88" s="19">
        <v>7</v>
      </c>
      <c r="T88" s="19">
        <v>5</v>
      </c>
      <c r="U88" s="19"/>
      <c r="V88" s="19"/>
      <c r="W88" s="19"/>
      <c r="X88" s="19"/>
      <c r="Y88" s="20">
        <f t="shared" si="7"/>
        <v>15</v>
      </c>
      <c r="Z88" s="20">
        <f t="shared" si="7"/>
        <v>15</v>
      </c>
      <c r="AA88" s="21">
        <f t="shared" si="6"/>
        <v>0.5</v>
      </c>
    </row>
    <row r="89" spans="1:27" x14ac:dyDescent="0.4">
      <c r="A89" s="22">
        <f>wimbledons_champions!A97</f>
        <v>1978</v>
      </c>
      <c r="B89" s="25" t="str">
        <f>wimbledons_champions!B97</f>
        <v>Men's</v>
      </c>
      <c r="C89" s="25" t="s">
        <v>142</v>
      </c>
      <c r="D89" s="22" t="s">
        <v>143</v>
      </c>
      <c r="E89" s="25" t="s">
        <v>506</v>
      </c>
      <c r="F89" s="22">
        <v>1</v>
      </c>
      <c r="G89" s="22">
        <f>wimbledons_champions!G97</f>
        <v>108</v>
      </c>
      <c r="H89" s="25" t="str">
        <f>wimbledons_champions!H97</f>
        <v>6-2, 6-2, 6-3</v>
      </c>
      <c r="I89" s="25" t="s">
        <v>146</v>
      </c>
      <c r="J89" s="22" t="s">
        <v>28</v>
      </c>
      <c r="K89" s="25" t="s">
        <v>499</v>
      </c>
      <c r="L89" s="22">
        <v>2</v>
      </c>
      <c r="M89" s="18">
        <v>0.72</v>
      </c>
      <c r="N89" s="18"/>
      <c r="O89" s="19" t="s">
        <v>741</v>
      </c>
      <c r="P89" s="19">
        <v>2</v>
      </c>
      <c r="Q89" s="19">
        <v>6</v>
      </c>
      <c r="R89" s="19">
        <v>2</v>
      </c>
      <c r="S89" s="19">
        <v>6</v>
      </c>
      <c r="T89" s="19">
        <v>3</v>
      </c>
      <c r="U89" s="19"/>
      <c r="V89" s="19"/>
      <c r="W89" s="19"/>
      <c r="X89" s="19"/>
      <c r="Y89" s="20">
        <f t="shared" si="7"/>
        <v>18</v>
      </c>
      <c r="Z89" s="20">
        <f t="shared" si="7"/>
        <v>7</v>
      </c>
      <c r="AA89" s="21">
        <f t="shared" si="6"/>
        <v>0.72</v>
      </c>
    </row>
    <row r="90" spans="1:27" x14ac:dyDescent="0.4">
      <c r="A90" s="22">
        <f>wimbledons_champions!A98</f>
        <v>1977</v>
      </c>
      <c r="B90" s="25" t="str">
        <f>wimbledons_champions!B98</f>
        <v>Women's</v>
      </c>
      <c r="C90" s="25" t="s">
        <v>369</v>
      </c>
      <c r="D90" s="22" t="s">
        <v>15</v>
      </c>
      <c r="E90" s="25" t="s">
        <v>498</v>
      </c>
      <c r="F90" s="22">
        <v>3</v>
      </c>
      <c r="G90" s="22">
        <f>wimbledons_champions!G98</f>
        <v>98</v>
      </c>
      <c r="H90" s="25" t="str">
        <f>wimbledons_champions!H98</f>
        <v>4-6, 6-3, 6-1,</v>
      </c>
      <c r="I90" s="25" t="s">
        <v>371</v>
      </c>
      <c r="J90" s="22" t="s">
        <v>262</v>
      </c>
      <c r="K90" s="25" t="s">
        <v>505</v>
      </c>
      <c r="L90" s="22">
        <v>7</v>
      </c>
      <c r="M90" s="18">
        <v>0.61538461538461542</v>
      </c>
      <c r="N90" s="18"/>
      <c r="O90" s="19" t="s">
        <v>743</v>
      </c>
      <c r="P90" s="19">
        <v>6</v>
      </c>
      <c r="Q90" s="19">
        <v>6</v>
      </c>
      <c r="R90" s="19">
        <v>3</v>
      </c>
      <c r="S90" s="19">
        <v>6</v>
      </c>
      <c r="T90" s="19">
        <v>1</v>
      </c>
      <c r="U90" s="19"/>
      <c r="V90" s="19"/>
      <c r="W90" s="19"/>
      <c r="X90" s="19"/>
      <c r="Y90" s="20">
        <f t="shared" si="7"/>
        <v>16</v>
      </c>
      <c r="Z90" s="20">
        <f t="shared" si="7"/>
        <v>10</v>
      </c>
      <c r="AA90" s="21">
        <f t="shared" si="6"/>
        <v>0.61538461538461542</v>
      </c>
    </row>
    <row r="91" spans="1:27" x14ac:dyDescent="0.4">
      <c r="A91" s="22">
        <f>wimbledons_champions!A99</f>
        <v>1977</v>
      </c>
      <c r="B91" s="25" t="str">
        <f>wimbledons_champions!B99</f>
        <v>Men's</v>
      </c>
      <c r="C91" s="25" t="s">
        <v>142</v>
      </c>
      <c r="D91" s="22" t="s">
        <v>143</v>
      </c>
      <c r="E91" s="25" t="s">
        <v>506</v>
      </c>
      <c r="F91" s="22">
        <v>2</v>
      </c>
      <c r="G91" s="22">
        <f>wimbledons_champions!G99</f>
        <v>194</v>
      </c>
      <c r="H91" s="25" t="str">
        <f>wimbledons_champions!H99</f>
        <v>3-6, 6-2, 6-1, 5-7, 6-4</v>
      </c>
      <c r="I91" s="25" t="s">
        <v>146</v>
      </c>
      <c r="J91" s="22" t="s">
        <v>28</v>
      </c>
      <c r="K91" s="25" t="s">
        <v>499</v>
      </c>
      <c r="L91" s="22">
        <v>1</v>
      </c>
      <c r="M91" s="18">
        <v>0.56521739130434778</v>
      </c>
      <c r="N91" s="18"/>
      <c r="O91" s="19" t="s">
        <v>748</v>
      </c>
      <c r="P91" s="19">
        <v>6</v>
      </c>
      <c r="Q91" s="19">
        <v>6</v>
      </c>
      <c r="R91" s="19">
        <v>2</v>
      </c>
      <c r="S91" s="19">
        <v>6</v>
      </c>
      <c r="T91" s="19">
        <v>1</v>
      </c>
      <c r="U91" s="19">
        <v>5</v>
      </c>
      <c r="V91" s="19">
        <v>7</v>
      </c>
      <c r="W91" s="19" t="s">
        <v>741</v>
      </c>
      <c r="X91" s="19">
        <v>4</v>
      </c>
      <c r="Y91" s="20">
        <f t="shared" si="7"/>
        <v>26</v>
      </c>
      <c r="Z91" s="20">
        <f t="shared" si="7"/>
        <v>20</v>
      </c>
      <c r="AA91" s="21">
        <f t="shared" si="6"/>
        <v>0.56521739130434778</v>
      </c>
    </row>
    <row r="92" spans="1:27" x14ac:dyDescent="0.4">
      <c r="A92" s="22">
        <f>wimbledons_champions!A100</f>
        <v>1976</v>
      </c>
      <c r="B92" s="25" t="str">
        <f>wimbledons_champions!B100</f>
        <v>Women's</v>
      </c>
      <c r="C92" s="25" t="s">
        <v>399</v>
      </c>
      <c r="D92" s="22" t="s">
        <v>28</v>
      </c>
      <c r="E92" s="25" t="s">
        <v>499</v>
      </c>
      <c r="F92" s="22">
        <v>1</v>
      </c>
      <c r="G92" s="22">
        <f>wimbledons_champions!G100</f>
        <v>120</v>
      </c>
      <c r="H92" s="25" t="str">
        <f>wimbledons_champions!H100</f>
        <v>6-3, 4-6, 8-6,</v>
      </c>
      <c r="I92" s="25" t="s">
        <v>280</v>
      </c>
      <c r="J92" s="22" t="s">
        <v>12</v>
      </c>
      <c r="K92" s="25" t="s">
        <v>503</v>
      </c>
      <c r="L92" s="22">
        <v>2</v>
      </c>
      <c r="M92" s="18">
        <v>0.54545454545454541</v>
      </c>
      <c r="N92" s="18"/>
      <c r="O92" s="19" t="s">
        <v>741</v>
      </c>
      <c r="P92" s="19">
        <v>3</v>
      </c>
      <c r="Q92" s="19">
        <v>4</v>
      </c>
      <c r="R92" s="19">
        <v>6</v>
      </c>
      <c r="S92" s="19">
        <v>8</v>
      </c>
      <c r="T92" s="19">
        <v>6</v>
      </c>
      <c r="U92" s="19"/>
      <c r="V92" s="19"/>
      <c r="W92" s="19"/>
      <c r="X92" s="19"/>
      <c r="Y92" s="20">
        <f t="shared" si="7"/>
        <v>18</v>
      </c>
      <c r="Z92" s="20">
        <f t="shared" si="7"/>
        <v>15</v>
      </c>
      <c r="AA92" s="21">
        <f t="shared" si="6"/>
        <v>0.54545454545454541</v>
      </c>
    </row>
    <row r="93" spans="1:27" x14ac:dyDescent="0.4">
      <c r="A93" s="22">
        <f>wimbledons_champions!A101</f>
        <v>1976</v>
      </c>
      <c r="B93" s="25" t="str">
        <f>wimbledons_champions!B101</f>
        <v>Men's</v>
      </c>
      <c r="C93" s="25" t="s">
        <v>142</v>
      </c>
      <c r="D93" s="22" t="s">
        <v>143</v>
      </c>
      <c r="E93" s="25" t="s">
        <v>506</v>
      </c>
      <c r="F93" s="22">
        <v>4</v>
      </c>
      <c r="G93" s="22">
        <f>wimbledons_champions!G101</f>
        <v>110</v>
      </c>
      <c r="H93" s="25" t="str">
        <f>wimbledons_champions!H101</f>
        <v>6-4, 6-2, 9-7</v>
      </c>
      <c r="I93" s="25" t="s">
        <v>161</v>
      </c>
      <c r="J93" s="22" t="s">
        <v>160</v>
      </c>
      <c r="K93" s="25" t="s">
        <v>493</v>
      </c>
      <c r="L93" s="22">
        <v>3</v>
      </c>
      <c r="M93" s="18">
        <v>0.61764705882352944</v>
      </c>
      <c r="N93" s="18"/>
      <c r="O93" s="19" t="s">
        <v>741</v>
      </c>
      <c r="P93" s="19">
        <v>4</v>
      </c>
      <c r="Q93" s="19">
        <v>6</v>
      </c>
      <c r="R93" s="19">
        <v>2</v>
      </c>
      <c r="S93" s="19">
        <v>9</v>
      </c>
      <c r="T93" s="19">
        <v>7</v>
      </c>
      <c r="U93" s="19"/>
      <c r="V93" s="19"/>
      <c r="W93" s="19"/>
      <c r="X93" s="19"/>
      <c r="Y93" s="20">
        <f t="shared" si="7"/>
        <v>21</v>
      </c>
      <c r="Z93" s="20">
        <f t="shared" si="7"/>
        <v>13</v>
      </c>
      <c r="AA93" s="21">
        <f t="shared" si="6"/>
        <v>0.61764705882352944</v>
      </c>
    </row>
    <row r="94" spans="1:27" x14ac:dyDescent="0.4">
      <c r="A94" s="22">
        <f>wimbledons_champions!A102</f>
        <v>1975</v>
      </c>
      <c r="B94" s="25" t="str">
        <f>wimbledons_champions!B102</f>
        <v>Women's</v>
      </c>
      <c r="C94" s="25" t="s">
        <v>271</v>
      </c>
      <c r="D94" s="22" t="s">
        <v>28</v>
      </c>
      <c r="E94" s="25" t="s">
        <v>499</v>
      </c>
      <c r="F94" s="22">
        <v>3</v>
      </c>
      <c r="G94" s="22">
        <f>wimbledons_champions!G102</f>
        <v>38</v>
      </c>
      <c r="H94" s="25" t="str">
        <f>wimbledons_champions!H102</f>
        <v>6-0, 6-1,</v>
      </c>
      <c r="I94" s="25" t="s">
        <v>280</v>
      </c>
      <c r="J94" s="22" t="s">
        <v>12</v>
      </c>
      <c r="K94" s="25" t="s">
        <v>503</v>
      </c>
      <c r="L94" s="22">
        <v>4</v>
      </c>
      <c r="M94" s="18">
        <v>0.92307692307692313</v>
      </c>
      <c r="N94" s="18"/>
      <c r="O94" s="19" t="s">
        <v>741</v>
      </c>
      <c r="P94" s="19">
        <v>0</v>
      </c>
      <c r="Q94" s="19">
        <v>6</v>
      </c>
      <c r="R94" s="19">
        <v>1</v>
      </c>
      <c r="S94" s="19"/>
      <c r="T94" s="19"/>
      <c r="U94" s="19"/>
      <c r="V94" s="19"/>
      <c r="W94" s="19"/>
      <c r="X94" s="19"/>
      <c r="Y94" s="20">
        <f t="shared" si="7"/>
        <v>12</v>
      </c>
      <c r="Z94" s="20">
        <f t="shared" si="7"/>
        <v>1</v>
      </c>
      <c r="AA94" s="21">
        <f t="shared" si="6"/>
        <v>0.92307692307692313</v>
      </c>
    </row>
    <row r="95" spans="1:27" x14ac:dyDescent="0.4">
      <c r="A95" s="22">
        <f>wimbledons_champions!A103</f>
        <v>1975</v>
      </c>
      <c r="B95" s="25" t="str">
        <f>wimbledons_champions!B103</f>
        <v>Men's</v>
      </c>
      <c r="C95" s="25" t="s">
        <v>250</v>
      </c>
      <c r="D95" s="22" t="s">
        <v>28</v>
      </c>
      <c r="E95" s="25" t="s">
        <v>499</v>
      </c>
      <c r="F95" s="22">
        <v>6</v>
      </c>
      <c r="G95" s="22">
        <f>wimbledons_champions!G103</f>
        <v>125</v>
      </c>
      <c r="H95" s="25" t="str">
        <f>wimbledons_champions!H103</f>
        <v>6-1, 6-1, 5-7, 6-4</v>
      </c>
      <c r="I95" s="25" t="s">
        <v>146</v>
      </c>
      <c r="J95" s="22" t="s">
        <v>28</v>
      </c>
      <c r="K95" s="25" t="s">
        <v>499</v>
      </c>
      <c r="L95" s="22">
        <v>1</v>
      </c>
      <c r="M95" s="18">
        <v>0.63888888888888884</v>
      </c>
      <c r="N95" s="18"/>
      <c r="O95" s="19" t="s">
        <v>741</v>
      </c>
      <c r="P95" s="19">
        <v>1</v>
      </c>
      <c r="Q95" s="19">
        <v>6</v>
      </c>
      <c r="R95" s="19">
        <v>1</v>
      </c>
      <c r="S95" s="19">
        <v>5</v>
      </c>
      <c r="T95" s="19">
        <v>7</v>
      </c>
      <c r="U95" s="19">
        <v>6</v>
      </c>
      <c r="V95" s="19">
        <v>4</v>
      </c>
      <c r="W95" s="19"/>
      <c r="X95" s="19"/>
      <c r="Y95" s="20">
        <f t="shared" si="7"/>
        <v>23</v>
      </c>
      <c r="Z95" s="20">
        <f t="shared" si="7"/>
        <v>13</v>
      </c>
      <c r="AA95" s="21">
        <f t="shared" si="6"/>
        <v>0.63888888888888884</v>
      </c>
    </row>
    <row r="96" spans="1:27" x14ac:dyDescent="0.4">
      <c r="A96" s="22">
        <f>wimbledons_champions!A104</f>
        <v>1974</v>
      </c>
      <c r="B96" s="25" t="str">
        <f>wimbledons_champions!B104</f>
        <v>Women's</v>
      </c>
      <c r="C96" s="25" t="s">
        <v>399</v>
      </c>
      <c r="D96" s="22" t="s">
        <v>28</v>
      </c>
      <c r="E96" s="25" t="s">
        <v>499</v>
      </c>
      <c r="F96" s="22">
        <v>2</v>
      </c>
      <c r="G96" s="22">
        <f>wimbledons_champions!G104</f>
        <v>59</v>
      </c>
      <c r="H96" s="25" t="str">
        <f>wimbledons_champions!H104</f>
        <v>6-0, 6-4</v>
      </c>
      <c r="I96" s="25" t="s">
        <v>455</v>
      </c>
      <c r="J96" s="22" t="s">
        <v>194</v>
      </c>
      <c r="K96" s="25" t="s">
        <v>518</v>
      </c>
      <c r="L96" s="22">
        <v>8</v>
      </c>
      <c r="M96" s="18">
        <v>0.75</v>
      </c>
      <c r="N96" s="18"/>
      <c r="O96" s="19" t="s">
        <v>741</v>
      </c>
      <c r="P96" s="19">
        <v>0</v>
      </c>
      <c r="Q96" s="19">
        <v>6</v>
      </c>
      <c r="R96" s="19">
        <v>4</v>
      </c>
      <c r="S96" s="19"/>
      <c r="T96" s="19"/>
      <c r="U96" s="19"/>
      <c r="V96" s="19"/>
      <c r="W96" s="19"/>
      <c r="X96" s="19"/>
      <c r="Y96" s="20">
        <f t="shared" si="7"/>
        <v>12</v>
      </c>
      <c r="Z96" s="20">
        <f t="shared" si="7"/>
        <v>4</v>
      </c>
      <c r="AA96" s="21">
        <f t="shared" si="6"/>
        <v>0.75</v>
      </c>
    </row>
    <row r="97" spans="1:27" x14ac:dyDescent="0.4">
      <c r="A97" s="22">
        <f>wimbledons_champions!A105</f>
        <v>1974</v>
      </c>
      <c r="B97" s="25" t="str">
        <f>wimbledons_champions!B105</f>
        <v>Men's</v>
      </c>
      <c r="C97" s="25" t="s">
        <v>146</v>
      </c>
      <c r="D97" s="22" t="s">
        <v>28</v>
      </c>
      <c r="E97" s="25" t="s">
        <v>499</v>
      </c>
      <c r="F97" s="22">
        <v>3</v>
      </c>
      <c r="G97" s="22">
        <f>wimbledons_champions!G105</f>
        <v>93</v>
      </c>
      <c r="H97" s="25" t="str">
        <f>wimbledons_champions!H105</f>
        <v>6-1, 6-1, 6-4</v>
      </c>
      <c r="I97" s="25" t="s">
        <v>101</v>
      </c>
      <c r="J97" s="22" t="s">
        <v>12</v>
      </c>
      <c r="K97" s="25" t="s">
        <v>503</v>
      </c>
      <c r="L97" s="22">
        <v>9</v>
      </c>
      <c r="M97" s="18">
        <v>0.75</v>
      </c>
      <c r="N97" s="18"/>
      <c r="O97" s="19" t="s">
        <v>741</v>
      </c>
      <c r="P97" s="19">
        <v>1</v>
      </c>
      <c r="Q97" s="19">
        <v>6</v>
      </c>
      <c r="R97" s="19">
        <v>1</v>
      </c>
      <c r="S97" s="19">
        <v>6</v>
      </c>
      <c r="T97" s="19">
        <v>4</v>
      </c>
      <c r="U97" s="19"/>
      <c r="V97" s="19"/>
      <c r="W97" s="19"/>
      <c r="X97" s="19"/>
      <c r="Y97" s="20">
        <f t="shared" si="7"/>
        <v>18</v>
      </c>
      <c r="Z97" s="20">
        <f t="shared" si="7"/>
        <v>6</v>
      </c>
      <c r="AA97" s="21">
        <f t="shared" si="6"/>
        <v>0.75</v>
      </c>
    </row>
    <row r="98" spans="1:27" x14ac:dyDescent="0.4">
      <c r="A98" s="22">
        <f>wimbledons_champions!A106</f>
        <v>1973</v>
      </c>
      <c r="B98" s="25" t="str">
        <f>wimbledons_champions!B106</f>
        <v>Women's</v>
      </c>
      <c r="C98" s="25" t="s">
        <v>271</v>
      </c>
      <c r="D98" s="22" t="s">
        <v>28</v>
      </c>
      <c r="E98" s="25" t="s">
        <v>499</v>
      </c>
      <c r="F98" s="22">
        <v>2</v>
      </c>
      <c r="G98" s="22">
        <f>wimbledons_champions!G106</f>
        <v>53</v>
      </c>
      <c r="H98" s="25" t="str">
        <f>wimbledons_champions!H106</f>
        <v>6-0, 7-5</v>
      </c>
      <c r="I98" s="25" t="s">
        <v>399</v>
      </c>
      <c r="J98" s="22" t="s">
        <v>28</v>
      </c>
      <c r="K98" s="25" t="s">
        <v>499</v>
      </c>
      <c r="L98" s="22">
        <v>4</v>
      </c>
      <c r="M98" s="18">
        <v>0.72222222222222221</v>
      </c>
      <c r="N98" s="18"/>
      <c r="O98" s="19" t="s">
        <v>741</v>
      </c>
      <c r="P98" s="19">
        <v>0</v>
      </c>
      <c r="Q98" s="19">
        <v>7</v>
      </c>
      <c r="R98" s="19">
        <v>5</v>
      </c>
      <c r="S98" s="19"/>
      <c r="T98" s="19"/>
      <c r="U98" s="19"/>
      <c r="V98" s="19"/>
      <c r="W98" s="19"/>
      <c r="X98" s="19"/>
      <c r="Y98" s="20">
        <f t="shared" si="7"/>
        <v>13</v>
      </c>
      <c r="Z98" s="20">
        <f t="shared" si="7"/>
        <v>5</v>
      </c>
      <c r="AA98" s="21">
        <f t="shared" si="6"/>
        <v>0.72222222222222221</v>
      </c>
    </row>
    <row r="99" spans="1:27" x14ac:dyDescent="0.4">
      <c r="A99" s="22">
        <f>wimbledons_champions!A107</f>
        <v>1973</v>
      </c>
      <c r="B99" s="25" t="str">
        <f>wimbledons_champions!B107</f>
        <v>Men's</v>
      </c>
      <c r="C99" s="25" t="s">
        <v>193</v>
      </c>
      <c r="D99" s="22" t="s">
        <v>107</v>
      </c>
      <c r="E99" s="25" t="s">
        <v>500</v>
      </c>
      <c r="F99" s="22">
        <v>2</v>
      </c>
      <c r="G99" s="22">
        <f>wimbledons_champions!G107</f>
        <v>110</v>
      </c>
      <c r="H99" s="25" t="str">
        <f>wimbledons_champions!H107</f>
        <v>6-1, 9-8(7-5), 6-3</v>
      </c>
      <c r="I99" s="25" t="s">
        <v>195</v>
      </c>
      <c r="J99" s="22" t="s">
        <v>194</v>
      </c>
      <c r="K99" s="25" t="s">
        <v>518</v>
      </c>
      <c r="L99" s="22">
        <v>4</v>
      </c>
      <c r="M99" s="18">
        <v>0.63636363636363635</v>
      </c>
      <c r="N99" s="18"/>
      <c r="O99" s="19" t="s">
        <v>741</v>
      </c>
      <c r="P99" s="19">
        <v>1</v>
      </c>
      <c r="Q99" s="19">
        <v>9</v>
      </c>
      <c r="R99" s="19">
        <v>8</v>
      </c>
      <c r="S99" s="19">
        <v>6</v>
      </c>
      <c r="T99" s="19">
        <v>3</v>
      </c>
      <c r="U99" s="19"/>
      <c r="V99" s="19"/>
      <c r="W99" s="19"/>
      <c r="X99" s="19"/>
      <c r="Y99" s="20">
        <f t="shared" si="7"/>
        <v>21</v>
      </c>
      <c r="Z99" s="20">
        <f t="shared" si="7"/>
        <v>12</v>
      </c>
      <c r="AA99" s="21">
        <f t="shared" si="6"/>
        <v>0.63636363636363635</v>
      </c>
    </row>
    <row r="100" spans="1:27" x14ac:dyDescent="0.4">
      <c r="A100" s="22">
        <f>wimbledons_champions!A108</f>
        <v>1972</v>
      </c>
      <c r="B100" s="25" t="str">
        <f>wimbledons_champions!B108</f>
        <v>Women's</v>
      </c>
      <c r="C100" s="25" t="s">
        <v>271</v>
      </c>
      <c r="D100" s="22" t="s">
        <v>28</v>
      </c>
      <c r="E100" s="25" t="s">
        <v>499</v>
      </c>
      <c r="F100" s="22">
        <v>2</v>
      </c>
      <c r="G100" s="22">
        <f>wimbledons_champions!G108</f>
        <v>50</v>
      </c>
      <c r="H100" s="25" t="str">
        <f>wimbledons_champions!H108</f>
        <v>6-3, 6-3,</v>
      </c>
      <c r="I100" s="25" t="s">
        <v>278</v>
      </c>
      <c r="J100" s="22" t="s">
        <v>12</v>
      </c>
      <c r="K100" s="25" t="s">
        <v>503</v>
      </c>
      <c r="L100" s="22">
        <v>1</v>
      </c>
      <c r="M100" s="18">
        <v>0.66666666666666663</v>
      </c>
      <c r="N100" s="18"/>
      <c r="O100" s="19" t="s">
        <v>741</v>
      </c>
      <c r="P100" s="19">
        <v>3</v>
      </c>
      <c r="Q100" s="19">
        <v>6</v>
      </c>
      <c r="R100" s="19">
        <v>3</v>
      </c>
      <c r="S100" s="19"/>
      <c r="T100" s="19"/>
      <c r="U100" s="19"/>
      <c r="V100" s="19"/>
      <c r="W100" s="19"/>
      <c r="X100" s="19"/>
      <c r="Y100" s="20">
        <f t="shared" si="7"/>
        <v>12</v>
      </c>
      <c r="Z100" s="20">
        <f t="shared" si="7"/>
        <v>6</v>
      </c>
      <c r="AA100" s="21">
        <f t="shared" si="6"/>
        <v>0.66666666666666663</v>
      </c>
    </row>
    <row r="101" spans="1:27" x14ac:dyDescent="0.4">
      <c r="A101" s="22">
        <f>wimbledons_champions!A109</f>
        <v>1972</v>
      </c>
      <c r="B101" s="25" t="str">
        <f>wimbledons_champions!B109</f>
        <v>Men's</v>
      </c>
      <c r="C101" s="25" t="s">
        <v>159</v>
      </c>
      <c r="D101" s="22" t="s">
        <v>28</v>
      </c>
      <c r="E101" s="25" t="s">
        <v>499</v>
      </c>
      <c r="F101" s="22">
        <v>1</v>
      </c>
      <c r="G101" s="22">
        <f>wimbledons_champions!G109</f>
        <v>161</v>
      </c>
      <c r="H101" s="25" t="str">
        <f>wimbledons_champions!H109</f>
        <v>4-6, 6-3, 6-3, 4-6, 7-5</v>
      </c>
      <c r="I101" s="25" t="s">
        <v>161</v>
      </c>
      <c r="J101" s="22" t="s">
        <v>160</v>
      </c>
      <c r="K101" s="25" t="s">
        <v>493</v>
      </c>
      <c r="L101" s="22">
        <v>2</v>
      </c>
      <c r="M101" s="18">
        <v>0.54</v>
      </c>
      <c r="N101" s="18"/>
      <c r="O101" s="19" t="s">
        <v>743</v>
      </c>
      <c r="P101" s="19">
        <v>6</v>
      </c>
      <c r="Q101" s="19">
        <v>6</v>
      </c>
      <c r="R101" s="19">
        <v>3</v>
      </c>
      <c r="S101" s="19">
        <v>6</v>
      </c>
      <c r="T101" s="19">
        <v>3</v>
      </c>
      <c r="U101" s="19">
        <v>4</v>
      </c>
      <c r="V101" s="19">
        <v>6</v>
      </c>
      <c r="W101" s="19" t="s">
        <v>742</v>
      </c>
      <c r="X101" s="19">
        <v>5</v>
      </c>
      <c r="Y101" s="20">
        <f t="shared" si="7"/>
        <v>27</v>
      </c>
      <c r="Z101" s="20">
        <f t="shared" si="7"/>
        <v>23</v>
      </c>
      <c r="AA101" s="21">
        <f t="shared" si="6"/>
        <v>0.54</v>
      </c>
    </row>
    <row r="102" spans="1:27" x14ac:dyDescent="0.4">
      <c r="A102" s="22">
        <f>wimbledons_champions!A110</f>
        <v>1971</v>
      </c>
      <c r="B102" s="25" t="str">
        <f>wimbledons_champions!B110</f>
        <v>Women's</v>
      </c>
      <c r="C102" s="25" t="s">
        <v>278</v>
      </c>
      <c r="D102" s="22" t="s">
        <v>12</v>
      </c>
      <c r="E102" s="25" t="s">
        <v>503</v>
      </c>
      <c r="F102" s="22">
        <v>3</v>
      </c>
      <c r="G102" s="22">
        <f>wimbledons_champions!G110</f>
        <v>62</v>
      </c>
      <c r="H102" s="25" t="str">
        <f>wimbledons_champions!H110</f>
        <v>6-4, 6-1,</v>
      </c>
      <c r="I102" s="25" t="s">
        <v>269</v>
      </c>
      <c r="J102" s="22" t="s">
        <v>12</v>
      </c>
      <c r="K102" s="25" t="s">
        <v>503</v>
      </c>
      <c r="L102" s="22">
        <v>1</v>
      </c>
      <c r="M102" s="18">
        <v>0.70588235294117652</v>
      </c>
      <c r="N102" s="18"/>
      <c r="O102" s="19" t="s">
        <v>741</v>
      </c>
      <c r="P102" s="19">
        <v>4</v>
      </c>
      <c r="Q102" s="19">
        <v>6</v>
      </c>
      <c r="R102" s="19">
        <v>1</v>
      </c>
      <c r="S102" s="19"/>
      <c r="T102" s="19"/>
      <c r="U102" s="19"/>
      <c r="V102" s="19"/>
      <c r="W102" s="19"/>
      <c r="X102" s="19"/>
      <c r="Y102" s="20">
        <f t="shared" si="7"/>
        <v>12</v>
      </c>
      <c r="Z102" s="20">
        <f t="shared" si="7"/>
        <v>5</v>
      </c>
      <c r="AA102" s="21">
        <f t="shared" si="6"/>
        <v>0.70588235294117652</v>
      </c>
    </row>
    <row r="103" spans="1:27" x14ac:dyDescent="0.4">
      <c r="A103" s="22">
        <f>wimbledons_champions!A111</f>
        <v>1971</v>
      </c>
      <c r="B103" s="25" t="str">
        <f>wimbledons_champions!B111</f>
        <v>Men's</v>
      </c>
      <c r="C103" s="25" t="s">
        <v>117</v>
      </c>
      <c r="D103" s="22" t="s">
        <v>12</v>
      </c>
      <c r="E103" s="25" t="s">
        <v>503</v>
      </c>
      <c r="F103" s="22">
        <v>2</v>
      </c>
      <c r="G103" s="22">
        <f>wimbledons_champions!G111</f>
        <v>170</v>
      </c>
      <c r="H103" s="25" t="str">
        <f>wimbledons_champions!H111</f>
        <v>6-3, 5-7, 2-6, 6-4, 6-4</v>
      </c>
      <c r="I103" s="25" t="s">
        <v>159</v>
      </c>
      <c r="J103" s="22" t="s">
        <v>28</v>
      </c>
      <c r="K103" s="25" t="s">
        <v>499</v>
      </c>
      <c r="L103" s="22">
        <v>4</v>
      </c>
      <c r="M103" s="18">
        <v>0.51020408163265307</v>
      </c>
      <c r="N103" s="18"/>
      <c r="O103" s="19" t="s">
        <v>741</v>
      </c>
      <c r="P103" s="19">
        <v>3</v>
      </c>
      <c r="Q103" s="19">
        <v>5</v>
      </c>
      <c r="R103" s="19">
        <v>7</v>
      </c>
      <c r="S103" s="19">
        <v>2</v>
      </c>
      <c r="T103" s="19">
        <v>6</v>
      </c>
      <c r="U103" s="19">
        <v>6</v>
      </c>
      <c r="V103" s="19">
        <v>4</v>
      </c>
      <c r="W103" s="19" t="s">
        <v>741</v>
      </c>
      <c r="X103" s="19">
        <v>4</v>
      </c>
      <c r="Y103" s="20">
        <f t="shared" si="7"/>
        <v>25</v>
      </c>
      <c r="Z103" s="20">
        <f t="shared" si="7"/>
        <v>24</v>
      </c>
      <c r="AA103" s="21">
        <f t="shared" si="6"/>
        <v>0.51020408163265307</v>
      </c>
    </row>
    <row r="104" spans="1:27" x14ac:dyDescent="0.4">
      <c r="A104" s="22">
        <f>wimbledons_champions!A112</f>
        <v>1970</v>
      </c>
      <c r="B104" s="25" t="str">
        <f>wimbledons_champions!B112</f>
        <v>Women's</v>
      </c>
      <c r="C104" s="25" t="s">
        <v>269</v>
      </c>
      <c r="D104" s="22" t="s">
        <v>12</v>
      </c>
      <c r="E104" s="25" t="s">
        <v>503</v>
      </c>
      <c r="F104" s="22">
        <v>1</v>
      </c>
      <c r="G104" s="22">
        <f>wimbledons_champions!G112</f>
        <v>148</v>
      </c>
      <c r="H104" s="25" t="str">
        <f>wimbledons_champions!H112</f>
        <v>14-12, 11-9,</v>
      </c>
      <c r="I104" s="25" t="s">
        <v>271</v>
      </c>
      <c r="J104" s="22" t="s">
        <v>28</v>
      </c>
      <c r="K104" s="25" t="s">
        <v>499</v>
      </c>
      <c r="L104" s="22">
        <v>2</v>
      </c>
      <c r="M104" s="18">
        <v>0.54347826086956519</v>
      </c>
      <c r="N104" s="18"/>
      <c r="O104" s="19" t="s">
        <v>751</v>
      </c>
      <c r="P104" s="19">
        <v>12</v>
      </c>
      <c r="Q104" s="19">
        <v>11</v>
      </c>
      <c r="R104" s="19">
        <v>9</v>
      </c>
      <c r="S104" s="19"/>
      <c r="T104" s="19"/>
      <c r="U104" s="19"/>
      <c r="V104" s="19"/>
      <c r="W104" s="19"/>
      <c r="X104" s="19"/>
      <c r="Y104" s="20">
        <f t="shared" si="7"/>
        <v>25</v>
      </c>
      <c r="Z104" s="20">
        <f t="shared" si="7"/>
        <v>21</v>
      </c>
      <c r="AA104" s="21">
        <f t="shared" si="6"/>
        <v>0.54347826086956519</v>
      </c>
    </row>
    <row r="105" spans="1:27" x14ac:dyDescent="0.4">
      <c r="A105" s="22">
        <f>wimbledons_champions!A113</f>
        <v>1970</v>
      </c>
      <c r="B105" s="25" t="str">
        <f>wimbledons_champions!B113</f>
        <v>Men's</v>
      </c>
      <c r="C105" s="25" t="s">
        <v>117</v>
      </c>
      <c r="D105" s="22" t="s">
        <v>12</v>
      </c>
      <c r="E105" s="25" t="s">
        <v>503</v>
      </c>
      <c r="F105" s="22">
        <v>2</v>
      </c>
      <c r="G105" s="22">
        <f>wimbledons_champions!G113</f>
        <v>163</v>
      </c>
      <c r="H105" s="25" t="str">
        <f>wimbledons_champions!H113</f>
        <v>5-7, 6-3, 6-2, 3-6, 6-1</v>
      </c>
      <c r="I105" s="25" t="s">
        <v>101</v>
      </c>
      <c r="J105" s="22" t="s">
        <v>12</v>
      </c>
      <c r="K105" s="25" t="s">
        <v>503</v>
      </c>
      <c r="L105" s="22">
        <v>5</v>
      </c>
      <c r="M105" s="18">
        <v>0.57777777777777772</v>
      </c>
      <c r="N105" s="18"/>
      <c r="O105" s="19" t="s">
        <v>744</v>
      </c>
      <c r="P105" s="19">
        <v>7</v>
      </c>
      <c r="Q105" s="19">
        <v>6</v>
      </c>
      <c r="R105" s="19">
        <v>3</v>
      </c>
      <c r="S105" s="19">
        <v>6</v>
      </c>
      <c r="T105" s="19">
        <v>2</v>
      </c>
      <c r="U105" s="19">
        <v>3</v>
      </c>
      <c r="V105" s="19">
        <v>6</v>
      </c>
      <c r="W105" s="19" t="s">
        <v>741</v>
      </c>
      <c r="X105" s="19">
        <v>1</v>
      </c>
      <c r="Y105" s="20">
        <f t="shared" si="7"/>
        <v>26</v>
      </c>
      <c r="Z105" s="20">
        <f t="shared" si="7"/>
        <v>19</v>
      </c>
      <c r="AA105" s="21">
        <f t="shared" si="6"/>
        <v>0.57777777777777772</v>
      </c>
    </row>
    <row r="106" spans="1:27" x14ac:dyDescent="0.4">
      <c r="A106" s="22">
        <f>wimbledons_champions!A114</f>
        <v>1969</v>
      </c>
      <c r="B106" s="25" t="str">
        <f>wimbledons_champions!B114</f>
        <v>Women's</v>
      </c>
      <c r="C106" s="25" t="s">
        <v>372</v>
      </c>
      <c r="D106" s="22" t="s">
        <v>15</v>
      </c>
      <c r="E106" s="25" t="s">
        <v>498</v>
      </c>
      <c r="F106" s="22">
        <v>4</v>
      </c>
      <c r="G106" s="22">
        <f>wimbledons_champions!G114</f>
        <v>71</v>
      </c>
      <c r="H106" s="25" t="str">
        <f>wimbledons_champions!H114</f>
        <v>3-6, 6-3, 6-2,</v>
      </c>
      <c r="I106" s="25" t="s">
        <v>271</v>
      </c>
      <c r="J106" s="22" t="s">
        <v>28</v>
      </c>
      <c r="K106" s="25" t="s">
        <v>499</v>
      </c>
      <c r="L106" s="22">
        <v>2</v>
      </c>
      <c r="M106" s="18">
        <v>0.57692307692307687</v>
      </c>
      <c r="N106" s="18"/>
      <c r="O106" s="19" t="s">
        <v>748</v>
      </c>
      <c r="P106" s="19">
        <v>6</v>
      </c>
      <c r="Q106" s="19">
        <v>6</v>
      </c>
      <c r="R106" s="19">
        <v>3</v>
      </c>
      <c r="S106" s="19">
        <v>6</v>
      </c>
      <c r="T106" s="19">
        <v>2</v>
      </c>
      <c r="U106" s="19"/>
      <c r="V106" s="19"/>
      <c r="W106" s="19"/>
      <c r="X106" s="19"/>
      <c r="Y106" s="20">
        <f t="shared" si="7"/>
        <v>15</v>
      </c>
      <c r="Z106" s="20">
        <f t="shared" si="7"/>
        <v>11</v>
      </c>
      <c r="AA106" s="21">
        <f t="shared" si="6"/>
        <v>0.57692307692307687</v>
      </c>
    </row>
    <row r="107" spans="1:27" x14ac:dyDescent="0.4">
      <c r="A107" s="22">
        <f>wimbledons_champions!A115</f>
        <v>1969</v>
      </c>
      <c r="B107" s="25" t="str">
        <f>wimbledons_champions!B115</f>
        <v>Men's</v>
      </c>
      <c r="C107" s="25" t="s">
        <v>96</v>
      </c>
      <c r="D107" s="22" t="s">
        <v>12</v>
      </c>
      <c r="E107" s="25" t="s">
        <v>503</v>
      </c>
      <c r="F107" s="22">
        <v>1</v>
      </c>
      <c r="G107" s="22">
        <f>wimbledons_champions!G115</f>
        <v>136</v>
      </c>
      <c r="H107" s="25" t="str">
        <f>wimbledons_champions!H115</f>
        <v>6-4, 5-7, 6-4, 6-4</v>
      </c>
      <c r="I107" s="25" t="s">
        <v>117</v>
      </c>
      <c r="J107" s="22" t="s">
        <v>12</v>
      </c>
      <c r="K107" s="25" t="s">
        <v>503</v>
      </c>
      <c r="L107" s="22">
        <v>6</v>
      </c>
      <c r="M107" s="18">
        <v>0.54761904761904767</v>
      </c>
      <c r="N107" s="18"/>
      <c r="O107" s="19" t="s">
        <v>741</v>
      </c>
      <c r="P107" s="19">
        <v>4</v>
      </c>
      <c r="Q107" s="19">
        <v>5</v>
      </c>
      <c r="R107" s="19">
        <v>7</v>
      </c>
      <c r="S107" s="19">
        <v>6</v>
      </c>
      <c r="T107" s="19">
        <v>4</v>
      </c>
      <c r="U107" s="19">
        <v>6</v>
      </c>
      <c r="V107" s="19">
        <v>4</v>
      </c>
      <c r="W107" s="19"/>
      <c r="X107" s="19"/>
      <c r="Y107" s="20">
        <f t="shared" si="7"/>
        <v>23</v>
      </c>
      <c r="Z107" s="20">
        <f t="shared" si="7"/>
        <v>19</v>
      </c>
      <c r="AA107" s="21">
        <f t="shared" si="6"/>
        <v>0.54761904761904767</v>
      </c>
    </row>
    <row r="108" spans="1:27" x14ac:dyDescent="0.4">
      <c r="A108" s="22">
        <f>wimbledons_champions!A116</f>
        <v>1968</v>
      </c>
      <c r="B108" s="25" t="str">
        <f>wimbledons_champions!B116</f>
        <v>Women's</v>
      </c>
      <c r="C108" s="25" t="s">
        <v>271</v>
      </c>
      <c r="D108" s="22" t="s">
        <v>28</v>
      </c>
      <c r="E108" s="25" t="s">
        <v>499</v>
      </c>
      <c r="F108" s="22">
        <v>1</v>
      </c>
      <c r="G108" s="22">
        <f>wimbledons_champions!G116</f>
        <v>69</v>
      </c>
      <c r="H108" s="25" t="str">
        <f>wimbledons_champions!H116</f>
        <v>9-7, 7-5,</v>
      </c>
      <c r="I108" s="25" t="s">
        <v>437</v>
      </c>
      <c r="J108" s="22" t="s">
        <v>12</v>
      </c>
      <c r="K108" s="25" t="s">
        <v>503</v>
      </c>
      <c r="L108" s="22">
        <v>7</v>
      </c>
      <c r="M108" s="18">
        <v>0.5714285714285714</v>
      </c>
      <c r="N108" s="18"/>
      <c r="O108" s="19" t="s">
        <v>746</v>
      </c>
      <c r="P108" s="19">
        <v>7</v>
      </c>
      <c r="Q108" s="19">
        <v>7</v>
      </c>
      <c r="R108" s="19">
        <v>5</v>
      </c>
      <c r="S108" s="19"/>
      <c r="T108" s="19"/>
      <c r="U108" s="19"/>
      <c r="V108" s="19"/>
      <c r="W108" s="19"/>
      <c r="X108" s="19"/>
      <c r="Y108" s="20">
        <f t="shared" si="7"/>
        <v>16</v>
      </c>
      <c r="Z108" s="20">
        <f t="shared" si="7"/>
        <v>12</v>
      </c>
      <c r="AA108" s="21">
        <f t="shared" si="6"/>
        <v>0.5714285714285714</v>
      </c>
    </row>
    <row r="109" spans="1:27" x14ac:dyDescent="0.4">
      <c r="A109" s="22">
        <f>wimbledons_champions!A117</f>
        <v>1968</v>
      </c>
      <c r="B109" s="25" t="str">
        <f>wimbledons_champions!B117</f>
        <v>Men's</v>
      </c>
      <c r="C109" s="25" t="s">
        <v>96</v>
      </c>
      <c r="D109" s="22" t="s">
        <v>12</v>
      </c>
      <c r="E109" s="25" t="s">
        <v>503</v>
      </c>
      <c r="F109" s="22">
        <v>1</v>
      </c>
      <c r="G109" s="22">
        <f>wimbledons_champions!G117</f>
        <v>60</v>
      </c>
      <c r="H109" s="25" t="str">
        <f>wimbledons_champions!H117</f>
        <v>6-3, 6-4, 6-2</v>
      </c>
      <c r="I109" s="25" t="s">
        <v>97</v>
      </c>
      <c r="J109" s="22" t="s">
        <v>12</v>
      </c>
      <c r="K109" s="25" t="s">
        <v>503</v>
      </c>
      <c r="L109" s="22">
        <v>15</v>
      </c>
      <c r="M109" s="18">
        <v>0.66666666666666663</v>
      </c>
      <c r="N109" s="18"/>
      <c r="O109" s="19" t="s">
        <v>741</v>
      </c>
      <c r="P109" s="19">
        <v>3</v>
      </c>
      <c r="Q109" s="19">
        <v>6</v>
      </c>
      <c r="R109" s="19">
        <v>4</v>
      </c>
      <c r="S109" s="19">
        <v>6</v>
      </c>
      <c r="T109" s="19">
        <v>2</v>
      </c>
      <c r="U109" s="19"/>
      <c r="V109" s="19"/>
      <c r="W109" s="19"/>
      <c r="X109" s="19"/>
      <c r="Y109" s="20">
        <f t="shared" si="7"/>
        <v>18</v>
      </c>
      <c r="Z109" s="20">
        <f t="shared" si="7"/>
        <v>9</v>
      </c>
      <c r="AA109" s="21">
        <f t="shared" si="6"/>
        <v>0.66666666666666663</v>
      </c>
    </row>
    <row r="110" spans="1:27" x14ac:dyDescent="0.4">
      <c r="A110" s="22">
        <f>wimbledons_champions!A118</f>
        <v>1967</v>
      </c>
      <c r="B110" s="25" t="str">
        <f>wimbledons_champions!B118</f>
        <v>Women's</v>
      </c>
      <c r="C110" s="25" t="s">
        <v>271</v>
      </c>
      <c r="D110" s="22" t="s">
        <v>28</v>
      </c>
      <c r="E110" s="25" t="s">
        <v>499</v>
      </c>
      <c r="F110" s="22">
        <v>1</v>
      </c>
      <c r="G110" s="22">
        <f>wimbledons_champions!G118</f>
        <v>60</v>
      </c>
      <c r="H110" s="25" t="str">
        <f>wimbledons_champions!H118</f>
        <v>6-3, 6-4,</v>
      </c>
      <c r="I110" s="25" t="s">
        <v>372</v>
      </c>
      <c r="J110" s="22" t="s">
        <v>15</v>
      </c>
      <c r="K110" s="25" t="s">
        <v>498</v>
      </c>
      <c r="L110" s="22">
        <v>3</v>
      </c>
      <c r="M110" s="18">
        <v>0.63157894736842102</v>
      </c>
      <c r="N110" s="18"/>
      <c r="O110" s="19" t="s">
        <v>741</v>
      </c>
      <c r="P110" s="19">
        <v>3</v>
      </c>
      <c r="Q110" s="19">
        <v>6</v>
      </c>
      <c r="R110" s="19">
        <v>4</v>
      </c>
      <c r="S110" s="19"/>
      <c r="T110" s="19"/>
      <c r="U110" s="19"/>
      <c r="V110" s="19"/>
      <c r="W110" s="19"/>
      <c r="X110" s="19"/>
      <c r="Y110" s="20">
        <f t="shared" si="7"/>
        <v>12</v>
      </c>
      <c r="Z110" s="20">
        <f t="shared" si="7"/>
        <v>7</v>
      </c>
      <c r="AA110" s="21">
        <f t="shared" si="6"/>
        <v>0.63157894736842102</v>
      </c>
    </row>
    <row r="111" spans="1:27" x14ac:dyDescent="0.4">
      <c r="A111" s="22">
        <f>wimbledons_champions!A119</f>
        <v>1967</v>
      </c>
      <c r="B111" s="25" t="str">
        <f>wimbledons_champions!B119</f>
        <v>Men's</v>
      </c>
      <c r="C111" s="25" t="s">
        <v>117</v>
      </c>
      <c r="D111" s="22" t="s">
        <v>12</v>
      </c>
      <c r="E111" s="25" t="s">
        <v>503</v>
      </c>
      <c r="F111" s="22">
        <v>3</v>
      </c>
      <c r="G111" s="22">
        <f>wimbledons_champions!G119</f>
        <v>71</v>
      </c>
      <c r="H111" s="25" t="str">
        <f>wimbledons_champions!H119</f>
        <v>6-3, 6-1, 6-1</v>
      </c>
      <c r="I111" s="25" t="s">
        <v>226</v>
      </c>
      <c r="J111" s="22" t="s">
        <v>126</v>
      </c>
      <c r="K111" s="25" t="s">
        <v>495</v>
      </c>
      <c r="L111" s="22" t="s">
        <v>122</v>
      </c>
      <c r="M111" s="18">
        <v>0.78260869565217395</v>
      </c>
      <c r="N111" s="18"/>
      <c r="O111" s="19" t="s">
        <v>741</v>
      </c>
      <c r="P111" s="19">
        <v>3</v>
      </c>
      <c r="Q111" s="19">
        <v>6</v>
      </c>
      <c r="R111" s="19">
        <v>1</v>
      </c>
      <c r="S111" s="19">
        <v>6</v>
      </c>
      <c r="T111" s="19">
        <v>1</v>
      </c>
      <c r="U111" s="19"/>
      <c r="V111" s="19"/>
      <c r="W111" s="19"/>
      <c r="X111" s="19"/>
      <c r="Y111" s="20">
        <f t="shared" si="7"/>
        <v>18</v>
      </c>
      <c r="Z111" s="20">
        <f t="shared" si="7"/>
        <v>5</v>
      </c>
      <c r="AA111" s="21">
        <f t="shared" si="6"/>
        <v>0.78260869565217395</v>
      </c>
    </row>
    <row r="112" spans="1:27" x14ac:dyDescent="0.4">
      <c r="A112" s="22">
        <f>wimbledons_champions!A120</f>
        <v>1966</v>
      </c>
      <c r="B112" s="25" t="str">
        <f>wimbledons_champions!B120</f>
        <v>Women's</v>
      </c>
      <c r="C112" s="25" t="s">
        <v>271</v>
      </c>
      <c r="D112" s="22" t="s">
        <v>28</v>
      </c>
      <c r="E112" s="25" t="s">
        <v>499</v>
      </c>
      <c r="F112" s="22">
        <v>4</v>
      </c>
      <c r="G112" s="22">
        <f>wimbledons_champions!G120</f>
        <v>68</v>
      </c>
      <c r="H112" s="25" t="str">
        <f>wimbledons_champions!H120</f>
        <v>6-3, 3-6, 6-1,</v>
      </c>
      <c r="I112" s="25" t="s">
        <v>277</v>
      </c>
      <c r="J112" s="22" t="s">
        <v>276</v>
      </c>
      <c r="K112" s="25" t="s">
        <v>507</v>
      </c>
      <c r="L112" s="22">
        <v>2</v>
      </c>
      <c r="M112" s="18">
        <v>0.6</v>
      </c>
      <c r="N112" s="18"/>
      <c r="O112" s="19" t="s">
        <v>741</v>
      </c>
      <c r="P112" s="19">
        <v>3</v>
      </c>
      <c r="Q112" s="19">
        <v>3</v>
      </c>
      <c r="R112" s="19">
        <v>6</v>
      </c>
      <c r="S112" s="19">
        <v>6</v>
      </c>
      <c r="T112" s="19">
        <v>1</v>
      </c>
      <c r="U112" s="19"/>
      <c r="V112" s="19"/>
      <c r="W112" s="19"/>
      <c r="X112" s="19"/>
      <c r="Y112" s="20">
        <f t="shared" si="7"/>
        <v>15</v>
      </c>
      <c r="Z112" s="20">
        <f t="shared" si="7"/>
        <v>10</v>
      </c>
      <c r="AA112" s="21">
        <f t="shared" si="6"/>
        <v>0.6</v>
      </c>
    </row>
    <row r="113" spans="1:27" x14ac:dyDescent="0.4">
      <c r="A113" s="22">
        <f>wimbledons_champions!A121</f>
        <v>1966</v>
      </c>
      <c r="B113" s="25" t="str">
        <f>wimbledons_champions!B121</f>
        <v>Men's</v>
      </c>
      <c r="C113" s="25" t="s">
        <v>234</v>
      </c>
      <c r="D113" s="22" t="s">
        <v>135</v>
      </c>
      <c r="E113" s="25" t="s">
        <v>496</v>
      </c>
      <c r="F113" s="22">
        <v>4</v>
      </c>
      <c r="G113" s="22">
        <f>wimbledons_champions!G121</f>
        <v>104</v>
      </c>
      <c r="H113" s="25" t="str">
        <f>wimbledons_champions!H121</f>
        <v>6-4, 11-9, 6-4</v>
      </c>
      <c r="I113" s="25" t="s">
        <v>235</v>
      </c>
      <c r="J113" s="22" t="s">
        <v>28</v>
      </c>
      <c r="K113" s="25" t="s">
        <v>499</v>
      </c>
      <c r="L113" s="22">
        <v>6</v>
      </c>
      <c r="M113" s="18">
        <v>0.57499999999999996</v>
      </c>
      <c r="N113" s="18"/>
      <c r="O113" s="19" t="s">
        <v>741</v>
      </c>
      <c r="P113" s="19">
        <v>4</v>
      </c>
      <c r="Q113" s="19">
        <v>11</v>
      </c>
      <c r="R113" s="19">
        <v>9</v>
      </c>
      <c r="S113" s="19">
        <v>6</v>
      </c>
      <c r="T113" s="19">
        <v>4</v>
      </c>
      <c r="U113" s="19"/>
      <c r="V113" s="19"/>
      <c r="W113" s="19"/>
      <c r="X113" s="19"/>
      <c r="Y113" s="20">
        <f t="shared" si="7"/>
        <v>23</v>
      </c>
      <c r="Z113" s="20">
        <f t="shared" si="7"/>
        <v>17</v>
      </c>
      <c r="AA113" s="21">
        <f t="shared" si="6"/>
        <v>0.57499999999999996</v>
      </c>
    </row>
    <row r="114" spans="1:27" x14ac:dyDescent="0.4">
      <c r="A114" s="22">
        <f>wimbledons_champions!A122</f>
        <v>1965</v>
      </c>
      <c r="B114" s="25" t="str">
        <f>wimbledons_champions!B122</f>
        <v>Women's</v>
      </c>
      <c r="C114" s="25" t="s">
        <v>272</v>
      </c>
      <c r="D114" s="22" t="s">
        <v>12</v>
      </c>
      <c r="E114" s="25" t="s">
        <v>503</v>
      </c>
      <c r="F114" s="22">
        <v>2</v>
      </c>
      <c r="G114" s="22">
        <f>wimbledons_champions!G122</f>
        <v>56</v>
      </c>
      <c r="H114" s="25" t="str">
        <f>wimbledons_champions!H122</f>
        <v>6-4, 7-5,</v>
      </c>
      <c r="I114" s="25" t="s">
        <v>277</v>
      </c>
      <c r="J114" s="22" t="s">
        <v>276</v>
      </c>
      <c r="K114" s="25" t="s">
        <v>507</v>
      </c>
      <c r="L114" s="22">
        <v>1</v>
      </c>
      <c r="M114" s="18">
        <v>0.59090909090909094</v>
      </c>
      <c r="N114" s="18"/>
      <c r="O114" s="19" t="s">
        <v>741</v>
      </c>
      <c r="P114" s="19">
        <v>4</v>
      </c>
      <c r="Q114" s="19">
        <v>7</v>
      </c>
      <c r="R114" s="19">
        <v>5</v>
      </c>
      <c r="S114" s="19"/>
      <c r="T114" s="19"/>
      <c r="U114" s="19"/>
      <c r="V114" s="19"/>
      <c r="W114" s="19"/>
      <c r="X114" s="19"/>
      <c r="Y114" s="20">
        <f t="shared" si="7"/>
        <v>13</v>
      </c>
      <c r="Z114" s="20">
        <f t="shared" si="7"/>
        <v>9</v>
      </c>
      <c r="AA114" s="21">
        <f t="shared" si="6"/>
        <v>0.59090909090909094</v>
      </c>
    </row>
    <row r="115" spans="1:27" x14ac:dyDescent="0.4">
      <c r="A115" s="22">
        <f>wimbledons_champions!A123</f>
        <v>1965</v>
      </c>
      <c r="B115" s="25" t="str">
        <f>wimbledons_champions!B123</f>
        <v>Men's</v>
      </c>
      <c r="C115" s="25" t="s">
        <v>103</v>
      </c>
      <c r="D115" s="22" t="s">
        <v>12</v>
      </c>
      <c r="E115" s="25" t="s">
        <v>503</v>
      </c>
      <c r="F115" s="22">
        <v>1</v>
      </c>
      <c r="G115" s="22">
        <f>wimbledons_champions!G123</f>
        <v>67</v>
      </c>
      <c r="H115" s="25" t="str">
        <f>wimbledons_champions!H123</f>
        <v>6-2, 6-4, 6-4</v>
      </c>
      <c r="I115" s="25" t="s">
        <v>104</v>
      </c>
      <c r="J115" s="22" t="s">
        <v>12</v>
      </c>
      <c r="K115" s="25" t="s">
        <v>503</v>
      </c>
      <c r="L115" s="22">
        <v>2</v>
      </c>
      <c r="M115" s="18">
        <v>0.6428571428571429</v>
      </c>
      <c r="N115" s="18"/>
      <c r="O115" s="19" t="s">
        <v>741</v>
      </c>
      <c r="P115" s="19">
        <v>2</v>
      </c>
      <c r="Q115" s="19">
        <v>6</v>
      </c>
      <c r="R115" s="19">
        <v>4</v>
      </c>
      <c r="S115" s="19">
        <v>6</v>
      </c>
      <c r="T115" s="19">
        <v>4</v>
      </c>
      <c r="U115" s="19"/>
      <c r="V115" s="19"/>
      <c r="W115" s="19"/>
      <c r="X115" s="19"/>
      <c r="Y115" s="20">
        <f t="shared" si="7"/>
        <v>18</v>
      </c>
      <c r="Z115" s="20">
        <f t="shared" si="7"/>
        <v>10</v>
      </c>
      <c r="AA115" s="21">
        <f t="shared" si="6"/>
        <v>0.6428571428571429</v>
      </c>
    </row>
    <row r="116" spans="1:27" x14ac:dyDescent="0.4">
      <c r="A116" s="22">
        <f>wimbledons_champions!A124</f>
        <v>1964</v>
      </c>
      <c r="B116" s="25" t="str">
        <f>wimbledons_champions!B124</f>
        <v>Women's</v>
      </c>
      <c r="C116" s="25" t="s">
        <v>277</v>
      </c>
      <c r="D116" s="22" t="s">
        <v>276</v>
      </c>
      <c r="E116" s="25" t="s">
        <v>507</v>
      </c>
      <c r="F116" s="22">
        <v>2</v>
      </c>
      <c r="G116" s="22">
        <f>wimbledons_champions!G124</f>
        <v>90</v>
      </c>
      <c r="H116" s="25" t="str">
        <f>wimbledons_champions!H124</f>
        <v>6-4, 7-9, 6-3,</v>
      </c>
      <c r="I116" s="25" t="s">
        <v>272</v>
      </c>
      <c r="J116" s="22" t="s">
        <v>12</v>
      </c>
      <c r="K116" s="25" t="s">
        <v>503</v>
      </c>
      <c r="L116" s="22">
        <v>1</v>
      </c>
      <c r="M116" s="18">
        <v>0.54285714285714282</v>
      </c>
      <c r="N116" s="18"/>
      <c r="O116" s="19" t="s">
        <v>741</v>
      </c>
      <c r="P116" s="19">
        <v>4</v>
      </c>
      <c r="Q116" s="19">
        <v>7</v>
      </c>
      <c r="R116" s="19">
        <v>9</v>
      </c>
      <c r="S116" s="19">
        <v>6</v>
      </c>
      <c r="T116" s="19">
        <v>3</v>
      </c>
      <c r="U116" s="19"/>
      <c r="V116" s="19"/>
      <c r="W116" s="19"/>
      <c r="X116" s="19"/>
      <c r="Y116" s="20">
        <f t="shared" si="7"/>
        <v>19</v>
      </c>
      <c r="Z116" s="20">
        <f t="shared" si="7"/>
        <v>16</v>
      </c>
      <c r="AA116" s="21">
        <f t="shared" si="6"/>
        <v>0.54285714285714282</v>
      </c>
    </row>
    <row r="117" spans="1:27" x14ac:dyDescent="0.4">
      <c r="A117" s="22">
        <f>wimbledons_champions!A125</f>
        <v>1964</v>
      </c>
      <c r="B117" s="25" t="str">
        <f>wimbledons_champions!B125</f>
        <v>Men's</v>
      </c>
      <c r="C117" s="25" t="s">
        <v>103</v>
      </c>
      <c r="D117" s="22" t="s">
        <v>12</v>
      </c>
      <c r="E117" s="25" t="s">
        <v>503</v>
      </c>
      <c r="F117" s="22">
        <v>1</v>
      </c>
      <c r="G117" s="22">
        <f>wimbledons_champions!G125</f>
        <v>127</v>
      </c>
      <c r="H117" s="25" t="str">
        <f>wimbledons_champions!H125</f>
        <v>6-4, 12-10, 4-6, 6-3</v>
      </c>
      <c r="I117" s="25" t="s">
        <v>104</v>
      </c>
      <c r="J117" s="22" t="s">
        <v>12</v>
      </c>
      <c r="K117" s="25" t="s">
        <v>503</v>
      </c>
      <c r="L117" s="22">
        <v>6</v>
      </c>
      <c r="M117" s="18">
        <v>0.5490196078431373</v>
      </c>
      <c r="N117" s="18"/>
      <c r="O117" s="19" t="s">
        <v>741</v>
      </c>
      <c r="P117" s="19">
        <v>4</v>
      </c>
      <c r="Q117" s="19">
        <v>12</v>
      </c>
      <c r="R117" s="19">
        <v>10</v>
      </c>
      <c r="S117" s="19">
        <v>4</v>
      </c>
      <c r="T117" s="19">
        <v>6</v>
      </c>
      <c r="U117" s="19">
        <v>6</v>
      </c>
      <c r="V117" s="19">
        <v>3</v>
      </c>
      <c r="W117" s="19"/>
      <c r="X117" s="19"/>
      <c r="Y117" s="20">
        <f t="shared" si="7"/>
        <v>28</v>
      </c>
      <c r="Z117" s="20">
        <f t="shared" si="7"/>
        <v>23</v>
      </c>
      <c r="AA117" s="21">
        <f t="shared" si="6"/>
        <v>0.5490196078431373</v>
      </c>
    </row>
    <row r="118" spans="1:27" x14ac:dyDescent="0.4">
      <c r="A118" s="22">
        <f>wimbledons_champions!A126</f>
        <v>1963</v>
      </c>
      <c r="B118" s="25" t="str">
        <f>wimbledons_champions!B126</f>
        <v>Women's</v>
      </c>
      <c r="C118" s="25" t="s">
        <v>272</v>
      </c>
      <c r="D118" s="22" t="s">
        <v>12</v>
      </c>
      <c r="E118" s="25" t="s">
        <v>503</v>
      </c>
      <c r="F118" s="22">
        <v>1</v>
      </c>
      <c r="G118" s="22">
        <f>wimbledons_champions!G126</f>
        <v>51</v>
      </c>
      <c r="H118" s="25" t="str">
        <f>wimbledons_champions!H126</f>
        <v>6-3, 6-4,</v>
      </c>
      <c r="I118" s="25" t="s">
        <v>274</v>
      </c>
      <c r="J118" s="22" t="s">
        <v>28</v>
      </c>
      <c r="K118" s="25" t="s">
        <v>499</v>
      </c>
      <c r="L118" s="22" t="s">
        <v>122</v>
      </c>
      <c r="M118" s="18">
        <v>0.63157894736842102</v>
      </c>
      <c r="N118" s="18"/>
      <c r="O118" s="19" t="s">
        <v>741</v>
      </c>
      <c r="P118" s="19">
        <v>3</v>
      </c>
      <c r="Q118" s="19">
        <v>6</v>
      </c>
      <c r="R118" s="19">
        <v>4</v>
      </c>
      <c r="S118" s="19"/>
      <c r="T118" s="19"/>
      <c r="U118" s="19"/>
      <c r="V118" s="19"/>
      <c r="W118" s="19"/>
      <c r="X118" s="19"/>
      <c r="Y118" s="20">
        <f t="shared" si="7"/>
        <v>12</v>
      </c>
      <c r="Z118" s="20">
        <f t="shared" si="7"/>
        <v>7</v>
      </c>
      <c r="AA118" s="21">
        <f t="shared" si="6"/>
        <v>0.63157894736842102</v>
      </c>
    </row>
    <row r="119" spans="1:27" x14ac:dyDescent="0.4">
      <c r="A119" s="22">
        <f>wimbledons_champions!A127</f>
        <v>1963</v>
      </c>
      <c r="B119" s="25" t="str">
        <f>wimbledons_champions!B127</f>
        <v>Men's</v>
      </c>
      <c r="C119" s="25" t="s">
        <v>191</v>
      </c>
      <c r="D119" s="22" t="s">
        <v>28</v>
      </c>
      <c r="E119" s="25" t="s">
        <v>499</v>
      </c>
      <c r="F119" s="22">
        <v>4</v>
      </c>
      <c r="G119" s="22">
        <f>wimbledons_champions!G127</f>
        <v>78</v>
      </c>
      <c r="H119" s="25" t="str">
        <f>wimbledons_champions!H127</f>
        <v>9-7, 6-1, 6-4</v>
      </c>
      <c r="I119" s="25" t="s">
        <v>104</v>
      </c>
      <c r="J119" s="22" t="s">
        <v>12</v>
      </c>
      <c r="K119" s="25" t="s">
        <v>503</v>
      </c>
      <c r="L119" s="22" t="s">
        <v>122</v>
      </c>
      <c r="M119" s="18">
        <v>0.63636363636363635</v>
      </c>
      <c r="N119" s="18"/>
      <c r="O119" s="19" t="s">
        <v>746</v>
      </c>
      <c r="P119" s="19">
        <v>7</v>
      </c>
      <c r="Q119" s="19">
        <v>6</v>
      </c>
      <c r="R119" s="19">
        <v>1</v>
      </c>
      <c r="S119" s="19">
        <v>6</v>
      </c>
      <c r="T119" s="19">
        <v>4</v>
      </c>
      <c r="U119" s="19"/>
      <c r="V119" s="19"/>
      <c r="W119" s="19"/>
      <c r="X119" s="19"/>
      <c r="Y119" s="20">
        <f t="shared" si="7"/>
        <v>21</v>
      </c>
      <c r="Z119" s="20">
        <f t="shared" si="7"/>
        <v>12</v>
      </c>
      <c r="AA119" s="21">
        <f t="shared" si="6"/>
        <v>0.63636363636363635</v>
      </c>
    </row>
    <row r="120" spans="1:27" x14ac:dyDescent="0.4">
      <c r="A120" s="22">
        <f>wimbledons_champions!A128</f>
        <v>1962</v>
      </c>
      <c r="B120" s="25" t="str">
        <f>wimbledons_champions!B128</f>
        <v>Women's</v>
      </c>
      <c r="C120" s="25" t="s">
        <v>468</v>
      </c>
      <c r="D120" s="22" t="s">
        <v>28</v>
      </c>
      <c r="E120" s="25" t="s">
        <v>499</v>
      </c>
      <c r="F120" s="22">
        <v>8</v>
      </c>
      <c r="G120" s="22">
        <f>wimbledons_champions!G128</f>
        <v>57</v>
      </c>
      <c r="H120" s="25" t="str">
        <f>wimbledons_champions!H128</f>
        <v>6-4, 6-4,</v>
      </c>
      <c r="I120" s="25" t="s">
        <v>469</v>
      </c>
      <c r="J120" s="22" t="s">
        <v>181</v>
      </c>
      <c r="K120" s="25" t="s">
        <v>517</v>
      </c>
      <c r="L120" s="22" t="s">
        <v>122</v>
      </c>
      <c r="M120" s="18">
        <v>0.6</v>
      </c>
      <c r="N120" s="18"/>
      <c r="O120" s="19" t="s">
        <v>741</v>
      </c>
      <c r="P120" s="19">
        <v>4</v>
      </c>
      <c r="Q120" s="19">
        <v>6</v>
      </c>
      <c r="R120" s="19">
        <v>4</v>
      </c>
      <c r="S120" s="19"/>
      <c r="T120" s="19"/>
      <c r="U120" s="19"/>
      <c r="V120" s="19"/>
      <c r="W120" s="19"/>
      <c r="X120" s="19"/>
      <c r="Y120" s="20">
        <f t="shared" si="7"/>
        <v>12</v>
      </c>
      <c r="Z120" s="20">
        <f t="shared" si="7"/>
        <v>8</v>
      </c>
      <c r="AA120" s="21">
        <f t="shared" si="6"/>
        <v>0.6</v>
      </c>
    </row>
    <row r="121" spans="1:27" x14ac:dyDescent="0.4">
      <c r="A121" s="22">
        <f>wimbledons_champions!A129</f>
        <v>1962</v>
      </c>
      <c r="B121" s="25" t="str">
        <f>wimbledons_champions!B129</f>
        <v>Men's</v>
      </c>
      <c r="C121" s="25" t="s">
        <v>96</v>
      </c>
      <c r="D121" s="22" t="s">
        <v>12</v>
      </c>
      <c r="E121" s="25" t="s">
        <v>503</v>
      </c>
      <c r="F121" s="22">
        <v>1</v>
      </c>
      <c r="G121" s="22">
        <f>wimbledons_champions!G129</f>
        <v>51</v>
      </c>
      <c r="H121" s="25" t="str">
        <f>wimbledons_champions!H129</f>
        <v>6-2, 6-2, 6-1</v>
      </c>
      <c r="I121" s="25" t="s">
        <v>120</v>
      </c>
      <c r="J121" s="22" t="s">
        <v>12</v>
      </c>
      <c r="K121" s="25" t="s">
        <v>503</v>
      </c>
      <c r="L121" s="22" t="s">
        <v>122</v>
      </c>
      <c r="M121" s="18">
        <v>0.78260869565217395</v>
      </c>
      <c r="N121" s="18"/>
      <c r="O121" s="19" t="s">
        <v>741</v>
      </c>
      <c r="P121" s="19">
        <v>2</v>
      </c>
      <c r="Q121" s="19">
        <v>6</v>
      </c>
      <c r="R121" s="19">
        <v>2</v>
      </c>
      <c r="S121" s="19">
        <v>6</v>
      </c>
      <c r="T121" s="19">
        <v>1</v>
      </c>
      <c r="U121" s="19"/>
      <c r="V121" s="19"/>
      <c r="W121" s="19"/>
      <c r="X121" s="19"/>
      <c r="Y121" s="20">
        <f t="shared" si="7"/>
        <v>18</v>
      </c>
      <c r="Z121" s="20">
        <f t="shared" si="7"/>
        <v>5</v>
      </c>
      <c r="AA121" s="21">
        <f t="shared" si="6"/>
        <v>0.78260869565217395</v>
      </c>
    </row>
    <row r="122" spans="1:27" x14ac:dyDescent="0.4">
      <c r="A122" s="22">
        <f>wimbledons_champions!A130</f>
        <v>1961</v>
      </c>
      <c r="B122" s="25" t="str">
        <f>wimbledons_champions!B130</f>
        <v>Women's</v>
      </c>
      <c r="C122" s="25" t="s">
        <v>377</v>
      </c>
      <c r="D122" s="22" t="s">
        <v>15</v>
      </c>
      <c r="E122" s="25" t="s">
        <v>498</v>
      </c>
      <c r="F122" s="22">
        <v>7</v>
      </c>
      <c r="G122" s="22">
        <f>wimbledons_champions!G130</f>
        <v>96</v>
      </c>
      <c r="H122" s="25" t="str">
        <f>wimbledons_champions!H130</f>
        <v>4-6, 6-4, 7-5,</v>
      </c>
      <c r="I122" s="25" t="s">
        <v>379</v>
      </c>
      <c r="J122" s="22" t="s">
        <v>15</v>
      </c>
      <c r="K122" s="25" t="s">
        <v>498</v>
      </c>
      <c r="L122" s="22">
        <v>6</v>
      </c>
      <c r="M122" s="18">
        <v>0.53125</v>
      </c>
      <c r="N122" s="18"/>
      <c r="O122" s="19" t="s">
        <v>743</v>
      </c>
      <c r="P122" s="19">
        <v>6</v>
      </c>
      <c r="Q122" s="19">
        <v>6</v>
      </c>
      <c r="R122" s="19">
        <v>4</v>
      </c>
      <c r="S122" s="19">
        <v>7</v>
      </c>
      <c r="T122" s="19">
        <v>5</v>
      </c>
      <c r="U122" s="19"/>
      <c r="V122" s="19"/>
      <c r="W122" s="19"/>
      <c r="X122" s="19"/>
      <c r="Y122" s="20">
        <f t="shared" si="7"/>
        <v>17</v>
      </c>
      <c r="Z122" s="20">
        <f t="shared" si="7"/>
        <v>15</v>
      </c>
      <c r="AA122" s="21">
        <f t="shared" si="6"/>
        <v>0.53125</v>
      </c>
    </row>
    <row r="123" spans="1:27" x14ac:dyDescent="0.4">
      <c r="A123" s="22">
        <f>wimbledons_champions!A131</f>
        <v>1961</v>
      </c>
      <c r="B123" s="25" t="str">
        <f>wimbledons_champions!B131</f>
        <v>Men's</v>
      </c>
      <c r="C123" s="25" t="s">
        <v>96</v>
      </c>
      <c r="D123" s="22" t="s">
        <v>12</v>
      </c>
      <c r="E123" s="25" t="s">
        <v>503</v>
      </c>
      <c r="F123" s="22">
        <v>2</v>
      </c>
      <c r="G123" s="22">
        <f>wimbledons_champions!G131</f>
        <v>55</v>
      </c>
      <c r="H123" s="25" t="str">
        <f>wimbledons_champions!H131</f>
        <v>6-3, 6-1, 6-4</v>
      </c>
      <c r="I123" s="25" t="s">
        <v>191</v>
      </c>
      <c r="J123" s="22" t="s">
        <v>28</v>
      </c>
      <c r="K123" s="25" t="s">
        <v>499</v>
      </c>
      <c r="L123" s="22">
        <v>8</v>
      </c>
      <c r="M123" s="18">
        <v>0.69230769230769229</v>
      </c>
      <c r="N123" s="18"/>
      <c r="O123" s="19" t="s">
        <v>741</v>
      </c>
      <c r="P123" s="19">
        <v>3</v>
      </c>
      <c r="Q123" s="19">
        <v>6</v>
      </c>
      <c r="R123" s="19">
        <v>1</v>
      </c>
      <c r="S123" s="19">
        <v>6</v>
      </c>
      <c r="T123" s="19">
        <v>4</v>
      </c>
      <c r="U123" s="19"/>
      <c r="V123" s="19"/>
      <c r="W123" s="19"/>
      <c r="X123" s="19"/>
      <c r="Y123" s="20">
        <f t="shared" si="7"/>
        <v>18</v>
      </c>
      <c r="Z123" s="20">
        <f t="shared" si="7"/>
        <v>8</v>
      </c>
      <c r="AA123" s="21">
        <f t="shared" si="6"/>
        <v>0.69230769230769229</v>
      </c>
    </row>
    <row r="124" spans="1:27" x14ac:dyDescent="0.4">
      <c r="A124" s="22">
        <f>wimbledons_champions!A132</f>
        <v>1960</v>
      </c>
      <c r="B124" s="25" t="str">
        <f>wimbledons_champions!B132</f>
        <v>Women's</v>
      </c>
      <c r="C124" s="25" t="s">
        <v>277</v>
      </c>
      <c r="D124" s="22" t="s">
        <v>276</v>
      </c>
      <c r="E124" s="25" t="s">
        <v>507</v>
      </c>
      <c r="F124" s="22">
        <v>1</v>
      </c>
      <c r="G124" s="22">
        <f>wimbledons_champions!G132</f>
        <v>59</v>
      </c>
      <c r="H124" s="25" t="str">
        <f>wimbledons_champions!H132</f>
        <v>8-6, 6-0</v>
      </c>
      <c r="I124" s="25" t="s">
        <v>284</v>
      </c>
      <c r="J124" s="22" t="s">
        <v>90</v>
      </c>
      <c r="K124" s="25" t="s">
        <v>509</v>
      </c>
      <c r="L124" s="22">
        <v>8</v>
      </c>
      <c r="M124" s="18">
        <v>0.7</v>
      </c>
      <c r="N124" s="18"/>
      <c r="O124" s="19" t="s">
        <v>750</v>
      </c>
      <c r="P124" s="19">
        <v>6</v>
      </c>
      <c r="Q124" s="19">
        <v>6</v>
      </c>
      <c r="R124" s="19">
        <v>0</v>
      </c>
      <c r="S124" s="19"/>
      <c r="T124" s="19"/>
      <c r="U124" s="19"/>
      <c r="V124" s="19"/>
      <c r="W124" s="19"/>
      <c r="X124" s="19"/>
      <c r="Y124" s="20">
        <f t="shared" si="7"/>
        <v>14</v>
      </c>
      <c r="Z124" s="20">
        <f t="shared" si="7"/>
        <v>6</v>
      </c>
      <c r="AA124" s="21">
        <f t="shared" si="6"/>
        <v>0.7</v>
      </c>
    </row>
    <row r="125" spans="1:27" x14ac:dyDescent="0.4">
      <c r="A125" s="22">
        <f>wimbledons_champions!A133</f>
        <v>1960</v>
      </c>
      <c r="B125" s="25" t="str">
        <f>wimbledons_champions!B133</f>
        <v>Men's</v>
      </c>
      <c r="C125" s="25" t="s">
        <v>114</v>
      </c>
      <c r="D125" s="22" t="s">
        <v>12</v>
      </c>
      <c r="E125" s="25" t="s">
        <v>503</v>
      </c>
      <c r="F125" s="22">
        <v>1</v>
      </c>
      <c r="G125" s="22">
        <f>wimbledons_champions!G133</f>
        <v>130</v>
      </c>
      <c r="H125" s="25" t="str">
        <f>wimbledons_champions!H133</f>
        <v>6-4, 3-6, 9-7, 7-5</v>
      </c>
      <c r="I125" s="25" t="s">
        <v>96</v>
      </c>
      <c r="J125" s="22" t="s">
        <v>12</v>
      </c>
      <c r="K125" s="25" t="s">
        <v>503</v>
      </c>
      <c r="L125" s="22">
        <v>3</v>
      </c>
      <c r="M125" s="18">
        <v>0.53191489361702127</v>
      </c>
      <c r="N125" s="18"/>
      <c r="O125" s="19" t="s">
        <v>741</v>
      </c>
      <c r="P125" s="19">
        <v>4</v>
      </c>
      <c r="Q125" s="19">
        <v>3</v>
      </c>
      <c r="R125" s="19">
        <v>6</v>
      </c>
      <c r="S125" s="19">
        <v>9</v>
      </c>
      <c r="T125" s="19">
        <v>7</v>
      </c>
      <c r="U125" s="19">
        <v>7</v>
      </c>
      <c r="V125" s="19">
        <v>5</v>
      </c>
      <c r="W125" s="19"/>
      <c r="X125" s="19"/>
      <c r="Y125" s="20">
        <f t="shared" si="7"/>
        <v>25</v>
      </c>
      <c r="Z125" s="20">
        <f t="shared" si="7"/>
        <v>22</v>
      </c>
      <c r="AA125" s="21">
        <f t="shared" si="6"/>
        <v>0.53191489361702127</v>
      </c>
    </row>
    <row r="126" spans="1:27" x14ac:dyDescent="0.4">
      <c r="A126" s="22">
        <f>wimbledons_champions!A134</f>
        <v>1959</v>
      </c>
      <c r="B126" s="25" t="str">
        <f>wimbledons_champions!B134</f>
        <v>Women's</v>
      </c>
      <c r="C126" s="25" t="s">
        <v>277</v>
      </c>
      <c r="D126" s="22" t="s">
        <v>276</v>
      </c>
      <c r="E126" s="25" t="s">
        <v>507</v>
      </c>
      <c r="F126" s="22">
        <v>6</v>
      </c>
      <c r="G126" s="22">
        <f>wimbledons_champions!G134</f>
        <v>43</v>
      </c>
      <c r="H126" s="25" t="str">
        <f>wimbledons_champions!H134</f>
        <v>6-4, 6-3,</v>
      </c>
      <c r="I126" s="25" t="s">
        <v>287</v>
      </c>
      <c r="J126" s="22" t="s">
        <v>28</v>
      </c>
      <c r="K126" s="25" t="s">
        <v>499</v>
      </c>
      <c r="L126" s="22">
        <v>4</v>
      </c>
      <c r="M126" s="18">
        <v>0.63157894736842102</v>
      </c>
      <c r="N126" s="18"/>
      <c r="O126" s="19" t="s">
        <v>741</v>
      </c>
      <c r="P126" s="19">
        <v>4</v>
      </c>
      <c r="Q126" s="19">
        <v>6</v>
      </c>
      <c r="R126" s="19">
        <v>3</v>
      </c>
      <c r="S126" s="19"/>
      <c r="T126" s="19"/>
      <c r="U126" s="19"/>
      <c r="V126" s="19"/>
      <c r="W126" s="19"/>
      <c r="X126" s="19"/>
      <c r="Y126" s="20">
        <f t="shared" si="7"/>
        <v>12</v>
      </c>
      <c r="Z126" s="20">
        <f t="shared" si="7"/>
        <v>7</v>
      </c>
      <c r="AA126" s="21">
        <f t="shared" si="6"/>
        <v>0.63157894736842102</v>
      </c>
    </row>
    <row r="127" spans="1:27" x14ac:dyDescent="0.4">
      <c r="A127" s="22">
        <f>wimbledons_champions!A135</f>
        <v>1959</v>
      </c>
      <c r="B127" s="25" t="str">
        <f>wimbledons_champions!B135</f>
        <v>Men's</v>
      </c>
      <c r="C127" s="25" t="s">
        <v>173</v>
      </c>
      <c r="D127" s="22" t="s">
        <v>28</v>
      </c>
      <c r="E127" s="25" t="s">
        <v>499</v>
      </c>
      <c r="F127" s="22">
        <v>1</v>
      </c>
      <c r="G127" s="22">
        <f>wimbledons_champions!G135</f>
        <v>71</v>
      </c>
      <c r="H127" s="25" t="str">
        <f>wimbledons_champions!H135</f>
        <v>6-4, 6-3, 6-4</v>
      </c>
      <c r="I127" s="25" t="s">
        <v>96</v>
      </c>
      <c r="J127" s="22" t="s">
        <v>12</v>
      </c>
      <c r="K127" s="25" t="s">
        <v>503</v>
      </c>
      <c r="L127" s="22" t="s">
        <v>122</v>
      </c>
      <c r="M127" s="18">
        <v>0.62068965517241381</v>
      </c>
      <c r="N127" s="18"/>
      <c r="O127" s="19" t="s">
        <v>741</v>
      </c>
      <c r="P127" s="19">
        <v>4</v>
      </c>
      <c r="Q127" s="19">
        <v>6</v>
      </c>
      <c r="R127" s="19">
        <v>3</v>
      </c>
      <c r="S127" s="19">
        <v>6</v>
      </c>
      <c r="T127" s="19">
        <v>4</v>
      </c>
      <c r="U127" s="19"/>
      <c r="V127" s="19"/>
      <c r="W127" s="19"/>
      <c r="X127" s="19"/>
      <c r="Y127" s="20">
        <f t="shared" si="7"/>
        <v>18</v>
      </c>
      <c r="Z127" s="20">
        <f t="shared" si="7"/>
        <v>11</v>
      </c>
      <c r="AA127" s="21">
        <f t="shared" si="6"/>
        <v>0.62068965517241381</v>
      </c>
    </row>
    <row r="128" spans="1:27" x14ac:dyDescent="0.4">
      <c r="A128" s="22">
        <f>wimbledons_champions!A136</f>
        <v>1958</v>
      </c>
      <c r="B128" s="25" t="str">
        <f>wimbledons_champions!B136</f>
        <v>Women's</v>
      </c>
      <c r="C128" s="25" t="s">
        <v>431</v>
      </c>
      <c r="D128" s="22" t="s">
        <v>28</v>
      </c>
      <c r="E128" s="25" t="s">
        <v>499</v>
      </c>
      <c r="F128" s="22">
        <v>1</v>
      </c>
      <c r="G128" s="22">
        <f>wimbledons_champions!G136</f>
        <v>62</v>
      </c>
      <c r="H128" s="25" t="str">
        <f>wimbledons_champions!H136</f>
        <v>8-6, 6-2,</v>
      </c>
      <c r="I128" s="25" t="s">
        <v>377</v>
      </c>
      <c r="J128" s="22" t="s">
        <v>15</v>
      </c>
      <c r="K128" s="25" t="s">
        <v>498</v>
      </c>
      <c r="L128" s="22" t="s">
        <v>122</v>
      </c>
      <c r="M128" s="18">
        <v>0.63636363636363635</v>
      </c>
      <c r="N128" s="18"/>
      <c r="O128" s="19" t="s">
        <v>750</v>
      </c>
      <c r="P128" s="19">
        <v>6</v>
      </c>
      <c r="Q128" s="19">
        <v>6</v>
      </c>
      <c r="R128" s="19">
        <v>2</v>
      </c>
      <c r="S128" s="19"/>
      <c r="T128" s="19"/>
      <c r="U128" s="19"/>
      <c r="V128" s="19"/>
      <c r="W128" s="19"/>
      <c r="X128" s="19"/>
      <c r="Y128" s="20">
        <f t="shared" si="7"/>
        <v>14</v>
      </c>
      <c r="Z128" s="20">
        <f t="shared" si="7"/>
        <v>8</v>
      </c>
      <c r="AA128" s="21">
        <f t="shared" si="6"/>
        <v>0.63636363636363635</v>
      </c>
    </row>
    <row r="129" spans="1:27" x14ac:dyDescent="0.4">
      <c r="A129" s="22">
        <f>wimbledons_champions!A137</f>
        <v>1958</v>
      </c>
      <c r="B129" s="25" t="str">
        <f>wimbledons_champions!B137</f>
        <v>Men's</v>
      </c>
      <c r="C129" s="25" t="s">
        <v>99</v>
      </c>
      <c r="D129" s="22" t="s">
        <v>12</v>
      </c>
      <c r="E129" s="25" t="s">
        <v>503</v>
      </c>
      <c r="F129" s="22">
        <v>1</v>
      </c>
      <c r="G129" s="22">
        <f>wimbledons_champions!G137</f>
        <v>130</v>
      </c>
      <c r="H129" s="25" t="str">
        <f>wimbledons_champions!H137</f>
        <v>3-6, 6-3, 6-4, 13-11</v>
      </c>
      <c r="I129" s="25" t="s">
        <v>114</v>
      </c>
      <c r="J129" s="22" t="s">
        <v>12</v>
      </c>
      <c r="K129" s="25" t="s">
        <v>503</v>
      </c>
      <c r="L129" s="22">
        <v>4</v>
      </c>
      <c r="M129" s="18">
        <v>0.53846153846153844</v>
      </c>
      <c r="N129" s="18"/>
      <c r="O129" s="19" t="s">
        <v>748</v>
      </c>
      <c r="P129" s="19">
        <v>6</v>
      </c>
      <c r="Q129" s="19">
        <v>6</v>
      </c>
      <c r="R129" s="19">
        <v>3</v>
      </c>
      <c r="S129" s="19">
        <v>6</v>
      </c>
      <c r="T129" s="19">
        <v>4</v>
      </c>
      <c r="U129" s="19">
        <v>13</v>
      </c>
      <c r="V129" s="19">
        <v>11</v>
      </c>
      <c r="W129" s="19"/>
      <c r="X129" s="19"/>
      <c r="Y129" s="20">
        <f t="shared" si="7"/>
        <v>28</v>
      </c>
      <c r="Z129" s="20">
        <f t="shared" si="7"/>
        <v>24</v>
      </c>
      <c r="AA129" s="21">
        <f t="shared" si="6"/>
        <v>0.53846153846153844</v>
      </c>
    </row>
    <row r="130" spans="1:27" x14ac:dyDescent="0.4">
      <c r="A130" s="22">
        <f>wimbledons_champions!A138</f>
        <v>1957</v>
      </c>
      <c r="B130" s="25" t="str">
        <f>wimbledons_champions!B138</f>
        <v>Women's</v>
      </c>
      <c r="C130" s="25" t="s">
        <v>431</v>
      </c>
      <c r="D130" s="22" t="s">
        <v>28</v>
      </c>
      <c r="E130" s="25" t="s">
        <v>499</v>
      </c>
      <c r="F130" s="22">
        <v>1</v>
      </c>
      <c r="G130" s="22">
        <f>wimbledons_champions!G138</f>
        <v>50</v>
      </c>
      <c r="H130" s="25" t="str">
        <f>wimbledons_champions!H138</f>
        <v>6-3, 6-2,</v>
      </c>
      <c r="I130" s="25" t="s">
        <v>287</v>
      </c>
      <c r="J130" s="22" t="s">
        <v>28</v>
      </c>
      <c r="K130" s="25" t="s">
        <v>499</v>
      </c>
      <c r="L130" s="22">
        <v>5</v>
      </c>
      <c r="M130" s="18">
        <v>0.70588235294117652</v>
      </c>
      <c r="N130" s="18"/>
      <c r="O130" s="19" t="s">
        <v>741</v>
      </c>
      <c r="P130" s="19">
        <v>3</v>
      </c>
      <c r="Q130" s="19">
        <v>6</v>
      </c>
      <c r="R130" s="19">
        <v>2</v>
      </c>
      <c r="S130" s="19"/>
      <c r="T130" s="19"/>
      <c r="U130" s="19"/>
      <c r="V130" s="19"/>
      <c r="W130" s="19"/>
      <c r="X130" s="19"/>
      <c r="Y130" s="20">
        <f t="shared" si="7"/>
        <v>12</v>
      </c>
      <c r="Z130" s="20">
        <f t="shared" si="7"/>
        <v>5</v>
      </c>
      <c r="AA130" s="21">
        <f t="shared" si="6"/>
        <v>0.70588235294117652</v>
      </c>
    </row>
    <row r="131" spans="1:27" x14ac:dyDescent="0.4">
      <c r="A131" s="22">
        <f>wimbledons_champions!A139</f>
        <v>1957</v>
      </c>
      <c r="B131" s="25" t="str">
        <f>wimbledons_champions!B139</f>
        <v>Men's</v>
      </c>
      <c r="C131" s="25" t="s">
        <v>98</v>
      </c>
      <c r="D131" s="22" t="s">
        <v>12</v>
      </c>
      <c r="E131" s="25" t="s">
        <v>503</v>
      </c>
      <c r="F131" s="22">
        <v>1</v>
      </c>
      <c r="G131" s="22">
        <f>wimbledons_champions!G139</f>
        <v>57</v>
      </c>
      <c r="H131" s="25" t="str">
        <f>wimbledons_champions!H139</f>
        <v>6-2, 6-1, 6-2</v>
      </c>
      <c r="I131" s="25" t="s">
        <v>99</v>
      </c>
      <c r="J131" s="22" t="s">
        <v>12</v>
      </c>
      <c r="K131" s="25" t="s">
        <v>503</v>
      </c>
      <c r="L131" s="22">
        <v>2</v>
      </c>
      <c r="M131" s="18">
        <v>0.78260869565217395</v>
      </c>
      <c r="N131" s="18"/>
      <c r="O131" s="19" t="s">
        <v>741</v>
      </c>
      <c r="P131" s="19">
        <v>2</v>
      </c>
      <c r="Q131" s="19">
        <v>6</v>
      </c>
      <c r="R131" s="19">
        <v>1</v>
      </c>
      <c r="S131" s="19">
        <v>6</v>
      </c>
      <c r="T131" s="19">
        <v>2</v>
      </c>
      <c r="U131" s="19"/>
      <c r="V131" s="19"/>
      <c r="W131" s="19"/>
      <c r="X131" s="19"/>
      <c r="Y131" s="20">
        <f t="shared" si="7"/>
        <v>18</v>
      </c>
      <c r="Z131" s="20">
        <f t="shared" si="7"/>
        <v>5</v>
      </c>
      <c r="AA131" s="21">
        <f t="shared" si="6"/>
        <v>0.78260869565217395</v>
      </c>
    </row>
    <row r="132" spans="1:27" x14ac:dyDescent="0.4">
      <c r="A132" s="22">
        <f>wimbledons_champions!A140</f>
        <v>1956</v>
      </c>
      <c r="B132" s="25" t="str">
        <f>wimbledons_champions!B140</f>
        <v>Women's</v>
      </c>
      <c r="C132" s="25" t="s">
        <v>460</v>
      </c>
      <c r="D132" s="22" t="s">
        <v>28</v>
      </c>
      <c r="E132" s="25" t="s">
        <v>499</v>
      </c>
      <c r="F132" s="22">
        <v>5</v>
      </c>
      <c r="G132" s="22">
        <f>wimbledons_champions!G140</f>
        <v>50</v>
      </c>
      <c r="H132" s="25" t="str">
        <f>wimbledons_champions!H140</f>
        <v>6-3, 6-1,</v>
      </c>
      <c r="I132" s="25" t="s">
        <v>465</v>
      </c>
      <c r="J132" s="22" t="s">
        <v>15</v>
      </c>
      <c r="K132" s="25" t="s">
        <v>498</v>
      </c>
      <c r="L132" s="22">
        <v>6</v>
      </c>
      <c r="M132" s="18">
        <v>0.75</v>
      </c>
      <c r="N132" s="18"/>
      <c r="O132" s="19" t="s">
        <v>741</v>
      </c>
      <c r="P132" s="19">
        <v>3</v>
      </c>
      <c r="Q132" s="19">
        <v>6</v>
      </c>
      <c r="R132" s="19">
        <v>1</v>
      </c>
      <c r="S132" s="19"/>
      <c r="T132" s="19"/>
      <c r="U132" s="19"/>
      <c r="V132" s="19"/>
      <c r="W132" s="19"/>
      <c r="X132" s="19"/>
      <c r="Y132" s="20">
        <f t="shared" si="7"/>
        <v>12</v>
      </c>
      <c r="Z132" s="20">
        <f t="shared" si="7"/>
        <v>4</v>
      </c>
      <c r="AA132" s="21">
        <f t="shared" si="6"/>
        <v>0.75</v>
      </c>
    </row>
    <row r="133" spans="1:27" x14ac:dyDescent="0.4">
      <c r="A133" s="22">
        <f>wimbledons_champions!A141</f>
        <v>1956</v>
      </c>
      <c r="B133" s="25" t="str">
        <f>wimbledons_champions!B141</f>
        <v>Men's</v>
      </c>
      <c r="C133" s="25" t="s">
        <v>98</v>
      </c>
      <c r="D133" s="22" t="s">
        <v>12</v>
      </c>
      <c r="E133" s="25" t="s">
        <v>503</v>
      </c>
      <c r="F133" s="22">
        <v>1</v>
      </c>
      <c r="G133" s="22">
        <f>wimbledons_champions!G141</f>
        <v>117</v>
      </c>
      <c r="H133" s="25" t="str">
        <f>wimbledons_champions!H141</f>
        <v>6-2, 4-6, 7-5, 6-4</v>
      </c>
      <c r="I133" s="25" t="s">
        <v>101</v>
      </c>
      <c r="J133" s="22" t="s">
        <v>12</v>
      </c>
      <c r="K133" s="25" t="s">
        <v>503</v>
      </c>
      <c r="L133" s="22">
        <v>2</v>
      </c>
      <c r="M133" s="18">
        <v>0.57499999999999996</v>
      </c>
      <c r="N133" s="18"/>
      <c r="O133" s="19" t="s">
        <v>741</v>
      </c>
      <c r="P133" s="19">
        <v>2</v>
      </c>
      <c r="Q133" s="19">
        <v>4</v>
      </c>
      <c r="R133" s="19">
        <v>6</v>
      </c>
      <c r="S133" s="19">
        <v>7</v>
      </c>
      <c r="T133" s="19">
        <v>5</v>
      </c>
      <c r="U133" s="19">
        <v>6</v>
      </c>
      <c r="V133" s="19">
        <v>4</v>
      </c>
      <c r="W133" s="19"/>
      <c r="X133" s="19"/>
      <c r="Y133" s="20">
        <f t="shared" si="7"/>
        <v>23</v>
      </c>
      <c r="Z133" s="20">
        <f t="shared" si="7"/>
        <v>17</v>
      </c>
      <c r="AA133" s="21">
        <f t="shared" si="6"/>
        <v>0.57499999999999996</v>
      </c>
    </row>
    <row r="134" spans="1:27" x14ac:dyDescent="0.4">
      <c r="A134" s="22">
        <f>wimbledons_champions!A142</f>
        <v>1955</v>
      </c>
      <c r="B134" s="25" t="str">
        <f>wimbledons_champions!B142</f>
        <v>Women's</v>
      </c>
      <c r="C134" s="25" t="s">
        <v>406</v>
      </c>
      <c r="D134" s="22" t="s">
        <v>28</v>
      </c>
      <c r="E134" s="25" t="s">
        <v>499</v>
      </c>
      <c r="F134" s="22">
        <v>2</v>
      </c>
      <c r="G134" s="22">
        <f>wimbledons_champions!G142</f>
        <v>90</v>
      </c>
      <c r="H134" s="25" t="str">
        <f>wimbledons_champions!H142</f>
        <v>7-5, 8-6,</v>
      </c>
      <c r="I134" s="25" t="s">
        <v>446</v>
      </c>
      <c r="J134" s="22" t="s">
        <v>28</v>
      </c>
      <c r="K134" s="25" t="s">
        <v>499</v>
      </c>
      <c r="L134" s="22">
        <v>3</v>
      </c>
      <c r="M134" s="18">
        <v>0.57692307692307687</v>
      </c>
      <c r="N134" s="18"/>
      <c r="O134" s="19" t="s">
        <v>742</v>
      </c>
      <c r="P134" s="19">
        <v>5</v>
      </c>
      <c r="Q134" s="19">
        <v>8</v>
      </c>
      <c r="R134" s="19">
        <v>6</v>
      </c>
      <c r="S134" s="19"/>
      <c r="T134" s="19"/>
      <c r="U134" s="19"/>
      <c r="V134" s="19"/>
      <c r="W134" s="19"/>
      <c r="X134" s="19"/>
      <c r="Y134" s="20">
        <f t="shared" si="7"/>
        <v>15</v>
      </c>
      <c r="Z134" s="20">
        <f t="shared" si="7"/>
        <v>11</v>
      </c>
      <c r="AA134" s="21">
        <f t="shared" ref="AA134:AA170" si="8">Y134/(Y134+Z134)</f>
        <v>0.57692307692307687</v>
      </c>
    </row>
    <row r="135" spans="1:27" x14ac:dyDescent="0.4">
      <c r="A135" s="22">
        <f>wimbledons_champions!A143</f>
        <v>1955</v>
      </c>
      <c r="B135" s="25" t="str">
        <f>wimbledons_champions!B143</f>
        <v>Men's</v>
      </c>
      <c r="C135" s="25" t="s">
        <v>174</v>
      </c>
      <c r="D135" s="22" t="s">
        <v>28</v>
      </c>
      <c r="E135" s="25" t="s">
        <v>499</v>
      </c>
      <c r="F135" s="22">
        <v>1</v>
      </c>
      <c r="G135" s="22">
        <f>wimbledons_champions!G143</f>
        <v>73</v>
      </c>
      <c r="H135" s="25" t="str">
        <f>wimbledons_champions!H143</f>
        <v>6-3, 7-5, 6-1</v>
      </c>
      <c r="I135" s="25" t="s">
        <v>176</v>
      </c>
      <c r="J135" s="22" t="s">
        <v>175</v>
      </c>
      <c r="K135" s="25" t="s">
        <v>519</v>
      </c>
      <c r="L135" s="22" t="s">
        <v>122</v>
      </c>
      <c r="M135" s="18">
        <v>0.6785714285714286</v>
      </c>
      <c r="N135" s="18"/>
      <c r="O135" s="19" t="s">
        <v>741</v>
      </c>
      <c r="P135" s="19">
        <v>3</v>
      </c>
      <c r="Q135" s="19">
        <v>7</v>
      </c>
      <c r="R135" s="19">
        <v>5</v>
      </c>
      <c r="S135" s="19">
        <v>6</v>
      </c>
      <c r="T135" s="19">
        <v>1</v>
      </c>
      <c r="U135" s="19"/>
      <c r="V135" s="19"/>
      <c r="W135" s="19"/>
      <c r="X135" s="19"/>
      <c r="Y135" s="20">
        <f t="shared" si="7"/>
        <v>19</v>
      </c>
      <c r="Z135" s="20">
        <f t="shared" si="7"/>
        <v>9</v>
      </c>
      <c r="AA135" s="21">
        <f t="shared" si="8"/>
        <v>0.6785714285714286</v>
      </c>
    </row>
    <row r="136" spans="1:27" x14ac:dyDescent="0.4">
      <c r="A136" s="22">
        <f>wimbledons_champions!A144</f>
        <v>1954</v>
      </c>
      <c r="B136" s="25" t="str">
        <f>wimbledons_champions!B144</f>
        <v>Women's</v>
      </c>
      <c r="C136" s="25" t="s">
        <v>413</v>
      </c>
      <c r="D136" s="22" t="s">
        <v>28</v>
      </c>
      <c r="E136" s="25" t="s">
        <v>499</v>
      </c>
      <c r="F136" s="22">
        <v>1</v>
      </c>
      <c r="G136" s="22">
        <f>wimbledons_champions!G144</f>
        <v>50</v>
      </c>
      <c r="H136" s="25" t="str">
        <f>wimbledons_champions!H144</f>
        <v>6-2, 7-5,</v>
      </c>
      <c r="I136" s="25" t="s">
        <v>406</v>
      </c>
      <c r="J136" s="22" t="s">
        <v>28</v>
      </c>
      <c r="K136" s="25" t="s">
        <v>499</v>
      </c>
      <c r="L136" s="22">
        <v>4</v>
      </c>
      <c r="M136" s="18">
        <v>0.65</v>
      </c>
      <c r="N136" s="18"/>
      <c r="O136" s="19" t="s">
        <v>741</v>
      </c>
      <c r="P136" s="19">
        <v>2</v>
      </c>
      <c r="Q136" s="19">
        <v>7</v>
      </c>
      <c r="R136" s="19">
        <v>5</v>
      </c>
      <c r="S136" s="19"/>
      <c r="T136" s="19"/>
      <c r="U136" s="19"/>
      <c r="V136" s="19"/>
      <c r="W136" s="19"/>
      <c r="X136" s="19"/>
      <c r="Y136" s="20">
        <f t="shared" ref="Y136:Z199" si="9">SUM(O136+Q136+S136+U136+W136)</f>
        <v>13</v>
      </c>
      <c r="Z136" s="20">
        <f t="shared" si="9"/>
        <v>7</v>
      </c>
      <c r="AA136" s="21">
        <f t="shared" si="8"/>
        <v>0.65</v>
      </c>
    </row>
    <row r="137" spans="1:27" x14ac:dyDescent="0.4">
      <c r="A137" s="22">
        <f>wimbledons_champions!A145</f>
        <v>1954</v>
      </c>
      <c r="B137" s="25" t="str">
        <f>wimbledons_champions!B145</f>
        <v>Men's</v>
      </c>
      <c r="C137" s="25" t="s">
        <v>108</v>
      </c>
      <c r="D137" s="22" t="s">
        <v>107</v>
      </c>
      <c r="E137" s="25" t="s">
        <v>500</v>
      </c>
      <c r="F137" s="22">
        <v>11</v>
      </c>
      <c r="G137" s="22">
        <f>wimbledons_champions!G145</f>
        <v>157</v>
      </c>
      <c r="H137" s="25" t="str">
        <f>wimbledons_champions!H145</f>
        <v>13-11, 4-6, 6-2, 9-7</v>
      </c>
      <c r="I137" s="25" t="s">
        <v>101</v>
      </c>
      <c r="J137" s="22" t="s">
        <v>12</v>
      </c>
      <c r="K137" s="25" t="s">
        <v>503</v>
      </c>
      <c r="L137" s="22">
        <v>3</v>
      </c>
      <c r="M137" s="18">
        <v>0.55172413793103448</v>
      </c>
      <c r="N137" s="18"/>
      <c r="O137" s="19" t="s">
        <v>752</v>
      </c>
      <c r="P137" s="19">
        <v>11</v>
      </c>
      <c r="Q137" s="19">
        <v>4</v>
      </c>
      <c r="R137" s="19">
        <v>6</v>
      </c>
      <c r="S137" s="19">
        <v>6</v>
      </c>
      <c r="T137" s="19">
        <v>2</v>
      </c>
      <c r="U137" s="19">
        <v>9</v>
      </c>
      <c r="V137" s="19">
        <v>7</v>
      </c>
      <c r="W137" s="19"/>
      <c r="X137" s="19"/>
      <c r="Y137" s="20">
        <f t="shared" si="9"/>
        <v>32</v>
      </c>
      <c r="Z137" s="20">
        <f t="shared" si="9"/>
        <v>26</v>
      </c>
      <c r="AA137" s="21">
        <f t="shared" si="8"/>
        <v>0.55172413793103448</v>
      </c>
    </row>
    <row r="138" spans="1:27" x14ac:dyDescent="0.4">
      <c r="A138" s="22">
        <f>wimbledons_champions!A146</f>
        <v>1953</v>
      </c>
      <c r="B138" s="25" t="str">
        <f>wimbledons_champions!B146</f>
        <v>Women's</v>
      </c>
      <c r="C138" s="25" t="s">
        <v>413</v>
      </c>
      <c r="D138" s="22" t="s">
        <v>28</v>
      </c>
      <c r="E138" s="25" t="s">
        <v>499</v>
      </c>
      <c r="F138" s="22">
        <v>1</v>
      </c>
      <c r="G138" s="22">
        <f>wimbledons_champions!G146</f>
        <v>67</v>
      </c>
      <c r="H138" s="25" t="str">
        <f>wimbledons_champions!H146</f>
        <v>8-6, 7-5,</v>
      </c>
      <c r="I138" s="25" t="s">
        <v>415</v>
      </c>
      <c r="J138" s="22" t="s">
        <v>28</v>
      </c>
      <c r="K138" s="25" t="s">
        <v>499</v>
      </c>
      <c r="L138" s="22">
        <v>2</v>
      </c>
      <c r="M138" s="18">
        <v>0.57692307692307687</v>
      </c>
      <c r="N138" s="18"/>
      <c r="O138" s="19" t="s">
        <v>750</v>
      </c>
      <c r="P138" s="19">
        <v>6</v>
      </c>
      <c r="Q138" s="19">
        <v>7</v>
      </c>
      <c r="R138" s="19">
        <v>5</v>
      </c>
      <c r="S138" s="19"/>
      <c r="T138" s="19"/>
      <c r="U138" s="19"/>
      <c r="V138" s="19"/>
      <c r="W138" s="19"/>
      <c r="X138" s="19"/>
      <c r="Y138" s="20">
        <f t="shared" si="9"/>
        <v>15</v>
      </c>
      <c r="Z138" s="20">
        <f t="shared" si="9"/>
        <v>11</v>
      </c>
      <c r="AA138" s="21">
        <f t="shared" si="8"/>
        <v>0.57692307692307687</v>
      </c>
    </row>
    <row r="139" spans="1:27" x14ac:dyDescent="0.4">
      <c r="A139" s="22">
        <f>wimbledons_champions!A147</f>
        <v>1953</v>
      </c>
      <c r="B139" s="25" t="str">
        <f>wimbledons_champions!B147</f>
        <v>Men's</v>
      </c>
      <c r="C139" s="25" t="s">
        <v>220</v>
      </c>
      <c r="D139" s="22" t="s">
        <v>28</v>
      </c>
      <c r="E139" s="25" t="s">
        <v>499</v>
      </c>
      <c r="F139" s="22">
        <v>2</v>
      </c>
      <c r="G139" s="22">
        <f>wimbledons_champions!G147</f>
        <v>80</v>
      </c>
      <c r="H139" s="25" t="str">
        <f>wimbledons_champions!H147</f>
        <v>9-7, 6-3, 6-4</v>
      </c>
      <c r="I139" s="25" t="s">
        <v>176</v>
      </c>
      <c r="J139" s="22" t="s">
        <v>175</v>
      </c>
      <c r="K139" s="25" t="s">
        <v>519</v>
      </c>
      <c r="L139" s="22" t="s">
        <v>122</v>
      </c>
      <c r="M139" s="18">
        <v>0.6</v>
      </c>
      <c r="N139" s="18"/>
      <c r="O139" s="19" t="s">
        <v>746</v>
      </c>
      <c r="P139" s="19">
        <v>7</v>
      </c>
      <c r="Q139" s="19">
        <v>6</v>
      </c>
      <c r="R139" s="19">
        <v>3</v>
      </c>
      <c r="S139" s="19">
        <v>6</v>
      </c>
      <c r="T139" s="19">
        <v>4</v>
      </c>
      <c r="U139" s="19"/>
      <c r="V139" s="19"/>
      <c r="W139" s="19"/>
      <c r="X139" s="19"/>
      <c r="Y139" s="20">
        <f t="shared" si="9"/>
        <v>21</v>
      </c>
      <c r="Z139" s="20">
        <f t="shared" si="9"/>
        <v>14</v>
      </c>
      <c r="AA139" s="21">
        <f t="shared" si="8"/>
        <v>0.6</v>
      </c>
    </row>
    <row r="140" spans="1:27" x14ac:dyDescent="0.4">
      <c r="A140" s="22">
        <f>wimbledons_champions!A148</f>
        <v>1952</v>
      </c>
      <c r="B140" s="25" t="str">
        <f>wimbledons_champions!B148</f>
        <v>Women's</v>
      </c>
      <c r="C140" s="25" t="s">
        <v>413</v>
      </c>
      <c r="D140" s="22" t="s">
        <v>28</v>
      </c>
      <c r="E140" s="25" t="s">
        <v>499</v>
      </c>
      <c r="F140" s="22">
        <v>2</v>
      </c>
      <c r="G140" s="22">
        <f>wimbledons_champions!G148</f>
        <v>65</v>
      </c>
      <c r="H140" s="25" t="str">
        <f>wimbledons_champions!H148</f>
        <v>7-5, 6-3,</v>
      </c>
      <c r="I140" s="25" t="s">
        <v>406</v>
      </c>
      <c r="J140" s="22" t="s">
        <v>28</v>
      </c>
      <c r="K140" s="25" t="s">
        <v>499</v>
      </c>
      <c r="L140" s="22">
        <v>4</v>
      </c>
      <c r="M140" s="18">
        <v>0.61904761904761907</v>
      </c>
      <c r="N140" s="18"/>
      <c r="O140" s="19" t="s">
        <v>742</v>
      </c>
      <c r="P140" s="19">
        <v>5</v>
      </c>
      <c r="Q140" s="19">
        <v>6</v>
      </c>
      <c r="R140" s="19">
        <v>3</v>
      </c>
      <c r="S140" s="19"/>
      <c r="T140" s="19"/>
      <c r="U140" s="19"/>
      <c r="V140" s="19"/>
      <c r="W140" s="19"/>
      <c r="X140" s="19"/>
      <c r="Y140" s="20">
        <f t="shared" si="9"/>
        <v>13</v>
      </c>
      <c r="Z140" s="20">
        <f t="shared" si="9"/>
        <v>8</v>
      </c>
      <c r="AA140" s="21">
        <f t="shared" si="8"/>
        <v>0.61904761904761907</v>
      </c>
    </row>
    <row r="141" spans="1:27" x14ac:dyDescent="0.4">
      <c r="A141" s="22">
        <f>wimbledons_champions!A149</f>
        <v>1952</v>
      </c>
      <c r="B141" s="25" t="str">
        <f>wimbledons_champions!B149</f>
        <v>Men's</v>
      </c>
      <c r="C141" s="25" t="s">
        <v>106</v>
      </c>
      <c r="D141" s="22" t="s">
        <v>12</v>
      </c>
      <c r="E141" s="25" t="s">
        <v>503</v>
      </c>
      <c r="F141" s="22">
        <v>1</v>
      </c>
      <c r="G141" s="22">
        <f>wimbledons_champions!G149</f>
        <v>80</v>
      </c>
      <c r="H141" s="25" t="str">
        <f>wimbledons_champions!H149</f>
        <v>4-6, 6-2, 6-3, 6-2</v>
      </c>
      <c r="I141" s="25" t="s">
        <v>108</v>
      </c>
      <c r="J141" s="22" t="s">
        <v>107</v>
      </c>
      <c r="K141" s="25" t="s">
        <v>500</v>
      </c>
      <c r="L141" s="22">
        <v>2</v>
      </c>
      <c r="M141" s="18">
        <v>0.62857142857142856</v>
      </c>
      <c r="N141" s="18"/>
      <c r="O141" s="19" t="s">
        <v>743</v>
      </c>
      <c r="P141" s="19">
        <v>6</v>
      </c>
      <c r="Q141" s="19">
        <v>6</v>
      </c>
      <c r="R141" s="19">
        <v>2</v>
      </c>
      <c r="S141" s="19">
        <v>6</v>
      </c>
      <c r="T141" s="19">
        <v>3</v>
      </c>
      <c r="U141" s="19">
        <v>6</v>
      </c>
      <c r="V141" s="19">
        <v>2</v>
      </c>
      <c r="W141" s="19"/>
      <c r="X141" s="19"/>
      <c r="Y141" s="20">
        <f t="shared" si="9"/>
        <v>22</v>
      </c>
      <c r="Z141" s="20">
        <f t="shared" si="9"/>
        <v>13</v>
      </c>
      <c r="AA141" s="21">
        <f t="shared" si="8"/>
        <v>0.62857142857142856</v>
      </c>
    </row>
    <row r="142" spans="1:27" x14ac:dyDescent="0.4">
      <c r="A142" s="22">
        <f>wimbledons_champions!A150</f>
        <v>1951</v>
      </c>
      <c r="B142" s="25" t="str">
        <f>wimbledons_champions!B150</f>
        <v>Women's</v>
      </c>
      <c r="C142" s="25" t="s">
        <v>415</v>
      </c>
      <c r="D142" s="22" t="s">
        <v>28</v>
      </c>
      <c r="E142" s="25" t="s">
        <v>499</v>
      </c>
      <c r="F142" s="22">
        <v>3</v>
      </c>
      <c r="G142" s="22">
        <f>wimbledons_champions!G150</f>
        <v>35</v>
      </c>
      <c r="H142" s="25" t="str">
        <f>wimbledons_champions!H150</f>
        <v>6-1, 6-0</v>
      </c>
      <c r="I142" s="25" t="s">
        <v>460</v>
      </c>
      <c r="J142" s="22" t="s">
        <v>28</v>
      </c>
      <c r="K142" s="25" t="s">
        <v>499</v>
      </c>
      <c r="L142" s="22">
        <v>4</v>
      </c>
      <c r="M142" s="18">
        <v>0.92307692307692313</v>
      </c>
      <c r="N142" s="18"/>
      <c r="O142" s="19" t="s">
        <v>741</v>
      </c>
      <c r="P142" s="19">
        <v>1</v>
      </c>
      <c r="Q142" s="19">
        <v>6</v>
      </c>
      <c r="R142" s="19">
        <v>0</v>
      </c>
      <c r="S142" s="19"/>
      <c r="T142" s="19"/>
      <c r="U142" s="19"/>
      <c r="V142" s="19"/>
      <c r="W142" s="19"/>
      <c r="X142" s="19"/>
      <c r="Y142" s="20">
        <f t="shared" si="9"/>
        <v>12</v>
      </c>
      <c r="Z142" s="20">
        <f t="shared" si="9"/>
        <v>1</v>
      </c>
      <c r="AA142" s="21">
        <f t="shared" si="8"/>
        <v>0.92307692307692313</v>
      </c>
    </row>
    <row r="143" spans="1:27" x14ac:dyDescent="0.4">
      <c r="A143" s="22">
        <f>wimbledons_champions!A151</f>
        <v>1951</v>
      </c>
      <c r="B143" s="25" t="str">
        <f>wimbledons_champions!B151</f>
        <v>Men's</v>
      </c>
      <c r="C143" s="25" t="s">
        <v>252</v>
      </c>
      <c r="D143" s="22" t="s">
        <v>28</v>
      </c>
      <c r="E143" s="25" t="s">
        <v>499</v>
      </c>
      <c r="F143" s="22">
        <v>6</v>
      </c>
      <c r="G143" s="22">
        <f>wimbledons_champions!G151</f>
        <v>62</v>
      </c>
      <c r="H143" s="25" t="str">
        <f>wimbledons_champions!H151</f>
        <v>6-4, 6-4, 6-4</v>
      </c>
      <c r="I143" s="25" t="s">
        <v>253</v>
      </c>
      <c r="J143" s="22" t="s">
        <v>12</v>
      </c>
      <c r="K143" s="25" t="s">
        <v>503</v>
      </c>
      <c r="L143" s="22">
        <v>7</v>
      </c>
      <c r="M143" s="18">
        <v>0.6</v>
      </c>
      <c r="N143" s="18"/>
      <c r="O143" s="19" t="s">
        <v>741</v>
      </c>
      <c r="P143" s="19">
        <v>4</v>
      </c>
      <c r="Q143" s="19">
        <v>6</v>
      </c>
      <c r="R143" s="19">
        <v>4</v>
      </c>
      <c r="S143" s="19">
        <v>6</v>
      </c>
      <c r="T143" s="19">
        <v>4</v>
      </c>
      <c r="U143" s="19"/>
      <c r="V143" s="19"/>
      <c r="W143" s="19"/>
      <c r="X143" s="19"/>
      <c r="Y143" s="20">
        <f t="shared" si="9"/>
        <v>18</v>
      </c>
      <c r="Z143" s="20">
        <f t="shared" si="9"/>
        <v>12</v>
      </c>
      <c r="AA143" s="21">
        <f t="shared" si="8"/>
        <v>0.6</v>
      </c>
    </row>
    <row r="144" spans="1:27" x14ac:dyDescent="0.4">
      <c r="A144" s="22">
        <f>wimbledons_champions!A152</f>
        <v>1950</v>
      </c>
      <c r="B144" s="25" t="str">
        <f>wimbledons_champions!B152</f>
        <v>Women's</v>
      </c>
      <c r="C144" s="25" t="s">
        <v>406</v>
      </c>
      <c r="D144" s="22" t="s">
        <v>28</v>
      </c>
      <c r="E144" s="25" t="s">
        <v>499</v>
      </c>
      <c r="F144" s="22">
        <v>1</v>
      </c>
      <c r="G144" s="22">
        <f>wimbledons_champions!G152</f>
        <v>62</v>
      </c>
      <c r="H144" s="25" t="str">
        <f>wimbledons_champions!H152</f>
        <v>6-1, 3-6, 6-1,</v>
      </c>
      <c r="I144" s="25" t="s">
        <v>895</v>
      </c>
      <c r="J144" s="22" t="s">
        <v>28</v>
      </c>
      <c r="K144" s="25" t="s">
        <v>499</v>
      </c>
      <c r="L144" s="22">
        <v>2</v>
      </c>
      <c r="M144" s="18">
        <v>0.65217391304347827</v>
      </c>
      <c r="N144" s="18"/>
      <c r="O144" s="19" t="s">
        <v>741</v>
      </c>
      <c r="P144" s="19">
        <v>1</v>
      </c>
      <c r="Q144" s="19">
        <v>3</v>
      </c>
      <c r="R144" s="19">
        <v>6</v>
      </c>
      <c r="S144" s="19">
        <v>6</v>
      </c>
      <c r="T144" s="19">
        <v>1</v>
      </c>
      <c r="U144" s="19"/>
      <c r="V144" s="19"/>
      <c r="W144" s="19"/>
      <c r="X144" s="19"/>
      <c r="Y144" s="20">
        <f t="shared" si="9"/>
        <v>15</v>
      </c>
      <c r="Z144" s="20">
        <f t="shared" si="9"/>
        <v>8</v>
      </c>
      <c r="AA144" s="21">
        <f t="shared" si="8"/>
        <v>0.65217391304347827</v>
      </c>
    </row>
    <row r="145" spans="1:27" x14ac:dyDescent="0.4">
      <c r="A145" s="22">
        <f>wimbledons_champions!A153</f>
        <v>1950</v>
      </c>
      <c r="B145" s="25" t="str">
        <f>wimbledons_champions!B153</f>
        <v>Men's</v>
      </c>
      <c r="C145" s="25" t="s">
        <v>246</v>
      </c>
      <c r="D145" s="22" t="s">
        <v>28</v>
      </c>
      <c r="E145" s="25" t="s">
        <v>499</v>
      </c>
      <c r="F145" s="22">
        <v>5</v>
      </c>
      <c r="G145" s="22">
        <f>wimbledons_champions!G153</f>
        <v>120</v>
      </c>
      <c r="H145" s="25" t="str">
        <f>wimbledons_champions!H153</f>
        <v>6-1, 8-10, 6-2, 6-3</v>
      </c>
      <c r="I145" s="25" t="s">
        <v>106</v>
      </c>
      <c r="J145" s="22" t="s">
        <v>12</v>
      </c>
      <c r="K145" s="25" t="s">
        <v>503</v>
      </c>
      <c r="L145" s="22">
        <v>1</v>
      </c>
      <c r="M145" s="18">
        <v>0.61904761904761907</v>
      </c>
      <c r="N145" s="18"/>
      <c r="O145" s="19" t="s">
        <v>741</v>
      </c>
      <c r="P145" s="19">
        <v>1</v>
      </c>
      <c r="Q145" s="19">
        <v>8</v>
      </c>
      <c r="R145" s="19">
        <v>10</v>
      </c>
      <c r="S145" s="19">
        <v>6</v>
      </c>
      <c r="T145" s="19">
        <v>2</v>
      </c>
      <c r="U145" s="19">
        <v>6</v>
      </c>
      <c r="V145" s="19">
        <v>3</v>
      </c>
      <c r="W145" s="19"/>
      <c r="X145" s="19"/>
      <c r="Y145" s="20">
        <f t="shared" si="9"/>
        <v>26</v>
      </c>
      <c r="Z145" s="20">
        <f t="shared" si="9"/>
        <v>16</v>
      </c>
      <c r="AA145" s="21">
        <f t="shared" si="8"/>
        <v>0.61904761904761907</v>
      </c>
    </row>
    <row r="146" spans="1:27" x14ac:dyDescent="0.4">
      <c r="A146" s="22">
        <f>wimbledons_champions!A154</f>
        <v>1949</v>
      </c>
      <c r="B146" s="25" t="str">
        <f>wimbledons_champions!B154</f>
        <v>Women's</v>
      </c>
      <c r="C146" s="25" t="s">
        <v>406</v>
      </c>
      <c r="D146" s="22" t="s">
        <v>28</v>
      </c>
      <c r="E146" s="25" t="s">
        <v>499</v>
      </c>
      <c r="F146" s="22">
        <v>1</v>
      </c>
      <c r="G146" s="22">
        <f>wimbledons_champions!G154</f>
        <v>120</v>
      </c>
      <c r="H146" s="25" t="str">
        <f>wimbledons_champions!H154</f>
        <v>10-8, 1-6, 10-8,</v>
      </c>
      <c r="I146" s="25" t="s">
        <v>895</v>
      </c>
      <c r="J146" s="22" t="s">
        <v>28</v>
      </c>
      <c r="K146" s="25" t="s">
        <v>499</v>
      </c>
      <c r="L146" s="22">
        <v>2</v>
      </c>
      <c r="M146" s="18">
        <v>0.48837209302325579</v>
      </c>
      <c r="N146" s="18"/>
      <c r="O146" s="19" t="s">
        <v>753</v>
      </c>
      <c r="P146" s="19">
        <v>8</v>
      </c>
      <c r="Q146" s="19">
        <v>1</v>
      </c>
      <c r="R146" s="19">
        <v>6</v>
      </c>
      <c r="S146" s="19">
        <v>10</v>
      </c>
      <c r="T146" s="19">
        <v>8</v>
      </c>
      <c r="U146" s="19"/>
      <c r="V146" s="19"/>
      <c r="W146" s="19"/>
      <c r="X146" s="19"/>
      <c r="Y146" s="20">
        <f t="shared" si="9"/>
        <v>21</v>
      </c>
      <c r="Z146" s="20">
        <f t="shared" si="9"/>
        <v>22</v>
      </c>
      <c r="AA146" s="21">
        <f t="shared" si="8"/>
        <v>0.48837209302325579</v>
      </c>
    </row>
    <row r="147" spans="1:27" x14ac:dyDescent="0.4">
      <c r="A147" s="22">
        <f>wimbledons_champions!A155</f>
        <v>1949</v>
      </c>
      <c r="B147" s="25" t="str">
        <f>wimbledons_champions!B155</f>
        <v>Men's</v>
      </c>
      <c r="C147" s="25" t="s">
        <v>171</v>
      </c>
      <c r="D147" s="22" t="s">
        <v>28</v>
      </c>
      <c r="E147" s="25" t="s">
        <v>499</v>
      </c>
      <c r="F147" s="22">
        <v>1</v>
      </c>
      <c r="G147" s="22">
        <f>wimbledons_champions!G155</f>
        <v>100</v>
      </c>
      <c r="H147" s="25" t="str">
        <f>wimbledons_champions!H155</f>
        <v>3-6, 6-0, 6-3, 4-6, 6-4</v>
      </c>
      <c r="I147" s="25" t="s">
        <v>108</v>
      </c>
      <c r="J147" s="22" t="s">
        <v>107</v>
      </c>
      <c r="K147" s="25" t="s">
        <v>500</v>
      </c>
      <c r="L147" s="22">
        <v>6</v>
      </c>
      <c r="M147" s="18">
        <v>0.56818181818181823</v>
      </c>
      <c r="N147" s="18"/>
      <c r="O147" s="19" t="s">
        <v>748</v>
      </c>
      <c r="P147" s="19">
        <v>6</v>
      </c>
      <c r="Q147" s="19">
        <v>6</v>
      </c>
      <c r="R147" s="19">
        <v>0</v>
      </c>
      <c r="S147" s="19">
        <v>6</v>
      </c>
      <c r="T147" s="19">
        <v>3</v>
      </c>
      <c r="U147" s="19">
        <v>4</v>
      </c>
      <c r="V147" s="19">
        <v>6</v>
      </c>
      <c r="W147" s="19" t="s">
        <v>741</v>
      </c>
      <c r="X147" s="19">
        <v>4</v>
      </c>
      <c r="Y147" s="20">
        <f t="shared" si="9"/>
        <v>25</v>
      </c>
      <c r="Z147" s="20">
        <f t="shared" si="9"/>
        <v>19</v>
      </c>
      <c r="AA147" s="21">
        <f t="shared" si="8"/>
        <v>0.56818181818181823</v>
      </c>
    </row>
    <row r="148" spans="1:27" x14ac:dyDescent="0.4">
      <c r="A148" s="22">
        <f>wimbledons_champions!A156</f>
        <v>1948</v>
      </c>
      <c r="B148" s="25" t="str">
        <f>wimbledons_champions!B156</f>
        <v>Women's</v>
      </c>
      <c r="C148" s="25" t="s">
        <v>406</v>
      </c>
      <c r="D148" s="22" t="s">
        <v>28</v>
      </c>
      <c r="E148" s="25" t="s">
        <v>499</v>
      </c>
      <c r="F148" s="22">
        <v>2</v>
      </c>
      <c r="G148" s="22">
        <f>wimbledons_champions!G156</f>
        <v>76</v>
      </c>
      <c r="H148" s="25" t="str">
        <f>wimbledons_champions!H156</f>
        <v>6-3, 8-6,</v>
      </c>
      <c r="I148" s="25" t="s">
        <v>415</v>
      </c>
      <c r="J148" s="22" t="s">
        <v>28</v>
      </c>
      <c r="K148" s="25" t="s">
        <v>499</v>
      </c>
      <c r="L148" s="22">
        <v>4</v>
      </c>
      <c r="M148" s="18">
        <v>0.60869565217391308</v>
      </c>
      <c r="N148" s="18"/>
      <c r="O148" s="19" t="s">
        <v>741</v>
      </c>
      <c r="P148" s="19">
        <v>3</v>
      </c>
      <c r="Q148" s="19">
        <v>8</v>
      </c>
      <c r="R148" s="19">
        <v>6</v>
      </c>
      <c r="S148" s="19"/>
      <c r="T148" s="19"/>
      <c r="U148" s="19"/>
      <c r="V148" s="19"/>
      <c r="W148" s="19"/>
      <c r="X148" s="19"/>
      <c r="Y148" s="20">
        <f t="shared" si="9"/>
        <v>14</v>
      </c>
      <c r="Z148" s="20">
        <f t="shared" si="9"/>
        <v>9</v>
      </c>
      <c r="AA148" s="21">
        <f t="shared" si="8"/>
        <v>0.60869565217391308</v>
      </c>
    </row>
    <row r="149" spans="1:27" x14ac:dyDescent="0.4">
      <c r="A149" s="22">
        <f>wimbledons_champions!A157</f>
        <v>1948</v>
      </c>
      <c r="B149" s="25" t="str">
        <f>wimbledons_champions!B157</f>
        <v>Men's</v>
      </c>
      <c r="C149" s="25" t="s">
        <v>255</v>
      </c>
      <c r="D149" s="22" t="s">
        <v>28</v>
      </c>
      <c r="E149" s="25" t="s">
        <v>499</v>
      </c>
      <c r="F149" s="22">
        <v>7</v>
      </c>
      <c r="G149" s="22">
        <f>wimbledons_champions!G157</f>
        <v>125</v>
      </c>
      <c r="H149" s="25" t="str">
        <f>wimbledons_champions!H157</f>
        <v>7-5, 0-6, 6-2, 3-6, 7-5</v>
      </c>
      <c r="I149" s="25" t="s">
        <v>256</v>
      </c>
      <c r="J149" s="22" t="s">
        <v>12</v>
      </c>
      <c r="K149" s="25" t="s">
        <v>503</v>
      </c>
      <c r="L149" s="22">
        <v>2</v>
      </c>
      <c r="M149" s="18">
        <v>0.48936170212765956</v>
      </c>
      <c r="N149" s="18"/>
      <c r="O149" s="19" t="s">
        <v>742</v>
      </c>
      <c r="P149" s="19">
        <v>5</v>
      </c>
      <c r="Q149" s="19">
        <v>0</v>
      </c>
      <c r="R149" s="19">
        <v>6</v>
      </c>
      <c r="S149" s="19">
        <v>6</v>
      </c>
      <c r="T149" s="19">
        <v>2</v>
      </c>
      <c r="U149" s="19">
        <v>3</v>
      </c>
      <c r="V149" s="19">
        <v>6</v>
      </c>
      <c r="W149" s="19" t="s">
        <v>742</v>
      </c>
      <c r="X149" s="19">
        <v>5</v>
      </c>
      <c r="Y149" s="20">
        <f t="shared" si="9"/>
        <v>23</v>
      </c>
      <c r="Z149" s="20">
        <f t="shared" si="9"/>
        <v>24</v>
      </c>
      <c r="AA149" s="21">
        <f t="shared" si="8"/>
        <v>0.48936170212765956</v>
      </c>
    </row>
    <row r="150" spans="1:27" x14ac:dyDescent="0.4">
      <c r="A150" s="22">
        <f>wimbledons_champions!A158</f>
        <v>1947</v>
      </c>
      <c r="B150" s="25" t="str">
        <f>wimbledons_champions!B158</f>
        <v>Women's</v>
      </c>
      <c r="C150" s="25" t="s">
        <v>423</v>
      </c>
      <c r="D150" s="22" t="s">
        <v>28</v>
      </c>
      <c r="E150" s="25" t="s">
        <v>499</v>
      </c>
      <c r="F150" s="22">
        <v>1</v>
      </c>
      <c r="G150" s="22">
        <f>wimbledons_champions!G158</f>
        <v>0</v>
      </c>
      <c r="H150" s="25" t="str">
        <f>wimbledons_champions!H158</f>
        <v>6-2, 6-4,</v>
      </c>
      <c r="I150" s="25" t="s">
        <v>415</v>
      </c>
      <c r="J150" s="22" t="s">
        <v>28</v>
      </c>
      <c r="K150" s="25" t="s">
        <v>499</v>
      </c>
      <c r="L150" s="22">
        <v>3</v>
      </c>
      <c r="M150" s="18">
        <v>0.66666666666666663</v>
      </c>
      <c r="N150" s="18"/>
      <c r="O150" s="19" t="s">
        <v>741</v>
      </c>
      <c r="P150" s="19">
        <v>2</v>
      </c>
      <c r="Q150" s="19">
        <v>6</v>
      </c>
      <c r="R150" s="19">
        <v>4</v>
      </c>
      <c r="S150" s="19"/>
      <c r="T150" s="19"/>
      <c r="U150" s="19"/>
      <c r="V150" s="19"/>
      <c r="W150" s="19"/>
      <c r="X150" s="19"/>
      <c r="Y150" s="20">
        <f t="shared" si="9"/>
        <v>12</v>
      </c>
      <c r="Z150" s="20">
        <f t="shared" si="9"/>
        <v>6</v>
      </c>
      <c r="AA150" s="21">
        <f t="shared" si="8"/>
        <v>0.66666666666666663</v>
      </c>
    </row>
    <row r="151" spans="1:27" x14ac:dyDescent="0.4">
      <c r="A151" s="22">
        <f>wimbledons_champions!A159</f>
        <v>1947</v>
      </c>
      <c r="B151" s="25" t="str">
        <f>wimbledons_champions!B159</f>
        <v>Men's</v>
      </c>
      <c r="C151" s="25" t="s">
        <v>163</v>
      </c>
      <c r="D151" s="22" t="s">
        <v>28</v>
      </c>
      <c r="E151" s="25" t="s">
        <v>499</v>
      </c>
      <c r="F151" s="22">
        <v>1</v>
      </c>
      <c r="G151" s="22">
        <f>wimbledons_champions!G159</f>
        <v>45</v>
      </c>
      <c r="H151" s="25" t="str">
        <f>wimbledons_champions!H159</f>
        <v>6-1, 6-3, 6-2</v>
      </c>
      <c r="I151" s="25" t="s">
        <v>164</v>
      </c>
      <c r="J151" s="22" t="s">
        <v>28</v>
      </c>
      <c r="K151" s="25" t="s">
        <v>499</v>
      </c>
      <c r="L151" s="22">
        <v>3</v>
      </c>
      <c r="M151" s="18">
        <v>0.75</v>
      </c>
      <c r="N151" s="18"/>
      <c r="O151" s="19" t="s">
        <v>741</v>
      </c>
      <c r="P151" s="19">
        <v>1</v>
      </c>
      <c r="Q151" s="19">
        <v>6</v>
      </c>
      <c r="R151" s="19">
        <v>3</v>
      </c>
      <c r="S151" s="19">
        <v>6</v>
      </c>
      <c r="T151" s="19">
        <v>2</v>
      </c>
      <c r="U151" s="19"/>
      <c r="V151" s="19"/>
      <c r="W151" s="19"/>
      <c r="X151" s="19"/>
      <c r="Y151" s="20">
        <f t="shared" si="9"/>
        <v>18</v>
      </c>
      <c r="Z151" s="20">
        <f t="shared" si="9"/>
        <v>6</v>
      </c>
      <c r="AA151" s="21">
        <f t="shared" si="8"/>
        <v>0.75</v>
      </c>
    </row>
    <row r="152" spans="1:27" x14ac:dyDescent="0.4">
      <c r="A152" s="22">
        <f>wimbledons_champions!A160</f>
        <v>1946</v>
      </c>
      <c r="B152" s="25" t="str">
        <f>wimbledons_champions!B160</f>
        <v>Women's</v>
      </c>
      <c r="C152" s="25" t="s">
        <v>425</v>
      </c>
      <c r="D152" s="22" t="s">
        <v>28</v>
      </c>
      <c r="E152" s="25" t="s">
        <v>499</v>
      </c>
      <c r="F152" s="22">
        <v>1</v>
      </c>
      <c r="G152" s="22">
        <f>wimbledons_champions!G160</f>
        <v>0</v>
      </c>
      <c r="H152" s="25" t="str">
        <f>wimbledons_champions!H160</f>
        <v>6-2, 6-4,</v>
      </c>
      <c r="I152" s="25" t="s">
        <v>406</v>
      </c>
      <c r="J152" s="22" t="s">
        <v>28</v>
      </c>
      <c r="K152" s="25" t="s">
        <v>499</v>
      </c>
      <c r="L152" s="22">
        <v>3</v>
      </c>
      <c r="M152" s="18">
        <v>0.66666666666666663</v>
      </c>
      <c r="N152" s="18"/>
      <c r="O152" s="19" t="s">
        <v>741</v>
      </c>
      <c r="P152" s="19">
        <v>2</v>
      </c>
      <c r="Q152" s="19">
        <v>6</v>
      </c>
      <c r="R152" s="19">
        <v>4</v>
      </c>
      <c r="S152" s="19"/>
      <c r="T152" s="19"/>
      <c r="U152" s="19"/>
      <c r="V152" s="19"/>
      <c r="W152" s="19"/>
      <c r="X152" s="19"/>
      <c r="Y152" s="20">
        <f t="shared" si="9"/>
        <v>12</v>
      </c>
      <c r="Z152" s="20">
        <f t="shared" si="9"/>
        <v>6</v>
      </c>
      <c r="AA152" s="21">
        <f t="shared" si="8"/>
        <v>0.66666666666666663</v>
      </c>
    </row>
    <row r="153" spans="1:27" x14ac:dyDescent="0.4">
      <c r="A153" s="22">
        <f>wimbledons_champions!A161</f>
        <v>1946</v>
      </c>
      <c r="B153" s="25" t="str">
        <f>wimbledons_champions!B161</f>
        <v>Men's</v>
      </c>
      <c r="C153" s="25" t="s">
        <v>243</v>
      </c>
      <c r="D153" s="22" t="s">
        <v>24</v>
      </c>
      <c r="E153" s="25" t="s">
        <v>501</v>
      </c>
      <c r="F153" s="22">
        <v>5</v>
      </c>
      <c r="G153" s="22">
        <f>wimbledons_champions!G161</f>
        <v>0</v>
      </c>
      <c r="H153" s="25" t="str">
        <f>wimbledons_champions!H161</f>
        <v>6-2, 6-4, 7-9, 5-7, 6-4</v>
      </c>
      <c r="I153" s="25" t="s">
        <v>244</v>
      </c>
      <c r="J153" s="22" t="s">
        <v>12</v>
      </c>
      <c r="K153" s="25" t="s">
        <v>503</v>
      </c>
      <c r="L153" s="22">
        <v>3</v>
      </c>
      <c r="M153" s="18">
        <v>0.5357142857142857</v>
      </c>
      <c r="N153" s="18"/>
      <c r="O153" s="19" t="s">
        <v>741</v>
      </c>
      <c r="P153" s="19">
        <v>2</v>
      </c>
      <c r="Q153" s="19">
        <v>6</v>
      </c>
      <c r="R153" s="19">
        <v>4</v>
      </c>
      <c r="S153" s="19">
        <v>7</v>
      </c>
      <c r="T153" s="19">
        <v>9</v>
      </c>
      <c r="U153" s="19">
        <v>5</v>
      </c>
      <c r="V153" s="19">
        <v>7</v>
      </c>
      <c r="W153" s="19" t="s">
        <v>741</v>
      </c>
      <c r="X153" s="19">
        <v>4</v>
      </c>
      <c r="Y153" s="20">
        <f t="shared" si="9"/>
        <v>30</v>
      </c>
      <c r="Z153" s="20">
        <f t="shared" si="9"/>
        <v>26</v>
      </c>
      <c r="AA153" s="21">
        <f t="shared" si="8"/>
        <v>0.5357142857142857</v>
      </c>
    </row>
    <row r="154" spans="1:27" x14ac:dyDescent="0.4">
      <c r="A154" s="22">
        <f>wimbledons_champions!A162</f>
        <v>1939</v>
      </c>
      <c r="B154" s="25" t="str">
        <f>wimbledons_champions!B162</f>
        <v>Women's</v>
      </c>
      <c r="C154" s="25" t="s">
        <v>434</v>
      </c>
      <c r="D154" s="22" t="s">
        <v>28</v>
      </c>
      <c r="E154" s="25" t="s">
        <v>499</v>
      </c>
      <c r="F154" s="22">
        <v>1</v>
      </c>
      <c r="G154" s="22">
        <f>wimbledons_champions!G162</f>
        <v>30</v>
      </c>
      <c r="H154" s="25" t="str">
        <f>wimbledons_champions!H162</f>
        <v>6-2, 6-0</v>
      </c>
      <c r="I154" s="25" t="s">
        <v>435</v>
      </c>
      <c r="J154" s="22" t="s">
        <v>15</v>
      </c>
      <c r="K154" s="25" t="s">
        <v>498</v>
      </c>
      <c r="L154" s="22">
        <v>6</v>
      </c>
      <c r="M154" s="18">
        <v>0.8571428571428571</v>
      </c>
      <c r="N154" s="18"/>
      <c r="O154" s="19" t="s">
        <v>741</v>
      </c>
      <c r="P154" s="19">
        <v>2</v>
      </c>
      <c r="Q154" s="19">
        <v>6</v>
      </c>
      <c r="R154" s="19">
        <v>0</v>
      </c>
      <c r="S154" s="19"/>
      <c r="T154" s="19"/>
      <c r="U154" s="19"/>
      <c r="V154" s="19"/>
      <c r="W154" s="19"/>
      <c r="X154" s="19"/>
      <c r="Y154" s="20">
        <f t="shared" si="9"/>
        <v>12</v>
      </c>
      <c r="Z154" s="20">
        <f t="shared" si="9"/>
        <v>2</v>
      </c>
      <c r="AA154" s="21">
        <f t="shared" si="8"/>
        <v>0.8571428571428571</v>
      </c>
    </row>
    <row r="155" spans="1:27" x14ac:dyDescent="0.4">
      <c r="A155" s="22">
        <f>wimbledons_champions!A163</f>
        <v>1939</v>
      </c>
      <c r="B155" s="25" t="str">
        <f>wimbledons_champions!B163</f>
        <v>Men's</v>
      </c>
      <c r="C155" s="25" t="s">
        <v>217</v>
      </c>
      <c r="D155" s="22" t="s">
        <v>28</v>
      </c>
      <c r="E155" s="25" t="s">
        <v>499</v>
      </c>
      <c r="F155" s="22">
        <v>2</v>
      </c>
      <c r="G155" s="22">
        <f>wimbledons_champions!G163</f>
        <v>135</v>
      </c>
      <c r="H155" s="25" t="str">
        <f>wimbledons_champions!H163</f>
        <v>2-6, 8-6, 3-6, 6-3, 6-2</v>
      </c>
      <c r="I155" s="25" t="s">
        <v>218</v>
      </c>
      <c r="J155" s="22" t="s">
        <v>28</v>
      </c>
      <c r="K155" s="25" t="s">
        <v>499</v>
      </c>
      <c r="L155" s="22">
        <v>6</v>
      </c>
      <c r="M155" s="18">
        <v>0.52083333333333337</v>
      </c>
      <c r="N155" s="18"/>
      <c r="O155" s="19" t="s">
        <v>747</v>
      </c>
      <c r="P155" s="19">
        <v>6</v>
      </c>
      <c r="Q155" s="19">
        <v>8</v>
      </c>
      <c r="R155" s="19">
        <v>6</v>
      </c>
      <c r="S155" s="19">
        <v>3</v>
      </c>
      <c r="T155" s="19">
        <v>6</v>
      </c>
      <c r="U155" s="19">
        <v>6</v>
      </c>
      <c r="V155" s="19">
        <v>3</v>
      </c>
      <c r="W155" s="19" t="s">
        <v>741</v>
      </c>
      <c r="X155" s="19">
        <v>2</v>
      </c>
      <c r="Y155" s="20">
        <f t="shared" si="9"/>
        <v>25</v>
      </c>
      <c r="Z155" s="20">
        <f t="shared" si="9"/>
        <v>23</v>
      </c>
      <c r="AA155" s="21">
        <f t="shared" si="8"/>
        <v>0.52083333333333337</v>
      </c>
    </row>
    <row r="156" spans="1:27" x14ac:dyDescent="0.4">
      <c r="A156" s="22">
        <f>wimbledons_champions!A164</f>
        <v>1938</v>
      </c>
      <c r="B156" s="25" t="str">
        <f>wimbledons_champions!B164</f>
        <v>Women's</v>
      </c>
      <c r="C156" s="25" t="s">
        <v>893</v>
      </c>
      <c r="D156" s="22" t="s">
        <v>28</v>
      </c>
      <c r="E156" s="25" t="s">
        <v>499</v>
      </c>
      <c r="F156" s="22">
        <v>1</v>
      </c>
      <c r="G156" s="22">
        <f>wimbledons_champions!G164</f>
        <v>0</v>
      </c>
      <c r="H156" s="25" t="str">
        <f>wimbledons_champions!H164</f>
        <v>6-4, 6-0</v>
      </c>
      <c r="I156" s="25" t="s">
        <v>368</v>
      </c>
      <c r="J156" s="22" t="s">
        <v>28</v>
      </c>
      <c r="K156" s="25" t="s">
        <v>499</v>
      </c>
      <c r="L156" s="22" t="s">
        <v>122</v>
      </c>
      <c r="M156" s="18">
        <v>0.75</v>
      </c>
      <c r="N156" s="18"/>
      <c r="O156" s="19" t="s">
        <v>741</v>
      </c>
      <c r="P156" s="19">
        <v>4</v>
      </c>
      <c r="Q156" s="19">
        <v>6</v>
      </c>
      <c r="R156" s="19">
        <v>0</v>
      </c>
      <c r="S156" s="19"/>
      <c r="T156" s="19"/>
      <c r="U156" s="19"/>
      <c r="V156" s="19"/>
      <c r="W156" s="19"/>
      <c r="X156" s="19"/>
      <c r="Y156" s="20">
        <f t="shared" si="9"/>
        <v>12</v>
      </c>
      <c r="Z156" s="20">
        <f t="shared" si="9"/>
        <v>4</v>
      </c>
      <c r="AA156" s="21">
        <f t="shared" si="8"/>
        <v>0.75</v>
      </c>
    </row>
    <row r="157" spans="1:27" x14ac:dyDescent="0.4">
      <c r="A157" s="22">
        <f>wimbledons_champions!A165</f>
        <v>1938</v>
      </c>
      <c r="B157" s="25" t="str">
        <f>wimbledons_champions!B165</f>
        <v>Men's</v>
      </c>
      <c r="C157" s="25" t="s">
        <v>156</v>
      </c>
      <c r="D157" s="22" t="s">
        <v>28</v>
      </c>
      <c r="E157" s="25" t="s">
        <v>499</v>
      </c>
      <c r="F157" s="22">
        <v>1</v>
      </c>
      <c r="G157" s="22">
        <f>wimbledons_champions!G165</f>
        <v>59</v>
      </c>
      <c r="H157" s="25" t="str">
        <f>wimbledons_champions!H165</f>
        <v>6-1, 6-0, 6-3</v>
      </c>
      <c r="I157" s="25" t="s">
        <v>157</v>
      </c>
      <c r="J157" s="22" t="s">
        <v>15</v>
      </c>
      <c r="K157" s="25" t="s">
        <v>498</v>
      </c>
      <c r="L157" s="22">
        <v>2</v>
      </c>
      <c r="M157" s="18">
        <v>0.81818181818181823</v>
      </c>
      <c r="N157" s="18"/>
      <c r="O157" s="19" t="s">
        <v>741</v>
      </c>
      <c r="P157" s="19">
        <v>1</v>
      </c>
      <c r="Q157" s="19">
        <v>6</v>
      </c>
      <c r="R157" s="19">
        <v>0</v>
      </c>
      <c r="S157" s="19">
        <v>6</v>
      </c>
      <c r="T157" s="19">
        <v>3</v>
      </c>
      <c r="U157" s="19"/>
      <c r="V157" s="19"/>
      <c r="W157" s="19"/>
      <c r="X157" s="19"/>
      <c r="Y157" s="20">
        <f t="shared" si="9"/>
        <v>18</v>
      </c>
      <c r="Z157" s="20">
        <f t="shared" si="9"/>
        <v>4</v>
      </c>
      <c r="AA157" s="21">
        <f t="shared" si="8"/>
        <v>0.81818181818181823</v>
      </c>
    </row>
    <row r="158" spans="1:27" x14ac:dyDescent="0.4">
      <c r="A158" s="22">
        <f>wimbledons_champions!A166</f>
        <v>1937</v>
      </c>
      <c r="B158" s="25" t="str">
        <f>wimbledons_champions!B166</f>
        <v>Women's</v>
      </c>
      <c r="C158" s="25" t="s">
        <v>366</v>
      </c>
      <c r="D158" s="22" t="s">
        <v>15</v>
      </c>
      <c r="E158" s="25" t="s">
        <v>498</v>
      </c>
      <c r="F158" s="22">
        <v>7</v>
      </c>
      <c r="G158" s="22">
        <f>wimbledons_champions!G166</f>
        <v>60</v>
      </c>
      <c r="H158" s="25" t="str">
        <f>wimbledons_champions!H166</f>
        <v>6-2, 2-6, 7-5</v>
      </c>
      <c r="I158" s="25" t="s">
        <v>376</v>
      </c>
      <c r="J158" s="22" t="s">
        <v>375</v>
      </c>
      <c r="K158" s="25" t="s">
        <v>512</v>
      </c>
      <c r="L158" s="22">
        <v>4</v>
      </c>
      <c r="M158" s="18">
        <v>0.5357142857142857</v>
      </c>
      <c r="N158" s="18"/>
      <c r="O158" s="19" t="s">
        <v>741</v>
      </c>
      <c r="P158" s="19">
        <v>2</v>
      </c>
      <c r="Q158" s="19">
        <v>2</v>
      </c>
      <c r="R158" s="19">
        <v>6</v>
      </c>
      <c r="S158" s="19">
        <v>7</v>
      </c>
      <c r="T158" s="19">
        <v>5</v>
      </c>
      <c r="U158" s="19"/>
      <c r="V158" s="19"/>
      <c r="W158" s="19"/>
      <c r="X158" s="19"/>
      <c r="Y158" s="20">
        <f t="shared" si="9"/>
        <v>15</v>
      </c>
      <c r="Z158" s="20">
        <f t="shared" si="9"/>
        <v>13</v>
      </c>
      <c r="AA158" s="21">
        <f t="shared" si="8"/>
        <v>0.5357142857142857</v>
      </c>
    </row>
    <row r="159" spans="1:27" x14ac:dyDescent="0.4">
      <c r="A159" s="22">
        <f>wimbledons_champions!A167</f>
        <v>1937</v>
      </c>
      <c r="B159" s="25" t="str">
        <f>wimbledons_champions!B167</f>
        <v>Men's</v>
      </c>
      <c r="C159" s="25" t="s">
        <v>156</v>
      </c>
      <c r="D159" s="22" t="s">
        <v>28</v>
      </c>
      <c r="E159" s="25" t="s">
        <v>499</v>
      </c>
      <c r="F159" s="22">
        <v>1</v>
      </c>
      <c r="G159" s="22">
        <f>wimbledons_champions!G167</f>
        <v>65</v>
      </c>
      <c r="H159" s="25" t="str">
        <f>wimbledons_champions!H167</f>
        <v>6-3, 6-4, 6-2</v>
      </c>
      <c r="I159" s="25" t="s">
        <v>127</v>
      </c>
      <c r="J159" s="22" t="s">
        <v>126</v>
      </c>
      <c r="K159" s="25" t="s">
        <v>495</v>
      </c>
      <c r="L159" s="22">
        <v>2</v>
      </c>
      <c r="M159" s="18">
        <v>0.66666666666666663</v>
      </c>
      <c r="N159" s="18"/>
      <c r="O159" s="19" t="s">
        <v>741</v>
      </c>
      <c r="P159" s="19">
        <v>3</v>
      </c>
      <c r="Q159" s="19">
        <v>6</v>
      </c>
      <c r="R159" s="19">
        <v>4</v>
      </c>
      <c r="S159" s="19">
        <v>6</v>
      </c>
      <c r="T159" s="19">
        <v>2</v>
      </c>
      <c r="U159" s="19"/>
      <c r="V159" s="19"/>
      <c r="W159" s="19"/>
      <c r="X159" s="19"/>
      <c r="Y159" s="20">
        <f t="shared" si="9"/>
        <v>18</v>
      </c>
      <c r="Z159" s="20">
        <f t="shared" si="9"/>
        <v>9</v>
      </c>
      <c r="AA159" s="21">
        <f t="shared" si="8"/>
        <v>0.66666666666666663</v>
      </c>
    </row>
    <row r="160" spans="1:27" x14ac:dyDescent="0.4">
      <c r="A160" s="22">
        <f>wimbledons_champions!A168</f>
        <v>1936</v>
      </c>
      <c r="B160" s="25" t="str">
        <f>wimbledons_champions!B168</f>
        <v>Women's</v>
      </c>
      <c r="C160" s="25" t="s">
        <v>368</v>
      </c>
      <c r="D160" s="22" t="s">
        <v>28</v>
      </c>
      <c r="E160" s="25" t="s">
        <v>499</v>
      </c>
      <c r="F160" s="22">
        <v>2</v>
      </c>
      <c r="G160" s="22">
        <f>wimbledons_champions!G168</f>
        <v>101</v>
      </c>
      <c r="H160" s="25" t="str">
        <f>wimbledons_champions!H168</f>
        <v>6-2, 4-6, 7-5</v>
      </c>
      <c r="I160" s="25" t="s">
        <v>451</v>
      </c>
      <c r="J160" s="22" t="s">
        <v>126</v>
      </c>
      <c r="K160" s="25" t="s">
        <v>495</v>
      </c>
      <c r="L160" s="22">
        <v>5</v>
      </c>
      <c r="M160" s="18">
        <v>0.56666666666666665</v>
      </c>
      <c r="N160" s="18"/>
      <c r="O160" s="19" t="s">
        <v>741</v>
      </c>
      <c r="P160" s="19">
        <v>2</v>
      </c>
      <c r="Q160" s="19">
        <v>4</v>
      </c>
      <c r="R160" s="19">
        <v>6</v>
      </c>
      <c r="S160" s="19">
        <v>7</v>
      </c>
      <c r="T160" s="19">
        <v>5</v>
      </c>
      <c r="U160" s="19"/>
      <c r="V160" s="19"/>
      <c r="W160" s="19"/>
      <c r="X160" s="19"/>
      <c r="Y160" s="20">
        <f t="shared" si="9"/>
        <v>17</v>
      </c>
      <c r="Z160" s="20">
        <f t="shared" si="9"/>
        <v>13</v>
      </c>
      <c r="AA160" s="21">
        <f t="shared" si="8"/>
        <v>0.56666666666666665</v>
      </c>
    </row>
    <row r="161" spans="1:27" x14ac:dyDescent="0.4">
      <c r="A161" s="22">
        <f>wimbledons_champions!A169</f>
        <v>1936</v>
      </c>
      <c r="B161" s="25" t="str">
        <f>wimbledons_champions!B169</f>
        <v>Men's</v>
      </c>
      <c r="C161" s="25" t="s">
        <v>125</v>
      </c>
      <c r="D161" s="22" t="s">
        <v>15</v>
      </c>
      <c r="E161" s="25" t="s">
        <v>498</v>
      </c>
      <c r="F161" s="22">
        <v>1</v>
      </c>
      <c r="G161" s="22">
        <f>wimbledons_champions!G169</f>
        <v>40</v>
      </c>
      <c r="H161" s="25" t="str">
        <f>wimbledons_champions!H169</f>
        <v>6-1, 6-1, 6-0</v>
      </c>
      <c r="I161" s="25" t="s">
        <v>127</v>
      </c>
      <c r="J161" s="22" t="s">
        <v>126</v>
      </c>
      <c r="K161" s="25" t="s">
        <v>495</v>
      </c>
      <c r="L161" s="22">
        <v>2</v>
      </c>
      <c r="M161" s="18">
        <v>0.9</v>
      </c>
      <c r="N161" s="18"/>
      <c r="O161" s="19" t="s">
        <v>741</v>
      </c>
      <c r="P161" s="19">
        <v>1</v>
      </c>
      <c r="Q161" s="19">
        <v>6</v>
      </c>
      <c r="R161" s="19">
        <v>1</v>
      </c>
      <c r="S161" s="19">
        <v>6</v>
      </c>
      <c r="T161" s="19">
        <v>0</v>
      </c>
      <c r="U161" s="19"/>
      <c r="V161" s="19"/>
      <c r="W161" s="19"/>
      <c r="X161" s="19"/>
      <c r="Y161" s="20">
        <f t="shared" si="9"/>
        <v>18</v>
      </c>
      <c r="Z161" s="20">
        <f t="shared" si="9"/>
        <v>2</v>
      </c>
      <c r="AA161" s="21">
        <f t="shared" si="8"/>
        <v>0.9</v>
      </c>
    </row>
    <row r="162" spans="1:27" x14ac:dyDescent="0.4">
      <c r="A162" s="22">
        <f>wimbledons_champions!A170</f>
        <v>1935</v>
      </c>
      <c r="B162" s="25" t="str">
        <f>wimbledons_champions!B170</f>
        <v>Women's</v>
      </c>
      <c r="C162" s="25" t="s">
        <v>893</v>
      </c>
      <c r="D162" s="22" t="s">
        <v>28</v>
      </c>
      <c r="E162" s="25" t="s">
        <v>499</v>
      </c>
      <c r="F162" s="22">
        <v>4</v>
      </c>
      <c r="G162" s="22">
        <f>wimbledons_champions!G170</f>
        <v>100</v>
      </c>
      <c r="H162" s="25" t="str">
        <f>wimbledons_champions!H170</f>
        <v>6-3, 3-6, 7-5</v>
      </c>
      <c r="I162" s="25" t="s">
        <v>368</v>
      </c>
      <c r="J162" s="22" t="s">
        <v>28</v>
      </c>
      <c r="K162" s="25" t="s">
        <v>499</v>
      </c>
      <c r="L162" s="22">
        <v>3</v>
      </c>
      <c r="M162" s="18">
        <v>0.53333333333333333</v>
      </c>
      <c r="N162" s="18"/>
      <c r="O162" s="19" t="s">
        <v>741</v>
      </c>
      <c r="P162" s="19">
        <v>3</v>
      </c>
      <c r="Q162" s="19">
        <v>3</v>
      </c>
      <c r="R162" s="19">
        <v>6</v>
      </c>
      <c r="S162" s="19">
        <v>7</v>
      </c>
      <c r="T162" s="19">
        <v>5</v>
      </c>
      <c r="U162" s="19"/>
      <c r="V162" s="19"/>
      <c r="W162" s="19"/>
      <c r="X162" s="19"/>
      <c r="Y162" s="20">
        <f t="shared" si="9"/>
        <v>16</v>
      </c>
      <c r="Z162" s="20">
        <f t="shared" si="9"/>
        <v>14</v>
      </c>
      <c r="AA162" s="21">
        <f t="shared" si="8"/>
        <v>0.53333333333333333</v>
      </c>
    </row>
    <row r="163" spans="1:27" x14ac:dyDescent="0.4">
      <c r="A163" s="22">
        <f>wimbledons_champions!A171</f>
        <v>1935</v>
      </c>
      <c r="B163" s="25" t="str">
        <f>wimbledons_champions!B171</f>
        <v>Men's</v>
      </c>
      <c r="C163" s="25" t="s">
        <v>125</v>
      </c>
      <c r="D163" s="22" t="s">
        <v>15</v>
      </c>
      <c r="E163" s="25" t="s">
        <v>498</v>
      </c>
      <c r="F163" s="22">
        <v>1</v>
      </c>
      <c r="G163" s="22">
        <f>wimbledons_champions!G171</f>
        <v>80</v>
      </c>
      <c r="H163" s="25" t="str">
        <f>wimbledons_champions!H171</f>
        <v>6-2, 6-4, 6-4</v>
      </c>
      <c r="I163" s="25" t="s">
        <v>127</v>
      </c>
      <c r="J163" s="22" t="s">
        <v>126</v>
      </c>
      <c r="K163" s="25" t="s">
        <v>495</v>
      </c>
      <c r="L163" s="22">
        <v>2</v>
      </c>
      <c r="M163" s="18">
        <v>0.6428571428571429</v>
      </c>
      <c r="N163" s="18"/>
      <c r="O163" s="19" t="s">
        <v>741</v>
      </c>
      <c r="P163" s="19">
        <v>2</v>
      </c>
      <c r="Q163" s="19">
        <v>6</v>
      </c>
      <c r="R163" s="19">
        <v>4</v>
      </c>
      <c r="S163" s="19">
        <v>6</v>
      </c>
      <c r="T163" s="19">
        <v>4</v>
      </c>
      <c r="U163" s="19"/>
      <c r="V163" s="19"/>
      <c r="W163" s="19"/>
      <c r="X163" s="19"/>
      <c r="Y163" s="20">
        <f t="shared" si="9"/>
        <v>18</v>
      </c>
      <c r="Z163" s="20">
        <f t="shared" si="9"/>
        <v>10</v>
      </c>
      <c r="AA163" s="21">
        <f t="shared" si="8"/>
        <v>0.6428571428571429</v>
      </c>
    </row>
    <row r="164" spans="1:27" x14ac:dyDescent="0.4">
      <c r="A164" s="22">
        <f>wimbledons_champions!A172</f>
        <v>1934</v>
      </c>
      <c r="B164" s="25" t="str">
        <f>wimbledons_champions!B172</f>
        <v>Women's</v>
      </c>
      <c r="C164" s="25" t="s">
        <v>366</v>
      </c>
      <c r="D164" s="22" t="s">
        <v>15</v>
      </c>
      <c r="E164" s="25" t="s">
        <v>498</v>
      </c>
      <c r="F164" s="22">
        <v>2</v>
      </c>
      <c r="G164" s="22">
        <f>wimbledons_champions!G172</f>
        <v>0</v>
      </c>
      <c r="H164" s="25" t="str">
        <f>wimbledons_champions!H172</f>
        <v>6-2, 5-7, 6-3</v>
      </c>
      <c r="I164" s="25" t="s">
        <v>368</v>
      </c>
      <c r="J164" s="22" t="s">
        <v>28</v>
      </c>
      <c r="K164" s="25" t="s">
        <v>499</v>
      </c>
      <c r="L164" s="22">
        <v>1</v>
      </c>
      <c r="M164" s="18">
        <v>0.58620689655172409</v>
      </c>
      <c r="N164" s="18"/>
      <c r="O164" s="19" t="s">
        <v>741</v>
      </c>
      <c r="P164" s="19">
        <v>2</v>
      </c>
      <c r="Q164" s="19">
        <v>5</v>
      </c>
      <c r="R164" s="19">
        <v>7</v>
      </c>
      <c r="S164" s="19">
        <v>6</v>
      </c>
      <c r="T164" s="19">
        <v>3</v>
      </c>
      <c r="U164" s="19"/>
      <c r="V164" s="19"/>
      <c r="W164" s="19"/>
      <c r="X164" s="19"/>
      <c r="Y164" s="20">
        <f t="shared" si="9"/>
        <v>17</v>
      </c>
      <c r="Z164" s="20">
        <f t="shared" si="9"/>
        <v>12</v>
      </c>
      <c r="AA164" s="21">
        <f t="shared" si="8"/>
        <v>0.58620689655172409</v>
      </c>
    </row>
    <row r="165" spans="1:27" x14ac:dyDescent="0.4">
      <c r="A165" s="22">
        <f>wimbledons_champions!A173</f>
        <v>1934</v>
      </c>
      <c r="B165" s="25" t="str">
        <f>wimbledons_champions!B173</f>
        <v>Men's</v>
      </c>
      <c r="C165" s="25" t="s">
        <v>125</v>
      </c>
      <c r="D165" s="22" t="s">
        <v>15</v>
      </c>
      <c r="E165" s="25" t="s">
        <v>498</v>
      </c>
      <c r="F165" s="22">
        <v>2</v>
      </c>
      <c r="G165" s="22">
        <f>wimbledons_champions!G173</f>
        <v>72</v>
      </c>
      <c r="H165" s="25" t="str">
        <f>wimbledons_champions!H173</f>
        <v>6-3, 6-0, 7-5</v>
      </c>
      <c r="I165" s="25" t="s">
        <v>186</v>
      </c>
      <c r="J165" s="22" t="s">
        <v>12</v>
      </c>
      <c r="K165" s="25" t="s">
        <v>503</v>
      </c>
      <c r="L165" s="22">
        <v>1</v>
      </c>
      <c r="M165" s="18">
        <v>0.70370370370370372</v>
      </c>
      <c r="N165" s="18"/>
      <c r="O165" s="19" t="s">
        <v>741</v>
      </c>
      <c r="P165" s="19">
        <v>3</v>
      </c>
      <c r="Q165" s="19">
        <v>6</v>
      </c>
      <c r="R165" s="19">
        <v>0</v>
      </c>
      <c r="S165" s="19">
        <v>7</v>
      </c>
      <c r="T165" s="19">
        <v>5</v>
      </c>
      <c r="U165" s="19"/>
      <c r="V165" s="19"/>
      <c r="W165" s="19"/>
      <c r="X165" s="19"/>
      <c r="Y165" s="20">
        <f t="shared" si="9"/>
        <v>19</v>
      </c>
      <c r="Z165" s="20">
        <f t="shared" si="9"/>
        <v>8</v>
      </c>
      <c r="AA165" s="21">
        <f t="shared" si="8"/>
        <v>0.70370370370370372</v>
      </c>
    </row>
    <row r="166" spans="1:27" x14ac:dyDescent="0.4">
      <c r="A166" s="22">
        <f>wimbledons_champions!A174</f>
        <v>1933</v>
      </c>
      <c r="B166" s="25" t="str">
        <f>wimbledons_champions!B174</f>
        <v>Women's</v>
      </c>
      <c r="C166" s="25" t="s">
        <v>893</v>
      </c>
      <c r="D166" s="22" t="s">
        <v>28</v>
      </c>
      <c r="E166" s="25" t="s">
        <v>499</v>
      </c>
      <c r="F166" s="22">
        <v>1</v>
      </c>
      <c r="G166" s="22">
        <f>wimbledons_champions!G174</f>
        <v>120</v>
      </c>
      <c r="H166" s="25" t="str">
        <f>wimbledons_champions!H174</f>
        <v>6-4, 6-8, 6-3</v>
      </c>
      <c r="I166" s="25" t="s">
        <v>366</v>
      </c>
      <c r="J166" s="22" t="s">
        <v>15</v>
      </c>
      <c r="K166" s="25" t="s">
        <v>498</v>
      </c>
      <c r="L166" s="22">
        <v>2</v>
      </c>
      <c r="M166" s="18">
        <v>0.54545454545454541</v>
      </c>
      <c r="N166" s="18"/>
      <c r="O166" s="19" t="s">
        <v>741</v>
      </c>
      <c r="P166" s="19">
        <v>4</v>
      </c>
      <c r="Q166" s="19">
        <v>6</v>
      </c>
      <c r="R166" s="19">
        <v>8</v>
      </c>
      <c r="S166" s="19">
        <v>6</v>
      </c>
      <c r="T166" s="19">
        <v>3</v>
      </c>
      <c r="U166" s="19"/>
      <c r="V166" s="19"/>
      <c r="W166" s="19"/>
      <c r="X166" s="19"/>
      <c r="Y166" s="20">
        <f t="shared" si="9"/>
        <v>18</v>
      </c>
      <c r="Z166" s="20">
        <f t="shared" si="9"/>
        <v>15</v>
      </c>
      <c r="AA166" s="21">
        <f t="shared" si="8"/>
        <v>0.54545454545454541</v>
      </c>
    </row>
    <row r="167" spans="1:27" x14ac:dyDescent="0.4">
      <c r="A167" s="22">
        <f>wimbledons_champions!A175</f>
        <v>1933</v>
      </c>
      <c r="B167" s="25" t="str">
        <f>wimbledons_champions!B175</f>
        <v>Men's</v>
      </c>
      <c r="C167" s="25" t="s">
        <v>186</v>
      </c>
      <c r="D167" s="22" t="s">
        <v>12</v>
      </c>
      <c r="E167" s="25" t="s">
        <v>503</v>
      </c>
      <c r="F167" s="22">
        <v>2</v>
      </c>
      <c r="G167" s="22">
        <f>wimbledons_champions!G175</f>
        <v>120</v>
      </c>
      <c r="H167" s="25" t="str">
        <f>wimbledons_champions!H175</f>
        <v>4-6, 11-9, 6-2, 2-6, 6-4</v>
      </c>
      <c r="I167" s="25" t="s">
        <v>187</v>
      </c>
      <c r="J167" s="22" t="s">
        <v>28</v>
      </c>
      <c r="K167" s="25" t="s">
        <v>499</v>
      </c>
      <c r="L167" s="22">
        <v>1</v>
      </c>
      <c r="M167" s="18">
        <v>0.5178571428571429</v>
      </c>
      <c r="N167" s="18"/>
      <c r="O167" s="19" t="s">
        <v>743</v>
      </c>
      <c r="P167" s="19">
        <v>6</v>
      </c>
      <c r="Q167" s="19">
        <v>11</v>
      </c>
      <c r="R167" s="19">
        <v>9</v>
      </c>
      <c r="S167" s="19">
        <v>6</v>
      </c>
      <c r="T167" s="19">
        <v>2</v>
      </c>
      <c r="U167" s="19">
        <v>2</v>
      </c>
      <c r="V167" s="19">
        <v>6</v>
      </c>
      <c r="W167" s="19" t="s">
        <v>741</v>
      </c>
      <c r="X167" s="19">
        <v>4</v>
      </c>
      <c r="Y167" s="20">
        <f t="shared" si="9"/>
        <v>29</v>
      </c>
      <c r="Z167" s="20">
        <f t="shared" si="9"/>
        <v>27</v>
      </c>
      <c r="AA167" s="21">
        <f t="shared" si="8"/>
        <v>0.5178571428571429</v>
      </c>
    </row>
    <row r="168" spans="1:27" x14ac:dyDescent="0.4">
      <c r="A168" s="22">
        <f>wimbledons_champions!A176</f>
        <v>1932</v>
      </c>
      <c r="B168" s="25" t="str">
        <f>wimbledons_champions!B176</f>
        <v>Women's</v>
      </c>
      <c r="C168" s="25" t="s">
        <v>893</v>
      </c>
      <c r="D168" s="22" t="s">
        <v>28</v>
      </c>
      <c r="E168" s="25" t="s">
        <v>499</v>
      </c>
      <c r="F168" s="22">
        <v>1</v>
      </c>
      <c r="G168" s="22">
        <f>wimbledons_champions!G176</f>
        <v>50</v>
      </c>
      <c r="H168" s="25" t="str">
        <f>wimbledons_champions!H176</f>
        <v>6-3, 6-1</v>
      </c>
      <c r="I168" s="25" t="s">
        <v>368</v>
      </c>
      <c r="J168" s="22" t="s">
        <v>28</v>
      </c>
      <c r="K168" s="25" t="s">
        <v>499</v>
      </c>
      <c r="L168" s="22">
        <v>5</v>
      </c>
      <c r="M168" s="18">
        <v>0.75</v>
      </c>
      <c r="N168" s="18"/>
      <c r="O168" s="19" t="s">
        <v>741</v>
      </c>
      <c r="P168" s="19">
        <v>3</v>
      </c>
      <c r="Q168" s="19">
        <v>6</v>
      </c>
      <c r="R168" s="19">
        <v>1</v>
      </c>
      <c r="S168" s="19"/>
      <c r="T168" s="19"/>
      <c r="U168" s="19"/>
      <c r="V168" s="19"/>
      <c r="W168" s="19"/>
      <c r="X168" s="19"/>
      <c r="Y168" s="20">
        <f t="shared" si="9"/>
        <v>12</v>
      </c>
      <c r="Z168" s="20">
        <f t="shared" si="9"/>
        <v>4</v>
      </c>
      <c r="AA168" s="21">
        <f t="shared" si="8"/>
        <v>0.75</v>
      </c>
    </row>
    <row r="169" spans="1:27" x14ac:dyDescent="0.4">
      <c r="A169" s="22">
        <f>wimbledons_champions!A177</f>
        <v>1932</v>
      </c>
      <c r="B169" s="25" t="str">
        <f>wimbledons_champions!B177</f>
        <v>Men's</v>
      </c>
      <c r="C169" s="25" t="s">
        <v>187</v>
      </c>
      <c r="D169" s="22" t="s">
        <v>28</v>
      </c>
      <c r="E169" s="25" t="s">
        <v>499</v>
      </c>
      <c r="F169" s="22">
        <v>2</v>
      </c>
      <c r="G169" s="22">
        <f>wimbledons_champions!G177</f>
        <v>50</v>
      </c>
      <c r="H169" s="25" t="str">
        <f>wimbledons_champions!H177</f>
        <v>6-2, 6-2, 6-0</v>
      </c>
      <c r="I169" s="25" t="s">
        <v>157</v>
      </c>
      <c r="J169" s="22" t="s">
        <v>15</v>
      </c>
      <c r="K169" s="25" t="s">
        <v>498</v>
      </c>
      <c r="L169" s="22">
        <v>6</v>
      </c>
      <c r="M169" s="18">
        <v>0.81818181818181823</v>
      </c>
      <c r="N169" s="18"/>
      <c r="O169" s="19" t="s">
        <v>741</v>
      </c>
      <c r="P169" s="19">
        <v>2</v>
      </c>
      <c r="Q169" s="19">
        <v>6</v>
      </c>
      <c r="R169" s="19">
        <v>2</v>
      </c>
      <c r="S169" s="19">
        <v>6</v>
      </c>
      <c r="T169" s="19">
        <v>0</v>
      </c>
      <c r="U169" s="19"/>
      <c r="V169" s="19"/>
      <c r="W169" s="19"/>
      <c r="X169" s="19"/>
      <c r="Y169" s="20">
        <f t="shared" si="9"/>
        <v>18</v>
      </c>
      <c r="Z169" s="20">
        <f t="shared" si="9"/>
        <v>4</v>
      </c>
      <c r="AA169" s="21">
        <f t="shared" si="8"/>
        <v>0.81818181818181823</v>
      </c>
    </row>
    <row r="170" spans="1:27" x14ac:dyDescent="0.4">
      <c r="A170" s="22">
        <f>wimbledons_champions!A178</f>
        <v>1931</v>
      </c>
      <c r="B170" s="25" t="str">
        <f>wimbledons_champions!B178</f>
        <v>Women's</v>
      </c>
      <c r="C170" s="25" t="s">
        <v>388</v>
      </c>
      <c r="D170" s="22" t="s">
        <v>126</v>
      </c>
      <c r="E170" s="25" t="s">
        <v>495</v>
      </c>
      <c r="F170" s="22">
        <v>1</v>
      </c>
      <c r="G170" s="22">
        <f>wimbledons_champions!G178</f>
        <v>0</v>
      </c>
      <c r="H170" s="25" t="str">
        <f>wimbledons_champions!H178</f>
        <v>6-2, 7-5</v>
      </c>
      <c r="I170" s="25" t="s">
        <v>390</v>
      </c>
      <c r="J170" s="22" t="s">
        <v>126</v>
      </c>
      <c r="K170" s="25" t="s">
        <v>495</v>
      </c>
      <c r="L170" s="22">
        <v>4</v>
      </c>
      <c r="M170" s="18">
        <v>0.65</v>
      </c>
      <c r="N170" s="18"/>
      <c r="O170" s="19" t="s">
        <v>741</v>
      </c>
      <c r="P170" s="19">
        <v>2</v>
      </c>
      <c r="Q170" s="19">
        <v>7</v>
      </c>
      <c r="R170" s="19">
        <v>5</v>
      </c>
      <c r="S170" s="19"/>
      <c r="T170" s="19"/>
      <c r="U170" s="19"/>
      <c r="V170" s="19"/>
      <c r="W170" s="19"/>
      <c r="X170" s="19"/>
      <c r="Y170" s="20">
        <f t="shared" si="9"/>
        <v>13</v>
      </c>
      <c r="Z170" s="20">
        <f t="shared" si="9"/>
        <v>7</v>
      </c>
      <c r="AA170" s="21">
        <f t="shared" si="8"/>
        <v>0.65</v>
      </c>
    </row>
    <row r="171" spans="1:27" x14ac:dyDescent="0.4">
      <c r="A171" s="22">
        <f>wimbledons_champions!A179</f>
        <v>1931</v>
      </c>
      <c r="B171" s="25" t="str">
        <f>wimbledons_champions!B179</f>
        <v>Men's</v>
      </c>
      <c r="C171" s="25" t="s">
        <v>258</v>
      </c>
      <c r="D171" s="22" t="s">
        <v>28</v>
      </c>
      <c r="E171" s="25" t="s">
        <v>499</v>
      </c>
      <c r="F171" s="22">
        <v>7</v>
      </c>
      <c r="G171" s="22">
        <f>wimbledons_champions!G179</f>
        <v>0</v>
      </c>
      <c r="H171" s="25" t="str">
        <f>wimbledons_champions!H179</f>
        <v>walk over</v>
      </c>
      <c r="I171" s="25" t="s">
        <v>259</v>
      </c>
      <c r="J171" s="22" t="s">
        <v>28</v>
      </c>
      <c r="K171" s="25" t="s">
        <v>499</v>
      </c>
      <c r="L171" s="22">
        <v>3</v>
      </c>
      <c r="M171" s="18">
        <v>1</v>
      </c>
      <c r="N171" s="18"/>
      <c r="O171" s="19" t="s">
        <v>668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20">
        <f>IFERROR(SUM(O171+Q171+S171+U171+W171), )</f>
        <v>0</v>
      </c>
      <c r="Z171" s="20">
        <f t="shared" si="9"/>
        <v>0</v>
      </c>
      <c r="AA171" s="21">
        <f>IFERROR(Y171/(Y171+Z171), )</f>
        <v>0</v>
      </c>
    </row>
    <row r="172" spans="1:27" x14ac:dyDescent="0.4">
      <c r="A172" s="22">
        <f>wimbledons_champions!A180</f>
        <v>1930</v>
      </c>
      <c r="B172" s="25" t="str">
        <f>wimbledons_champions!B180</f>
        <v>Women's</v>
      </c>
      <c r="C172" s="25" t="s">
        <v>893</v>
      </c>
      <c r="D172" s="22" t="s">
        <v>28</v>
      </c>
      <c r="E172" s="25" t="s">
        <v>499</v>
      </c>
      <c r="F172" s="22">
        <v>1</v>
      </c>
      <c r="G172" s="22">
        <f>wimbledons_champions!G180</f>
        <v>0</v>
      </c>
      <c r="H172" s="25" t="str">
        <f>wimbledons_champions!H180</f>
        <v>6-2, 6-2</v>
      </c>
      <c r="I172" s="25" t="s">
        <v>308</v>
      </c>
      <c r="J172" s="22" t="s">
        <v>28</v>
      </c>
      <c r="K172" s="25" t="s">
        <v>499</v>
      </c>
      <c r="L172" s="22">
        <v>8</v>
      </c>
      <c r="M172" s="18">
        <v>0.75</v>
      </c>
      <c r="N172" s="18"/>
      <c r="O172" s="19" t="s">
        <v>741</v>
      </c>
      <c r="P172" s="19">
        <v>2</v>
      </c>
      <c r="Q172" s="19">
        <v>6</v>
      </c>
      <c r="R172" s="19">
        <v>2</v>
      </c>
      <c r="S172" s="19"/>
      <c r="T172" s="19"/>
      <c r="U172" s="19"/>
      <c r="V172" s="19"/>
      <c r="W172" s="19"/>
      <c r="X172" s="19"/>
      <c r="Y172" s="20">
        <f t="shared" si="9"/>
        <v>12</v>
      </c>
      <c r="Z172" s="20">
        <f t="shared" si="9"/>
        <v>4</v>
      </c>
      <c r="AA172" s="21">
        <f t="shared" ref="AA172:AA235" si="10">Y172/(Y172+Z172)</f>
        <v>0.75</v>
      </c>
    </row>
    <row r="173" spans="1:27" x14ac:dyDescent="0.4">
      <c r="A173" s="22">
        <f>wimbledons_champions!A181</f>
        <v>1930</v>
      </c>
      <c r="B173" s="25" t="str">
        <f>wimbledons_champions!B181</f>
        <v>Men's</v>
      </c>
      <c r="C173" s="25" t="s">
        <v>88</v>
      </c>
      <c r="D173" s="22" t="s">
        <v>28</v>
      </c>
      <c r="E173" s="25" t="s">
        <v>499</v>
      </c>
      <c r="F173" s="22">
        <v>2</v>
      </c>
      <c r="G173" s="22">
        <f>wimbledons_champions!G181</f>
        <v>70</v>
      </c>
      <c r="H173" s="25" t="str">
        <f>wimbledons_champions!H181</f>
        <v>6-3, 9-7, 6-4</v>
      </c>
      <c r="I173" s="25" t="s">
        <v>224</v>
      </c>
      <c r="J173" s="22" t="s">
        <v>28</v>
      </c>
      <c r="K173" s="25" t="s">
        <v>499</v>
      </c>
      <c r="L173" s="22" t="s">
        <v>122</v>
      </c>
      <c r="M173" s="18">
        <v>0.6</v>
      </c>
      <c r="N173" s="18"/>
      <c r="O173" s="19" t="s">
        <v>741</v>
      </c>
      <c r="P173" s="19">
        <v>3</v>
      </c>
      <c r="Q173" s="19">
        <v>9</v>
      </c>
      <c r="R173" s="19">
        <v>7</v>
      </c>
      <c r="S173" s="19">
        <v>6</v>
      </c>
      <c r="T173" s="19">
        <v>4</v>
      </c>
      <c r="U173" s="19"/>
      <c r="V173" s="19"/>
      <c r="W173" s="19"/>
      <c r="X173" s="19"/>
      <c r="Y173" s="20">
        <f t="shared" si="9"/>
        <v>21</v>
      </c>
      <c r="Z173" s="20">
        <f t="shared" si="9"/>
        <v>14</v>
      </c>
      <c r="AA173" s="21">
        <f t="shared" si="10"/>
        <v>0.6</v>
      </c>
    </row>
    <row r="174" spans="1:27" x14ac:dyDescent="0.4">
      <c r="A174" s="22">
        <f>wimbledons_champions!A182</f>
        <v>1929</v>
      </c>
      <c r="B174" s="25" t="str">
        <f>wimbledons_champions!B182</f>
        <v>Women's</v>
      </c>
      <c r="C174" s="25" t="s">
        <v>893</v>
      </c>
      <c r="D174" s="22" t="s">
        <v>28</v>
      </c>
      <c r="E174" s="25" t="s">
        <v>499</v>
      </c>
      <c r="F174" s="22">
        <v>1</v>
      </c>
      <c r="G174" s="22">
        <f>wimbledons_champions!G182</f>
        <v>0</v>
      </c>
      <c r="H174" s="25" t="str">
        <f>wimbledons_champions!H182</f>
        <v>6-1, 6-2</v>
      </c>
      <c r="I174" s="25" t="s">
        <v>368</v>
      </c>
      <c r="J174" s="22" t="s">
        <v>28</v>
      </c>
      <c r="K174" s="25" t="s">
        <v>499</v>
      </c>
      <c r="L174" s="22">
        <v>5</v>
      </c>
      <c r="M174" s="18">
        <v>0.8</v>
      </c>
      <c r="N174" s="18"/>
      <c r="O174" s="19" t="s">
        <v>741</v>
      </c>
      <c r="P174" s="19">
        <v>1</v>
      </c>
      <c r="Q174" s="19">
        <v>6</v>
      </c>
      <c r="R174" s="19">
        <v>2</v>
      </c>
      <c r="S174" s="19"/>
      <c r="T174" s="19"/>
      <c r="U174" s="19"/>
      <c r="V174" s="19"/>
      <c r="W174" s="19"/>
      <c r="X174" s="19"/>
      <c r="Y174" s="20">
        <f t="shared" si="9"/>
        <v>12</v>
      </c>
      <c r="Z174" s="20">
        <f t="shared" si="9"/>
        <v>3</v>
      </c>
      <c r="AA174" s="21">
        <f t="shared" si="10"/>
        <v>0.8</v>
      </c>
    </row>
    <row r="175" spans="1:27" x14ac:dyDescent="0.4">
      <c r="A175" s="22">
        <f>wimbledons_champions!A183</f>
        <v>1929</v>
      </c>
      <c r="B175" s="25" t="str">
        <f>wimbledons_champions!B183</f>
        <v>Men's</v>
      </c>
      <c r="C175" s="25" t="s">
        <v>123</v>
      </c>
      <c r="D175" s="22" t="s">
        <v>24</v>
      </c>
      <c r="E175" s="25" t="s">
        <v>501</v>
      </c>
      <c r="F175" s="22">
        <v>1</v>
      </c>
      <c r="G175" s="22">
        <f>wimbledons_champions!G183</f>
        <v>60</v>
      </c>
      <c r="H175" s="25" t="str">
        <f>wimbledons_champions!H183</f>
        <v>6-4, 6-3, 6-4</v>
      </c>
      <c r="I175" s="25" t="s">
        <v>23</v>
      </c>
      <c r="J175" s="22" t="s">
        <v>24</v>
      </c>
      <c r="K175" s="25" t="s">
        <v>501</v>
      </c>
      <c r="L175" s="22">
        <v>2</v>
      </c>
      <c r="M175" s="18">
        <v>0.62068965517241381</v>
      </c>
      <c r="N175" s="18"/>
      <c r="O175" s="19" t="s">
        <v>741</v>
      </c>
      <c r="P175" s="19">
        <v>4</v>
      </c>
      <c r="Q175" s="19">
        <v>6</v>
      </c>
      <c r="R175" s="19">
        <v>3</v>
      </c>
      <c r="S175" s="19">
        <v>6</v>
      </c>
      <c r="T175" s="19">
        <v>4</v>
      </c>
      <c r="U175" s="19"/>
      <c r="V175" s="19"/>
      <c r="W175" s="19"/>
      <c r="X175" s="19"/>
      <c r="Y175" s="20">
        <f t="shared" si="9"/>
        <v>18</v>
      </c>
      <c r="Z175" s="20">
        <f t="shared" si="9"/>
        <v>11</v>
      </c>
      <c r="AA175" s="21">
        <f t="shared" si="10"/>
        <v>0.62068965517241381</v>
      </c>
    </row>
    <row r="176" spans="1:27" x14ac:dyDescent="0.4">
      <c r="A176" s="22">
        <f>wimbledons_champions!A184</f>
        <v>1928</v>
      </c>
      <c r="B176" s="25" t="str">
        <f>wimbledons_champions!B184</f>
        <v>Women's</v>
      </c>
      <c r="C176" s="25" t="s">
        <v>893</v>
      </c>
      <c r="D176" s="22" t="s">
        <v>28</v>
      </c>
      <c r="E176" s="25" t="s">
        <v>499</v>
      </c>
      <c r="F176" s="22">
        <v>1</v>
      </c>
      <c r="G176" s="22">
        <f>wimbledons_champions!G184</f>
        <v>0</v>
      </c>
      <c r="H176" s="25" t="str">
        <f>wimbledons_champions!H184</f>
        <v>6-2, 6-3</v>
      </c>
      <c r="I176" s="25" t="s">
        <v>319</v>
      </c>
      <c r="J176" s="22" t="s">
        <v>135</v>
      </c>
      <c r="K176" s="25" t="s">
        <v>496</v>
      </c>
      <c r="L176" s="22">
        <v>2</v>
      </c>
      <c r="M176" s="18">
        <v>0.70588235294117652</v>
      </c>
      <c r="N176" s="18"/>
      <c r="O176" s="19" t="s">
        <v>741</v>
      </c>
      <c r="P176" s="19">
        <v>2</v>
      </c>
      <c r="Q176" s="19">
        <v>6</v>
      </c>
      <c r="R176" s="19">
        <v>3</v>
      </c>
      <c r="S176" s="19"/>
      <c r="T176" s="19"/>
      <c r="U176" s="19"/>
      <c r="V176" s="19"/>
      <c r="W176" s="19"/>
      <c r="X176" s="19"/>
      <c r="Y176" s="20">
        <f t="shared" si="9"/>
        <v>12</v>
      </c>
      <c r="Z176" s="20">
        <f t="shared" si="9"/>
        <v>5</v>
      </c>
      <c r="AA176" s="21">
        <f t="shared" si="10"/>
        <v>0.70588235294117652</v>
      </c>
    </row>
    <row r="177" spans="1:27" x14ac:dyDescent="0.4">
      <c r="A177" s="22">
        <f>wimbledons_champions!A185</f>
        <v>1928</v>
      </c>
      <c r="B177" s="25" t="str">
        <f>wimbledons_champions!B185</f>
        <v>Men's</v>
      </c>
      <c r="C177" s="25" t="s">
        <v>25</v>
      </c>
      <c r="D177" s="22" t="s">
        <v>24</v>
      </c>
      <c r="E177" s="25" t="s">
        <v>501</v>
      </c>
      <c r="F177" s="22">
        <v>2</v>
      </c>
      <c r="G177" s="22">
        <f>wimbledons_champions!G185</f>
        <v>0</v>
      </c>
      <c r="H177" s="25" t="str">
        <f>wimbledons_champions!H185</f>
        <v>6-1, 4-6, 6-4, 6-2</v>
      </c>
      <c r="I177" s="25" t="s">
        <v>123</v>
      </c>
      <c r="J177" s="22" t="s">
        <v>24</v>
      </c>
      <c r="K177" s="25" t="s">
        <v>501</v>
      </c>
      <c r="L177" s="22">
        <v>1</v>
      </c>
      <c r="M177" s="18">
        <v>0.62857142857142856</v>
      </c>
      <c r="N177" s="18"/>
      <c r="O177" s="19" t="s">
        <v>741</v>
      </c>
      <c r="P177" s="19">
        <v>1</v>
      </c>
      <c r="Q177" s="19">
        <v>4</v>
      </c>
      <c r="R177" s="19">
        <v>6</v>
      </c>
      <c r="S177" s="19">
        <v>6</v>
      </c>
      <c r="T177" s="19">
        <v>4</v>
      </c>
      <c r="U177" s="19">
        <v>6</v>
      </c>
      <c r="V177" s="19">
        <v>2</v>
      </c>
      <c r="W177" s="19"/>
      <c r="X177" s="19"/>
      <c r="Y177" s="20">
        <f t="shared" si="9"/>
        <v>22</v>
      </c>
      <c r="Z177" s="20">
        <f t="shared" si="9"/>
        <v>13</v>
      </c>
      <c r="AA177" s="21">
        <f t="shared" si="10"/>
        <v>0.62857142857142856</v>
      </c>
    </row>
    <row r="178" spans="1:27" x14ac:dyDescent="0.4">
      <c r="A178" s="22">
        <f>wimbledons_champions!A186</f>
        <v>1927</v>
      </c>
      <c r="B178" s="25" t="str">
        <f>wimbledons_champions!B186</f>
        <v>Women's</v>
      </c>
      <c r="C178" s="25" t="s">
        <v>893</v>
      </c>
      <c r="D178" s="22" t="s">
        <v>28</v>
      </c>
      <c r="E178" s="25" t="s">
        <v>499</v>
      </c>
      <c r="F178" s="22">
        <v>1</v>
      </c>
      <c r="G178" s="22">
        <f>wimbledons_champions!G186</f>
        <v>0</v>
      </c>
      <c r="H178" s="25" t="str">
        <f>wimbledons_champions!H186</f>
        <v>6-2, 6-4</v>
      </c>
      <c r="I178" s="25" t="s">
        <v>319</v>
      </c>
      <c r="J178" s="22" t="s">
        <v>135</v>
      </c>
      <c r="K178" s="25" t="s">
        <v>496</v>
      </c>
      <c r="L178" s="22">
        <v>4</v>
      </c>
      <c r="M178" s="18">
        <v>0.66666666666666663</v>
      </c>
      <c r="N178" s="18"/>
      <c r="O178" s="19" t="s">
        <v>741</v>
      </c>
      <c r="P178" s="19">
        <v>2</v>
      </c>
      <c r="Q178" s="19">
        <v>6</v>
      </c>
      <c r="R178" s="19">
        <v>4</v>
      </c>
      <c r="S178" s="19"/>
      <c r="T178" s="19"/>
      <c r="U178" s="19"/>
      <c r="V178" s="19"/>
      <c r="W178" s="19"/>
      <c r="X178" s="19"/>
      <c r="Y178" s="20">
        <f t="shared" si="9"/>
        <v>12</v>
      </c>
      <c r="Z178" s="20">
        <f t="shared" si="9"/>
        <v>6</v>
      </c>
      <c r="AA178" s="21">
        <f t="shared" si="10"/>
        <v>0.66666666666666663</v>
      </c>
    </row>
    <row r="179" spans="1:27" x14ac:dyDescent="0.4">
      <c r="A179" s="22">
        <f>wimbledons_champions!A187</f>
        <v>1927</v>
      </c>
      <c r="B179" s="25" t="str">
        <f>wimbledons_champions!B187</f>
        <v>Men's</v>
      </c>
      <c r="C179" s="25" t="s">
        <v>123</v>
      </c>
      <c r="D179" s="22" t="s">
        <v>24</v>
      </c>
      <c r="E179" s="25" t="s">
        <v>501</v>
      </c>
      <c r="F179" s="22">
        <v>4</v>
      </c>
      <c r="G179" s="22">
        <f>wimbledons_champions!G187</f>
        <v>0</v>
      </c>
      <c r="H179" s="25" t="str">
        <f>wimbledons_champions!H187</f>
        <v>4-6, 4-6, 6-3, 6-4, 7-5</v>
      </c>
      <c r="I179" s="25" t="s">
        <v>23</v>
      </c>
      <c r="J179" s="22" t="s">
        <v>24</v>
      </c>
      <c r="K179" s="25" t="s">
        <v>501</v>
      </c>
      <c r="L179" s="22">
        <v>3</v>
      </c>
      <c r="M179" s="18">
        <v>0.52941176470588236</v>
      </c>
      <c r="N179" s="18"/>
      <c r="O179" s="19" t="s">
        <v>743</v>
      </c>
      <c r="P179" s="19">
        <v>6</v>
      </c>
      <c r="Q179" s="19">
        <v>4</v>
      </c>
      <c r="R179" s="19">
        <v>6</v>
      </c>
      <c r="S179" s="19">
        <v>6</v>
      </c>
      <c r="T179" s="19">
        <v>3</v>
      </c>
      <c r="U179" s="19">
        <v>6</v>
      </c>
      <c r="V179" s="19">
        <v>4</v>
      </c>
      <c r="W179" s="19" t="s">
        <v>742</v>
      </c>
      <c r="X179" s="19">
        <v>5</v>
      </c>
      <c r="Y179" s="20">
        <f t="shared" si="9"/>
        <v>27</v>
      </c>
      <c r="Z179" s="20">
        <f t="shared" si="9"/>
        <v>24</v>
      </c>
      <c r="AA179" s="21">
        <f t="shared" si="10"/>
        <v>0.52941176470588236</v>
      </c>
    </row>
    <row r="180" spans="1:27" x14ac:dyDescent="0.4">
      <c r="A180" s="22">
        <f>wimbledons_champions!A188</f>
        <v>1926</v>
      </c>
      <c r="B180" s="25" t="str">
        <f>wimbledons_champions!B188</f>
        <v>Women's</v>
      </c>
      <c r="C180" s="25" t="s">
        <v>317</v>
      </c>
      <c r="D180" s="22" t="s">
        <v>15</v>
      </c>
      <c r="E180" s="25" t="s">
        <v>498</v>
      </c>
      <c r="G180" s="22">
        <f>wimbledons_champions!G188</f>
        <v>60</v>
      </c>
      <c r="H180" s="25" t="str">
        <f>wimbledons_champions!H188</f>
        <v>6-2, 4-6, 6-3</v>
      </c>
      <c r="I180" s="25" t="s">
        <v>319</v>
      </c>
      <c r="J180" s="22" t="s">
        <v>135</v>
      </c>
      <c r="K180" s="25" t="s">
        <v>496</v>
      </c>
      <c r="M180" s="18">
        <v>0.59259259259259256</v>
      </c>
      <c r="N180" s="18"/>
      <c r="O180" s="19" t="s">
        <v>741</v>
      </c>
      <c r="P180" s="19">
        <v>2</v>
      </c>
      <c r="Q180" s="19">
        <v>4</v>
      </c>
      <c r="R180" s="19">
        <v>6</v>
      </c>
      <c r="S180" s="19">
        <v>6</v>
      </c>
      <c r="T180" s="19">
        <v>3</v>
      </c>
      <c r="U180" s="19"/>
      <c r="V180" s="19"/>
      <c r="W180" s="19"/>
      <c r="X180" s="19"/>
      <c r="Y180" s="20">
        <f t="shared" si="9"/>
        <v>16</v>
      </c>
      <c r="Z180" s="20">
        <f t="shared" si="9"/>
        <v>11</v>
      </c>
      <c r="AA180" s="21">
        <f t="shared" si="10"/>
        <v>0.59259259259259256</v>
      </c>
    </row>
    <row r="181" spans="1:27" x14ac:dyDescent="0.4">
      <c r="A181" s="22">
        <f>wimbledons_champions!A189</f>
        <v>1926</v>
      </c>
      <c r="B181" s="25" t="str">
        <f>wimbledons_champions!B189</f>
        <v>Men's</v>
      </c>
      <c r="C181" s="25" t="s">
        <v>23</v>
      </c>
      <c r="D181" s="22" t="s">
        <v>24</v>
      </c>
      <c r="E181" s="25" t="s">
        <v>501</v>
      </c>
      <c r="G181" s="22">
        <f>wimbledons_champions!G189</f>
        <v>65</v>
      </c>
      <c r="H181" s="25" t="str">
        <f>wimbledons_champions!H189</f>
        <v>8-6, 6-1, 6-3</v>
      </c>
      <c r="I181" s="25" t="s">
        <v>29</v>
      </c>
      <c r="J181" s="22" t="s">
        <v>28</v>
      </c>
      <c r="K181" s="25" t="s">
        <v>499</v>
      </c>
      <c r="M181" s="18">
        <v>0.66666666666666663</v>
      </c>
      <c r="N181" s="18"/>
      <c r="O181" s="19" t="s">
        <v>750</v>
      </c>
      <c r="P181" s="19">
        <v>6</v>
      </c>
      <c r="Q181" s="19">
        <v>6</v>
      </c>
      <c r="R181" s="19">
        <v>1</v>
      </c>
      <c r="S181" s="19">
        <v>6</v>
      </c>
      <c r="T181" s="19">
        <v>3</v>
      </c>
      <c r="U181" s="19"/>
      <c r="V181" s="19"/>
      <c r="W181" s="19"/>
      <c r="X181" s="19"/>
      <c r="Y181" s="20">
        <f t="shared" si="9"/>
        <v>20</v>
      </c>
      <c r="Z181" s="20">
        <f t="shared" si="9"/>
        <v>10</v>
      </c>
      <c r="AA181" s="21">
        <f t="shared" si="10"/>
        <v>0.66666666666666663</v>
      </c>
    </row>
    <row r="182" spans="1:27" x14ac:dyDescent="0.4">
      <c r="A182" s="22">
        <f>wimbledons_champions!A190</f>
        <v>1925</v>
      </c>
      <c r="B182" s="25" t="str">
        <f>wimbledons_champions!B190</f>
        <v>Women's</v>
      </c>
      <c r="C182" s="25" t="s">
        <v>301</v>
      </c>
      <c r="D182" s="22" t="s">
        <v>24</v>
      </c>
      <c r="E182" s="25" t="s">
        <v>501</v>
      </c>
      <c r="G182" s="22">
        <f>wimbledons_champions!G190</f>
        <v>25</v>
      </c>
      <c r="H182" s="25" t="str">
        <f>wimbledons_champions!H190</f>
        <v>6-2, 6-0</v>
      </c>
      <c r="I182" s="25" t="s">
        <v>303</v>
      </c>
      <c r="J182" s="22" t="s">
        <v>15</v>
      </c>
      <c r="K182" s="25" t="s">
        <v>498</v>
      </c>
      <c r="M182" s="18">
        <v>0.8571428571428571</v>
      </c>
      <c r="N182" s="18"/>
      <c r="O182" s="19" t="s">
        <v>741</v>
      </c>
      <c r="P182" s="19">
        <v>2</v>
      </c>
      <c r="Q182" s="19">
        <v>6</v>
      </c>
      <c r="R182" s="19">
        <v>0</v>
      </c>
      <c r="S182" s="19"/>
      <c r="T182" s="19"/>
      <c r="U182" s="19"/>
      <c r="V182" s="19"/>
      <c r="W182" s="19"/>
      <c r="X182" s="19"/>
      <c r="Y182" s="20">
        <f t="shared" si="9"/>
        <v>12</v>
      </c>
      <c r="Z182" s="20">
        <f t="shared" si="9"/>
        <v>2</v>
      </c>
      <c r="AA182" s="21">
        <f t="shared" si="10"/>
        <v>0.8571428571428571</v>
      </c>
    </row>
    <row r="183" spans="1:27" x14ac:dyDescent="0.4">
      <c r="A183" s="22">
        <f>wimbledons_champions!A191</f>
        <v>1925</v>
      </c>
      <c r="B183" s="25" t="str">
        <f>wimbledons_champions!B191</f>
        <v>Men's</v>
      </c>
      <c r="C183" s="25" t="s">
        <v>25</v>
      </c>
      <c r="D183" s="22" t="s">
        <v>24</v>
      </c>
      <c r="E183" s="25" t="s">
        <v>501</v>
      </c>
      <c r="G183" s="22">
        <f>wimbledons_champions!G191</f>
        <v>0</v>
      </c>
      <c r="H183" s="25" t="str">
        <f>wimbledons_champions!H191</f>
        <v>6-3, 6-3, 4-6, 8-6</v>
      </c>
      <c r="I183" s="25" t="s">
        <v>23</v>
      </c>
      <c r="J183" s="22" t="s">
        <v>24</v>
      </c>
      <c r="K183" s="25" t="s">
        <v>501</v>
      </c>
      <c r="M183" s="18">
        <v>0.5714285714285714</v>
      </c>
      <c r="N183" s="18"/>
      <c r="O183" s="19" t="s">
        <v>741</v>
      </c>
      <c r="P183" s="19">
        <v>3</v>
      </c>
      <c r="Q183" s="19">
        <v>6</v>
      </c>
      <c r="R183" s="19">
        <v>3</v>
      </c>
      <c r="S183" s="19">
        <v>4</v>
      </c>
      <c r="T183" s="19">
        <v>6</v>
      </c>
      <c r="U183" s="19">
        <v>8</v>
      </c>
      <c r="V183" s="19">
        <v>6</v>
      </c>
      <c r="W183" s="19"/>
      <c r="X183" s="19"/>
      <c r="Y183" s="20">
        <f t="shared" si="9"/>
        <v>24</v>
      </c>
      <c r="Z183" s="20">
        <f t="shared" si="9"/>
        <v>18</v>
      </c>
      <c r="AA183" s="21">
        <f t="shared" si="10"/>
        <v>0.5714285714285714</v>
      </c>
    </row>
    <row r="184" spans="1:27" x14ac:dyDescent="0.4">
      <c r="A184" s="22">
        <f>wimbledons_champions!A192</f>
        <v>1924</v>
      </c>
      <c r="B184" s="25" t="str">
        <f>wimbledons_champions!B192</f>
        <v>Women's</v>
      </c>
      <c r="C184" s="25" t="s">
        <v>305</v>
      </c>
      <c r="D184" s="22" t="s">
        <v>15</v>
      </c>
      <c r="E184" s="25" t="s">
        <v>498</v>
      </c>
      <c r="G184" s="22">
        <f>wimbledons_champions!G192</f>
        <v>75</v>
      </c>
      <c r="H184" s="25" t="str">
        <f>wimbledons_champions!H192</f>
        <v>4-6, 6-4, 6-4</v>
      </c>
      <c r="I184" s="25" t="s">
        <v>893</v>
      </c>
      <c r="J184" s="22" t="s">
        <v>28</v>
      </c>
      <c r="K184" s="25" t="s">
        <v>499</v>
      </c>
      <c r="M184" s="18">
        <v>0.53333333333333333</v>
      </c>
      <c r="N184" s="18"/>
      <c r="O184" s="19" t="s">
        <v>743</v>
      </c>
      <c r="P184" s="19">
        <v>6</v>
      </c>
      <c r="Q184" s="19">
        <v>6</v>
      </c>
      <c r="R184" s="19">
        <v>4</v>
      </c>
      <c r="S184" s="19">
        <v>6</v>
      </c>
      <c r="T184" s="19">
        <v>4</v>
      </c>
      <c r="U184" s="19"/>
      <c r="V184" s="19"/>
      <c r="W184" s="19"/>
      <c r="X184" s="19"/>
      <c r="Y184" s="20">
        <f t="shared" si="9"/>
        <v>16</v>
      </c>
      <c r="Z184" s="20">
        <f t="shared" si="9"/>
        <v>14</v>
      </c>
      <c r="AA184" s="21">
        <f t="shared" si="10"/>
        <v>0.53333333333333333</v>
      </c>
    </row>
    <row r="185" spans="1:27" x14ac:dyDescent="0.4">
      <c r="A185" s="22">
        <f>wimbledons_champions!A193</f>
        <v>1924</v>
      </c>
      <c r="B185" s="25" t="str">
        <f>wimbledons_champions!B193</f>
        <v>Men's</v>
      </c>
      <c r="C185" s="25" t="s">
        <v>23</v>
      </c>
      <c r="D185" s="22" t="s">
        <v>24</v>
      </c>
      <c r="E185" s="25" t="s">
        <v>501</v>
      </c>
      <c r="G185" s="22">
        <f>wimbledons_champions!G193</f>
        <v>80</v>
      </c>
      <c r="H185" s="25" t="str">
        <f>wimbledons_champions!H193</f>
        <v>6-1, 3-6, 6-1, 3-6, 6-4</v>
      </c>
      <c r="I185" s="25" t="s">
        <v>25</v>
      </c>
      <c r="J185" s="22" t="s">
        <v>24</v>
      </c>
      <c r="K185" s="25" t="s">
        <v>501</v>
      </c>
      <c r="M185" s="18">
        <v>0.5714285714285714</v>
      </c>
      <c r="N185" s="18"/>
      <c r="O185" s="19" t="s">
        <v>741</v>
      </c>
      <c r="P185" s="19">
        <v>1</v>
      </c>
      <c r="Q185" s="19">
        <v>3</v>
      </c>
      <c r="R185" s="19">
        <v>6</v>
      </c>
      <c r="S185" s="19">
        <v>6</v>
      </c>
      <c r="T185" s="19">
        <v>1</v>
      </c>
      <c r="U185" s="19">
        <v>3</v>
      </c>
      <c r="V185" s="19">
        <v>6</v>
      </c>
      <c r="W185" s="19" t="s">
        <v>741</v>
      </c>
      <c r="X185" s="19">
        <v>4</v>
      </c>
      <c r="Y185" s="20">
        <f t="shared" si="9"/>
        <v>24</v>
      </c>
      <c r="Z185" s="20">
        <f t="shared" si="9"/>
        <v>18</v>
      </c>
      <c r="AA185" s="21">
        <f t="shared" si="10"/>
        <v>0.5714285714285714</v>
      </c>
    </row>
    <row r="186" spans="1:27" x14ac:dyDescent="0.4">
      <c r="A186" s="22">
        <f>wimbledons_champions!A194</f>
        <v>1923</v>
      </c>
      <c r="B186" s="25" t="str">
        <f>wimbledons_champions!B194</f>
        <v>Women's</v>
      </c>
      <c r="C186" s="25" t="s">
        <v>301</v>
      </c>
      <c r="D186" s="22" t="s">
        <v>24</v>
      </c>
      <c r="E186" s="25" t="s">
        <v>501</v>
      </c>
      <c r="G186" s="22">
        <f>wimbledons_champions!G194</f>
        <v>0</v>
      </c>
      <c r="H186" s="25" t="str">
        <f>wimbledons_champions!H194</f>
        <v>6-2, 6-2</v>
      </c>
      <c r="I186" s="25" t="s">
        <v>305</v>
      </c>
      <c r="J186" s="22" t="s">
        <v>15</v>
      </c>
      <c r="K186" s="25" t="s">
        <v>498</v>
      </c>
      <c r="M186" s="18">
        <v>0.75</v>
      </c>
      <c r="N186" s="18"/>
      <c r="O186" s="19" t="s">
        <v>741</v>
      </c>
      <c r="P186" s="19">
        <v>2</v>
      </c>
      <c r="Q186" s="19">
        <v>6</v>
      </c>
      <c r="R186" s="19">
        <v>2</v>
      </c>
      <c r="S186" s="19"/>
      <c r="T186" s="19"/>
      <c r="U186" s="19"/>
      <c r="V186" s="19"/>
      <c r="W186" s="19"/>
      <c r="X186" s="19"/>
      <c r="Y186" s="20">
        <f t="shared" si="9"/>
        <v>12</v>
      </c>
      <c r="Z186" s="20">
        <f t="shared" si="9"/>
        <v>4</v>
      </c>
      <c r="AA186" s="21">
        <f t="shared" si="10"/>
        <v>0.75</v>
      </c>
    </row>
    <row r="187" spans="1:27" x14ac:dyDescent="0.4">
      <c r="A187" s="22">
        <f>wimbledons_champions!A195</f>
        <v>1923</v>
      </c>
      <c r="B187" s="25" t="str">
        <f>wimbledons_champions!B195</f>
        <v>Men's</v>
      </c>
      <c r="C187" s="25" t="s">
        <v>93</v>
      </c>
      <c r="D187" s="22" t="s">
        <v>28</v>
      </c>
      <c r="E187" s="25" t="s">
        <v>499</v>
      </c>
      <c r="G187" s="22">
        <f>wimbledons_champions!G195</f>
        <v>46</v>
      </c>
      <c r="H187" s="25" t="str">
        <f>wimbledons_champions!H195</f>
        <v>6-0, 6-3, 6-1</v>
      </c>
      <c r="I187" s="25" t="s">
        <v>94</v>
      </c>
      <c r="J187" s="22" t="s">
        <v>28</v>
      </c>
      <c r="K187" s="25" t="s">
        <v>499</v>
      </c>
      <c r="M187" s="18">
        <v>0.81818181818181823</v>
      </c>
      <c r="N187" s="18"/>
      <c r="O187" s="19" t="s">
        <v>741</v>
      </c>
      <c r="P187" s="19">
        <v>0</v>
      </c>
      <c r="Q187" s="19">
        <v>6</v>
      </c>
      <c r="R187" s="19">
        <v>3</v>
      </c>
      <c r="S187" s="19">
        <v>6</v>
      </c>
      <c r="T187" s="19">
        <v>1</v>
      </c>
      <c r="U187" s="19"/>
      <c r="V187" s="19"/>
      <c r="W187" s="19"/>
      <c r="X187" s="19"/>
      <c r="Y187" s="20">
        <f t="shared" si="9"/>
        <v>18</v>
      </c>
      <c r="Z187" s="20">
        <f t="shared" si="9"/>
        <v>4</v>
      </c>
      <c r="AA187" s="21">
        <f t="shared" si="10"/>
        <v>0.81818181818181823</v>
      </c>
    </row>
    <row r="188" spans="1:27" x14ac:dyDescent="0.4">
      <c r="A188" s="22">
        <f>wimbledons_champions!A196</f>
        <v>1922</v>
      </c>
      <c r="B188" s="25" t="str">
        <f>wimbledons_champions!B196</f>
        <v>Women's</v>
      </c>
      <c r="C188" s="25" t="s">
        <v>301</v>
      </c>
      <c r="D188" s="22" t="s">
        <v>24</v>
      </c>
      <c r="E188" s="25" t="s">
        <v>501</v>
      </c>
      <c r="G188" s="22">
        <f>wimbledons_champions!G196</f>
        <v>23</v>
      </c>
      <c r="H188" s="25" t="str">
        <f>wimbledons_champions!H196</f>
        <v>6-2, 6-0</v>
      </c>
      <c r="I188" s="25" t="s">
        <v>309</v>
      </c>
      <c r="J188" s="22" t="s">
        <v>28</v>
      </c>
      <c r="K188" s="25" t="s">
        <v>499</v>
      </c>
      <c r="M188" s="18">
        <v>0.8571428571428571</v>
      </c>
      <c r="N188" s="18"/>
      <c r="O188" s="19" t="s">
        <v>741</v>
      </c>
      <c r="P188" s="19">
        <v>2</v>
      </c>
      <c r="Q188" s="19">
        <v>6</v>
      </c>
      <c r="R188" s="19">
        <v>0</v>
      </c>
      <c r="S188" s="19"/>
      <c r="T188" s="19"/>
      <c r="U188" s="19"/>
      <c r="V188" s="19"/>
      <c r="W188" s="19"/>
      <c r="X188" s="19"/>
      <c r="Y188" s="20">
        <f t="shared" si="9"/>
        <v>12</v>
      </c>
      <c r="Z188" s="20">
        <f t="shared" si="9"/>
        <v>2</v>
      </c>
      <c r="AA188" s="21">
        <f t="shared" si="10"/>
        <v>0.8571428571428571</v>
      </c>
    </row>
    <row r="189" spans="1:27" x14ac:dyDescent="0.4">
      <c r="A189" s="22">
        <f>wimbledons_champions!A197</f>
        <v>1922</v>
      </c>
      <c r="B189" s="25" t="str">
        <f>wimbledons_champions!B197</f>
        <v>Men's</v>
      </c>
      <c r="C189" s="25" t="s">
        <v>11</v>
      </c>
      <c r="D189" s="22" t="s">
        <v>12</v>
      </c>
      <c r="E189" s="25" t="s">
        <v>503</v>
      </c>
      <c r="G189" s="22">
        <f>wimbledons_champions!G197</f>
        <v>0</v>
      </c>
      <c r="H189" s="25" t="str">
        <f>wimbledons_champions!H197</f>
        <v>6-3, 6-4, 6-2</v>
      </c>
      <c r="I189" s="25" t="s">
        <v>16</v>
      </c>
      <c r="J189" s="22" t="s">
        <v>15</v>
      </c>
      <c r="K189" s="25" t="s">
        <v>498</v>
      </c>
      <c r="M189" s="18">
        <v>0.66666666666666663</v>
      </c>
      <c r="N189" s="18"/>
      <c r="O189" s="19" t="s">
        <v>741</v>
      </c>
      <c r="P189" s="19">
        <v>3</v>
      </c>
      <c r="Q189" s="19">
        <v>6</v>
      </c>
      <c r="R189" s="19">
        <v>4</v>
      </c>
      <c r="S189" s="19">
        <v>6</v>
      </c>
      <c r="T189" s="19">
        <v>2</v>
      </c>
      <c r="U189" s="19"/>
      <c r="V189" s="19"/>
      <c r="W189" s="19"/>
      <c r="X189" s="19"/>
      <c r="Y189" s="20">
        <f t="shared" si="9"/>
        <v>18</v>
      </c>
      <c r="Z189" s="20">
        <f t="shared" si="9"/>
        <v>9</v>
      </c>
      <c r="AA189" s="21">
        <f t="shared" si="10"/>
        <v>0.66666666666666663</v>
      </c>
    </row>
    <row r="190" spans="1:27" x14ac:dyDescent="0.4">
      <c r="A190" s="22">
        <f>wimbledons_champions!A198</f>
        <v>1921</v>
      </c>
      <c r="B190" s="25" t="str">
        <f>wimbledons_champions!B198</f>
        <v>Women's</v>
      </c>
      <c r="C190" s="25" t="s">
        <v>301</v>
      </c>
      <c r="D190" s="22" t="s">
        <v>24</v>
      </c>
      <c r="E190" s="25" t="s">
        <v>501</v>
      </c>
      <c r="G190" s="22">
        <f>wimbledons_champions!G198</f>
        <v>0</v>
      </c>
      <c r="H190" s="25" t="str">
        <f>wimbledons_champions!H198</f>
        <v>6-2, 6-0</v>
      </c>
      <c r="I190" s="25" t="s">
        <v>308</v>
      </c>
      <c r="J190" s="22" t="s">
        <v>28</v>
      </c>
      <c r="K190" s="25" t="s">
        <v>499</v>
      </c>
      <c r="M190" s="18">
        <v>0.8571428571428571</v>
      </c>
      <c r="N190" s="18"/>
      <c r="O190" s="19" t="s">
        <v>741</v>
      </c>
      <c r="P190" s="19">
        <v>2</v>
      </c>
      <c r="Q190" s="19">
        <v>6</v>
      </c>
      <c r="R190" s="19">
        <v>0</v>
      </c>
      <c r="S190" s="19"/>
      <c r="T190" s="19"/>
      <c r="U190" s="19"/>
      <c r="V190" s="19"/>
      <c r="W190" s="19"/>
      <c r="X190" s="19"/>
      <c r="Y190" s="20">
        <f t="shared" si="9"/>
        <v>12</v>
      </c>
      <c r="Z190" s="20">
        <f t="shared" si="9"/>
        <v>2</v>
      </c>
      <c r="AA190" s="21">
        <f t="shared" si="10"/>
        <v>0.8571428571428571</v>
      </c>
    </row>
    <row r="191" spans="1:27" x14ac:dyDescent="0.4">
      <c r="A191" s="22">
        <f>wimbledons_champions!A199</f>
        <v>1921</v>
      </c>
      <c r="B191" s="25" t="str">
        <f>wimbledons_champions!B199</f>
        <v>Men's</v>
      </c>
      <c r="C191" s="25" t="s">
        <v>88</v>
      </c>
      <c r="D191" s="22" t="s">
        <v>28</v>
      </c>
      <c r="E191" s="25" t="s">
        <v>499</v>
      </c>
      <c r="G191" s="22">
        <f>wimbledons_champions!G199</f>
        <v>0</v>
      </c>
      <c r="H191" s="25" t="str">
        <f>wimbledons_champions!H199</f>
        <v>4-6, 2-6, 6-1, 6-0, 7-5</v>
      </c>
      <c r="I191" s="25" t="s">
        <v>91</v>
      </c>
      <c r="J191" s="22" t="s">
        <v>90</v>
      </c>
      <c r="K191" s="25" t="s">
        <v>509</v>
      </c>
      <c r="M191" s="18">
        <v>0.58139534883720934</v>
      </c>
      <c r="N191" s="18"/>
      <c r="O191" s="19" t="s">
        <v>743</v>
      </c>
      <c r="P191" s="19">
        <v>6</v>
      </c>
      <c r="Q191" s="19">
        <v>2</v>
      </c>
      <c r="R191" s="19">
        <v>6</v>
      </c>
      <c r="S191" s="19">
        <v>6</v>
      </c>
      <c r="T191" s="19">
        <v>1</v>
      </c>
      <c r="U191" s="19">
        <v>6</v>
      </c>
      <c r="V191" s="19">
        <v>0</v>
      </c>
      <c r="W191" s="19" t="s">
        <v>742</v>
      </c>
      <c r="X191" s="19">
        <v>5</v>
      </c>
      <c r="Y191" s="20">
        <f t="shared" si="9"/>
        <v>25</v>
      </c>
      <c r="Z191" s="20">
        <f t="shared" si="9"/>
        <v>18</v>
      </c>
      <c r="AA191" s="21">
        <f t="shared" si="10"/>
        <v>0.58139534883720934</v>
      </c>
    </row>
    <row r="192" spans="1:27" x14ac:dyDescent="0.4">
      <c r="A192" s="22">
        <f>wimbledons_champions!A200</f>
        <v>1920</v>
      </c>
      <c r="B192" s="25" t="str">
        <f>wimbledons_champions!B200</f>
        <v>Women's</v>
      </c>
      <c r="C192" s="25" t="s">
        <v>301</v>
      </c>
      <c r="D192" s="22" t="s">
        <v>24</v>
      </c>
      <c r="E192" s="25" t="s">
        <v>501</v>
      </c>
      <c r="G192" s="22">
        <f>wimbledons_champions!G200</f>
        <v>0</v>
      </c>
      <c r="H192" s="25" t="str">
        <f>wimbledons_champions!H200</f>
        <v>6-3, 6-0</v>
      </c>
      <c r="I192" s="25" t="s">
        <v>894</v>
      </c>
      <c r="J192" s="22" t="s">
        <v>15</v>
      </c>
      <c r="K192" s="25" t="s">
        <v>498</v>
      </c>
      <c r="M192" s="18">
        <v>0.8</v>
      </c>
      <c r="N192" s="18"/>
      <c r="O192" s="19" t="s">
        <v>741</v>
      </c>
      <c r="P192" s="19">
        <v>3</v>
      </c>
      <c r="Q192" s="19">
        <v>6</v>
      </c>
      <c r="R192" s="19">
        <v>0</v>
      </c>
      <c r="S192" s="19"/>
      <c r="T192" s="19"/>
      <c r="U192" s="19"/>
      <c r="V192" s="19"/>
      <c r="W192" s="19"/>
      <c r="X192" s="19"/>
      <c r="Y192" s="20">
        <f t="shared" si="9"/>
        <v>12</v>
      </c>
      <c r="Z192" s="20">
        <f t="shared" si="9"/>
        <v>3</v>
      </c>
      <c r="AA192" s="21">
        <f t="shared" si="10"/>
        <v>0.8</v>
      </c>
    </row>
    <row r="193" spans="1:27" x14ac:dyDescent="0.4">
      <c r="A193" s="22">
        <f>wimbledons_champions!A201</f>
        <v>1920</v>
      </c>
      <c r="B193" s="25" t="str">
        <f>wimbledons_champions!B201</f>
        <v>Men's</v>
      </c>
      <c r="C193" s="25" t="s">
        <v>88</v>
      </c>
      <c r="D193" s="22" t="s">
        <v>28</v>
      </c>
      <c r="E193" s="25" t="s">
        <v>499</v>
      </c>
      <c r="G193" s="22">
        <f>wimbledons_champions!G201</f>
        <v>0</v>
      </c>
      <c r="H193" s="25" t="str">
        <f>wimbledons_champions!H201</f>
        <v>2-6, 6-3, 6-2, 6-4</v>
      </c>
      <c r="I193" s="25" t="s">
        <v>11</v>
      </c>
      <c r="J193" s="22" t="s">
        <v>12</v>
      </c>
      <c r="K193" s="25" t="s">
        <v>503</v>
      </c>
      <c r="M193" s="18">
        <v>0.5714285714285714</v>
      </c>
      <c r="N193" s="18"/>
      <c r="O193" s="19" t="s">
        <v>747</v>
      </c>
      <c r="P193" s="19">
        <v>6</v>
      </c>
      <c r="Q193" s="19">
        <v>6</v>
      </c>
      <c r="R193" s="19">
        <v>3</v>
      </c>
      <c r="S193" s="19">
        <v>6</v>
      </c>
      <c r="T193" s="19">
        <v>2</v>
      </c>
      <c r="U193" s="19">
        <v>6</v>
      </c>
      <c r="V193" s="19">
        <v>4</v>
      </c>
      <c r="W193" s="19"/>
      <c r="X193" s="19"/>
      <c r="Y193" s="20">
        <f t="shared" si="9"/>
        <v>20</v>
      </c>
      <c r="Z193" s="20">
        <f t="shared" si="9"/>
        <v>15</v>
      </c>
      <c r="AA193" s="21">
        <f t="shared" si="10"/>
        <v>0.5714285714285714</v>
      </c>
    </row>
    <row r="194" spans="1:27" x14ac:dyDescent="0.4">
      <c r="A194" s="22">
        <f>wimbledons_champions!A202</f>
        <v>1919</v>
      </c>
      <c r="B194" s="25" t="str">
        <f>wimbledons_champions!B202</f>
        <v>Women's</v>
      </c>
      <c r="C194" s="25" t="s">
        <v>301</v>
      </c>
      <c r="D194" s="22" t="s">
        <v>24</v>
      </c>
      <c r="E194" s="25" t="s">
        <v>501</v>
      </c>
      <c r="G194" s="22">
        <f>wimbledons_champions!G202</f>
        <v>125</v>
      </c>
      <c r="H194" s="25" t="str">
        <f>wimbledons_champions!H202</f>
        <v>10-8, 4-6, 9-7</v>
      </c>
      <c r="I194" s="25" t="s">
        <v>894</v>
      </c>
      <c r="J194" s="22" t="s">
        <v>15</v>
      </c>
      <c r="K194" s="25" t="s">
        <v>498</v>
      </c>
      <c r="M194" s="18">
        <v>0.52272727272727271</v>
      </c>
      <c r="N194" s="18"/>
      <c r="O194" s="19" t="s">
        <v>753</v>
      </c>
      <c r="P194" s="19">
        <v>8</v>
      </c>
      <c r="Q194" s="19">
        <v>4</v>
      </c>
      <c r="R194" s="19">
        <v>6</v>
      </c>
      <c r="S194" s="19">
        <v>9</v>
      </c>
      <c r="T194" s="19">
        <v>7</v>
      </c>
      <c r="U194" s="19"/>
      <c r="V194" s="19"/>
      <c r="W194" s="19"/>
      <c r="X194" s="19"/>
      <c r="Y194" s="20">
        <f t="shared" si="9"/>
        <v>23</v>
      </c>
      <c r="Z194" s="20">
        <f t="shared" si="9"/>
        <v>21</v>
      </c>
      <c r="AA194" s="21">
        <f t="shared" si="10"/>
        <v>0.52272727272727271</v>
      </c>
    </row>
    <row r="195" spans="1:27" x14ac:dyDescent="0.4">
      <c r="A195" s="22">
        <f>wimbledons_champions!A203</f>
        <v>1919</v>
      </c>
      <c r="B195" s="25" t="str">
        <f>wimbledons_champions!B203</f>
        <v>Men's</v>
      </c>
      <c r="C195" s="25" t="s">
        <v>11</v>
      </c>
      <c r="D195" s="22" t="s">
        <v>12</v>
      </c>
      <c r="E195" s="25" t="s">
        <v>503</v>
      </c>
      <c r="G195" s="22">
        <f>wimbledons_champions!G203</f>
        <v>0</v>
      </c>
      <c r="H195" s="25" t="str">
        <f>wimbledons_champions!H203</f>
        <v>6-3, 7-5, 6-2</v>
      </c>
      <c r="I195" s="25" t="s">
        <v>13</v>
      </c>
      <c r="J195" s="22" t="s">
        <v>12</v>
      </c>
      <c r="K195" s="25" t="s">
        <v>503</v>
      </c>
      <c r="M195" s="18">
        <v>0.65517241379310343</v>
      </c>
      <c r="N195" s="18"/>
      <c r="O195" s="19" t="s">
        <v>741</v>
      </c>
      <c r="P195" s="19">
        <v>3</v>
      </c>
      <c r="Q195" s="19">
        <v>7</v>
      </c>
      <c r="R195" s="19">
        <v>5</v>
      </c>
      <c r="S195" s="19">
        <v>6</v>
      </c>
      <c r="T195" s="19">
        <v>2</v>
      </c>
      <c r="U195" s="19"/>
      <c r="V195" s="19"/>
      <c r="W195" s="19"/>
      <c r="X195" s="19"/>
      <c r="Y195" s="20">
        <f t="shared" si="9"/>
        <v>19</v>
      </c>
      <c r="Z195" s="20">
        <f t="shared" si="9"/>
        <v>10</v>
      </c>
      <c r="AA195" s="21">
        <f t="shared" si="10"/>
        <v>0.65517241379310343</v>
      </c>
    </row>
    <row r="196" spans="1:27" x14ac:dyDescent="0.4">
      <c r="A196" s="22">
        <f>wimbledons_champions!A204</f>
        <v>1914</v>
      </c>
      <c r="B196" s="25" t="str">
        <f>wimbledons_champions!B204</f>
        <v>Women's</v>
      </c>
      <c r="C196" s="25" t="s">
        <v>894</v>
      </c>
      <c r="D196" s="22" t="s">
        <v>15</v>
      </c>
      <c r="E196" s="25" t="s">
        <v>498</v>
      </c>
      <c r="G196" s="22">
        <f>wimbledons_champions!G204</f>
        <v>0</v>
      </c>
      <c r="H196" s="25" t="str">
        <f>wimbledons_champions!H204</f>
        <v>7-5, 6-4</v>
      </c>
      <c r="I196" s="25" t="s">
        <v>341</v>
      </c>
      <c r="J196" s="22" t="s">
        <v>15</v>
      </c>
      <c r="K196" s="25" t="s">
        <v>498</v>
      </c>
      <c r="M196" s="18">
        <v>0.59090909090909094</v>
      </c>
      <c r="N196" s="18"/>
      <c r="O196" s="19" t="s">
        <v>742</v>
      </c>
      <c r="P196" s="19">
        <v>5</v>
      </c>
      <c r="Q196" s="19">
        <v>6</v>
      </c>
      <c r="R196" s="19">
        <v>4</v>
      </c>
      <c r="S196" s="19"/>
      <c r="T196" s="19"/>
      <c r="U196" s="19"/>
      <c r="V196" s="19"/>
      <c r="W196" s="19"/>
      <c r="X196" s="19"/>
      <c r="Y196" s="20">
        <f t="shared" si="9"/>
        <v>13</v>
      </c>
      <c r="Z196" s="20">
        <f t="shared" si="9"/>
        <v>9</v>
      </c>
      <c r="AA196" s="21">
        <f t="shared" si="10"/>
        <v>0.59090909090909094</v>
      </c>
    </row>
    <row r="197" spans="1:27" x14ac:dyDescent="0.4">
      <c r="A197" s="22">
        <f>wimbledons_champions!A205</f>
        <v>1914</v>
      </c>
      <c r="B197" s="25" t="str">
        <f>wimbledons_champions!B205</f>
        <v>Men's</v>
      </c>
      <c r="C197" s="25" t="s">
        <v>13</v>
      </c>
      <c r="D197" s="22" t="s">
        <v>12</v>
      </c>
      <c r="E197" s="25" t="s">
        <v>503</v>
      </c>
      <c r="G197" s="22">
        <f>wimbledons_champions!G205</f>
        <v>0</v>
      </c>
      <c r="H197" s="25" t="str">
        <f>wimbledons_champions!H205</f>
        <v>6-4, 6-4, 7-5</v>
      </c>
      <c r="I197" s="25" t="s">
        <v>21</v>
      </c>
      <c r="J197" s="22" t="s">
        <v>20</v>
      </c>
      <c r="K197" s="25" t="s">
        <v>508</v>
      </c>
      <c r="M197" s="18">
        <v>0.59375</v>
      </c>
      <c r="N197" s="18"/>
      <c r="O197" s="19" t="s">
        <v>741</v>
      </c>
      <c r="P197" s="19">
        <v>4</v>
      </c>
      <c r="Q197" s="19">
        <v>6</v>
      </c>
      <c r="R197" s="19">
        <v>4</v>
      </c>
      <c r="S197" s="19">
        <v>7</v>
      </c>
      <c r="T197" s="19">
        <v>5</v>
      </c>
      <c r="U197" s="19"/>
      <c r="V197" s="19"/>
      <c r="W197" s="19"/>
      <c r="X197" s="19"/>
      <c r="Y197" s="20">
        <f t="shared" si="9"/>
        <v>19</v>
      </c>
      <c r="Z197" s="20">
        <f t="shared" si="9"/>
        <v>13</v>
      </c>
      <c r="AA197" s="21">
        <f t="shared" si="10"/>
        <v>0.59375</v>
      </c>
    </row>
    <row r="198" spans="1:27" x14ac:dyDescent="0.4">
      <c r="A198" s="22">
        <f>wimbledons_champions!A206</f>
        <v>1913</v>
      </c>
      <c r="B198" s="25" t="str">
        <f>wimbledons_champions!B206</f>
        <v>Women's</v>
      </c>
      <c r="C198" s="25" t="s">
        <v>894</v>
      </c>
      <c r="D198" s="22" t="s">
        <v>15</v>
      </c>
      <c r="E198" s="25" t="s">
        <v>498</v>
      </c>
      <c r="G198" s="22">
        <f>wimbledons_champions!G206</f>
        <v>0</v>
      </c>
      <c r="H198" s="25" t="str">
        <f>wimbledons_champions!H206</f>
        <v>6-0, 6-4</v>
      </c>
      <c r="I198" s="25" t="s">
        <v>362</v>
      </c>
      <c r="J198" s="22" t="s">
        <v>15</v>
      </c>
      <c r="K198" s="25" t="s">
        <v>498</v>
      </c>
      <c r="M198" s="18">
        <v>0.75</v>
      </c>
      <c r="N198" s="18"/>
      <c r="O198" s="19" t="s">
        <v>741</v>
      </c>
      <c r="P198" s="19">
        <v>0</v>
      </c>
      <c r="Q198" s="19">
        <v>6</v>
      </c>
      <c r="R198" s="19">
        <v>4</v>
      </c>
      <c r="S198" s="19"/>
      <c r="T198" s="19"/>
      <c r="U198" s="19"/>
      <c r="V198" s="19"/>
      <c r="W198" s="19"/>
      <c r="X198" s="19"/>
      <c r="Y198" s="20">
        <f t="shared" si="9"/>
        <v>12</v>
      </c>
      <c r="Z198" s="20">
        <f t="shared" si="9"/>
        <v>4</v>
      </c>
      <c r="AA198" s="21">
        <f t="shared" si="10"/>
        <v>0.75</v>
      </c>
    </row>
    <row r="199" spans="1:27" x14ac:dyDescent="0.4">
      <c r="A199" s="22">
        <f>wimbledons_champions!A207</f>
        <v>1913</v>
      </c>
      <c r="B199" s="25" t="str">
        <f>wimbledons_champions!B207</f>
        <v>Men's</v>
      </c>
      <c r="C199" s="25" t="s">
        <v>21</v>
      </c>
      <c r="D199" s="22" t="s">
        <v>20</v>
      </c>
      <c r="E199" s="25" t="s">
        <v>508</v>
      </c>
      <c r="G199" s="22">
        <f>wimbledons_champions!G207</f>
        <v>0</v>
      </c>
      <c r="H199" s="25" t="str">
        <f>wimbledons_champions!H207</f>
        <v>8-6, 6-3, 10-8</v>
      </c>
      <c r="I199" s="25" t="s">
        <v>86</v>
      </c>
      <c r="J199" s="22" t="s">
        <v>28</v>
      </c>
      <c r="K199" s="25" t="s">
        <v>499</v>
      </c>
      <c r="M199" s="18">
        <v>0.58536585365853655</v>
      </c>
      <c r="N199" s="18"/>
      <c r="O199" s="19" t="s">
        <v>750</v>
      </c>
      <c r="P199" s="19">
        <v>6</v>
      </c>
      <c r="Q199" s="19">
        <v>6</v>
      </c>
      <c r="R199" s="19">
        <v>3</v>
      </c>
      <c r="S199" s="19">
        <v>10</v>
      </c>
      <c r="T199" s="19">
        <v>8</v>
      </c>
      <c r="U199" s="19"/>
      <c r="V199" s="19"/>
      <c r="W199" s="19"/>
      <c r="X199" s="19"/>
      <c r="Y199" s="20">
        <f t="shared" si="9"/>
        <v>24</v>
      </c>
      <c r="Z199" s="20">
        <f t="shared" ref="Z199:Z262" si="11">SUM(P199+R199+T199+V199+X199)</f>
        <v>17</v>
      </c>
      <c r="AA199" s="21">
        <f t="shared" si="10"/>
        <v>0.58536585365853655</v>
      </c>
    </row>
    <row r="200" spans="1:27" x14ac:dyDescent="0.4">
      <c r="A200" s="22">
        <f>wimbledons_champions!A208</f>
        <v>1912</v>
      </c>
      <c r="B200" s="25" t="str">
        <f>wimbledons_champions!B208</f>
        <v>Women's</v>
      </c>
      <c r="C200" s="25" t="s">
        <v>341</v>
      </c>
      <c r="D200" s="22" t="s">
        <v>15</v>
      </c>
      <c r="E200" s="25" t="s">
        <v>498</v>
      </c>
      <c r="G200" s="22">
        <f>wimbledons_champions!G208</f>
        <v>0</v>
      </c>
      <c r="H200" s="25" t="str">
        <f>wimbledons_champions!H208</f>
        <v>6-3, 6-1</v>
      </c>
      <c r="I200" s="25" t="s">
        <v>331</v>
      </c>
      <c r="J200" s="22" t="s">
        <v>15</v>
      </c>
      <c r="K200" s="25" t="s">
        <v>498</v>
      </c>
      <c r="M200" s="18">
        <v>0.75</v>
      </c>
      <c r="N200" s="18"/>
      <c r="O200" s="19" t="s">
        <v>741</v>
      </c>
      <c r="P200" s="19">
        <v>3</v>
      </c>
      <c r="Q200" s="19">
        <v>6</v>
      </c>
      <c r="R200" s="19">
        <v>1</v>
      </c>
      <c r="S200" s="19"/>
      <c r="T200" s="19"/>
      <c r="U200" s="19"/>
      <c r="V200" s="19"/>
      <c r="W200" s="19"/>
      <c r="X200" s="19"/>
      <c r="Y200" s="20">
        <f t="shared" ref="Y200:Z263" si="12">SUM(O200+Q200+S200+U200+W200)</f>
        <v>12</v>
      </c>
      <c r="Z200" s="20">
        <f t="shared" si="11"/>
        <v>4</v>
      </c>
      <c r="AA200" s="21">
        <f t="shared" si="10"/>
        <v>0.75</v>
      </c>
    </row>
    <row r="201" spans="1:27" x14ac:dyDescent="0.4">
      <c r="A201" s="22">
        <f>wimbledons_champions!A209</f>
        <v>1912</v>
      </c>
      <c r="B201" s="25" t="str">
        <f>wimbledons_champions!B209</f>
        <v>Men's</v>
      </c>
      <c r="C201" s="25" t="s">
        <v>21</v>
      </c>
      <c r="D201" s="22" t="s">
        <v>20</v>
      </c>
      <c r="E201" s="25" t="s">
        <v>508</v>
      </c>
      <c r="G201" s="22">
        <f>wimbledons_champions!G209</f>
        <v>0</v>
      </c>
      <c r="H201" s="25" t="str">
        <f>wimbledons_champions!H209</f>
        <v>6-4, 6-4, 4-6, 6-4</v>
      </c>
      <c r="I201" s="25" t="s">
        <v>18</v>
      </c>
      <c r="J201" s="22" t="s">
        <v>15</v>
      </c>
      <c r="K201" s="25" t="s">
        <v>498</v>
      </c>
      <c r="M201" s="18">
        <v>0.55000000000000004</v>
      </c>
      <c r="N201" s="18"/>
      <c r="O201" s="19" t="s">
        <v>741</v>
      </c>
      <c r="P201" s="19">
        <v>4</v>
      </c>
      <c r="Q201" s="19">
        <v>6</v>
      </c>
      <c r="R201" s="19">
        <v>4</v>
      </c>
      <c r="S201" s="19">
        <v>4</v>
      </c>
      <c r="T201" s="19">
        <v>6</v>
      </c>
      <c r="U201" s="19">
        <v>6</v>
      </c>
      <c r="V201" s="19">
        <v>4</v>
      </c>
      <c r="W201" s="19"/>
      <c r="X201" s="19"/>
      <c r="Y201" s="20">
        <f t="shared" si="12"/>
        <v>22</v>
      </c>
      <c r="Z201" s="20">
        <f t="shared" si="11"/>
        <v>18</v>
      </c>
      <c r="AA201" s="21">
        <f t="shared" si="10"/>
        <v>0.55000000000000004</v>
      </c>
    </row>
    <row r="202" spans="1:27" x14ac:dyDescent="0.4">
      <c r="A202" s="22">
        <f>wimbledons_champions!A210</f>
        <v>1911</v>
      </c>
      <c r="B202" s="25" t="str">
        <f>wimbledons_champions!B210</f>
        <v>Women's</v>
      </c>
      <c r="C202" s="25" t="s">
        <v>894</v>
      </c>
      <c r="D202" s="22" t="s">
        <v>15</v>
      </c>
      <c r="E202" s="25" t="s">
        <v>498</v>
      </c>
      <c r="G202" s="22">
        <f>wimbledons_champions!G210</f>
        <v>25</v>
      </c>
      <c r="H202" s="25" t="str">
        <f>wimbledons_champions!H210</f>
        <v>6-0, 6-0</v>
      </c>
      <c r="I202" s="25" t="s">
        <v>357</v>
      </c>
      <c r="J202" s="22" t="s">
        <v>15</v>
      </c>
      <c r="K202" s="25" t="s">
        <v>498</v>
      </c>
      <c r="M202" s="18">
        <v>1</v>
      </c>
      <c r="N202" s="18"/>
      <c r="O202" s="19" t="s">
        <v>741</v>
      </c>
      <c r="P202" s="19">
        <v>0</v>
      </c>
      <c r="Q202" s="19">
        <v>6</v>
      </c>
      <c r="R202" s="19">
        <v>0</v>
      </c>
      <c r="S202" s="19"/>
      <c r="T202" s="19"/>
      <c r="U202" s="19"/>
      <c r="V202" s="19"/>
      <c r="W202" s="19"/>
      <c r="X202" s="19"/>
      <c r="Y202" s="20">
        <f t="shared" si="12"/>
        <v>12</v>
      </c>
      <c r="Z202" s="20">
        <f t="shared" si="11"/>
        <v>0</v>
      </c>
      <c r="AA202" s="21">
        <f t="shared" si="10"/>
        <v>1</v>
      </c>
    </row>
    <row r="203" spans="1:27" x14ac:dyDescent="0.4">
      <c r="A203" s="22">
        <f>wimbledons_champions!A211</f>
        <v>1911</v>
      </c>
      <c r="B203" s="25" t="str">
        <f>wimbledons_champions!B211</f>
        <v>Men's</v>
      </c>
      <c r="C203" s="25" t="s">
        <v>21</v>
      </c>
      <c r="D203" s="22" t="s">
        <v>20</v>
      </c>
      <c r="E203" s="25" t="s">
        <v>508</v>
      </c>
      <c r="G203" s="22">
        <f>wimbledons_champions!G211</f>
        <v>0</v>
      </c>
      <c r="H203" s="25" t="str">
        <f>wimbledons_champions!H211</f>
        <v>6-4, 4-6, 2-6, 6-2, retd</v>
      </c>
      <c r="I203" s="25" t="s">
        <v>33</v>
      </c>
      <c r="J203" s="22" t="s">
        <v>15</v>
      </c>
      <c r="K203" s="25" t="s">
        <v>498</v>
      </c>
      <c r="M203" s="18">
        <v>0.5</v>
      </c>
      <c r="N203" s="18"/>
      <c r="O203" s="19" t="s">
        <v>741</v>
      </c>
      <c r="P203" s="19">
        <v>4</v>
      </c>
      <c r="Q203" s="19">
        <v>4</v>
      </c>
      <c r="R203" s="19">
        <v>6</v>
      </c>
      <c r="S203" s="19">
        <v>2</v>
      </c>
      <c r="T203" s="19">
        <v>6</v>
      </c>
      <c r="U203" s="19">
        <v>6</v>
      </c>
      <c r="V203" s="19">
        <v>2</v>
      </c>
      <c r="W203" s="19" t="s">
        <v>754</v>
      </c>
      <c r="X203" s="19"/>
      <c r="Y203" s="20">
        <f>SUM(O203+Q203+S203+U203)</f>
        <v>18</v>
      </c>
      <c r="Z203" s="20">
        <f t="shared" si="11"/>
        <v>18</v>
      </c>
      <c r="AA203" s="21">
        <f t="shared" si="10"/>
        <v>0.5</v>
      </c>
    </row>
    <row r="204" spans="1:27" x14ac:dyDescent="0.4">
      <c r="A204" s="22">
        <f>wimbledons_champions!A212</f>
        <v>1910</v>
      </c>
      <c r="B204" s="25" t="str">
        <f>wimbledons_champions!B212</f>
        <v>Women's</v>
      </c>
      <c r="C204" s="25" t="s">
        <v>894</v>
      </c>
      <c r="D204" s="22" t="s">
        <v>15</v>
      </c>
      <c r="E204" s="25" t="s">
        <v>498</v>
      </c>
      <c r="G204" s="22">
        <f>wimbledons_champions!G212</f>
        <v>0</v>
      </c>
      <c r="H204" s="25" t="str">
        <f>wimbledons_champions!H212</f>
        <v>6-2, 6-2</v>
      </c>
      <c r="I204" s="25" t="s">
        <v>357</v>
      </c>
      <c r="J204" s="22" t="s">
        <v>15</v>
      </c>
      <c r="K204" s="25" t="s">
        <v>498</v>
      </c>
      <c r="M204" s="18">
        <v>0.75</v>
      </c>
      <c r="N204" s="18"/>
      <c r="O204" s="19" t="s">
        <v>741</v>
      </c>
      <c r="P204" s="19">
        <v>2</v>
      </c>
      <c r="Q204" s="19">
        <v>6</v>
      </c>
      <c r="R204" s="19">
        <v>2</v>
      </c>
      <c r="S204" s="19"/>
      <c r="T204" s="19"/>
      <c r="U204" s="19"/>
      <c r="V204" s="19"/>
      <c r="W204" s="19"/>
      <c r="X204" s="19"/>
      <c r="Y204" s="20">
        <f t="shared" si="12"/>
        <v>12</v>
      </c>
      <c r="Z204" s="20">
        <f t="shared" si="11"/>
        <v>4</v>
      </c>
      <c r="AA204" s="21">
        <f t="shared" si="10"/>
        <v>0.75</v>
      </c>
    </row>
    <row r="205" spans="1:27" x14ac:dyDescent="0.4">
      <c r="A205" s="22">
        <f>wimbledons_champions!A213</f>
        <v>1910</v>
      </c>
      <c r="B205" s="25" t="str">
        <f>wimbledons_champions!B213</f>
        <v>Men's</v>
      </c>
      <c r="C205" s="25" t="s">
        <v>21</v>
      </c>
      <c r="D205" s="22" t="s">
        <v>20</v>
      </c>
      <c r="E205" s="25" t="s">
        <v>508</v>
      </c>
      <c r="G205" s="22">
        <f>wimbledons_champions!G213</f>
        <v>0</v>
      </c>
      <c r="H205" s="25" t="str">
        <f>wimbledons_champions!H213</f>
        <v>6-4, 7-5, 4-6, 6-2</v>
      </c>
      <c r="I205" s="25" t="s">
        <v>18</v>
      </c>
      <c r="J205" s="22" t="s">
        <v>15</v>
      </c>
      <c r="K205" s="25" t="s">
        <v>498</v>
      </c>
      <c r="M205" s="18">
        <v>0.57499999999999996</v>
      </c>
      <c r="N205" s="18"/>
      <c r="O205" s="19" t="s">
        <v>741</v>
      </c>
      <c r="P205" s="19">
        <v>4</v>
      </c>
      <c r="Q205" s="19">
        <v>7</v>
      </c>
      <c r="R205" s="19">
        <v>5</v>
      </c>
      <c r="S205" s="19">
        <v>4</v>
      </c>
      <c r="T205" s="19">
        <v>6</v>
      </c>
      <c r="U205" s="19">
        <v>6</v>
      </c>
      <c r="V205" s="19">
        <v>2</v>
      </c>
      <c r="W205" s="19"/>
      <c r="X205" s="19"/>
      <c r="Y205" s="20">
        <f t="shared" si="12"/>
        <v>23</v>
      </c>
      <c r="Z205" s="20">
        <f t="shared" si="11"/>
        <v>17</v>
      </c>
      <c r="AA205" s="21">
        <f t="shared" si="10"/>
        <v>0.57499999999999996</v>
      </c>
    </row>
    <row r="206" spans="1:27" x14ac:dyDescent="0.4">
      <c r="A206" s="22">
        <f>wimbledons_champions!A214</f>
        <v>1909</v>
      </c>
      <c r="B206" s="25" t="str">
        <f>wimbledons_champions!B214</f>
        <v>Women's</v>
      </c>
      <c r="C206" s="25" t="s">
        <v>357</v>
      </c>
      <c r="D206" s="22" t="s">
        <v>15</v>
      </c>
      <c r="E206" s="25" t="s">
        <v>498</v>
      </c>
      <c r="G206" s="22">
        <f>wimbledons_champions!G214</f>
        <v>0</v>
      </c>
      <c r="H206" s="25" t="str">
        <f>wimbledons_champions!H214</f>
        <v>6-4, 4-6, 8-6</v>
      </c>
      <c r="I206" s="25" t="s">
        <v>322</v>
      </c>
      <c r="J206" s="22" t="s">
        <v>15</v>
      </c>
      <c r="K206" s="25" t="s">
        <v>498</v>
      </c>
      <c r="M206" s="18">
        <v>0.52941176470588236</v>
      </c>
      <c r="N206" s="18"/>
      <c r="O206" s="19" t="s">
        <v>741</v>
      </c>
      <c r="P206" s="19">
        <v>4</v>
      </c>
      <c r="Q206" s="19">
        <v>4</v>
      </c>
      <c r="R206" s="19">
        <v>6</v>
      </c>
      <c r="S206" s="19">
        <v>8</v>
      </c>
      <c r="T206" s="19">
        <v>6</v>
      </c>
      <c r="U206" s="19"/>
      <c r="V206" s="19"/>
      <c r="W206" s="19"/>
      <c r="X206" s="19"/>
      <c r="Y206" s="20">
        <f t="shared" si="12"/>
        <v>18</v>
      </c>
      <c r="Z206" s="20">
        <f t="shared" si="11"/>
        <v>16</v>
      </c>
      <c r="AA206" s="21">
        <f t="shared" si="10"/>
        <v>0.52941176470588236</v>
      </c>
    </row>
    <row r="207" spans="1:27" x14ac:dyDescent="0.4">
      <c r="A207" s="22">
        <f>wimbledons_champions!A215</f>
        <v>1909</v>
      </c>
      <c r="B207" s="25" t="str">
        <f>wimbledons_champions!B215</f>
        <v>Men's</v>
      </c>
      <c r="C207" s="25" t="s">
        <v>18</v>
      </c>
      <c r="D207" s="22" t="s">
        <v>15</v>
      </c>
      <c r="E207" s="25" t="s">
        <v>498</v>
      </c>
      <c r="G207" s="22">
        <f>wimbledons_champions!G215</f>
        <v>95</v>
      </c>
      <c r="H207" s="25" t="str">
        <f>wimbledons_champions!H215</f>
        <v>6-8, 1-6, 6-2, 6-2, 6-2</v>
      </c>
      <c r="I207" s="25" t="s">
        <v>35</v>
      </c>
      <c r="J207" s="22" t="s">
        <v>15</v>
      </c>
      <c r="K207" s="25" t="s">
        <v>498</v>
      </c>
      <c r="M207" s="18">
        <v>0.55555555555555558</v>
      </c>
      <c r="N207" s="18"/>
      <c r="O207" s="19" t="s">
        <v>741</v>
      </c>
      <c r="P207" s="19">
        <v>8</v>
      </c>
      <c r="Q207" s="19">
        <v>1</v>
      </c>
      <c r="R207" s="19">
        <v>6</v>
      </c>
      <c r="S207" s="19">
        <v>6</v>
      </c>
      <c r="T207" s="19">
        <v>2</v>
      </c>
      <c r="U207" s="19">
        <v>6</v>
      </c>
      <c r="V207" s="19">
        <v>2</v>
      </c>
      <c r="W207" s="19" t="s">
        <v>741</v>
      </c>
      <c r="X207" s="19">
        <v>2</v>
      </c>
      <c r="Y207" s="20">
        <f t="shared" si="12"/>
        <v>25</v>
      </c>
      <c r="Z207" s="20">
        <f t="shared" si="11"/>
        <v>20</v>
      </c>
      <c r="AA207" s="21">
        <f t="shared" si="10"/>
        <v>0.55555555555555558</v>
      </c>
    </row>
    <row r="208" spans="1:27" x14ac:dyDescent="0.4">
      <c r="A208" s="22">
        <f>wimbledons_champions!A216</f>
        <v>1908</v>
      </c>
      <c r="B208" s="25" t="str">
        <f>wimbledons_champions!B216</f>
        <v>Women's</v>
      </c>
      <c r="C208" s="25" t="s">
        <v>331</v>
      </c>
      <c r="D208" s="22" t="s">
        <v>15</v>
      </c>
      <c r="E208" s="25" t="s">
        <v>498</v>
      </c>
      <c r="G208" s="22">
        <f>wimbledons_champions!G216</f>
        <v>0</v>
      </c>
      <c r="H208" s="25" t="str">
        <f>wimbledons_champions!H216</f>
        <v>6-4, 6-4</v>
      </c>
      <c r="I208" s="25" t="s">
        <v>322</v>
      </c>
      <c r="J208" s="22" t="s">
        <v>15</v>
      </c>
      <c r="K208" s="25" t="s">
        <v>498</v>
      </c>
      <c r="M208" s="18">
        <v>0.6</v>
      </c>
      <c r="N208" s="18"/>
      <c r="O208" s="19" t="s">
        <v>741</v>
      </c>
      <c r="P208" s="19">
        <v>4</v>
      </c>
      <c r="Q208" s="19">
        <v>6</v>
      </c>
      <c r="R208" s="19">
        <v>4</v>
      </c>
      <c r="S208" s="19"/>
      <c r="T208" s="19"/>
      <c r="U208" s="19"/>
      <c r="V208" s="19"/>
      <c r="W208" s="19"/>
      <c r="X208" s="19"/>
      <c r="Y208" s="20">
        <f t="shared" si="12"/>
        <v>12</v>
      </c>
      <c r="Z208" s="20">
        <f t="shared" si="11"/>
        <v>8</v>
      </c>
      <c r="AA208" s="21">
        <f t="shared" si="10"/>
        <v>0.6</v>
      </c>
    </row>
    <row r="209" spans="1:27" x14ac:dyDescent="0.4">
      <c r="A209" s="22">
        <f>wimbledons_champions!A217</f>
        <v>1908</v>
      </c>
      <c r="B209" s="25" t="str">
        <f>wimbledons_champions!B217</f>
        <v>Men's</v>
      </c>
      <c r="C209" s="25" t="s">
        <v>18</v>
      </c>
      <c r="D209" s="22" t="s">
        <v>15</v>
      </c>
      <c r="E209" s="25" t="s">
        <v>498</v>
      </c>
      <c r="G209" s="22">
        <f>wimbledons_champions!G217</f>
        <v>0</v>
      </c>
      <c r="H209" s="25" t="str">
        <f>wimbledons_champions!H217</f>
        <v>6-3, 6-2, 4-6, 3-6, 6-4</v>
      </c>
      <c r="I209" s="25" t="s">
        <v>33</v>
      </c>
      <c r="J209" s="22" t="s">
        <v>15</v>
      </c>
      <c r="K209" s="25" t="s">
        <v>498</v>
      </c>
      <c r="M209" s="18">
        <v>0.54347826086956519</v>
      </c>
      <c r="N209" s="18"/>
      <c r="O209" s="19" t="s">
        <v>741</v>
      </c>
      <c r="P209" s="19">
        <v>3</v>
      </c>
      <c r="Q209" s="19">
        <v>6</v>
      </c>
      <c r="R209" s="19">
        <v>2</v>
      </c>
      <c r="S209" s="19">
        <v>4</v>
      </c>
      <c r="T209" s="19">
        <v>6</v>
      </c>
      <c r="U209" s="19">
        <v>3</v>
      </c>
      <c r="V209" s="19">
        <v>6</v>
      </c>
      <c r="W209" s="19" t="s">
        <v>741</v>
      </c>
      <c r="X209" s="19">
        <v>4</v>
      </c>
      <c r="Y209" s="20">
        <f t="shared" si="12"/>
        <v>25</v>
      </c>
      <c r="Z209" s="20">
        <f t="shared" si="11"/>
        <v>21</v>
      </c>
      <c r="AA209" s="21">
        <f t="shared" si="10"/>
        <v>0.54347826086956519</v>
      </c>
    </row>
    <row r="210" spans="1:27" x14ac:dyDescent="0.4">
      <c r="A210" s="22">
        <f>wimbledons_champions!A218</f>
        <v>1907</v>
      </c>
      <c r="B210" s="25" t="str">
        <f>wimbledons_champions!B218</f>
        <v>Women's</v>
      </c>
      <c r="C210" s="25" t="s">
        <v>364</v>
      </c>
      <c r="D210" s="22" t="s">
        <v>28</v>
      </c>
      <c r="E210" s="25" t="s">
        <v>499</v>
      </c>
      <c r="G210" s="22">
        <f>wimbledons_champions!G218</f>
        <v>0</v>
      </c>
      <c r="H210" s="25" t="str">
        <f>wimbledons_champions!H218</f>
        <v>6-1, 6-4</v>
      </c>
      <c r="I210" s="25" t="s">
        <v>894</v>
      </c>
      <c r="J210" s="22" t="s">
        <v>15</v>
      </c>
      <c r="K210" s="25" t="s">
        <v>498</v>
      </c>
      <c r="M210" s="18">
        <v>0.70588235294117652</v>
      </c>
      <c r="N210" s="18"/>
      <c r="O210" s="19" t="s">
        <v>741</v>
      </c>
      <c r="P210" s="19">
        <v>1</v>
      </c>
      <c r="Q210" s="19">
        <v>6</v>
      </c>
      <c r="R210" s="19">
        <v>4</v>
      </c>
      <c r="S210" s="19"/>
      <c r="T210" s="19"/>
      <c r="U210" s="19"/>
      <c r="V210" s="19"/>
      <c r="W210" s="19"/>
      <c r="X210" s="19"/>
      <c r="Y210" s="20">
        <f t="shared" si="12"/>
        <v>12</v>
      </c>
      <c r="Z210" s="20">
        <f t="shared" si="11"/>
        <v>5</v>
      </c>
      <c r="AA210" s="21">
        <f t="shared" si="10"/>
        <v>0.70588235294117652</v>
      </c>
    </row>
    <row r="211" spans="1:27" x14ac:dyDescent="0.4">
      <c r="A211" s="22">
        <f>wimbledons_champions!A219</f>
        <v>1907</v>
      </c>
      <c r="B211" s="25" t="str">
        <f>wimbledons_champions!B219</f>
        <v>Men's</v>
      </c>
      <c r="C211" s="25" t="s">
        <v>13</v>
      </c>
      <c r="D211" s="22" t="s">
        <v>12</v>
      </c>
      <c r="E211" s="25" t="s">
        <v>503</v>
      </c>
      <c r="G211" s="22">
        <f>wimbledons_champions!G219</f>
        <v>0</v>
      </c>
      <c r="H211" s="25" t="str">
        <f>wimbledons_champions!H219</f>
        <v>6-4, 6-2, 6-2</v>
      </c>
      <c r="I211" s="25" t="s">
        <v>18</v>
      </c>
      <c r="J211" s="22" t="s">
        <v>15</v>
      </c>
      <c r="K211" s="25" t="s">
        <v>498</v>
      </c>
      <c r="M211" s="18">
        <v>0.69230769230769229</v>
      </c>
      <c r="N211" s="18"/>
      <c r="O211" s="19" t="s">
        <v>741</v>
      </c>
      <c r="P211" s="19">
        <v>4</v>
      </c>
      <c r="Q211" s="19">
        <v>6</v>
      </c>
      <c r="R211" s="19">
        <v>2</v>
      </c>
      <c r="S211" s="19">
        <v>6</v>
      </c>
      <c r="T211" s="19">
        <v>2</v>
      </c>
      <c r="U211" s="19"/>
      <c r="V211" s="19"/>
      <c r="W211" s="19"/>
      <c r="X211" s="19"/>
      <c r="Y211" s="20">
        <f t="shared" si="12"/>
        <v>18</v>
      </c>
      <c r="Z211" s="20">
        <f t="shared" si="11"/>
        <v>8</v>
      </c>
      <c r="AA211" s="21">
        <f t="shared" si="10"/>
        <v>0.69230769230769229</v>
      </c>
    </row>
    <row r="212" spans="1:27" x14ac:dyDescent="0.4">
      <c r="A212" s="22">
        <f>wimbledons_champions!A220</f>
        <v>1906</v>
      </c>
      <c r="B212" s="25" t="str">
        <f>wimbledons_champions!B220</f>
        <v>Women's</v>
      </c>
      <c r="C212" s="25" t="s">
        <v>894</v>
      </c>
      <c r="D212" s="22" t="s">
        <v>15</v>
      </c>
      <c r="E212" s="25" t="s">
        <v>498</v>
      </c>
      <c r="G212" s="22">
        <f>wimbledons_champions!G220</f>
        <v>57</v>
      </c>
      <c r="H212" s="25" t="str">
        <f>wimbledons_champions!H220</f>
        <v>6-3, 9-7</v>
      </c>
      <c r="I212" s="25" t="s">
        <v>364</v>
      </c>
      <c r="J212" s="22" t="s">
        <v>28</v>
      </c>
      <c r="K212" s="25" t="s">
        <v>499</v>
      </c>
      <c r="M212" s="18">
        <v>0.6</v>
      </c>
      <c r="N212" s="18"/>
      <c r="O212" s="19" t="s">
        <v>741</v>
      </c>
      <c r="P212" s="19">
        <v>3</v>
      </c>
      <c r="Q212" s="19">
        <v>9</v>
      </c>
      <c r="R212" s="19">
        <v>7</v>
      </c>
      <c r="S212" s="19"/>
      <c r="T212" s="19"/>
      <c r="U212" s="19"/>
      <c r="V212" s="19"/>
      <c r="W212" s="19"/>
      <c r="X212" s="19"/>
      <c r="Y212" s="20">
        <f t="shared" si="12"/>
        <v>15</v>
      </c>
      <c r="Z212" s="20">
        <f t="shared" si="11"/>
        <v>10</v>
      </c>
      <c r="AA212" s="21">
        <f t="shared" si="10"/>
        <v>0.6</v>
      </c>
    </row>
    <row r="213" spans="1:27" x14ac:dyDescent="0.4">
      <c r="A213" s="22">
        <f>wimbledons_champions!A221</f>
        <v>1906</v>
      </c>
      <c r="B213" s="25" t="str">
        <f>wimbledons_champions!B221</f>
        <v>Men's</v>
      </c>
      <c r="C213" s="25" t="s">
        <v>31</v>
      </c>
      <c r="D213" s="22" t="s">
        <v>15</v>
      </c>
      <c r="E213" s="25" t="s">
        <v>498</v>
      </c>
      <c r="G213" s="22">
        <f>wimbledons_champions!G221</f>
        <v>74</v>
      </c>
      <c r="H213" s="25" t="str">
        <f>wimbledons_champions!H221</f>
        <v>6-4, 4-6, 6-2, 6-3</v>
      </c>
      <c r="I213" s="25" t="s">
        <v>43</v>
      </c>
      <c r="J213" s="22" t="s">
        <v>15</v>
      </c>
      <c r="K213" s="25" t="s">
        <v>498</v>
      </c>
      <c r="M213" s="18">
        <v>0.59459459459459463</v>
      </c>
      <c r="N213" s="18"/>
      <c r="O213" s="19" t="s">
        <v>741</v>
      </c>
      <c r="P213" s="19">
        <v>4</v>
      </c>
      <c r="Q213" s="19">
        <v>4</v>
      </c>
      <c r="R213" s="19">
        <v>6</v>
      </c>
      <c r="S213" s="19">
        <v>6</v>
      </c>
      <c r="T213" s="19">
        <v>2</v>
      </c>
      <c r="U213" s="19">
        <v>6</v>
      </c>
      <c r="V213" s="19">
        <v>3</v>
      </c>
      <c r="W213" s="19"/>
      <c r="X213" s="19"/>
      <c r="Y213" s="20">
        <f t="shared" si="12"/>
        <v>22</v>
      </c>
      <c r="Z213" s="20">
        <f t="shared" si="11"/>
        <v>15</v>
      </c>
      <c r="AA213" s="21">
        <f t="shared" si="10"/>
        <v>0.59459459459459463</v>
      </c>
    </row>
    <row r="214" spans="1:27" x14ac:dyDescent="0.4">
      <c r="A214" s="22">
        <f>wimbledons_champions!A222</f>
        <v>1905</v>
      </c>
      <c r="B214" s="25" t="str">
        <f>wimbledons_champions!B222</f>
        <v>Women's</v>
      </c>
      <c r="C214" s="25" t="s">
        <v>364</v>
      </c>
      <c r="D214" s="22" t="s">
        <v>28</v>
      </c>
      <c r="E214" s="25" t="s">
        <v>499</v>
      </c>
      <c r="G214" s="22">
        <f>wimbledons_champions!G222</f>
        <v>0</v>
      </c>
      <c r="H214" s="25" t="str">
        <f>wimbledons_champions!H222</f>
        <v>6-3, 6-4</v>
      </c>
      <c r="I214" s="25" t="s">
        <v>894</v>
      </c>
      <c r="J214" s="22" t="s">
        <v>15</v>
      </c>
      <c r="K214" s="25" t="s">
        <v>498</v>
      </c>
      <c r="M214" s="18">
        <v>0.63157894736842102</v>
      </c>
      <c r="N214" s="18"/>
      <c r="O214" s="19" t="s">
        <v>741</v>
      </c>
      <c r="P214" s="19">
        <v>3</v>
      </c>
      <c r="Q214" s="19">
        <v>6</v>
      </c>
      <c r="R214" s="19">
        <v>4</v>
      </c>
      <c r="S214" s="19"/>
      <c r="T214" s="19"/>
      <c r="U214" s="19"/>
      <c r="V214" s="19"/>
      <c r="W214" s="19"/>
      <c r="X214" s="19"/>
      <c r="Y214" s="20">
        <f t="shared" si="12"/>
        <v>12</v>
      </c>
      <c r="Z214" s="20">
        <f t="shared" si="11"/>
        <v>7</v>
      </c>
      <c r="AA214" s="21">
        <f t="shared" si="10"/>
        <v>0.63157894736842102</v>
      </c>
    </row>
    <row r="215" spans="1:27" x14ac:dyDescent="0.4">
      <c r="A215" s="22">
        <f>wimbledons_champions!A223</f>
        <v>1905</v>
      </c>
      <c r="B215" s="25" t="str">
        <f>wimbledons_champions!B223</f>
        <v>Men's</v>
      </c>
      <c r="C215" s="25" t="s">
        <v>31</v>
      </c>
      <c r="D215" s="22" t="s">
        <v>15</v>
      </c>
      <c r="E215" s="25" t="s">
        <v>498</v>
      </c>
      <c r="G215" s="22">
        <f>wimbledons_champions!G223</f>
        <v>65</v>
      </c>
      <c r="H215" s="25" t="str">
        <f>wimbledons_champions!H223</f>
        <v>8-6, 6-2, 6-4</v>
      </c>
      <c r="I215" s="25" t="s">
        <v>13</v>
      </c>
      <c r="J215" s="22" t="s">
        <v>12</v>
      </c>
      <c r="K215" s="25" t="s">
        <v>503</v>
      </c>
      <c r="M215" s="18">
        <v>0.625</v>
      </c>
      <c r="N215" s="18"/>
      <c r="O215" s="19" t="s">
        <v>750</v>
      </c>
      <c r="P215" s="19">
        <v>6</v>
      </c>
      <c r="Q215" s="19">
        <v>6</v>
      </c>
      <c r="R215" s="19">
        <v>2</v>
      </c>
      <c r="S215" s="19">
        <v>6</v>
      </c>
      <c r="T215" s="19">
        <v>4</v>
      </c>
      <c r="U215" s="19"/>
      <c r="V215" s="19"/>
      <c r="W215" s="19"/>
      <c r="X215" s="19"/>
      <c r="Y215" s="20">
        <f t="shared" si="12"/>
        <v>20</v>
      </c>
      <c r="Z215" s="20">
        <f t="shared" si="11"/>
        <v>12</v>
      </c>
      <c r="AA215" s="21">
        <f t="shared" si="10"/>
        <v>0.625</v>
      </c>
    </row>
    <row r="216" spans="1:27" x14ac:dyDescent="0.4">
      <c r="A216" s="22">
        <f>wimbledons_champions!A224</f>
        <v>1904</v>
      </c>
      <c r="B216" s="25" t="str">
        <f>wimbledons_champions!B224</f>
        <v>Women's</v>
      </c>
      <c r="C216" s="25" t="s">
        <v>894</v>
      </c>
      <c r="D216" s="22" t="s">
        <v>15</v>
      </c>
      <c r="E216" s="25" t="s">
        <v>498</v>
      </c>
      <c r="G216" s="22">
        <f>wimbledons_champions!G224</f>
        <v>0</v>
      </c>
      <c r="H216" s="25" t="str">
        <f>wimbledons_champions!H224</f>
        <v>6-0, 6-3</v>
      </c>
      <c r="I216" s="25" t="s">
        <v>331</v>
      </c>
      <c r="J216" s="22" t="s">
        <v>15</v>
      </c>
      <c r="K216" s="25" t="s">
        <v>498</v>
      </c>
      <c r="M216" s="18">
        <v>0.8</v>
      </c>
      <c r="N216" s="18"/>
      <c r="O216" s="19" t="s">
        <v>741</v>
      </c>
      <c r="P216" s="19">
        <v>0</v>
      </c>
      <c r="Q216" s="19">
        <v>6</v>
      </c>
      <c r="R216" s="19">
        <v>3</v>
      </c>
      <c r="S216" s="19"/>
      <c r="T216" s="19"/>
      <c r="U216" s="19"/>
      <c r="V216" s="19"/>
      <c r="W216" s="19"/>
      <c r="X216" s="19"/>
      <c r="Y216" s="20">
        <f t="shared" si="12"/>
        <v>12</v>
      </c>
      <c r="Z216" s="20">
        <f t="shared" si="11"/>
        <v>3</v>
      </c>
      <c r="AA216" s="21">
        <f t="shared" si="10"/>
        <v>0.8</v>
      </c>
    </row>
    <row r="217" spans="1:27" x14ac:dyDescent="0.4">
      <c r="A217" s="22">
        <f>wimbledons_champions!A225</f>
        <v>1904</v>
      </c>
      <c r="B217" s="25" t="str">
        <f>wimbledons_champions!B225</f>
        <v>Men's</v>
      </c>
      <c r="C217" s="25" t="s">
        <v>31</v>
      </c>
      <c r="D217" s="22" t="s">
        <v>15</v>
      </c>
      <c r="E217" s="25" t="s">
        <v>498</v>
      </c>
      <c r="G217" s="22">
        <f>wimbledons_champions!G225</f>
        <v>0</v>
      </c>
      <c r="H217" s="25" t="str">
        <f>wimbledons_champions!H225</f>
        <v>6-1, 7-5, 8-6</v>
      </c>
      <c r="I217" s="25" t="s">
        <v>43</v>
      </c>
      <c r="J217" s="22" t="s">
        <v>15</v>
      </c>
      <c r="K217" s="25" t="s">
        <v>498</v>
      </c>
      <c r="M217" s="18">
        <v>0.63636363636363635</v>
      </c>
      <c r="N217" s="18"/>
      <c r="O217" s="19" t="s">
        <v>741</v>
      </c>
      <c r="P217" s="19">
        <v>1</v>
      </c>
      <c r="Q217" s="19">
        <v>7</v>
      </c>
      <c r="R217" s="19">
        <v>5</v>
      </c>
      <c r="S217" s="19">
        <v>8</v>
      </c>
      <c r="T217" s="19">
        <v>6</v>
      </c>
      <c r="U217" s="19"/>
      <c r="V217" s="19"/>
      <c r="W217" s="19"/>
      <c r="X217" s="19"/>
      <c r="Y217" s="20">
        <f t="shared" si="12"/>
        <v>21</v>
      </c>
      <c r="Z217" s="20">
        <f t="shared" si="11"/>
        <v>12</v>
      </c>
      <c r="AA217" s="21">
        <f t="shared" si="10"/>
        <v>0.63636363636363635</v>
      </c>
    </row>
    <row r="218" spans="1:27" x14ac:dyDescent="0.4">
      <c r="A218" s="22">
        <f>wimbledons_champions!A226</f>
        <v>1903</v>
      </c>
      <c r="B218" s="25" t="str">
        <f>wimbledons_champions!B226</f>
        <v>Women's</v>
      </c>
      <c r="C218" s="25" t="s">
        <v>894</v>
      </c>
      <c r="D218" s="22" t="s">
        <v>15</v>
      </c>
      <c r="E218" s="25" t="s">
        <v>498</v>
      </c>
      <c r="G218" s="22">
        <f>wimbledons_champions!G226</f>
        <v>0</v>
      </c>
      <c r="H218" s="25" t="str">
        <f>wimbledons_champions!H226</f>
        <v>4-6, 6-4, 6-2</v>
      </c>
      <c r="I218" s="25" t="s">
        <v>340</v>
      </c>
      <c r="J218" s="22" t="s">
        <v>15</v>
      </c>
      <c r="K218" s="25" t="s">
        <v>498</v>
      </c>
      <c r="M218" s="18">
        <v>0.5714285714285714</v>
      </c>
      <c r="N218" s="18"/>
      <c r="O218" s="19" t="s">
        <v>743</v>
      </c>
      <c r="P218" s="19">
        <v>6</v>
      </c>
      <c r="Q218" s="19">
        <v>6</v>
      </c>
      <c r="R218" s="19">
        <v>4</v>
      </c>
      <c r="S218" s="19">
        <v>6</v>
      </c>
      <c r="T218" s="19">
        <v>2</v>
      </c>
      <c r="U218" s="19"/>
      <c r="V218" s="19"/>
      <c r="W218" s="19"/>
      <c r="X218" s="19"/>
      <c r="Y218" s="20">
        <f t="shared" si="12"/>
        <v>16</v>
      </c>
      <c r="Z218" s="20">
        <f t="shared" si="11"/>
        <v>12</v>
      </c>
      <c r="AA218" s="21">
        <f t="shared" si="10"/>
        <v>0.5714285714285714</v>
      </c>
    </row>
    <row r="219" spans="1:27" x14ac:dyDescent="0.4">
      <c r="A219" s="22">
        <f>wimbledons_champions!A227</f>
        <v>1903</v>
      </c>
      <c r="B219" s="25" t="str">
        <f>wimbledons_champions!B227</f>
        <v>Men's</v>
      </c>
      <c r="C219" s="25" t="s">
        <v>31</v>
      </c>
      <c r="D219" s="22" t="s">
        <v>15</v>
      </c>
      <c r="E219" s="25" t="s">
        <v>498</v>
      </c>
      <c r="G219" s="22">
        <f>wimbledons_champions!G227</f>
        <v>0</v>
      </c>
      <c r="H219" s="25" t="str">
        <f>wimbledons_champions!H227</f>
        <v>7-5, 6-3, 6-0</v>
      </c>
      <c r="I219" s="25" t="s">
        <v>43</v>
      </c>
      <c r="J219" s="22" t="s">
        <v>15</v>
      </c>
      <c r="K219" s="25" t="s">
        <v>498</v>
      </c>
      <c r="M219" s="18">
        <v>0.70370370370370372</v>
      </c>
      <c r="N219" s="18"/>
      <c r="O219" s="19" t="s">
        <v>742</v>
      </c>
      <c r="P219" s="19">
        <v>5</v>
      </c>
      <c r="Q219" s="19">
        <v>6</v>
      </c>
      <c r="R219" s="19">
        <v>3</v>
      </c>
      <c r="S219" s="19">
        <v>6</v>
      </c>
      <c r="T219" s="19">
        <v>0</v>
      </c>
      <c r="U219" s="19"/>
      <c r="V219" s="19"/>
      <c r="W219" s="19"/>
      <c r="X219" s="19"/>
      <c r="Y219" s="20">
        <f t="shared" si="12"/>
        <v>19</v>
      </c>
      <c r="Z219" s="20">
        <f t="shared" si="11"/>
        <v>8</v>
      </c>
      <c r="AA219" s="21">
        <f t="shared" si="10"/>
        <v>0.70370370370370372</v>
      </c>
    </row>
    <row r="220" spans="1:27" x14ac:dyDescent="0.4">
      <c r="A220" s="22">
        <f>wimbledons_champions!A228</f>
        <v>1902</v>
      </c>
      <c r="B220" s="25" t="str">
        <f>wimbledons_champions!B228</f>
        <v>Women's</v>
      </c>
      <c r="C220" s="25" t="s">
        <v>350</v>
      </c>
      <c r="D220" s="22" t="s">
        <v>15</v>
      </c>
      <c r="E220" s="25" t="s">
        <v>498</v>
      </c>
      <c r="G220" s="22">
        <f>wimbledons_champions!G228</f>
        <v>0</v>
      </c>
      <c r="H220" s="25" t="str">
        <f>wimbledons_champions!H228</f>
        <v>7-5, 6-1</v>
      </c>
      <c r="I220" s="25" t="s">
        <v>331</v>
      </c>
      <c r="J220" s="22" t="s">
        <v>15</v>
      </c>
      <c r="K220" s="25" t="s">
        <v>498</v>
      </c>
      <c r="M220" s="18">
        <v>0.68421052631578949</v>
      </c>
      <c r="N220" s="18"/>
      <c r="O220" s="19" t="s">
        <v>742</v>
      </c>
      <c r="P220" s="19">
        <v>5</v>
      </c>
      <c r="Q220" s="19">
        <v>6</v>
      </c>
      <c r="R220" s="19">
        <v>1</v>
      </c>
      <c r="S220" s="19"/>
      <c r="T220" s="19"/>
      <c r="U220" s="19"/>
      <c r="V220" s="19"/>
      <c r="W220" s="19"/>
      <c r="X220" s="19"/>
      <c r="Y220" s="20">
        <f t="shared" si="12"/>
        <v>13</v>
      </c>
      <c r="Z220" s="20">
        <f t="shared" si="11"/>
        <v>6</v>
      </c>
      <c r="AA220" s="21">
        <f t="shared" si="10"/>
        <v>0.68421052631578949</v>
      </c>
    </row>
    <row r="221" spans="1:27" x14ac:dyDescent="0.4">
      <c r="A221" s="22">
        <f>wimbledons_champions!A229</f>
        <v>1902</v>
      </c>
      <c r="B221" s="25" t="str">
        <f>wimbledons_champions!B229</f>
        <v>Men's</v>
      </c>
      <c r="C221" s="25" t="s">
        <v>31</v>
      </c>
      <c r="D221" s="22" t="s">
        <v>15</v>
      </c>
      <c r="E221" s="25" t="s">
        <v>498</v>
      </c>
      <c r="G221" s="22">
        <f>wimbledons_champions!G229</f>
        <v>84</v>
      </c>
      <c r="H221" s="25" t="str">
        <f>wimbledons_champions!H229</f>
        <v>6-4, 6-3, 3-6, 6-0</v>
      </c>
      <c r="I221" s="25" t="s">
        <v>18</v>
      </c>
      <c r="J221" s="22" t="s">
        <v>15</v>
      </c>
      <c r="K221" s="25" t="s">
        <v>498</v>
      </c>
      <c r="M221" s="18">
        <v>0.61764705882352944</v>
      </c>
      <c r="N221" s="18"/>
      <c r="O221" s="19" t="s">
        <v>741</v>
      </c>
      <c r="P221" s="19">
        <v>4</v>
      </c>
      <c r="Q221" s="19">
        <v>6</v>
      </c>
      <c r="R221" s="19">
        <v>3</v>
      </c>
      <c r="S221" s="19">
        <v>3</v>
      </c>
      <c r="T221" s="19">
        <v>6</v>
      </c>
      <c r="U221" s="19">
        <v>6</v>
      </c>
      <c r="V221" s="19">
        <v>0</v>
      </c>
      <c r="W221" s="19"/>
      <c r="X221" s="19"/>
      <c r="Y221" s="20">
        <f t="shared" si="12"/>
        <v>21</v>
      </c>
      <c r="Z221" s="20">
        <f t="shared" si="11"/>
        <v>13</v>
      </c>
      <c r="AA221" s="21">
        <f t="shared" si="10"/>
        <v>0.61764705882352944</v>
      </c>
    </row>
    <row r="222" spans="1:27" x14ac:dyDescent="0.4">
      <c r="A222" s="22">
        <f>wimbledons_champions!A230</f>
        <v>1901</v>
      </c>
      <c r="B222" s="25" t="str">
        <f>wimbledons_champions!B230</f>
        <v>Women's</v>
      </c>
      <c r="C222" s="25" t="s">
        <v>331</v>
      </c>
      <c r="D222" s="22" t="s">
        <v>15</v>
      </c>
      <c r="E222" s="25" t="s">
        <v>498</v>
      </c>
      <c r="G222" s="22">
        <f>wimbledons_champions!G230</f>
        <v>0</v>
      </c>
      <c r="H222" s="25" t="str">
        <f>wimbledons_champions!H230</f>
        <v>6-2, 6-2</v>
      </c>
      <c r="I222" s="25" t="s">
        <v>323</v>
      </c>
      <c r="J222" s="22" t="s">
        <v>15</v>
      </c>
      <c r="K222" s="25" t="s">
        <v>498</v>
      </c>
      <c r="M222" s="18">
        <v>0.75</v>
      </c>
      <c r="N222" s="18"/>
      <c r="O222" s="19" t="s">
        <v>741</v>
      </c>
      <c r="P222" s="19">
        <v>2</v>
      </c>
      <c r="Q222" s="19">
        <v>6</v>
      </c>
      <c r="R222" s="19">
        <v>2</v>
      </c>
      <c r="S222" s="19"/>
      <c r="T222" s="19"/>
      <c r="U222" s="19"/>
      <c r="V222" s="19"/>
      <c r="W222" s="19"/>
      <c r="X222" s="19"/>
      <c r="Y222" s="20">
        <f t="shared" si="12"/>
        <v>12</v>
      </c>
      <c r="Z222" s="20">
        <f t="shared" si="11"/>
        <v>4</v>
      </c>
      <c r="AA222" s="21">
        <f t="shared" si="10"/>
        <v>0.75</v>
      </c>
    </row>
    <row r="223" spans="1:27" x14ac:dyDescent="0.4">
      <c r="A223" s="22">
        <f>wimbledons_champions!A231</f>
        <v>1901</v>
      </c>
      <c r="B223" s="25" t="str">
        <f>wimbledons_champions!B231</f>
        <v>Men's</v>
      </c>
      <c r="C223" s="25" t="s">
        <v>18</v>
      </c>
      <c r="D223" s="22" t="s">
        <v>15</v>
      </c>
      <c r="E223" s="25" t="s">
        <v>498</v>
      </c>
      <c r="G223" s="22">
        <f>wimbledons_champions!G231</f>
        <v>95</v>
      </c>
      <c r="H223" s="25" t="str">
        <f>wimbledons_champions!H231</f>
        <v>4-6, 7-5, 6-4, 6-4</v>
      </c>
      <c r="I223" s="25" t="s">
        <v>37</v>
      </c>
      <c r="J223" s="22" t="s">
        <v>15</v>
      </c>
      <c r="K223" s="25" t="s">
        <v>498</v>
      </c>
      <c r="M223" s="18">
        <v>0.54761904761904767</v>
      </c>
      <c r="N223" s="18"/>
      <c r="O223" s="19" t="s">
        <v>743</v>
      </c>
      <c r="P223" s="19">
        <v>6</v>
      </c>
      <c r="Q223" s="19">
        <v>7</v>
      </c>
      <c r="R223" s="19">
        <v>5</v>
      </c>
      <c r="S223" s="19">
        <v>6</v>
      </c>
      <c r="T223" s="19">
        <v>4</v>
      </c>
      <c r="U223" s="19">
        <v>6</v>
      </c>
      <c r="V223" s="19">
        <v>4</v>
      </c>
      <c r="W223" s="19"/>
      <c r="X223" s="19"/>
      <c r="Y223" s="20">
        <f t="shared" si="12"/>
        <v>23</v>
      </c>
      <c r="Z223" s="20">
        <f t="shared" si="11"/>
        <v>19</v>
      </c>
      <c r="AA223" s="21">
        <f t="shared" si="10"/>
        <v>0.54761904761904767</v>
      </c>
    </row>
    <row r="224" spans="1:27" x14ac:dyDescent="0.4">
      <c r="A224" s="22">
        <f>wimbledons_champions!A232</f>
        <v>1900</v>
      </c>
      <c r="B224" s="25" t="str">
        <f>wimbledons_champions!B232</f>
        <v>Women's</v>
      </c>
      <c r="C224" s="25" t="s">
        <v>323</v>
      </c>
      <c r="D224" s="22" t="s">
        <v>15</v>
      </c>
      <c r="E224" s="25" t="s">
        <v>498</v>
      </c>
      <c r="G224" s="22">
        <f>wimbledons_champions!G232</f>
        <v>0</v>
      </c>
      <c r="H224" s="25" t="str">
        <f>wimbledons_champions!H232</f>
        <v>4-6, 6-4, 6-4</v>
      </c>
      <c r="I224" s="25" t="s">
        <v>331</v>
      </c>
      <c r="J224" s="22" t="s">
        <v>15</v>
      </c>
      <c r="K224" s="25" t="s">
        <v>498</v>
      </c>
      <c r="M224" s="18">
        <v>0.53333333333333333</v>
      </c>
      <c r="N224" s="18"/>
      <c r="O224" s="19" t="s">
        <v>743</v>
      </c>
      <c r="P224" s="19">
        <v>6</v>
      </c>
      <c r="Q224" s="19">
        <v>6</v>
      </c>
      <c r="R224" s="19">
        <v>4</v>
      </c>
      <c r="S224" s="19">
        <v>6</v>
      </c>
      <c r="T224" s="19">
        <v>4</v>
      </c>
      <c r="U224" s="19"/>
      <c r="V224" s="19"/>
      <c r="W224" s="19"/>
      <c r="X224" s="19"/>
      <c r="Y224" s="20">
        <f t="shared" si="12"/>
        <v>16</v>
      </c>
      <c r="Z224" s="20">
        <f t="shared" si="11"/>
        <v>14</v>
      </c>
      <c r="AA224" s="21">
        <f t="shared" si="10"/>
        <v>0.53333333333333333</v>
      </c>
    </row>
    <row r="225" spans="1:27" x14ac:dyDescent="0.4">
      <c r="A225" s="22">
        <f>wimbledons_champions!A233</f>
        <v>1900</v>
      </c>
      <c r="B225" s="25" t="str">
        <f>wimbledons_champions!B233</f>
        <v>Men's</v>
      </c>
      <c r="C225" s="25" t="s">
        <v>37</v>
      </c>
      <c r="D225" s="22" t="s">
        <v>15</v>
      </c>
      <c r="E225" s="25" t="s">
        <v>498</v>
      </c>
      <c r="G225" s="22">
        <f>wimbledons_champions!G233</f>
        <v>0</v>
      </c>
      <c r="H225" s="25" t="str">
        <f>wimbledons_champions!H233</f>
        <v>6-8, 6-3, 6-1, 6-2</v>
      </c>
      <c r="I225" s="25" t="s">
        <v>64</v>
      </c>
      <c r="J225" s="22" t="s">
        <v>15</v>
      </c>
      <c r="K225" s="25" t="s">
        <v>498</v>
      </c>
      <c r="M225" s="18">
        <v>0.63157894736842102</v>
      </c>
      <c r="N225" s="18"/>
      <c r="O225" s="19" t="s">
        <v>741</v>
      </c>
      <c r="P225" s="19">
        <v>8</v>
      </c>
      <c r="Q225" s="19">
        <v>6</v>
      </c>
      <c r="R225" s="19">
        <v>3</v>
      </c>
      <c r="S225" s="19">
        <v>6</v>
      </c>
      <c r="T225" s="19">
        <v>1</v>
      </c>
      <c r="U225" s="19">
        <v>6</v>
      </c>
      <c r="V225" s="19">
        <v>2</v>
      </c>
      <c r="W225" s="19"/>
      <c r="X225" s="19"/>
      <c r="Y225" s="20">
        <f t="shared" si="12"/>
        <v>24</v>
      </c>
      <c r="Z225" s="20">
        <f t="shared" si="11"/>
        <v>14</v>
      </c>
      <c r="AA225" s="21">
        <f t="shared" si="10"/>
        <v>0.63157894736842102</v>
      </c>
    </row>
    <row r="226" spans="1:27" x14ac:dyDescent="0.4">
      <c r="A226" s="22">
        <f>wimbledons_champions!A234</f>
        <v>1899</v>
      </c>
      <c r="B226" s="25" t="str">
        <f>wimbledons_champions!B234</f>
        <v>Women's</v>
      </c>
      <c r="C226" s="25" t="s">
        <v>323</v>
      </c>
      <c r="D226" s="22" t="s">
        <v>15</v>
      </c>
      <c r="E226" s="25" t="s">
        <v>498</v>
      </c>
      <c r="G226" s="22">
        <f>wimbledons_champions!G234</f>
        <v>0</v>
      </c>
      <c r="H226" s="25" t="str">
        <f>wimbledons_champions!H234</f>
        <v>6-2, 6-3</v>
      </c>
      <c r="I226" s="25" t="s">
        <v>331</v>
      </c>
      <c r="J226" s="22" t="s">
        <v>15</v>
      </c>
      <c r="K226" s="25" t="s">
        <v>498</v>
      </c>
      <c r="M226" s="18">
        <v>0.70588235294117652</v>
      </c>
      <c r="N226" s="18"/>
      <c r="O226" s="19" t="s">
        <v>741</v>
      </c>
      <c r="P226" s="19">
        <v>2</v>
      </c>
      <c r="Q226" s="19">
        <v>6</v>
      </c>
      <c r="R226" s="19">
        <v>3</v>
      </c>
      <c r="S226" s="19"/>
      <c r="T226" s="19"/>
      <c r="U226" s="19"/>
      <c r="V226" s="19"/>
      <c r="W226" s="19"/>
      <c r="X226" s="19"/>
      <c r="Y226" s="20">
        <f t="shared" si="12"/>
        <v>12</v>
      </c>
      <c r="Z226" s="20">
        <f t="shared" si="11"/>
        <v>5</v>
      </c>
      <c r="AA226" s="21">
        <f t="shared" si="10"/>
        <v>0.70588235294117652</v>
      </c>
    </row>
    <row r="227" spans="1:27" x14ac:dyDescent="0.4">
      <c r="A227" s="22">
        <f>wimbledons_champions!A235</f>
        <v>1899</v>
      </c>
      <c r="B227" s="25" t="str">
        <f>wimbledons_champions!B235</f>
        <v>Men's</v>
      </c>
      <c r="C227" s="25" t="s">
        <v>37</v>
      </c>
      <c r="D227" s="22" t="s">
        <v>15</v>
      </c>
      <c r="E227" s="25" t="s">
        <v>498</v>
      </c>
      <c r="G227" s="22">
        <f>wimbledons_champions!G235</f>
        <v>0</v>
      </c>
      <c r="H227" s="25" t="str">
        <f>wimbledons_champions!H235</f>
        <v>1-6, 4-6, 6-3, 6-3, 6-3</v>
      </c>
      <c r="I227" s="25" t="s">
        <v>18</v>
      </c>
      <c r="J227" s="22" t="s">
        <v>15</v>
      </c>
      <c r="K227" s="25" t="s">
        <v>498</v>
      </c>
      <c r="M227" s="18">
        <v>0.52272727272727271</v>
      </c>
      <c r="N227" s="18"/>
      <c r="O227" s="19" t="s">
        <v>749</v>
      </c>
      <c r="P227" s="19">
        <v>6</v>
      </c>
      <c r="Q227" s="19">
        <v>4</v>
      </c>
      <c r="R227" s="19">
        <v>6</v>
      </c>
      <c r="S227" s="19">
        <v>6</v>
      </c>
      <c r="T227" s="19">
        <v>3</v>
      </c>
      <c r="U227" s="19">
        <v>6</v>
      </c>
      <c r="V227" s="19">
        <v>3</v>
      </c>
      <c r="W227" s="19" t="s">
        <v>741</v>
      </c>
      <c r="X227" s="19">
        <v>3</v>
      </c>
      <c r="Y227" s="20">
        <f t="shared" si="12"/>
        <v>23</v>
      </c>
      <c r="Z227" s="20">
        <f t="shared" si="11"/>
        <v>21</v>
      </c>
      <c r="AA227" s="21">
        <f t="shared" si="10"/>
        <v>0.52272727272727271</v>
      </c>
    </row>
    <row r="228" spans="1:27" x14ac:dyDescent="0.4">
      <c r="A228" s="22">
        <f>wimbledons_champions!A236</f>
        <v>1898</v>
      </c>
      <c r="B228" s="25" t="str">
        <f>wimbledons_champions!B236</f>
        <v>Women's</v>
      </c>
      <c r="C228" s="25" t="s">
        <v>331</v>
      </c>
      <c r="D228" s="22" t="s">
        <v>15</v>
      </c>
      <c r="E228" s="25" t="s">
        <v>498</v>
      </c>
      <c r="G228" s="22">
        <f>wimbledons_champions!G236</f>
        <v>0</v>
      </c>
      <c r="H228" s="25" t="str">
        <f>wimbledons_champions!H236</f>
        <v>6-4, 6-4</v>
      </c>
      <c r="I228" s="25" t="s">
        <v>334</v>
      </c>
      <c r="J228" s="22" t="s">
        <v>15</v>
      </c>
      <c r="K228" s="25" t="s">
        <v>498</v>
      </c>
      <c r="M228" s="18">
        <v>0.6</v>
      </c>
      <c r="N228" s="18"/>
      <c r="O228" s="19" t="s">
        <v>741</v>
      </c>
      <c r="P228" s="19">
        <v>4</v>
      </c>
      <c r="Q228" s="19">
        <v>6</v>
      </c>
      <c r="R228" s="19">
        <v>4</v>
      </c>
      <c r="S228" s="19"/>
      <c r="T228" s="19"/>
      <c r="U228" s="19"/>
      <c r="V228" s="19"/>
      <c r="W228" s="19"/>
      <c r="X228" s="19"/>
      <c r="Y228" s="20">
        <f t="shared" si="12"/>
        <v>12</v>
      </c>
      <c r="Z228" s="20">
        <f t="shared" si="11"/>
        <v>8</v>
      </c>
      <c r="AA228" s="21">
        <f t="shared" si="10"/>
        <v>0.6</v>
      </c>
    </row>
    <row r="229" spans="1:27" x14ac:dyDescent="0.4">
      <c r="A229" s="22">
        <f>wimbledons_champions!A237</f>
        <v>1898</v>
      </c>
      <c r="B229" s="25" t="str">
        <f>wimbledons_champions!B237</f>
        <v>Men's</v>
      </c>
      <c r="C229" s="25" t="s">
        <v>37</v>
      </c>
      <c r="D229" s="22" t="s">
        <v>15</v>
      </c>
      <c r="E229" s="25" t="s">
        <v>498</v>
      </c>
      <c r="G229" s="22">
        <f>wimbledons_champions!G237</f>
        <v>55</v>
      </c>
      <c r="H229" s="25" t="str">
        <f>wimbledons_champions!H237</f>
        <v>6-3, 6-3, 2-6, 5-7, 6-1</v>
      </c>
      <c r="I229" s="25" t="s">
        <v>31</v>
      </c>
      <c r="J229" s="22" t="s">
        <v>15</v>
      </c>
      <c r="K229" s="25" t="s">
        <v>498</v>
      </c>
      <c r="M229" s="18">
        <v>0.55555555555555558</v>
      </c>
      <c r="N229" s="18"/>
      <c r="O229" s="19" t="s">
        <v>741</v>
      </c>
      <c r="P229" s="19">
        <v>3</v>
      </c>
      <c r="Q229" s="19">
        <v>6</v>
      </c>
      <c r="R229" s="19">
        <v>3</v>
      </c>
      <c r="S229" s="19">
        <v>2</v>
      </c>
      <c r="T229" s="19">
        <v>6</v>
      </c>
      <c r="U229" s="19">
        <v>5</v>
      </c>
      <c r="V229" s="19">
        <v>7</v>
      </c>
      <c r="W229" s="19" t="s">
        <v>741</v>
      </c>
      <c r="X229" s="19">
        <v>1</v>
      </c>
      <c r="Y229" s="20">
        <f t="shared" si="12"/>
        <v>25</v>
      </c>
      <c r="Z229" s="20">
        <f t="shared" si="11"/>
        <v>20</v>
      </c>
      <c r="AA229" s="21">
        <f t="shared" si="10"/>
        <v>0.55555555555555558</v>
      </c>
    </row>
    <row r="230" spans="1:27" x14ac:dyDescent="0.4">
      <c r="A230" s="22">
        <f>wimbledons_champions!A238</f>
        <v>1897</v>
      </c>
      <c r="B230" s="25" t="str">
        <f>wimbledons_champions!B238</f>
        <v>Women's</v>
      </c>
      <c r="C230" s="25" t="s">
        <v>323</v>
      </c>
      <c r="D230" s="22" t="s">
        <v>15</v>
      </c>
      <c r="E230" s="25" t="s">
        <v>498</v>
      </c>
      <c r="G230" s="22">
        <f>wimbledons_champions!G238</f>
        <v>0</v>
      </c>
      <c r="H230" s="25" t="str">
        <f>wimbledons_champions!H238</f>
        <v>5-7, 7-5, 6-2</v>
      </c>
      <c r="I230" s="25" t="s">
        <v>331</v>
      </c>
      <c r="J230" s="22" t="s">
        <v>15</v>
      </c>
      <c r="K230" s="25" t="s">
        <v>498</v>
      </c>
      <c r="M230" s="18">
        <v>0.5625</v>
      </c>
      <c r="N230" s="18"/>
      <c r="O230" s="19" t="s">
        <v>744</v>
      </c>
      <c r="P230" s="19">
        <v>7</v>
      </c>
      <c r="Q230" s="19">
        <v>7</v>
      </c>
      <c r="R230" s="19">
        <v>5</v>
      </c>
      <c r="S230" s="19">
        <v>6</v>
      </c>
      <c r="T230" s="19">
        <v>2</v>
      </c>
      <c r="U230" s="19"/>
      <c r="V230" s="19"/>
      <c r="W230" s="19"/>
      <c r="X230" s="19"/>
      <c r="Y230" s="20">
        <f t="shared" si="12"/>
        <v>18</v>
      </c>
      <c r="Z230" s="20">
        <f t="shared" si="11"/>
        <v>14</v>
      </c>
      <c r="AA230" s="21">
        <f t="shared" si="10"/>
        <v>0.5625</v>
      </c>
    </row>
    <row r="231" spans="1:27" x14ac:dyDescent="0.4">
      <c r="A231" s="22">
        <f>wimbledons_champions!A239</f>
        <v>1897</v>
      </c>
      <c r="B231" s="25" t="str">
        <f>wimbledons_champions!B239</f>
        <v>Men's</v>
      </c>
      <c r="C231" s="25" t="s">
        <v>37</v>
      </c>
      <c r="D231" s="22" t="s">
        <v>15</v>
      </c>
      <c r="E231" s="25" t="s">
        <v>498</v>
      </c>
      <c r="G231" s="22">
        <f>wimbledons_champions!G239</f>
        <v>67</v>
      </c>
      <c r="H231" s="25" t="str">
        <f>wimbledons_champions!H239</f>
        <v>6-4, 6-4, 6-3</v>
      </c>
      <c r="I231" s="25" t="s">
        <v>47</v>
      </c>
      <c r="J231" s="22" t="s">
        <v>15</v>
      </c>
      <c r="K231" s="25" t="s">
        <v>498</v>
      </c>
      <c r="M231" s="18">
        <v>0.62068965517241381</v>
      </c>
      <c r="N231" s="18"/>
      <c r="O231" s="19" t="s">
        <v>741</v>
      </c>
      <c r="P231" s="19">
        <v>4</v>
      </c>
      <c r="Q231" s="19">
        <v>6</v>
      </c>
      <c r="R231" s="19">
        <v>4</v>
      </c>
      <c r="S231" s="19">
        <v>6</v>
      </c>
      <c r="T231" s="19">
        <v>3</v>
      </c>
      <c r="U231" s="19"/>
      <c r="V231" s="19"/>
      <c r="W231" s="19"/>
      <c r="X231" s="19"/>
      <c r="Y231" s="20">
        <f t="shared" si="12"/>
        <v>18</v>
      </c>
      <c r="Z231" s="20">
        <f t="shared" si="11"/>
        <v>11</v>
      </c>
      <c r="AA231" s="21">
        <f t="shared" si="10"/>
        <v>0.62068965517241381</v>
      </c>
    </row>
    <row r="232" spans="1:27" x14ac:dyDescent="0.4">
      <c r="A232" s="22">
        <f>wimbledons_champions!A240</f>
        <v>1896</v>
      </c>
      <c r="B232" s="25" t="str">
        <f>wimbledons_champions!B240</f>
        <v>Women's</v>
      </c>
      <c r="C232" s="25" t="s">
        <v>331</v>
      </c>
      <c r="D232" s="22" t="s">
        <v>15</v>
      </c>
      <c r="E232" s="25" t="s">
        <v>498</v>
      </c>
      <c r="G232" s="22">
        <f>wimbledons_champions!G240</f>
        <v>0</v>
      </c>
      <c r="H232" s="25" t="str">
        <f>wimbledons_champions!H240</f>
        <v>6-2, 6-3</v>
      </c>
      <c r="I232" s="25" t="s">
        <v>336</v>
      </c>
      <c r="J232" s="22" t="s">
        <v>15</v>
      </c>
      <c r="K232" s="25" t="s">
        <v>498</v>
      </c>
      <c r="M232" s="18">
        <v>0.70588235294117652</v>
      </c>
      <c r="N232" s="18"/>
      <c r="O232" s="19" t="s">
        <v>741</v>
      </c>
      <c r="P232" s="19">
        <v>2</v>
      </c>
      <c r="Q232" s="19">
        <v>6</v>
      </c>
      <c r="R232" s="19">
        <v>3</v>
      </c>
      <c r="S232" s="19"/>
      <c r="T232" s="19"/>
      <c r="U232" s="19"/>
      <c r="V232" s="19"/>
      <c r="W232" s="19"/>
      <c r="X232" s="19"/>
      <c r="Y232" s="20">
        <f t="shared" si="12"/>
        <v>12</v>
      </c>
      <c r="Z232" s="20">
        <f t="shared" si="11"/>
        <v>5</v>
      </c>
      <c r="AA232" s="21">
        <f t="shared" si="10"/>
        <v>0.70588235294117652</v>
      </c>
    </row>
    <row r="233" spans="1:27" x14ac:dyDescent="0.4">
      <c r="A233" s="22">
        <f>wimbledons_champions!A241</f>
        <v>1896</v>
      </c>
      <c r="B233" s="25" t="str">
        <f>wimbledons_champions!B241</f>
        <v>Men's</v>
      </c>
      <c r="C233" s="25" t="s">
        <v>47</v>
      </c>
      <c r="D233" s="22" t="s">
        <v>15</v>
      </c>
      <c r="E233" s="25" t="s">
        <v>498</v>
      </c>
      <c r="G233" s="22">
        <f>wimbledons_champions!G241</f>
        <v>120</v>
      </c>
      <c r="H233" s="25" t="str">
        <f>wimbledons_champions!H241</f>
        <v>6-2, 6-8, 5-7, 8-6, 6-3</v>
      </c>
      <c r="I233" s="25" t="s">
        <v>48</v>
      </c>
      <c r="J233" s="22" t="s">
        <v>15</v>
      </c>
      <c r="K233" s="25" t="s">
        <v>498</v>
      </c>
      <c r="M233" s="18">
        <v>0.54385964912280704</v>
      </c>
      <c r="N233" s="18"/>
      <c r="O233" s="19" t="s">
        <v>741</v>
      </c>
      <c r="P233" s="19">
        <v>2</v>
      </c>
      <c r="Q233" s="19">
        <v>6</v>
      </c>
      <c r="R233" s="19">
        <v>8</v>
      </c>
      <c r="S233" s="19">
        <v>5</v>
      </c>
      <c r="T233" s="19">
        <v>7</v>
      </c>
      <c r="U233" s="19">
        <v>8</v>
      </c>
      <c r="V233" s="19">
        <v>6</v>
      </c>
      <c r="W233" s="19" t="s">
        <v>741</v>
      </c>
      <c r="X233" s="19">
        <v>3</v>
      </c>
      <c r="Y233" s="20">
        <f t="shared" si="12"/>
        <v>31</v>
      </c>
      <c r="Z233" s="20">
        <f t="shared" si="11"/>
        <v>26</v>
      </c>
      <c r="AA233" s="21">
        <f t="shared" si="10"/>
        <v>0.54385964912280704</v>
      </c>
    </row>
    <row r="234" spans="1:27" x14ac:dyDescent="0.4">
      <c r="A234" s="22">
        <f>wimbledons_champions!A242</f>
        <v>1895</v>
      </c>
      <c r="B234" s="25" t="str">
        <f>wimbledons_champions!B242</f>
        <v>Women's</v>
      </c>
      <c r="C234" s="25" t="s">
        <v>331</v>
      </c>
      <c r="D234" s="22" t="s">
        <v>15</v>
      </c>
      <c r="E234" s="25" t="s">
        <v>498</v>
      </c>
      <c r="G234" s="22">
        <f>wimbledons_champions!G242</f>
        <v>0</v>
      </c>
      <c r="H234" s="25" t="str">
        <f>wimbledons_champions!H242</f>
        <v>7-5, 8-6</v>
      </c>
      <c r="I234" s="25" t="s">
        <v>333</v>
      </c>
      <c r="J234" s="22" t="s">
        <v>15</v>
      </c>
      <c r="K234" s="25" t="s">
        <v>498</v>
      </c>
      <c r="M234" s="18">
        <v>0.57692307692307687</v>
      </c>
      <c r="N234" s="18"/>
      <c r="O234" s="19" t="s">
        <v>742</v>
      </c>
      <c r="P234" s="19">
        <v>5</v>
      </c>
      <c r="Q234" s="19">
        <v>8</v>
      </c>
      <c r="R234" s="19">
        <v>6</v>
      </c>
      <c r="S234" s="19"/>
      <c r="T234" s="19"/>
      <c r="U234" s="19"/>
      <c r="V234" s="19"/>
      <c r="W234" s="19"/>
      <c r="X234" s="19"/>
      <c r="Y234" s="20">
        <f t="shared" si="12"/>
        <v>15</v>
      </c>
      <c r="Z234" s="20">
        <f t="shared" si="11"/>
        <v>11</v>
      </c>
      <c r="AA234" s="21">
        <f t="shared" si="10"/>
        <v>0.57692307692307687</v>
      </c>
    </row>
    <row r="235" spans="1:27" x14ac:dyDescent="0.4">
      <c r="A235" s="22">
        <f>wimbledons_champions!A243</f>
        <v>1895</v>
      </c>
      <c r="B235" s="25" t="str">
        <f>wimbledons_champions!B243</f>
        <v>Men's</v>
      </c>
      <c r="C235" s="25" t="s">
        <v>48</v>
      </c>
      <c r="D235" s="22" t="s">
        <v>15</v>
      </c>
      <c r="E235" s="25" t="s">
        <v>498</v>
      </c>
      <c r="G235" s="22">
        <f>wimbledons_champions!G243</f>
        <v>95</v>
      </c>
      <c r="H235" s="25" t="str">
        <f>wimbledons_champions!H243</f>
        <v>4-6, 2-6, 8-6, 6-2, 6-3</v>
      </c>
      <c r="I235" s="25" t="s">
        <v>71</v>
      </c>
      <c r="J235" s="22" t="s">
        <v>15</v>
      </c>
      <c r="K235" s="25" t="s">
        <v>498</v>
      </c>
      <c r="M235" s="18">
        <v>0.53061224489795922</v>
      </c>
      <c r="N235" s="18"/>
      <c r="O235" s="19" t="s">
        <v>743</v>
      </c>
      <c r="P235" s="19">
        <v>6</v>
      </c>
      <c r="Q235" s="19">
        <v>2</v>
      </c>
      <c r="R235" s="19">
        <v>6</v>
      </c>
      <c r="S235" s="19">
        <v>8</v>
      </c>
      <c r="T235" s="19">
        <v>6</v>
      </c>
      <c r="U235" s="19">
        <v>6</v>
      </c>
      <c r="V235" s="19">
        <v>2</v>
      </c>
      <c r="W235" s="19" t="s">
        <v>741</v>
      </c>
      <c r="X235" s="19">
        <v>3</v>
      </c>
      <c r="Y235" s="20">
        <f t="shared" si="12"/>
        <v>26</v>
      </c>
      <c r="Z235" s="20">
        <f t="shared" si="11"/>
        <v>23</v>
      </c>
      <c r="AA235" s="21">
        <f t="shared" si="10"/>
        <v>0.53061224489795922</v>
      </c>
    </row>
    <row r="236" spans="1:27" x14ac:dyDescent="0.4">
      <c r="A236" s="22">
        <f>wimbledons_champions!A244</f>
        <v>1894</v>
      </c>
      <c r="B236" s="25" t="str">
        <f>wimbledons_champions!B244</f>
        <v>Women's</v>
      </c>
      <c r="C236" s="25" t="s">
        <v>323</v>
      </c>
      <c r="D236" s="22" t="s">
        <v>15</v>
      </c>
      <c r="E236" s="25" t="s">
        <v>498</v>
      </c>
      <c r="G236" s="22">
        <f>wimbledons_champions!G244</f>
        <v>0</v>
      </c>
      <c r="H236" s="25" t="str">
        <f>wimbledons_champions!H244</f>
        <v>6-1, 6-1</v>
      </c>
      <c r="I236" s="25" t="s">
        <v>345</v>
      </c>
      <c r="J236" s="22" t="s">
        <v>15</v>
      </c>
      <c r="K236" s="25" t="s">
        <v>498</v>
      </c>
      <c r="M236" s="18">
        <v>0.8571428571428571</v>
      </c>
      <c r="N236" s="18"/>
      <c r="O236" s="19" t="s">
        <v>741</v>
      </c>
      <c r="P236" s="19">
        <v>1</v>
      </c>
      <c r="Q236" s="19">
        <v>6</v>
      </c>
      <c r="R236" s="19">
        <v>1</v>
      </c>
      <c r="S236" s="19"/>
      <c r="T236" s="19"/>
      <c r="U236" s="19"/>
      <c r="V236" s="19"/>
      <c r="W236" s="19"/>
      <c r="X236" s="19"/>
      <c r="Y236" s="20">
        <f t="shared" si="12"/>
        <v>12</v>
      </c>
      <c r="Z236" s="20">
        <f t="shared" si="11"/>
        <v>2</v>
      </c>
      <c r="AA236" s="21">
        <f t="shared" ref="AA236:AA264" si="13">Y236/(Y236+Z236)</f>
        <v>0.8571428571428571</v>
      </c>
    </row>
    <row r="237" spans="1:27" x14ac:dyDescent="0.4">
      <c r="A237" s="22">
        <f>wimbledons_champions!A245</f>
        <v>1894</v>
      </c>
      <c r="B237" s="25" t="str">
        <f>wimbledons_champions!B245</f>
        <v>Men's</v>
      </c>
      <c r="C237" s="25" t="s">
        <v>50</v>
      </c>
      <c r="D237" s="22" t="s">
        <v>15</v>
      </c>
      <c r="E237" s="25" t="s">
        <v>498</v>
      </c>
      <c r="G237" s="22">
        <f>wimbledons_champions!G245</f>
        <v>117</v>
      </c>
      <c r="H237" s="25" t="str">
        <f>wimbledons_champions!H245</f>
        <v>10-8, 6-2, 8-6</v>
      </c>
      <c r="I237" s="25" t="s">
        <v>48</v>
      </c>
      <c r="J237" s="22" t="s">
        <v>15</v>
      </c>
      <c r="K237" s="25" t="s">
        <v>498</v>
      </c>
      <c r="M237" s="18">
        <v>0.6</v>
      </c>
      <c r="N237" s="18"/>
      <c r="O237" s="19" t="s">
        <v>753</v>
      </c>
      <c r="P237" s="19">
        <v>8</v>
      </c>
      <c r="Q237" s="19">
        <v>6</v>
      </c>
      <c r="R237" s="19">
        <v>2</v>
      </c>
      <c r="S237" s="19">
        <v>8</v>
      </c>
      <c r="T237" s="19">
        <v>6</v>
      </c>
      <c r="U237" s="19"/>
      <c r="V237" s="19"/>
      <c r="W237" s="19"/>
      <c r="X237" s="19"/>
      <c r="Y237" s="20">
        <f t="shared" si="12"/>
        <v>24</v>
      </c>
      <c r="Z237" s="20">
        <f t="shared" si="11"/>
        <v>16</v>
      </c>
      <c r="AA237" s="21">
        <f t="shared" si="13"/>
        <v>0.6</v>
      </c>
    </row>
    <row r="238" spans="1:27" x14ac:dyDescent="0.4">
      <c r="A238" s="22">
        <f>wimbledons_champions!A246</f>
        <v>1893</v>
      </c>
      <c r="B238" s="25" t="str">
        <f>wimbledons_champions!B246</f>
        <v>Women's</v>
      </c>
      <c r="C238" s="25" t="s">
        <v>327</v>
      </c>
      <c r="D238" s="22" t="s">
        <v>15</v>
      </c>
      <c r="E238" s="25" t="s">
        <v>498</v>
      </c>
      <c r="G238" s="22">
        <f>wimbledons_champions!G246</f>
        <v>0</v>
      </c>
      <c r="H238" s="25" t="str">
        <f>wimbledons_champions!H246</f>
        <v>6-8, 6-1, 6-4</v>
      </c>
      <c r="I238" s="25" t="s">
        <v>323</v>
      </c>
      <c r="J238" s="22" t="s">
        <v>15</v>
      </c>
      <c r="K238" s="25" t="s">
        <v>498</v>
      </c>
      <c r="M238" s="18">
        <v>0.58064516129032262</v>
      </c>
      <c r="N238" s="18"/>
      <c r="O238" s="19" t="s">
        <v>741</v>
      </c>
      <c r="P238" s="19">
        <v>8</v>
      </c>
      <c r="Q238" s="19">
        <v>6</v>
      </c>
      <c r="R238" s="19">
        <v>1</v>
      </c>
      <c r="S238" s="19">
        <v>6</v>
      </c>
      <c r="T238" s="19">
        <v>4</v>
      </c>
      <c r="U238" s="19"/>
      <c r="V238" s="19"/>
      <c r="W238" s="19"/>
      <c r="X238" s="19"/>
      <c r="Y238" s="20">
        <f t="shared" si="12"/>
        <v>18</v>
      </c>
      <c r="Z238" s="20">
        <f t="shared" si="11"/>
        <v>13</v>
      </c>
      <c r="AA238" s="21">
        <f t="shared" si="13"/>
        <v>0.58064516129032262</v>
      </c>
    </row>
    <row r="239" spans="1:27" x14ac:dyDescent="0.4">
      <c r="A239" s="22">
        <f>wimbledons_champions!A247</f>
        <v>1893</v>
      </c>
      <c r="B239" s="25" t="str">
        <f>wimbledons_champions!B247</f>
        <v>Men's</v>
      </c>
      <c r="C239" s="25" t="s">
        <v>50</v>
      </c>
      <c r="D239" s="22" t="s">
        <v>15</v>
      </c>
      <c r="E239" s="25" t="s">
        <v>498</v>
      </c>
      <c r="G239" s="22">
        <f>wimbledons_champions!G247</f>
        <v>65</v>
      </c>
      <c r="H239" s="25" t="str">
        <f>wimbledons_champions!H247</f>
        <v>3-6, 6-1, 6-3, 6-2</v>
      </c>
      <c r="I239" s="25" t="s">
        <v>48</v>
      </c>
      <c r="J239" s="22" t="s">
        <v>15</v>
      </c>
      <c r="K239" s="25" t="s">
        <v>498</v>
      </c>
      <c r="M239" s="18">
        <v>0.63636363636363635</v>
      </c>
      <c r="N239" s="18"/>
      <c r="O239" s="19" t="s">
        <v>748</v>
      </c>
      <c r="P239" s="19">
        <v>6</v>
      </c>
      <c r="Q239" s="19">
        <v>6</v>
      </c>
      <c r="R239" s="19">
        <v>1</v>
      </c>
      <c r="S239" s="19">
        <v>6</v>
      </c>
      <c r="T239" s="19">
        <v>3</v>
      </c>
      <c r="U239" s="19">
        <v>6</v>
      </c>
      <c r="V239" s="19">
        <v>2</v>
      </c>
      <c r="W239" s="19"/>
      <c r="X239" s="19"/>
      <c r="Y239" s="20">
        <f t="shared" si="12"/>
        <v>21</v>
      </c>
      <c r="Z239" s="20">
        <f t="shared" si="11"/>
        <v>12</v>
      </c>
      <c r="AA239" s="21">
        <f t="shared" si="13"/>
        <v>0.63636363636363635</v>
      </c>
    </row>
    <row r="240" spans="1:27" x14ac:dyDescent="0.4">
      <c r="A240" s="22">
        <f>wimbledons_champions!A248</f>
        <v>1892</v>
      </c>
      <c r="B240" s="25" t="str">
        <f>wimbledons_champions!B248</f>
        <v>Women's</v>
      </c>
      <c r="C240" s="25" t="s">
        <v>327</v>
      </c>
      <c r="D240" s="22" t="s">
        <v>15</v>
      </c>
      <c r="E240" s="25" t="s">
        <v>498</v>
      </c>
      <c r="G240" s="22">
        <f>wimbledons_champions!G248</f>
        <v>0</v>
      </c>
      <c r="H240" s="25" t="str">
        <f>wimbledons_champions!H248</f>
        <v>6-1, 6-1</v>
      </c>
      <c r="I240" s="25" t="s">
        <v>323</v>
      </c>
      <c r="J240" s="22" t="s">
        <v>15</v>
      </c>
      <c r="K240" s="25" t="s">
        <v>498</v>
      </c>
      <c r="M240" s="18">
        <v>0.8571428571428571</v>
      </c>
      <c r="N240" s="18"/>
      <c r="O240" s="19" t="s">
        <v>741</v>
      </c>
      <c r="P240" s="19">
        <v>1</v>
      </c>
      <c r="Q240" s="19">
        <v>6</v>
      </c>
      <c r="R240" s="19">
        <v>1</v>
      </c>
      <c r="S240" s="19"/>
      <c r="T240" s="19"/>
      <c r="U240" s="19"/>
      <c r="V240" s="19"/>
      <c r="W240" s="19"/>
      <c r="X240" s="19"/>
      <c r="Y240" s="20">
        <f t="shared" si="12"/>
        <v>12</v>
      </c>
      <c r="Z240" s="20">
        <f t="shared" si="11"/>
        <v>2</v>
      </c>
      <c r="AA240" s="21">
        <f t="shared" si="13"/>
        <v>0.8571428571428571</v>
      </c>
    </row>
    <row r="241" spans="1:27" x14ac:dyDescent="0.4">
      <c r="A241" s="22">
        <f>wimbledons_champions!A249</f>
        <v>1892</v>
      </c>
      <c r="B241" s="25" t="str">
        <f>wimbledons_champions!B249</f>
        <v>Men's</v>
      </c>
      <c r="C241" s="25" t="s">
        <v>48</v>
      </c>
      <c r="D241" s="22" t="s">
        <v>15</v>
      </c>
      <c r="E241" s="25" t="s">
        <v>498</v>
      </c>
      <c r="G241" s="22">
        <f>wimbledons_champions!G249</f>
        <v>75</v>
      </c>
      <c r="H241" s="25" t="str">
        <f>wimbledons_champions!H249</f>
        <v>4-6, 6-3, 6-3, 6-2</v>
      </c>
      <c r="I241" s="25" t="s">
        <v>50</v>
      </c>
      <c r="J241" s="22" t="s">
        <v>15</v>
      </c>
      <c r="K241" s="25" t="s">
        <v>498</v>
      </c>
      <c r="M241" s="18">
        <v>0.61111111111111116</v>
      </c>
      <c r="N241" s="18"/>
      <c r="O241" s="19" t="s">
        <v>743</v>
      </c>
      <c r="P241" s="19">
        <v>6</v>
      </c>
      <c r="Q241" s="19">
        <v>6</v>
      </c>
      <c r="R241" s="19">
        <v>3</v>
      </c>
      <c r="S241" s="19">
        <v>6</v>
      </c>
      <c r="T241" s="19">
        <v>3</v>
      </c>
      <c r="U241" s="19">
        <v>6</v>
      </c>
      <c r="V241" s="19">
        <v>2</v>
      </c>
      <c r="W241" s="19"/>
      <c r="X241" s="19"/>
      <c r="Y241" s="20">
        <f t="shared" si="12"/>
        <v>22</v>
      </c>
      <c r="Z241" s="20">
        <f t="shared" si="11"/>
        <v>14</v>
      </c>
      <c r="AA241" s="21">
        <f t="shared" si="13"/>
        <v>0.61111111111111116</v>
      </c>
    </row>
    <row r="242" spans="1:27" x14ac:dyDescent="0.4">
      <c r="A242" s="22">
        <f>wimbledons_champions!A250</f>
        <v>1891</v>
      </c>
      <c r="B242" s="25" t="str">
        <f>wimbledons_champions!B250</f>
        <v>Women's</v>
      </c>
      <c r="C242" s="25" t="s">
        <v>327</v>
      </c>
      <c r="D242" s="22" t="s">
        <v>15</v>
      </c>
      <c r="E242" s="25" t="s">
        <v>498</v>
      </c>
      <c r="G242" s="22">
        <f>wimbledons_champions!G250</f>
        <v>0</v>
      </c>
      <c r="H242" s="25" t="str">
        <f>wimbledons_champions!H250</f>
        <v>6-2, 6-1</v>
      </c>
      <c r="I242" s="25" t="s">
        <v>323</v>
      </c>
      <c r="J242" s="22" t="s">
        <v>15</v>
      </c>
      <c r="K242" s="25" t="s">
        <v>498</v>
      </c>
      <c r="M242" s="18">
        <v>0.8</v>
      </c>
      <c r="N242" s="18"/>
      <c r="O242" s="19" t="s">
        <v>741</v>
      </c>
      <c r="P242" s="19">
        <v>2</v>
      </c>
      <c r="Q242" s="19">
        <v>6</v>
      </c>
      <c r="R242" s="19">
        <v>1</v>
      </c>
      <c r="S242" s="19"/>
      <c r="T242" s="19"/>
      <c r="U242" s="19"/>
      <c r="V242" s="19"/>
      <c r="W242" s="19"/>
      <c r="X242" s="19"/>
      <c r="Y242" s="20">
        <f t="shared" si="12"/>
        <v>12</v>
      </c>
      <c r="Z242" s="20">
        <f t="shared" si="11"/>
        <v>3</v>
      </c>
      <c r="AA242" s="21">
        <f t="shared" si="13"/>
        <v>0.8</v>
      </c>
    </row>
    <row r="243" spans="1:27" x14ac:dyDescent="0.4">
      <c r="A243" s="22">
        <f>wimbledons_champions!A251</f>
        <v>1891</v>
      </c>
      <c r="B243" s="25" t="str">
        <f>wimbledons_champions!B251</f>
        <v>Men's</v>
      </c>
      <c r="C243" s="25" t="s">
        <v>48</v>
      </c>
      <c r="D243" s="22" t="s">
        <v>15</v>
      </c>
      <c r="E243" s="25" t="s">
        <v>498</v>
      </c>
      <c r="G243" s="22">
        <f>wimbledons_champions!G251</f>
        <v>0</v>
      </c>
      <c r="H243" s="25" t="str">
        <f>wimbledons_champions!H251</f>
        <v>6-4, 1-6, 7-5, 6-0</v>
      </c>
      <c r="I243" s="25" t="s">
        <v>50</v>
      </c>
      <c r="J243" s="22" t="s">
        <v>15</v>
      </c>
      <c r="K243" s="25" t="s">
        <v>498</v>
      </c>
      <c r="M243" s="18">
        <v>0.5714285714285714</v>
      </c>
      <c r="N243" s="18"/>
      <c r="O243" s="19" t="s">
        <v>741</v>
      </c>
      <c r="P243" s="19">
        <v>4</v>
      </c>
      <c r="Q243" s="19">
        <v>1</v>
      </c>
      <c r="R243" s="19">
        <v>6</v>
      </c>
      <c r="S243" s="19">
        <v>7</v>
      </c>
      <c r="T243" s="19">
        <v>5</v>
      </c>
      <c r="U243" s="19">
        <v>6</v>
      </c>
      <c r="V243" s="19">
        <v>0</v>
      </c>
      <c r="W243" s="19"/>
      <c r="X243" s="19"/>
      <c r="Y243" s="20">
        <f t="shared" si="12"/>
        <v>20</v>
      </c>
      <c r="Z243" s="20">
        <f t="shared" si="11"/>
        <v>15</v>
      </c>
      <c r="AA243" s="21">
        <f t="shared" si="13"/>
        <v>0.5714285714285714</v>
      </c>
    </row>
    <row r="244" spans="1:27" x14ac:dyDescent="0.4">
      <c r="A244" s="22">
        <f>wimbledons_champions!A252</f>
        <v>1890</v>
      </c>
      <c r="B244" s="25" t="str">
        <f>wimbledons_champions!B252</f>
        <v>Women's</v>
      </c>
      <c r="C244" s="25" t="s">
        <v>347</v>
      </c>
      <c r="D244" s="22" t="s">
        <v>15</v>
      </c>
      <c r="E244" s="25" t="s">
        <v>498</v>
      </c>
      <c r="G244" s="22">
        <f>wimbledons_champions!G252</f>
        <v>0</v>
      </c>
      <c r="H244" s="25" t="str">
        <f>wimbledons_champions!H252</f>
        <v>6-4, 6-1</v>
      </c>
      <c r="I244" s="25" t="s">
        <v>349</v>
      </c>
      <c r="J244" s="22" t="s">
        <v>15</v>
      </c>
      <c r="K244" s="25" t="s">
        <v>498</v>
      </c>
      <c r="M244" s="18">
        <v>0.70588235294117652</v>
      </c>
      <c r="N244" s="18"/>
      <c r="O244" s="19" t="s">
        <v>741</v>
      </c>
      <c r="P244" s="19">
        <v>4</v>
      </c>
      <c r="Q244" s="19">
        <v>6</v>
      </c>
      <c r="R244" s="19">
        <v>1</v>
      </c>
      <c r="S244" s="19"/>
      <c r="T244" s="19"/>
      <c r="U244" s="19"/>
      <c r="V244" s="19"/>
      <c r="W244" s="19"/>
      <c r="X244" s="19"/>
      <c r="Y244" s="20">
        <f t="shared" si="12"/>
        <v>12</v>
      </c>
      <c r="Z244" s="20">
        <f t="shared" si="11"/>
        <v>5</v>
      </c>
      <c r="AA244" s="21">
        <f t="shared" si="13"/>
        <v>0.70588235294117652</v>
      </c>
    </row>
    <row r="245" spans="1:27" x14ac:dyDescent="0.4">
      <c r="A245" s="22">
        <f>wimbledons_champions!A253</f>
        <v>1890</v>
      </c>
      <c r="B245" s="25" t="str">
        <f>wimbledons_champions!B253</f>
        <v>Men's</v>
      </c>
      <c r="C245" s="25" t="s">
        <v>81</v>
      </c>
      <c r="D245" s="22" t="s">
        <v>15</v>
      </c>
      <c r="E245" s="25" t="s">
        <v>498</v>
      </c>
      <c r="G245" s="22">
        <f>wimbledons_champions!G253</f>
        <v>96</v>
      </c>
      <c r="H245" s="25" t="str">
        <f>wimbledons_champions!H253</f>
        <v>6-8, 6-2, 3-6, 6-1, 6-1</v>
      </c>
      <c r="I245" s="25" t="s">
        <v>73</v>
      </c>
      <c r="J245" s="22" t="s">
        <v>15</v>
      </c>
      <c r="K245" s="25" t="s">
        <v>498</v>
      </c>
      <c r="M245" s="18">
        <v>0.6</v>
      </c>
      <c r="N245" s="18"/>
      <c r="O245" s="19" t="s">
        <v>741</v>
      </c>
      <c r="P245" s="19">
        <v>8</v>
      </c>
      <c r="Q245" s="19">
        <v>6</v>
      </c>
      <c r="R245" s="19">
        <v>2</v>
      </c>
      <c r="S245" s="19">
        <v>3</v>
      </c>
      <c r="T245" s="19">
        <v>6</v>
      </c>
      <c r="U245" s="19">
        <v>6</v>
      </c>
      <c r="V245" s="19">
        <v>1</v>
      </c>
      <c r="W245" s="19" t="s">
        <v>741</v>
      </c>
      <c r="X245" s="19">
        <v>1</v>
      </c>
      <c r="Y245" s="20">
        <f t="shared" si="12"/>
        <v>27</v>
      </c>
      <c r="Z245" s="20">
        <f t="shared" si="11"/>
        <v>18</v>
      </c>
      <c r="AA245" s="21">
        <f t="shared" si="13"/>
        <v>0.6</v>
      </c>
    </row>
    <row r="246" spans="1:27" x14ac:dyDescent="0.4">
      <c r="A246" s="22">
        <f>wimbledons_champions!A254</f>
        <v>1889</v>
      </c>
      <c r="B246" s="25" t="str">
        <f>wimbledons_champions!B254</f>
        <v>Women's</v>
      </c>
      <c r="C246" s="25" t="s">
        <v>323</v>
      </c>
      <c r="D246" s="22" t="s">
        <v>15</v>
      </c>
      <c r="E246" s="25" t="s">
        <v>498</v>
      </c>
      <c r="G246" s="22">
        <f>wimbledons_champions!G254</f>
        <v>0</v>
      </c>
      <c r="H246" s="25" t="str">
        <f>wimbledons_champions!H254</f>
        <v>4-6, 8-6, 6-4</v>
      </c>
      <c r="I246" s="25" t="s">
        <v>347</v>
      </c>
      <c r="J246" s="22" t="s">
        <v>15</v>
      </c>
      <c r="K246" s="25" t="s">
        <v>498</v>
      </c>
      <c r="M246" s="18">
        <v>0.52941176470588236</v>
      </c>
      <c r="N246" s="18"/>
      <c r="O246" s="19" t="s">
        <v>743</v>
      </c>
      <c r="P246" s="19">
        <v>6</v>
      </c>
      <c r="Q246" s="19">
        <v>8</v>
      </c>
      <c r="R246" s="19">
        <v>6</v>
      </c>
      <c r="S246" s="19">
        <v>6</v>
      </c>
      <c r="T246" s="19">
        <v>4</v>
      </c>
      <c r="U246" s="19"/>
      <c r="V246" s="19"/>
      <c r="W246" s="19"/>
      <c r="X246" s="19"/>
      <c r="Y246" s="20">
        <f t="shared" si="12"/>
        <v>18</v>
      </c>
      <c r="Z246" s="20">
        <f t="shared" si="11"/>
        <v>16</v>
      </c>
      <c r="AA246" s="21">
        <f t="shared" si="13"/>
        <v>0.52941176470588236</v>
      </c>
    </row>
    <row r="247" spans="1:27" x14ac:dyDescent="0.4">
      <c r="A247" s="22">
        <f>wimbledons_champions!A255</f>
        <v>1889</v>
      </c>
      <c r="B247" s="25" t="str">
        <f>wimbledons_champions!B255</f>
        <v>Men's</v>
      </c>
      <c r="C247" s="25" t="s">
        <v>73</v>
      </c>
      <c r="D247" s="22" t="s">
        <v>15</v>
      </c>
      <c r="E247" s="25" t="s">
        <v>498</v>
      </c>
      <c r="G247" s="22">
        <f>wimbledons_champions!G255</f>
        <v>63</v>
      </c>
      <c r="H247" s="25" t="str">
        <f>wimbledons_champions!H255</f>
        <v>6-4, 6-1, 3-6, 6-0</v>
      </c>
      <c r="I247" s="25" t="s">
        <v>40</v>
      </c>
      <c r="J247" s="22" t="s">
        <v>15</v>
      </c>
      <c r="K247" s="25" t="s">
        <v>498</v>
      </c>
      <c r="M247" s="18">
        <v>0.65625</v>
      </c>
      <c r="N247" s="18"/>
      <c r="O247" s="19" t="s">
        <v>741</v>
      </c>
      <c r="P247" s="19">
        <v>4</v>
      </c>
      <c r="Q247" s="19">
        <v>6</v>
      </c>
      <c r="R247" s="19">
        <v>1</v>
      </c>
      <c r="S247" s="19">
        <v>3</v>
      </c>
      <c r="T247" s="19">
        <v>6</v>
      </c>
      <c r="U247" s="19">
        <v>6</v>
      </c>
      <c r="V247" s="19">
        <v>0</v>
      </c>
      <c r="W247" s="19"/>
      <c r="X247" s="19"/>
      <c r="Y247" s="20">
        <f t="shared" si="12"/>
        <v>21</v>
      </c>
      <c r="Z247" s="20">
        <f t="shared" si="11"/>
        <v>11</v>
      </c>
      <c r="AA247" s="21">
        <f t="shared" si="13"/>
        <v>0.65625</v>
      </c>
    </row>
    <row r="248" spans="1:27" x14ac:dyDescent="0.4">
      <c r="A248" s="22">
        <f>wimbledons_champions!A256</f>
        <v>1888</v>
      </c>
      <c r="B248" s="25" t="str">
        <f>wimbledons_champions!B256</f>
        <v>Women's</v>
      </c>
      <c r="C248" s="25" t="s">
        <v>327</v>
      </c>
      <c r="D248" s="22" t="s">
        <v>15</v>
      </c>
      <c r="E248" s="25" t="s">
        <v>498</v>
      </c>
      <c r="G248" s="22">
        <f>wimbledons_champions!G256</f>
        <v>0</v>
      </c>
      <c r="H248" s="25" t="str">
        <f>wimbledons_champions!H256</f>
        <v>6-3, 6-3</v>
      </c>
      <c r="I248" s="25" t="s">
        <v>323</v>
      </c>
      <c r="J248" s="22" t="s">
        <v>15</v>
      </c>
      <c r="K248" s="25" t="s">
        <v>498</v>
      </c>
      <c r="M248" s="18">
        <v>0.66666666666666663</v>
      </c>
      <c r="N248" s="18"/>
      <c r="O248" s="19" t="s">
        <v>741</v>
      </c>
      <c r="P248" s="19">
        <v>3</v>
      </c>
      <c r="Q248" s="19">
        <v>6</v>
      </c>
      <c r="R248" s="19">
        <v>3</v>
      </c>
      <c r="S248" s="19"/>
      <c r="T248" s="19"/>
      <c r="U248" s="19"/>
      <c r="V248" s="19"/>
      <c r="W248" s="19"/>
      <c r="X248" s="19"/>
      <c r="Y248" s="20">
        <f t="shared" si="12"/>
        <v>12</v>
      </c>
      <c r="Z248" s="20">
        <f t="shared" si="11"/>
        <v>6</v>
      </c>
      <c r="AA248" s="21">
        <f t="shared" si="13"/>
        <v>0.66666666666666663</v>
      </c>
    </row>
    <row r="249" spans="1:27" x14ac:dyDescent="0.4">
      <c r="A249" s="22">
        <f>wimbledons_champions!A257</f>
        <v>1888</v>
      </c>
      <c r="B249" s="25" t="str">
        <f>wimbledons_champions!B257</f>
        <v>Men's</v>
      </c>
      <c r="C249" s="25" t="s">
        <v>40</v>
      </c>
      <c r="D249" s="22" t="s">
        <v>15</v>
      </c>
      <c r="E249" s="25" t="s">
        <v>498</v>
      </c>
      <c r="G249" s="22">
        <f>wimbledons_champions!G257</f>
        <v>51</v>
      </c>
      <c r="H249" s="25" t="str">
        <f>wimbledons_champions!H257</f>
        <v>6-3, 7-5, 6-0</v>
      </c>
      <c r="I249" s="25" t="s">
        <v>39</v>
      </c>
      <c r="J249" s="22" t="s">
        <v>15</v>
      </c>
      <c r="K249" s="25" t="s">
        <v>498</v>
      </c>
      <c r="M249" s="18">
        <v>0.70370370370370372</v>
      </c>
      <c r="N249" s="18"/>
      <c r="O249" s="19" t="s">
        <v>741</v>
      </c>
      <c r="P249" s="19">
        <v>3</v>
      </c>
      <c r="Q249" s="19">
        <v>7</v>
      </c>
      <c r="R249" s="19">
        <v>5</v>
      </c>
      <c r="S249" s="19">
        <v>6</v>
      </c>
      <c r="T249" s="19">
        <v>0</v>
      </c>
      <c r="U249" s="19"/>
      <c r="V249" s="19"/>
      <c r="W249" s="19"/>
      <c r="X249" s="19"/>
      <c r="Y249" s="20">
        <f t="shared" si="12"/>
        <v>19</v>
      </c>
      <c r="Z249" s="20">
        <f t="shared" si="11"/>
        <v>8</v>
      </c>
      <c r="AA249" s="21">
        <f t="shared" si="13"/>
        <v>0.70370370370370372</v>
      </c>
    </row>
    <row r="250" spans="1:27" x14ac:dyDescent="0.4">
      <c r="A250" s="22">
        <f>wimbledons_champions!A258</f>
        <v>1887</v>
      </c>
      <c r="B250" s="25" t="str">
        <f>wimbledons_champions!B258</f>
        <v>Women's</v>
      </c>
      <c r="C250" s="25" t="s">
        <v>327</v>
      </c>
      <c r="D250" s="22" t="s">
        <v>15</v>
      </c>
      <c r="E250" s="25" t="s">
        <v>498</v>
      </c>
      <c r="G250" s="22">
        <f>wimbledons_champions!G258</f>
        <v>0</v>
      </c>
      <c r="H250" s="25" t="str">
        <f>wimbledons_champions!H258</f>
        <v>6-2, 6-0</v>
      </c>
      <c r="I250" s="25" t="s">
        <v>323</v>
      </c>
      <c r="J250" s="22" t="s">
        <v>15</v>
      </c>
      <c r="K250" s="25" t="s">
        <v>498</v>
      </c>
      <c r="M250" s="18">
        <v>0.8571428571428571</v>
      </c>
      <c r="N250" s="18"/>
      <c r="O250" s="19" t="s">
        <v>741</v>
      </c>
      <c r="P250" s="19">
        <v>2</v>
      </c>
      <c r="Q250" s="19">
        <v>6</v>
      </c>
      <c r="R250" s="19">
        <v>0</v>
      </c>
      <c r="S250" s="19"/>
      <c r="T250" s="19"/>
      <c r="U250" s="19"/>
      <c r="V250" s="19"/>
      <c r="W250" s="19"/>
      <c r="X250" s="19"/>
      <c r="Y250" s="20">
        <f t="shared" si="12"/>
        <v>12</v>
      </c>
      <c r="Z250" s="20">
        <f t="shared" si="11"/>
        <v>2</v>
      </c>
      <c r="AA250" s="21">
        <f t="shared" si="13"/>
        <v>0.8571428571428571</v>
      </c>
    </row>
    <row r="251" spans="1:27" x14ac:dyDescent="0.4">
      <c r="A251" s="22">
        <f>wimbledons_champions!A259</f>
        <v>1887</v>
      </c>
      <c r="B251" s="25" t="str">
        <f>wimbledons_champions!B259</f>
        <v>Men's</v>
      </c>
      <c r="C251" s="25" t="s">
        <v>39</v>
      </c>
      <c r="D251" s="22" t="s">
        <v>15</v>
      </c>
      <c r="E251" s="25" t="s">
        <v>498</v>
      </c>
      <c r="G251" s="22">
        <f>wimbledons_champions!G259</f>
        <v>120</v>
      </c>
      <c r="H251" s="25" t="str">
        <f>wimbledons_champions!H259</f>
        <v>1-6, 6-3, 3-6, 6-4, 6-4</v>
      </c>
      <c r="I251" s="25" t="s">
        <v>40</v>
      </c>
      <c r="J251" s="22" t="s">
        <v>15</v>
      </c>
      <c r="K251" s="25" t="s">
        <v>498</v>
      </c>
      <c r="M251" s="18">
        <v>0.48888888888888887</v>
      </c>
      <c r="N251" s="18"/>
      <c r="O251" s="19" t="s">
        <v>749</v>
      </c>
      <c r="P251" s="19">
        <v>6</v>
      </c>
      <c r="Q251" s="19">
        <v>6</v>
      </c>
      <c r="R251" s="19">
        <v>3</v>
      </c>
      <c r="S251" s="19">
        <v>3</v>
      </c>
      <c r="T251" s="19">
        <v>6</v>
      </c>
      <c r="U251" s="19">
        <v>6</v>
      </c>
      <c r="V251" s="19">
        <v>4</v>
      </c>
      <c r="W251" s="19" t="s">
        <v>741</v>
      </c>
      <c r="X251" s="19">
        <v>4</v>
      </c>
      <c r="Y251" s="20">
        <f t="shared" si="12"/>
        <v>22</v>
      </c>
      <c r="Z251" s="20">
        <f t="shared" si="11"/>
        <v>23</v>
      </c>
      <c r="AA251" s="21">
        <f t="shared" si="13"/>
        <v>0.48888888888888887</v>
      </c>
    </row>
    <row r="252" spans="1:27" x14ac:dyDescent="0.4">
      <c r="A252" s="22">
        <f>wimbledons_champions!A260</f>
        <v>1886</v>
      </c>
      <c r="B252" s="25" t="str">
        <f>wimbledons_champions!B260</f>
        <v>Women's</v>
      </c>
      <c r="C252" s="25" t="s">
        <v>323</v>
      </c>
      <c r="D252" s="22" t="s">
        <v>15</v>
      </c>
      <c r="E252" s="25" t="s">
        <v>498</v>
      </c>
      <c r="G252" s="22">
        <f>wimbledons_champions!G260</f>
        <v>0</v>
      </c>
      <c r="H252" s="25" t="str">
        <f>wimbledons_champions!H260</f>
        <v>6-3, 6-3</v>
      </c>
      <c r="I252" s="25" t="s">
        <v>352</v>
      </c>
      <c r="J252" s="22" t="s">
        <v>15</v>
      </c>
      <c r="K252" s="25" t="s">
        <v>498</v>
      </c>
      <c r="M252" s="18">
        <v>0.66666666666666663</v>
      </c>
      <c r="N252" s="18"/>
      <c r="O252" s="19" t="s">
        <v>741</v>
      </c>
      <c r="P252" s="19">
        <v>3</v>
      </c>
      <c r="Q252" s="19">
        <v>6</v>
      </c>
      <c r="R252" s="19">
        <v>3</v>
      </c>
      <c r="S252" s="19"/>
      <c r="T252" s="19"/>
      <c r="U252" s="19"/>
      <c r="V252" s="19"/>
      <c r="W252" s="19"/>
      <c r="X252" s="19"/>
      <c r="Y252" s="20">
        <f t="shared" si="12"/>
        <v>12</v>
      </c>
      <c r="Z252" s="20">
        <f t="shared" si="11"/>
        <v>6</v>
      </c>
      <c r="AA252" s="21">
        <f t="shared" si="13"/>
        <v>0.66666666666666663</v>
      </c>
    </row>
    <row r="253" spans="1:27" x14ac:dyDescent="0.4">
      <c r="A253" s="22">
        <f>wimbledons_champions!A261</f>
        <v>1886</v>
      </c>
      <c r="B253" s="25" t="str">
        <f>wimbledons_champions!B261</f>
        <v>Men's</v>
      </c>
      <c r="C253" s="25" t="s">
        <v>73</v>
      </c>
      <c r="D253" s="22" t="s">
        <v>15</v>
      </c>
      <c r="E253" s="25" t="s">
        <v>498</v>
      </c>
      <c r="G253" s="22">
        <f>wimbledons_champions!G261</f>
        <v>96</v>
      </c>
      <c r="H253" s="25" t="str">
        <f>wimbledons_champions!H261</f>
        <v>6-0, 5-7, 6-3, 6-4</v>
      </c>
      <c r="I253" s="25" t="s">
        <v>39</v>
      </c>
      <c r="J253" s="22" t="s">
        <v>15</v>
      </c>
      <c r="K253" s="25" t="s">
        <v>498</v>
      </c>
      <c r="M253" s="18">
        <v>0.6216216216216216</v>
      </c>
      <c r="N253" s="18"/>
      <c r="O253" s="19" t="s">
        <v>741</v>
      </c>
      <c r="P253" s="19">
        <v>0</v>
      </c>
      <c r="Q253" s="19">
        <v>5</v>
      </c>
      <c r="R253" s="19">
        <v>7</v>
      </c>
      <c r="S253" s="19">
        <v>6</v>
      </c>
      <c r="T253" s="19">
        <v>3</v>
      </c>
      <c r="U253" s="19">
        <v>6</v>
      </c>
      <c r="V253" s="19">
        <v>4</v>
      </c>
      <c r="W253" s="19"/>
      <c r="X253" s="19"/>
      <c r="Y253" s="20">
        <f t="shared" si="12"/>
        <v>23</v>
      </c>
      <c r="Z253" s="20">
        <f t="shared" si="11"/>
        <v>14</v>
      </c>
      <c r="AA253" s="21">
        <f t="shared" si="13"/>
        <v>0.6216216216216216</v>
      </c>
    </row>
    <row r="254" spans="1:27" x14ac:dyDescent="0.4">
      <c r="A254" s="22">
        <f>wimbledons_champions!A262</f>
        <v>1885</v>
      </c>
      <c r="B254" s="25" t="str">
        <f>wimbledons_champions!B262</f>
        <v>Women's</v>
      </c>
      <c r="C254" s="25" t="s">
        <v>352</v>
      </c>
      <c r="D254" s="22" t="s">
        <v>15</v>
      </c>
      <c r="E254" s="25" t="s">
        <v>498</v>
      </c>
      <c r="G254" s="22">
        <f>wimbledons_champions!G262</f>
        <v>0</v>
      </c>
      <c r="H254" s="25" t="str">
        <f>wimbledons_champions!H262</f>
        <v>6-1, 7-5</v>
      </c>
      <c r="I254" s="25" t="s">
        <v>323</v>
      </c>
      <c r="J254" s="22" t="s">
        <v>15</v>
      </c>
      <c r="K254" s="25" t="s">
        <v>498</v>
      </c>
      <c r="M254" s="18">
        <v>0.68421052631578949</v>
      </c>
      <c r="N254" s="18"/>
      <c r="O254" s="19" t="s">
        <v>741</v>
      </c>
      <c r="P254" s="19">
        <v>1</v>
      </c>
      <c r="Q254" s="19">
        <v>7</v>
      </c>
      <c r="R254" s="19">
        <v>5</v>
      </c>
      <c r="S254" s="19"/>
      <c r="T254" s="19"/>
      <c r="U254" s="19"/>
      <c r="V254" s="19"/>
      <c r="W254" s="19"/>
      <c r="X254" s="19"/>
      <c r="Y254" s="20">
        <f t="shared" si="12"/>
        <v>13</v>
      </c>
      <c r="Z254" s="20">
        <f t="shared" si="11"/>
        <v>6</v>
      </c>
      <c r="AA254" s="21">
        <f t="shared" si="13"/>
        <v>0.68421052631578949</v>
      </c>
    </row>
    <row r="255" spans="1:27" x14ac:dyDescent="0.4">
      <c r="A255" s="22">
        <f>wimbledons_champions!A263</f>
        <v>1885</v>
      </c>
      <c r="B255" s="25" t="str">
        <f>wimbledons_champions!B263</f>
        <v>Men's</v>
      </c>
      <c r="C255" s="25" t="s">
        <v>73</v>
      </c>
      <c r="D255" s="22" t="s">
        <v>15</v>
      </c>
      <c r="E255" s="25" t="s">
        <v>498</v>
      </c>
      <c r="G255" s="22">
        <f>wimbledons_champions!G263</f>
        <v>122</v>
      </c>
      <c r="H255" s="25" t="str">
        <f>wimbledons_champions!H263</f>
        <v>7-5, 6-2, 4-6, 7-5</v>
      </c>
      <c r="I255" s="25" t="s">
        <v>39</v>
      </c>
      <c r="J255" s="22" t="s">
        <v>15</v>
      </c>
      <c r="K255" s="25" t="s">
        <v>498</v>
      </c>
      <c r="M255" s="18">
        <v>0.5714285714285714</v>
      </c>
      <c r="N255" s="18"/>
      <c r="O255" s="19" t="s">
        <v>742</v>
      </c>
      <c r="P255" s="19">
        <v>5</v>
      </c>
      <c r="Q255" s="19">
        <v>6</v>
      </c>
      <c r="R255" s="19">
        <v>2</v>
      </c>
      <c r="S255" s="19">
        <v>4</v>
      </c>
      <c r="T255" s="19">
        <v>6</v>
      </c>
      <c r="U255" s="19">
        <v>7</v>
      </c>
      <c r="V255" s="19">
        <v>5</v>
      </c>
      <c r="W255" s="19"/>
      <c r="X255" s="19"/>
      <c r="Y255" s="20">
        <f t="shared" si="12"/>
        <v>24</v>
      </c>
      <c r="Z255" s="20">
        <f t="shared" si="11"/>
        <v>18</v>
      </c>
      <c r="AA255" s="21">
        <f t="shared" si="13"/>
        <v>0.5714285714285714</v>
      </c>
    </row>
    <row r="256" spans="1:27" x14ac:dyDescent="0.4">
      <c r="A256" s="22">
        <f>wimbledons_champions!A264</f>
        <v>1884</v>
      </c>
      <c r="B256" s="25" t="str">
        <f>wimbledons_champions!B264</f>
        <v>Women's</v>
      </c>
      <c r="C256" s="25" t="s">
        <v>352</v>
      </c>
      <c r="D256" s="22" t="s">
        <v>15</v>
      </c>
      <c r="E256" s="25" t="s">
        <v>498</v>
      </c>
      <c r="G256" s="22">
        <f>wimbledons_champions!G264</f>
        <v>0</v>
      </c>
      <c r="H256" s="25" t="str">
        <f>wimbledons_champions!H264</f>
        <v>6-8, 6-3, 6-3</v>
      </c>
      <c r="I256" s="25" t="s">
        <v>356</v>
      </c>
      <c r="J256" s="22" t="s">
        <v>15</v>
      </c>
      <c r="K256" s="25" t="s">
        <v>498</v>
      </c>
      <c r="M256" s="18">
        <v>0.5625</v>
      </c>
      <c r="N256" s="18"/>
      <c r="O256" s="19" t="s">
        <v>741</v>
      </c>
      <c r="P256" s="19">
        <v>8</v>
      </c>
      <c r="Q256" s="19">
        <v>6</v>
      </c>
      <c r="R256" s="19">
        <v>3</v>
      </c>
      <c r="S256" s="19">
        <v>6</v>
      </c>
      <c r="T256" s="19">
        <v>3</v>
      </c>
      <c r="U256" s="19"/>
      <c r="V256" s="19"/>
      <c r="W256" s="19"/>
      <c r="X256" s="19"/>
      <c r="Y256" s="20">
        <f t="shared" si="12"/>
        <v>18</v>
      </c>
      <c r="Z256" s="20">
        <f t="shared" si="11"/>
        <v>14</v>
      </c>
      <c r="AA256" s="21">
        <f t="shared" si="13"/>
        <v>0.5625</v>
      </c>
    </row>
    <row r="257" spans="1:27" x14ac:dyDescent="0.4">
      <c r="A257" s="22">
        <f>wimbledons_champions!A265</f>
        <v>1884</v>
      </c>
      <c r="B257" s="25" t="str">
        <f>wimbledons_champions!B265</f>
        <v>Men's</v>
      </c>
      <c r="C257" s="25" t="s">
        <v>73</v>
      </c>
      <c r="D257" s="22" t="s">
        <v>15</v>
      </c>
      <c r="E257" s="25" t="s">
        <v>498</v>
      </c>
      <c r="G257" s="22">
        <f>wimbledons_champions!G265</f>
        <v>69</v>
      </c>
      <c r="H257" s="25" t="str">
        <f>wimbledons_champions!H265</f>
        <v>6-0, 6-4, 9-7</v>
      </c>
      <c r="I257" s="25" t="s">
        <v>39</v>
      </c>
      <c r="J257" s="22" t="s">
        <v>15</v>
      </c>
      <c r="K257" s="25" t="s">
        <v>498</v>
      </c>
      <c r="M257" s="18">
        <v>0.65625</v>
      </c>
      <c r="N257" s="18"/>
      <c r="O257" s="19" t="s">
        <v>741</v>
      </c>
      <c r="P257" s="19">
        <v>0</v>
      </c>
      <c r="Q257" s="19">
        <v>6</v>
      </c>
      <c r="R257" s="19">
        <v>4</v>
      </c>
      <c r="S257" s="19">
        <v>9</v>
      </c>
      <c r="T257" s="19">
        <v>7</v>
      </c>
      <c r="U257" s="19"/>
      <c r="V257" s="19"/>
      <c r="W257" s="19"/>
      <c r="X257" s="19"/>
      <c r="Y257" s="20">
        <f t="shared" si="12"/>
        <v>21</v>
      </c>
      <c r="Z257" s="20">
        <f t="shared" si="11"/>
        <v>11</v>
      </c>
      <c r="AA257" s="21">
        <f t="shared" si="13"/>
        <v>0.65625</v>
      </c>
    </row>
    <row r="258" spans="1:27" x14ac:dyDescent="0.4">
      <c r="A258" s="22">
        <f>wimbledons_champions!A266</f>
        <v>1883</v>
      </c>
      <c r="B258" s="25" t="str">
        <f>wimbledons_champions!B266</f>
        <v>Men's</v>
      </c>
      <c r="C258" s="25" t="s">
        <v>73</v>
      </c>
      <c r="D258" s="22" t="s">
        <v>15</v>
      </c>
      <c r="E258" s="25" t="s">
        <v>498</v>
      </c>
      <c r="G258" s="22">
        <f>wimbledons_champions!G266</f>
        <v>89</v>
      </c>
      <c r="H258" s="25" t="str">
        <f>wimbledons_champions!H266</f>
        <v>2-6, 6-3, 6-3, 4-6, 6-3</v>
      </c>
      <c r="I258" s="25" t="s">
        <v>40</v>
      </c>
      <c r="J258" s="22" t="s">
        <v>15</v>
      </c>
      <c r="K258" s="25" t="s">
        <v>498</v>
      </c>
      <c r="M258" s="18">
        <v>0.53333333333333333</v>
      </c>
      <c r="N258" s="18"/>
      <c r="O258" s="19" t="s">
        <v>747</v>
      </c>
      <c r="P258" s="19">
        <v>6</v>
      </c>
      <c r="Q258" s="19">
        <v>6</v>
      </c>
      <c r="R258" s="19">
        <v>3</v>
      </c>
      <c r="S258" s="19">
        <v>6</v>
      </c>
      <c r="T258" s="19">
        <v>3</v>
      </c>
      <c r="U258" s="19">
        <v>4</v>
      </c>
      <c r="V258" s="19">
        <v>6</v>
      </c>
      <c r="W258" s="19" t="s">
        <v>741</v>
      </c>
      <c r="X258" s="19">
        <v>3</v>
      </c>
      <c r="Y258" s="20">
        <f t="shared" si="12"/>
        <v>24</v>
      </c>
      <c r="Z258" s="20">
        <f t="shared" si="11"/>
        <v>21</v>
      </c>
      <c r="AA258" s="21">
        <f t="shared" si="13"/>
        <v>0.53333333333333333</v>
      </c>
    </row>
    <row r="259" spans="1:27" x14ac:dyDescent="0.4">
      <c r="A259" s="22">
        <f>wimbledons_champions!A267</f>
        <v>1882</v>
      </c>
      <c r="B259" s="25" t="str">
        <f>wimbledons_champions!B267</f>
        <v>Men's</v>
      </c>
      <c r="C259" s="25" t="s">
        <v>73</v>
      </c>
      <c r="D259" s="22" t="s">
        <v>15</v>
      </c>
      <c r="E259" s="25" t="s">
        <v>498</v>
      </c>
      <c r="G259" s="22">
        <f>wimbledons_champions!G267</f>
        <v>85</v>
      </c>
      <c r="H259" s="25" t="str">
        <f>wimbledons_champions!H267</f>
        <v>6-1, 2-6, 4-6, 6-2, 6-2</v>
      </c>
      <c r="I259" s="25" t="s">
        <v>40</v>
      </c>
      <c r="J259" s="22" t="s">
        <v>15</v>
      </c>
      <c r="K259" s="25" t="s">
        <v>498</v>
      </c>
      <c r="M259" s="18">
        <v>0.58536585365853655</v>
      </c>
      <c r="N259" s="18"/>
      <c r="O259" s="19" t="s">
        <v>741</v>
      </c>
      <c r="P259" s="19">
        <v>1</v>
      </c>
      <c r="Q259" s="19">
        <v>2</v>
      </c>
      <c r="R259" s="19">
        <v>6</v>
      </c>
      <c r="S259" s="19">
        <v>4</v>
      </c>
      <c r="T259" s="19">
        <v>6</v>
      </c>
      <c r="U259" s="19">
        <v>6</v>
      </c>
      <c r="V259" s="19">
        <v>2</v>
      </c>
      <c r="W259" s="19" t="s">
        <v>741</v>
      </c>
      <c r="X259" s="19">
        <v>2</v>
      </c>
      <c r="Y259" s="20">
        <f t="shared" si="12"/>
        <v>24</v>
      </c>
      <c r="Z259" s="20">
        <f t="shared" si="11"/>
        <v>17</v>
      </c>
      <c r="AA259" s="21">
        <f t="shared" si="13"/>
        <v>0.58536585365853655</v>
      </c>
    </row>
    <row r="260" spans="1:27" x14ac:dyDescent="0.4">
      <c r="A260" s="22">
        <f>wimbledons_champions!A268</f>
        <v>1881</v>
      </c>
      <c r="B260" s="25" t="str">
        <f>wimbledons_champions!B268</f>
        <v>Men's</v>
      </c>
      <c r="C260" s="25" t="s">
        <v>73</v>
      </c>
      <c r="D260" s="22" t="s">
        <v>15</v>
      </c>
      <c r="E260" s="25" t="s">
        <v>498</v>
      </c>
      <c r="G260" s="22">
        <f>wimbledons_champions!G268</f>
        <v>37</v>
      </c>
      <c r="H260" s="25" t="str">
        <f>wimbledons_champions!H268</f>
        <v>6-0, 6-1, 6-1</v>
      </c>
      <c r="I260" s="25" t="s">
        <v>54</v>
      </c>
      <c r="J260" s="22" t="s">
        <v>15</v>
      </c>
      <c r="K260" s="25" t="s">
        <v>498</v>
      </c>
      <c r="M260" s="18">
        <v>0.9</v>
      </c>
      <c r="N260" s="18"/>
      <c r="O260" s="19" t="s">
        <v>741</v>
      </c>
      <c r="P260" s="19">
        <v>0</v>
      </c>
      <c r="Q260" s="19">
        <v>6</v>
      </c>
      <c r="R260" s="19">
        <v>1</v>
      </c>
      <c r="S260" s="19">
        <v>6</v>
      </c>
      <c r="T260" s="19">
        <v>1</v>
      </c>
      <c r="U260" s="19"/>
      <c r="V260" s="19"/>
      <c r="W260" s="19"/>
      <c r="X260" s="19"/>
      <c r="Y260" s="20">
        <f t="shared" si="12"/>
        <v>18</v>
      </c>
      <c r="Z260" s="20">
        <f t="shared" si="11"/>
        <v>2</v>
      </c>
      <c r="AA260" s="21">
        <f t="shared" si="13"/>
        <v>0.9</v>
      </c>
    </row>
    <row r="261" spans="1:27" x14ac:dyDescent="0.4">
      <c r="A261" s="22">
        <f>wimbledons_champions!A269</f>
        <v>1880</v>
      </c>
      <c r="B261" s="25" t="str">
        <f>wimbledons_champions!B269</f>
        <v>Men's</v>
      </c>
      <c r="C261" s="25" t="s">
        <v>54</v>
      </c>
      <c r="D261" s="22" t="s">
        <v>15</v>
      </c>
      <c r="E261" s="25" t="s">
        <v>498</v>
      </c>
      <c r="G261" s="22">
        <f>wimbledons_champions!G269</f>
        <v>0</v>
      </c>
      <c r="H261" s="25" t="str">
        <f>wimbledons_champions!H269</f>
        <v>6-3, 6-2, 2-6, 6-3</v>
      </c>
      <c r="I261" s="25" t="s">
        <v>39</v>
      </c>
      <c r="J261" s="22" t="s">
        <v>15</v>
      </c>
      <c r="K261" s="25" t="s">
        <v>498</v>
      </c>
      <c r="M261" s="18">
        <v>0.58823529411764708</v>
      </c>
      <c r="N261" s="18"/>
      <c r="O261" s="19" t="s">
        <v>741</v>
      </c>
      <c r="P261" s="19">
        <v>3</v>
      </c>
      <c r="Q261" s="19">
        <v>6</v>
      </c>
      <c r="R261" s="19">
        <v>2</v>
      </c>
      <c r="S261" s="19">
        <v>2</v>
      </c>
      <c r="T261" s="19">
        <v>6</v>
      </c>
      <c r="U261" s="19">
        <v>6</v>
      </c>
      <c r="V261" s="19">
        <v>3</v>
      </c>
      <c r="W261" s="19"/>
      <c r="X261" s="19"/>
      <c r="Y261" s="20">
        <f t="shared" si="12"/>
        <v>20</v>
      </c>
      <c r="Z261" s="20">
        <f t="shared" si="11"/>
        <v>14</v>
      </c>
      <c r="AA261" s="21">
        <f t="shared" si="13"/>
        <v>0.58823529411764708</v>
      </c>
    </row>
    <row r="262" spans="1:27" x14ac:dyDescent="0.4">
      <c r="A262" s="22">
        <f>wimbledons_champions!A270</f>
        <v>1879</v>
      </c>
      <c r="B262" s="25" t="str">
        <f>wimbledons_champions!B270</f>
        <v>Men's</v>
      </c>
      <c r="C262" s="25" t="s">
        <v>54</v>
      </c>
      <c r="D262" s="22" t="s">
        <v>15</v>
      </c>
      <c r="E262" s="25" t="s">
        <v>498</v>
      </c>
      <c r="G262" s="22">
        <f>wimbledons_champions!G270</f>
        <v>0</v>
      </c>
      <c r="H262" s="25" t="str">
        <f>wimbledons_champions!H270</f>
        <v>6-2, 6-4, 6-2</v>
      </c>
      <c r="I262" s="25" t="s">
        <v>56</v>
      </c>
      <c r="J262" s="22" t="s">
        <v>15</v>
      </c>
      <c r="K262" s="25" t="s">
        <v>498</v>
      </c>
      <c r="M262" s="18">
        <v>0.69230769230769229</v>
      </c>
      <c r="N262" s="18"/>
      <c r="O262" s="19" t="s">
        <v>741</v>
      </c>
      <c r="P262" s="19">
        <v>2</v>
      </c>
      <c r="Q262" s="19">
        <v>6</v>
      </c>
      <c r="R262" s="19">
        <v>4</v>
      </c>
      <c r="S262" s="19">
        <v>6</v>
      </c>
      <c r="T262" s="19">
        <v>2</v>
      </c>
      <c r="U262" s="19"/>
      <c r="V262" s="19"/>
      <c r="W262" s="19"/>
      <c r="X262" s="19"/>
      <c r="Y262" s="20">
        <f t="shared" si="12"/>
        <v>18</v>
      </c>
      <c r="Z262" s="20">
        <f t="shared" si="11"/>
        <v>8</v>
      </c>
      <c r="AA262" s="21">
        <f t="shared" si="13"/>
        <v>0.69230769230769229</v>
      </c>
    </row>
    <row r="263" spans="1:27" x14ac:dyDescent="0.4">
      <c r="A263" s="22">
        <f>wimbledons_champions!A271</f>
        <v>1878</v>
      </c>
      <c r="B263" s="25" t="str">
        <f>wimbledons_champions!B271</f>
        <v>Men's</v>
      </c>
      <c r="C263" s="25" t="s">
        <v>58</v>
      </c>
      <c r="D263" s="22" t="s">
        <v>15</v>
      </c>
      <c r="E263" s="25" t="s">
        <v>498</v>
      </c>
      <c r="G263" s="22">
        <f>wimbledons_champions!G271</f>
        <v>0</v>
      </c>
      <c r="H263" s="25" t="str">
        <f>wimbledons_champions!H271</f>
        <v>7-5, 6-1, 9-7</v>
      </c>
      <c r="I263" s="25" t="s">
        <v>59</v>
      </c>
      <c r="J263" s="22" t="s">
        <v>15</v>
      </c>
      <c r="K263" s="25" t="s">
        <v>498</v>
      </c>
      <c r="M263" s="18">
        <v>0.62857142857142856</v>
      </c>
      <c r="N263" s="18"/>
      <c r="O263" s="19" t="s">
        <v>742</v>
      </c>
      <c r="P263" s="19">
        <v>5</v>
      </c>
      <c r="Q263" s="19">
        <v>6</v>
      </c>
      <c r="R263" s="19">
        <v>1</v>
      </c>
      <c r="S263" s="19">
        <v>9</v>
      </c>
      <c r="T263" s="19">
        <v>7</v>
      </c>
      <c r="U263" s="19"/>
      <c r="V263" s="19"/>
      <c r="W263" s="19"/>
      <c r="X263" s="19"/>
      <c r="Y263" s="20">
        <f t="shared" si="12"/>
        <v>22</v>
      </c>
      <c r="Z263" s="20">
        <f t="shared" si="12"/>
        <v>13</v>
      </c>
      <c r="AA263" s="21">
        <f t="shared" si="13"/>
        <v>0.62857142857142856</v>
      </c>
    </row>
    <row r="264" spans="1:27" x14ac:dyDescent="0.4">
      <c r="A264" s="22">
        <f>wimbledons_champions!A272</f>
        <v>1877</v>
      </c>
      <c r="B264" s="25" t="str">
        <f>wimbledons_champions!B272</f>
        <v>Men's</v>
      </c>
      <c r="C264" s="25" t="s">
        <v>59</v>
      </c>
      <c r="D264" s="22" t="s">
        <v>15</v>
      </c>
      <c r="E264" s="25" t="s">
        <v>498</v>
      </c>
      <c r="G264" s="22">
        <f>wimbledons_champions!G272</f>
        <v>48</v>
      </c>
      <c r="H264" s="25" t="str">
        <f>wimbledons_champions!H272</f>
        <v>6-1, 6-2, 6-4</v>
      </c>
      <c r="I264" s="25" t="s">
        <v>66</v>
      </c>
      <c r="J264" s="22" t="s">
        <v>15</v>
      </c>
      <c r="K264" s="25" t="s">
        <v>498</v>
      </c>
      <c r="M264" s="18">
        <v>0.72</v>
      </c>
      <c r="N264" s="18"/>
      <c r="O264" s="19" t="s">
        <v>741</v>
      </c>
      <c r="P264" s="19">
        <v>1</v>
      </c>
      <c r="Q264" s="19">
        <v>6</v>
      </c>
      <c r="R264" s="19">
        <v>2</v>
      </c>
      <c r="S264" s="19">
        <v>6</v>
      </c>
      <c r="T264" s="19">
        <v>4</v>
      </c>
      <c r="U264" s="19"/>
      <c r="V264" s="19"/>
      <c r="W264" s="19"/>
      <c r="X264" s="19"/>
      <c r="Y264" s="20">
        <f t="shared" ref="Y264:Z264" si="14">SUM(O264+Q264+S264+U264+W264)</f>
        <v>18</v>
      </c>
      <c r="Z264" s="20">
        <f t="shared" si="14"/>
        <v>7</v>
      </c>
      <c r="AA264" s="21">
        <f t="shared" si="13"/>
        <v>0.72</v>
      </c>
    </row>
  </sheetData>
  <sortState xmlns:xlrd2="http://schemas.microsoft.com/office/spreadsheetml/2017/richdata2" ref="A2:M264">
    <sortCondition descending="1" ref="A2:A264"/>
    <sortCondition descending="1" ref="B2:B264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0"/>
  <sheetViews>
    <sheetView topLeftCell="E1" workbookViewId="0">
      <pane ySplit="1" topLeftCell="A2" activePane="bottomLeft" state="frozen"/>
      <selection activeCell="C1" sqref="C1"/>
      <selection pane="bottomLeft" activeCell="I4" sqref="I4"/>
    </sheetView>
  </sheetViews>
  <sheetFormatPr defaultRowHeight="14.6" x14ac:dyDescent="0.4"/>
  <cols>
    <col min="1" max="1" width="5" bestFit="1" customWidth="1"/>
    <col min="2" max="2" width="16" customWidth="1"/>
    <col min="3" max="3" width="15.69140625" bestFit="1" customWidth="1"/>
    <col min="4" max="5" width="20.53515625" bestFit="1" customWidth="1"/>
    <col min="6" max="6" width="15" bestFit="1" customWidth="1"/>
    <col min="7" max="7" width="5.4609375" bestFit="1" customWidth="1"/>
    <col min="8" max="8" width="30.4609375" bestFit="1" customWidth="1"/>
    <col min="9" max="9" width="20.69140625" bestFit="1" customWidth="1"/>
    <col min="10" max="11" width="21" bestFit="1" customWidth="1"/>
    <col min="12" max="12" width="15.4609375" bestFit="1" customWidth="1"/>
  </cols>
  <sheetData>
    <row r="1" spans="1:12" x14ac:dyDescent="0.4">
      <c r="A1" s="15" t="s">
        <v>9</v>
      </c>
      <c r="B1" s="15" t="s">
        <v>0</v>
      </c>
      <c r="C1" s="15" t="s">
        <v>1</v>
      </c>
      <c r="D1" s="15" t="s">
        <v>4</v>
      </c>
      <c r="E1" s="15" t="s">
        <v>492</v>
      </c>
      <c r="F1" s="15" t="s">
        <v>8</v>
      </c>
      <c r="G1" s="15" t="s">
        <v>2</v>
      </c>
      <c r="H1" s="15" t="s">
        <v>6</v>
      </c>
      <c r="I1" s="15" t="s">
        <v>5</v>
      </c>
      <c r="J1" s="15" t="s">
        <v>3</v>
      </c>
      <c r="K1" s="15" t="s">
        <v>520</v>
      </c>
      <c r="L1" s="15" t="s">
        <v>7</v>
      </c>
    </row>
    <row r="2" spans="1:12" x14ac:dyDescent="0.4">
      <c r="A2">
        <v>2019</v>
      </c>
      <c r="B2" t="s">
        <v>268</v>
      </c>
      <c r="C2" t="s">
        <v>471</v>
      </c>
      <c r="D2" t="s">
        <v>472</v>
      </c>
      <c r="E2" t="s">
        <v>493</v>
      </c>
      <c r="F2">
        <v>7</v>
      </c>
      <c r="G2">
        <v>56</v>
      </c>
      <c r="H2" t="s">
        <v>473</v>
      </c>
      <c r="I2" t="s">
        <v>416</v>
      </c>
      <c r="J2" t="s">
        <v>28</v>
      </c>
      <c r="K2" t="s">
        <v>499</v>
      </c>
      <c r="L2">
        <v>11</v>
      </c>
    </row>
    <row r="3" spans="1:12" x14ac:dyDescent="0.4">
      <c r="A3">
        <v>2019</v>
      </c>
      <c r="B3" t="s">
        <v>10</v>
      </c>
      <c r="C3" t="s">
        <v>129</v>
      </c>
      <c r="D3" t="s">
        <v>131</v>
      </c>
      <c r="E3" t="s">
        <v>494</v>
      </c>
      <c r="F3">
        <v>1</v>
      </c>
      <c r="G3">
        <v>297</v>
      </c>
      <c r="H3" t="s">
        <v>470</v>
      </c>
      <c r="I3" t="s">
        <v>132</v>
      </c>
      <c r="J3" t="s">
        <v>130</v>
      </c>
      <c r="K3" t="s">
        <v>497</v>
      </c>
      <c r="L3">
        <v>2</v>
      </c>
    </row>
    <row r="4" spans="1:12" x14ac:dyDescent="0.4">
      <c r="A4">
        <v>2018</v>
      </c>
      <c r="B4" t="s">
        <v>268</v>
      </c>
      <c r="C4" t="s">
        <v>476</v>
      </c>
      <c r="D4" t="s">
        <v>126</v>
      </c>
      <c r="E4" t="s">
        <v>495</v>
      </c>
      <c r="F4">
        <v>11</v>
      </c>
      <c r="G4">
        <v>65</v>
      </c>
      <c r="H4" t="s">
        <v>477</v>
      </c>
      <c r="I4" t="s">
        <v>416</v>
      </c>
      <c r="J4" t="s">
        <v>28</v>
      </c>
      <c r="K4" t="s">
        <v>499</v>
      </c>
      <c r="L4">
        <v>25</v>
      </c>
    </row>
    <row r="5" spans="1:12" x14ac:dyDescent="0.4">
      <c r="A5">
        <v>2018</v>
      </c>
      <c r="B5" t="s">
        <v>10</v>
      </c>
      <c r="C5" t="s">
        <v>129</v>
      </c>
      <c r="D5" t="s">
        <v>131</v>
      </c>
      <c r="E5" t="s">
        <v>494</v>
      </c>
      <c r="F5">
        <v>12</v>
      </c>
      <c r="G5">
        <v>170</v>
      </c>
      <c r="H5" t="s">
        <v>475</v>
      </c>
      <c r="I5" t="s">
        <v>474</v>
      </c>
      <c r="J5" t="s">
        <v>90</v>
      </c>
      <c r="K5" t="s">
        <v>509</v>
      </c>
      <c r="L5">
        <v>8</v>
      </c>
    </row>
    <row r="6" spans="1:12" x14ac:dyDescent="0.4">
      <c r="A6">
        <v>2017</v>
      </c>
      <c r="B6" t="s">
        <v>268</v>
      </c>
      <c r="C6" t="s">
        <v>481</v>
      </c>
      <c r="D6" t="s">
        <v>135</v>
      </c>
      <c r="E6" t="s">
        <v>496</v>
      </c>
      <c r="F6">
        <v>14</v>
      </c>
      <c r="G6">
        <v>77</v>
      </c>
      <c r="H6" t="s">
        <v>482</v>
      </c>
      <c r="I6" t="s">
        <v>755</v>
      </c>
      <c r="J6" t="s">
        <v>28</v>
      </c>
      <c r="K6" t="s">
        <v>499</v>
      </c>
      <c r="L6">
        <v>10</v>
      </c>
    </row>
    <row r="7" spans="1:12" x14ac:dyDescent="0.4">
      <c r="A7">
        <v>2017</v>
      </c>
      <c r="B7" t="s">
        <v>10</v>
      </c>
      <c r="C7" t="s">
        <v>132</v>
      </c>
      <c r="D7" t="s">
        <v>130</v>
      </c>
      <c r="E7" t="s">
        <v>497</v>
      </c>
      <c r="F7">
        <v>3</v>
      </c>
      <c r="G7">
        <v>101</v>
      </c>
      <c r="H7" t="s">
        <v>478</v>
      </c>
      <c r="I7" t="s">
        <v>479</v>
      </c>
      <c r="J7" t="s">
        <v>480</v>
      </c>
      <c r="K7" t="s">
        <v>510</v>
      </c>
      <c r="L7">
        <v>7</v>
      </c>
    </row>
    <row r="8" spans="1:12" x14ac:dyDescent="0.4">
      <c r="A8">
        <v>2016</v>
      </c>
      <c r="B8" t="s">
        <v>268</v>
      </c>
      <c r="C8" t="s">
        <v>416</v>
      </c>
      <c r="D8" t="s">
        <v>28</v>
      </c>
      <c r="E8" t="s">
        <v>499</v>
      </c>
      <c r="F8">
        <v>1</v>
      </c>
      <c r="G8">
        <v>83</v>
      </c>
      <c r="H8" t="s">
        <v>427</v>
      </c>
      <c r="I8" t="s">
        <v>428</v>
      </c>
      <c r="J8" t="s">
        <v>126</v>
      </c>
      <c r="K8" t="s">
        <v>495</v>
      </c>
      <c r="L8">
        <v>4</v>
      </c>
    </row>
    <row r="9" spans="1:12" x14ac:dyDescent="0.4">
      <c r="A9">
        <v>2016</v>
      </c>
      <c r="B9" t="s">
        <v>10</v>
      </c>
      <c r="C9" t="s">
        <v>203</v>
      </c>
      <c r="D9" t="s">
        <v>15</v>
      </c>
      <c r="E9" t="s">
        <v>498</v>
      </c>
      <c r="F9">
        <v>2</v>
      </c>
      <c r="G9">
        <v>170</v>
      </c>
      <c r="H9" t="s">
        <v>207</v>
      </c>
      <c r="I9" t="s">
        <v>206</v>
      </c>
      <c r="J9" t="s">
        <v>205</v>
      </c>
      <c r="K9" t="s">
        <v>511</v>
      </c>
      <c r="L9">
        <v>6</v>
      </c>
    </row>
    <row r="10" spans="1:12" x14ac:dyDescent="0.4">
      <c r="A10">
        <v>2015</v>
      </c>
      <c r="B10" t="s">
        <v>268</v>
      </c>
      <c r="C10" t="s">
        <v>416</v>
      </c>
      <c r="D10" t="s">
        <v>28</v>
      </c>
      <c r="E10" t="s">
        <v>499</v>
      </c>
      <c r="F10">
        <v>1</v>
      </c>
      <c r="G10">
        <v>83</v>
      </c>
      <c r="H10" t="s">
        <v>321</v>
      </c>
      <c r="I10" t="s">
        <v>417</v>
      </c>
      <c r="J10" t="s">
        <v>135</v>
      </c>
      <c r="K10" t="s">
        <v>496</v>
      </c>
      <c r="L10">
        <v>20</v>
      </c>
    </row>
    <row r="11" spans="1:12" x14ac:dyDescent="0.4">
      <c r="A11">
        <v>2015</v>
      </c>
      <c r="B11" t="s">
        <v>10</v>
      </c>
      <c r="C11" t="s">
        <v>129</v>
      </c>
      <c r="D11" t="s">
        <v>131</v>
      </c>
      <c r="E11" t="s">
        <v>494</v>
      </c>
      <c r="F11">
        <v>1</v>
      </c>
      <c r="G11">
        <v>176</v>
      </c>
      <c r="H11" t="s">
        <v>133</v>
      </c>
      <c r="I11" t="s">
        <v>132</v>
      </c>
      <c r="J11" t="s">
        <v>130</v>
      </c>
      <c r="K11" t="s">
        <v>497</v>
      </c>
      <c r="L11">
        <v>2</v>
      </c>
    </row>
    <row r="12" spans="1:12" x14ac:dyDescent="0.4">
      <c r="A12">
        <v>2014</v>
      </c>
      <c r="B12" t="s">
        <v>268</v>
      </c>
      <c r="C12" t="s">
        <v>291</v>
      </c>
      <c r="D12" t="s">
        <v>107</v>
      </c>
      <c r="E12" t="s">
        <v>500</v>
      </c>
      <c r="F12">
        <v>6</v>
      </c>
      <c r="G12">
        <v>55</v>
      </c>
      <c r="H12" t="s">
        <v>292</v>
      </c>
      <c r="I12" t="s">
        <v>293</v>
      </c>
      <c r="J12" t="s">
        <v>205</v>
      </c>
      <c r="K12" t="s">
        <v>511</v>
      </c>
      <c r="L12">
        <v>13</v>
      </c>
    </row>
    <row r="13" spans="1:12" x14ac:dyDescent="0.4">
      <c r="A13">
        <v>2014</v>
      </c>
      <c r="B13" t="s">
        <v>10</v>
      </c>
      <c r="C13" t="s">
        <v>129</v>
      </c>
      <c r="D13" t="s">
        <v>131</v>
      </c>
      <c r="E13" t="s">
        <v>494</v>
      </c>
      <c r="F13">
        <v>1</v>
      </c>
      <c r="G13">
        <v>236</v>
      </c>
      <c r="H13" t="s">
        <v>134</v>
      </c>
      <c r="I13" t="s">
        <v>132</v>
      </c>
      <c r="J13" t="s">
        <v>130</v>
      </c>
      <c r="K13" t="s">
        <v>497</v>
      </c>
      <c r="L13">
        <v>4</v>
      </c>
    </row>
    <row r="14" spans="1:12" x14ac:dyDescent="0.4">
      <c r="A14">
        <v>2013</v>
      </c>
      <c r="B14" t="s">
        <v>268</v>
      </c>
      <c r="C14" t="s">
        <v>314</v>
      </c>
      <c r="D14" t="s">
        <v>24</v>
      </c>
      <c r="E14" t="s">
        <v>501</v>
      </c>
      <c r="F14">
        <v>15</v>
      </c>
      <c r="G14">
        <v>81</v>
      </c>
      <c r="H14" t="s">
        <v>315</v>
      </c>
      <c r="I14" t="s">
        <v>316</v>
      </c>
      <c r="J14" t="s">
        <v>126</v>
      </c>
      <c r="K14" t="s">
        <v>495</v>
      </c>
      <c r="L14">
        <v>23</v>
      </c>
    </row>
    <row r="15" spans="1:12" x14ac:dyDescent="0.4">
      <c r="A15">
        <v>2013</v>
      </c>
      <c r="B15" t="s">
        <v>10</v>
      </c>
      <c r="C15" t="s">
        <v>203</v>
      </c>
      <c r="D15" t="s">
        <v>15</v>
      </c>
      <c r="E15" t="s">
        <v>498</v>
      </c>
      <c r="F15">
        <v>2</v>
      </c>
      <c r="G15">
        <v>134</v>
      </c>
      <c r="H15" t="s">
        <v>204</v>
      </c>
      <c r="I15" t="s">
        <v>129</v>
      </c>
      <c r="J15" t="s">
        <v>131</v>
      </c>
      <c r="K15" t="s">
        <v>494</v>
      </c>
      <c r="L15">
        <v>1</v>
      </c>
    </row>
    <row r="16" spans="1:12" x14ac:dyDescent="0.4">
      <c r="A16">
        <v>2012</v>
      </c>
      <c r="B16" t="s">
        <v>268</v>
      </c>
      <c r="C16" t="s">
        <v>416</v>
      </c>
      <c r="D16" t="s">
        <v>28</v>
      </c>
      <c r="E16" t="s">
        <v>499</v>
      </c>
      <c r="F16">
        <v>6</v>
      </c>
      <c r="G16">
        <v>122</v>
      </c>
      <c r="H16" t="s">
        <v>466</v>
      </c>
      <c r="I16" t="s">
        <v>467</v>
      </c>
      <c r="J16" t="s">
        <v>375</v>
      </c>
      <c r="K16" t="s">
        <v>512</v>
      </c>
      <c r="L16">
        <v>3</v>
      </c>
    </row>
    <row r="17" spans="1:12" x14ac:dyDescent="0.4">
      <c r="A17">
        <v>2012</v>
      </c>
      <c r="B17" t="s">
        <v>10</v>
      </c>
      <c r="C17" t="s">
        <v>132</v>
      </c>
      <c r="D17" t="s">
        <v>130</v>
      </c>
      <c r="E17" t="s">
        <v>497</v>
      </c>
      <c r="F17">
        <v>3</v>
      </c>
      <c r="G17">
        <v>204</v>
      </c>
      <c r="H17" t="s">
        <v>230</v>
      </c>
      <c r="I17" t="s">
        <v>203</v>
      </c>
      <c r="J17" t="s">
        <v>15</v>
      </c>
      <c r="K17" t="s">
        <v>498</v>
      </c>
      <c r="L17">
        <v>4</v>
      </c>
    </row>
    <row r="18" spans="1:12" x14ac:dyDescent="0.4">
      <c r="A18">
        <v>2011</v>
      </c>
      <c r="B18" t="s">
        <v>268</v>
      </c>
      <c r="C18" t="s">
        <v>294</v>
      </c>
      <c r="D18" t="s">
        <v>107</v>
      </c>
      <c r="E18" t="s">
        <v>500</v>
      </c>
      <c r="F18">
        <v>8</v>
      </c>
      <c r="G18">
        <v>85</v>
      </c>
      <c r="H18" t="s">
        <v>295</v>
      </c>
      <c r="I18" t="s">
        <v>297</v>
      </c>
      <c r="J18" t="s">
        <v>296</v>
      </c>
      <c r="K18" t="s">
        <v>502</v>
      </c>
      <c r="L18">
        <v>5</v>
      </c>
    </row>
    <row r="19" spans="1:12" x14ac:dyDescent="0.4">
      <c r="A19">
        <v>2011</v>
      </c>
      <c r="B19" t="s">
        <v>10</v>
      </c>
      <c r="C19" t="s">
        <v>129</v>
      </c>
      <c r="D19" t="s">
        <v>131</v>
      </c>
      <c r="E19" t="s">
        <v>494</v>
      </c>
      <c r="F19">
        <v>2</v>
      </c>
      <c r="G19">
        <v>148</v>
      </c>
      <c r="H19" t="s">
        <v>208</v>
      </c>
      <c r="I19" t="s">
        <v>136</v>
      </c>
      <c r="J19" t="s">
        <v>135</v>
      </c>
      <c r="K19" t="s">
        <v>496</v>
      </c>
      <c r="L19">
        <v>1</v>
      </c>
    </row>
    <row r="20" spans="1:12" x14ac:dyDescent="0.4">
      <c r="A20">
        <v>2010</v>
      </c>
      <c r="B20" t="s">
        <v>268</v>
      </c>
      <c r="C20" t="s">
        <v>416</v>
      </c>
      <c r="D20" t="s">
        <v>28</v>
      </c>
      <c r="E20" t="s">
        <v>499</v>
      </c>
      <c r="F20">
        <v>1</v>
      </c>
      <c r="G20">
        <v>66</v>
      </c>
      <c r="H20" t="s">
        <v>418</v>
      </c>
      <c r="I20" t="s">
        <v>419</v>
      </c>
      <c r="J20" t="s">
        <v>296</v>
      </c>
      <c r="K20" t="s">
        <v>502</v>
      </c>
      <c r="L20">
        <v>21</v>
      </c>
    </row>
    <row r="21" spans="1:12" x14ac:dyDescent="0.4">
      <c r="A21">
        <v>2010</v>
      </c>
      <c r="B21" t="s">
        <v>10</v>
      </c>
      <c r="C21" t="s">
        <v>136</v>
      </c>
      <c r="D21" t="s">
        <v>135</v>
      </c>
      <c r="E21" t="s">
        <v>496</v>
      </c>
      <c r="F21">
        <v>2</v>
      </c>
      <c r="G21">
        <v>133</v>
      </c>
      <c r="H21" t="s">
        <v>200</v>
      </c>
      <c r="I21" t="s">
        <v>199</v>
      </c>
      <c r="J21" t="s">
        <v>198</v>
      </c>
      <c r="K21" t="s">
        <v>500</v>
      </c>
      <c r="L21">
        <v>12</v>
      </c>
    </row>
    <row r="22" spans="1:12" x14ac:dyDescent="0.4">
      <c r="A22">
        <v>2009</v>
      </c>
      <c r="B22" t="s">
        <v>268</v>
      </c>
      <c r="C22" t="s">
        <v>416</v>
      </c>
      <c r="D22" t="s">
        <v>28</v>
      </c>
      <c r="E22" t="s">
        <v>499</v>
      </c>
      <c r="F22">
        <v>2</v>
      </c>
      <c r="G22">
        <v>87</v>
      </c>
      <c r="H22" t="s">
        <v>447</v>
      </c>
      <c r="I22" t="s">
        <v>430</v>
      </c>
      <c r="J22" t="s">
        <v>28</v>
      </c>
      <c r="K22" t="s">
        <v>499</v>
      </c>
      <c r="L22">
        <v>3</v>
      </c>
    </row>
    <row r="23" spans="1:12" x14ac:dyDescent="0.4">
      <c r="A23">
        <v>2009</v>
      </c>
      <c r="B23" t="s">
        <v>10</v>
      </c>
      <c r="C23" t="s">
        <v>132</v>
      </c>
      <c r="D23" t="s">
        <v>130</v>
      </c>
      <c r="E23" t="s">
        <v>497</v>
      </c>
      <c r="F23">
        <v>2</v>
      </c>
      <c r="G23">
        <v>256</v>
      </c>
      <c r="H23" t="s">
        <v>209</v>
      </c>
      <c r="I23" t="s">
        <v>139</v>
      </c>
      <c r="J23" t="s">
        <v>28</v>
      </c>
      <c r="K23" t="s">
        <v>499</v>
      </c>
      <c r="L23">
        <v>6</v>
      </c>
    </row>
    <row r="24" spans="1:12" x14ac:dyDescent="0.4">
      <c r="A24">
        <v>2008</v>
      </c>
      <c r="B24" t="s">
        <v>268</v>
      </c>
      <c r="C24" t="s">
        <v>430</v>
      </c>
      <c r="D24" t="s">
        <v>28</v>
      </c>
      <c r="E24" t="s">
        <v>499</v>
      </c>
      <c r="F24">
        <v>7</v>
      </c>
      <c r="G24">
        <v>111</v>
      </c>
      <c r="H24" t="s">
        <v>359</v>
      </c>
      <c r="I24" t="s">
        <v>416</v>
      </c>
      <c r="J24" t="s">
        <v>28</v>
      </c>
      <c r="K24" t="s">
        <v>499</v>
      </c>
      <c r="L24">
        <v>6</v>
      </c>
    </row>
    <row r="25" spans="1:12" x14ac:dyDescent="0.4">
      <c r="A25">
        <v>2008</v>
      </c>
      <c r="B25" t="s">
        <v>10</v>
      </c>
      <c r="C25" t="s">
        <v>136</v>
      </c>
      <c r="D25" t="s">
        <v>135</v>
      </c>
      <c r="E25" t="s">
        <v>496</v>
      </c>
      <c r="F25">
        <v>2</v>
      </c>
      <c r="G25">
        <v>288</v>
      </c>
      <c r="H25" t="s">
        <v>197</v>
      </c>
      <c r="I25" t="s">
        <v>132</v>
      </c>
      <c r="J25" t="s">
        <v>130</v>
      </c>
      <c r="K25" t="s">
        <v>497</v>
      </c>
      <c r="L25">
        <v>1</v>
      </c>
    </row>
    <row r="26" spans="1:12" x14ac:dyDescent="0.4">
      <c r="A26">
        <v>2007</v>
      </c>
      <c r="B26" t="s">
        <v>268</v>
      </c>
      <c r="C26" t="s">
        <v>430</v>
      </c>
      <c r="D26" t="s">
        <v>28</v>
      </c>
      <c r="E26" t="s">
        <v>499</v>
      </c>
      <c r="F26">
        <v>23</v>
      </c>
      <c r="G26">
        <v>90</v>
      </c>
      <c r="H26" t="s">
        <v>348</v>
      </c>
      <c r="I26" t="s">
        <v>314</v>
      </c>
      <c r="J26" t="s">
        <v>24</v>
      </c>
      <c r="K26" t="s">
        <v>501</v>
      </c>
      <c r="L26">
        <v>18</v>
      </c>
    </row>
    <row r="27" spans="1:12" x14ac:dyDescent="0.4">
      <c r="A27">
        <v>2007</v>
      </c>
      <c r="B27" t="s">
        <v>10</v>
      </c>
      <c r="C27" t="s">
        <v>132</v>
      </c>
      <c r="D27" t="s">
        <v>130</v>
      </c>
      <c r="E27" t="s">
        <v>497</v>
      </c>
      <c r="F27">
        <v>1</v>
      </c>
      <c r="G27">
        <v>225</v>
      </c>
      <c r="H27" t="s">
        <v>138</v>
      </c>
      <c r="I27" t="s">
        <v>136</v>
      </c>
      <c r="J27" t="s">
        <v>135</v>
      </c>
      <c r="K27" t="s">
        <v>496</v>
      </c>
      <c r="L27">
        <v>2</v>
      </c>
    </row>
    <row r="28" spans="1:12" x14ac:dyDescent="0.4">
      <c r="A28">
        <v>2006</v>
      </c>
      <c r="B28" t="s">
        <v>268</v>
      </c>
      <c r="C28" t="s">
        <v>310</v>
      </c>
      <c r="D28" t="s">
        <v>24</v>
      </c>
      <c r="E28" t="s">
        <v>501</v>
      </c>
      <c r="F28">
        <v>1</v>
      </c>
      <c r="G28">
        <v>122</v>
      </c>
      <c r="H28" t="s">
        <v>311</v>
      </c>
      <c r="I28" t="s">
        <v>313</v>
      </c>
      <c r="J28" t="s">
        <v>312</v>
      </c>
      <c r="K28" t="s">
        <v>513</v>
      </c>
      <c r="L28">
        <v>3</v>
      </c>
    </row>
    <row r="29" spans="1:12" x14ac:dyDescent="0.4">
      <c r="A29">
        <v>2006</v>
      </c>
      <c r="B29" t="s">
        <v>10</v>
      </c>
      <c r="C29" t="s">
        <v>132</v>
      </c>
      <c r="D29" t="s">
        <v>130</v>
      </c>
      <c r="E29" t="s">
        <v>497</v>
      </c>
      <c r="F29">
        <v>1</v>
      </c>
      <c r="G29">
        <v>170</v>
      </c>
      <c r="H29" t="s">
        <v>137</v>
      </c>
      <c r="I29" t="s">
        <v>136</v>
      </c>
      <c r="J29" t="s">
        <v>135</v>
      </c>
      <c r="K29" t="s">
        <v>496</v>
      </c>
      <c r="L29">
        <v>2</v>
      </c>
    </row>
    <row r="30" spans="1:12" x14ac:dyDescent="0.4">
      <c r="A30">
        <v>2005</v>
      </c>
      <c r="B30" t="s">
        <v>268</v>
      </c>
      <c r="C30" t="s">
        <v>430</v>
      </c>
      <c r="D30" t="s">
        <v>28</v>
      </c>
      <c r="E30" t="s">
        <v>499</v>
      </c>
      <c r="F30">
        <v>14</v>
      </c>
      <c r="G30">
        <v>166</v>
      </c>
      <c r="H30" t="s">
        <v>440</v>
      </c>
      <c r="I30" t="s">
        <v>441</v>
      </c>
      <c r="J30" t="s">
        <v>28</v>
      </c>
      <c r="K30" t="s">
        <v>499</v>
      </c>
      <c r="L30">
        <v>1</v>
      </c>
    </row>
    <row r="31" spans="1:12" x14ac:dyDescent="0.4">
      <c r="A31">
        <v>2005</v>
      </c>
      <c r="B31" t="s">
        <v>10</v>
      </c>
      <c r="C31" t="s">
        <v>132</v>
      </c>
      <c r="D31" t="s">
        <v>130</v>
      </c>
      <c r="E31" t="s">
        <v>497</v>
      </c>
      <c r="F31">
        <v>1</v>
      </c>
      <c r="G31">
        <v>101</v>
      </c>
      <c r="H31" t="s">
        <v>141</v>
      </c>
      <c r="I31" t="s">
        <v>139</v>
      </c>
      <c r="J31" t="s">
        <v>28</v>
      </c>
      <c r="K31" t="s">
        <v>499</v>
      </c>
      <c r="L31">
        <v>2</v>
      </c>
    </row>
    <row r="32" spans="1:12" x14ac:dyDescent="0.4">
      <c r="A32">
        <v>2004</v>
      </c>
      <c r="B32" t="s">
        <v>268</v>
      </c>
      <c r="C32" t="s">
        <v>297</v>
      </c>
      <c r="D32" t="s">
        <v>296</v>
      </c>
      <c r="E32" t="s">
        <v>502</v>
      </c>
      <c r="F32">
        <v>13</v>
      </c>
      <c r="G32">
        <v>74</v>
      </c>
      <c r="H32" t="s">
        <v>395</v>
      </c>
      <c r="I32" t="s">
        <v>416</v>
      </c>
      <c r="J32" t="s">
        <v>28</v>
      </c>
      <c r="K32" t="s">
        <v>499</v>
      </c>
      <c r="L32">
        <v>1</v>
      </c>
    </row>
    <row r="33" spans="1:12" x14ac:dyDescent="0.4">
      <c r="A33">
        <v>2004</v>
      </c>
      <c r="B33" t="s">
        <v>10</v>
      </c>
      <c r="C33" t="s">
        <v>132</v>
      </c>
      <c r="D33" t="s">
        <v>130</v>
      </c>
      <c r="E33" t="s">
        <v>497</v>
      </c>
      <c r="F33">
        <v>1</v>
      </c>
      <c r="G33">
        <v>151</v>
      </c>
      <c r="H33" t="s">
        <v>140</v>
      </c>
      <c r="I33" t="s">
        <v>139</v>
      </c>
      <c r="J33" t="s">
        <v>28</v>
      </c>
      <c r="K33" t="s">
        <v>499</v>
      </c>
      <c r="L33">
        <v>2</v>
      </c>
    </row>
    <row r="34" spans="1:12" x14ac:dyDescent="0.4">
      <c r="A34">
        <v>2003</v>
      </c>
      <c r="B34" t="s">
        <v>268</v>
      </c>
      <c r="C34" t="s">
        <v>416</v>
      </c>
      <c r="D34" t="s">
        <v>28</v>
      </c>
      <c r="E34" t="s">
        <v>499</v>
      </c>
      <c r="F34">
        <v>1</v>
      </c>
      <c r="G34">
        <v>123</v>
      </c>
      <c r="H34" t="s">
        <v>339</v>
      </c>
      <c r="I34" t="s">
        <v>430</v>
      </c>
      <c r="J34" t="s">
        <v>28</v>
      </c>
      <c r="K34" t="s">
        <v>499</v>
      </c>
      <c r="L34">
        <v>4</v>
      </c>
    </row>
    <row r="35" spans="1:12" x14ac:dyDescent="0.4">
      <c r="A35">
        <v>2003</v>
      </c>
      <c r="B35" t="s">
        <v>10</v>
      </c>
      <c r="C35" t="s">
        <v>132</v>
      </c>
      <c r="D35" t="s">
        <v>130</v>
      </c>
      <c r="E35" t="s">
        <v>497</v>
      </c>
      <c r="F35">
        <v>4</v>
      </c>
      <c r="G35">
        <v>119</v>
      </c>
      <c r="H35" t="s">
        <v>240</v>
      </c>
      <c r="I35" t="s">
        <v>239</v>
      </c>
      <c r="J35" t="s">
        <v>12</v>
      </c>
      <c r="K35" t="s">
        <v>503</v>
      </c>
      <c r="L35" t="s">
        <v>122</v>
      </c>
    </row>
    <row r="36" spans="1:12" x14ac:dyDescent="0.4">
      <c r="A36">
        <v>2002</v>
      </c>
      <c r="B36" t="s">
        <v>268</v>
      </c>
      <c r="C36" t="s">
        <v>416</v>
      </c>
      <c r="D36" t="s">
        <v>28</v>
      </c>
      <c r="E36" t="s">
        <v>499</v>
      </c>
      <c r="F36">
        <v>2</v>
      </c>
      <c r="G36">
        <v>78</v>
      </c>
      <c r="H36" t="s">
        <v>444</v>
      </c>
      <c r="I36" t="s">
        <v>430</v>
      </c>
      <c r="J36" t="s">
        <v>28</v>
      </c>
      <c r="K36" t="s">
        <v>499</v>
      </c>
      <c r="L36">
        <v>1</v>
      </c>
    </row>
    <row r="37" spans="1:12" x14ac:dyDescent="0.4">
      <c r="A37">
        <v>2002</v>
      </c>
      <c r="B37" t="s">
        <v>10</v>
      </c>
      <c r="C37" t="s">
        <v>110</v>
      </c>
      <c r="D37" t="s">
        <v>12</v>
      </c>
      <c r="E37" t="s">
        <v>503</v>
      </c>
      <c r="F37">
        <v>1</v>
      </c>
      <c r="G37">
        <v>116</v>
      </c>
      <c r="H37" t="s">
        <v>113</v>
      </c>
      <c r="I37" t="s">
        <v>112</v>
      </c>
      <c r="J37" t="s">
        <v>111</v>
      </c>
      <c r="K37" t="s">
        <v>514</v>
      </c>
      <c r="L37">
        <v>28</v>
      </c>
    </row>
    <row r="38" spans="1:12" x14ac:dyDescent="0.4">
      <c r="A38">
        <v>2001</v>
      </c>
      <c r="B38" t="s">
        <v>268</v>
      </c>
      <c r="C38" t="s">
        <v>430</v>
      </c>
      <c r="D38" t="s">
        <v>28</v>
      </c>
      <c r="E38" t="s">
        <v>499</v>
      </c>
      <c r="F38">
        <v>2</v>
      </c>
      <c r="G38">
        <v>69</v>
      </c>
      <c r="H38" t="s">
        <v>453</v>
      </c>
      <c r="I38" t="s">
        <v>454</v>
      </c>
      <c r="J38" t="s">
        <v>312</v>
      </c>
      <c r="K38" t="s">
        <v>513</v>
      </c>
      <c r="L38">
        <v>8</v>
      </c>
    </row>
    <row r="39" spans="1:12" x14ac:dyDescent="0.4">
      <c r="A39">
        <v>2001</v>
      </c>
      <c r="B39" t="s">
        <v>10</v>
      </c>
      <c r="C39" t="s">
        <v>154</v>
      </c>
      <c r="D39" t="s">
        <v>153</v>
      </c>
      <c r="E39" t="s">
        <v>504</v>
      </c>
      <c r="G39">
        <v>182</v>
      </c>
      <c r="H39" t="s">
        <v>265</v>
      </c>
      <c r="I39" t="s">
        <v>151</v>
      </c>
      <c r="J39" t="s">
        <v>12</v>
      </c>
      <c r="K39" t="s">
        <v>503</v>
      </c>
      <c r="L39">
        <v>3</v>
      </c>
    </row>
    <row r="40" spans="1:12" x14ac:dyDescent="0.4">
      <c r="A40">
        <v>2000</v>
      </c>
      <c r="B40" t="s">
        <v>268</v>
      </c>
      <c r="C40" t="s">
        <v>430</v>
      </c>
      <c r="D40" t="s">
        <v>28</v>
      </c>
      <c r="E40" t="s">
        <v>499</v>
      </c>
      <c r="F40">
        <v>5</v>
      </c>
      <c r="G40">
        <v>84</v>
      </c>
      <c r="H40" t="s">
        <v>463</v>
      </c>
      <c r="I40" t="s">
        <v>456</v>
      </c>
      <c r="J40" t="s">
        <v>28</v>
      </c>
      <c r="K40" t="s">
        <v>499</v>
      </c>
      <c r="L40">
        <v>2</v>
      </c>
    </row>
    <row r="41" spans="1:12" x14ac:dyDescent="0.4">
      <c r="A41">
        <v>2000</v>
      </c>
      <c r="B41" t="s">
        <v>10</v>
      </c>
      <c r="C41" t="s">
        <v>150</v>
      </c>
      <c r="D41" t="s">
        <v>28</v>
      </c>
      <c r="E41" t="s">
        <v>499</v>
      </c>
      <c r="F41">
        <v>1</v>
      </c>
      <c r="G41">
        <v>182</v>
      </c>
      <c r="H41" t="s">
        <v>152</v>
      </c>
      <c r="I41" t="s">
        <v>151</v>
      </c>
      <c r="J41" t="s">
        <v>12</v>
      </c>
      <c r="K41" t="s">
        <v>503</v>
      </c>
      <c r="L41">
        <v>12</v>
      </c>
    </row>
    <row r="42" spans="1:12" x14ac:dyDescent="0.4">
      <c r="A42">
        <v>1999</v>
      </c>
      <c r="B42" t="s">
        <v>268</v>
      </c>
      <c r="C42" t="s">
        <v>456</v>
      </c>
      <c r="D42" t="s">
        <v>28</v>
      </c>
      <c r="E42" t="s">
        <v>499</v>
      </c>
      <c r="F42">
        <v>3</v>
      </c>
      <c r="G42">
        <v>75</v>
      </c>
      <c r="H42" t="s">
        <v>457</v>
      </c>
      <c r="I42" t="s">
        <v>380</v>
      </c>
      <c r="J42" t="s">
        <v>126</v>
      </c>
      <c r="K42" t="s">
        <v>495</v>
      </c>
      <c r="L42">
        <v>2</v>
      </c>
    </row>
    <row r="43" spans="1:12" x14ac:dyDescent="0.4">
      <c r="A43">
        <v>1999</v>
      </c>
      <c r="B43" t="s">
        <v>10</v>
      </c>
      <c r="C43" t="s">
        <v>150</v>
      </c>
      <c r="D43" t="s">
        <v>28</v>
      </c>
      <c r="E43" t="s">
        <v>499</v>
      </c>
      <c r="F43">
        <v>1</v>
      </c>
      <c r="G43">
        <v>115</v>
      </c>
      <c r="H43" t="s">
        <v>170</v>
      </c>
      <c r="I43" t="s">
        <v>169</v>
      </c>
      <c r="J43" t="s">
        <v>28</v>
      </c>
      <c r="K43" t="s">
        <v>499</v>
      </c>
      <c r="L43">
        <v>4</v>
      </c>
    </row>
    <row r="44" spans="1:12" x14ac:dyDescent="0.4">
      <c r="A44">
        <v>1998</v>
      </c>
      <c r="B44" t="s">
        <v>268</v>
      </c>
      <c r="C44" t="s">
        <v>288</v>
      </c>
      <c r="D44" t="s">
        <v>107</v>
      </c>
      <c r="E44" t="s">
        <v>500</v>
      </c>
      <c r="F44">
        <v>3</v>
      </c>
      <c r="G44">
        <v>94</v>
      </c>
      <c r="H44" t="s">
        <v>289</v>
      </c>
      <c r="I44" t="s">
        <v>290</v>
      </c>
      <c r="J44" t="s">
        <v>24</v>
      </c>
      <c r="K44" t="s">
        <v>501</v>
      </c>
      <c r="L44">
        <v>16</v>
      </c>
    </row>
    <row r="45" spans="1:12" x14ac:dyDescent="0.4">
      <c r="A45">
        <v>1998</v>
      </c>
      <c r="B45" t="s">
        <v>10</v>
      </c>
      <c r="C45" t="s">
        <v>150</v>
      </c>
      <c r="D45" t="s">
        <v>28</v>
      </c>
      <c r="E45" t="s">
        <v>499</v>
      </c>
      <c r="F45">
        <v>1</v>
      </c>
      <c r="G45">
        <v>172</v>
      </c>
      <c r="H45" t="s">
        <v>155</v>
      </c>
      <c r="I45" t="s">
        <v>154</v>
      </c>
      <c r="J45" t="s">
        <v>153</v>
      </c>
      <c r="K45" t="s">
        <v>504</v>
      </c>
      <c r="L45">
        <v>14</v>
      </c>
    </row>
    <row r="46" spans="1:12" x14ac:dyDescent="0.4">
      <c r="A46">
        <v>1997</v>
      </c>
      <c r="B46" t="s">
        <v>268</v>
      </c>
      <c r="C46" t="s">
        <v>396</v>
      </c>
      <c r="D46" t="s">
        <v>130</v>
      </c>
      <c r="E46" t="s">
        <v>497</v>
      </c>
      <c r="F46">
        <v>1</v>
      </c>
      <c r="G46">
        <v>110</v>
      </c>
      <c r="H46" t="s">
        <v>397</v>
      </c>
      <c r="I46" t="s">
        <v>288</v>
      </c>
      <c r="J46" t="s">
        <v>107</v>
      </c>
      <c r="K46" t="s">
        <v>500</v>
      </c>
      <c r="L46">
        <v>3</v>
      </c>
    </row>
    <row r="47" spans="1:12" x14ac:dyDescent="0.4">
      <c r="A47">
        <v>1997</v>
      </c>
      <c r="B47" t="s">
        <v>10</v>
      </c>
      <c r="C47" t="s">
        <v>150</v>
      </c>
      <c r="D47" t="s">
        <v>28</v>
      </c>
      <c r="E47" t="s">
        <v>499</v>
      </c>
      <c r="F47">
        <v>1</v>
      </c>
      <c r="G47">
        <v>94</v>
      </c>
      <c r="H47" t="s">
        <v>179</v>
      </c>
      <c r="I47" t="s">
        <v>178</v>
      </c>
      <c r="J47" t="s">
        <v>24</v>
      </c>
      <c r="K47" t="s">
        <v>501</v>
      </c>
      <c r="L47" t="s">
        <v>122</v>
      </c>
    </row>
    <row r="48" spans="1:12" x14ac:dyDescent="0.4">
      <c r="A48">
        <v>1996</v>
      </c>
      <c r="B48" t="s">
        <v>268</v>
      </c>
      <c r="C48" t="s">
        <v>380</v>
      </c>
      <c r="D48" t="s">
        <v>126</v>
      </c>
      <c r="E48" t="s">
        <v>495</v>
      </c>
      <c r="F48">
        <v>1</v>
      </c>
      <c r="G48">
        <v>88</v>
      </c>
      <c r="H48" t="s">
        <v>387</v>
      </c>
      <c r="I48" t="s">
        <v>384</v>
      </c>
      <c r="J48" t="s">
        <v>135</v>
      </c>
      <c r="K48" t="s">
        <v>496</v>
      </c>
      <c r="L48">
        <v>4</v>
      </c>
    </row>
    <row r="49" spans="1:12" x14ac:dyDescent="0.4">
      <c r="A49">
        <v>1996</v>
      </c>
      <c r="B49" t="s">
        <v>10</v>
      </c>
      <c r="C49" t="s">
        <v>261</v>
      </c>
      <c r="D49" t="s">
        <v>262</v>
      </c>
      <c r="E49" t="s">
        <v>505</v>
      </c>
      <c r="G49">
        <v>94</v>
      </c>
      <c r="H49" t="s">
        <v>264</v>
      </c>
      <c r="I49" t="s">
        <v>263</v>
      </c>
      <c r="J49" t="s">
        <v>28</v>
      </c>
      <c r="K49" t="s">
        <v>499</v>
      </c>
      <c r="L49" t="s">
        <v>122</v>
      </c>
    </row>
    <row r="50" spans="1:12" x14ac:dyDescent="0.4">
      <c r="A50">
        <v>1995</v>
      </c>
      <c r="B50" t="s">
        <v>268</v>
      </c>
      <c r="C50" t="s">
        <v>380</v>
      </c>
      <c r="D50" t="s">
        <v>126</v>
      </c>
      <c r="E50" t="s">
        <v>495</v>
      </c>
      <c r="F50">
        <v>1</v>
      </c>
      <c r="G50">
        <v>122</v>
      </c>
      <c r="H50" t="s">
        <v>383</v>
      </c>
      <c r="I50" t="s">
        <v>384</v>
      </c>
      <c r="J50" t="s">
        <v>135</v>
      </c>
      <c r="K50" t="s">
        <v>496</v>
      </c>
      <c r="L50">
        <v>2</v>
      </c>
    </row>
    <row r="51" spans="1:12" x14ac:dyDescent="0.4">
      <c r="A51">
        <v>1995</v>
      </c>
      <c r="B51" t="s">
        <v>10</v>
      </c>
      <c r="C51" t="s">
        <v>150</v>
      </c>
      <c r="D51" t="s">
        <v>28</v>
      </c>
      <c r="E51" t="s">
        <v>499</v>
      </c>
      <c r="F51">
        <v>2</v>
      </c>
      <c r="G51">
        <v>149</v>
      </c>
      <c r="H51" t="s">
        <v>214</v>
      </c>
      <c r="I51" t="s">
        <v>213</v>
      </c>
      <c r="J51" t="s">
        <v>126</v>
      </c>
      <c r="K51" t="s">
        <v>495</v>
      </c>
      <c r="L51">
        <v>3</v>
      </c>
    </row>
    <row r="52" spans="1:12" x14ac:dyDescent="0.4">
      <c r="A52">
        <v>1994</v>
      </c>
      <c r="B52" t="s">
        <v>268</v>
      </c>
      <c r="C52" t="s">
        <v>298</v>
      </c>
      <c r="D52" t="s">
        <v>135</v>
      </c>
      <c r="E52" t="s">
        <v>496</v>
      </c>
      <c r="F52">
        <v>3</v>
      </c>
      <c r="G52">
        <v>119</v>
      </c>
      <c r="H52" t="s">
        <v>299</v>
      </c>
      <c r="I52" t="s">
        <v>300</v>
      </c>
      <c r="J52" t="s">
        <v>28</v>
      </c>
      <c r="K52" t="s">
        <v>499</v>
      </c>
      <c r="L52">
        <v>4</v>
      </c>
    </row>
    <row r="53" spans="1:12" x14ac:dyDescent="0.4">
      <c r="A53">
        <v>1994</v>
      </c>
      <c r="B53" t="s">
        <v>10</v>
      </c>
      <c r="C53" t="s">
        <v>150</v>
      </c>
      <c r="D53" t="s">
        <v>28</v>
      </c>
      <c r="E53" t="s">
        <v>499</v>
      </c>
      <c r="F53">
        <v>1</v>
      </c>
      <c r="G53">
        <v>115</v>
      </c>
      <c r="H53" t="s">
        <v>168</v>
      </c>
      <c r="I53" t="s">
        <v>154</v>
      </c>
      <c r="J53" t="s">
        <v>153</v>
      </c>
      <c r="K53" t="s">
        <v>504</v>
      </c>
      <c r="L53">
        <v>4</v>
      </c>
    </row>
    <row r="54" spans="1:12" x14ac:dyDescent="0.4">
      <c r="A54">
        <v>1993</v>
      </c>
      <c r="B54" t="s">
        <v>268</v>
      </c>
      <c r="C54" t="s">
        <v>380</v>
      </c>
      <c r="D54" t="s">
        <v>126</v>
      </c>
      <c r="E54" t="s">
        <v>495</v>
      </c>
      <c r="F54">
        <v>1</v>
      </c>
      <c r="G54">
        <v>134</v>
      </c>
      <c r="H54" t="s">
        <v>391</v>
      </c>
      <c r="I54" t="s">
        <v>288</v>
      </c>
      <c r="J54" t="s">
        <v>107</v>
      </c>
      <c r="K54" t="s">
        <v>500</v>
      </c>
      <c r="L54">
        <v>8</v>
      </c>
    </row>
    <row r="55" spans="1:12" x14ac:dyDescent="0.4">
      <c r="A55">
        <v>1993</v>
      </c>
      <c r="B55" t="s">
        <v>10</v>
      </c>
      <c r="C55" t="s">
        <v>150</v>
      </c>
      <c r="D55" t="s">
        <v>28</v>
      </c>
      <c r="E55" t="s">
        <v>499</v>
      </c>
      <c r="F55">
        <v>1</v>
      </c>
      <c r="G55">
        <v>178</v>
      </c>
      <c r="H55" t="s">
        <v>167</v>
      </c>
      <c r="I55" t="s">
        <v>166</v>
      </c>
      <c r="J55" t="s">
        <v>28</v>
      </c>
      <c r="K55" t="s">
        <v>499</v>
      </c>
      <c r="L55">
        <v>3</v>
      </c>
    </row>
    <row r="56" spans="1:12" x14ac:dyDescent="0.4">
      <c r="A56">
        <v>1992</v>
      </c>
      <c r="B56" t="s">
        <v>268</v>
      </c>
      <c r="C56" t="s">
        <v>380</v>
      </c>
      <c r="D56" t="s">
        <v>126</v>
      </c>
      <c r="E56" t="s">
        <v>495</v>
      </c>
      <c r="F56">
        <v>2</v>
      </c>
      <c r="G56">
        <v>58</v>
      </c>
      <c r="H56" t="s">
        <v>392</v>
      </c>
      <c r="I56" t="s">
        <v>394</v>
      </c>
      <c r="J56" t="s">
        <v>393</v>
      </c>
      <c r="K56" t="s">
        <v>515</v>
      </c>
      <c r="L56">
        <v>1</v>
      </c>
    </row>
    <row r="57" spans="1:12" x14ac:dyDescent="0.4">
      <c r="A57">
        <v>1992</v>
      </c>
      <c r="B57" t="s">
        <v>10</v>
      </c>
      <c r="C57" t="s">
        <v>169</v>
      </c>
      <c r="D57" t="s">
        <v>28</v>
      </c>
      <c r="E57" t="s">
        <v>499</v>
      </c>
      <c r="F57">
        <v>12</v>
      </c>
      <c r="G57">
        <v>170</v>
      </c>
      <c r="H57" t="s">
        <v>185</v>
      </c>
      <c r="I57" t="s">
        <v>154</v>
      </c>
      <c r="J57" t="s">
        <v>153</v>
      </c>
      <c r="K57" t="s">
        <v>504</v>
      </c>
      <c r="L57">
        <v>8</v>
      </c>
    </row>
    <row r="58" spans="1:12" x14ac:dyDescent="0.4">
      <c r="A58">
        <v>1991</v>
      </c>
      <c r="B58" t="s">
        <v>268</v>
      </c>
      <c r="C58" t="s">
        <v>380</v>
      </c>
      <c r="D58" t="s">
        <v>126</v>
      </c>
      <c r="E58" t="s">
        <v>495</v>
      </c>
      <c r="F58">
        <v>1</v>
      </c>
      <c r="G58">
        <v>127</v>
      </c>
      <c r="H58" t="s">
        <v>381</v>
      </c>
      <c r="I58" t="s">
        <v>382</v>
      </c>
      <c r="J58" t="s">
        <v>111</v>
      </c>
      <c r="K58" t="s">
        <v>514</v>
      </c>
      <c r="L58">
        <v>2</v>
      </c>
    </row>
    <row r="59" spans="1:12" x14ac:dyDescent="0.4">
      <c r="A59">
        <v>1991</v>
      </c>
      <c r="B59" t="s">
        <v>10</v>
      </c>
      <c r="C59" t="s">
        <v>248</v>
      </c>
      <c r="D59" t="s">
        <v>126</v>
      </c>
      <c r="E59" t="s">
        <v>495</v>
      </c>
      <c r="F59">
        <v>6</v>
      </c>
      <c r="G59">
        <v>153</v>
      </c>
      <c r="H59" t="s">
        <v>249</v>
      </c>
      <c r="I59" t="s">
        <v>213</v>
      </c>
      <c r="J59" t="s">
        <v>126</v>
      </c>
      <c r="K59" t="s">
        <v>495</v>
      </c>
      <c r="L59">
        <v>2</v>
      </c>
    </row>
    <row r="60" spans="1:12" x14ac:dyDescent="0.4">
      <c r="A60">
        <v>1990</v>
      </c>
      <c r="B60" t="s">
        <v>268</v>
      </c>
      <c r="C60" t="s">
        <v>300</v>
      </c>
      <c r="D60" t="s">
        <v>28</v>
      </c>
      <c r="E60" t="s">
        <v>499</v>
      </c>
      <c r="F60">
        <v>2</v>
      </c>
      <c r="G60">
        <v>75</v>
      </c>
      <c r="H60" t="s">
        <v>279</v>
      </c>
      <c r="I60" t="s">
        <v>452</v>
      </c>
      <c r="J60" t="s">
        <v>28</v>
      </c>
      <c r="K60" t="s">
        <v>499</v>
      </c>
      <c r="L60">
        <v>5</v>
      </c>
    </row>
    <row r="61" spans="1:12" x14ac:dyDescent="0.4">
      <c r="A61">
        <v>1990</v>
      </c>
      <c r="B61" t="s">
        <v>10</v>
      </c>
      <c r="C61" t="s">
        <v>228</v>
      </c>
      <c r="D61" t="s">
        <v>143</v>
      </c>
      <c r="E61" t="s">
        <v>506</v>
      </c>
      <c r="F61">
        <v>3</v>
      </c>
      <c r="G61">
        <v>178</v>
      </c>
      <c r="H61" t="s">
        <v>231</v>
      </c>
      <c r="I61" t="s">
        <v>213</v>
      </c>
      <c r="J61" t="s">
        <v>126</v>
      </c>
      <c r="K61" t="s">
        <v>495</v>
      </c>
      <c r="L61">
        <v>2</v>
      </c>
    </row>
    <row r="62" spans="1:12" x14ac:dyDescent="0.4">
      <c r="A62">
        <v>1989</v>
      </c>
      <c r="B62" t="s">
        <v>268</v>
      </c>
      <c r="C62" t="s">
        <v>380</v>
      </c>
      <c r="D62" t="s">
        <v>126</v>
      </c>
      <c r="E62" t="s">
        <v>495</v>
      </c>
      <c r="F62">
        <v>1</v>
      </c>
      <c r="G62">
        <v>92</v>
      </c>
      <c r="H62" t="s">
        <v>386</v>
      </c>
      <c r="I62" t="s">
        <v>300</v>
      </c>
      <c r="J62" t="s">
        <v>28</v>
      </c>
      <c r="K62" t="s">
        <v>499</v>
      </c>
      <c r="L62">
        <v>2</v>
      </c>
    </row>
    <row r="63" spans="1:12" x14ac:dyDescent="0.4">
      <c r="A63">
        <v>1989</v>
      </c>
      <c r="B63" t="s">
        <v>10</v>
      </c>
      <c r="C63" t="s">
        <v>213</v>
      </c>
      <c r="D63" t="s">
        <v>126</v>
      </c>
      <c r="E63" t="s">
        <v>495</v>
      </c>
      <c r="F63">
        <v>3</v>
      </c>
      <c r="G63">
        <v>132</v>
      </c>
      <c r="H63" t="s">
        <v>229</v>
      </c>
      <c r="I63" t="s">
        <v>228</v>
      </c>
      <c r="J63" t="s">
        <v>143</v>
      </c>
      <c r="K63" t="s">
        <v>516</v>
      </c>
      <c r="L63">
        <v>2</v>
      </c>
    </row>
    <row r="64" spans="1:12" x14ac:dyDescent="0.4">
      <c r="A64">
        <v>1988</v>
      </c>
      <c r="B64" t="s">
        <v>268</v>
      </c>
      <c r="C64" t="s">
        <v>380</v>
      </c>
      <c r="D64" t="s">
        <v>126</v>
      </c>
      <c r="E64" t="s">
        <v>495</v>
      </c>
      <c r="F64">
        <v>1</v>
      </c>
      <c r="G64">
        <v>93</v>
      </c>
      <c r="H64" t="s">
        <v>385</v>
      </c>
      <c r="I64" t="s">
        <v>300</v>
      </c>
      <c r="J64" t="s">
        <v>28</v>
      </c>
      <c r="K64" t="s">
        <v>499</v>
      </c>
      <c r="L64">
        <v>2</v>
      </c>
    </row>
    <row r="65" spans="1:12" x14ac:dyDescent="0.4">
      <c r="A65">
        <v>1988</v>
      </c>
      <c r="B65" t="s">
        <v>10</v>
      </c>
      <c r="C65" t="s">
        <v>228</v>
      </c>
      <c r="D65" t="s">
        <v>143</v>
      </c>
      <c r="E65" t="s">
        <v>506</v>
      </c>
      <c r="F65">
        <v>3</v>
      </c>
      <c r="G65">
        <v>170</v>
      </c>
      <c r="H65" t="s">
        <v>232</v>
      </c>
      <c r="I65" t="s">
        <v>213</v>
      </c>
      <c r="J65" t="s">
        <v>126</v>
      </c>
      <c r="K65" t="s">
        <v>495</v>
      </c>
      <c r="L65">
        <v>6</v>
      </c>
    </row>
    <row r="66" spans="1:12" x14ac:dyDescent="0.4">
      <c r="A66">
        <v>1987</v>
      </c>
      <c r="B66" t="s">
        <v>268</v>
      </c>
      <c r="C66" t="s">
        <v>300</v>
      </c>
      <c r="D66" t="s">
        <v>28</v>
      </c>
      <c r="E66" t="s">
        <v>499</v>
      </c>
      <c r="F66">
        <v>1</v>
      </c>
      <c r="G66">
        <v>69</v>
      </c>
      <c r="H66" t="s">
        <v>403</v>
      </c>
      <c r="I66" t="s">
        <v>380</v>
      </c>
      <c r="J66" t="s">
        <v>126</v>
      </c>
      <c r="K66" t="s">
        <v>495</v>
      </c>
      <c r="L66">
        <v>2</v>
      </c>
    </row>
    <row r="67" spans="1:12" x14ac:dyDescent="0.4">
      <c r="A67">
        <v>1987</v>
      </c>
      <c r="B67" t="s">
        <v>10</v>
      </c>
      <c r="C67" t="s">
        <v>180</v>
      </c>
      <c r="D67" t="s">
        <v>12</v>
      </c>
      <c r="E67" t="s">
        <v>503</v>
      </c>
      <c r="F67">
        <v>11</v>
      </c>
      <c r="G67">
        <v>165</v>
      </c>
      <c r="H67" t="s">
        <v>183</v>
      </c>
      <c r="I67" t="s">
        <v>182</v>
      </c>
      <c r="J67" t="s">
        <v>181</v>
      </c>
      <c r="K67" t="s">
        <v>517</v>
      </c>
      <c r="L67">
        <v>2</v>
      </c>
    </row>
    <row r="68" spans="1:12" x14ac:dyDescent="0.4">
      <c r="A68">
        <v>1986</v>
      </c>
      <c r="B68" t="s">
        <v>268</v>
      </c>
      <c r="C68" t="s">
        <v>300</v>
      </c>
      <c r="D68" t="s">
        <v>28</v>
      </c>
      <c r="E68" t="s">
        <v>499</v>
      </c>
      <c r="F68">
        <v>1</v>
      </c>
      <c r="G68">
        <v>72</v>
      </c>
      <c r="H68" t="s">
        <v>420</v>
      </c>
      <c r="I68" t="s">
        <v>405</v>
      </c>
      <c r="J68" t="s">
        <v>181</v>
      </c>
      <c r="K68" t="s">
        <v>517</v>
      </c>
      <c r="L68">
        <v>3</v>
      </c>
    </row>
    <row r="69" spans="1:12" x14ac:dyDescent="0.4">
      <c r="A69">
        <v>1986</v>
      </c>
      <c r="B69" t="s">
        <v>10</v>
      </c>
      <c r="C69" t="s">
        <v>213</v>
      </c>
      <c r="D69" t="s">
        <v>126</v>
      </c>
      <c r="E69" t="s">
        <v>495</v>
      </c>
      <c r="F69">
        <v>4</v>
      </c>
      <c r="G69">
        <v>122</v>
      </c>
      <c r="H69" t="s">
        <v>238</v>
      </c>
      <c r="I69" t="s">
        <v>182</v>
      </c>
      <c r="J69" t="s">
        <v>181</v>
      </c>
      <c r="K69" t="s">
        <v>517</v>
      </c>
      <c r="L69">
        <v>1</v>
      </c>
    </row>
    <row r="70" spans="1:12" x14ac:dyDescent="0.4">
      <c r="A70">
        <v>1985</v>
      </c>
      <c r="B70" t="s">
        <v>268</v>
      </c>
      <c r="C70" t="s">
        <v>300</v>
      </c>
      <c r="D70" t="s">
        <v>28</v>
      </c>
      <c r="E70" t="s">
        <v>499</v>
      </c>
      <c r="F70">
        <v>1</v>
      </c>
      <c r="G70">
        <v>107</v>
      </c>
      <c r="H70" t="s">
        <v>398</v>
      </c>
      <c r="I70" t="s">
        <v>282</v>
      </c>
      <c r="J70" t="s">
        <v>28</v>
      </c>
      <c r="K70" t="s">
        <v>499</v>
      </c>
      <c r="L70">
        <v>1</v>
      </c>
    </row>
    <row r="71" spans="1:12" x14ac:dyDescent="0.4">
      <c r="A71">
        <v>1985</v>
      </c>
      <c r="B71" t="s">
        <v>10</v>
      </c>
      <c r="C71" t="s">
        <v>213</v>
      </c>
      <c r="D71" t="s">
        <v>126</v>
      </c>
      <c r="E71" t="s">
        <v>495</v>
      </c>
      <c r="G71">
        <v>198</v>
      </c>
      <c r="H71" t="s">
        <v>267</v>
      </c>
      <c r="I71" t="s">
        <v>266</v>
      </c>
      <c r="J71" t="s">
        <v>28</v>
      </c>
      <c r="K71" t="s">
        <v>499</v>
      </c>
      <c r="L71">
        <v>8</v>
      </c>
    </row>
    <row r="72" spans="1:12" x14ac:dyDescent="0.4">
      <c r="A72">
        <v>1984</v>
      </c>
      <c r="B72" t="s">
        <v>268</v>
      </c>
      <c r="C72" t="s">
        <v>300</v>
      </c>
      <c r="D72" t="s">
        <v>28</v>
      </c>
      <c r="E72" t="s">
        <v>499</v>
      </c>
      <c r="F72">
        <v>1</v>
      </c>
      <c r="G72">
        <v>84</v>
      </c>
      <c r="H72" t="s">
        <v>412</v>
      </c>
      <c r="I72" t="s">
        <v>282</v>
      </c>
      <c r="J72" t="s">
        <v>28</v>
      </c>
      <c r="K72" t="s">
        <v>499</v>
      </c>
      <c r="L72">
        <v>2</v>
      </c>
    </row>
    <row r="73" spans="1:12" x14ac:dyDescent="0.4">
      <c r="A73">
        <v>1984</v>
      </c>
      <c r="B73" t="s">
        <v>10</v>
      </c>
      <c r="C73" t="s">
        <v>144</v>
      </c>
      <c r="D73" t="s">
        <v>28</v>
      </c>
      <c r="E73" t="s">
        <v>499</v>
      </c>
      <c r="F73">
        <v>1</v>
      </c>
      <c r="G73">
        <v>80</v>
      </c>
      <c r="H73" t="s">
        <v>165</v>
      </c>
      <c r="I73" t="s">
        <v>146</v>
      </c>
      <c r="J73" t="s">
        <v>28</v>
      </c>
      <c r="K73" t="s">
        <v>499</v>
      </c>
      <c r="L73">
        <v>3</v>
      </c>
    </row>
    <row r="74" spans="1:12" x14ac:dyDescent="0.4">
      <c r="A74">
        <v>1983</v>
      </c>
      <c r="B74" t="s">
        <v>268</v>
      </c>
      <c r="C74" t="s">
        <v>300</v>
      </c>
      <c r="D74" t="s">
        <v>28</v>
      </c>
      <c r="E74" t="s">
        <v>499</v>
      </c>
      <c r="F74">
        <v>1</v>
      </c>
      <c r="G74">
        <v>54</v>
      </c>
      <c r="H74" t="s">
        <v>421</v>
      </c>
      <c r="I74" t="s">
        <v>422</v>
      </c>
      <c r="J74" t="s">
        <v>28</v>
      </c>
      <c r="K74" t="s">
        <v>499</v>
      </c>
      <c r="L74">
        <v>3</v>
      </c>
    </row>
    <row r="75" spans="1:12" x14ac:dyDescent="0.4">
      <c r="A75">
        <v>1983</v>
      </c>
      <c r="B75" t="s">
        <v>10</v>
      </c>
      <c r="C75" t="s">
        <v>144</v>
      </c>
      <c r="D75" t="s">
        <v>28</v>
      </c>
      <c r="E75" t="s">
        <v>499</v>
      </c>
      <c r="F75">
        <v>2</v>
      </c>
      <c r="G75">
        <v>85</v>
      </c>
      <c r="H75" t="s">
        <v>223</v>
      </c>
      <c r="I75" t="s">
        <v>222</v>
      </c>
      <c r="J75" t="s">
        <v>20</v>
      </c>
      <c r="K75" t="s">
        <v>508</v>
      </c>
      <c r="L75" t="s">
        <v>122</v>
      </c>
    </row>
    <row r="76" spans="1:12" x14ac:dyDescent="0.4">
      <c r="A76">
        <v>1982</v>
      </c>
      <c r="B76" t="s">
        <v>268</v>
      </c>
      <c r="C76" t="s">
        <v>300</v>
      </c>
      <c r="D76" t="s">
        <v>28</v>
      </c>
      <c r="E76" t="s">
        <v>499</v>
      </c>
      <c r="F76">
        <v>1</v>
      </c>
      <c r="G76">
        <v>87</v>
      </c>
      <c r="H76" t="s">
        <v>410</v>
      </c>
      <c r="I76" t="s">
        <v>282</v>
      </c>
      <c r="J76" t="s">
        <v>28</v>
      </c>
      <c r="K76" t="s">
        <v>499</v>
      </c>
      <c r="L76">
        <v>2</v>
      </c>
    </row>
    <row r="77" spans="1:12" x14ac:dyDescent="0.4">
      <c r="A77">
        <v>1982</v>
      </c>
      <c r="B77" t="s">
        <v>10</v>
      </c>
      <c r="C77" t="s">
        <v>146</v>
      </c>
      <c r="D77" t="s">
        <v>28</v>
      </c>
      <c r="E77" t="s">
        <v>499</v>
      </c>
      <c r="F77">
        <v>2</v>
      </c>
      <c r="G77">
        <v>256</v>
      </c>
      <c r="H77" t="s">
        <v>212</v>
      </c>
      <c r="I77" t="s">
        <v>144</v>
      </c>
      <c r="J77" t="s">
        <v>28</v>
      </c>
      <c r="K77" t="s">
        <v>499</v>
      </c>
      <c r="L77">
        <v>1</v>
      </c>
    </row>
    <row r="78" spans="1:12" x14ac:dyDescent="0.4">
      <c r="A78">
        <v>1981</v>
      </c>
      <c r="B78" t="s">
        <v>268</v>
      </c>
      <c r="C78" t="s">
        <v>282</v>
      </c>
      <c r="D78" t="s">
        <v>28</v>
      </c>
      <c r="E78" t="s">
        <v>499</v>
      </c>
      <c r="F78">
        <v>1</v>
      </c>
      <c r="G78">
        <v>60</v>
      </c>
      <c r="H78" t="s">
        <v>404</v>
      </c>
      <c r="I78" t="s">
        <v>405</v>
      </c>
      <c r="J78" t="s">
        <v>181</v>
      </c>
      <c r="K78" t="s">
        <v>517</v>
      </c>
      <c r="L78">
        <v>2</v>
      </c>
    </row>
    <row r="79" spans="1:12" x14ac:dyDescent="0.4">
      <c r="A79">
        <v>1981</v>
      </c>
      <c r="B79" t="s">
        <v>10</v>
      </c>
      <c r="C79" t="s">
        <v>144</v>
      </c>
      <c r="D79" t="s">
        <v>28</v>
      </c>
      <c r="E79" t="s">
        <v>499</v>
      </c>
      <c r="F79">
        <v>2</v>
      </c>
      <c r="G79">
        <v>202</v>
      </c>
      <c r="H79" t="s">
        <v>211</v>
      </c>
      <c r="I79" t="s">
        <v>142</v>
      </c>
      <c r="J79" t="s">
        <v>143</v>
      </c>
      <c r="K79" t="s">
        <v>516</v>
      </c>
      <c r="L79">
        <v>1</v>
      </c>
    </row>
    <row r="80" spans="1:12" x14ac:dyDescent="0.4">
      <c r="A80">
        <v>1980</v>
      </c>
      <c r="B80" t="s">
        <v>268</v>
      </c>
      <c r="C80" t="s">
        <v>280</v>
      </c>
      <c r="D80" t="s">
        <v>12</v>
      </c>
      <c r="E80" t="s">
        <v>503</v>
      </c>
      <c r="F80">
        <v>4</v>
      </c>
      <c r="G80">
        <v>93</v>
      </c>
      <c r="H80" t="s">
        <v>281</v>
      </c>
      <c r="I80" t="s">
        <v>282</v>
      </c>
      <c r="J80" t="s">
        <v>28</v>
      </c>
      <c r="K80" t="s">
        <v>499</v>
      </c>
      <c r="L80">
        <v>3</v>
      </c>
    </row>
    <row r="81" spans="1:12" x14ac:dyDescent="0.4">
      <c r="A81">
        <v>1980</v>
      </c>
      <c r="B81" t="s">
        <v>10</v>
      </c>
      <c r="C81" t="s">
        <v>142</v>
      </c>
      <c r="D81" t="s">
        <v>143</v>
      </c>
      <c r="E81" t="s">
        <v>506</v>
      </c>
      <c r="F81">
        <v>1</v>
      </c>
      <c r="G81">
        <v>233</v>
      </c>
      <c r="H81" t="s">
        <v>145</v>
      </c>
      <c r="I81" t="s">
        <v>144</v>
      </c>
      <c r="J81" t="s">
        <v>28</v>
      </c>
      <c r="K81" t="s">
        <v>499</v>
      </c>
      <c r="L81">
        <v>2</v>
      </c>
    </row>
    <row r="82" spans="1:12" x14ac:dyDescent="0.4">
      <c r="A82">
        <v>1979</v>
      </c>
      <c r="B82" t="s">
        <v>268</v>
      </c>
      <c r="C82" t="s">
        <v>300</v>
      </c>
      <c r="D82" t="s">
        <v>28</v>
      </c>
      <c r="E82" t="s">
        <v>499</v>
      </c>
      <c r="F82">
        <v>1</v>
      </c>
      <c r="G82">
        <v>60</v>
      </c>
      <c r="H82" t="s">
        <v>411</v>
      </c>
      <c r="I82" t="s">
        <v>282</v>
      </c>
      <c r="J82" t="s">
        <v>28</v>
      </c>
      <c r="K82" t="s">
        <v>499</v>
      </c>
      <c r="L82">
        <v>2</v>
      </c>
    </row>
    <row r="83" spans="1:12" x14ac:dyDescent="0.4">
      <c r="A83">
        <v>1979</v>
      </c>
      <c r="B83" t="s">
        <v>10</v>
      </c>
      <c r="C83" t="s">
        <v>142</v>
      </c>
      <c r="D83" t="s">
        <v>143</v>
      </c>
      <c r="E83" t="s">
        <v>506</v>
      </c>
      <c r="F83">
        <v>1</v>
      </c>
      <c r="G83">
        <v>169</v>
      </c>
      <c r="H83" t="s">
        <v>149</v>
      </c>
      <c r="I83" t="s">
        <v>148</v>
      </c>
      <c r="J83" t="s">
        <v>28</v>
      </c>
      <c r="K83" t="s">
        <v>499</v>
      </c>
      <c r="L83">
        <v>5</v>
      </c>
    </row>
    <row r="84" spans="1:12" x14ac:dyDescent="0.4">
      <c r="A84">
        <v>1978</v>
      </c>
      <c r="B84" t="s">
        <v>268</v>
      </c>
      <c r="C84" t="s">
        <v>300</v>
      </c>
      <c r="D84" t="s">
        <v>28</v>
      </c>
      <c r="E84" t="s">
        <v>499</v>
      </c>
      <c r="F84">
        <v>2</v>
      </c>
      <c r="G84">
        <v>102</v>
      </c>
      <c r="H84" t="s">
        <v>443</v>
      </c>
      <c r="I84" t="s">
        <v>399</v>
      </c>
      <c r="J84" t="s">
        <v>28</v>
      </c>
      <c r="K84" t="s">
        <v>499</v>
      </c>
      <c r="L84">
        <v>1</v>
      </c>
    </row>
    <row r="85" spans="1:12" x14ac:dyDescent="0.4">
      <c r="A85">
        <v>1978</v>
      </c>
      <c r="B85" t="s">
        <v>10</v>
      </c>
      <c r="C85" t="s">
        <v>142</v>
      </c>
      <c r="D85" t="s">
        <v>143</v>
      </c>
      <c r="E85" t="s">
        <v>506</v>
      </c>
      <c r="F85">
        <v>1</v>
      </c>
      <c r="G85">
        <v>108</v>
      </c>
      <c r="H85" t="s">
        <v>147</v>
      </c>
      <c r="I85" t="s">
        <v>146</v>
      </c>
      <c r="J85" t="s">
        <v>28</v>
      </c>
      <c r="K85" t="s">
        <v>499</v>
      </c>
      <c r="L85">
        <v>2</v>
      </c>
    </row>
    <row r="86" spans="1:12" x14ac:dyDescent="0.4">
      <c r="A86">
        <v>1977</v>
      </c>
      <c r="B86" t="s">
        <v>268</v>
      </c>
      <c r="C86" t="s">
        <v>369</v>
      </c>
      <c r="D86" t="s">
        <v>15</v>
      </c>
      <c r="E86" t="s">
        <v>498</v>
      </c>
      <c r="F86">
        <v>3</v>
      </c>
      <c r="G86">
        <v>98</v>
      </c>
      <c r="H86" t="s">
        <v>370</v>
      </c>
      <c r="I86" t="s">
        <v>371</v>
      </c>
      <c r="J86" t="s">
        <v>262</v>
      </c>
      <c r="K86" t="s">
        <v>505</v>
      </c>
      <c r="L86">
        <v>7</v>
      </c>
    </row>
    <row r="87" spans="1:12" x14ac:dyDescent="0.4">
      <c r="A87">
        <v>1977</v>
      </c>
      <c r="B87" t="s">
        <v>10</v>
      </c>
      <c r="C87" t="s">
        <v>142</v>
      </c>
      <c r="D87" t="s">
        <v>143</v>
      </c>
      <c r="E87" t="s">
        <v>506</v>
      </c>
      <c r="F87">
        <v>2</v>
      </c>
      <c r="G87">
        <v>194</v>
      </c>
      <c r="H87" t="s">
        <v>210</v>
      </c>
      <c r="I87" t="s">
        <v>146</v>
      </c>
      <c r="J87" t="s">
        <v>28</v>
      </c>
      <c r="K87" t="s">
        <v>499</v>
      </c>
      <c r="L87">
        <v>1</v>
      </c>
    </row>
    <row r="88" spans="1:12" x14ac:dyDescent="0.4">
      <c r="A88">
        <v>1976</v>
      </c>
      <c r="B88" t="s">
        <v>268</v>
      </c>
      <c r="C88" t="s">
        <v>399</v>
      </c>
      <c r="D88" t="s">
        <v>28</v>
      </c>
      <c r="E88" t="s">
        <v>499</v>
      </c>
      <c r="F88">
        <v>1</v>
      </c>
      <c r="G88">
        <v>120</v>
      </c>
      <c r="H88" t="s">
        <v>400</v>
      </c>
      <c r="I88" t="s">
        <v>280</v>
      </c>
      <c r="J88" t="s">
        <v>12</v>
      </c>
      <c r="K88" t="s">
        <v>503</v>
      </c>
      <c r="L88">
        <v>2</v>
      </c>
    </row>
    <row r="89" spans="1:12" x14ac:dyDescent="0.4">
      <c r="A89">
        <v>1976</v>
      </c>
      <c r="B89" t="s">
        <v>10</v>
      </c>
      <c r="C89" t="s">
        <v>142</v>
      </c>
      <c r="D89" t="s">
        <v>143</v>
      </c>
      <c r="E89" t="s">
        <v>506</v>
      </c>
      <c r="F89">
        <v>4</v>
      </c>
      <c r="G89">
        <v>110</v>
      </c>
      <c r="H89" t="s">
        <v>241</v>
      </c>
      <c r="I89" t="s">
        <v>161</v>
      </c>
      <c r="J89" t="s">
        <v>160</v>
      </c>
      <c r="K89" t="s">
        <v>493</v>
      </c>
      <c r="L89">
        <v>3</v>
      </c>
    </row>
    <row r="90" spans="1:12" x14ac:dyDescent="0.4">
      <c r="A90">
        <v>1975</v>
      </c>
      <c r="B90" t="s">
        <v>268</v>
      </c>
      <c r="C90" t="s">
        <v>271</v>
      </c>
      <c r="D90" t="s">
        <v>28</v>
      </c>
      <c r="E90" t="s">
        <v>499</v>
      </c>
      <c r="F90">
        <v>3</v>
      </c>
      <c r="G90">
        <v>38</v>
      </c>
      <c r="H90" t="s">
        <v>458</v>
      </c>
      <c r="I90" t="s">
        <v>280</v>
      </c>
      <c r="J90" t="s">
        <v>12</v>
      </c>
      <c r="K90" t="s">
        <v>503</v>
      </c>
      <c r="L90">
        <v>4</v>
      </c>
    </row>
    <row r="91" spans="1:12" x14ac:dyDescent="0.4">
      <c r="A91">
        <v>1975</v>
      </c>
      <c r="B91" t="s">
        <v>10</v>
      </c>
      <c r="C91" t="s">
        <v>250</v>
      </c>
      <c r="D91" t="s">
        <v>28</v>
      </c>
      <c r="E91" t="s">
        <v>499</v>
      </c>
      <c r="F91">
        <v>6</v>
      </c>
      <c r="G91">
        <v>125</v>
      </c>
      <c r="H91" t="s">
        <v>251</v>
      </c>
      <c r="I91" t="s">
        <v>146</v>
      </c>
      <c r="J91" t="s">
        <v>28</v>
      </c>
      <c r="K91" t="s">
        <v>499</v>
      </c>
      <c r="L91">
        <v>1</v>
      </c>
    </row>
    <row r="92" spans="1:12" x14ac:dyDescent="0.4">
      <c r="A92">
        <v>1974</v>
      </c>
      <c r="B92" t="s">
        <v>268</v>
      </c>
      <c r="C92" t="s">
        <v>399</v>
      </c>
      <c r="D92" t="s">
        <v>28</v>
      </c>
      <c r="E92" t="s">
        <v>499</v>
      </c>
      <c r="F92">
        <v>2</v>
      </c>
      <c r="G92">
        <v>59</v>
      </c>
      <c r="H92" t="s">
        <v>361</v>
      </c>
      <c r="I92" t="s">
        <v>455</v>
      </c>
      <c r="J92" t="s">
        <v>194</v>
      </c>
      <c r="K92" t="s">
        <v>518</v>
      </c>
      <c r="L92">
        <v>8</v>
      </c>
    </row>
    <row r="93" spans="1:12" x14ac:dyDescent="0.4">
      <c r="A93">
        <v>1974</v>
      </c>
      <c r="B93" t="s">
        <v>10</v>
      </c>
      <c r="C93" t="s">
        <v>146</v>
      </c>
      <c r="D93" t="s">
        <v>28</v>
      </c>
      <c r="E93" t="s">
        <v>499</v>
      </c>
      <c r="F93">
        <v>3</v>
      </c>
      <c r="G93">
        <v>93</v>
      </c>
      <c r="H93" t="s">
        <v>233</v>
      </c>
      <c r="I93" t="s">
        <v>101</v>
      </c>
      <c r="J93" t="s">
        <v>12</v>
      </c>
      <c r="K93" t="s">
        <v>503</v>
      </c>
      <c r="L93">
        <v>9</v>
      </c>
    </row>
    <row r="94" spans="1:12" x14ac:dyDescent="0.4">
      <c r="A94">
        <v>1973</v>
      </c>
      <c r="B94" t="s">
        <v>268</v>
      </c>
      <c r="C94" t="s">
        <v>271</v>
      </c>
      <c r="D94" t="s">
        <v>28</v>
      </c>
      <c r="E94" t="s">
        <v>499</v>
      </c>
      <c r="F94">
        <v>2</v>
      </c>
      <c r="G94">
        <v>53</v>
      </c>
      <c r="H94" t="s">
        <v>449</v>
      </c>
      <c r="I94" t="s">
        <v>399</v>
      </c>
      <c r="J94" t="s">
        <v>28</v>
      </c>
      <c r="K94" t="s">
        <v>499</v>
      </c>
      <c r="L94">
        <v>4</v>
      </c>
    </row>
    <row r="95" spans="1:12" x14ac:dyDescent="0.4">
      <c r="A95">
        <v>1973</v>
      </c>
      <c r="B95" t="s">
        <v>10</v>
      </c>
      <c r="C95" t="s">
        <v>193</v>
      </c>
      <c r="D95" t="s">
        <v>107</v>
      </c>
      <c r="E95" t="s">
        <v>500</v>
      </c>
      <c r="F95">
        <v>2</v>
      </c>
      <c r="G95">
        <v>110</v>
      </c>
      <c r="H95" t="s">
        <v>196</v>
      </c>
      <c r="I95" t="s">
        <v>195</v>
      </c>
      <c r="J95" t="s">
        <v>194</v>
      </c>
      <c r="K95" t="s">
        <v>518</v>
      </c>
      <c r="L95">
        <v>4</v>
      </c>
    </row>
    <row r="96" spans="1:12" x14ac:dyDescent="0.4">
      <c r="A96">
        <v>1972</v>
      </c>
      <c r="B96" t="s">
        <v>268</v>
      </c>
      <c r="C96" t="s">
        <v>271</v>
      </c>
      <c r="D96" t="s">
        <v>28</v>
      </c>
      <c r="E96" t="s">
        <v>499</v>
      </c>
      <c r="F96">
        <v>2</v>
      </c>
      <c r="G96">
        <v>50</v>
      </c>
      <c r="H96" t="s">
        <v>442</v>
      </c>
      <c r="I96" t="s">
        <v>278</v>
      </c>
      <c r="J96" t="s">
        <v>12</v>
      </c>
      <c r="K96" t="s">
        <v>503</v>
      </c>
      <c r="L96">
        <v>1</v>
      </c>
    </row>
    <row r="97" spans="1:12" x14ac:dyDescent="0.4">
      <c r="A97">
        <v>1972</v>
      </c>
      <c r="B97" t="s">
        <v>10</v>
      </c>
      <c r="C97" t="s">
        <v>159</v>
      </c>
      <c r="D97" t="s">
        <v>28</v>
      </c>
      <c r="E97" t="s">
        <v>499</v>
      </c>
      <c r="F97">
        <v>1</v>
      </c>
      <c r="G97">
        <v>161</v>
      </c>
      <c r="H97" t="s">
        <v>162</v>
      </c>
      <c r="I97" t="s">
        <v>161</v>
      </c>
      <c r="J97" t="s">
        <v>160</v>
      </c>
      <c r="K97" t="s">
        <v>493</v>
      </c>
      <c r="L97">
        <v>2</v>
      </c>
    </row>
    <row r="98" spans="1:12" x14ac:dyDescent="0.4">
      <c r="A98">
        <v>1971</v>
      </c>
      <c r="B98" t="s">
        <v>268</v>
      </c>
      <c r="C98" t="s">
        <v>278</v>
      </c>
      <c r="D98" t="s">
        <v>12</v>
      </c>
      <c r="E98" t="s">
        <v>503</v>
      </c>
      <c r="F98">
        <v>3</v>
      </c>
      <c r="G98">
        <v>62</v>
      </c>
      <c r="H98" t="s">
        <v>279</v>
      </c>
      <c r="I98" t="s">
        <v>269</v>
      </c>
      <c r="J98" t="s">
        <v>12</v>
      </c>
      <c r="K98" t="s">
        <v>503</v>
      </c>
      <c r="L98">
        <v>1</v>
      </c>
    </row>
    <row r="99" spans="1:12" x14ac:dyDescent="0.4">
      <c r="A99">
        <v>1971</v>
      </c>
      <c r="B99" t="s">
        <v>10</v>
      </c>
      <c r="C99" t="s">
        <v>117</v>
      </c>
      <c r="D99" t="s">
        <v>12</v>
      </c>
      <c r="E99" t="s">
        <v>503</v>
      </c>
      <c r="F99">
        <v>2</v>
      </c>
      <c r="G99">
        <v>170</v>
      </c>
      <c r="H99" t="s">
        <v>189</v>
      </c>
      <c r="I99" t="s">
        <v>159</v>
      </c>
      <c r="J99" t="s">
        <v>28</v>
      </c>
      <c r="K99" t="s">
        <v>499</v>
      </c>
      <c r="L99">
        <v>4</v>
      </c>
    </row>
    <row r="100" spans="1:12" x14ac:dyDescent="0.4">
      <c r="A100">
        <v>1970</v>
      </c>
      <c r="B100" t="s">
        <v>268</v>
      </c>
      <c r="C100" t="s">
        <v>269</v>
      </c>
      <c r="D100" t="s">
        <v>12</v>
      </c>
      <c r="E100" t="s">
        <v>503</v>
      </c>
      <c r="F100">
        <v>1</v>
      </c>
      <c r="G100">
        <v>148</v>
      </c>
      <c r="H100" t="s">
        <v>270</v>
      </c>
      <c r="I100" t="s">
        <v>271</v>
      </c>
      <c r="J100" t="s">
        <v>28</v>
      </c>
      <c r="K100" t="s">
        <v>499</v>
      </c>
      <c r="L100">
        <v>2</v>
      </c>
    </row>
    <row r="101" spans="1:12" x14ac:dyDescent="0.4">
      <c r="A101">
        <v>1970</v>
      </c>
      <c r="B101" t="s">
        <v>10</v>
      </c>
      <c r="C101" t="s">
        <v>117</v>
      </c>
      <c r="D101" t="s">
        <v>12</v>
      </c>
      <c r="E101" t="s">
        <v>503</v>
      </c>
      <c r="F101">
        <v>2</v>
      </c>
      <c r="G101">
        <v>163</v>
      </c>
      <c r="H101" t="s">
        <v>190</v>
      </c>
      <c r="I101" t="s">
        <v>101</v>
      </c>
      <c r="J101" t="s">
        <v>12</v>
      </c>
      <c r="K101" t="s">
        <v>503</v>
      </c>
      <c r="L101">
        <v>5</v>
      </c>
    </row>
    <row r="102" spans="1:12" x14ac:dyDescent="0.4">
      <c r="A102">
        <v>1969</v>
      </c>
      <c r="B102" t="s">
        <v>268</v>
      </c>
      <c r="C102" t="s">
        <v>372</v>
      </c>
      <c r="D102" t="s">
        <v>15</v>
      </c>
      <c r="E102" t="s">
        <v>498</v>
      </c>
      <c r="F102">
        <v>4</v>
      </c>
      <c r="G102">
        <v>71</v>
      </c>
      <c r="H102" t="s">
        <v>373</v>
      </c>
      <c r="I102" t="s">
        <v>271</v>
      </c>
      <c r="J102" t="s">
        <v>28</v>
      </c>
      <c r="K102" t="s">
        <v>499</v>
      </c>
      <c r="L102">
        <v>2</v>
      </c>
    </row>
    <row r="103" spans="1:12" x14ac:dyDescent="0.4">
      <c r="A103">
        <v>1969</v>
      </c>
      <c r="B103" t="s">
        <v>10</v>
      </c>
      <c r="C103" t="s">
        <v>96</v>
      </c>
      <c r="D103" t="s">
        <v>12</v>
      </c>
      <c r="E103" t="s">
        <v>503</v>
      </c>
      <c r="F103">
        <v>1</v>
      </c>
      <c r="G103">
        <v>136</v>
      </c>
      <c r="H103" t="s">
        <v>118</v>
      </c>
      <c r="I103" t="s">
        <v>117</v>
      </c>
      <c r="J103" t="s">
        <v>12</v>
      </c>
      <c r="K103" t="s">
        <v>503</v>
      </c>
      <c r="L103">
        <v>6</v>
      </c>
    </row>
    <row r="104" spans="1:12" x14ac:dyDescent="0.4">
      <c r="A104">
        <v>1968</v>
      </c>
      <c r="B104" t="s">
        <v>268</v>
      </c>
      <c r="C104" t="s">
        <v>271</v>
      </c>
      <c r="D104" t="s">
        <v>28</v>
      </c>
      <c r="E104" t="s">
        <v>499</v>
      </c>
      <c r="F104">
        <v>1</v>
      </c>
      <c r="G104">
        <v>69</v>
      </c>
      <c r="H104" t="s">
        <v>436</v>
      </c>
      <c r="I104" t="s">
        <v>437</v>
      </c>
      <c r="J104" t="s">
        <v>12</v>
      </c>
      <c r="K104" t="s">
        <v>503</v>
      </c>
      <c r="L104">
        <v>7</v>
      </c>
    </row>
    <row r="105" spans="1:12" x14ac:dyDescent="0.4">
      <c r="A105">
        <v>1968</v>
      </c>
      <c r="B105" t="s">
        <v>10</v>
      </c>
      <c r="C105" t="s">
        <v>96</v>
      </c>
      <c r="D105" t="s">
        <v>12</v>
      </c>
      <c r="E105" t="s">
        <v>503</v>
      </c>
      <c r="F105">
        <v>1</v>
      </c>
      <c r="G105">
        <v>60</v>
      </c>
      <c r="H105" t="s">
        <v>17</v>
      </c>
      <c r="I105" t="s">
        <v>97</v>
      </c>
      <c r="J105" t="s">
        <v>12</v>
      </c>
      <c r="K105" t="s">
        <v>503</v>
      </c>
      <c r="L105">
        <v>15</v>
      </c>
    </row>
    <row r="106" spans="1:12" x14ac:dyDescent="0.4">
      <c r="A106">
        <v>1967</v>
      </c>
      <c r="B106" t="s">
        <v>268</v>
      </c>
      <c r="C106" t="s">
        <v>271</v>
      </c>
      <c r="D106" t="s">
        <v>28</v>
      </c>
      <c r="E106" t="s">
        <v>499</v>
      </c>
      <c r="F106">
        <v>1</v>
      </c>
      <c r="G106">
        <v>60</v>
      </c>
      <c r="H106" t="s">
        <v>273</v>
      </c>
      <c r="I106" t="s">
        <v>372</v>
      </c>
      <c r="J106" t="s">
        <v>15</v>
      </c>
      <c r="K106" t="s">
        <v>498</v>
      </c>
      <c r="L106">
        <v>3</v>
      </c>
    </row>
    <row r="107" spans="1:12" x14ac:dyDescent="0.4">
      <c r="A107">
        <v>1967</v>
      </c>
      <c r="B107" t="s">
        <v>10</v>
      </c>
      <c r="C107" t="s">
        <v>117</v>
      </c>
      <c r="D107" t="s">
        <v>12</v>
      </c>
      <c r="E107" t="s">
        <v>503</v>
      </c>
      <c r="F107">
        <v>3</v>
      </c>
      <c r="G107">
        <v>71</v>
      </c>
      <c r="H107" t="s">
        <v>227</v>
      </c>
      <c r="I107" t="s">
        <v>226</v>
      </c>
      <c r="J107" t="s">
        <v>126</v>
      </c>
      <c r="K107" t="s">
        <v>495</v>
      </c>
      <c r="L107" t="s">
        <v>122</v>
      </c>
    </row>
    <row r="108" spans="1:12" x14ac:dyDescent="0.4">
      <c r="A108">
        <v>1966</v>
      </c>
      <c r="B108" t="s">
        <v>268</v>
      </c>
      <c r="C108" t="s">
        <v>271</v>
      </c>
      <c r="D108" t="s">
        <v>28</v>
      </c>
      <c r="E108" t="s">
        <v>499</v>
      </c>
      <c r="F108">
        <v>4</v>
      </c>
      <c r="G108">
        <v>68</v>
      </c>
      <c r="H108" t="s">
        <v>461</v>
      </c>
      <c r="I108" t="s">
        <v>277</v>
      </c>
      <c r="J108" t="s">
        <v>276</v>
      </c>
      <c r="K108" t="s">
        <v>507</v>
      </c>
      <c r="L108">
        <v>2</v>
      </c>
    </row>
    <row r="109" spans="1:12" x14ac:dyDescent="0.4">
      <c r="A109">
        <v>1966</v>
      </c>
      <c r="B109" t="s">
        <v>10</v>
      </c>
      <c r="C109" t="s">
        <v>234</v>
      </c>
      <c r="D109" t="s">
        <v>135</v>
      </c>
      <c r="E109" t="s">
        <v>496</v>
      </c>
      <c r="F109">
        <v>4</v>
      </c>
      <c r="G109">
        <v>104</v>
      </c>
      <c r="H109" t="s">
        <v>236</v>
      </c>
      <c r="I109" t="s">
        <v>235</v>
      </c>
      <c r="J109" t="s">
        <v>28</v>
      </c>
      <c r="K109" t="s">
        <v>499</v>
      </c>
      <c r="L109">
        <v>6</v>
      </c>
    </row>
    <row r="110" spans="1:12" x14ac:dyDescent="0.4">
      <c r="A110">
        <v>1965</v>
      </c>
      <c r="B110" t="s">
        <v>268</v>
      </c>
      <c r="C110" t="s">
        <v>272</v>
      </c>
      <c r="D110" t="s">
        <v>12</v>
      </c>
      <c r="E110" t="s">
        <v>503</v>
      </c>
      <c r="F110">
        <v>2</v>
      </c>
      <c r="G110">
        <v>56</v>
      </c>
      <c r="H110" t="s">
        <v>275</v>
      </c>
      <c r="I110" t="s">
        <v>277</v>
      </c>
      <c r="J110" t="s">
        <v>276</v>
      </c>
      <c r="K110" t="s">
        <v>507</v>
      </c>
      <c r="L110">
        <v>1</v>
      </c>
    </row>
    <row r="111" spans="1:12" x14ac:dyDescent="0.4">
      <c r="A111">
        <v>1965</v>
      </c>
      <c r="B111" t="s">
        <v>10</v>
      </c>
      <c r="C111" t="s">
        <v>103</v>
      </c>
      <c r="D111" t="s">
        <v>12</v>
      </c>
      <c r="E111" t="s">
        <v>503</v>
      </c>
      <c r="F111">
        <v>1</v>
      </c>
      <c r="G111">
        <v>67</v>
      </c>
      <c r="H111" t="s">
        <v>105</v>
      </c>
      <c r="I111" t="s">
        <v>104</v>
      </c>
      <c r="J111" t="s">
        <v>12</v>
      </c>
      <c r="K111" t="s">
        <v>503</v>
      </c>
      <c r="L111">
        <v>2</v>
      </c>
    </row>
    <row r="112" spans="1:12" x14ac:dyDescent="0.4">
      <c r="A112">
        <v>1964</v>
      </c>
      <c r="B112" t="s">
        <v>268</v>
      </c>
      <c r="C112" t="s">
        <v>277</v>
      </c>
      <c r="D112" t="s">
        <v>276</v>
      </c>
      <c r="E112" t="s">
        <v>507</v>
      </c>
      <c r="F112">
        <v>2</v>
      </c>
      <c r="G112">
        <v>90</v>
      </c>
      <c r="H112" t="s">
        <v>285</v>
      </c>
      <c r="I112" t="s">
        <v>272</v>
      </c>
      <c r="J112" t="s">
        <v>12</v>
      </c>
      <c r="K112" t="s">
        <v>503</v>
      </c>
      <c r="L112">
        <v>1</v>
      </c>
    </row>
    <row r="113" spans="1:12" x14ac:dyDescent="0.4">
      <c r="A113">
        <v>1964</v>
      </c>
      <c r="B113" t="s">
        <v>10</v>
      </c>
      <c r="C113" t="s">
        <v>103</v>
      </c>
      <c r="D113" t="s">
        <v>12</v>
      </c>
      <c r="E113" t="s">
        <v>503</v>
      </c>
      <c r="F113">
        <v>1</v>
      </c>
      <c r="G113">
        <v>127</v>
      </c>
      <c r="H113" t="s">
        <v>119</v>
      </c>
      <c r="I113" t="s">
        <v>104</v>
      </c>
      <c r="J113" t="s">
        <v>12</v>
      </c>
      <c r="K113" t="s">
        <v>503</v>
      </c>
      <c r="L113">
        <v>6</v>
      </c>
    </row>
    <row r="114" spans="1:12" x14ac:dyDescent="0.4">
      <c r="A114">
        <v>1963</v>
      </c>
      <c r="B114" t="s">
        <v>268</v>
      </c>
      <c r="C114" t="s">
        <v>272</v>
      </c>
      <c r="D114" t="s">
        <v>12</v>
      </c>
      <c r="E114" t="s">
        <v>503</v>
      </c>
      <c r="F114">
        <v>1</v>
      </c>
      <c r="G114">
        <v>51</v>
      </c>
      <c r="H114" t="s">
        <v>273</v>
      </c>
      <c r="I114" t="s">
        <v>274</v>
      </c>
      <c r="J114" t="s">
        <v>28</v>
      </c>
      <c r="K114" t="s">
        <v>499</v>
      </c>
    </row>
    <row r="115" spans="1:12" x14ac:dyDescent="0.4">
      <c r="A115">
        <v>1963</v>
      </c>
      <c r="B115" t="s">
        <v>10</v>
      </c>
      <c r="C115" t="s">
        <v>191</v>
      </c>
      <c r="D115" t="s">
        <v>28</v>
      </c>
      <c r="E115" t="s">
        <v>499</v>
      </c>
      <c r="F115">
        <v>4</v>
      </c>
      <c r="G115">
        <v>78</v>
      </c>
      <c r="H115" t="s">
        <v>242</v>
      </c>
      <c r="I115" t="s">
        <v>104</v>
      </c>
      <c r="J115" t="s">
        <v>12</v>
      </c>
      <c r="K115" t="s">
        <v>503</v>
      </c>
      <c r="L115" t="s">
        <v>122</v>
      </c>
    </row>
    <row r="116" spans="1:12" x14ac:dyDescent="0.4">
      <c r="A116">
        <v>1962</v>
      </c>
      <c r="B116" t="s">
        <v>268</v>
      </c>
      <c r="C116" t="s">
        <v>468</v>
      </c>
      <c r="D116" t="s">
        <v>28</v>
      </c>
      <c r="E116" t="s">
        <v>499</v>
      </c>
      <c r="F116">
        <v>8</v>
      </c>
      <c r="G116">
        <v>57</v>
      </c>
      <c r="H116" t="s">
        <v>411</v>
      </c>
      <c r="I116" t="s">
        <v>469</v>
      </c>
      <c r="J116" t="s">
        <v>181</v>
      </c>
      <c r="K116" t="s">
        <v>517</v>
      </c>
    </row>
    <row r="117" spans="1:12" x14ac:dyDescent="0.4">
      <c r="A117">
        <v>1962</v>
      </c>
      <c r="B117" t="s">
        <v>10</v>
      </c>
      <c r="C117" t="s">
        <v>96</v>
      </c>
      <c r="D117" t="s">
        <v>12</v>
      </c>
      <c r="E117" t="s">
        <v>503</v>
      </c>
      <c r="F117">
        <v>1</v>
      </c>
      <c r="G117">
        <v>51</v>
      </c>
      <c r="H117" t="s">
        <v>121</v>
      </c>
      <c r="I117" t="s">
        <v>120</v>
      </c>
      <c r="J117" t="s">
        <v>12</v>
      </c>
      <c r="K117" t="s">
        <v>503</v>
      </c>
      <c r="L117" t="s">
        <v>122</v>
      </c>
    </row>
    <row r="118" spans="1:12" x14ac:dyDescent="0.4">
      <c r="A118">
        <v>1961</v>
      </c>
      <c r="B118" t="s">
        <v>268</v>
      </c>
      <c r="C118" t="s">
        <v>377</v>
      </c>
      <c r="D118" t="s">
        <v>15</v>
      </c>
      <c r="E118" t="s">
        <v>498</v>
      </c>
      <c r="F118">
        <v>7</v>
      </c>
      <c r="G118">
        <v>96</v>
      </c>
      <c r="H118" t="s">
        <v>378</v>
      </c>
      <c r="I118" t="s">
        <v>379</v>
      </c>
      <c r="J118" t="s">
        <v>15</v>
      </c>
      <c r="K118" t="s">
        <v>498</v>
      </c>
      <c r="L118">
        <v>6</v>
      </c>
    </row>
    <row r="119" spans="1:12" x14ac:dyDescent="0.4">
      <c r="A119">
        <v>1961</v>
      </c>
      <c r="B119" t="s">
        <v>10</v>
      </c>
      <c r="C119" t="s">
        <v>96</v>
      </c>
      <c r="D119" t="s">
        <v>12</v>
      </c>
      <c r="E119" t="s">
        <v>503</v>
      </c>
      <c r="F119">
        <v>2</v>
      </c>
      <c r="G119">
        <v>55</v>
      </c>
      <c r="H119" t="s">
        <v>192</v>
      </c>
      <c r="I119" t="s">
        <v>191</v>
      </c>
      <c r="J119" t="s">
        <v>28</v>
      </c>
      <c r="K119" t="s">
        <v>499</v>
      </c>
      <c r="L119">
        <v>8</v>
      </c>
    </row>
    <row r="120" spans="1:12" x14ac:dyDescent="0.4">
      <c r="A120">
        <v>1960</v>
      </c>
      <c r="B120" t="s">
        <v>268</v>
      </c>
      <c r="C120" t="s">
        <v>277</v>
      </c>
      <c r="D120" t="s">
        <v>276</v>
      </c>
      <c r="E120" t="s">
        <v>507</v>
      </c>
      <c r="F120">
        <v>1</v>
      </c>
      <c r="G120">
        <v>59</v>
      </c>
      <c r="H120" t="s">
        <v>283</v>
      </c>
      <c r="I120" t="s">
        <v>284</v>
      </c>
      <c r="J120" t="s">
        <v>90</v>
      </c>
      <c r="K120" t="s">
        <v>509</v>
      </c>
      <c r="L120">
        <v>8</v>
      </c>
    </row>
    <row r="121" spans="1:12" x14ac:dyDescent="0.4">
      <c r="A121">
        <v>1960</v>
      </c>
      <c r="B121" t="s">
        <v>10</v>
      </c>
      <c r="C121" t="s">
        <v>114</v>
      </c>
      <c r="D121" t="s">
        <v>12</v>
      </c>
      <c r="E121" t="s">
        <v>503</v>
      </c>
      <c r="F121">
        <v>1</v>
      </c>
      <c r="G121">
        <v>130</v>
      </c>
      <c r="H121" t="s">
        <v>115</v>
      </c>
      <c r="I121" t="s">
        <v>96</v>
      </c>
      <c r="J121" t="s">
        <v>12</v>
      </c>
      <c r="K121" t="s">
        <v>503</v>
      </c>
      <c r="L121">
        <v>3</v>
      </c>
    </row>
    <row r="122" spans="1:12" x14ac:dyDescent="0.4">
      <c r="A122">
        <v>1959</v>
      </c>
      <c r="B122" t="s">
        <v>268</v>
      </c>
      <c r="C122" t="s">
        <v>277</v>
      </c>
      <c r="D122" t="s">
        <v>276</v>
      </c>
      <c r="E122" t="s">
        <v>507</v>
      </c>
      <c r="F122">
        <v>6</v>
      </c>
      <c r="G122">
        <v>43</v>
      </c>
      <c r="H122" t="s">
        <v>286</v>
      </c>
      <c r="I122" t="s">
        <v>287</v>
      </c>
      <c r="J122" t="s">
        <v>28</v>
      </c>
      <c r="K122" t="s">
        <v>499</v>
      </c>
      <c r="L122">
        <v>4</v>
      </c>
    </row>
    <row r="123" spans="1:12" x14ac:dyDescent="0.4">
      <c r="A123">
        <v>1959</v>
      </c>
      <c r="B123" t="s">
        <v>10</v>
      </c>
      <c r="C123" t="s">
        <v>173</v>
      </c>
      <c r="D123" t="s">
        <v>28</v>
      </c>
      <c r="E123" t="s">
        <v>499</v>
      </c>
      <c r="F123">
        <v>1</v>
      </c>
      <c r="G123">
        <v>71</v>
      </c>
      <c r="H123" t="s">
        <v>124</v>
      </c>
      <c r="I123" t="s">
        <v>96</v>
      </c>
      <c r="J123" t="s">
        <v>12</v>
      </c>
      <c r="K123" t="s">
        <v>503</v>
      </c>
      <c r="L123" t="s">
        <v>122</v>
      </c>
    </row>
    <row r="124" spans="1:12" x14ac:dyDescent="0.4">
      <c r="A124">
        <v>1958</v>
      </c>
      <c r="B124" t="s">
        <v>268</v>
      </c>
      <c r="C124" t="s">
        <v>431</v>
      </c>
      <c r="D124" t="s">
        <v>28</v>
      </c>
      <c r="E124" t="s">
        <v>499</v>
      </c>
      <c r="F124">
        <v>1</v>
      </c>
      <c r="G124">
        <v>62</v>
      </c>
      <c r="H124" t="s">
        <v>438</v>
      </c>
      <c r="I124" t="s">
        <v>377</v>
      </c>
      <c r="J124" t="s">
        <v>15</v>
      </c>
      <c r="K124" t="s">
        <v>498</v>
      </c>
    </row>
    <row r="125" spans="1:12" x14ac:dyDescent="0.4">
      <c r="A125">
        <v>1958</v>
      </c>
      <c r="B125" t="s">
        <v>10</v>
      </c>
      <c r="C125" t="s">
        <v>99</v>
      </c>
      <c r="D125" t="s">
        <v>12</v>
      </c>
      <c r="E125" t="s">
        <v>503</v>
      </c>
      <c r="F125">
        <v>1</v>
      </c>
      <c r="G125">
        <v>130</v>
      </c>
      <c r="H125" t="s">
        <v>116</v>
      </c>
      <c r="I125" t="s">
        <v>114</v>
      </c>
      <c r="J125" t="s">
        <v>12</v>
      </c>
      <c r="K125" t="s">
        <v>503</v>
      </c>
      <c r="L125">
        <v>4</v>
      </c>
    </row>
    <row r="126" spans="1:12" x14ac:dyDescent="0.4">
      <c r="A126">
        <v>1957</v>
      </c>
      <c r="B126" t="s">
        <v>268</v>
      </c>
      <c r="C126" t="s">
        <v>431</v>
      </c>
      <c r="D126" t="s">
        <v>28</v>
      </c>
      <c r="E126" t="s">
        <v>499</v>
      </c>
      <c r="F126">
        <v>1</v>
      </c>
      <c r="G126">
        <v>50</v>
      </c>
      <c r="H126" t="s">
        <v>432</v>
      </c>
      <c r="I126" t="s">
        <v>287</v>
      </c>
      <c r="J126" t="s">
        <v>28</v>
      </c>
      <c r="K126" t="s">
        <v>499</v>
      </c>
      <c r="L126">
        <v>5</v>
      </c>
    </row>
    <row r="127" spans="1:12" x14ac:dyDescent="0.4">
      <c r="A127">
        <v>1957</v>
      </c>
      <c r="B127" t="s">
        <v>10</v>
      </c>
      <c r="C127" t="s">
        <v>98</v>
      </c>
      <c r="D127" t="s">
        <v>12</v>
      </c>
      <c r="E127" t="s">
        <v>503</v>
      </c>
      <c r="F127">
        <v>1</v>
      </c>
      <c r="G127">
        <v>57</v>
      </c>
      <c r="H127" t="s">
        <v>100</v>
      </c>
      <c r="I127" t="s">
        <v>99</v>
      </c>
      <c r="J127" t="s">
        <v>12</v>
      </c>
      <c r="K127" t="s">
        <v>503</v>
      </c>
      <c r="L127">
        <v>2</v>
      </c>
    </row>
    <row r="128" spans="1:12" x14ac:dyDescent="0.4">
      <c r="A128">
        <v>1956</v>
      </c>
      <c r="B128" t="s">
        <v>268</v>
      </c>
      <c r="C128" t="s">
        <v>460</v>
      </c>
      <c r="D128" t="s">
        <v>28</v>
      </c>
      <c r="E128" t="s">
        <v>499</v>
      </c>
      <c r="F128">
        <v>5</v>
      </c>
      <c r="G128">
        <v>50</v>
      </c>
      <c r="H128" t="s">
        <v>464</v>
      </c>
      <c r="I128" t="s">
        <v>465</v>
      </c>
      <c r="J128" t="s">
        <v>15</v>
      </c>
      <c r="K128" t="s">
        <v>498</v>
      </c>
      <c r="L128">
        <v>6</v>
      </c>
    </row>
    <row r="129" spans="1:12" x14ac:dyDescent="0.4">
      <c r="A129">
        <v>1956</v>
      </c>
      <c r="B129" t="s">
        <v>10</v>
      </c>
      <c r="C129" t="s">
        <v>98</v>
      </c>
      <c r="D129" t="s">
        <v>12</v>
      </c>
      <c r="E129" t="s">
        <v>503</v>
      </c>
      <c r="F129">
        <v>1</v>
      </c>
      <c r="G129">
        <v>117</v>
      </c>
      <c r="H129" t="s">
        <v>102</v>
      </c>
      <c r="I129" t="s">
        <v>101</v>
      </c>
      <c r="J129" t="s">
        <v>12</v>
      </c>
      <c r="K129" t="s">
        <v>503</v>
      </c>
      <c r="L129">
        <v>2</v>
      </c>
    </row>
    <row r="130" spans="1:12" x14ac:dyDescent="0.4">
      <c r="A130">
        <v>1955</v>
      </c>
      <c r="B130" t="s">
        <v>268</v>
      </c>
      <c r="C130" t="s">
        <v>406</v>
      </c>
      <c r="D130" t="s">
        <v>28</v>
      </c>
      <c r="E130" t="s">
        <v>499</v>
      </c>
      <c r="F130">
        <v>2</v>
      </c>
      <c r="G130">
        <v>90</v>
      </c>
      <c r="H130" t="s">
        <v>445</v>
      </c>
      <c r="I130" t="s">
        <v>446</v>
      </c>
      <c r="J130" t="s">
        <v>28</v>
      </c>
      <c r="K130" t="s">
        <v>499</v>
      </c>
      <c r="L130">
        <v>3</v>
      </c>
    </row>
    <row r="131" spans="1:12" x14ac:dyDescent="0.4">
      <c r="A131">
        <v>1955</v>
      </c>
      <c r="B131" t="s">
        <v>10</v>
      </c>
      <c r="C131" t="s">
        <v>174</v>
      </c>
      <c r="D131" t="s">
        <v>28</v>
      </c>
      <c r="E131" t="s">
        <v>499</v>
      </c>
      <c r="F131">
        <v>1</v>
      </c>
      <c r="G131">
        <v>73</v>
      </c>
      <c r="H131" t="s">
        <v>177</v>
      </c>
      <c r="I131" t="s">
        <v>176</v>
      </c>
      <c r="J131" t="s">
        <v>175</v>
      </c>
      <c r="K131" t="s">
        <v>519</v>
      </c>
      <c r="L131" t="s">
        <v>122</v>
      </c>
    </row>
    <row r="132" spans="1:12" x14ac:dyDescent="0.4">
      <c r="A132">
        <v>1954</v>
      </c>
      <c r="B132" t="s">
        <v>268</v>
      </c>
      <c r="C132" t="s">
        <v>413</v>
      </c>
      <c r="D132" t="s">
        <v>28</v>
      </c>
      <c r="E132" t="s">
        <v>499</v>
      </c>
      <c r="F132">
        <v>1</v>
      </c>
      <c r="G132">
        <v>50</v>
      </c>
      <c r="H132" t="s">
        <v>429</v>
      </c>
      <c r="I132" t="s">
        <v>406</v>
      </c>
      <c r="J132" t="s">
        <v>28</v>
      </c>
      <c r="K132" t="s">
        <v>499</v>
      </c>
      <c r="L132">
        <v>4</v>
      </c>
    </row>
    <row r="133" spans="1:12" x14ac:dyDescent="0.4">
      <c r="A133">
        <v>1954</v>
      </c>
      <c r="B133" t="s">
        <v>10</v>
      </c>
      <c r="C133" t="s">
        <v>108</v>
      </c>
      <c r="D133" t="s">
        <v>107</v>
      </c>
      <c r="E133" t="s">
        <v>500</v>
      </c>
      <c r="F133">
        <v>11</v>
      </c>
      <c r="G133">
        <v>157</v>
      </c>
      <c r="H133" t="s">
        <v>184</v>
      </c>
      <c r="I133" t="s">
        <v>101</v>
      </c>
      <c r="J133" t="s">
        <v>12</v>
      </c>
      <c r="K133" t="s">
        <v>503</v>
      </c>
      <c r="L133">
        <v>3</v>
      </c>
    </row>
    <row r="134" spans="1:12" x14ac:dyDescent="0.4">
      <c r="A134">
        <v>1953</v>
      </c>
      <c r="B134" t="s">
        <v>268</v>
      </c>
      <c r="C134" t="s">
        <v>413</v>
      </c>
      <c r="D134" t="s">
        <v>28</v>
      </c>
      <c r="E134" t="s">
        <v>499</v>
      </c>
      <c r="F134">
        <v>1</v>
      </c>
      <c r="G134">
        <v>67</v>
      </c>
      <c r="H134" t="s">
        <v>414</v>
      </c>
      <c r="I134" t="s">
        <v>415</v>
      </c>
      <c r="J134" t="s">
        <v>28</v>
      </c>
      <c r="K134" t="s">
        <v>499</v>
      </c>
      <c r="L134">
        <v>2</v>
      </c>
    </row>
    <row r="135" spans="1:12" x14ac:dyDescent="0.4">
      <c r="A135">
        <v>1953</v>
      </c>
      <c r="B135" t="s">
        <v>10</v>
      </c>
      <c r="C135" t="s">
        <v>220</v>
      </c>
      <c r="D135" t="s">
        <v>28</v>
      </c>
      <c r="E135" t="s">
        <v>499</v>
      </c>
      <c r="F135">
        <v>2</v>
      </c>
      <c r="G135">
        <v>80</v>
      </c>
      <c r="H135" t="s">
        <v>221</v>
      </c>
      <c r="I135" t="s">
        <v>176</v>
      </c>
      <c r="J135" t="s">
        <v>175</v>
      </c>
      <c r="K135" t="s">
        <v>519</v>
      </c>
      <c r="L135" t="s">
        <v>122</v>
      </c>
    </row>
    <row r="136" spans="1:12" x14ac:dyDescent="0.4">
      <c r="A136">
        <v>1952</v>
      </c>
      <c r="B136" t="s">
        <v>268</v>
      </c>
      <c r="C136" t="s">
        <v>413</v>
      </c>
      <c r="D136" t="s">
        <v>28</v>
      </c>
      <c r="E136" t="s">
        <v>499</v>
      </c>
      <c r="F136">
        <v>2</v>
      </c>
      <c r="G136">
        <v>65</v>
      </c>
      <c r="H136" t="s">
        <v>403</v>
      </c>
      <c r="I136" t="s">
        <v>406</v>
      </c>
      <c r="J136" t="s">
        <v>28</v>
      </c>
      <c r="K136" t="s">
        <v>499</v>
      </c>
      <c r="L136">
        <v>4</v>
      </c>
    </row>
    <row r="137" spans="1:12" x14ac:dyDescent="0.4">
      <c r="A137">
        <v>1952</v>
      </c>
      <c r="B137" t="s">
        <v>10</v>
      </c>
      <c r="C137" t="s">
        <v>106</v>
      </c>
      <c r="D137" t="s">
        <v>12</v>
      </c>
      <c r="E137" t="s">
        <v>503</v>
      </c>
      <c r="F137">
        <v>1</v>
      </c>
      <c r="G137">
        <v>80</v>
      </c>
      <c r="H137" t="s">
        <v>109</v>
      </c>
      <c r="I137" t="s">
        <v>108</v>
      </c>
      <c r="J137" t="s">
        <v>107</v>
      </c>
      <c r="K137" t="s">
        <v>500</v>
      </c>
      <c r="L137">
        <v>2</v>
      </c>
    </row>
    <row r="138" spans="1:12" x14ac:dyDescent="0.4">
      <c r="A138">
        <v>1951</v>
      </c>
      <c r="B138" t="s">
        <v>268</v>
      </c>
      <c r="C138" t="s">
        <v>415</v>
      </c>
      <c r="D138" t="s">
        <v>28</v>
      </c>
      <c r="E138" t="s">
        <v>499</v>
      </c>
      <c r="F138">
        <v>3</v>
      </c>
      <c r="G138">
        <v>35</v>
      </c>
      <c r="H138" t="s">
        <v>459</v>
      </c>
      <c r="I138" t="s">
        <v>460</v>
      </c>
      <c r="J138" t="s">
        <v>28</v>
      </c>
      <c r="K138" t="s">
        <v>499</v>
      </c>
      <c r="L138">
        <v>4</v>
      </c>
    </row>
    <row r="139" spans="1:12" x14ac:dyDescent="0.4">
      <c r="A139">
        <v>1951</v>
      </c>
      <c r="B139" t="s">
        <v>10</v>
      </c>
      <c r="C139" t="s">
        <v>252</v>
      </c>
      <c r="D139" t="s">
        <v>28</v>
      </c>
      <c r="E139" t="s">
        <v>499</v>
      </c>
      <c r="F139">
        <v>6</v>
      </c>
      <c r="G139">
        <v>62</v>
      </c>
      <c r="H139" t="s">
        <v>254</v>
      </c>
      <c r="I139" t="s">
        <v>253</v>
      </c>
      <c r="J139" t="s">
        <v>12</v>
      </c>
      <c r="K139" t="s">
        <v>503</v>
      </c>
      <c r="L139">
        <v>7</v>
      </c>
    </row>
    <row r="140" spans="1:12" x14ac:dyDescent="0.4">
      <c r="A140">
        <v>1950</v>
      </c>
      <c r="B140" t="s">
        <v>268</v>
      </c>
      <c r="C140" t="s">
        <v>406</v>
      </c>
      <c r="D140" t="s">
        <v>28</v>
      </c>
      <c r="E140" t="s">
        <v>499</v>
      </c>
      <c r="F140">
        <v>1</v>
      </c>
      <c r="G140">
        <v>62</v>
      </c>
      <c r="H140" t="s">
        <v>409</v>
      </c>
      <c r="I140" t="s">
        <v>408</v>
      </c>
      <c r="J140" t="s">
        <v>28</v>
      </c>
      <c r="K140" t="s">
        <v>499</v>
      </c>
      <c r="L140">
        <v>2</v>
      </c>
    </row>
    <row r="141" spans="1:12" x14ac:dyDescent="0.4">
      <c r="A141">
        <v>1950</v>
      </c>
      <c r="B141" t="s">
        <v>10</v>
      </c>
      <c r="C141" t="s">
        <v>246</v>
      </c>
      <c r="D141" t="s">
        <v>28</v>
      </c>
      <c r="E141" t="s">
        <v>499</v>
      </c>
      <c r="F141">
        <v>5</v>
      </c>
      <c r="G141">
        <v>120</v>
      </c>
      <c r="H141" t="s">
        <v>247</v>
      </c>
      <c r="I141" t="s">
        <v>106</v>
      </c>
      <c r="J141" t="s">
        <v>12</v>
      </c>
      <c r="K141" t="s">
        <v>503</v>
      </c>
      <c r="L141">
        <v>1</v>
      </c>
    </row>
    <row r="142" spans="1:12" x14ac:dyDescent="0.4">
      <c r="A142">
        <v>1949</v>
      </c>
      <c r="B142" t="s">
        <v>268</v>
      </c>
      <c r="C142" t="s">
        <v>406</v>
      </c>
      <c r="D142" t="s">
        <v>28</v>
      </c>
      <c r="E142" t="s">
        <v>499</v>
      </c>
      <c r="F142">
        <v>1</v>
      </c>
      <c r="G142">
        <v>120</v>
      </c>
      <c r="H142" t="s">
        <v>407</v>
      </c>
      <c r="I142" t="s">
        <v>408</v>
      </c>
      <c r="J142" t="s">
        <v>28</v>
      </c>
      <c r="K142" t="s">
        <v>499</v>
      </c>
      <c r="L142">
        <v>2</v>
      </c>
    </row>
    <row r="143" spans="1:12" x14ac:dyDescent="0.4">
      <c r="A143">
        <v>1949</v>
      </c>
      <c r="B143" t="s">
        <v>10</v>
      </c>
      <c r="C143" t="s">
        <v>171</v>
      </c>
      <c r="D143" t="s">
        <v>28</v>
      </c>
      <c r="E143" t="s">
        <v>499</v>
      </c>
      <c r="F143">
        <v>1</v>
      </c>
      <c r="G143">
        <v>100</v>
      </c>
      <c r="H143" t="s">
        <v>172</v>
      </c>
      <c r="I143" t="s">
        <v>108</v>
      </c>
      <c r="J143" t="s">
        <v>107</v>
      </c>
      <c r="K143" t="s">
        <v>500</v>
      </c>
      <c r="L143">
        <v>6</v>
      </c>
    </row>
    <row r="144" spans="1:12" x14ac:dyDescent="0.4">
      <c r="A144">
        <v>1948</v>
      </c>
      <c r="B144" t="s">
        <v>268</v>
      </c>
      <c r="C144" t="s">
        <v>406</v>
      </c>
      <c r="D144" t="s">
        <v>28</v>
      </c>
      <c r="E144" t="s">
        <v>499</v>
      </c>
      <c r="F144">
        <v>2</v>
      </c>
      <c r="G144">
        <v>76</v>
      </c>
      <c r="H144" t="s">
        <v>448</v>
      </c>
      <c r="I144" t="s">
        <v>415</v>
      </c>
      <c r="J144" t="s">
        <v>28</v>
      </c>
      <c r="K144" t="s">
        <v>499</v>
      </c>
      <c r="L144">
        <v>4</v>
      </c>
    </row>
    <row r="145" spans="1:12" x14ac:dyDescent="0.4">
      <c r="A145">
        <v>1948</v>
      </c>
      <c r="B145" t="s">
        <v>10</v>
      </c>
      <c r="C145" t="s">
        <v>255</v>
      </c>
      <c r="D145" t="s">
        <v>28</v>
      </c>
      <c r="E145" t="s">
        <v>499</v>
      </c>
      <c r="F145">
        <v>7</v>
      </c>
      <c r="G145">
        <v>125</v>
      </c>
      <c r="H145" t="s">
        <v>257</v>
      </c>
      <c r="I145" t="s">
        <v>256</v>
      </c>
      <c r="J145" t="s">
        <v>12</v>
      </c>
      <c r="K145" t="s">
        <v>503</v>
      </c>
      <c r="L145">
        <v>2</v>
      </c>
    </row>
    <row r="146" spans="1:12" x14ac:dyDescent="0.4">
      <c r="A146">
        <v>1947</v>
      </c>
      <c r="B146" t="s">
        <v>268</v>
      </c>
      <c r="C146" t="s">
        <v>423</v>
      </c>
      <c r="D146" t="s">
        <v>28</v>
      </c>
      <c r="E146" t="s">
        <v>499</v>
      </c>
      <c r="F146">
        <v>1</v>
      </c>
      <c r="H146" t="s">
        <v>424</v>
      </c>
      <c r="I146" t="s">
        <v>415</v>
      </c>
      <c r="J146" t="s">
        <v>28</v>
      </c>
      <c r="K146" t="s">
        <v>499</v>
      </c>
      <c r="L146">
        <v>3</v>
      </c>
    </row>
    <row r="147" spans="1:12" x14ac:dyDescent="0.4">
      <c r="A147">
        <v>1947</v>
      </c>
      <c r="B147" t="s">
        <v>10</v>
      </c>
      <c r="C147" t="s">
        <v>163</v>
      </c>
      <c r="D147" t="s">
        <v>28</v>
      </c>
      <c r="E147" t="s">
        <v>499</v>
      </c>
      <c r="F147">
        <v>1</v>
      </c>
      <c r="G147">
        <v>45</v>
      </c>
      <c r="H147" t="s">
        <v>113</v>
      </c>
      <c r="I147" t="s">
        <v>164</v>
      </c>
      <c r="J147" t="s">
        <v>28</v>
      </c>
      <c r="K147" t="s">
        <v>499</v>
      </c>
      <c r="L147">
        <v>3</v>
      </c>
    </row>
    <row r="148" spans="1:12" x14ac:dyDescent="0.4">
      <c r="A148">
        <v>1946</v>
      </c>
      <c r="B148" t="s">
        <v>268</v>
      </c>
      <c r="C148" t="s">
        <v>425</v>
      </c>
      <c r="D148" t="s">
        <v>28</v>
      </c>
      <c r="E148" t="s">
        <v>499</v>
      </c>
      <c r="F148">
        <v>1</v>
      </c>
      <c r="H148" t="s">
        <v>424</v>
      </c>
      <c r="I148" t="s">
        <v>406</v>
      </c>
      <c r="J148" t="s">
        <v>28</v>
      </c>
      <c r="K148" t="s">
        <v>499</v>
      </c>
      <c r="L148">
        <v>3</v>
      </c>
    </row>
    <row r="149" spans="1:12" x14ac:dyDescent="0.4">
      <c r="A149">
        <v>1946</v>
      </c>
      <c r="B149" t="s">
        <v>10</v>
      </c>
      <c r="C149" t="s">
        <v>243</v>
      </c>
      <c r="D149" t="s">
        <v>24</v>
      </c>
      <c r="E149" t="s">
        <v>501</v>
      </c>
      <c r="F149">
        <v>5</v>
      </c>
      <c r="H149" t="s">
        <v>245</v>
      </c>
      <c r="I149" t="s">
        <v>244</v>
      </c>
      <c r="J149" t="s">
        <v>12</v>
      </c>
      <c r="K149" t="s">
        <v>503</v>
      </c>
      <c r="L149">
        <v>3</v>
      </c>
    </row>
    <row r="150" spans="1:12" x14ac:dyDescent="0.4">
      <c r="A150">
        <v>1939</v>
      </c>
      <c r="B150" t="s">
        <v>268</v>
      </c>
      <c r="C150" t="s">
        <v>434</v>
      </c>
      <c r="D150" t="s">
        <v>28</v>
      </c>
      <c r="E150" t="s">
        <v>499</v>
      </c>
      <c r="F150">
        <v>1</v>
      </c>
      <c r="G150">
        <v>30</v>
      </c>
      <c r="H150" t="s">
        <v>302</v>
      </c>
      <c r="I150" t="s">
        <v>435</v>
      </c>
      <c r="J150" t="s">
        <v>15</v>
      </c>
      <c r="K150" t="s">
        <v>498</v>
      </c>
      <c r="L150">
        <v>6</v>
      </c>
    </row>
    <row r="151" spans="1:12" x14ac:dyDescent="0.4">
      <c r="A151">
        <v>1939</v>
      </c>
      <c r="B151" t="s">
        <v>10</v>
      </c>
      <c r="C151" t="s">
        <v>217</v>
      </c>
      <c r="D151" t="s">
        <v>28</v>
      </c>
      <c r="E151" t="s">
        <v>499</v>
      </c>
      <c r="F151">
        <v>2</v>
      </c>
      <c r="G151">
        <v>135</v>
      </c>
      <c r="H151" t="s">
        <v>219</v>
      </c>
      <c r="I151" t="s">
        <v>218</v>
      </c>
      <c r="J151" t="s">
        <v>28</v>
      </c>
      <c r="K151" t="s">
        <v>499</v>
      </c>
      <c r="L151">
        <v>6</v>
      </c>
    </row>
    <row r="152" spans="1:12" x14ac:dyDescent="0.4">
      <c r="A152">
        <v>1938</v>
      </c>
      <c r="B152" t="s">
        <v>268</v>
      </c>
      <c r="C152" t="s">
        <v>401</v>
      </c>
      <c r="D152" t="s">
        <v>28</v>
      </c>
      <c r="E152" t="s">
        <v>499</v>
      </c>
      <c r="F152">
        <v>1</v>
      </c>
      <c r="H152" t="s">
        <v>439</v>
      </c>
      <c r="I152" t="s">
        <v>368</v>
      </c>
      <c r="J152" t="s">
        <v>28</v>
      </c>
      <c r="K152" t="s">
        <v>499</v>
      </c>
    </row>
    <row r="153" spans="1:12" x14ac:dyDescent="0.4">
      <c r="A153">
        <v>1938</v>
      </c>
      <c r="B153" t="s">
        <v>10</v>
      </c>
      <c r="C153" t="s">
        <v>156</v>
      </c>
      <c r="D153" t="s">
        <v>28</v>
      </c>
      <c r="E153" t="s">
        <v>499</v>
      </c>
      <c r="F153">
        <v>1</v>
      </c>
      <c r="G153">
        <v>59</v>
      </c>
      <c r="H153" t="s">
        <v>158</v>
      </c>
      <c r="I153" t="s">
        <v>157</v>
      </c>
      <c r="J153" t="s">
        <v>15</v>
      </c>
      <c r="K153" t="s">
        <v>498</v>
      </c>
      <c r="L153">
        <v>2</v>
      </c>
    </row>
    <row r="154" spans="1:12" x14ac:dyDescent="0.4">
      <c r="A154">
        <v>1937</v>
      </c>
      <c r="B154" t="s">
        <v>268</v>
      </c>
      <c r="C154" t="s">
        <v>366</v>
      </c>
      <c r="D154" t="s">
        <v>15</v>
      </c>
      <c r="E154" t="s">
        <v>498</v>
      </c>
      <c r="F154">
        <v>7</v>
      </c>
      <c r="G154">
        <v>60</v>
      </c>
      <c r="H154" t="s">
        <v>374</v>
      </c>
      <c r="I154" t="s">
        <v>376</v>
      </c>
      <c r="J154" t="s">
        <v>375</v>
      </c>
      <c r="K154" t="s">
        <v>512</v>
      </c>
      <c r="L154">
        <v>4</v>
      </c>
    </row>
    <row r="155" spans="1:12" x14ac:dyDescent="0.4">
      <c r="A155">
        <v>1937</v>
      </c>
      <c r="B155" t="s">
        <v>10</v>
      </c>
      <c r="C155" t="s">
        <v>156</v>
      </c>
      <c r="D155" t="s">
        <v>28</v>
      </c>
      <c r="E155" t="s">
        <v>499</v>
      </c>
      <c r="F155">
        <v>1</v>
      </c>
      <c r="G155">
        <v>65</v>
      </c>
      <c r="H155" t="s">
        <v>17</v>
      </c>
      <c r="I155" t="s">
        <v>127</v>
      </c>
      <c r="J155" t="s">
        <v>126</v>
      </c>
      <c r="K155" t="s">
        <v>495</v>
      </c>
      <c r="L155">
        <v>2</v>
      </c>
    </row>
    <row r="156" spans="1:12" x14ac:dyDescent="0.4">
      <c r="A156">
        <v>1936</v>
      </c>
      <c r="B156" t="s">
        <v>268</v>
      </c>
      <c r="C156" t="s">
        <v>368</v>
      </c>
      <c r="D156" t="s">
        <v>28</v>
      </c>
      <c r="E156" t="s">
        <v>499</v>
      </c>
      <c r="F156">
        <v>2</v>
      </c>
      <c r="G156">
        <v>101</v>
      </c>
      <c r="H156" t="s">
        <v>450</v>
      </c>
      <c r="I156" t="s">
        <v>451</v>
      </c>
      <c r="J156" t="s">
        <v>126</v>
      </c>
      <c r="K156" t="s">
        <v>495</v>
      </c>
      <c r="L156">
        <v>5</v>
      </c>
    </row>
    <row r="157" spans="1:12" x14ac:dyDescent="0.4">
      <c r="A157">
        <v>1936</v>
      </c>
      <c r="B157" t="s">
        <v>10</v>
      </c>
      <c r="C157" t="s">
        <v>125</v>
      </c>
      <c r="D157" t="s">
        <v>15</v>
      </c>
      <c r="E157" t="s">
        <v>498</v>
      </c>
      <c r="F157">
        <v>1</v>
      </c>
      <c r="G157">
        <v>40</v>
      </c>
      <c r="H157" t="s">
        <v>128</v>
      </c>
      <c r="I157" t="s">
        <v>127</v>
      </c>
      <c r="J157" t="s">
        <v>126</v>
      </c>
      <c r="K157" t="s">
        <v>495</v>
      </c>
      <c r="L157">
        <v>2</v>
      </c>
    </row>
    <row r="158" spans="1:12" x14ac:dyDescent="0.4">
      <c r="A158">
        <v>1935</v>
      </c>
      <c r="B158" t="s">
        <v>268</v>
      </c>
      <c r="C158" t="s">
        <v>401</v>
      </c>
      <c r="D158" t="s">
        <v>28</v>
      </c>
      <c r="E158" t="s">
        <v>499</v>
      </c>
      <c r="F158">
        <v>4</v>
      </c>
      <c r="G158">
        <v>100</v>
      </c>
      <c r="H158" t="s">
        <v>462</v>
      </c>
      <c r="I158" t="s">
        <v>368</v>
      </c>
      <c r="J158" t="s">
        <v>28</v>
      </c>
      <c r="K158" t="s">
        <v>499</v>
      </c>
      <c r="L158">
        <v>3</v>
      </c>
    </row>
    <row r="159" spans="1:12" x14ac:dyDescent="0.4">
      <c r="A159">
        <v>1935</v>
      </c>
      <c r="B159" t="s">
        <v>10</v>
      </c>
      <c r="C159" t="s">
        <v>125</v>
      </c>
      <c r="D159" t="s">
        <v>15</v>
      </c>
      <c r="E159" t="s">
        <v>498</v>
      </c>
      <c r="F159">
        <v>1</v>
      </c>
      <c r="G159">
        <v>80</v>
      </c>
      <c r="H159" t="s">
        <v>105</v>
      </c>
      <c r="I159" t="s">
        <v>127</v>
      </c>
      <c r="J159" t="s">
        <v>126</v>
      </c>
      <c r="K159" t="s">
        <v>495</v>
      </c>
      <c r="L159">
        <v>2</v>
      </c>
    </row>
    <row r="160" spans="1:12" x14ac:dyDescent="0.4">
      <c r="A160">
        <v>1934</v>
      </c>
      <c r="B160" t="s">
        <v>268</v>
      </c>
      <c r="C160" t="s">
        <v>366</v>
      </c>
      <c r="D160" t="s">
        <v>15</v>
      </c>
      <c r="E160" t="s">
        <v>498</v>
      </c>
      <c r="F160">
        <v>2</v>
      </c>
      <c r="H160" t="s">
        <v>367</v>
      </c>
      <c r="I160" t="s">
        <v>368</v>
      </c>
      <c r="J160" t="s">
        <v>28</v>
      </c>
      <c r="K160" t="s">
        <v>499</v>
      </c>
      <c r="L160">
        <v>1</v>
      </c>
    </row>
    <row r="161" spans="1:12" x14ac:dyDescent="0.4">
      <c r="A161">
        <v>1934</v>
      </c>
      <c r="B161" t="s">
        <v>10</v>
      </c>
      <c r="C161" t="s">
        <v>125</v>
      </c>
      <c r="D161" t="s">
        <v>15</v>
      </c>
      <c r="E161" t="s">
        <v>498</v>
      </c>
      <c r="F161">
        <v>2</v>
      </c>
      <c r="G161">
        <v>72</v>
      </c>
      <c r="H161" t="s">
        <v>202</v>
      </c>
      <c r="I161" t="s">
        <v>186</v>
      </c>
      <c r="J161" t="s">
        <v>12</v>
      </c>
      <c r="K161" t="s">
        <v>503</v>
      </c>
      <c r="L161">
        <v>1</v>
      </c>
    </row>
    <row r="162" spans="1:12" x14ac:dyDescent="0.4">
      <c r="A162">
        <v>1933</v>
      </c>
      <c r="B162" t="s">
        <v>268</v>
      </c>
      <c r="C162" t="s">
        <v>401</v>
      </c>
      <c r="D162" t="s">
        <v>28</v>
      </c>
      <c r="E162" t="s">
        <v>499</v>
      </c>
      <c r="F162">
        <v>1</v>
      </c>
      <c r="G162">
        <v>120</v>
      </c>
      <c r="H162" t="s">
        <v>402</v>
      </c>
      <c r="I162" t="s">
        <v>366</v>
      </c>
      <c r="J162" t="s">
        <v>15</v>
      </c>
      <c r="K162" t="s">
        <v>498</v>
      </c>
      <c r="L162">
        <v>2</v>
      </c>
    </row>
    <row r="163" spans="1:12" x14ac:dyDescent="0.4">
      <c r="A163">
        <v>1933</v>
      </c>
      <c r="B163" t="s">
        <v>10</v>
      </c>
      <c r="C163" t="s">
        <v>186</v>
      </c>
      <c r="D163" t="s">
        <v>12</v>
      </c>
      <c r="E163" t="s">
        <v>503</v>
      </c>
      <c r="F163">
        <v>2</v>
      </c>
      <c r="G163">
        <v>120</v>
      </c>
      <c r="H163" t="s">
        <v>188</v>
      </c>
      <c r="I163" t="s">
        <v>187</v>
      </c>
      <c r="J163" t="s">
        <v>28</v>
      </c>
      <c r="K163" t="s">
        <v>499</v>
      </c>
      <c r="L163">
        <v>1</v>
      </c>
    </row>
    <row r="164" spans="1:12" x14ac:dyDescent="0.4">
      <c r="A164">
        <v>1932</v>
      </c>
      <c r="B164" t="s">
        <v>268</v>
      </c>
      <c r="C164" t="s">
        <v>401</v>
      </c>
      <c r="D164" t="s">
        <v>28</v>
      </c>
      <c r="E164" t="s">
        <v>499</v>
      </c>
      <c r="F164">
        <v>1</v>
      </c>
      <c r="G164">
        <v>50</v>
      </c>
      <c r="H164" t="s">
        <v>342</v>
      </c>
      <c r="I164" t="s">
        <v>368</v>
      </c>
      <c r="J164" t="s">
        <v>28</v>
      </c>
      <c r="K164" t="s">
        <v>499</v>
      </c>
      <c r="L164">
        <v>5</v>
      </c>
    </row>
    <row r="165" spans="1:12" x14ac:dyDescent="0.4">
      <c r="A165">
        <v>1932</v>
      </c>
      <c r="B165" t="s">
        <v>10</v>
      </c>
      <c r="C165" t="s">
        <v>215</v>
      </c>
      <c r="D165" t="s">
        <v>28</v>
      </c>
      <c r="E165" t="s">
        <v>499</v>
      </c>
      <c r="F165">
        <v>2</v>
      </c>
      <c r="G165">
        <v>50</v>
      </c>
      <c r="H165" t="s">
        <v>216</v>
      </c>
      <c r="I165" t="s">
        <v>157</v>
      </c>
      <c r="J165" t="s">
        <v>15</v>
      </c>
      <c r="K165" t="s">
        <v>498</v>
      </c>
      <c r="L165">
        <v>6</v>
      </c>
    </row>
    <row r="166" spans="1:12" x14ac:dyDescent="0.4">
      <c r="A166">
        <v>1931</v>
      </c>
      <c r="B166" t="s">
        <v>268</v>
      </c>
      <c r="C166" t="s">
        <v>388</v>
      </c>
      <c r="D166" t="s">
        <v>126</v>
      </c>
      <c r="E166" t="s">
        <v>495</v>
      </c>
      <c r="F166">
        <v>1</v>
      </c>
      <c r="H166" t="s">
        <v>389</v>
      </c>
      <c r="I166" t="s">
        <v>390</v>
      </c>
      <c r="J166" t="s">
        <v>126</v>
      </c>
      <c r="K166" t="s">
        <v>495</v>
      </c>
      <c r="L166">
        <v>4</v>
      </c>
    </row>
    <row r="167" spans="1:12" x14ac:dyDescent="0.4">
      <c r="A167">
        <v>1931</v>
      </c>
      <c r="B167" t="s">
        <v>10</v>
      </c>
      <c r="C167" t="s">
        <v>258</v>
      </c>
      <c r="D167" t="s">
        <v>28</v>
      </c>
      <c r="E167" t="s">
        <v>499</v>
      </c>
      <c r="F167">
        <v>7</v>
      </c>
      <c r="H167" t="s">
        <v>260</v>
      </c>
      <c r="I167" t="s">
        <v>259</v>
      </c>
      <c r="J167" t="s">
        <v>28</v>
      </c>
      <c r="K167" t="s">
        <v>499</v>
      </c>
      <c r="L167">
        <v>3</v>
      </c>
    </row>
    <row r="168" spans="1:12" x14ac:dyDescent="0.4">
      <c r="A168">
        <v>1930</v>
      </c>
      <c r="B168" t="s">
        <v>268</v>
      </c>
      <c r="C168" t="s">
        <v>401</v>
      </c>
      <c r="D168" t="s">
        <v>28</v>
      </c>
      <c r="E168" t="s">
        <v>499</v>
      </c>
      <c r="F168">
        <v>1</v>
      </c>
      <c r="H168" t="s">
        <v>304</v>
      </c>
      <c r="I168" t="s">
        <v>308</v>
      </c>
      <c r="J168" t="s">
        <v>28</v>
      </c>
      <c r="K168" t="s">
        <v>499</v>
      </c>
      <c r="L168">
        <v>8</v>
      </c>
    </row>
    <row r="169" spans="1:12" x14ac:dyDescent="0.4">
      <c r="A169">
        <v>1930</v>
      </c>
      <c r="B169" t="s">
        <v>10</v>
      </c>
      <c r="C169" t="s">
        <v>88</v>
      </c>
      <c r="D169" t="s">
        <v>28</v>
      </c>
      <c r="E169" t="s">
        <v>499</v>
      </c>
      <c r="F169">
        <v>2</v>
      </c>
      <c r="G169">
        <v>70</v>
      </c>
      <c r="H169" t="s">
        <v>225</v>
      </c>
      <c r="I169" t="s">
        <v>224</v>
      </c>
      <c r="J169" t="s">
        <v>28</v>
      </c>
      <c r="K169" t="s">
        <v>499</v>
      </c>
      <c r="L169" t="s">
        <v>122</v>
      </c>
    </row>
    <row r="170" spans="1:12" x14ac:dyDescent="0.4">
      <c r="A170">
        <v>1929</v>
      </c>
      <c r="B170" t="s">
        <v>268</v>
      </c>
      <c r="C170" t="s">
        <v>365</v>
      </c>
      <c r="D170" t="s">
        <v>28</v>
      </c>
      <c r="E170" t="s">
        <v>499</v>
      </c>
      <c r="F170">
        <v>1</v>
      </c>
      <c r="H170" t="s">
        <v>433</v>
      </c>
      <c r="I170" t="s">
        <v>368</v>
      </c>
      <c r="J170" t="s">
        <v>28</v>
      </c>
      <c r="K170" t="s">
        <v>499</v>
      </c>
      <c r="L170">
        <v>5</v>
      </c>
    </row>
    <row r="171" spans="1:12" x14ac:dyDescent="0.4">
      <c r="A171">
        <v>1929</v>
      </c>
      <c r="B171" t="s">
        <v>10</v>
      </c>
      <c r="C171" t="s">
        <v>123</v>
      </c>
      <c r="D171" t="s">
        <v>24</v>
      </c>
      <c r="E171" t="s">
        <v>501</v>
      </c>
      <c r="F171">
        <v>1</v>
      </c>
      <c r="G171">
        <v>60</v>
      </c>
      <c r="H171" t="s">
        <v>124</v>
      </c>
      <c r="I171" t="s">
        <v>23</v>
      </c>
      <c r="J171" t="s">
        <v>24</v>
      </c>
      <c r="K171" t="s">
        <v>501</v>
      </c>
      <c r="L171">
        <v>2</v>
      </c>
    </row>
    <row r="172" spans="1:12" x14ac:dyDescent="0.4">
      <c r="A172">
        <v>1928</v>
      </c>
      <c r="B172" t="s">
        <v>268</v>
      </c>
      <c r="C172" t="s">
        <v>365</v>
      </c>
      <c r="D172" t="s">
        <v>28</v>
      </c>
      <c r="E172" t="s">
        <v>499</v>
      </c>
      <c r="F172">
        <v>1</v>
      </c>
      <c r="H172" t="s">
        <v>335</v>
      </c>
      <c r="I172" t="s">
        <v>319</v>
      </c>
      <c r="J172" t="s">
        <v>135</v>
      </c>
      <c r="K172" t="s">
        <v>496</v>
      </c>
      <c r="L172">
        <v>2</v>
      </c>
    </row>
    <row r="173" spans="1:12" x14ac:dyDescent="0.4">
      <c r="A173">
        <v>1928</v>
      </c>
      <c r="B173" t="s">
        <v>10</v>
      </c>
      <c r="C173" t="s">
        <v>25</v>
      </c>
      <c r="D173" t="s">
        <v>24</v>
      </c>
      <c r="E173" t="s">
        <v>501</v>
      </c>
      <c r="F173">
        <v>2</v>
      </c>
      <c r="H173" t="s">
        <v>201</v>
      </c>
      <c r="I173" t="s">
        <v>123</v>
      </c>
      <c r="J173" t="s">
        <v>24</v>
      </c>
      <c r="K173" t="s">
        <v>501</v>
      </c>
      <c r="L173">
        <v>1</v>
      </c>
    </row>
    <row r="174" spans="1:12" x14ac:dyDescent="0.4">
      <c r="A174">
        <v>1927</v>
      </c>
      <c r="B174" t="s">
        <v>268</v>
      </c>
      <c r="C174" t="s">
        <v>365</v>
      </c>
      <c r="D174" t="s">
        <v>28</v>
      </c>
      <c r="E174" t="s">
        <v>499</v>
      </c>
      <c r="F174">
        <v>1</v>
      </c>
      <c r="H174" t="s">
        <v>426</v>
      </c>
      <c r="I174" t="s">
        <v>319</v>
      </c>
      <c r="J174" t="s">
        <v>135</v>
      </c>
      <c r="K174" t="s">
        <v>496</v>
      </c>
      <c r="L174">
        <v>4</v>
      </c>
    </row>
    <row r="175" spans="1:12" x14ac:dyDescent="0.4">
      <c r="A175">
        <v>1927</v>
      </c>
      <c r="B175" t="s">
        <v>10</v>
      </c>
      <c r="C175" t="s">
        <v>123</v>
      </c>
      <c r="D175" t="s">
        <v>24</v>
      </c>
      <c r="E175" t="s">
        <v>501</v>
      </c>
      <c r="F175">
        <v>4</v>
      </c>
      <c r="H175" t="s">
        <v>237</v>
      </c>
      <c r="I175" t="s">
        <v>23</v>
      </c>
      <c r="J175" t="s">
        <v>24</v>
      </c>
      <c r="K175" t="s">
        <v>501</v>
      </c>
      <c r="L175">
        <v>3</v>
      </c>
    </row>
    <row r="176" spans="1:12" x14ac:dyDescent="0.4">
      <c r="A176">
        <v>1926</v>
      </c>
      <c r="B176" t="s">
        <v>268</v>
      </c>
      <c r="C176" t="s">
        <v>317</v>
      </c>
      <c r="D176" t="s">
        <v>15</v>
      </c>
      <c r="E176" t="s">
        <v>498</v>
      </c>
      <c r="G176">
        <v>60</v>
      </c>
      <c r="H176" t="s">
        <v>318</v>
      </c>
      <c r="I176" t="s">
        <v>319</v>
      </c>
      <c r="J176" t="s">
        <v>135</v>
      </c>
      <c r="K176" t="s">
        <v>496</v>
      </c>
    </row>
    <row r="177" spans="1:11" x14ac:dyDescent="0.4">
      <c r="A177">
        <v>1926</v>
      </c>
      <c r="B177" t="s">
        <v>10</v>
      </c>
      <c r="C177" t="s">
        <v>23</v>
      </c>
      <c r="D177" t="s">
        <v>24</v>
      </c>
      <c r="E177" t="s">
        <v>501</v>
      </c>
      <c r="G177">
        <v>65</v>
      </c>
      <c r="H177" t="s">
        <v>30</v>
      </c>
      <c r="I177" t="s">
        <v>29</v>
      </c>
      <c r="J177" t="s">
        <v>28</v>
      </c>
      <c r="K177" t="s">
        <v>499</v>
      </c>
    </row>
    <row r="178" spans="1:11" x14ac:dyDescent="0.4">
      <c r="A178">
        <v>1925</v>
      </c>
      <c r="B178" t="s">
        <v>268</v>
      </c>
      <c r="C178" t="s">
        <v>301</v>
      </c>
      <c r="D178" t="s">
        <v>24</v>
      </c>
      <c r="E178" t="s">
        <v>501</v>
      </c>
      <c r="G178">
        <v>25</v>
      </c>
      <c r="H178" t="s">
        <v>302</v>
      </c>
      <c r="I178" t="s">
        <v>303</v>
      </c>
      <c r="J178" t="s">
        <v>15</v>
      </c>
      <c r="K178" t="s">
        <v>498</v>
      </c>
    </row>
    <row r="179" spans="1:11" x14ac:dyDescent="0.4">
      <c r="A179">
        <v>1925</v>
      </c>
      <c r="B179" t="s">
        <v>10</v>
      </c>
      <c r="C179" t="s">
        <v>25</v>
      </c>
      <c r="D179" t="s">
        <v>24</v>
      </c>
      <c r="E179" t="s">
        <v>501</v>
      </c>
      <c r="H179" t="s">
        <v>27</v>
      </c>
      <c r="I179" t="s">
        <v>23</v>
      </c>
      <c r="J179" t="s">
        <v>24</v>
      </c>
      <c r="K179" t="s">
        <v>501</v>
      </c>
    </row>
    <row r="180" spans="1:11" x14ac:dyDescent="0.4">
      <c r="A180">
        <v>1924</v>
      </c>
      <c r="B180" t="s">
        <v>268</v>
      </c>
      <c r="C180" t="s">
        <v>305</v>
      </c>
      <c r="D180" t="s">
        <v>15</v>
      </c>
      <c r="E180" t="s">
        <v>498</v>
      </c>
      <c r="G180">
        <v>75</v>
      </c>
      <c r="H180" t="s">
        <v>343</v>
      </c>
      <c r="I180" t="s">
        <v>365</v>
      </c>
      <c r="J180" t="s">
        <v>28</v>
      </c>
      <c r="K180" t="s">
        <v>499</v>
      </c>
    </row>
    <row r="181" spans="1:11" x14ac:dyDescent="0.4">
      <c r="A181">
        <v>1924</v>
      </c>
      <c r="B181" t="s">
        <v>10</v>
      </c>
      <c r="C181" t="s">
        <v>23</v>
      </c>
      <c r="D181" t="s">
        <v>24</v>
      </c>
      <c r="E181" t="s">
        <v>501</v>
      </c>
      <c r="G181">
        <v>80</v>
      </c>
      <c r="H181" t="s">
        <v>26</v>
      </c>
      <c r="I181" t="s">
        <v>25</v>
      </c>
      <c r="J181" t="s">
        <v>24</v>
      </c>
      <c r="K181" t="s">
        <v>501</v>
      </c>
    </row>
    <row r="182" spans="1:11" x14ac:dyDescent="0.4">
      <c r="A182">
        <v>1923</v>
      </c>
      <c r="B182" t="s">
        <v>268</v>
      </c>
      <c r="C182" t="s">
        <v>301</v>
      </c>
      <c r="D182" t="s">
        <v>24</v>
      </c>
      <c r="E182" t="s">
        <v>501</v>
      </c>
      <c r="H182" t="s">
        <v>304</v>
      </c>
      <c r="I182" t="s">
        <v>305</v>
      </c>
      <c r="J182" t="s">
        <v>15</v>
      </c>
      <c r="K182" t="s">
        <v>498</v>
      </c>
    </row>
    <row r="183" spans="1:11" x14ac:dyDescent="0.4">
      <c r="A183">
        <v>1923</v>
      </c>
      <c r="B183" t="s">
        <v>10</v>
      </c>
      <c r="C183" t="s">
        <v>93</v>
      </c>
      <c r="D183" t="s">
        <v>28</v>
      </c>
      <c r="E183" t="s">
        <v>499</v>
      </c>
      <c r="G183">
        <v>46</v>
      </c>
      <c r="H183" t="s">
        <v>95</v>
      </c>
      <c r="I183" t="s">
        <v>94</v>
      </c>
      <c r="J183" t="s">
        <v>28</v>
      </c>
      <c r="K183" t="s">
        <v>499</v>
      </c>
    </row>
    <row r="184" spans="1:11" x14ac:dyDescent="0.4">
      <c r="A184">
        <v>1922</v>
      </c>
      <c r="B184" t="s">
        <v>268</v>
      </c>
      <c r="C184" t="s">
        <v>301</v>
      </c>
      <c r="D184" t="s">
        <v>24</v>
      </c>
      <c r="E184" t="s">
        <v>501</v>
      </c>
      <c r="G184">
        <v>23</v>
      </c>
      <c r="H184" t="s">
        <v>302</v>
      </c>
      <c r="I184" t="s">
        <v>309</v>
      </c>
      <c r="J184" t="s">
        <v>28</v>
      </c>
      <c r="K184" t="s">
        <v>499</v>
      </c>
    </row>
    <row r="185" spans="1:11" x14ac:dyDescent="0.4">
      <c r="A185">
        <v>1922</v>
      </c>
      <c r="B185" t="s">
        <v>10</v>
      </c>
      <c r="C185" t="s">
        <v>11</v>
      </c>
      <c r="D185" t="s">
        <v>12</v>
      </c>
      <c r="E185" t="s">
        <v>503</v>
      </c>
      <c r="H185" t="s">
        <v>17</v>
      </c>
      <c r="I185" t="s">
        <v>16</v>
      </c>
      <c r="J185" t="s">
        <v>15</v>
      </c>
      <c r="K185" t="s">
        <v>498</v>
      </c>
    </row>
    <row r="186" spans="1:11" x14ac:dyDescent="0.4">
      <c r="A186">
        <v>1921</v>
      </c>
      <c r="B186" t="s">
        <v>268</v>
      </c>
      <c r="C186" t="s">
        <v>301</v>
      </c>
      <c r="D186" t="s">
        <v>24</v>
      </c>
      <c r="E186" t="s">
        <v>501</v>
      </c>
      <c r="H186" t="s">
        <v>302</v>
      </c>
      <c r="I186" t="s">
        <v>308</v>
      </c>
      <c r="J186" t="s">
        <v>28</v>
      </c>
      <c r="K186" t="s">
        <v>499</v>
      </c>
    </row>
    <row r="187" spans="1:11" x14ac:dyDescent="0.4">
      <c r="A187">
        <v>1921</v>
      </c>
      <c r="B187" t="s">
        <v>10</v>
      </c>
      <c r="C187" t="s">
        <v>88</v>
      </c>
      <c r="D187" t="s">
        <v>28</v>
      </c>
      <c r="E187" t="s">
        <v>499</v>
      </c>
      <c r="H187" t="s">
        <v>92</v>
      </c>
      <c r="I187" t="s">
        <v>91</v>
      </c>
      <c r="J187" t="s">
        <v>90</v>
      </c>
      <c r="K187" t="s">
        <v>509</v>
      </c>
    </row>
    <row r="188" spans="1:11" x14ac:dyDescent="0.4">
      <c r="A188">
        <v>1920</v>
      </c>
      <c r="B188" t="s">
        <v>268</v>
      </c>
      <c r="C188" t="s">
        <v>301</v>
      </c>
      <c r="D188" t="s">
        <v>24</v>
      </c>
      <c r="E188" t="s">
        <v>501</v>
      </c>
      <c r="H188" t="s">
        <v>292</v>
      </c>
      <c r="I188" t="s">
        <v>307</v>
      </c>
      <c r="J188" t="s">
        <v>15</v>
      </c>
      <c r="K188" t="s">
        <v>498</v>
      </c>
    </row>
    <row r="189" spans="1:11" x14ac:dyDescent="0.4">
      <c r="A189">
        <v>1920</v>
      </c>
      <c r="B189" t="s">
        <v>10</v>
      </c>
      <c r="C189" t="s">
        <v>88</v>
      </c>
      <c r="D189" t="s">
        <v>28</v>
      </c>
      <c r="E189" t="s">
        <v>499</v>
      </c>
      <c r="H189" t="s">
        <v>89</v>
      </c>
      <c r="I189" t="s">
        <v>11</v>
      </c>
      <c r="J189" t="s">
        <v>12</v>
      </c>
      <c r="K189" t="s">
        <v>503</v>
      </c>
    </row>
    <row r="190" spans="1:11" x14ac:dyDescent="0.4">
      <c r="A190">
        <v>1919</v>
      </c>
      <c r="B190" t="s">
        <v>268</v>
      </c>
      <c r="C190" t="s">
        <v>301</v>
      </c>
      <c r="D190" t="s">
        <v>24</v>
      </c>
      <c r="E190" t="s">
        <v>501</v>
      </c>
      <c r="G190">
        <v>125</v>
      </c>
      <c r="H190" t="s">
        <v>306</v>
      </c>
      <c r="I190" t="s">
        <v>307</v>
      </c>
      <c r="J190" t="s">
        <v>15</v>
      </c>
      <c r="K190" t="s">
        <v>498</v>
      </c>
    </row>
    <row r="191" spans="1:11" x14ac:dyDescent="0.4">
      <c r="A191">
        <v>1919</v>
      </c>
      <c r="B191" t="s">
        <v>10</v>
      </c>
      <c r="C191" t="s">
        <v>11</v>
      </c>
      <c r="D191" t="s">
        <v>12</v>
      </c>
      <c r="E191" t="s">
        <v>503</v>
      </c>
      <c r="H191" t="s">
        <v>14</v>
      </c>
      <c r="I191" t="s">
        <v>13</v>
      </c>
      <c r="J191" t="s">
        <v>12</v>
      </c>
      <c r="K191" t="s">
        <v>503</v>
      </c>
    </row>
    <row r="192" spans="1:11" x14ac:dyDescent="0.4">
      <c r="A192">
        <v>1914</v>
      </c>
      <c r="B192" t="s">
        <v>268</v>
      </c>
      <c r="C192" t="s">
        <v>307</v>
      </c>
      <c r="D192" t="s">
        <v>15</v>
      </c>
      <c r="E192" t="s">
        <v>498</v>
      </c>
      <c r="H192" t="s">
        <v>359</v>
      </c>
      <c r="I192" t="s">
        <v>341</v>
      </c>
      <c r="J192" t="s">
        <v>15</v>
      </c>
      <c r="K192" t="s">
        <v>498</v>
      </c>
    </row>
    <row r="193" spans="1:11" x14ac:dyDescent="0.4">
      <c r="A193">
        <v>1914</v>
      </c>
      <c r="B193" t="s">
        <v>10</v>
      </c>
      <c r="C193" t="s">
        <v>13</v>
      </c>
      <c r="D193" t="s">
        <v>12</v>
      </c>
      <c r="E193" t="s">
        <v>503</v>
      </c>
      <c r="H193" t="s">
        <v>22</v>
      </c>
      <c r="I193" t="s">
        <v>21</v>
      </c>
      <c r="J193" t="s">
        <v>20</v>
      </c>
      <c r="K193" t="s">
        <v>508</v>
      </c>
    </row>
    <row r="194" spans="1:11" x14ac:dyDescent="0.4">
      <c r="A194">
        <v>1913</v>
      </c>
      <c r="B194" t="s">
        <v>268</v>
      </c>
      <c r="C194" t="s">
        <v>307</v>
      </c>
      <c r="D194" t="s">
        <v>15</v>
      </c>
      <c r="E194" t="s">
        <v>498</v>
      </c>
      <c r="H194" t="s">
        <v>361</v>
      </c>
      <c r="I194" t="s">
        <v>362</v>
      </c>
      <c r="J194" t="s">
        <v>15</v>
      </c>
      <c r="K194" t="s">
        <v>498</v>
      </c>
    </row>
    <row r="195" spans="1:11" x14ac:dyDescent="0.4">
      <c r="A195">
        <v>1913</v>
      </c>
      <c r="B195" t="s">
        <v>10</v>
      </c>
      <c r="C195" t="s">
        <v>21</v>
      </c>
      <c r="D195" t="s">
        <v>20</v>
      </c>
      <c r="E195" t="s">
        <v>508</v>
      </c>
      <c r="H195" t="s">
        <v>87</v>
      </c>
      <c r="I195" t="s">
        <v>86</v>
      </c>
      <c r="J195" t="s">
        <v>28</v>
      </c>
      <c r="K195" t="s">
        <v>499</v>
      </c>
    </row>
    <row r="196" spans="1:11" x14ac:dyDescent="0.4">
      <c r="A196">
        <v>1912</v>
      </c>
      <c r="B196" t="s">
        <v>268</v>
      </c>
      <c r="C196" t="s">
        <v>341</v>
      </c>
      <c r="D196" t="s">
        <v>15</v>
      </c>
      <c r="E196" t="s">
        <v>498</v>
      </c>
      <c r="H196" t="s">
        <v>342</v>
      </c>
      <c r="I196" t="s">
        <v>320</v>
      </c>
      <c r="J196" t="s">
        <v>15</v>
      </c>
      <c r="K196" t="s">
        <v>498</v>
      </c>
    </row>
    <row r="197" spans="1:11" x14ac:dyDescent="0.4">
      <c r="A197">
        <v>1912</v>
      </c>
      <c r="B197" t="s">
        <v>10</v>
      </c>
      <c r="C197" t="s">
        <v>21</v>
      </c>
      <c r="D197" t="s">
        <v>20</v>
      </c>
      <c r="E197" t="s">
        <v>508</v>
      </c>
      <c r="H197" t="s">
        <v>83</v>
      </c>
      <c r="I197" t="s">
        <v>18</v>
      </c>
      <c r="J197" t="s">
        <v>15</v>
      </c>
      <c r="K197" t="s">
        <v>498</v>
      </c>
    </row>
    <row r="198" spans="1:11" x14ac:dyDescent="0.4">
      <c r="A198">
        <v>1911</v>
      </c>
      <c r="B198" t="s">
        <v>268</v>
      </c>
      <c r="C198" t="s">
        <v>307</v>
      </c>
      <c r="D198" t="s">
        <v>15</v>
      </c>
      <c r="E198" t="s">
        <v>498</v>
      </c>
      <c r="G198">
        <v>25</v>
      </c>
      <c r="H198" t="s">
        <v>360</v>
      </c>
      <c r="I198" t="s">
        <v>357</v>
      </c>
      <c r="J198" t="s">
        <v>15</v>
      </c>
      <c r="K198" t="s">
        <v>498</v>
      </c>
    </row>
    <row r="199" spans="1:11" x14ac:dyDescent="0.4">
      <c r="A199">
        <v>1911</v>
      </c>
      <c r="B199" t="s">
        <v>10</v>
      </c>
      <c r="C199" t="s">
        <v>21</v>
      </c>
      <c r="D199" t="s">
        <v>20</v>
      </c>
      <c r="E199" t="s">
        <v>508</v>
      </c>
      <c r="H199" t="s">
        <v>85</v>
      </c>
      <c r="I199" t="s">
        <v>33</v>
      </c>
      <c r="J199" t="s">
        <v>15</v>
      </c>
      <c r="K199" t="s">
        <v>498</v>
      </c>
    </row>
    <row r="200" spans="1:11" x14ac:dyDescent="0.4">
      <c r="A200">
        <v>1910</v>
      </c>
      <c r="B200" t="s">
        <v>268</v>
      </c>
      <c r="C200" t="s">
        <v>307</v>
      </c>
      <c r="D200" t="s">
        <v>15</v>
      </c>
      <c r="E200" t="s">
        <v>498</v>
      </c>
      <c r="H200" t="s">
        <v>304</v>
      </c>
      <c r="I200" t="s">
        <v>357</v>
      </c>
      <c r="J200" t="s">
        <v>15</v>
      </c>
      <c r="K200" t="s">
        <v>498</v>
      </c>
    </row>
    <row r="201" spans="1:11" x14ac:dyDescent="0.4">
      <c r="A201">
        <v>1910</v>
      </c>
      <c r="B201" t="s">
        <v>10</v>
      </c>
      <c r="C201" t="s">
        <v>21</v>
      </c>
      <c r="D201" t="s">
        <v>20</v>
      </c>
      <c r="E201" t="s">
        <v>508</v>
      </c>
      <c r="H201" t="s">
        <v>84</v>
      </c>
      <c r="I201" t="s">
        <v>18</v>
      </c>
      <c r="J201" t="s">
        <v>15</v>
      </c>
      <c r="K201" t="s">
        <v>498</v>
      </c>
    </row>
    <row r="202" spans="1:11" x14ac:dyDescent="0.4">
      <c r="A202">
        <v>1909</v>
      </c>
      <c r="B202" t="s">
        <v>268</v>
      </c>
      <c r="C202" t="s">
        <v>357</v>
      </c>
      <c r="D202" t="s">
        <v>15</v>
      </c>
      <c r="E202" t="s">
        <v>498</v>
      </c>
      <c r="H202" t="s">
        <v>358</v>
      </c>
      <c r="I202" t="s">
        <v>322</v>
      </c>
      <c r="J202" t="s">
        <v>15</v>
      </c>
      <c r="K202" t="s">
        <v>498</v>
      </c>
    </row>
    <row r="203" spans="1:11" x14ac:dyDescent="0.4">
      <c r="A203">
        <v>1909</v>
      </c>
      <c r="B203" t="s">
        <v>10</v>
      </c>
      <c r="C203" t="s">
        <v>18</v>
      </c>
      <c r="D203" t="s">
        <v>15</v>
      </c>
      <c r="E203" t="s">
        <v>498</v>
      </c>
      <c r="G203">
        <v>95</v>
      </c>
      <c r="H203" t="s">
        <v>36</v>
      </c>
      <c r="I203" t="s">
        <v>35</v>
      </c>
      <c r="J203" t="s">
        <v>15</v>
      </c>
      <c r="K203" t="s">
        <v>498</v>
      </c>
    </row>
    <row r="204" spans="1:11" x14ac:dyDescent="0.4">
      <c r="A204">
        <v>1908</v>
      </c>
      <c r="B204" t="s">
        <v>268</v>
      </c>
      <c r="C204" t="s">
        <v>320</v>
      </c>
      <c r="D204" t="s">
        <v>15</v>
      </c>
      <c r="E204" t="s">
        <v>498</v>
      </c>
      <c r="H204" t="s">
        <v>321</v>
      </c>
      <c r="I204" t="s">
        <v>322</v>
      </c>
      <c r="J204" t="s">
        <v>15</v>
      </c>
      <c r="K204" t="s">
        <v>498</v>
      </c>
    </row>
    <row r="205" spans="1:11" x14ac:dyDescent="0.4">
      <c r="A205">
        <v>1908</v>
      </c>
      <c r="B205" t="s">
        <v>10</v>
      </c>
      <c r="C205" t="s">
        <v>18</v>
      </c>
      <c r="D205" t="s">
        <v>15</v>
      </c>
      <c r="E205" t="s">
        <v>498</v>
      </c>
      <c r="H205" t="s">
        <v>34</v>
      </c>
      <c r="I205" t="s">
        <v>33</v>
      </c>
      <c r="J205" t="s">
        <v>15</v>
      </c>
      <c r="K205" t="s">
        <v>498</v>
      </c>
    </row>
    <row r="206" spans="1:11" x14ac:dyDescent="0.4">
      <c r="A206">
        <v>1907</v>
      </c>
      <c r="B206" t="s">
        <v>268</v>
      </c>
      <c r="C206" t="s">
        <v>364</v>
      </c>
      <c r="D206" t="s">
        <v>28</v>
      </c>
      <c r="E206" t="s">
        <v>499</v>
      </c>
      <c r="H206" t="s">
        <v>395</v>
      </c>
      <c r="I206" t="s">
        <v>307</v>
      </c>
      <c r="J206" t="s">
        <v>15</v>
      </c>
      <c r="K206" t="s">
        <v>498</v>
      </c>
    </row>
    <row r="207" spans="1:11" x14ac:dyDescent="0.4">
      <c r="A207">
        <v>1907</v>
      </c>
      <c r="B207" t="s">
        <v>10</v>
      </c>
      <c r="C207" t="s">
        <v>13</v>
      </c>
      <c r="D207" t="s">
        <v>12</v>
      </c>
      <c r="E207" t="s">
        <v>503</v>
      </c>
      <c r="H207" t="s">
        <v>19</v>
      </c>
      <c r="I207" t="s">
        <v>18</v>
      </c>
      <c r="J207" t="s">
        <v>15</v>
      </c>
      <c r="K207" t="s">
        <v>498</v>
      </c>
    </row>
    <row r="208" spans="1:11" x14ac:dyDescent="0.4">
      <c r="A208">
        <v>1906</v>
      </c>
      <c r="B208" t="s">
        <v>268</v>
      </c>
      <c r="C208" t="s">
        <v>337</v>
      </c>
      <c r="D208" t="s">
        <v>15</v>
      </c>
      <c r="E208" t="s">
        <v>498</v>
      </c>
      <c r="G208">
        <v>57</v>
      </c>
      <c r="H208" t="s">
        <v>363</v>
      </c>
      <c r="I208" t="s">
        <v>364</v>
      </c>
      <c r="J208" t="s">
        <v>28</v>
      </c>
      <c r="K208" t="s">
        <v>499</v>
      </c>
    </row>
    <row r="209" spans="1:11" x14ac:dyDescent="0.4">
      <c r="A209">
        <v>1906</v>
      </c>
      <c r="B209" t="s">
        <v>10</v>
      </c>
      <c r="C209" t="s">
        <v>31</v>
      </c>
      <c r="D209" t="s">
        <v>15</v>
      </c>
      <c r="E209" t="s">
        <v>498</v>
      </c>
      <c r="G209">
        <v>74</v>
      </c>
      <c r="H209" t="s">
        <v>45</v>
      </c>
      <c r="I209" t="s">
        <v>43</v>
      </c>
      <c r="J209" t="s">
        <v>15</v>
      </c>
      <c r="K209" t="s">
        <v>498</v>
      </c>
    </row>
    <row r="210" spans="1:11" x14ac:dyDescent="0.4">
      <c r="A210">
        <v>1905</v>
      </c>
      <c r="B210" t="s">
        <v>268</v>
      </c>
      <c r="C210" t="s">
        <v>364</v>
      </c>
      <c r="D210" t="s">
        <v>28</v>
      </c>
      <c r="E210" t="s">
        <v>499</v>
      </c>
      <c r="H210" t="s">
        <v>295</v>
      </c>
      <c r="I210" t="s">
        <v>337</v>
      </c>
      <c r="J210" t="s">
        <v>15</v>
      </c>
      <c r="K210" t="s">
        <v>498</v>
      </c>
    </row>
    <row r="211" spans="1:11" x14ac:dyDescent="0.4">
      <c r="A211">
        <v>1905</v>
      </c>
      <c r="B211" t="s">
        <v>10</v>
      </c>
      <c r="C211" t="s">
        <v>31</v>
      </c>
      <c r="D211" t="s">
        <v>15</v>
      </c>
      <c r="E211" t="s">
        <v>498</v>
      </c>
      <c r="G211">
        <v>65</v>
      </c>
      <c r="H211" t="s">
        <v>32</v>
      </c>
      <c r="I211" t="s">
        <v>13</v>
      </c>
      <c r="J211" t="s">
        <v>12</v>
      </c>
      <c r="K211" t="s">
        <v>503</v>
      </c>
    </row>
    <row r="212" spans="1:11" x14ac:dyDescent="0.4">
      <c r="A212">
        <v>1904</v>
      </c>
      <c r="B212" t="s">
        <v>268</v>
      </c>
      <c r="C212" t="s">
        <v>337</v>
      </c>
      <c r="D212" t="s">
        <v>15</v>
      </c>
      <c r="E212" t="s">
        <v>498</v>
      </c>
      <c r="H212" t="s">
        <v>338</v>
      </c>
      <c r="I212" t="s">
        <v>320</v>
      </c>
      <c r="J212" t="s">
        <v>15</v>
      </c>
      <c r="K212" t="s">
        <v>498</v>
      </c>
    </row>
    <row r="213" spans="1:11" x14ac:dyDescent="0.4">
      <c r="A213">
        <v>1904</v>
      </c>
      <c r="B213" t="s">
        <v>10</v>
      </c>
      <c r="C213" t="s">
        <v>31</v>
      </c>
      <c r="D213" t="s">
        <v>15</v>
      </c>
      <c r="E213" t="s">
        <v>498</v>
      </c>
      <c r="H213" t="s">
        <v>44</v>
      </c>
      <c r="I213" t="s">
        <v>43</v>
      </c>
      <c r="J213" t="s">
        <v>15</v>
      </c>
      <c r="K213" t="s">
        <v>498</v>
      </c>
    </row>
    <row r="214" spans="1:11" x14ac:dyDescent="0.4">
      <c r="A214">
        <v>1903</v>
      </c>
      <c r="B214" t="s">
        <v>268</v>
      </c>
      <c r="C214" t="s">
        <v>337</v>
      </c>
      <c r="D214" t="s">
        <v>15</v>
      </c>
      <c r="E214" t="s">
        <v>498</v>
      </c>
      <c r="H214" t="s">
        <v>339</v>
      </c>
      <c r="I214" t="s">
        <v>340</v>
      </c>
      <c r="J214" t="s">
        <v>15</v>
      </c>
      <c r="K214" t="s">
        <v>498</v>
      </c>
    </row>
    <row r="215" spans="1:11" x14ac:dyDescent="0.4">
      <c r="A215">
        <v>1903</v>
      </c>
      <c r="B215" t="s">
        <v>10</v>
      </c>
      <c r="C215" t="s">
        <v>31</v>
      </c>
      <c r="D215" t="s">
        <v>15</v>
      </c>
      <c r="E215" t="s">
        <v>498</v>
      </c>
      <c r="H215" t="s">
        <v>46</v>
      </c>
      <c r="I215" t="s">
        <v>43</v>
      </c>
      <c r="J215" t="s">
        <v>15</v>
      </c>
      <c r="K215" t="s">
        <v>498</v>
      </c>
    </row>
    <row r="216" spans="1:11" x14ac:dyDescent="0.4">
      <c r="A216">
        <v>1902</v>
      </c>
      <c r="B216" t="s">
        <v>268</v>
      </c>
      <c r="C216" t="s">
        <v>350</v>
      </c>
      <c r="D216" t="s">
        <v>15</v>
      </c>
      <c r="E216" t="s">
        <v>498</v>
      </c>
      <c r="H216" t="s">
        <v>351</v>
      </c>
      <c r="I216" t="s">
        <v>320</v>
      </c>
      <c r="J216" t="s">
        <v>15</v>
      </c>
      <c r="K216" t="s">
        <v>498</v>
      </c>
    </row>
    <row r="217" spans="1:11" x14ac:dyDescent="0.4">
      <c r="A217">
        <v>1902</v>
      </c>
      <c r="B217" t="s">
        <v>10</v>
      </c>
      <c r="C217" t="s">
        <v>31</v>
      </c>
      <c r="D217" t="s">
        <v>15</v>
      </c>
      <c r="E217" t="s">
        <v>498</v>
      </c>
      <c r="G217">
        <v>84</v>
      </c>
      <c r="H217" t="s">
        <v>42</v>
      </c>
      <c r="I217" t="s">
        <v>18</v>
      </c>
      <c r="J217" t="s">
        <v>15</v>
      </c>
      <c r="K217" t="s">
        <v>498</v>
      </c>
    </row>
    <row r="218" spans="1:11" x14ac:dyDescent="0.4">
      <c r="A218">
        <v>1901</v>
      </c>
      <c r="B218" t="s">
        <v>268</v>
      </c>
      <c r="C218" t="s">
        <v>320</v>
      </c>
      <c r="D218" t="s">
        <v>15</v>
      </c>
      <c r="E218" t="s">
        <v>498</v>
      </c>
      <c r="H218" t="s">
        <v>304</v>
      </c>
      <c r="I218" t="s">
        <v>323</v>
      </c>
      <c r="J218" t="s">
        <v>15</v>
      </c>
      <c r="K218" t="s">
        <v>498</v>
      </c>
    </row>
    <row r="219" spans="1:11" x14ac:dyDescent="0.4">
      <c r="A219">
        <v>1901</v>
      </c>
      <c r="B219" t="s">
        <v>10</v>
      </c>
      <c r="C219" t="s">
        <v>18</v>
      </c>
      <c r="D219" t="s">
        <v>15</v>
      </c>
      <c r="E219" t="s">
        <v>498</v>
      </c>
      <c r="G219">
        <v>95</v>
      </c>
      <c r="H219" t="s">
        <v>38</v>
      </c>
      <c r="I219" t="s">
        <v>37</v>
      </c>
      <c r="J219" t="s">
        <v>15</v>
      </c>
      <c r="K219" t="s">
        <v>498</v>
      </c>
    </row>
    <row r="220" spans="1:11" x14ac:dyDescent="0.4">
      <c r="A220">
        <v>1900</v>
      </c>
      <c r="B220" t="s">
        <v>268</v>
      </c>
      <c r="C220" t="s">
        <v>323</v>
      </c>
      <c r="D220" t="s">
        <v>15</v>
      </c>
      <c r="E220" t="s">
        <v>498</v>
      </c>
      <c r="H220" t="s">
        <v>343</v>
      </c>
      <c r="I220" t="s">
        <v>331</v>
      </c>
      <c r="J220" t="s">
        <v>15</v>
      </c>
      <c r="K220" t="s">
        <v>498</v>
      </c>
    </row>
    <row r="221" spans="1:11" x14ac:dyDescent="0.4">
      <c r="A221">
        <v>1900</v>
      </c>
      <c r="B221" t="s">
        <v>10</v>
      </c>
      <c r="C221" t="s">
        <v>37</v>
      </c>
      <c r="D221" t="s">
        <v>15</v>
      </c>
      <c r="E221" t="s">
        <v>498</v>
      </c>
      <c r="H221" t="s">
        <v>65</v>
      </c>
      <c r="I221" t="s">
        <v>64</v>
      </c>
      <c r="J221" t="s">
        <v>15</v>
      </c>
      <c r="K221" t="s">
        <v>498</v>
      </c>
    </row>
    <row r="222" spans="1:11" x14ac:dyDescent="0.4">
      <c r="A222">
        <v>1899</v>
      </c>
      <c r="B222" t="s">
        <v>268</v>
      </c>
      <c r="C222" t="s">
        <v>323</v>
      </c>
      <c r="D222" t="s">
        <v>15</v>
      </c>
      <c r="E222" t="s">
        <v>498</v>
      </c>
      <c r="H222" t="s">
        <v>335</v>
      </c>
      <c r="I222" t="s">
        <v>331</v>
      </c>
      <c r="J222" t="s">
        <v>15</v>
      </c>
      <c r="K222" t="s">
        <v>498</v>
      </c>
    </row>
    <row r="223" spans="1:11" x14ac:dyDescent="0.4">
      <c r="A223">
        <v>1899</v>
      </c>
      <c r="B223" t="s">
        <v>10</v>
      </c>
      <c r="C223" t="s">
        <v>37</v>
      </c>
      <c r="D223" t="s">
        <v>15</v>
      </c>
      <c r="E223" t="s">
        <v>498</v>
      </c>
      <c r="H223" t="s">
        <v>61</v>
      </c>
      <c r="I223" t="s">
        <v>18</v>
      </c>
      <c r="J223" t="s">
        <v>15</v>
      </c>
      <c r="K223" t="s">
        <v>498</v>
      </c>
    </row>
    <row r="224" spans="1:11" x14ac:dyDescent="0.4">
      <c r="A224">
        <v>1898</v>
      </c>
      <c r="B224" t="s">
        <v>268</v>
      </c>
      <c r="C224" t="s">
        <v>331</v>
      </c>
      <c r="D224" t="s">
        <v>15</v>
      </c>
      <c r="E224" t="s">
        <v>498</v>
      </c>
      <c r="H224" t="s">
        <v>321</v>
      </c>
      <c r="I224" t="s">
        <v>334</v>
      </c>
      <c r="J224" t="s">
        <v>15</v>
      </c>
      <c r="K224" t="s">
        <v>498</v>
      </c>
    </row>
    <row r="225" spans="1:11" x14ac:dyDescent="0.4">
      <c r="A225">
        <v>1898</v>
      </c>
      <c r="B225" t="s">
        <v>10</v>
      </c>
      <c r="C225" t="s">
        <v>37</v>
      </c>
      <c r="D225" t="s">
        <v>15</v>
      </c>
      <c r="E225" t="s">
        <v>498</v>
      </c>
      <c r="G225">
        <v>55</v>
      </c>
      <c r="H225" t="s">
        <v>62</v>
      </c>
      <c r="I225" t="s">
        <v>31</v>
      </c>
      <c r="J225" t="s">
        <v>15</v>
      </c>
      <c r="K225" t="s">
        <v>498</v>
      </c>
    </row>
    <row r="226" spans="1:11" x14ac:dyDescent="0.4">
      <c r="A226">
        <v>1897</v>
      </c>
      <c r="B226" t="s">
        <v>268</v>
      </c>
      <c r="C226" t="s">
        <v>323</v>
      </c>
      <c r="D226" t="s">
        <v>15</v>
      </c>
      <c r="E226" t="s">
        <v>498</v>
      </c>
      <c r="H226" t="s">
        <v>344</v>
      </c>
      <c r="I226" t="s">
        <v>331</v>
      </c>
      <c r="J226" t="s">
        <v>15</v>
      </c>
      <c r="K226" t="s">
        <v>498</v>
      </c>
    </row>
    <row r="227" spans="1:11" x14ac:dyDescent="0.4">
      <c r="A227">
        <v>1897</v>
      </c>
      <c r="B227" t="s">
        <v>10</v>
      </c>
      <c r="C227" t="s">
        <v>37</v>
      </c>
      <c r="D227" t="s">
        <v>15</v>
      </c>
      <c r="E227" t="s">
        <v>498</v>
      </c>
      <c r="G227">
        <v>67</v>
      </c>
      <c r="H227" t="s">
        <v>63</v>
      </c>
      <c r="I227" t="s">
        <v>47</v>
      </c>
      <c r="J227" t="s">
        <v>15</v>
      </c>
      <c r="K227" t="s">
        <v>498</v>
      </c>
    </row>
    <row r="228" spans="1:11" x14ac:dyDescent="0.4">
      <c r="A228">
        <v>1896</v>
      </c>
      <c r="B228" t="s">
        <v>268</v>
      </c>
      <c r="C228" t="s">
        <v>331</v>
      </c>
      <c r="D228" t="s">
        <v>15</v>
      </c>
      <c r="E228" t="s">
        <v>498</v>
      </c>
      <c r="H228" t="s">
        <v>335</v>
      </c>
      <c r="I228" t="s">
        <v>336</v>
      </c>
      <c r="J228" t="s">
        <v>15</v>
      </c>
      <c r="K228" t="s">
        <v>498</v>
      </c>
    </row>
    <row r="229" spans="1:11" x14ac:dyDescent="0.4">
      <c r="A229">
        <v>1896</v>
      </c>
      <c r="B229" t="s">
        <v>10</v>
      </c>
      <c r="C229" t="s">
        <v>47</v>
      </c>
      <c r="D229" t="s">
        <v>15</v>
      </c>
      <c r="E229" t="s">
        <v>498</v>
      </c>
      <c r="G229">
        <v>120</v>
      </c>
      <c r="H229" t="s">
        <v>49</v>
      </c>
      <c r="I229" t="s">
        <v>48</v>
      </c>
      <c r="J229" t="s">
        <v>15</v>
      </c>
      <c r="K229" t="s">
        <v>498</v>
      </c>
    </row>
    <row r="230" spans="1:11" x14ac:dyDescent="0.4">
      <c r="A230">
        <v>1895</v>
      </c>
      <c r="B230" t="s">
        <v>268</v>
      </c>
      <c r="C230" t="s">
        <v>331</v>
      </c>
      <c r="D230" t="s">
        <v>15</v>
      </c>
      <c r="E230" t="s">
        <v>498</v>
      </c>
      <c r="H230" t="s">
        <v>332</v>
      </c>
      <c r="I230" t="s">
        <v>333</v>
      </c>
      <c r="J230" t="s">
        <v>15</v>
      </c>
      <c r="K230" t="s">
        <v>498</v>
      </c>
    </row>
    <row r="231" spans="1:11" x14ac:dyDescent="0.4">
      <c r="A231">
        <v>1895</v>
      </c>
      <c r="B231" t="s">
        <v>10</v>
      </c>
      <c r="C231" t="s">
        <v>48</v>
      </c>
      <c r="D231" t="s">
        <v>15</v>
      </c>
      <c r="E231" t="s">
        <v>498</v>
      </c>
      <c r="G231">
        <v>95</v>
      </c>
      <c r="H231" t="s">
        <v>72</v>
      </c>
      <c r="I231" t="s">
        <v>71</v>
      </c>
      <c r="J231" t="s">
        <v>15</v>
      </c>
      <c r="K231" t="s">
        <v>498</v>
      </c>
    </row>
    <row r="232" spans="1:11" x14ac:dyDescent="0.4">
      <c r="A232">
        <v>1894</v>
      </c>
      <c r="B232" t="s">
        <v>268</v>
      </c>
      <c r="C232" t="s">
        <v>323</v>
      </c>
      <c r="D232" t="s">
        <v>15</v>
      </c>
      <c r="E232" t="s">
        <v>498</v>
      </c>
      <c r="H232" t="s">
        <v>328</v>
      </c>
      <c r="I232" t="s">
        <v>345</v>
      </c>
      <c r="J232" t="s">
        <v>15</v>
      </c>
      <c r="K232" t="s">
        <v>498</v>
      </c>
    </row>
    <row r="233" spans="1:11" x14ac:dyDescent="0.4">
      <c r="A233">
        <v>1894</v>
      </c>
      <c r="B233" t="s">
        <v>10</v>
      </c>
      <c r="C233" t="s">
        <v>50</v>
      </c>
      <c r="D233" t="s">
        <v>15</v>
      </c>
      <c r="E233" t="s">
        <v>498</v>
      </c>
      <c r="G233">
        <v>117</v>
      </c>
      <c r="H233" t="s">
        <v>51</v>
      </c>
      <c r="I233" t="s">
        <v>48</v>
      </c>
      <c r="J233" t="s">
        <v>15</v>
      </c>
      <c r="K233" t="s">
        <v>498</v>
      </c>
    </row>
    <row r="234" spans="1:11" x14ac:dyDescent="0.4">
      <c r="A234">
        <v>1893</v>
      </c>
      <c r="B234" t="s">
        <v>268</v>
      </c>
      <c r="C234" t="s">
        <v>327</v>
      </c>
      <c r="D234" t="s">
        <v>15</v>
      </c>
      <c r="E234" t="s">
        <v>498</v>
      </c>
      <c r="H234" t="s">
        <v>330</v>
      </c>
      <c r="I234" t="s">
        <v>323</v>
      </c>
      <c r="J234" t="s">
        <v>15</v>
      </c>
      <c r="K234" t="s">
        <v>498</v>
      </c>
    </row>
    <row r="235" spans="1:11" x14ac:dyDescent="0.4">
      <c r="A235">
        <v>1893</v>
      </c>
      <c r="B235" t="s">
        <v>10</v>
      </c>
      <c r="C235" t="s">
        <v>50</v>
      </c>
      <c r="D235" t="s">
        <v>15</v>
      </c>
      <c r="E235" t="s">
        <v>498</v>
      </c>
      <c r="G235">
        <v>65</v>
      </c>
      <c r="H235" t="s">
        <v>52</v>
      </c>
      <c r="I235" t="s">
        <v>48</v>
      </c>
      <c r="J235" t="s">
        <v>15</v>
      </c>
      <c r="K235" t="s">
        <v>498</v>
      </c>
    </row>
    <row r="236" spans="1:11" x14ac:dyDescent="0.4">
      <c r="A236">
        <v>1892</v>
      </c>
      <c r="B236" t="s">
        <v>268</v>
      </c>
      <c r="C236" t="s">
        <v>327</v>
      </c>
      <c r="D236" t="s">
        <v>15</v>
      </c>
      <c r="E236" t="s">
        <v>498</v>
      </c>
      <c r="H236" t="s">
        <v>328</v>
      </c>
      <c r="I236" t="s">
        <v>323</v>
      </c>
      <c r="J236" t="s">
        <v>15</v>
      </c>
      <c r="K236" t="s">
        <v>498</v>
      </c>
    </row>
    <row r="237" spans="1:11" x14ac:dyDescent="0.4">
      <c r="A237">
        <v>1892</v>
      </c>
      <c r="B237" t="s">
        <v>10</v>
      </c>
      <c r="C237" t="s">
        <v>48</v>
      </c>
      <c r="D237" t="s">
        <v>15</v>
      </c>
      <c r="E237" t="s">
        <v>498</v>
      </c>
      <c r="G237">
        <v>75</v>
      </c>
      <c r="H237" t="s">
        <v>68</v>
      </c>
      <c r="I237" t="s">
        <v>50</v>
      </c>
      <c r="J237" t="s">
        <v>15</v>
      </c>
      <c r="K237" t="s">
        <v>498</v>
      </c>
    </row>
    <row r="238" spans="1:11" x14ac:dyDescent="0.4">
      <c r="A238">
        <v>1891</v>
      </c>
      <c r="B238" t="s">
        <v>268</v>
      </c>
      <c r="C238" t="s">
        <v>327</v>
      </c>
      <c r="D238" t="s">
        <v>15</v>
      </c>
      <c r="E238" t="s">
        <v>498</v>
      </c>
      <c r="H238" t="s">
        <v>329</v>
      </c>
      <c r="I238" t="s">
        <v>323</v>
      </c>
      <c r="J238" t="s">
        <v>15</v>
      </c>
      <c r="K238" t="s">
        <v>498</v>
      </c>
    </row>
    <row r="239" spans="1:11" x14ac:dyDescent="0.4">
      <c r="A239">
        <v>1891</v>
      </c>
      <c r="B239" t="s">
        <v>10</v>
      </c>
      <c r="C239" t="s">
        <v>48</v>
      </c>
      <c r="D239" t="s">
        <v>15</v>
      </c>
      <c r="E239" t="s">
        <v>498</v>
      </c>
      <c r="H239" t="s">
        <v>70</v>
      </c>
      <c r="I239" t="s">
        <v>69</v>
      </c>
      <c r="J239" t="s">
        <v>15</v>
      </c>
      <c r="K239" t="s">
        <v>498</v>
      </c>
    </row>
    <row r="240" spans="1:11" x14ac:dyDescent="0.4">
      <c r="A240">
        <v>1890</v>
      </c>
      <c r="B240" t="s">
        <v>268</v>
      </c>
      <c r="C240" t="s">
        <v>347</v>
      </c>
      <c r="D240" t="s">
        <v>15</v>
      </c>
      <c r="E240" t="s">
        <v>498</v>
      </c>
      <c r="H240" t="s">
        <v>348</v>
      </c>
      <c r="I240" t="s">
        <v>349</v>
      </c>
      <c r="J240" t="s">
        <v>15</v>
      </c>
      <c r="K240" t="s">
        <v>498</v>
      </c>
    </row>
    <row r="241" spans="1:11" x14ac:dyDescent="0.4">
      <c r="A241">
        <v>1890</v>
      </c>
      <c r="B241" t="s">
        <v>10</v>
      </c>
      <c r="C241" t="s">
        <v>81</v>
      </c>
      <c r="D241" t="s">
        <v>15</v>
      </c>
      <c r="E241" t="s">
        <v>498</v>
      </c>
      <c r="G241">
        <v>96</v>
      </c>
      <c r="H241" t="s">
        <v>82</v>
      </c>
      <c r="I241" t="s">
        <v>73</v>
      </c>
      <c r="J241" t="s">
        <v>15</v>
      </c>
      <c r="K241" t="s">
        <v>498</v>
      </c>
    </row>
    <row r="242" spans="1:11" x14ac:dyDescent="0.4">
      <c r="A242">
        <v>1889</v>
      </c>
      <c r="B242" t="s">
        <v>268</v>
      </c>
      <c r="C242" t="s">
        <v>323</v>
      </c>
      <c r="D242" t="s">
        <v>15</v>
      </c>
      <c r="E242" t="s">
        <v>498</v>
      </c>
      <c r="H242" t="s">
        <v>346</v>
      </c>
      <c r="I242" t="s">
        <v>347</v>
      </c>
      <c r="J242" t="s">
        <v>15</v>
      </c>
      <c r="K242" t="s">
        <v>498</v>
      </c>
    </row>
    <row r="243" spans="1:11" x14ac:dyDescent="0.4">
      <c r="A243">
        <v>1889</v>
      </c>
      <c r="B243" t="s">
        <v>10</v>
      </c>
      <c r="C243" t="s">
        <v>73</v>
      </c>
      <c r="D243" t="s">
        <v>15</v>
      </c>
      <c r="E243" t="s">
        <v>498</v>
      </c>
      <c r="G243">
        <v>63</v>
      </c>
      <c r="H243" t="s">
        <v>79</v>
      </c>
      <c r="I243" t="s">
        <v>40</v>
      </c>
      <c r="J243" t="s">
        <v>15</v>
      </c>
      <c r="K243" t="s">
        <v>498</v>
      </c>
    </row>
    <row r="244" spans="1:11" x14ac:dyDescent="0.4">
      <c r="A244">
        <v>1888</v>
      </c>
      <c r="B244" t="s">
        <v>268</v>
      </c>
      <c r="C244" t="s">
        <v>327</v>
      </c>
      <c r="D244" t="s">
        <v>15</v>
      </c>
      <c r="E244" t="s">
        <v>498</v>
      </c>
      <c r="H244" t="s">
        <v>325</v>
      </c>
      <c r="I244" t="s">
        <v>323</v>
      </c>
      <c r="J244" t="s">
        <v>15</v>
      </c>
      <c r="K244" t="s">
        <v>498</v>
      </c>
    </row>
    <row r="245" spans="1:11" x14ac:dyDescent="0.4">
      <c r="A245">
        <v>1888</v>
      </c>
      <c r="B245" t="s">
        <v>10</v>
      </c>
      <c r="C245" t="s">
        <v>40</v>
      </c>
      <c r="D245" t="s">
        <v>15</v>
      </c>
      <c r="E245" t="s">
        <v>498</v>
      </c>
      <c r="G245">
        <v>51</v>
      </c>
      <c r="H245" t="s">
        <v>53</v>
      </c>
      <c r="I245" t="s">
        <v>39</v>
      </c>
      <c r="J245" t="s">
        <v>15</v>
      </c>
      <c r="K245" t="s">
        <v>498</v>
      </c>
    </row>
    <row r="246" spans="1:11" x14ac:dyDescent="0.4">
      <c r="A246">
        <v>1887</v>
      </c>
      <c r="B246" t="s">
        <v>268</v>
      </c>
      <c r="C246" t="s">
        <v>327</v>
      </c>
      <c r="D246" t="s">
        <v>15</v>
      </c>
      <c r="E246" t="s">
        <v>498</v>
      </c>
      <c r="H246" t="s">
        <v>302</v>
      </c>
      <c r="I246" t="s">
        <v>324</v>
      </c>
      <c r="J246" t="s">
        <v>15</v>
      </c>
      <c r="K246" t="s">
        <v>498</v>
      </c>
    </row>
    <row r="247" spans="1:11" x14ac:dyDescent="0.4">
      <c r="A247">
        <v>1887</v>
      </c>
      <c r="B247" t="s">
        <v>10</v>
      </c>
      <c r="C247" t="s">
        <v>39</v>
      </c>
      <c r="D247" t="s">
        <v>15</v>
      </c>
      <c r="E247" t="s">
        <v>498</v>
      </c>
      <c r="G247">
        <v>120</v>
      </c>
      <c r="H247" t="s">
        <v>41</v>
      </c>
      <c r="I247" t="s">
        <v>40</v>
      </c>
      <c r="J247" t="s">
        <v>15</v>
      </c>
      <c r="K247" t="s">
        <v>498</v>
      </c>
    </row>
    <row r="248" spans="1:11" x14ac:dyDescent="0.4">
      <c r="A248">
        <v>1886</v>
      </c>
      <c r="B248" t="s">
        <v>268</v>
      </c>
      <c r="C248" t="s">
        <v>324</v>
      </c>
      <c r="D248" t="s">
        <v>15</v>
      </c>
      <c r="E248" t="s">
        <v>498</v>
      </c>
      <c r="H248" t="s">
        <v>325</v>
      </c>
      <c r="I248" t="s">
        <v>326</v>
      </c>
      <c r="J248" t="s">
        <v>15</v>
      </c>
      <c r="K248" t="s">
        <v>498</v>
      </c>
    </row>
    <row r="249" spans="1:11" x14ac:dyDescent="0.4">
      <c r="A249">
        <v>1886</v>
      </c>
      <c r="B249" t="s">
        <v>10</v>
      </c>
      <c r="C249" t="s">
        <v>73</v>
      </c>
      <c r="D249" t="s">
        <v>15</v>
      </c>
      <c r="E249" t="s">
        <v>498</v>
      </c>
      <c r="G249">
        <v>96</v>
      </c>
      <c r="H249" t="s">
        <v>74</v>
      </c>
      <c r="I249" t="s">
        <v>39</v>
      </c>
      <c r="J249" t="s">
        <v>15</v>
      </c>
      <c r="K249" t="s">
        <v>498</v>
      </c>
    </row>
    <row r="250" spans="1:11" x14ac:dyDescent="0.4">
      <c r="A250">
        <v>1885</v>
      </c>
      <c r="B250" t="s">
        <v>268</v>
      </c>
      <c r="C250" t="s">
        <v>352</v>
      </c>
      <c r="D250" t="s">
        <v>15</v>
      </c>
      <c r="E250" t="s">
        <v>498</v>
      </c>
      <c r="H250" t="s">
        <v>353</v>
      </c>
      <c r="I250" t="s">
        <v>354</v>
      </c>
      <c r="J250" t="s">
        <v>15</v>
      </c>
      <c r="K250" t="s">
        <v>498</v>
      </c>
    </row>
    <row r="251" spans="1:11" x14ac:dyDescent="0.4">
      <c r="A251">
        <v>1885</v>
      </c>
      <c r="B251" t="s">
        <v>10</v>
      </c>
      <c r="C251" t="s">
        <v>73</v>
      </c>
      <c r="D251" t="s">
        <v>15</v>
      </c>
      <c r="E251" t="s">
        <v>498</v>
      </c>
      <c r="G251">
        <v>122</v>
      </c>
      <c r="H251" t="s">
        <v>76</v>
      </c>
      <c r="I251" t="s">
        <v>39</v>
      </c>
      <c r="J251" t="s">
        <v>15</v>
      </c>
      <c r="K251" t="s">
        <v>498</v>
      </c>
    </row>
    <row r="252" spans="1:11" x14ac:dyDescent="0.4">
      <c r="A252">
        <v>1884</v>
      </c>
      <c r="B252" t="s">
        <v>268</v>
      </c>
      <c r="C252" t="s">
        <v>352</v>
      </c>
      <c r="D252" t="s">
        <v>15</v>
      </c>
      <c r="E252" t="s">
        <v>498</v>
      </c>
      <c r="H252" t="s">
        <v>355</v>
      </c>
      <c r="I252" t="s">
        <v>356</v>
      </c>
      <c r="J252" t="s">
        <v>15</v>
      </c>
      <c r="K252" t="s">
        <v>498</v>
      </c>
    </row>
    <row r="253" spans="1:11" x14ac:dyDescent="0.4">
      <c r="A253">
        <v>1884</v>
      </c>
      <c r="B253" t="s">
        <v>10</v>
      </c>
      <c r="C253" t="s">
        <v>73</v>
      </c>
      <c r="D253" t="s">
        <v>15</v>
      </c>
      <c r="E253" t="s">
        <v>498</v>
      </c>
      <c r="G253">
        <v>69</v>
      </c>
      <c r="H253" t="s">
        <v>75</v>
      </c>
      <c r="I253" t="s">
        <v>39</v>
      </c>
      <c r="J253" t="s">
        <v>15</v>
      </c>
      <c r="K253" t="s">
        <v>498</v>
      </c>
    </row>
    <row r="254" spans="1:11" x14ac:dyDescent="0.4">
      <c r="A254">
        <v>1883</v>
      </c>
      <c r="B254" t="s">
        <v>10</v>
      </c>
      <c r="C254" t="s">
        <v>73</v>
      </c>
      <c r="D254" t="s">
        <v>15</v>
      </c>
      <c r="E254" t="s">
        <v>498</v>
      </c>
      <c r="G254">
        <v>89</v>
      </c>
      <c r="H254" t="s">
        <v>77</v>
      </c>
      <c r="I254" t="s">
        <v>40</v>
      </c>
      <c r="J254" t="s">
        <v>15</v>
      </c>
      <c r="K254" t="s">
        <v>498</v>
      </c>
    </row>
    <row r="255" spans="1:11" x14ac:dyDescent="0.4">
      <c r="A255">
        <v>1882</v>
      </c>
      <c r="B255" t="s">
        <v>10</v>
      </c>
      <c r="C255" t="s">
        <v>73</v>
      </c>
      <c r="D255" t="s">
        <v>15</v>
      </c>
      <c r="E255" t="s">
        <v>498</v>
      </c>
      <c r="G255">
        <v>85</v>
      </c>
      <c r="H255" t="s">
        <v>78</v>
      </c>
      <c r="I255" t="s">
        <v>40</v>
      </c>
      <c r="J255" t="s">
        <v>15</v>
      </c>
      <c r="K255" t="s">
        <v>498</v>
      </c>
    </row>
    <row r="256" spans="1:11" x14ac:dyDescent="0.4">
      <c r="A256">
        <v>1881</v>
      </c>
      <c r="B256" t="s">
        <v>10</v>
      </c>
      <c r="C256" t="s">
        <v>73</v>
      </c>
      <c r="D256" t="s">
        <v>15</v>
      </c>
      <c r="E256" t="s">
        <v>498</v>
      </c>
      <c r="G256">
        <v>37</v>
      </c>
      <c r="H256" t="s">
        <v>80</v>
      </c>
      <c r="I256" t="s">
        <v>54</v>
      </c>
      <c r="J256" t="s">
        <v>15</v>
      </c>
      <c r="K256" t="s">
        <v>498</v>
      </c>
    </row>
    <row r="257" spans="1:11" x14ac:dyDescent="0.4">
      <c r="A257">
        <v>1880</v>
      </c>
      <c r="B257" t="s">
        <v>10</v>
      </c>
      <c r="C257" t="s">
        <v>54</v>
      </c>
      <c r="D257" t="s">
        <v>15</v>
      </c>
      <c r="E257" t="s">
        <v>498</v>
      </c>
      <c r="H257" t="s">
        <v>55</v>
      </c>
      <c r="I257" t="s">
        <v>39</v>
      </c>
      <c r="J257" t="s">
        <v>15</v>
      </c>
      <c r="K257" t="s">
        <v>498</v>
      </c>
    </row>
    <row r="258" spans="1:11" x14ac:dyDescent="0.4">
      <c r="A258">
        <v>1879</v>
      </c>
      <c r="B258" t="s">
        <v>10</v>
      </c>
      <c r="C258" t="s">
        <v>54</v>
      </c>
      <c r="D258" t="s">
        <v>15</v>
      </c>
      <c r="E258" t="s">
        <v>498</v>
      </c>
      <c r="H258" t="s">
        <v>57</v>
      </c>
      <c r="I258" t="s">
        <v>56</v>
      </c>
      <c r="J258" t="s">
        <v>15</v>
      </c>
      <c r="K258" t="s">
        <v>498</v>
      </c>
    </row>
    <row r="259" spans="1:11" x14ac:dyDescent="0.4">
      <c r="A259">
        <v>1878</v>
      </c>
      <c r="B259" t="s">
        <v>10</v>
      </c>
      <c r="C259" t="s">
        <v>58</v>
      </c>
      <c r="D259" t="s">
        <v>15</v>
      </c>
      <c r="E259" t="s">
        <v>498</v>
      </c>
      <c r="H259" t="s">
        <v>60</v>
      </c>
      <c r="I259" t="s">
        <v>59</v>
      </c>
      <c r="J259" t="s">
        <v>15</v>
      </c>
      <c r="K259" t="s">
        <v>498</v>
      </c>
    </row>
    <row r="260" spans="1:11" x14ac:dyDescent="0.4">
      <c r="A260">
        <v>1877</v>
      </c>
      <c r="B260" t="s">
        <v>10</v>
      </c>
      <c r="C260" t="s">
        <v>59</v>
      </c>
      <c r="D260" t="s">
        <v>15</v>
      </c>
      <c r="E260" t="s">
        <v>498</v>
      </c>
      <c r="G260">
        <v>48</v>
      </c>
      <c r="H260" t="s">
        <v>67</v>
      </c>
      <c r="I260" t="s">
        <v>66</v>
      </c>
      <c r="J260" t="s">
        <v>15</v>
      </c>
      <c r="K260" t="s">
        <v>498</v>
      </c>
    </row>
  </sheetData>
  <sortState xmlns:xlrd2="http://schemas.microsoft.com/office/spreadsheetml/2017/richdata2" ref="A2:L260">
    <sortCondition descending="1" ref="A2:A260"/>
    <sortCondition descending="1" ref="B2:B260"/>
  </sortState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0"/>
  <sheetViews>
    <sheetView workbookViewId="0">
      <pane ySplit="1" topLeftCell="A2" activePane="bottomLeft" state="frozen"/>
      <selection pane="bottomLeft" activeCell="C16" sqref="C16"/>
    </sheetView>
  </sheetViews>
  <sheetFormatPr defaultRowHeight="14.6" x14ac:dyDescent="0.4"/>
  <cols>
    <col min="1" max="1" width="5" bestFit="1" customWidth="1"/>
    <col min="2" max="2" width="12.4609375" customWidth="1"/>
    <col min="3" max="3" width="17.69140625" customWidth="1"/>
    <col min="4" max="4" width="15" bestFit="1" customWidth="1"/>
    <col min="5" max="5" width="6.4609375" customWidth="1"/>
    <col min="6" max="6" width="30.4609375" bestFit="1" customWidth="1"/>
    <col min="7" max="7" width="20.69140625" bestFit="1" customWidth="1"/>
    <col min="8" max="8" width="15.4609375" bestFit="1" customWidth="1"/>
  </cols>
  <sheetData>
    <row r="1" spans="1:8" x14ac:dyDescent="0.4">
      <c r="A1" s="15" t="s">
        <v>9</v>
      </c>
      <c r="B1" s="15" t="s">
        <v>0</v>
      </c>
      <c r="C1" s="15" t="s">
        <v>1</v>
      </c>
      <c r="D1" s="15" t="s">
        <v>8</v>
      </c>
      <c r="E1" s="15" t="s">
        <v>2</v>
      </c>
      <c r="F1" s="15" t="s">
        <v>6</v>
      </c>
      <c r="G1" s="15" t="s">
        <v>5</v>
      </c>
      <c r="H1" s="15" t="s">
        <v>7</v>
      </c>
    </row>
    <row r="2" spans="1:8" x14ac:dyDescent="0.4">
      <c r="A2">
        <v>2019</v>
      </c>
      <c r="B2" t="s">
        <v>268</v>
      </c>
      <c r="C2" t="s">
        <v>471</v>
      </c>
      <c r="D2">
        <v>7</v>
      </c>
      <c r="E2">
        <v>56</v>
      </c>
      <c r="F2" t="s">
        <v>473</v>
      </c>
      <c r="G2" t="s">
        <v>416</v>
      </c>
      <c r="H2">
        <v>11</v>
      </c>
    </row>
    <row r="3" spans="1:8" x14ac:dyDescent="0.4">
      <c r="A3">
        <v>2019</v>
      </c>
      <c r="B3" t="s">
        <v>10</v>
      </c>
      <c r="C3" t="s">
        <v>129</v>
      </c>
      <c r="D3">
        <v>1</v>
      </c>
      <c r="E3">
        <v>297</v>
      </c>
      <c r="F3" t="s">
        <v>470</v>
      </c>
      <c r="G3" t="s">
        <v>132</v>
      </c>
      <c r="H3">
        <v>2</v>
      </c>
    </row>
    <row r="4" spans="1:8" x14ac:dyDescent="0.4">
      <c r="A4">
        <v>2018</v>
      </c>
      <c r="B4" t="s">
        <v>268</v>
      </c>
      <c r="C4" t="s">
        <v>476</v>
      </c>
      <c r="D4">
        <v>11</v>
      </c>
      <c r="E4">
        <v>65</v>
      </c>
      <c r="F4" t="s">
        <v>477</v>
      </c>
      <c r="G4" t="s">
        <v>416</v>
      </c>
      <c r="H4">
        <v>25</v>
      </c>
    </row>
    <row r="5" spans="1:8" x14ac:dyDescent="0.4">
      <c r="A5">
        <v>2018</v>
      </c>
      <c r="B5" t="s">
        <v>10</v>
      </c>
      <c r="C5" t="s">
        <v>129</v>
      </c>
      <c r="D5">
        <v>12</v>
      </c>
      <c r="E5">
        <v>170</v>
      </c>
      <c r="F5" t="s">
        <v>475</v>
      </c>
      <c r="G5" t="s">
        <v>474</v>
      </c>
      <c r="H5">
        <v>8</v>
      </c>
    </row>
    <row r="6" spans="1:8" x14ac:dyDescent="0.4">
      <c r="A6">
        <v>2017</v>
      </c>
      <c r="B6" t="s">
        <v>268</v>
      </c>
      <c r="C6" t="s">
        <v>481</v>
      </c>
      <c r="D6">
        <v>14</v>
      </c>
      <c r="E6">
        <v>77</v>
      </c>
      <c r="F6" t="s">
        <v>482</v>
      </c>
      <c r="G6" t="s">
        <v>755</v>
      </c>
      <c r="H6">
        <v>10</v>
      </c>
    </row>
    <row r="7" spans="1:8" x14ac:dyDescent="0.4">
      <c r="A7">
        <v>2017</v>
      </c>
      <c r="B7" t="s">
        <v>10</v>
      </c>
      <c r="C7" t="s">
        <v>132</v>
      </c>
      <c r="D7">
        <v>3</v>
      </c>
      <c r="E7">
        <v>101</v>
      </c>
      <c r="F7" t="s">
        <v>478</v>
      </c>
      <c r="G7" t="s">
        <v>479</v>
      </c>
      <c r="H7">
        <v>7</v>
      </c>
    </row>
    <row r="8" spans="1:8" x14ac:dyDescent="0.4">
      <c r="A8">
        <v>2016</v>
      </c>
      <c r="B8" t="s">
        <v>268</v>
      </c>
      <c r="C8" t="s">
        <v>416</v>
      </c>
      <c r="D8">
        <v>1</v>
      </c>
      <c r="E8">
        <v>83</v>
      </c>
      <c r="F8" t="s">
        <v>427</v>
      </c>
      <c r="G8" t="s">
        <v>428</v>
      </c>
      <c r="H8">
        <v>4</v>
      </c>
    </row>
    <row r="9" spans="1:8" x14ac:dyDescent="0.4">
      <c r="A9">
        <v>2016</v>
      </c>
      <c r="B9" t="s">
        <v>10</v>
      </c>
      <c r="C9" t="s">
        <v>203</v>
      </c>
      <c r="D9">
        <v>2</v>
      </c>
      <c r="E9">
        <v>170</v>
      </c>
      <c r="F9" t="s">
        <v>207</v>
      </c>
      <c r="G9" t="s">
        <v>206</v>
      </c>
      <c r="H9">
        <v>6</v>
      </c>
    </row>
    <row r="10" spans="1:8" x14ac:dyDescent="0.4">
      <c r="A10">
        <v>2015</v>
      </c>
      <c r="B10" t="s">
        <v>268</v>
      </c>
      <c r="C10" t="s">
        <v>416</v>
      </c>
      <c r="D10">
        <v>1</v>
      </c>
      <c r="E10">
        <v>83</v>
      </c>
      <c r="F10" t="s">
        <v>321</v>
      </c>
      <c r="G10" t="s">
        <v>417</v>
      </c>
      <c r="H10">
        <v>20</v>
      </c>
    </row>
    <row r="11" spans="1:8" x14ac:dyDescent="0.4">
      <c r="A11">
        <v>2015</v>
      </c>
      <c r="B11" t="s">
        <v>10</v>
      </c>
      <c r="C11" t="s">
        <v>129</v>
      </c>
      <c r="D11">
        <v>1</v>
      </c>
      <c r="E11">
        <v>176</v>
      </c>
      <c r="F11" t="s">
        <v>133</v>
      </c>
      <c r="G11" t="s">
        <v>132</v>
      </c>
      <c r="H11">
        <v>2</v>
      </c>
    </row>
    <row r="12" spans="1:8" x14ac:dyDescent="0.4">
      <c r="A12">
        <v>2014</v>
      </c>
      <c r="B12" t="s">
        <v>268</v>
      </c>
      <c r="C12" t="s">
        <v>291</v>
      </c>
      <c r="D12">
        <v>6</v>
      </c>
      <c r="E12">
        <v>55</v>
      </c>
      <c r="F12" t="s">
        <v>292</v>
      </c>
      <c r="G12" t="s">
        <v>293</v>
      </c>
      <c r="H12">
        <v>13</v>
      </c>
    </row>
    <row r="13" spans="1:8" x14ac:dyDescent="0.4">
      <c r="A13">
        <v>2014</v>
      </c>
      <c r="B13" t="s">
        <v>10</v>
      </c>
      <c r="C13" t="s">
        <v>129</v>
      </c>
      <c r="D13">
        <v>1</v>
      </c>
      <c r="E13">
        <v>236</v>
      </c>
      <c r="F13" t="s">
        <v>134</v>
      </c>
      <c r="G13" t="s">
        <v>132</v>
      </c>
      <c r="H13">
        <v>4</v>
      </c>
    </row>
    <row r="14" spans="1:8" x14ac:dyDescent="0.4">
      <c r="A14">
        <v>2013</v>
      </c>
      <c r="B14" t="s">
        <v>268</v>
      </c>
      <c r="C14" t="s">
        <v>314</v>
      </c>
      <c r="D14">
        <v>15</v>
      </c>
      <c r="E14">
        <v>81</v>
      </c>
      <c r="F14" t="s">
        <v>315</v>
      </c>
      <c r="G14" t="s">
        <v>316</v>
      </c>
      <c r="H14">
        <v>23</v>
      </c>
    </row>
    <row r="15" spans="1:8" x14ac:dyDescent="0.4">
      <c r="A15">
        <v>2013</v>
      </c>
      <c r="B15" t="s">
        <v>10</v>
      </c>
      <c r="C15" t="s">
        <v>203</v>
      </c>
      <c r="D15">
        <v>2</v>
      </c>
      <c r="E15">
        <v>134</v>
      </c>
      <c r="F15" t="s">
        <v>204</v>
      </c>
      <c r="G15" t="s">
        <v>129</v>
      </c>
      <c r="H15">
        <v>1</v>
      </c>
    </row>
    <row r="16" spans="1:8" x14ac:dyDescent="0.4">
      <c r="A16">
        <v>2012</v>
      </c>
      <c r="B16" t="s">
        <v>268</v>
      </c>
      <c r="C16" t="s">
        <v>416</v>
      </c>
      <c r="D16">
        <v>6</v>
      </c>
      <c r="E16">
        <v>122</v>
      </c>
      <c r="F16" t="s">
        <v>466</v>
      </c>
      <c r="G16" t="s">
        <v>467</v>
      </c>
      <c r="H16">
        <v>3</v>
      </c>
    </row>
    <row r="17" spans="1:8" x14ac:dyDescent="0.4">
      <c r="A17">
        <v>2012</v>
      </c>
      <c r="B17" t="s">
        <v>10</v>
      </c>
      <c r="C17" t="s">
        <v>132</v>
      </c>
      <c r="D17">
        <v>3</v>
      </c>
      <c r="E17">
        <v>204</v>
      </c>
      <c r="F17" t="s">
        <v>230</v>
      </c>
      <c r="G17" t="s">
        <v>203</v>
      </c>
      <c r="H17">
        <v>4</v>
      </c>
    </row>
    <row r="18" spans="1:8" x14ac:dyDescent="0.4">
      <c r="A18">
        <v>2011</v>
      </c>
      <c r="B18" t="s">
        <v>268</v>
      </c>
      <c r="C18" t="s">
        <v>294</v>
      </c>
      <c r="D18">
        <v>8</v>
      </c>
      <c r="E18">
        <v>85</v>
      </c>
      <c r="F18" t="s">
        <v>295</v>
      </c>
      <c r="G18" t="s">
        <v>297</v>
      </c>
      <c r="H18">
        <v>5</v>
      </c>
    </row>
    <row r="19" spans="1:8" x14ac:dyDescent="0.4">
      <c r="A19">
        <v>2011</v>
      </c>
      <c r="B19" t="s">
        <v>10</v>
      </c>
      <c r="C19" t="s">
        <v>129</v>
      </c>
      <c r="D19">
        <v>2</v>
      </c>
      <c r="E19">
        <v>148</v>
      </c>
      <c r="F19" t="s">
        <v>208</v>
      </c>
      <c r="G19" t="s">
        <v>136</v>
      </c>
      <c r="H19">
        <v>1</v>
      </c>
    </row>
    <row r="20" spans="1:8" x14ac:dyDescent="0.4">
      <c r="A20">
        <v>2010</v>
      </c>
      <c r="B20" t="s">
        <v>268</v>
      </c>
      <c r="C20" t="s">
        <v>416</v>
      </c>
      <c r="D20">
        <v>1</v>
      </c>
      <c r="E20">
        <v>66</v>
      </c>
      <c r="F20" t="s">
        <v>418</v>
      </c>
      <c r="G20" t="s">
        <v>419</v>
      </c>
      <c r="H20">
        <v>21</v>
      </c>
    </row>
    <row r="21" spans="1:8" x14ac:dyDescent="0.4">
      <c r="A21">
        <v>2010</v>
      </c>
      <c r="B21" t="s">
        <v>10</v>
      </c>
      <c r="C21" t="s">
        <v>136</v>
      </c>
      <c r="D21">
        <v>2</v>
      </c>
      <c r="E21">
        <v>133</v>
      </c>
      <c r="F21" t="s">
        <v>200</v>
      </c>
      <c r="G21" t="s">
        <v>199</v>
      </c>
      <c r="H21">
        <v>12</v>
      </c>
    </row>
    <row r="22" spans="1:8" x14ac:dyDescent="0.4">
      <c r="A22">
        <v>2009</v>
      </c>
      <c r="B22" t="s">
        <v>268</v>
      </c>
      <c r="C22" t="s">
        <v>416</v>
      </c>
      <c r="D22">
        <v>2</v>
      </c>
      <c r="E22">
        <v>87</v>
      </c>
      <c r="F22" t="s">
        <v>447</v>
      </c>
      <c r="G22" t="s">
        <v>430</v>
      </c>
      <c r="H22">
        <v>3</v>
      </c>
    </row>
    <row r="23" spans="1:8" x14ac:dyDescent="0.4">
      <c r="A23">
        <v>2009</v>
      </c>
      <c r="B23" t="s">
        <v>10</v>
      </c>
      <c r="C23" t="s">
        <v>132</v>
      </c>
      <c r="D23">
        <v>2</v>
      </c>
      <c r="E23">
        <v>256</v>
      </c>
      <c r="F23" t="s">
        <v>209</v>
      </c>
      <c r="G23" t="s">
        <v>139</v>
      </c>
      <c r="H23">
        <v>6</v>
      </c>
    </row>
    <row r="24" spans="1:8" x14ac:dyDescent="0.4">
      <c r="A24">
        <v>2008</v>
      </c>
      <c r="B24" t="s">
        <v>268</v>
      </c>
      <c r="C24" t="s">
        <v>430</v>
      </c>
      <c r="D24">
        <v>7</v>
      </c>
      <c r="E24">
        <v>111</v>
      </c>
      <c r="F24" t="s">
        <v>359</v>
      </c>
      <c r="G24" t="s">
        <v>416</v>
      </c>
      <c r="H24">
        <v>6</v>
      </c>
    </row>
    <row r="25" spans="1:8" x14ac:dyDescent="0.4">
      <c r="A25">
        <v>2008</v>
      </c>
      <c r="B25" t="s">
        <v>10</v>
      </c>
      <c r="C25" t="s">
        <v>136</v>
      </c>
      <c r="D25">
        <v>2</v>
      </c>
      <c r="E25">
        <v>288</v>
      </c>
      <c r="F25" t="s">
        <v>197</v>
      </c>
      <c r="G25" t="s">
        <v>132</v>
      </c>
      <c r="H25">
        <v>1</v>
      </c>
    </row>
    <row r="26" spans="1:8" x14ac:dyDescent="0.4">
      <c r="A26">
        <v>2007</v>
      </c>
      <c r="B26" t="s">
        <v>268</v>
      </c>
      <c r="C26" t="s">
        <v>430</v>
      </c>
      <c r="D26">
        <v>23</v>
      </c>
      <c r="E26">
        <v>90</v>
      </c>
      <c r="F26" t="s">
        <v>348</v>
      </c>
      <c r="G26" t="s">
        <v>314</v>
      </c>
      <c r="H26">
        <v>18</v>
      </c>
    </row>
    <row r="27" spans="1:8" x14ac:dyDescent="0.4">
      <c r="A27">
        <v>2007</v>
      </c>
      <c r="B27" t="s">
        <v>10</v>
      </c>
      <c r="C27" t="s">
        <v>132</v>
      </c>
      <c r="D27">
        <v>1</v>
      </c>
      <c r="E27">
        <v>225</v>
      </c>
      <c r="F27" t="s">
        <v>138</v>
      </c>
      <c r="G27" t="s">
        <v>136</v>
      </c>
      <c r="H27">
        <v>2</v>
      </c>
    </row>
    <row r="28" spans="1:8" x14ac:dyDescent="0.4">
      <c r="A28">
        <v>2006</v>
      </c>
      <c r="B28" t="s">
        <v>268</v>
      </c>
      <c r="C28" t="s">
        <v>310</v>
      </c>
      <c r="D28">
        <v>1</v>
      </c>
      <c r="E28">
        <v>122</v>
      </c>
      <c r="F28" t="s">
        <v>311</v>
      </c>
      <c r="G28" t="s">
        <v>313</v>
      </c>
      <c r="H28">
        <v>3</v>
      </c>
    </row>
    <row r="29" spans="1:8" x14ac:dyDescent="0.4">
      <c r="A29">
        <v>2006</v>
      </c>
      <c r="B29" t="s">
        <v>10</v>
      </c>
      <c r="C29" t="s">
        <v>132</v>
      </c>
      <c r="D29">
        <v>1</v>
      </c>
      <c r="E29">
        <v>170</v>
      </c>
      <c r="F29" t="s">
        <v>137</v>
      </c>
      <c r="G29" t="s">
        <v>136</v>
      </c>
      <c r="H29">
        <v>2</v>
      </c>
    </row>
    <row r="30" spans="1:8" x14ac:dyDescent="0.4">
      <c r="A30">
        <v>2005</v>
      </c>
      <c r="B30" t="s">
        <v>268</v>
      </c>
      <c r="C30" t="s">
        <v>430</v>
      </c>
      <c r="D30">
        <v>14</v>
      </c>
      <c r="E30">
        <v>166</v>
      </c>
      <c r="F30" t="s">
        <v>440</v>
      </c>
      <c r="G30" t="s">
        <v>441</v>
      </c>
      <c r="H30">
        <v>1</v>
      </c>
    </row>
    <row r="31" spans="1:8" x14ac:dyDescent="0.4">
      <c r="A31">
        <v>2005</v>
      </c>
      <c r="B31" t="s">
        <v>10</v>
      </c>
      <c r="C31" t="s">
        <v>132</v>
      </c>
      <c r="D31">
        <v>1</v>
      </c>
      <c r="E31">
        <v>101</v>
      </c>
      <c r="F31" t="s">
        <v>141</v>
      </c>
      <c r="G31" t="s">
        <v>139</v>
      </c>
      <c r="H31">
        <v>2</v>
      </c>
    </row>
    <row r="32" spans="1:8" x14ac:dyDescent="0.4">
      <c r="A32">
        <v>2004</v>
      </c>
      <c r="B32" t="s">
        <v>268</v>
      </c>
      <c r="C32" t="s">
        <v>297</v>
      </c>
      <c r="D32">
        <v>13</v>
      </c>
      <c r="E32">
        <v>74</v>
      </c>
      <c r="F32" t="s">
        <v>395</v>
      </c>
      <c r="G32" t="s">
        <v>416</v>
      </c>
      <c r="H32">
        <v>1</v>
      </c>
    </row>
    <row r="33" spans="1:8" x14ac:dyDescent="0.4">
      <c r="A33">
        <v>2004</v>
      </c>
      <c r="B33" t="s">
        <v>10</v>
      </c>
      <c r="C33" t="s">
        <v>132</v>
      </c>
      <c r="D33">
        <v>1</v>
      </c>
      <c r="E33">
        <v>151</v>
      </c>
      <c r="F33" t="s">
        <v>140</v>
      </c>
      <c r="G33" t="s">
        <v>139</v>
      </c>
      <c r="H33">
        <v>2</v>
      </c>
    </row>
    <row r="34" spans="1:8" x14ac:dyDescent="0.4">
      <c r="A34">
        <v>2003</v>
      </c>
      <c r="B34" t="s">
        <v>268</v>
      </c>
      <c r="C34" t="s">
        <v>416</v>
      </c>
      <c r="D34">
        <v>1</v>
      </c>
      <c r="E34">
        <v>123</v>
      </c>
      <c r="F34" t="s">
        <v>339</v>
      </c>
      <c r="G34" t="s">
        <v>430</v>
      </c>
      <c r="H34">
        <v>4</v>
      </c>
    </row>
    <row r="35" spans="1:8" x14ac:dyDescent="0.4">
      <c r="A35">
        <v>2003</v>
      </c>
      <c r="B35" t="s">
        <v>10</v>
      </c>
      <c r="C35" t="s">
        <v>132</v>
      </c>
      <c r="D35">
        <v>4</v>
      </c>
      <c r="E35">
        <v>119</v>
      </c>
      <c r="F35" t="s">
        <v>240</v>
      </c>
      <c r="G35" t="s">
        <v>239</v>
      </c>
      <c r="H35" t="s">
        <v>122</v>
      </c>
    </row>
    <row r="36" spans="1:8" x14ac:dyDescent="0.4">
      <c r="A36">
        <v>2002</v>
      </c>
      <c r="B36" t="s">
        <v>268</v>
      </c>
      <c r="C36" t="s">
        <v>416</v>
      </c>
      <c r="D36">
        <v>2</v>
      </c>
      <c r="E36">
        <v>78</v>
      </c>
      <c r="F36" t="s">
        <v>444</v>
      </c>
      <c r="G36" t="s">
        <v>430</v>
      </c>
      <c r="H36">
        <v>1</v>
      </c>
    </row>
    <row r="37" spans="1:8" x14ac:dyDescent="0.4">
      <c r="A37">
        <v>2002</v>
      </c>
      <c r="B37" t="s">
        <v>10</v>
      </c>
      <c r="C37" t="s">
        <v>110</v>
      </c>
      <c r="D37">
        <v>1</v>
      </c>
      <c r="E37">
        <v>116</v>
      </c>
      <c r="F37" t="s">
        <v>113</v>
      </c>
      <c r="G37" t="s">
        <v>112</v>
      </c>
      <c r="H37">
        <v>28</v>
      </c>
    </row>
    <row r="38" spans="1:8" x14ac:dyDescent="0.4">
      <c r="A38">
        <v>2001</v>
      </c>
      <c r="B38" t="s">
        <v>268</v>
      </c>
      <c r="C38" t="s">
        <v>430</v>
      </c>
      <c r="D38">
        <v>2</v>
      </c>
      <c r="E38">
        <v>69</v>
      </c>
      <c r="F38" t="s">
        <v>453</v>
      </c>
      <c r="G38" t="s">
        <v>454</v>
      </c>
      <c r="H38">
        <v>8</v>
      </c>
    </row>
    <row r="39" spans="1:8" x14ac:dyDescent="0.4">
      <c r="A39">
        <v>2001</v>
      </c>
      <c r="B39" t="s">
        <v>10</v>
      </c>
      <c r="C39" t="s">
        <v>154</v>
      </c>
      <c r="E39">
        <v>182</v>
      </c>
      <c r="F39" t="s">
        <v>265</v>
      </c>
      <c r="G39" t="s">
        <v>151</v>
      </c>
      <c r="H39">
        <v>3</v>
      </c>
    </row>
    <row r="40" spans="1:8" x14ac:dyDescent="0.4">
      <c r="A40">
        <v>2000</v>
      </c>
      <c r="B40" t="s">
        <v>268</v>
      </c>
      <c r="C40" t="s">
        <v>430</v>
      </c>
      <c r="D40">
        <v>5</v>
      </c>
      <c r="E40">
        <v>84</v>
      </c>
      <c r="F40" t="s">
        <v>463</v>
      </c>
      <c r="G40" t="s">
        <v>456</v>
      </c>
      <c r="H40">
        <v>2</v>
      </c>
    </row>
    <row r="41" spans="1:8" x14ac:dyDescent="0.4">
      <c r="A41">
        <v>2000</v>
      </c>
      <c r="B41" t="s">
        <v>10</v>
      </c>
      <c r="C41" t="s">
        <v>150</v>
      </c>
      <c r="D41">
        <v>1</v>
      </c>
      <c r="E41">
        <v>182</v>
      </c>
      <c r="F41" t="s">
        <v>152</v>
      </c>
      <c r="G41" t="s">
        <v>151</v>
      </c>
      <c r="H41">
        <v>12</v>
      </c>
    </row>
    <row r="42" spans="1:8" x14ac:dyDescent="0.4">
      <c r="A42">
        <v>1999</v>
      </c>
      <c r="B42" t="s">
        <v>268</v>
      </c>
      <c r="C42" t="s">
        <v>456</v>
      </c>
      <c r="D42">
        <v>3</v>
      </c>
      <c r="E42">
        <v>75</v>
      </c>
      <c r="F42" t="s">
        <v>457</v>
      </c>
      <c r="G42" t="s">
        <v>380</v>
      </c>
      <c r="H42">
        <v>2</v>
      </c>
    </row>
    <row r="43" spans="1:8" x14ac:dyDescent="0.4">
      <c r="A43">
        <v>1999</v>
      </c>
      <c r="B43" t="s">
        <v>10</v>
      </c>
      <c r="C43" t="s">
        <v>150</v>
      </c>
      <c r="D43">
        <v>1</v>
      </c>
      <c r="E43">
        <v>115</v>
      </c>
      <c r="F43" t="s">
        <v>170</v>
      </c>
      <c r="G43" t="s">
        <v>169</v>
      </c>
      <c r="H43">
        <v>4</v>
      </c>
    </row>
    <row r="44" spans="1:8" x14ac:dyDescent="0.4">
      <c r="A44">
        <v>1998</v>
      </c>
      <c r="B44" t="s">
        <v>268</v>
      </c>
      <c r="C44" t="s">
        <v>288</v>
      </c>
      <c r="D44">
        <v>3</v>
      </c>
      <c r="E44">
        <v>94</v>
      </c>
      <c r="F44" t="s">
        <v>289</v>
      </c>
      <c r="G44" t="s">
        <v>290</v>
      </c>
      <c r="H44">
        <v>16</v>
      </c>
    </row>
    <row r="45" spans="1:8" x14ac:dyDescent="0.4">
      <c r="A45">
        <v>1998</v>
      </c>
      <c r="B45" t="s">
        <v>10</v>
      </c>
      <c r="C45" t="s">
        <v>150</v>
      </c>
      <c r="D45">
        <v>1</v>
      </c>
      <c r="E45">
        <v>172</v>
      </c>
      <c r="F45" t="s">
        <v>155</v>
      </c>
      <c r="G45" t="s">
        <v>154</v>
      </c>
      <c r="H45">
        <v>14</v>
      </c>
    </row>
    <row r="46" spans="1:8" x14ac:dyDescent="0.4">
      <c r="A46">
        <v>1997</v>
      </c>
      <c r="B46" t="s">
        <v>268</v>
      </c>
      <c r="C46" t="s">
        <v>396</v>
      </c>
      <c r="D46">
        <v>1</v>
      </c>
      <c r="E46">
        <v>110</v>
      </c>
      <c r="F46" t="s">
        <v>397</v>
      </c>
      <c r="G46" t="s">
        <v>288</v>
      </c>
      <c r="H46">
        <v>3</v>
      </c>
    </row>
    <row r="47" spans="1:8" x14ac:dyDescent="0.4">
      <c r="A47">
        <v>1997</v>
      </c>
      <c r="B47" t="s">
        <v>10</v>
      </c>
      <c r="C47" t="s">
        <v>150</v>
      </c>
      <c r="D47">
        <v>1</v>
      </c>
      <c r="E47">
        <v>94</v>
      </c>
      <c r="F47" t="s">
        <v>179</v>
      </c>
      <c r="G47" t="s">
        <v>178</v>
      </c>
      <c r="H47" t="s">
        <v>122</v>
      </c>
    </row>
    <row r="48" spans="1:8" x14ac:dyDescent="0.4">
      <c r="A48">
        <v>1996</v>
      </c>
      <c r="B48" t="s">
        <v>268</v>
      </c>
      <c r="C48" t="s">
        <v>380</v>
      </c>
      <c r="D48">
        <v>1</v>
      </c>
      <c r="E48">
        <v>88</v>
      </c>
      <c r="F48" t="s">
        <v>387</v>
      </c>
      <c r="G48" t="s">
        <v>384</v>
      </c>
      <c r="H48">
        <v>4</v>
      </c>
    </row>
    <row r="49" spans="1:8" x14ac:dyDescent="0.4">
      <c r="A49">
        <v>1996</v>
      </c>
      <c r="B49" t="s">
        <v>10</v>
      </c>
      <c r="C49" t="s">
        <v>261</v>
      </c>
      <c r="E49">
        <v>94</v>
      </c>
      <c r="F49" t="s">
        <v>264</v>
      </c>
      <c r="G49" t="s">
        <v>263</v>
      </c>
      <c r="H49" t="s">
        <v>122</v>
      </c>
    </row>
    <row r="50" spans="1:8" x14ac:dyDescent="0.4">
      <c r="A50">
        <v>1995</v>
      </c>
      <c r="B50" t="s">
        <v>268</v>
      </c>
      <c r="C50" t="s">
        <v>380</v>
      </c>
      <c r="D50">
        <v>1</v>
      </c>
      <c r="E50">
        <v>122</v>
      </c>
      <c r="F50" t="s">
        <v>383</v>
      </c>
      <c r="G50" t="s">
        <v>384</v>
      </c>
      <c r="H50">
        <v>2</v>
      </c>
    </row>
    <row r="51" spans="1:8" x14ac:dyDescent="0.4">
      <c r="A51">
        <v>1995</v>
      </c>
      <c r="B51" t="s">
        <v>10</v>
      </c>
      <c r="C51" t="s">
        <v>150</v>
      </c>
      <c r="D51">
        <v>2</v>
      </c>
      <c r="E51">
        <v>149</v>
      </c>
      <c r="F51" t="s">
        <v>214</v>
      </c>
      <c r="G51" t="s">
        <v>213</v>
      </c>
      <c r="H51">
        <v>3</v>
      </c>
    </row>
    <row r="52" spans="1:8" x14ac:dyDescent="0.4">
      <c r="A52">
        <v>1994</v>
      </c>
      <c r="B52" t="s">
        <v>268</v>
      </c>
      <c r="C52" t="s">
        <v>298</v>
      </c>
      <c r="D52">
        <v>3</v>
      </c>
      <c r="E52">
        <v>119</v>
      </c>
      <c r="F52" t="s">
        <v>299</v>
      </c>
      <c r="G52" t="s">
        <v>300</v>
      </c>
      <c r="H52">
        <v>4</v>
      </c>
    </row>
    <row r="53" spans="1:8" x14ac:dyDescent="0.4">
      <c r="A53">
        <v>1994</v>
      </c>
      <c r="B53" t="s">
        <v>10</v>
      </c>
      <c r="C53" t="s">
        <v>150</v>
      </c>
      <c r="D53">
        <v>1</v>
      </c>
      <c r="E53">
        <v>115</v>
      </c>
      <c r="F53" t="s">
        <v>168</v>
      </c>
      <c r="G53" t="s">
        <v>154</v>
      </c>
      <c r="H53">
        <v>4</v>
      </c>
    </row>
    <row r="54" spans="1:8" x14ac:dyDescent="0.4">
      <c r="A54">
        <v>1993</v>
      </c>
      <c r="B54" t="s">
        <v>268</v>
      </c>
      <c r="C54" t="s">
        <v>380</v>
      </c>
      <c r="D54">
        <v>1</v>
      </c>
      <c r="E54">
        <v>134</v>
      </c>
      <c r="F54" t="s">
        <v>391</v>
      </c>
      <c r="G54" t="s">
        <v>288</v>
      </c>
      <c r="H54">
        <v>8</v>
      </c>
    </row>
    <row r="55" spans="1:8" x14ac:dyDescent="0.4">
      <c r="A55">
        <v>1993</v>
      </c>
      <c r="B55" t="s">
        <v>10</v>
      </c>
      <c r="C55" t="s">
        <v>150</v>
      </c>
      <c r="D55">
        <v>1</v>
      </c>
      <c r="E55">
        <v>178</v>
      </c>
      <c r="F55" t="s">
        <v>167</v>
      </c>
      <c r="G55" t="s">
        <v>166</v>
      </c>
      <c r="H55">
        <v>3</v>
      </c>
    </row>
    <row r="56" spans="1:8" x14ac:dyDescent="0.4">
      <c r="A56">
        <v>1992</v>
      </c>
      <c r="B56" t="s">
        <v>268</v>
      </c>
      <c r="C56" t="s">
        <v>380</v>
      </c>
      <c r="D56">
        <v>2</v>
      </c>
      <c r="E56">
        <v>58</v>
      </c>
      <c r="F56" t="s">
        <v>392</v>
      </c>
      <c r="G56" t="s">
        <v>394</v>
      </c>
      <c r="H56">
        <v>1</v>
      </c>
    </row>
    <row r="57" spans="1:8" x14ac:dyDescent="0.4">
      <c r="A57">
        <v>1992</v>
      </c>
      <c r="B57" t="s">
        <v>10</v>
      </c>
      <c r="C57" t="s">
        <v>169</v>
      </c>
      <c r="D57">
        <v>12</v>
      </c>
      <c r="E57">
        <v>170</v>
      </c>
      <c r="F57" t="s">
        <v>185</v>
      </c>
      <c r="G57" t="s">
        <v>154</v>
      </c>
      <c r="H57">
        <v>8</v>
      </c>
    </row>
    <row r="58" spans="1:8" x14ac:dyDescent="0.4">
      <c r="A58">
        <v>1991</v>
      </c>
      <c r="B58" t="s">
        <v>268</v>
      </c>
      <c r="C58" t="s">
        <v>380</v>
      </c>
      <c r="D58">
        <v>1</v>
      </c>
      <c r="E58">
        <v>127</v>
      </c>
      <c r="F58" t="s">
        <v>381</v>
      </c>
      <c r="G58" t="s">
        <v>382</v>
      </c>
      <c r="H58">
        <v>2</v>
      </c>
    </row>
    <row r="59" spans="1:8" x14ac:dyDescent="0.4">
      <c r="A59">
        <v>1991</v>
      </c>
      <c r="B59" t="s">
        <v>10</v>
      </c>
      <c r="C59" t="s">
        <v>248</v>
      </c>
      <c r="D59">
        <v>6</v>
      </c>
      <c r="E59">
        <v>153</v>
      </c>
      <c r="F59" t="s">
        <v>249</v>
      </c>
      <c r="G59" t="s">
        <v>213</v>
      </c>
      <c r="H59">
        <v>2</v>
      </c>
    </row>
    <row r="60" spans="1:8" x14ac:dyDescent="0.4">
      <c r="A60">
        <v>1990</v>
      </c>
      <c r="B60" t="s">
        <v>268</v>
      </c>
      <c r="C60" t="s">
        <v>300</v>
      </c>
      <c r="D60">
        <v>2</v>
      </c>
      <c r="E60">
        <v>75</v>
      </c>
      <c r="F60" t="s">
        <v>279</v>
      </c>
      <c r="G60" t="s">
        <v>452</v>
      </c>
      <c r="H60">
        <v>5</v>
      </c>
    </row>
    <row r="61" spans="1:8" x14ac:dyDescent="0.4">
      <c r="A61">
        <v>1990</v>
      </c>
      <c r="B61" t="s">
        <v>10</v>
      </c>
      <c r="C61" t="s">
        <v>228</v>
      </c>
      <c r="D61">
        <v>3</v>
      </c>
      <c r="E61">
        <v>178</v>
      </c>
      <c r="F61" t="s">
        <v>231</v>
      </c>
      <c r="G61" t="s">
        <v>213</v>
      </c>
      <c r="H61">
        <v>2</v>
      </c>
    </row>
    <row r="62" spans="1:8" x14ac:dyDescent="0.4">
      <c r="A62">
        <v>1989</v>
      </c>
      <c r="B62" t="s">
        <v>268</v>
      </c>
      <c r="C62" t="s">
        <v>380</v>
      </c>
      <c r="D62">
        <v>1</v>
      </c>
      <c r="E62">
        <v>92</v>
      </c>
      <c r="F62" t="s">
        <v>386</v>
      </c>
      <c r="G62" t="s">
        <v>300</v>
      </c>
      <c r="H62">
        <v>2</v>
      </c>
    </row>
    <row r="63" spans="1:8" x14ac:dyDescent="0.4">
      <c r="A63">
        <v>1989</v>
      </c>
      <c r="B63" t="s">
        <v>10</v>
      </c>
      <c r="C63" t="s">
        <v>213</v>
      </c>
      <c r="D63">
        <v>3</v>
      </c>
      <c r="E63">
        <v>132</v>
      </c>
      <c r="F63" t="s">
        <v>229</v>
      </c>
      <c r="G63" t="s">
        <v>228</v>
      </c>
      <c r="H63">
        <v>2</v>
      </c>
    </row>
    <row r="64" spans="1:8" x14ac:dyDescent="0.4">
      <c r="A64">
        <v>1988</v>
      </c>
      <c r="B64" t="s">
        <v>268</v>
      </c>
      <c r="C64" t="s">
        <v>380</v>
      </c>
      <c r="D64">
        <v>1</v>
      </c>
      <c r="E64">
        <v>93</v>
      </c>
      <c r="F64" t="s">
        <v>385</v>
      </c>
      <c r="G64" t="s">
        <v>300</v>
      </c>
      <c r="H64">
        <v>2</v>
      </c>
    </row>
    <row r="65" spans="1:8" x14ac:dyDescent="0.4">
      <c r="A65">
        <v>1988</v>
      </c>
      <c r="B65" t="s">
        <v>10</v>
      </c>
      <c r="C65" t="s">
        <v>228</v>
      </c>
      <c r="D65">
        <v>3</v>
      </c>
      <c r="E65">
        <v>170</v>
      </c>
      <c r="F65" t="s">
        <v>232</v>
      </c>
      <c r="G65" t="s">
        <v>213</v>
      </c>
      <c r="H65">
        <v>6</v>
      </c>
    </row>
    <row r="66" spans="1:8" x14ac:dyDescent="0.4">
      <c r="A66">
        <v>1987</v>
      </c>
      <c r="B66" t="s">
        <v>268</v>
      </c>
      <c r="C66" t="s">
        <v>300</v>
      </c>
      <c r="D66">
        <v>1</v>
      </c>
      <c r="E66">
        <v>69</v>
      </c>
      <c r="F66" t="s">
        <v>403</v>
      </c>
      <c r="G66" t="s">
        <v>380</v>
      </c>
      <c r="H66">
        <v>2</v>
      </c>
    </row>
    <row r="67" spans="1:8" x14ac:dyDescent="0.4">
      <c r="A67">
        <v>1987</v>
      </c>
      <c r="B67" t="s">
        <v>10</v>
      </c>
      <c r="C67" t="s">
        <v>180</v>
      </c>
      <c r="D67">
        <v>11</v>
      </c>
      <c r="E67">
        <v>165</v>
      </c>
      <c r="F67" t="s">
        <v>183</v>
      </c>
      <c r="G67" t="s">
        <v>182</v>
      </c>
      <c r="H67">
        <v>2</v>
      </c>
    </row>
    <row r="68" spans="1:8" x14ac:dyDescent="0.4">
      <c r="A68">
        <v>1986</v>
      </c>
      <c r="B68" t="s">
        <v>268</v>
      </c>
      <c r="C68" t="s">
        <v>300</v>
      </c>
      <c r="D68">
        <v>1</v>
      </c>
      <c r="E68">
        <v>72</v>
      </c>
      <c r="F68" t="s">
        <v>420</v>
      </c>
      <c r="G68" t="s">
        <v>405</v>
      </c>
      <c r="H68">
        <v>3</v>
      </c>
    </row>
    <row r="69" spans="1:8" x14ac:dyDescent="0.4">
      <c r="A69">
        <v>1986</v>
      </c>
      <c r="B69" t="s">
        <v>10</v>
      </c>
      <c r="C69" t="s">
        <v>213</v>
      </c>
      <c r="D69">
        <v>4</v>
      </c>
      <c r="E69">
        <v>122</v>
      </c>
      <c r="F69" t="s">
        <v>238</v>
      </c>
      <c r="G69" t="s">
        <v>182</v>
      </c>
      <c r="H69">
        <v>1</v>
      </c>
    </row>
    <row r="70" spans="1:8" x14ac:dyDescent="0.4">
      <c r="A70">
        <v>1985</v>
      </c>
      <c r="B70" t="s">
        <v>268</v>
      </c>
      <c r="C70" t="s">
        <v>300</v>
      </c>
      <c r="D70">
        <v>1</v>
      </c>
      <c r="E70">
        <v>107</v>
      </c>
      <c r="F70" t="s">
        <v>398</v>
      </c>
      <c r="G70" t="s">
        <v>282</v>
      </c>
      <c r="H70">
        <v>1</v>
      </c>
    </row>
    <row r="71" spans="1:8" x14ac:dyDescent="0.4">
      <c r="A71">
        <v>1985</v>
      </c>
      <c r="B71" t="s">
        <v>10</v>
      </c>
      <c r="C71" t="s">
        <v>213</v>
      </c>
      <c r="E71">
        <v>198</v>
      </c>
      <c r="F71" t="s">
        <v>267</v>
      </c>
      <c r="G71" t="s">
        <v>266</v>
      </c>
      <c r="H71">
        <v>8</v>
      </c>
    </row>
    <row r="72" spans="1:8" x14ac:dyDescent="0.4">
      <c r="A72">
        <v>1984</v>
      </c>
      <c r="B72" t="s">
        <v>268</v>
      </c>
      <c r="C72" t="s">
        <v>300</v>
      </c>
      <c r="D72">
        <v>1</v>
      </c>
      <c r="E72">
        <v>84</v>
      </c>
      <c r="F72" t="s">
        <v>412</v>
      </c>
      <c r="G72" t="s">
        <v>282</v>
      </c>
      <c r="H72">
        <v>2</v>
      </c>
    </row>
    <row r="73" spans="1:8" x14ac:dyDescent="0.4">
      <c r="A73">
        <v>1984</v>
      </c>
      <c r="B73" t="s">
        <v>10</v>
      </c>
      <c r="C73" t="s">
        <v>144</v>
      </c>
      <c r="D73">
        <v>1</v>
      </c>
      <c r="E73">
        <v>80</v>
      </c>
      <c r="F73" t="s">
        <v>165</v>
      </c>
      <c r="G73" t="s">
        <v>146</v>
      </c>
      <c r="H73">
        <v>3</v>
      </c>
    </row>
    <row r="74" spans="1:8" x14ac:dyDescent="0.4">
      <c r="A74">
        <v>1983</v>
      </c>
      <c r="B74" t="s">
        <v>268</v>
      </c>
      <c r="C74" t="s">
        <v>300</v>
      </c>
      <c r="D74">
        <v>1</v>
      </c>
      <c r="E74">
        <v>54</v>
      </c>
      <c r="F74" t="s">
        <v>421</v>
      </c>
      <c r="G74" t="s">
        <v>422</v>
      </c>
      <c r="H74">
        <v>3</v>
      </c>
    </row>
    <row r="75" spans="1:8" x14ac:dyDescent="0.4">
      <c r="A75">
        <v>1983</v>
      </c>
      <c r="B75" t="s">
        <v>10</v>
      </c>
      <c r="C75" t="s">
        <v>144</v>
      </c>
      <c r="D75">
        <v>2</v>
      </c>
      <c r="E75">
        <v>85</v>
      </c>
      <c r="F75" t="s">
        <v>223</v>
      </c>
      <c r="G75" t="s">
        <v>222</v>
      </c>
      <c r="H75" t="s">
        <v>122</v>
      </c>
    </row>
    <row r="76" spans="1:8" x14ac:dyDescent="0.4">
      <c r="A76">
        <v>1982</v>
      </c>
      <c r="B76" t="s">
        <v>268</v>
      </c>
      <c r="C76" t="s">
        <v>300</v>
      </c>
      <c r="D76">
        <v>1</v>
      </c>
      <c r="E76">
        <v>87</v>
      </c>
      <c r="F76" t="s">
        <v>410</v>
      </c>
      <c r="G76" t="s">
        <v>282</v>
      </c>
      <c r="H76">
        <v>2</v>
      </c>
    </row>
    <row r="77" spans="1:8" x14ac:dyDescent="0.4">
      <c r="A77">
        <v>1982</v>
      </c>
      <c r="B77" t="s">
        <v>10</v>
      </c>
      <c r="C77" t="s">
        <v>146</v>
      </c>
      <c r="D77">
        <v>2</v>
      </c>
      <c r="E77">
        <v>256</v>
      </c>
      <c r="F77" t="s">
        <v>212</v>
      </c>
      <c r="G77" t="s">
        <v>144</v>
      </c>
      <c r="H77">
        <v>1</v>
      </c>
    </row>
    <row r="78" spans="1:8" x14ac:dyDescent="0.4">
      <c r="A78">
        <v>1981</v>
      </c>
      <c r="B78" t="s">
        <v>268</v>
      </c>
      <c r="C78" t="s">
        <v>282</v>
      </c>
      <c r="D78">
        <v>1</v>
      </c>
      <c r="E78">
        <v>60</v>
      </c>
      <c r="F78" t="s">
        <v>404</v>
      </c>
      <c r="G78" t="s">
        <v>405</v>
      </c>
      <c r="H78">
        <v>2</v>
      </c>
    </row>
    <row r="79" spans="1:8" x14ac:dyDescent="0.4">
      <c r="A79">
        <v>1981</v>
      </c>
      <c r="B79" t="s">
        <v>10</v>
      </c>
      <c r="C79" t="s">
        <v>144</v>
      </c>
      <c r="D79">
        <v>2</v>
      </c>
      <c r="E79">
        <v>202</v>
      </c>
      <c r="F79" t="s">
        <v>211</v>
      </c>
      <c r="G79" t="s">
        <v>142</v>
      </c>
      <c r="H79">
        <v>1</v>
      </c>
    </row>
    <row r="80" spans="1:8" x14ac:dyDescent="0.4">
      <c r="A80">
        <v>1980</v>
      </c>
      <c r="B80" t="s">
        <v>268</v>
      </c>
      <c r="C80" t="s">
        <v>280</v>
      </c>
      <c r="D80">
        <v>4</v>
      </c>
      <c r="E80">
        <v>93</v>
      </c>
      <c r="F80" t="s">
        <v>281</v>
      </c>
      <c r="G80" t="s">
        <v>282</v>
      </c>
      <c r="H80">
        <v>3</v>
      </c>
    </row>
    <row r="81" spans="1:8" x14ac:dyDescent="0.4">
      <c r="A81">
        <v>1980</v>
      </c>
      <c r="B81" t="s">
        <v>10</v>
      </c>
      <c r="C81" t="s">
        <v>142</v>
      </c>
      <c r="D81">
        <v>1</v>
      </c>
      <c r="E81">
        <v>233</v>
      </c>
      <c r="F81" t="s">
        <v>145</v>
      </c>
      <c r="G81" t="s">
        <v>144</v>
      </c>
      <c r="H81">
        <v>2</v>
      </c>
    </row>
    <row r="82" spans="1:8" x14ac:dyDescent="0.4">
      <c r="A82">
        <v>1979</v>
      </c>
      <c r="B82" t="s">
        <v>268</v>
      </c>
      <c r="C82" t="s">
        <v>300</v>
      </c>
      <c r="D82">
        <v>1</v>
      </c>
      <c r="E82">
        <v>60</v>
      </c>
      <c r="F82" t="s">
        <v>411</v>
      </c>
      <c r="G82" t="s">
        <v>282</v>
      </c>
      <c r="H82">
        <v>2</v>
      </c>
    </row>
    <row r="83" spans="1:8" x14ac:dyDescent="0.4">
      <c r="A83">
        <v>1979</v>
      </c>
      <c r="B83" t="s">
        <v>10</v>
      </c>
      <c r="C83" t="s">
        <v>142</v>
      </c>
      <c r="D83">
        <v>1</v>
      </c>
      <c r="E83">
        <v>169</v>
      </c>
      <c r="F83" t="s">
        <v>149</v>
      </c>
      <c r="G83" t="s">
        <v>148</v>
      </c>
      <c r="H83">
        <v>5</v>
      </c>
    </row>
    <row r="84" spans="1:8" x14ac:dyDescent="0.4">
      <c r="A84">
        <v>1978</v>
      </c>
      <c r="B84" t="s">
        <v>268</v>
      </c>
      <c r="C84" t="s">
        <v>300</v>
      </c>
      <c r="D84">
        <v>2</v>
      </c>
      <c r="E84">
        <v>102</v>
      </c>
      <c r="F84" t="s">
        <v>443</v>
      </c>
      <c r="G84" t="s">
        <v>399</v>
      </c>
      <c r="H84">
        <v>1</v>
      </c>
    </row>
    <row r="85" spans="1:8" x14ac:dyDescent="0.4">
      <c r="A85">
        <v>1978</v>
      </c>
      <c r="B85" t="s">
        <v>10</v>
      </c>
      <c r="C85" t="s">
        <v>142</v>
      </c>
      <c r="D85">
        <v>1</v>
      </c>
      <c r="E85">
        <v>108</v>
      </c>
      <c r="F85" t="s">
        <v>147</v>
      </c>
      <c r="G85" t="s">
        <v>146</v>
      </c>
      <c r="H85">
        <v>2</v>
      </c>
    </row>
    <row r="86" spans="1:8" x14ac:dyDescent="0.4">
      <c r="A86">
        <v>1977</v>
      </c>
      <c r="B86" t="s">
        <v>268</v>
      </c>
      <c r="C86" t="s">
        <v>369</v>
      </c>
      <c r="D86">
        <v>3</v>
      </c>
      <c r="E86">
        <v>98</v>
      </c>
      <c r="F86" t="s">
        <v>370</v>
      </c>
      <c r="G86" t="s">
        <v>371</v>
      </c>
      <c r="H86">
        <v>7</v>
      </c>
    </row>
    <row r="87" spans="1:8" x14ac:dyDescent="0.4">
      <c r="A87">
        <v>1977</v>
      </c>
      <c r="B87" t="s">
        <v>10</v>
      </c>
      <c r="C87" t="s">
        <v>142</v>
      </c>
      <c r="D87">
        <v>2</v>
      </c>
      <c r="E87">
        <v>194</v>
      </c>
      <c r="F87" t="s">
        <v>210</v>
      </c>
      <c r="G87" t="s">
        <v>146</v>
      </c>
      <c r="H87">
        <v>1</v>
      </c>
    </row>
    <row r="88" spans="1:8" x14ac:dyDescent="0.4">
      <c r="A88">
        <v>1976</v>
      </c>
      <c r="B88" t="s">
        <v>268</v>
      </c>
      <c r="C88" t="s">
        <v>399</v>
      </c>
      <c r="D88">
        <v>1</v>
      </c>
      <c r="E88">
        <v>120</v>
      </c>
      <c r="F88" t="s">
        <v>400</v>
      </c>
      <c r="G88" t="s">
        <v>280</v>
      </c>
      <c r="H88">
        <v>2</v>
      </c>
    </row>
    <row r="89" spans="1:8" x14ac:dyDescent="0.4">
      <c r="A89">
        <v>1976</v>
      </c>
      <c r="B89" t="s">
        <v>10</v>
      </c>
      <c r="C89" t="s">
        <v>142</v>
      </c>
      <c r="D89">
        <v>4</v>
      </c>
      <c r="E89">
        <v>110</v>
      </c>
      <c r="F89" t="s">
        <v>241</v>
      </c>
      <c r="G89" t="s">
        <v>161</v>
      </c>
      <c r="H89">
        <v>3</v>
      </c>
    </row>
    <row r="90" spans="1:8" x14ac:dyDescent="0.4">
      <c r="A90">
        <v>1975</v>
      </c>
      <c r="B90" t="s">
        <v>268</v>
      </c>
      <c r="C90" t="s">
        <v>271</v>
      </c>
      <c r="D90">
        <v>3</v>
      </c>
      <c r="E90">
        <v>38</v>
      </c>
      <c r="F90" t="s">
        <v>458</v>
      </c>
      <c r="G90" t="s">
        <v>280</v>
      </c>
      <c r="H90">
        <v>4</v>
      </c>
    </row>
    <row r="91" spans="1:8" x14ac:dyDescent="0.4">
      <c r="A91">
        <v>1975</v>
      </c>
      <c r="B91" t="s">
        <v>10</v>
      </c>
      <c r="C91" t="s">
        <v>250</v>
      </c>
      <c r="D91">
        <v>6</v>
      </c>
      <c r="E91">
        <v>125</v>
      </c>
      <c r="F91" t="s">
        <v>251</v>
      </c>
      <c r="G91" t="s">
        <v>146</v>
      </c>
      <c r="H91">
        <v>1</v>
      </c>
    </row>
    <row r="92" spans="1:8" x14ac:dyDescent="0.4">
      <c r="A92">
        <v>1974</v>
      </c>
      <c r="B92" t="s">
        <v>268</v>
      </c>
      <c r="C92" t="s">
        <v>399</v>
      </c>
      <c r="D92">
        <v>2</v>
      </c>
      <c r="E92">
        <v>59</v>
      </c>
      <c r="F92" t="s">
        <v>361</v>
      </c>
      <c r="G92" t="s">
        <v>455</v>
      </c>
      <c r="H92">
        <v>8</v>
      </c>
    </row>
    <row r="93" spans="1:8" x14ac:dyDescent="0.4">
      <c r="A93">
        <v>1974</v>
      </c>
      <c r="B93" t="s">
        <v>10</v>
      </c>
      <c r="C93" t="s">
        <v>146</v>
      </c>
      <c r="D93">
        <v>3</v>
      </c>
      <c r="E93">
        <v>93</v>
      </c>
      <c r="F93" t="s">
        <v>233</v>
      </c>
      <c r="G93" t="s">
        <v>101</v>
      </c>
      <c r="H93">
        <v>9</v>
      </c>
    </row>
    <row r="94" spans="1:8" x14ac:dyDescent="0.4">
      <c r="A94">
        <v>1973</v>
      </c>
      <c r="B94" t="s">
        <v>268</v>
      </c>
      <c r="C94" t="s">
        <v>271</v>
      </c>
      <c r="D94">
        <v>2</v>
      </c>
      <c r="E94">
        <v>53</v>
      </c>
      <c r="F94" t="s">
        <v>449</v>
      </c>
      <c r="G94" t="s">
        <v>399</v>
      </c>
      <c r="H94">
        <v>4</v>
      </c>
    </row>
    <row r="95" spans="1:8" x14ac:dyDescent="0.4">
      <c r="A95">
        <v>1973</v>
      </c>
      <c r="B95" t="s">
        <v>10</v>
      </c>
      <c r="C95" t="s">
        <v>193</v>
      </c>
      <c r="D95">
        <v>2</v>
      </c>
      <c r="E95">
        <v>110</v>
      </c>
      <c r="F95" t="s">
        <v>196</v>
      </c>
      <c r="G95" t="s">
        <v>195</v>
      </c>
      <c r="H95">
        <v>4</v>
      </c>
    </row>
    <row r="96" spans="1:8" x14ac:dyDescent="0.4">
      <c r="A96">
        <v>1972</v>
      </c>
      <c r="B96" t="s">
        <v>268</v>
      </c>
      <c r="C96" t="s">
        <v>271</v>
      </c>
      <c r="D96">
        <v>2</v>
      </c>
      <c r="E96">
        <v>50</v>
      </c>
      <c r="F96" t="s">
        <v>442</v>
      </c>
      <c r="G96" t="s">
        <v>278</v>
      </c>
      <c r="H96">
        <v>1</v>
      </c>
    </row>
    <row r="97" spans="1:8" x14ac:dyDescent="0.4">
      <c r="A97">
        <v>1972</v>
      </c>
      <c r="B97" t="s">
        <v>10</v>
      </c>
      <c r="C97" t="s">
        <v>159</v>
      </c>
      <c r="D97">
        <v>1</v>
      </c>
      <c r="E97">
        <v>161</v>
      </c>
      <c r="F97" t="s">
        <v>162</v>
      </c>
      <c r="G97" t="s">
        <v>161</v>
      </c>
      <c r="H97">
        <v>2</v>
      </c>
    </row>
    <row r="98" spans="1:8" x14ac:dyDescent="0.4">
      <c r="A98">
        <v>1971</v>
      </c>
      <c r="B98" t="s">
        <v>268</v>
      </c>
      <c r="C98" t="s">
        <v>278</v>
      </c>
      <c r="D98">
        <v>3</v>
      </c>
      <c r="E98">
        <v>62</v>
      </c>
      <c r="F98" t="s">
        <v>279</v>
      </c>
      <c r="G98" t="s">
        <v>269</v>
      </c>
      <c r="H98">
        <v>1</v>
      </c>
    </row>
    <row r="99" spans="1:8" x14ac:dyDescent="0.4">
      <c r="A99">
        <v>1971</v>
      </c>
      <c r="B99" t="s">
        <v>10</v>
      </c>
      <c r="C99" t="s">
        <v>117</v>
      </c>
      <c r="D99">
        <v>2</v>
      </c>
      <c r="E99">
        <v>170</v>
      </c>
      <c r="F99" t="s">
        <v>189</v>
      </c>
      <c r="G99" t="s">
        <v>159</v>
      </c>
      <c r="H99">
        <v>4</v>
      </c>
    </row>
    <row r="100" spans="1:8" x14ac:dyDescent="0.4">
      <c r="A100">
        <v>1970</v>
      </c>
      <c r="B100" t="s">
        <v>268</v>
      </c>
      <c r="C100" t="s">
        <v>269</v>
      </c>
      <c r="D100">
        <v>1</v>
      </c>
      <c r="E100">
        <v>148</v>
      </c>
      <c r="F100" t="s">
        <v>270</v>
      </c>
      <c r="G100" t="s">
        <v>271</v>
      </c>
      <c r="H100">
        <v>2</v>
      </c>
    </row>
    <row r="101" spans="1:8" x14ac:dyDescent="0.4">
      <c r="A101">
        <v>1970</v>
      </c>
      <c r="B101" t="s">
        <v>10</v>
      </c>
      <c r="C101" t="s">
        <v>117</v>
      </c>
      <c r="D101">
        <v>2</v>
      </c>
      <c r="E101">
        <v>163</v>
      </c>
      <c r="F101" t="s">
        <v>190</v>
      </c>
      <c r="G101" t="s">
        <v>101</v>
      </c>
      <c r="H101">
        <v>5</v>
      </c>
    </row>
    <row r="102" spans="1:8" x14ac:dyDescent="0.4">
      <c r="A102">
        <v>1969</v>
      </c>
      <c r="B102" t="s">
        <v>268</v>
      </c>
      <c r="C102" t="s">
        <v>372</v>
      </c>
      <c r="D102">
        <v>4</v>
      </c>
      <c r="E102">
        <v>71</v>
      </c>
      <c r="F102" t="s">
        <v>373</v>
      </c>
      <c r="G102" t="s">
        <v>271</v>
      </c>
      <c r="H102">
        <v>2</v>
      </c>
    </row>
    <row r="103" spans="1:8" x14ac:dyDescent="0.4">
      <c r="A103">
        <v>1969</v>
      </c>
      <c r="B103" t="s">
        <v>10</v>
      </c>
      <c r="C103" t="s">
        <v>96</v>
      </c>
      <c r="D103">
        <v>1</v>
      </c>
      <c r="E103">
        <v>136</v>
      </c>
      <c r="F103" t="s">
        <v>118</v>
      </c>
      <c r="G103" t="s">
        <v>117</v>
      </c>
      <c r="H103">
        <v>6</v>
      </c>
    </row>
    <row r="104" spans="1:8" x14ac:dyDescent="0.4">
      <c r="A104">
        <v>1968</v>
      </c>
      <c r="B104" t="s">
        <v>268</v>
      </c>
      <c r="C104" t="s">
        <v>271</v>
      </c>
      <c r="D104">
        <v>1</v>
      </c>
      <c r="E104">
        <v>69</v>
      </c>
      <c r="F104" t="s">
        <v>436</v>
      </c>
      <c r="G104" t="s">
        <v>437</v>
      </c>
      <c r="H104">
        <v>7</v>
      </c>
    </row>
    <row r="105" spans="1:8" x14ac:dyDescent="0.4">
      <c r="A105">
        <v>1968</v>
      </c>
      <c r="B105" t="s">
        <v>10</v>
      </c>
      <c r="C105" t="s">
        <v>96</v>
      </c>
      <c r="D105">
        <v>1</v>
      </c>
      <c r="E105">
        <v>60</v>
      </c>
      <c r="F105" t="s">
        <v>17</v>
      </c>
      <c r="G105" t="s">
        <v>97</v>
      </c>
      <c r="H105">
        <v>15</v>
      </c>
    </row>
    <row r="106" spans="1:8" x14ac:dyDescent="0.4">
      <c r="A106">
        <v>1967</v>
      </c>
      <c r="B106" t="s">
        <v>268</v>
      </c>
      <c r="C106" t="s">
        <v>271</v>
      </c>
      <c r="D106">
        <v>1</v>
      </c>
      <c r="E106">
        <v>60</v>
      </c>
      <c r="F106" t="s">
        <v>273</v>
      </c>
      <c r="G106" t="s">
        <v>372</v>
      </c>
      <c r="H106">
        <v>3</v>
      </c>
    </row>
    <row r="107" spans="1:8" x14ac:dyDescent="0.4">
      <c r="A107">
        <v>1967</v>
      </c>
      <c r="B107" t="s">
        <v>10</v>
      </c>
      <c r="C107" t="s">
        <v>117</v>
      </c>
      <c r="D107">
        <v>3</v>
      </c>
      <c r="E107">
        <v>71</v>
      </c>
      <c r="F107" t="s">
        <v>227</v>
      </c>
      <c r="G107" t="s">
        <v>226</v>
      </c>
      <c r="H107" t="s">
        <v>122</v>
      </c>
    </row>
    <row r="108" spans="1:8" x14ac:dyDescent="0.4">
      <c r="A108">
        <v>1966</v>
      </c>
      <c r="B108" t="s">
        <v>268</v>
      </c>
      <c r="C108" t="s">
        <v>271</v>
      </c>
      <c r="D108">
        <v>4</v>
      </c>
      <c r="E108">
        <v>68</v>
      </c>
      <c r="F108" t="s">
        <v>461</v>
      </c>
      <c r="G108" t="s">
        <v>277</v>
      </c>
      <c r="H108">
        <v>2</v>
      </c>
    </row>
    <row r="109" spans="1:8" x14ac:dyDescent="0.4">
      <c r="A109">
        <v>1966</v>
      </c>
      <c r="B109" t="s">
        <v>10</v>
      </c>
      <c r="C109" t="s">
        <v>234</v>
      </c>
      <c r="D109">
        <v>4</v>
      </c>
      <c r="E109">
        <v>104</v>
      </c>
      <c r="F109" t="s">
        <v>236</v>
      </c>
      <c r="G109" t="s">
        <v>235</v>
      </c>
      <c r="H109">
        <v>6</v>
      </c>
    </row>
    <row r="110" spans="1:8" x14ac:dyDescent="0.4">
      <c r="A110">
        <v>1965</v>
      </c>
      <c r="B110" t="s">
        <v>268</v>
      </c>
      <c r="C110" t="s">
        <v>272</v>
      </c>
      <c r="D110">
        <v>2</v>
      </c>
      <c r="E110">
        <v>56</v>
      </c>
      <c r="F110" t="s">
        <v>275</v>
      </c>
      <c r="G110" t="s">
        <v>277</v>
      </c>
      <c r="H110">
        <v>1</v>
      </c>
    </row>
    <row r="111" spans="1:8" x14ac:dyDescent="0.4">
      <c r="A111">
        <v>1965</v>
      </c>
      <c r="B111" t="s">
        <v>10</v>
      </c>
      <c r="C111" t="s">
        <v>103</v>
      </c>
      <c r="D111">
        <v>1</v>
      </c>
      <c r="E111">
        <v>67</v>
      </c>
      <c r="F111" t="s">
        <v>105</v>
      </c>
      <c r="G111" t="s">
        <v>104</v>
      </c>
      <c r="H111">
        <v>2</v>
      </c>
    </row>
    <row r="112" spans="1:8" x14ac:dyDescent="0.4">
      <c r="A112">
        <v>1964</v>
      </c>
      <c r="B112" t="s">
        <v>268</v>
      </c>
      <c r="C112" t="s">
        <v>277</v>
      </c>
      <c r="D112">
        <v>2</v>
      </c>
      <c r="E112">
        <v>90</v>
      </c>
      <c r="F112" t="s">
        <v>285</v>
      </c>
      <c r="G112" t="s">
        <v>272</v>
      </c>
      <c r="H112">
        <v>1</v>
      </c>
    </row>
    <row r="113" spans="1:8" x14ac:dyDescent="0.4">
      <c r="A113">
        <v>1964</v>
      </c>
      <c r="B113" t="s">
        <v>10</v>
      </c>
      <c r="C113" t="s">
        <v>103</v>
      </c>
      <c r="D113">
        <v>1</v>
      </c>
      <c r="E113">
        <v>127</v>
      </c>
      <c r="F113" t="s">
        <v>119</v>
      </c>
      <c r="G113" t="s">
        <v>104</v>
      </c>
      <c r="H113">
        <v>6</v>
      </c>
    </row>
    <row r="114" spans="1:8" x14ac:dyDescent="0.4">
      <c r="A114">
        <v>1963</v>
      </c>
      <c r="B114" t="s">
        <v>268</v>
      </c>
      <c r="C114" t="s">
        <v>272</v>
      </c>
      <c r="D114">
        <v>1</v>
      </c>
      <c r="E114">
        <v>51</v>
      </c>
      <c r="F114" t="s">
        <v>273</v>
      </c>
      <c r="G114" t="s">
        <v>274</v>
      </c>
    </row>
    <row r="115" spans="1:8" x14ac:dyDescent="0.4">
      <c r="A115">
        <v>1963</v>
      </c>
      <c r="B115" t="s">
        <v>10</v>
      </c>
      <c r="C115" t="s">
        <v>191</v>
      </c>
      <c r="D115">
        <v>4</v>
      </c>
      <c r="E115">
        <v>78</v>
      </c>
      <c r="F115" t="s">
        <v>242</v>
      </c>
      <c r="G115" t="s">
        <v>104</v>
      </c>
      <c r="H115" t="s">
        <v>122</v>
      </c>
    </row>
    <row r="116" spans="1:8" x14ac:dyDescent="0.4">
      <c r="A116">
        <v>1962</v>
      </c>
      <c r="B116" t="s">
        <v>268</v>
      </c>
      <c r="C116" t="s">
        <v>468</v>
      </c>
      <c r="D116">
        <v>8</v>
      </c>
      <c r="E116">
        <v>57</v>
      </c>
      <c r="F116" t="s">
        <v>411</v>
      </c>
      <c r="G116" t="s">
        <v>469</v>
      </c>
    </row>
    <row r="117" spans="1:8" x14ac:dyDescent="0.4">
      <c r="A117">
        <v>1962</v>
      </c>
      <c r="B117" t="s">
        <v>10</v>
      </c>
      <c r="C117" t="s">
        <v>96</v>
      </c>
      <c r="D117">
        <v>1</v>
      </c>
      <c r="E117">
        <v>51</v>
      </c>
      <c r="F117" t="s">
        <v>121</v>
      </c>
      <c r="G117" t="s">
        <v>120</v>
      </c>
      <c r="H117" t="s">
        <v>122</v>
      </c>
    </row>
    <row r="118" spans="1:8" x14ac:dyDescent="0.4">
      <c r="A118">
        <v>1961</v>
      </c>
      <c r="B118" t="s">
        <v>268</v>
      </c>
      <c r="C118" t="s">
        <v>377</v>
      </c>
      <c r="D118">
        <v>7</v>
      </c>
      <c r="E118">
        <v>96</v>
      </c>
      <c r="F118" t="s">
        <v>378</v>
      </c>
      <c r="G118" t="s">
        <v>379</v>
      </c>
      <c r="H118">
        <v>6</v>
      </c>
    </row>
    <row r="119" spans="1:8" x14ac:dyDescent="0.4">
      <c r="A119">
        <v>1961</v>
      </c>
      <c r="B119" t="s">
        <v>10</v>
      </c>
      <c r="C119" t="s">
        <v>96</v>
      </c>
      <c r="D119">
        <v>2</v>
      </c>
      <c r="E119">
        <v>55</v>
      </c>
      <c r="F119" t="s">
        <v>192</v>
      </c>
      <c r="G119" t="s">
        <v>191</v>
      </c>
      <c r="H119">
        <v>8</v>
      </c>
    </row>
    <row r="120" spans="1:8" x14ac:dyDescent="0.4">
      <c r="A120">
        <v>1960</v>
      </c>
      <c r="B120" t="s">
        <v>268</v>
      </c>
      <c r="C120" t="s">
        <v>277</v>
      </c>
      <c r="D120">
        <v>1</v>
      </c>
      <c r="E120">
        <v>59</v>
      </c>
      <c r="F120" t="s">
        <v>283</v>
      </c>
      <c r="G120" t="s">
        <v>284</v>
      </c>
      <c r="H120">
        <v>8</v>
      </c>
    </row>
    <row r="121" spans="1:8" x14ac:dyDescent="0.4">
      <c r="A121">
        <v>1960</v>
      </c>
      <c r="B121" t="s">
        <v>10</v>
      </c>
      <c r="C121" t="s">
        <v>114</v>
      </c>
      <c r="D121">
        <v>1</v>
      </c>
      <c r="E121">
        <v>130</v>
      </c>
      <c r="F121" t="s">
        <v>115</v>
      </c>
      <c r="G121" t="s">
        <v>96</v>
      </c>
      <c r="H121">
        <v>3</v>
      </c>
    </row>
    <row r="122" spans="1:8" x14ac:dyDescent="0.4">
      <c r="A122">
        <v>1959</v>
      </c>
      <c r="B122" t="s">
        <v>268</v>
      </c>
      <c r="C122" t="s">
        <v>277</v>
      </c>
      <c r="D122">
        <v>6</v>
      </c>
      <c r="E122">
        <v>43</v>
      </c>
      <c r="F122" t="s">
        <v>286</v>
      </c>
      <c r="G122" t="s">
        <v>287</v>
      </c>
      <c r="H122">
        <v>4</v>
      </c>
    </row>
    <row r="123" spans="1:8" x14ac:dyDescent="0.4">
      <c r="A123">
        <v>1959</v>
      </c>
      <c r="B123" t="s">
        <v>10</v>
      </c>
      <c r="C123" t="s">
        <v>173</v>
      </c>
      <c r="D123">
        <v>1</v>
      </c>
      <c r="E123">
        <v>71</v>
      </c>
      <c r="F123" t="s">
        <v>124</v>
      </c>
      <c r="G123" t="s">
        <v>96</v>
      </c>
      <c r="H123" t="s">
        <v>122</v>
      </c>
    </row>
    <row r="124" spans="1:8" x14ac:dyDescent="0.4">
      <c r="A124">
        <v>1958</v>
      </c>
      <c r="B124" t="s">
        <v>268</v>
      </c>
      <c r="C124" t="s">
        <v>431</v>
      </c>
      <c r="D124">
        <v>1</v>
      </c>
      <c r="E124">
        <v>62</v>
      </c>
      <c r="F124" t="s">
        <v>438</v>
      </c>
      <c r="G124" t="s">
        <v>377</v>
      </c>
    </row>
    <row r="125" spans="1:8" x14ac:dyDescent="0.4">
      <c r="A125">
        <v>1958</v>
      </c>
      <c r="B125" t="s">
        <v>10</v>
      </c>
      <c r="C125" t="s">
        <v>99</v>
      </c>
      <c r="D125">
        <v>1</v>
      </c>
      <c r="E125">
        <v>130</v>
      </c>
      <c r="F125" t="s">
        <v>116</v>
      </c>
      <c r="G125" t="s">
        <v>114</v>
      </c>
      <c r="H125">
        <v>4</v>
      </c>
    </row>
    <row r="126" spans="1:8" x14ac:dyDescent="0.4">
      <c r="A126">
        <v>1957</v>
      </c>
      <c r="B126" t="s">
        <v>268</v>
      </c>
      <c r="C126" t="s">
        <v>431</v>
      </c>
      <c r="D126">
        <v>1</v>
      </c>
      <c r="E126">
        <v>50</v>
      </c>
      <c r="F126" t="s">
        <v>432</v>
      </c>
      <c r="G126" t="s">
        <v>287</v>
      </c>
      <c r="H126">
        <v>5</v>
      </c>
    </row>
    <row r="127" spans="1:8" x14ac:dyDescent="0.4">
      <c r="A127">
        <v>1957</v>
      </c>
      <c r="B127" t="s">
        <v>10</v>
      </c>
      <c r="C127" t="s">
        <v>98</v>
      </c>
      <c r="D127">
        <v>1</v>
      </c>
      <c r="E127">
        <v>57</v>
      </c>
      <c r="F127" t="s">
        <v>100</v>
      </c>
      <c r="G127" t="s">
        <v>99</v>
      </c>
      <c r="H127">
        <v>2</v>
      </c>
    </row>
    <row r="128" spans="1:8" x14ac:dyDescent="0.4">
      <c r="A128">
        <v>1956</v>
      </c>
      <c r="B128" t="s">
        <v>268</v>
      </c>
      <c r="C128" t="s">
        <v>460</v>
      </c>
      <c r="D128">
        <v>5</v>
      </c>
      <c r="E128">
        <v>50</v>
      </c>
      <c r="F128" t="s">
        <v>464</v>
      </c>
      <c r="G128" t="s">
        <v>465</v>
      </c>
      <c r="H128">
        <v>6</v>
      </c>
    </row>
    <row r="129" spans="1:8" x14ac:dyDescent="0.4">
      <c r="A129">
        <v>1956</v>
      </c>
      <c r="B129" t="s">
        <v>10</v>
      </c>
      <c r="C129" t="s">
        <v>98</v>
      </c>
      <c r="D129">
        <v>1</v>
      </c>
      <c r="E129">
        <v>117</v>
      </c>
      <c r="F129" t="s">
        <v>102</v>
      </c>
      <c r="G129" t="s">
        <v>101</v>
      </c>
      <c r="H129">
        <v>2</v>
      </c>
    </row>
    <row r="130" spans="1:8" x14ac:dyDescent="0.4">
      <c r="A130">
        <v>1955</v>
      </c>
      <c r="B130" t="s">
        <v>268</v>
      </c>
      <c r="C130" t="s">
        <v>406</v>
      </c>
      <c r="D130">
        <v>2</v>
      </c>
      <c r="E130">
        <v>90</v>
      </c>
      <c r="F130" t="s">
        <v>445</v>
      </c>
      <c r="G130" t="s">
        <v>446</v>
      </c>
      <c r="H130">
        <v>3</v>
      </c>
    </row>
    <row r="131" spans="1:8" x14ac:dyDescent="0.4">
      <c r="A131">
        <v>1955</v>
      </c>
      <c r="B131" t="s">
        <v>10</v>
      </c>
      <c r="C131" t="s">
        <v>174</v>
      </c>
      <c r="D131">
        <v>1</v>
      </c>
      <c r="E131">
        <v>73</v>
      </c>
      <c r="F131" t="s">
        <v>177</v>
      </c>
      <c r="G131" t="s">
        <v>176</v>
      </c>
      <c r="H131" t="s">
        <v>122</v>
      </c>
    </row>
    <row r="132" spans="1:8" x14ac:dyDescent="0.4">
      <c r="A132">
        <v>1954</v>
      </c>
      <c r="B132" t="s">
        <v>268</v>
      </c>
      <c r="C132" t="s">
        <v>413</v>
      </c>
      <c r="D132">
        <v>1</v>
      </c>
      <c r="E132">
        <v>50</v>
      </c>
      <c r="F132" t="s">
        <v>429</v>
      </c>
      <c r="G132" t="s">
        <v>406</v>
      </c>
      <c r="H132">
        <v>4</v>
      </c>
    </row>
    <row r="133" spans="1:8" x14ac:dyDescent="0.4">
      <c r="A133">
        <v>1954</v>
      </c>
      <c r="B133" t="s">
        <v>10</v>
      </c>
      <c r="C133" t="s">
        <v>108</v>
      </c>
      <c r="D133">
        <v>11</v>
      </c>
      <c r="E133">
        <v>157</v>
      </c>
      <c r="F133" t="s">
        <v>184</v>
      </c>
      <c r="G133" t="s">
        <v>101</v>
      </c>
      <c r="H133">
        <v>3</v>
      </c>
    </row>
    <row r="134" spans="1:8" x14ac:dyDescent="0.4">
      <c r="A134">
        <v>1953</v>
      </c>
      <c r="B134" t="s">
        <v>268</v>
      </c>
      <c r="C134" t="s">
        <v>413</v>
      </c>
      <c r="D134">
        <v>1</v>
      </c>
      <c r="E134">
        <v>67</v>
      </c>
      <c r="F134" t="s">
        <v>414</v>
      </c>
      <c r="G134" t="s">
        <v>415</v>
      </c>
      <c r="H134">
        <v>2</v>
      </c>
    </row>
    <row r="135" spans="1:8" x14ac:dyDescent="0.4">
      <c r="A135">
        <v>1953</v>
      </c>
      <c r="B135" t="s">
        <v>10</v>
      </c>
      <c r="C135" t="s">
        <v>220</v>
      </c>
      <c r="D135">
        <v>2</v>
      </c>
      <c r="E135">
        <v>80</v>
      </c>
      <c r="F135" t="s">
        <v>221</v>
      </c>
      <c r="G135" t="s">
        <v>176</v>
      </c>
      <c r="H135" t="s">
        <v>122</v>
      </c>
    </row>
    <row r="136" spans="1:8" x14ac:dyDescent="0.4">
      <c r="A136">
        <v>1952</v>
      </c>
      <c r="B136" t="s">
        <v>268</v>
      </c>
      <c r="C136" t="s">
        <v>413</v>
      </c>
      <c r="D136">
        <v>2</v>
      </c>
      <c r="E136">
        <v>65</v>
      </c>
      <c r="F136" t="s">
        <v>403</v>
      </c>
      <c r="G136" t="s">
        <v>406</v>
      </c>
      <c r="H136">
        <v>4</v>
      </c>
    </row>
    <row r="137" spans="1:8" x14ac:dyDescent="0.4">
      <c r="A137">
        <v>1952</v>
      </c>
      <c r="B137" t="s">
        <v>10</v>
      </c>
      <c r="C137" t="s">
        <v>106</v>
      </c>
      <c r="D137">
        <v>1</v>
      </c>
      <c r="E137">
        <v>80</v>
      </c>
      <c r="F137" t="s">
        <v>109</v>
      </c>
      <c r="G137" t="s">
        <v>108</v>
      </c>
      <c r="H137">
        <v>2</v>
      </c>
    </row>
    <row r="138" spans="1:8" x14ac:dyDescent="0.4">
      <c r="A138">
        <v>1951</v>
      </c>
      <c r="B138" t="s">
        <v>268</v>
      </c>
      <c r="C138" t="s">
        <v>415</v>
      </c>
      <c r="D138">
        <v>3</v>
      </c>
      <c r="E138">
        <v>35</v>
      </c>
      <c r="F138" t="s">
        <v>459</v>
      </c>
      <c r="G138" t="s">
        <v>460</v>
      </c>
      <c r="H138">
        <v>4</v>
      </c>
    </row>
    <row r="139" spans="1:8" x14ac:dyDescent="0.4">
      <c r="A139">
        <v>1951</v>
      </c>
      <c r="B139" t="s">
        <v>10</v>
      </c>
      <c r="C139" t="s">
        <v>252</v>
      </c>
      <c r="D139">
        <v>6</v>
      </c>
      <c r="E139">
        <v>62</v>
      </c>
      <c r="F139" t="s">
        <v>254</v>
      </c>
      <c r="G139" t="s">
        <v>253</v>
      </c>
      <c r="H139">
        <v>7</v>
      </c>
    </row>
    <row r="140" spans="1:8" x14ac:dyDescent="0.4">
      <c r="A140">
        <v>1950</v>
      </c>
      <c r="B140" t="s">
        <v>268</v>
      </c>
      <c r="C140" t="s">
        <v>406</v>
      </c>
      <c r="D140">
        <v>1</v>
      </c>
      <c r="E140">
        <v>62</v>
      </c>
      <c r="F140" t="s">
        <v>409</v>
      </c>
      <c r="G140" t="s">
        <v>408</v>
      </c>
      <c r="H140">
        <v>2</v>
      </c>
    </row>
    <row r="141" spans="1:8" x14ac:dyDescent="0.4">
      <c r="A141">
        <v>1950</v>
      </c>
      <c r="B141" t="s">
        <v>10</v>
      </c>
      <c r="C141" t="s">
        <v>246</v>
      </c>
      <c r="D141">
        <v>5</v>
      </c>
      <c r="E141">
        <v>120</v>
      </c>
      <c r="F141" t="s">
        <v>247</v>
      </c>
      <c r="G141" t="s">
        <v>106</v>
      </c>
      <c r="H141">
        <v>1</v>
      </c>
    </row>
    <row r="142" spans="1:8" x14ac:dyDescent="0.4">
      <c r="A142">
        <v>1949</v>
      </c>
      <c r="B142" t="s">
        <v>268</v>
      </c>
      <c r="C142" t="s">
        <v>406</v>
      </c>
      <c r="D142">
        <v>1</v>
      </c>
      <c r="E142">
        <v>120</v>
      </c>
      <c r="F142" t="s">
        <v>407</v>
      </c>
      <c r="G142" t="s">
        <v>408</v>
      </c>
      <c r="H142">
        <v>2</v>
      </c>
    </row>
    <row r="143" spans="1:8" x14ac:dyDescent="0.4">
      <c r="A143">
        <v>1949</v>
      </c>
      <c r="B143" t="s">
        <v>10</v>
      </c>
      <c r="C143" t="s">
        <v>171</v>
      </c>
      <c r="D143">
        <v>1</v>
      </c>
      <c r="E143">
        <v>100</v>
      </c>
      <c r="F143" t="s">
        <v>172</v>
      </c>
      <c r="G143" t="s">
        <v>108</v>
      </c>
      <c r="H143">
        <v>6</v>
      </c>
    </row>
    <row r="144" spans="1:8" x14ac:dyDescent="0.4">
      <c r="A144">
        <v>1948</v>
      </c>
      <c r="B144" t="s">
        <v>268</v>
      </c>
      <c r="C144" t="s">
        <v>406</v>
      </c>
      <c r="D144">
        <v>2</v>
      </c>
      <c r="E144">
        <v>76</v>
      </c>
      <c r="F144" t="s">
        <v>448</v>
      </c>
      <c r="G144" t="s">
        <v>415</v>
      </c>
      <c r="H144">
        <v>4</v>
      </c>
    </row>
    <row r="145" spans="1:8" x14ac:dyDescent="0.4">
      <c r="A145">
        <v>1948</v>
      </c>
      <c r="B145" t="s">
        <v>10</v>
      </c>
      <c r="C145" t="s">
        <v>255</v>
      </c>
      <c r="D145">
        <v>7</v>
      </c>
      <c r="E145">
        <v>125</v>
      </c>
      <c r="F145" t="s">
        <v>257</v>
      </c>
      <c r="G145" t="s">
        <v>256</v>
      </c>
      <c r="H145">
        <v>2</v>
      </c>
    </row>
    <row r="146" spans="1:8" x14ac:dyDescent="0.4">
      <c r="A146">
        <v>1947</v>
      </c>
      <c r="B146" t="s">
        <v>268</v>
      </c>
      <c r="C146" t="s">
        <v>423</v>
      </c>
      <c r="D146">
        <v>1</v>
      </c>
      <c r="F146" t="s">
        <v>424</v>
      </c>
      <c r="G146" t="s">
        <v>415</v>
      </c>
      <c r="H146">
        <v>3</v>
      </c>
    </row>
    <row r="147" spans="1:8" x14ac:dyDescent="0.4">
      <c r="A147">
        <v>1947</v>
      </c>
      <c r="B147" t="s">
        <v>10</v>
      </c>
      <c r="C147" t="s">
        <v>163</v>
      </c>
      <c r="D147">
        <v>1</v>
      </c>
      <c r="E147">
        <v>45</v>
      </c>
      <c r="F147" t="s">
        <v>113</v>
      </c>
      <c r="G147" t="s">
        <v>164</v>
      </c>
      <c r="H147">
        <v>3</v>
      </c>
    </row>
    <row r="148" spans="1:8" x14ac:dyDescent="0.4">
      <c r="A148">
        <v>1946</v>
      </c>
      <c r="B148" t="s">
        <v>268</v>
      </c>
      <c r="C148" t="s">
        <v>425</v>
      </c>
      <c r="D148">
        <v>1</v>
      </c>
      <c r="F148" t="s">
        <v>424</v>
      </c>
      <c r="G148" t="s">
        <v>406</v>
      </c>
      <c r="H148">
        <v>3</v>
      </c>
    </row>
    <row r="149" spans="1:8" x14ac:dyDescent="0.4">
      <c r="A149">
        <v>1946</v>
      </c>
      <c r="B149" t="s">
        <v>10</v>
      </c>
      <c r="C149" t="s">
        <v>243</v>
      </c>
      <c r="D149">
        <v>5</v>
      </c>
      <c r="F149" t="s">
        <v>245</v>
      </c>
      <c r="G149" t="s">
        <v>244</v>
      </c>
      <c r="H149">
        <v>3</v>
      </c>
    </row>
    <row r="150" spans="1:8" x14ac:dyDescent="0.4">
      <c r="A150">
        <v>1939</v>
      </c>
      <c r="B150" t="s">
        <v>268</v>
      </c>
      <c r="C150" t="s">
        <v>434</v>
      </c>
      <c r="D150">
        <v>1</v>
      </c>
      <c r="E150">
        <v>30</v>
      </c>
      <c r="F150" t="s">
        <v>302</v>
      </c>
      <c r="G150" t="s">
        <v>435</v>
      </c>
      <c r="H150">
        <v>6</v>
      </c>
    </row>
    <row r="151" spans="1:8" x14ac:dyDescent="0.4">
      <c r="A151">
        <v>1939</v>
      </c>
      <c r="B151" t="s">
        <v>10</v>
      </c>
      <c r="C151" t="s">
        <v>217</v>
      </c>
      <c r="D151">
        <v>2</v>
      </c>
      <c r="E151">
        <v>135</v>
      </c>
      <c r="F151" t="s">
        <v>219</v>
      </c>
      <c r="G151" t="s">
        <v>218</v>
      </c>
      <c r="H151">
        <v>6</v>
      </c>
    </row>
    <row r="152" spans="1:8" x14ac:dyDescent="0.4">
      <c r="A152">
        <v>1938</v>
      </c>
      <c r="B152" t="s">
        <v>268</v>
      </c>
      <c r="C152" t="s">
        <v>401</v>
      </c>
      <c r="D152">
        <v>1</v>
      </c>
      <c r="F152" t="s">
        <v>439</v>
      </c>
      <c r="G152" t="s">
        <v>368</v>
      </c>
    </row>
    <row r="153" spans="1:8" x14ac:dyDescent="0.4">
      <c r="A153">
        <v>1938</v>
      </c>
      <c r="B153" t="s">
        <v>10</v>
      </c>
      <c r="C153" t="s">
        <v>156</v>
      </c>
      <c r="D153">
        <v>1</v>
      </c>
      <c r="E153">
        <v>59</v>
      </c>
      <c r="F153" t="s">
        <v>158</v>
      </c>
      <c r="G153" t="s">
        <v>157</v>
      </c>
      <c r="H153">
        <v>2</v>
      </c>
    </row>
    <row r="154" spans="1:8" x14ac:dyDescent="0.4">
      <c r="A154">
        <v>1937</v>
      </c>
      <c r="B154" t="s">
        <v>268</v>
      </c>
      <c r="C154" t="s">
        <v>366</v>
      </c>
      <c r="D154">
        <v>7</v>
      </c>
      <c r="E154">
        <v>60</v>
      </c>
      <c r="F154" t="s">
        <v>374</v>
      </c>
      <c r="G154" t="s">
        <v>376</v>
      </c>
      <c r="H154">
        <v>4</v>
      </c>
    </row>
    <row r="155" spans="1:8" x14ac:dyDescent="0.4">
      <c r="A155">
        <v>1937</v>
      </c>
      <c r="B155" t="s">
        <v>10</v>
      </c>
      <c r="C155" t="s">
        <v>156</v>
      </c>
      <c r="D155">
        <v>1</v>
      </c>
      <c r="E155">
        <v>65</v>
      </c>
      <c r="F155" t="s">
        <v>17</v>
      </c>
      <c r="G155" t="s">
        <v>127</v>
      </c>
      <c r="H155">
        <v>2</v>
      </c>
    </row>
    <row r="156" spans="1:8" x14ac:dyDescent="0.4">
      <c r="A156">
        <v>1936</v>
      </c>
      <c r="B156" t="s">
        <v>268</v>
      </c>
      <c r="C156" t="s">
        <v>368</v>
      </c>
      <c r="D156">
        <v>2</v>
      </c>
      <c r="E156">
        <v>101</v>
      </c>
      <c r="F156" t="s">
        <v>450</v>
      </c>
      <c r="G156" t="s">
        <v>451</v>
      </c>
      <c r="H156">
        <v>5</v>
      </c>
    </row>
    <row r="157" spans="1:8" x14ac:dyDescent="0.4">
      <c r="A157">
        <v>1936</v>
      </c>
      <c r="B157" t="s">
        <v>10</v>
      </c>
      <c r="C157" t="s">
        <v>125</v>
      </c>
      <c r="D157">
        <v>1</v>
      </c>
      <c r="E157">
        <v>40</v>
      </c>
      <c r="F157" t="s">
        <v>128</v>
      </c>
      <c r="G157" t="s">
        <v>127</v>
      </c>
      <c r="H157">
        <v>2</v>
      </c>
    </row>
    <row r="158" spans="1:8" x14ac:dyDescent="0.4">
      <c r="A158">
        <v>1935</v>
      </c>
      <c r="B158" t="s">
        <v>268</v>
      </c>
      <c r="C158" t="s">
        <v>401</v>
      </c>
      <c r="D158">
        <v>4</v>
      </c>
      <c r="E158">
        <v>100</v>
      </c>
      <c r="F158" t="s">
        <v>462</v>
      </c>
      <c r="G158" t="s">
        <v>368</v>
      </c>
      <c r="H158">
        <v>3</v>
      </c>
    </row>
    <row r="159" spans="1:8" x14ac:dyDescent="0.4">
      <c r="A159">
        <v>1935</v>
      </c>
      <c r="B159" t="s">
        <v>10</v>
      </c>
      <c r="C159" t="s">
        <v>125</v>
      </c>
      <c r="D159">
        <v>1</v>
      </c>
      <c r="E159">
        <v>80</v>
      </c>
      <c r="F159" t="s">
        <v>105</v>
      </c>
      <c r="G159" t="s">
        <v>127</v>
      </c>
      <c r="H159">
        <v>2</v>
      </c>
    </row>
    <row r="160" spans="1:8" x14ac:dyDescent="0.4">
      <c r="A160">
        <v>1934</v>
      </c>
      <c r="B160" t="s">
        <v>268</v>
      </c>
      <c r="C160" t="s">
        <v>366</v>
      </c>
      <c r="D160">
        <v>2</v>
      </c>
      <c r="F160" t="s">
        <v>367</v>
      </c>
      <c r="G160" t="s">
        <v>368</v>
      </c>
      <c r="H160">
        <v>1</v>
      </c>
    </row>
    <row r="161" spans="1:8" x14ac:dyDescent="0.4">
      <c r="A161">
        <v>1934</v>
      </c>
      <c r="B161" t="s">
        <v>10</v>
      </c>
      <c r="C161" t="s">
        <v>125</v>
      </c>
      <c r="D161">
        <v>2</v>
      </c>
      <c r="E161">
        <v>72</v>
      </c>
      <c r="F161" t="s">
        <v>202</v>
      </c>
      <c r="G161" t="s">
        <v>186</v>
      </c>
      <c r="H161">
        <v>1</v>
      </c>
    </row>
    <row r="162" spans="1:8" x14ac:dyDescent="0.4">
      <c r="A162">
        <v>1933</v>
      </c>
      <c r="B162" t="s">
        <v>268</v>
      </c>
      <c r="C162" t="s">
        <v>401</v>
      </c>
      <c r="D162">
        <v>1</v>
      </c>
      <c r="E162">
        <v>120</v>
      </c>
      <c r="F162" t="s">
        <v>402</v>
      </c>
      <c r="G162" t="s">
        <v>366</v>
      </c>
      <c r="H162">
        <v>2</v>
      </c>
    </row>
    <row r="163" spans="1:8" x14ac:dyDescent="0.4">
      <c r="A163">
        <v>1933</v>
      </c>
      <c r="B163" t="s">
        <v>10</v>
      </c>
      <c r="C163" t="s">
        <v>186</v>
      </c>
      <c r="D163">
        <v>2</v>
      </c>
      <c r="E163">
        <v>120</v>
      </c>
      <c r="F163" t="s">
        <v>188</v>
      </c>
      <c r="G163" t="s">
        <v>187</v>
      </c>
      <c r="H163">
        <v>1</v>
      </c>
    </row>
    <row r="164" spans="1:8" x14ac:dyDescent="0.4">
      <c r="A164">
        <v>1932</v>
      </c>
      <c r="B164" t="s">
        <v>268</v>
      </c>
      <c r="C164" t="s">
        <v>401</v>
      </c>
      <c r="D164">
        <v>1</v>
      </c>
      <c r="E164">
        <v>50</v>
      </c>
      <c r="F164" t="s">
        <v>342</v>
      </c>
      <c r="G164" t="s">
        <v>368</v>
      </c>
      <c r="H164">
        <v>5</v>
      </c>
    </row>
    <row r="165" spans="1:8" x14ac:dyDescent="0.4">
      <c r="A165">
        <v>1932</v>
      </c>
      <c r="B165" t="s">
        <v>10</v>
      </c>
      <c r="C165" t="s">
        <v>215</v>
      </c>
      <c r="D165">
        <v>2</v>
      </c>
      <c r="E165">
        <v>50</v>
      </c>
      <c r="F165" t="s">
        <v>216</v>
      </c>
      <c r="G165" t="s">
        <v>157</v>
      </c>
      <c r="H165">
        <v>6</v>
      </c>
    </row>
    <row r="166" spans="1:8" x14ac:dyDescent="0.4">
      <c r="A166">
        <v>1931</v>
      </c>
      <c r="B166" t="s">
        <v>268</v>
      </c>
      <c r="C166" t="s">
        <v>388</v>
      </c>
      <c r="D166">
        <v>1</v>
      </c>
      <c r="F166" t="s">
        <v>389</v>
      </c>
      <c r="G166" t="s">
        <v>390</v>
      </c>
      <c r="H166">
        <v>4</v>
      </c>
    </row>
    <row r="167" spans="1:8" x14ac:dyDescent="0.4">
      <c r="A167">
        <v>1931</v>
      </c>
      <c r="B167" t="s">
        <v>10</v>
      </c>
      <c r="C167" t="s">
        <v>258</v>
      </c>
      <c r="D167">
        <v>7</v>
      </c>
      <c r="F167" t="s">
        <v>260</v>
      </c>
      <c r="G167" t="s">
        <v>259</v>
      </c>
      <c r="H167">
        <v>3</v>
      </c>
    </row>
    <row r="168" spans="1:8" x14ac:dyDescent="0.4">
      <c r="A168">
        <v>1930</v>
      </c>
      <c r="B168" t="s">
        <v>268</v>
      </c>
      <c r="C168" t="s">
        <v>401</v>
      </c>
      <c r="D168">
        <v>1</v>
      </c>
      <c r="F168" t="s">
        <v>304</v>
      </c>
      <c r="G168" t="s">
        <v>308</v>
      </c>
      <c r="H168">
        <v>8</v>
      </c>
    </row>
    <row r="169" spans="1:8" x14ac:dyDescent="0.4">
      <c r="A169">
        <v>1930</v>
      </c>
      <c r="B169" t="s">
        <v>10</v>
      </c>
      <c r="C169" t="s">
        <v>88</v>
      </c>
      <c r="D169">
        <v>2</v>
      </c>
      <c r="E169">
        <v>70</v>
      </c>
      <c r="F169" t="s">
        <v>225</v>
      </c>
      <c r="G169" t="s">
        <v>224</v>
      </c>
      <c r="H169" t="s">
        <v>122</v>
      </c>
    </row>
    <row r="170" spans="1:8" x14ac:dyDescent="0.4">
      <c r="A170">
        <v>1929</v>
      </c>
      <c r="B170" t="s">
        <v>268</v>
      </c>
      <c r="C170" t="s">
        <v>365</v>
      </c>
      <c r="D170">
        <v>1</v>
      </c>
      <c r="F170" t="s">
        <v>433</v>
      </c>
      <c r="G170" t="s">
        <v>368</v>
      </c>
      <c r="H170">
        <v>5</v>
      </c>
    </row>
    <row r="171" spans="1:8" x14ac:dyDescent="0.4">
      <c r="A171">
        <v>1929</v>
      </c>
      <c r="B171" t="s">
        <v>10</v>
      </c>
      <c r="C171" t="s">
        <v>123</v>
      </c>
      <c r="D171">
        <v>1</v>
      </c>
      <c r="E171">
        <v>60</v>
      </c>
      <c r="F171" t="s">
        <v>124</v>
      </c>
      <c r="G171" t="s">
        <v>23</v>
      </c>
      <c r="H171">
        <v>2</v>
      </c>
    </row>
    <row r="172" spans="1:8" x14ac:dyDescent="0.4">
      <c r="A172">
        <v>1928</v>
      </c>
      <c r="B172" t="s">
        <v>268</v>
      </c>
      <c r="C172" t="s">
        <v>365</v>
      </c>
      <c r="D172">
        <v>1</v>
      </c>
      <c r="F172" t="s">
        <v>335</v>
      </c>
      <c r="G172" t="s">
        <v>319</v>
      </c>
      <c r="H172">
        <v>2</v>
      </c>
    </row>
    <row r="173" spans="1:8" x14ac:dyDescent="0.4">
      <c r="A173">
        <v>1928</v>
      </c>
      <c r="B173" t="s">
        <v>10</v>
      </c>
      <c r="C173" t="s">
        <v>25</v>
      </c>
      <c r="D173">
        <v>2</v>
      </c>
      <c r="F173" t="s">
        <v>201</v>
      </c>
      <c r="G173" t="s">
        <v>123</v>
      </c>
      <c r="H173">
        <v>1</v>
      </c>
    </row>
    <row r="174" spans="1:8" x14ac:dyDescent="0.4">
      <c r="A174">
        <v>1927</v>
      </c>
      <c r="B174" t="s">
        <v>268</v>
      </c>
      <c r="C174" t="s">
        <v>365</v>
      </c>
      <c r="D174">
        <v>1</v>
      </c>
      <c r="F174" t="s">
        <v>426</v>
      </c>
      <c r="G174" t="s">
        <v>319</v>
      </c>
      <c r="H174">
        <v>4</v>
      </c>
    </row>
    <row r="175" spans="1:8" x14ac:dyDescent="0.4">
      <c r="A175">
        <v>1927</v>
      </c>
      <c r="B175" t="s">
        <v>10</v>
      </c>
      <c r="C175" t="s">
        <v>123</v>
      </c>
      <c r="D175">
        <v>4</v>
      </c>
      <c r="F175" t="s">
        <v>237</v>
      </c>
      <c r="G175" t="s">
        <v>23</v>
      </c>
      <c r="H175">
        <v>3</v>
      </c>
    </row>
    <row r="176" spans="1:8" x14ac:dyDescent="0.4">
      <c r="A176">
        <v>1926</v>
      </c>
      <c r="B176" t="s">
        <v>268</v>
      </c>
      <c r="C176" t="s">
        <v>317</v>
      </c>
      <c r="E176">
        <v>60</v>
      </c>
      <c r="F176" t="s">
        <v>318</v>
      </c>
      <c r="G176" t="s">
        <v>319</v>
      </c>
    </row>
    <row r="177" spans="1:7" x14ac:dyDescent="0.4">
      <c r="A177">
        <v>1926</v>
      </c>
      <c r="B177" t="s">
        <v>10</v>
      </c>
      <c r="C177" t="s">
        <v>23</v>
      </c>
      <c r="E177">
        <v>65</v>
      </c>
      <c r="F177" t="s">
        <v>30</v>
      </c>
      <c r="G177" t="s">
        <v>29</v>
      </c>
    </row>
    <row r="178" spans="1:7" x14ac:dyDescent="0.4">
      <c r="A178">
        <v>1925</v>
      </c>
      <c r="B178" t="s">
        <v>268</v>
      </c>
      <c r="C178" t="s">
        <v>301</v>
      </c>
      <c r="E178">
        <v>25</v>
      </c>
      <c r="F178" t="s">
        <v>302</v>
      </c>
      <c r="G178" t="s">
        <v>303</v>
      </c>
    </row>
    <row r="179" spans="1:7" x14ac:dyDescent="0.4">
      <c r="A179">
        <v>1925</v>
      </c>
      <c r="B179" t="s">
        <v>10</v>
      </c>
      <c r="C179" t="s">
        <v>25</v>
      </c>
      <c r="F179" t="s">
        <v>27</v>
      </c>
      <c r="G179" t="s">
        <v>23</v>
      </c>
    </row>
    <row r="180" spans="1:7" x14ac:dyDescent="0.4">
      <c r="A180">
        <v>1924</v>
      </c>
      <c r="B180" t="s">
        <v>268</v>
      </c>
      <c r="C180" t="s">
        <v>305</v>
      </c>
      <c r="E180">
        <v>75</v>
      </c>
      <c r="F180" t="s">
        <v>343</v>
      </c>
      <c r="G180" t="s">
        <v>365</v>
      </c>
    </row>
    <row r="181" spans="1:7" x14ac:dyDescent="0.4">
      <c r="A181">
        <v>1924</v>
      </c>
      <c r="B181" t="s">
        <v>10</v>
      </c>
      <c r="C181" t="s">
        <v>23</v>
      </c>
      <c r="E181">
        <v>80</v>
      </c>
      <c r="F181" t="s">
        <v>26</v>
      </c>
      <c r="G181" t="s">
        <v>25</v>
      </c>
    </row>
    <row r="182" spans="1:7" x14ac:dyDescent="0.4">
      <c r="A182">
        <v>1923</v>
      </c>
      <c r="B182" t="s">
        <v>268</v>
      </c>
      <c r="C182" t="s">
        <v>301</v>
      </c>
      <c r="F182" t="s">
        <v>304</v>
      </c>
      <c r="G182" t="s">
        <v>305</v>
      </c>
    </row>
    <row r="183" spans="1:7" x14ac:dyDescent="0.4">
      <c r="A183">
        <v>1923</v>
      </c>
      <c r="B183" t="s">
        <v>10</v>
      </c>
      <c r="C183" t="s">
        <v>93</v>
      </c>
      <c r="E183">
        <v>46</v>
      </c>
      <c r="F183" t="s">
        <v>95</v>
      </c>
      <c r="G183" t="s">
        <v>94</v>
      </c>
    </row>
    <row r="184" spans="1:7" x14ac:dyDescent="0.4">
      <c r="A184">
        <v>1922</v>
      </c>
      <c r="B184" t="s">
        <v>268</v>
      </c>
      <c r="C184" t="s">
        <v>301</v>
      </c>
      <c r="E184">
        <v>23</v>
      </c>
      <c r="F184" t="s">
        <v>302</v>
      </c>
      <c r="G184" t="s">
        <v>309</v>
      </c>
    </row>
    <row r="185" spans="1:7" x14ac:dyDescent="0.4">
      <c r="A185">
        <v>1922</v>
      </c>
      <c r="B185" t="s">
        <v>10</v>
      </c>
      <c r="C185" t="s">
        <v>11</v>
      </c>
      <c r="F185" t="s">
        <v>17</v>
      </c>
      <c r="G185" t="s">
        <v>16</v>
      </c>
    </row>
    <row r="186" spans="1:7" x14ac:dyDescent="0.4">
      <c r="A186">
        <v>1921</v>
      </c>
      <c r="B186" t="s">
        <v>268</v>
      </c>
      <c r="C186" t="s">
        <v>301</v>
      </c>
      <c r="F186" t="s">
        <v>302</v>
      </c>
      <c r="G186" t="s">
        <v>308</v>
      </c>
    </row>
    <row r="187" spans="1:7" x14ac:dyDescent="0.4">
      <c r="A187">
        <v>1921</v>
      </c>
      <c r="B187" t="s">
        <v>10</v>
      </c>
      <c r="C187" t="s">
        <v>88</v>
      </c>
      <c r="F187" t="s">
        <v>92</v>
      </c>
      <c r="G187" t="s">
        <v>91</v>
      </c>
    </row>
    <row r="188" spans="1:7" x14ac:dyDescent="0.4">
      <c r="A188">
        <v>1920</v>
      </c>
      <c r="B188" t="s">
        <v>268</v>
      </c>
      <c r="C188" t="s">
        <v>301</v>
      </c>
      <c r="F188" t="s">
        <v>292</v>
      </c>
      <c r="G188" t="s">
        <v>307</v>
      </c>
    </row>
    <row r="189" spans="1:7" x14ac:dyDescent="0.4">
      <c r="A189">
        <v>1920</v>
      </c>
      <c r="B189" t="s">
        <v>10</v>
      </c>
      <c r="C189" t="s">
        <v>88</v>
      </c>
      <c r="F189" t="s">
        <v>89</v>
      </c>
      <c r="G189" t="s">
        <v>11</v>
      </c>
    </row>
    <row r="190" spans="1:7" x14ac:dyDescent="0.4">
      <c r="A190">
        <v>1919</v>
      </c>
      <c r="B190" t="s">
        <v>268</v>
      </c>
      <c r="C190" t="s">
        <v>301</v>
      </c>
      <c r="E190">
        <v>125</v>
      </c>
      <c r="F190" t="s">
        <v>306</v>
      </c>
      <c r="G190" t="s">
        <v>307</v>
      </c>
    </row>
    <row r="191" spans="1:7" x14ac:dyDescent="0.4">
      <c r="A191">
        <v>1919</v>
      </c>
      <c r="B191" t="s">
        <v>10</v>
      </c>
      <c r="C191" t="s">
        <v>11</v>
      </c>
      <c r="F191" t="s">
        <v>14</v>
      </c>
      <c r="G191" t="s">
        <v>13</v>
      </c>
    </row>
    <row r="192" spans="1:7" x14ac:dyDescent="0.4">
      <c r="A192">
        <v>1914</v>
      </c>
      <c r="B192" t="s">
        <v>268</v>
      </c>
      <c r="C192" t="s">
        <v>307</v>
      </c>
      <c r="F192" t="s">
        <v>359</v>
      </c>
      <c r="G192" t="s">
        <v>341</v>
      </c>
    </row>
    <row r="193" spans="1:7" x14ac:dyDescent="0.4">
      <c r="A193">
        <v>1914</v>
      </c>
      <c r="B193" t="s">
        <v>10</v>
      </c>
      <c r="C193" t="s">
        <v>13</v>
      </c>
      <c r="F193" t="s">
        <v>22</v>
      </c>
      <c r="G193" t="s">
        <v>21</v>
      </c>
    </row>
    <row r="194" spans="1:7" x14ac:dyDescent="0.4">
      <c r="A194">
        <v>1913</v>
      </c>
      <c r="B194" t="s">
        <v>268</v>
      </c>
      <c r="C194" t="s">
        <v>307</v>
      </c>
      <c r="F194" t="s">
        <v>361</v>
      </c>
      <c r="G194" t="s">
        <v>362</v>
      </c>
    </row>
    <row r="195" spans="1:7" x14ac:dyDescent="0.4">
      <c r="A195">
        <v>1913</v>
      </c>
      <c r="B195" t="s">
        <v>10</v>
      </c>
      <c r="C195" t="s">
        <v>21</v>
      </c>
      <c r="F195" t="s">
        <v>87</v>
      </c>
      <c r="G195" t="s">
        <v>86</v>
      </c>
    </row>
    <row r="196" spans="1:7" x14ac:dyDescent="0.4">
      <c r="A196">
        <v>1912</v>
      </c>
      <c r="B196" t="s">
        <v>268</v>
      </c>
      <c r="C196" t="s">
        <v>341</v>
      </c>
      <c r="F196" t="s">
        <v>342</v>
      </c>
      <c r="G196" t="s">
        <v>320</v>
      </c>
    </row>
    <row r="197" spans="1:7" x14ac:dyDescent="0.4">
      <c r="A197">
        <v>1912</v>
      </c>
      <c r="B197" t="s">
        <v>10</v>
      </c>
      <c r="C197" t="s">
        <v>21</v>
      </c>
      <c r="F197" t="s">
        <v>83</v>
      </c>
      <c r="G197" t="s">
        <v>18</v>
      </c>
    </row>
    <row r="198" spans="1:7" x14ac:dyDescent="0.4">
      <c r="A198">
        <v>1911</v>
      </c>
      <c r="B198" t="s">
        <v>268</v>
      </c>
      <c r="C198" t="s">
        <v>307</v>
      </c>
      <c r="E198">
        <v>25</v>
      </c>
      <c r="F198" t="s">
        <v>360</v>
      </c>
      <c r="G198" t="s">
        <v>357</v>
      </c>
    </row>
    <row r="199" spans="1:7" x14ac:dyDescent="0.4">
      <c r="A199">
        <v>1911</v>
      </c>
      <c r="B199" t="s">
        <v>10</v>
      </c>
      <c r="C199" t="s">
        <v>21</v>
      </c>
      <c r="F199" t="s">
        <v>85</v>
      </c>
      <c r="G199" t="s">
        <v>33</v>
      </c>
    </row>
    <row r="200" spans="1:7" x14ac:dyDescent="0.4">
      <c r="A200">
        <v>1910</v>
      </c>
      <c r="B200" t="s">
        <v>268</v>
      </c>
      <c r="C200" t="s">
        <v>307</v>
      </c>
      <c r="F200" t="s">
        <v>304</v>
      </c>
      <c r="G200" t="s">
        <v>357</v>
      </c>
    </row>
    <row r="201" spans="1:7" x14ac:dyDescent="0.4">
      <c r="A201">
        <v>1910</v>
      </c>
      <c r="B201" t="s">
        <v>10</v>
      </c>
      <c r="C201" t="s">
        <v>21</v>
      </c>
      <c r="F201" t="s">
        <v>84</v>
      </c>
      <c r="G201" t="s">
        <v>18</v>
      </c>
    </row>
    <row r="202" spans="1:7" x14ac:dyDescent="0.4">
      <c r="A202">
        <v>1909</v>
      </c>
      <c r="B202" t="s">
        <v>268</v>
      </c>
      <c r="C202" t="s">
        <v>357</v>
      </c>
      <c r="F202" t="s">
        <v>358</v>
      </c>
      <c r="G202" t="s">
        <v>322</v>
      </c>
    </row>
    <row r="203" spans="1:7" x14ac:dyDescent="0.4">
      <c r="A203">
        <v>1909</v>
      </c>
      <c r="B203" t="s">
        <v>10</v>
      </c>
      <c r="C203" t="s">
        <v>18</v>
      </c>
      <c r="E203">
        <v>95</v>
      </c>
      <c r="F203" t="s">
        <v>36</v>
      </c>
      <c r="G203" t="s">
        <v>35</v>
      </c>
    </row>
    <row r="204" spans="1:7" x14ac:dyDescent="0.4">
      <c r="A204">
        <v>1908</v>
      </c>
      <c r="B204" t="s">
        <v>268</v>
      </c>
      <c r="C204" t="s">
        <v>320</v>
      </c>
      <c r="F204" t="s">
        <v>321</v>
      </c>
      <c r="G204" t="s">
        <v>322</v>
      </c>
    </row>
    <row r="205" spans="1:7" x14ac:dyDescent="0.4">
      <c r="A205">
        <v>1908</v>
      </c>
      <c r="B205" t="s">
        <v>10</v>
      </c>
      <c r="C205" t="s">
        <v>18</v>
      </c>
      <c r="F205" t="s">
        <v>34</v>
      </c>
      <c r="G205" t="s">
        <v>33</v>
      </c>
    </row>
    <row r="206" spans="1:7" x14ac:dyDescent="0.4">
      <c r="A206">
        <v>1907</v>
      </c>
      <c r="B206" t="s">
        <v>268</v>
      </c>
      <c r="C206" t="s">
        <v>364</v>
      </c>
      <c r="F206" t="s">
        <v>395</v>
      </c>
      <c r="G206" t="s">
        <v>307</v>
      </c>
    </row>
    <row r="207" spans="1:7" x14ac:dyDescent="0.4">
      <c r="A207">
        <v>1907</v>
      </c>
      <c r="B207" t="s">
        <v>10</v>
      </c>
      <c r="C207" t="s">
        <v>13</v>
      </c>
      <c r="F207" t="s">
        <v>19</v>
      </c>
      <c r="G207" t="s">
        <v>18</v>
      </c>
    </row>
    <row r="208" spans="1:7" x14ac:dyDescent="0.4">
      <c r="A208">
        <v>1906</v>
      </c>
      <c r="B208" t="s">
        <v>268</v>
      </c>
      <c r="C208" t="s">
        <v>337</v>
      </c>
      <c r="E208">
        <v>57</v>
      </c>
      <c r="F208" t="s">
        <v>363</v>
      </c>
      <c r="G208" t="s">
        <v>364</v>
      </c>
    </row>
    <row r="209" spans="1:7" x14ac:dyDescent="0.4">
      <c r="A209">
        <v>1906</v>
      </c>
      <c r="B209" t="s">
        <v>10</v>
      </c>
      <c r="C209" t="s">
        <v>31</v>
      </c>
      <c r="E209">
        <v>74</v>
      </c>
      <c r="F209" t="s">
        <v>45</v>
      </c>
      <c r="G209" t="s">
        <v>43</v>
      </c>
    </row>
    <row r="210" spans="1:7" x14ac:dyDescent="0.4">
      <c r="A210">
        <v>1905</v>
      </c>
      <c r="B210" t="s">
        <v>268</v>
      </c>
      <c r="C210" t="s">
        <v>364</v>
      </c>
      <c r="F210" t="s">
        <v>295</v>
      </c>
      <c r="G210" t="s">
        <v>337</v>
      </c>
    </row>
    <row r="211" spans="1:7" x14ac:dyDescent="0.4">
      <c r="A211">
        <v>1905</v>
      </c>
      <c r="B211" t="s">
        <v>10</v>
      </c>
      <c r="C211" t="s">
        <v>31</v>
      </c>
      <c r="E211">
        <v>65</v>
      </c>
      <c r="F211" t="s">
        <v>32</v>
      </c>
      <c r="G211" t="s">
        <v>13</v>
      </c>
    </row>
    <row r="212" spans="1:7" x14ac:dyDescent="0.4">
      <c r="A212">
        <v>1904</v>
      </c>
      <c r="B212" t="s">
        <v>268</v>
      </c>
      <c r="C212" t="s">
        <v>337</v>
      </c>
      <c r="F212" t="s">
        <v>338</v>
      </c>
      <c r="G212" t="s">
        <v>320</v>
      </c>
    </row>
    <row r="213" spans="1:7" x14ac:dyDescent="0.4">
      <c r="A213">
        <v>1904</v>
      </c>
      <c r="B213" t="s">
        <v>10</v>
      </c>
      <c r="C213" t="s">
        <v>31</v>
      </c>
      <c r="F213" t="s">
        <v>44</v>
      </c>
      <c r="G213" t="s">
        <v>43</v>
      </c>
    </row>
    <row r="214" spans="1:7" x14ac:dyDescent="0.4">
      <c r="A214">
        <v>1903</v>
      </c>
      <c r="B214" t="s">
        <v>268</v>
      </c>
      <c r="C214" t="s">
        <v>337</v>
      </c>
      <c r="F214" t="s">
        <v>339</v>
      </c>
      <c r="G214" t="s">
        <v>340</v>
      </c>
    </row>
    <row r="215" spans="1:7" x14ac:dyDescent="0.4">
      <c r="A215">
        <v>1903</v>
      </c>
      <c r="B215" t="s">
        <v>10</v>
      </c>
      <c r="C215" t="s">
        <v>31</v>
      </c>
      <c r="F215" t="s">
        <v>46</v>
      </c>
      <c r="G215" t="s">
        <v>43</v>
      </c>
    </row>
    <row r="216" spans="1:7" x14ac:dyDescent="0.4">
      <c r="A216">
        <v>1902</v>
      </c>
      <c r="B216" t="s">
        <v>268</v>
      </c>
      <c r="C216" t="s">
        <v>350</v>
      </c>
      <c r="F216" t="s">
        <v>351</v>
      </c>
      <c r="G216" t="s">
        <v>320</v>
      </c>
    </row>
    <row r="217" spans="1:7" x14ac:dyDescent="0.4">
      <c r="A217">
        <v>1902</v>
      </c>
      <c r="B217" t="s">
        <v>10</v>
      </c>
      <c r="C217" t="s">
        <v>31</v>
      </c>
      <c r="E217">
        <v>84</v>
      </c>
      <c r="F217" t="s">
        <v>42</v>
      </c>
      <c r="G217" t="s">
        <v>18</v>
      </c>
    </row>
    <row r="218" spans="1:7" x14ac:dyDescent="0.4">
      <c r="A218">
        <v>1901</v>
      </c>
      <c r="B218" t="s">
        <v>268</v>
      </c>
      <c r="C218" t="s">
        <v>320</v>
      </c>
      <c r="F218" t="s">
        <v>304</v>
      </c>
      <c r="G218" t="s">
        <v>323</v>
      </c>
    </row>
    <row r="219" spans="1:7" x14ac:dyDescent="0.4">
      <c r="A219">
        <v>1901</v>
      </c>
      <c r="B219" t="s">
        <v>10</v>
      </c>
      <c r="C219" t="s">
        <v>18</v>
      </c>
      <c r="E219">
        <v>95</v>
      </c>
      <c r="F219" t="s">
        <v>38</v>
      </c>
      <c r="G219" t="s">
        <v>37</v>
      </c>
    </row>
    <row r="220" spans="1:7" x14ac:dyDescent="0.4">
      <c r="A220">
        <v>1900</v>
      </c>
      <c r="B220" t="s">
        <v>268</v>
      </c>
      <c r="C220" t="s">
        <v>323</v>
      </c>
      <c r="F220" t="s">
        <v>343</v>
      </c>
      <c r="G220" t="s">
        <v>331</v>
      </c>
    </row>
    <row r="221" spans="1:7" x14ac:dyDescent="0.4">
      <c r="A221">
        <v>1900</v>
      </c>
      <c r="B221" t="s">
        <v>10</v>
      </c>
      <c r="C221" t="s">
        <v>37</v>
      </c>
      <c r="F221" t="s">
        <v>65</v>
      </c>
      <c r="G221" t="s">
        <v>64</v>
      </c>
    </row>
    <row r="222" spans="1:7" x14ac:dyDescent="0.4">
      <c r="A222">
        <v>1899</v>
      </c>
      <c r="B222" t="s">
        <v>268</v>
      </c>
      <c r="C222" t="s">
        <v>323</v>
      </c>
      <c r="F222" t="s">
        <v>335</v>
      </c>
      <c r="G222" t="s">
        <v>331</v>
      </c>
    </row>
    <row r="223" spans="1:7" x14ac:dyDescent="0.4">
      <c r="A223">
        <v>1899</v>
      </c>
      <c r="B223" t="s">
        <v>10</v>
      </c>
      <c r="C223" t="s">
        <v>37</v>
      </c>
      <c r="F223" t="s">
        <v>61</v>
      </c>
      <c r="G223" t="s">
        <v>18</v>
      </c>
    </row>
    <row r="224" spans="1:7" x14ac:dyDescent="0.4">
      <c r="A224">
        <v>1898</v>
      </c>
      <c r="B224" t="s">
        <v>268</v>
      </c>
      <c r="C224" t="s">
        <v>331</v>
      </c>
      <c r="F224" t="s">
        <v>321</v>
      </c>
      <c r="G224" t="s">
        <v>334</v>
      </c>
    </row>
    <row r="225" spans="1:7" x14ac:dyDescent="0.4">
      <c r="A225">
        <v>1898</v>
      </c>
      <c r="B225" t="s">
        <v>10</v>
      </c>
      <c r="C225" t="s">
        <v>37</v>
      </c>
      <c r="E225">
        <v>55</v>
      </c>
      <c r="F225" t="s">
        <v>62</v>
      </c>
      <c r="G225" t="s">
        <v>31</v>
      </c>
    </row>
    <row r="226" spans="1:7" x14ac:dyDescent="0.4">
      <c r="A226">
        <v>1897</v>
      </c>
      <c r="B226" t="s">
        <v>268</v>
      </c>
      <c r="C226" t="s">
        <v>323</v>
      </c>
      <c r="F226" t="s">
        <v>344</v>
      </c>
      <c r="G226" t="s">
        <v>331</v>
      </c>
    </row>
    <row r="227" spans="1:7" x14ac:dyDescent="0.4">
      <c r="A227">
        <v>1897</v>
      </c>
      <c r="B227" t="s">
        <v>10</v>
      </c>
      <c r="C227" t="s">
        <v>37</v>
      </c>
      <c r="E227">
        <v>67</v>
      </c>
      <c r="F227" t="s">
        <v>63</v>
      </c>
      <c r="G227" t="s">
        <v>47</v>
      </c>
    </row>
    <row r="228" spans="1:7" x14ac:dyDescent="0.4">
      <c r="A228">
        <v>1896</v>
      </c>
      <c r="B228" t="s">
        <v>268</v>
      </c>
      <c r="C228" t="s">
        <v>331</v>
      </c>
      <c r="F228" t="s">
        <v>335</v>
      </c>
      <c r="G228" t="s">
        <v>336</v>
      </c>
    </row>
    <row r="229" spans="1:7" x14ac:dyDescent="0.4">
      <c r="A229">
        <v>1896</v>
      </c>
      <c r="B229" t="s">
        <v>10</v>
      </c>
      <c r="C229" t="s">
        <v>47</v>
      </c>
      <c r="E229">
        <v>120</v>
      </c>
      <c r="F229" t="s">
        <v>49</v>
      </c>
      <c r="G229" t="s">
        <v>48</v>
      </c>
    </row>
    <row r="230" spans="1:7" x14ac:dyDescent="0.4">
      <c r="A230">
        <v>1895</v>
      </c>
      <c r="B230" t="s">
        <v>268</v>
      </c>
      <c r="C230" t="s">
        <v>331</v>
      </c>
      <c r="F230" t="s">
        <v>332</v>
      </c>
      <c r="G230" t="s">
        <v>333</v>
      </c>
    </row>
    <row r="231" spans="1:7" x14ac:dyDescent="0.4">
      <c r="A231">
        <v>1895</v>
      </c>
      <c r="B231" t="s">
        <v>10</v>
      </c>
      <c r="C231" t="s">
        <v>48</v>
      </c>
      <c r="E231">
        <v>95</v>
      </c>
      <c r="F231" t="s">
        <v>72</v>
      </c>
      <c r="G231" t="s">
        <v>71</v>
      </c>
    </row>
    <row r="232" spans="1:7" x14ac:dyDescent="0.4">
      <c r="A232">
        <v>1894</v>
      </c>
      <c r="B232" t="s">
        <v>268</v>
      </c>
      <c r="C232" t="s">
        <v>323</v>
      </c>
      <c r="F232" t="s">
        <v>328</v>
      </c>
      <c r="G232" t="s">
        <v>345</v>
      </c>
    </row>
    <row r="233" spans="1:7" x14ac:dyDescent="0.4">
      <c r="A233">
        <v>1894</v>
      </c>
      <c r="B233" t="s">
        <v>10</v>
      </c>
      <c r="C233" t="s">
        <v>50</v>
      </c>
      <c r="E233">
        <v>117</v>
      </c>
      <c r="F233" t="s">
        <v>51</v>
      </c>
      <c r="G233" t="s">
        <v>48</v>
      </c>
    </row>
    <row r="234" spans="1:7" x14ac:dyDescent="0.4">
      <c r="A234">
        <v>1893</v>
      </c>
      <c r="B234" t="s">
        <v>268</v>
      </c>
      <c r="C234" t="s">
        <v>327</v>
      </c>
      <c r="F234" t="s">
        <v>330</v>
      </c>
      <c r="G234" t="s">
        <v>323</v>
      </c>
    </row>
    <row r="235" spans="1:7" x14ac:dyDescent="0.4">
      <c r="A235">
        <v>1893</v>
      </c>
      <c r="B235" t="s">
        <v>10</v>
      </c>
      <c r="C235" t="s">
        <v>50</v>
      </c>
      <c r="E235">
        <v>65</v>
      </c>
      <c r="F235" t="s">
        <v>52</v>
      </c>
      <c r="G235" t="s">
        <v>48</v>
      </c>
    </row>
    <row r="236" spans="1:7" x14ac:dyDescent="0.4">
      <c r="A236">
        <v>1892</v>
      </c>
      <c r="B236" t="s">
        <v>268</v>
      </c>
      <c r="C236" t="s">
        <v>327</v>
      </c>
      <c r="F236" t="s">
        <v>328</v>
      </c>
      <c r="G236" t="s">
        <v>323</v>
      </c>
    </row>
    <row r="237" spans="1:7" x14ac:dyDescent="0.4">
      <c r="A237">
        <v>1892</v>
      </c>
      <c r="B237" t="s">
        <v>10</v>
      </c>
      <c r="C237" t="s">
        <v>48</v>
      </c>
      <c r="E237">
        <v>75</v>
      </c>
      <c r="F237" t="s">
        <v>68</v>
      </c>
      <c r="G237" t="s">
        <v>50</v>
      </c>
    </row>
    <row r="238" spans="1:7" x14ac:dyDescent="0.4">
      <c r="A238">
        <v>1891</v>
      </c>
      <c r="B238" t="s">
        <v>268</v>
      </c>
      <c r="C238" t="s">
        <v>327</v>
      </c>
      <c r="F238" t="s">
        <v>329</v>
      </c>
      <c r="G238" t="s">
        <v>323</v>
      </c>
    </row>
    <row r="239" spans="1:7" x14ac:dyDescent="0.4">
      <c r="A239">
        <v>1891</v>
      </c>
      <c r="B239" t="s">
        <v>10</v>
      </c>
      <c r="C239" t="s">
        <v>48</v>
      </c>
      <c r="F239" t="s">
        <v>70</v>
      </c>
      <c r="G239" t="s">
        <v>69</v>
      </c>
    </row>
    <row r="240" spans="1:7" x14ac:dyDescent="0.4">
      <c r="A240">
        <v>1890</v>
      </c>
      <c r="B240" t="s">
        <v>268</v>
      </c>
      <c r="C240" t="s">
        <v>347</v>
      </c>
      <c r="F240" t="s">
        <v>348</v>
      </c>
      <c r="G240" t="s">
        <v>349</v>
      </c>
    </row>
    <row r="241" spans="1:7" x14ac:dyDescent="0.4">
      <c r="A241">
        <v>1890</v>
      </c>
      <c r="B241" t="s">
        <v>10</v>
      </c>
      <c r="C241" t="s">
        <v>81</v>
      </c>
      <c r="E241">
        <v>96</v>
      </c>
      <c r="F241" t="s">
        <v>82</v>
      </c>
      <c r="G241" t="s">
        <v>73</v>
      </c>
    </row>
    <row r="242" spans="1:7" x14ac:dyDescent="0.4">
      <c r="A242">
        <v>1889</v>
      </c>
      <c r="B242" t="s">
        <v>268</v>
      </c>
      <c r="C242" t="s">
        <v>323</v>
      </c>
      <c r="F242" t="s">
        <v>346</v>
      </c>
      <c r="G242" t="s">
        <v>347</v>
      </c>
    </row>
    <row r="243" spans="1:7" x14ac:dyDescent="0.4">
      <c r="A243">
        <v>1889</v>
      </c>
      <c r="B243" t="s">
        <v>10</v>
      </c>
      <c r="C243" t="s">
        <v>73</v>
      </c>
      <c r="E243">
        <v>63</v>
      </c>
      <c r="F243" t="s">
        <v>79</v>
      </c>
      <c r="G243" t="s">
        <v>40</v>
      </c>
    </row>
    <row r="244" spans="1:7" x14ac:dyDescent="0.4">
      <c r="A244">
        <v>1888</v>
      </c>
      <c r="B244" t="s">
        <v>268</v>
      </c>
      <c r="C244" t="s">
        <v>327</v>
      </c>
      <c r="F244" t="s">
        <v>325</v>
      </c>
      <c r="G244" t="s">
        <v>323</v>
      </c>
    </row>
    <row r="245" spans="1:7" x14ac:dyDescent="0.4">
      <c r="A245">
        <v>1888</v>
      </c>
      <c r="B245" t="s">
        <v>10</v>
      </c>
      <c r="C245" t="s">
        <v>40</v>
      </c>
      <c r="E245">
        <v>51</v>
      </c>
      <c r="F245" t="s">
        <v>53</v>
      </c>
      <c r="G245" t="s">
        <v>39</v>
      </c>
    </row>
    <row r="246" spans="1:7" x14ac:dyDescent="0.4">
      <c r="A246">
        <v>1887</v>
      </c>
      <c r="B246" t="s">
        <v>268</v>
      </c>
      <c r="C246" t="s">
        <v>327</v>
      </c>
      <c r="F246" t="s">
        <v>302</v>
      </c>
      <c r="G246" t="s">
        <v>324</v>
      </c>
    </row>
    <row r="247" spans="1:7" x14ac:dyDescent="0.4">
      <c r="A247">
        <v>1887</v>
      </c>
      <c r="B247" t="s">
        <v>10</v>
      </c>
      <c r="C247" t="s">
        <v>39</v>
      </c>
      <c r="E247">
        <v>120</v>
      </c>
      <c r="F247" t="s">
        <v>41</v>
      </c>
      <c r="G247" t="s">
        <v>40</v>
      </c>
    </row>
    <row r="248" spans="1:7" x14ac:dyDescent="0.4">
      <c r="A248">
        <v>1886</v>
      </c>
      <c r="B248" t="s">
        <v>268</v>
      </c>
      <c r="C248" t="s">
        <v>324</v>
      </c>
      <c r="F248" t="s">
        <v>325</v>
      </c>
      <c r="G248" t="s">
        <v>326</v>
      </c>
    </row>
    <row r="249" spans="1:7" x14ac:dyDescent="0.4">
      <c r="A249">
        <v>1886</v>
      </c>
      <c r="B249" t="s">
        <v>10</v>
      </c>
      <c r="C249" t="s">
        <v>73</v>
      </c>
      <c r="E249">
        <v>96</v>
      </c>
      <c r="F249" t="s">
        <v>74</v>
      </c>
      <c r="G249" t="s">
        <v>39</v>
      </c>
    </row>
    <row r="250" spans="1:7" x14ac:dyDescent="0.4">
      <c r="A250">
        <v>1885</v>
      </c>
      <c r="B250" t="s">
        <v>268</v>
      </c>
      <c r="C250" t="s">
        <v>352</v>
      </c>
      <c r="F250" t="s">
        <v>353</v>
      </c>
      <c r="G250" t="s">
        <v>354</v>
      </c>
    </row>
    <row r="251" spans="1:7" x14ac:dyDescent="0.4">
      <c r="A251">
        <v>1885</v>
      </c>
      <c r="B251" t="s">
        <v>10</v>
      </c>
      <c r="C251" t="s">
        <v>73</v>
      </c>
      <c r="E251">
        <v>122</v>
      </c>
      <c r="F251" t="s">
        <v>76</v>
      </c>
      <c r="G251" t="s">
        <v>39</v>
      </c>
    </row>
    <row r="252" spans="1:7" x14ac:dyDescent="0.4">
      <c r="A252">
        <v>1884</v>
      </c>
      <c r="B252" t="s">
        <v>268</v>
      </c>
      <c r="C252" t="s">
        <v>352</v>
      </c>
      <c r="F252" t="s">
        <v>355</v>
      </c>
      <c r="G252" t="s">
        <v>356</v>
      </c>
    </row>
    <row r="253" spans="1:7" x14ac:dyDescent="0.4">
      <c r="A253">
        <v>1884</v>
      </c>
      <c r="B253" t="s">
        <v>10</v>
      </c>
      <c r="C253" t="s">
        <v>73</v>
      </c>
      <c r="E253">
        <v>69</v>
      </c>
      <c r="F253" t="s">
        <v>75</v>
      </c>
      <c r="G253" t="s">
        <v>39</v>
      </c>
    </row>
    <row r="254" spans="1:7" x14ac:dyDescent="0.4">
      <c r="A254">
        <v>1883</v>
      </c>
      <c r="B254" t="s">
        <v>10</v>
      </c>
      <c r="C254" t="s">
        <v>73</v>
      </c>
      <c r="E254">
        <v>89</v>
      </c>
      <c r="F254" t="s">
        <v>77</v>
      </c>
      <c r="G254" t="s">
        <v>40</v>
      </c>
    </row>
    <row r="255" spans="1:7" x14ac:dyDescent="0.4">
      <c r="A255">
        <v>1882</v>
      </c>
      <c r="B255" t="s">
        <v>10</v>
      </c>
      <c r="C255" t="s">
        <v>73</v>
      </c>
      <c r="E255">
        <v>85</v>
      </c>
      <c r="F255" t="s">
        <v>78</v>
      </c>
      <c r="G255" t="s">
        <v>40</v>
      </c>
    </row>
    <row r="256" spans="1:7" x14ac:dyDescent="0.4">
      <c r="A256">
        <v>1881</v>
      </c>
      <c r="B256" t="s">
        <v>10</v>
      </c>
      <c r="C256" t="s">
        <v>73</v>
      </c>
      <c r="E256">
        <v>37</v>
      </c>
      <c r="F256" t="s">
        <v>80</v>
      </c>
      <c r="G256" t="s">
        <v>54</v>
      </c>
    </row>
    <row r="257" spans="1:7" x14ac:dyDescent="0.4">
      <c r="A257">
        <v>1880</v>
      </c>
      <c r="B257" t="s">
        <v>10</v>
      </c>
      <c r="C257" t="s">
        <v>54</v>
      </c>
      <c r="F257" t="s">
        <v>55</v>
      </c>
      <c r="G257" t="s">
        <v>39</v>
      </c>
    </row>
    <row r="258" spans="1:7" x14ac:dyDescent="0.4">
      <c r="A258">
        <v>1879</v>
      </c>
      <c r="B258" t="s">
        <v>10</v>
      </c>
      <c r="C258" t="s">
        <v>54</v>
      </c>
      <c r="F258" t="s">
        <v>57</v>
      </c>
      <c r="G258" t="s">
        <v>56</v>
      </c>
    </row>
    <row r="259" spans="1:7" x14ac:dyDescent="0.4">
      <c r="A259">
        <v>1878</v>
      </c>
      <c r="B259" t="s">
        <v>10</v>
      </c>
      <c r="C259" t="s">
        <v>58</v>
      </c>
      <c r="F259" t="s">
        <v>60</v>
      </c>
      <c r="G259" t="s">
        <v>59</v>
      </c>
    </row>
    <row r="260" spans="1:7" x14ac:dyDescent="0.4">
      <c r="A260">
        <v>1877</v>
      </c>
      <c r="B260" t="s">
        <v>10</v>
      </c>
      <c r="C260" t="s">
        <v>59</v>
      </c>
      <c r="E260">
        <v>48</v>
      </c>
      <c r="F260" t="s">
        <v>67</v>
      </c>
      <c r="G260" t="s">
        <v>66</v>
      </c>
    </row>
  </sheetData>
  <sortState xmlns:xlrd2="http://schemas.microsoft.com/office/spreadsheetml/2017/richdata2" ref="A2:H260">
    <sortCondition descending="1" ref="A2:A260"/>
    <sortCondition descending="1" ref="B2:B260"/>
  </sortState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3" sqref="D23"/>
    </sheetView>
  </sheetViews>
  <sheetFormatPr defaultRowHeight="14.6" x14ac:dyDescent="0.4"/>
  <cols>
    <col min="1" max="1" width="8.3046875" customWidth="1"/>
    <col min="2" max="2" width="9.3046875" bestFit="1" customWidth="1"/>
    <col min="3" max="3" width="15.69140625" style="9" bestFit="1" customWidth="1"/>
    <col min="4" max="4" width="20.53515625" bestFit="1" customWidth="1"/>
    <col min="5" max="5" width="15" bestFit="1" customWidth="1"/>
    <col min="6" max="6" width="5.4609375" bestFit="1" customWidth="1"/>
    <col min="7" max="7" width="30.4609375" bestFit="1" customWidth="1"/>
    <col min="8" max="8" width="20.69140625" bestFit="1" customWidth="1"/>
    <col min="9" max="9" width="21" bestFit="1" customWidth="1"/>
    <col min="10" max="10" width="15.4609375" bestFit="1" customWidth="1"/>
  </cols>
  <sheetData>
    <row r="1" spans="1:10" s="1" customFormat="1" x14ac:dyDescent="0.4">
      <c r="A1" s="1" t="str">
        <f>wimbledons_champions!A1</f>
        <v>Year</v>
      </c>
      <c r="B1" s="1" t="str">
        <f>wimbledons_champions!B1</f>
        <v>Gender</v>
      </c>
      <c r="C1" s="8" t="str">
        <f>wimbledons_champions!C1</f>
        <v>Champion</v>
      </c>
      <c r="D1" s="1" t="str">
        <f>wimbledons_champions!D1</f>
        <v>Champion Nationality</v>
      </c>
      <c r="E1" s="1" t="str">
        <f>wimbledons_champions!F1</f>
        <v>Champion Seed</v>
      </c>
      <c r="F1" s="1" t="str">
        <f>wimbledons_champions!G1</f>
        <v>Mins</v>
      </c>
      <c r="G1" s="1" t="str">
        <f>wimbledons_champions!H1</f>
        <v>Score</v>
      </c>
      <c r="H1" s="1" t="str">
        <f>wimbledons_champions!S1</f>
        <v>Runner-up</v>
      </c>
      <c r="I1" s="1" t="str">
        <f>wimbledons_champions!T1</f>
        <v>Runner-up Nationality</v>
      </c>
      <c r="J1" s="1" t="str">
        <f>wimbledons_champions!V1</f>
        <v>Runner-up Seed</v>
      </c>
    </row>
    <row r="2" spans="1:10" x14ac:dyDescent="0.4">
      <c r="A2">
        <f>wimbledons_champions!A14</f>
        <v>2019</v>
      </c>
      <c r="B2" t="str">
        <f>wimbledons_champions!B14</f>
        <v>Women's</v>
      </c>
      <c r="C2" s="14" t="str">
        <f>wimbledons_champions!C14</f>
        <v>S.Halep</v>
      </c>
      <c r="D2" t="str">
        <f>wimbledons_champions!D14</f>
        <v>ROU</v>
      </c>
      <c r="E2">
        <f>wimbledons_champions!F14</f>
        <v>7</v>
      </c>
      <c r="F2">
        <f>wimbledons_champions!G14</f>
        <v>56</v>
      </c>
      <c r="G2" t="str">
        <f>wimbledons_champions!H14</f>
        <v>6-2,6-2</v>
      </c>
      <c r="H2" s="2" t="str">
        <f>wimbledons_champions!S14</f>
        <v>S. Williams</v>
      </c>
      <c r="I2" t="str">
        <f>wimbledons_champions!T14</f>
        <v>USA</v>
      </c>
      <c r="J2">
        <f>wimbledons_champions!V14</f>
        <v>11</v>
      </c>
    </row>
    <row r="3" spans="1:10" x14ac:dyDescent="0.4">
      <c r="A3">
        <f>wimbledons_champions!A15</f>
        <v>2019</v>
      </c>
      <c r="B3" t="str">
        <f>wimbledons_champions!B15</f>
        <v>Men's</v>
      </c>
      <c r="C3" s="9" t="str">
        <f>wimbledons_champions!C15</f>
        <v>N. Djokovic</v>
      </c>
      <c r="D3" t="str">
        <f>wimbledons_champions!D15</f>
        <v>SRB</v>
      </c>
      <c r="E3">
        <f>wimbledons_champions!F15</f>
        <v>1</v>
      </c>
      <c r="F3">
        <f>wimbledons_champions!G15</f>
        <v>297</v>
      </c>
      <c r="G3" t="str">
        <f>wimbledons_champions!H15</f>
        <v>7-6(7-5),1-6,7-6(7-4),4-6,13-12(7-3)</v>
      </c>
      <c r="H3" t="str">
        <f>wimbledons_champions!S15</f>
        <v>R. Federer</v>
      </c>
      <c r="I3" t="str">
        <f>wimbledons_champions!T15</f>
        <v>SUI</v>
      </c>
      <c r="J3">
        <f>wimbledons_champions!V15</f>
        <v>2</v>
      </c>
    </row>
    <row r="4" spans="1:10" x14ac:dyDescent="0.4">
      <c r="A4">
        <f>wimbledons_champions!A16</f>
        <v>2018</v>
      </c>
      <c r="B4" t="str">
        <f>wimbledons_champions!B16</f>
        <v>Women's</v>
      </c>
      <c r="C4" s="14" t="str">
        <f>wimbledons_champions!C16</f>
        <v>A. Kerber</v>
      </c>
      <c r="D4" t="str">
        <f>wimbledons_champions!D16</f>
        <v>GER</v>
      </c>
      <c r="E4">
        <f>wimbledons_champions!F16</f>
        <v>11</v>
      </c>
      <c r="F4">
        <f>wimbledons_champions!G16</f>
        <v>65</v>
      </c>
      <c r="G4" t="str">
        <f>wimbledons_champions!H16</f>
        <v>6-3,6-3</v>
      </c>
      <c r="H4" t="str">
        <f>wimbledons_champions!S16</f>
        <v>S. Williams</v>
      </c>
      <c r="I4" t="str">
        <f>wimbledons_champions!T16</f>
        <v>USA</v>
      </c>
      <c r="J4">
        <f>wimbledons_champions!V16</f>
        <v>25</v>
      </c>
    </row>
    <row r="5" spans="1:10" x14ac:dyDescent="0.4">
      <c r="A5">
        <f>wimbledons_champions!A17</f>
        <v>2018</v>
      </c>
      <c r="B5" t="str">
        <f>wimbledons_champions!B17</f>
        <v>Men's</v>
      </c>
      <c r="C5" s="9" t="str">
        <f>wimbledons_champions!C17</f>
        <v>N. Djokovic</v>
      </c>
      <c r="D5" t="str">
        <f>wimbledons_champions!D17</f>
        <v>SRB</v>
      </c>
      <c r="E5">
        <f>wimbledons_champions!F17</f>
        <v>12</v>
      </c>
      <c r="F5">
        <f>wimbledons_champions!G17</f>
        <v>170</v>
      </c>
      <c r="G5" t="str">
        <f>wimbledons_champions!H17</f>
        <v>6-2,6-2,7-6(7-3)</v>
      </c>
      <c r="H5" t="str">
        <f>wimbledons_champions!S17</f>
        <v>K. Anderson</v>
      </c>
      <c r="I5" t="str">
        <f>wimbledons_champions!T17</f>
        <v>RSA</v>
      </c>
      <c r="J5">
        <f>wimbledons_champions!V17</f>
        <v>8</v>
      </c>
    </row>
    <row r="6" spans="1:10" x14ac:dyDescent="0.4">
      <c r="A6">
        <f>wimbledons_champions!A18</f>
        <v>2017</v>
      </c>
      <c r="B6" t="str">
        <f>wimbledons_champions!B18</f>
        <v>Women's</v>
      </c>
      <c r="C6" s="10" t="str">
        <f>wimbledons_champions!C18</f>
        <v>G. Muguruza</v>
      </c>
      <c r="D6" t="str">
        <f>wimbledons_champions!D18</f>
        <v>ESP</v>
      </c>
      <c r="E6">
        <f>wimbledons_champions!F18</f>
        <v>14</v>
      </c>
      <c r="F6">
        <f>wimbledons_champions!G18</f>
        <v>77</v>
      </c>
      <c r="G6" t="str">
        <f>wimbledons_champions!H18</f>
        <v>7-5,6-0</v>
      </c>
      <c r="H6" t="str">
        <f>wimbledons_champions!S18</f>
        <v>V.E.S. Williams</v>
      </c>
      <c r="I6" t="str">
        <f>wimbledons_champions!T18</f>
        <v>USA</v>
      </c>
      <c r="J6">
        <f>wimbledons_champions!V18</f>
        <v>10</v>
      </c>
    </row>
    <row r="7" spans="1:10" x14ac:dyDescent="0.4">
      <c r="A7">
        <f>wimbledons_champions!A19</f>
        <v>2017</v>
      </c>
      <c r="B7" t="str">
        <f>wimbledons_champions!B19</f>
        <v>Men's</v>
      </c>
      <c r="C7" s="9" t="str">
        <f>wimbledons_champions!C19</f>
        <v>R. Federer</v>
      </c>
      <c r="D7" t="str">
        <f>wimbledons_champions!D19</f>
        <v>SUI</v>
      </c>
      <c r="E7">
        <f>wimbledons_champions!F19</f>
        <v>3</v>
      </c>
      <c r="F7">
        <f>wimbledons_champions!G19</f>
        <v>101</v>
      </c>
      <c r="G7" t="str">
        <f>wimbledons_champions!H19</f>
        <v>6-3,6-1,6-4</v>
      </c>
      <c r="H7" t="str">
        <f>wimbledons_champions!S19</f>
        <v>M.Cilic</v>
      </c>
      <c r="I7" t="str">
        <f>wimbledons_champions!T19</f>
        <v>CRO</v>
      </c>
      <c r="J7">
        <f>wimbledons_champions!V19</f>
        <v>7</v>
      </c>
    </row>
    <row r="8" spans="1:10" x14ac:dyDescent="0.4">
      <c r="A8">
        <f>wimbledons_champions!A20</f>
        <v>2016</v>
      </c>
      <c r="B8" t="str">
        <f>wimbledons_champions!B20</f>
        <v>Women's</v>
      </c>
      <c r="C8" s="9" t="str">
        <f>wimbledons_champions!C20</f>
        <v>S. Williams</v>
      </c>
      <c r="D8" t="str">
        <f>wimbledons_champions!D20</f>
        <v>USA</v>
      </c>
      <c r="E8">
        <f>wimbledons_champions!F20</f>
        <v>1</v>
      </c>
      <c r="F8">
        <f>wimbledons_champions!G20</f>
        <v>83</v>
      </c>
      <c r="G8" t="str">
        <f>wimbledons_champions!H20</f>
        <v>7-5, 6-3</v>
      </c>
      <c r="H8" t="str">
        <f>wimbledons_champions!S20</f>
        <v>A. Kerber</v>
      </c>
      <c r="I8" t="str">
        <f>wimbledons_champions!T20</f>
        <v>GER</v>
      </c>
      <c r="J8">
        <f>wimbledons_champions!V20</f>
        <v>4</v>
      </c>
    </row>
    <row r="9" spans="1:10" x14ac:dyDescent="0.4">
      <c r="A9">
        <f>wimbledons_champions!A21</f>
        <v>2016</v>
      </c>
      <c r="B9" t="str">
        <f>wimbledons_champions!B21</f>
        <v>Men's</v>
      </c>
      <c r="C9" s="9" t="str">
        <f>wimbledons_champions!C21</f>
        <v>A. Murray</v>
      </c>
      <c r="D9" t="str">
        <f>wimbledons_champions!D21</f>
        <v>GBR</v>
      </c>
      <c r="E9">
        <f>wimbledons_champions!F21</f>
        <v>2</v>
      </c>
      <c r="F9">
        <f>wimbledons_champions!G21</f>
        <v>170</v>
      </c>
      <c r="G9" t="str">
        <f>wimbledons_champions!H21</f>
        <v>6-4, 7-6(7-3), 7-6(7-2)</v>
      </c>
      <c r="H9" t="str">
        <f>wimbledons_champions!S21</f>
        <v>M. Raonic</v>
      </c>
      <c r="I9" t="str">
        <f>wimbledons_champions!T21</f>
        <v>CND</v>
      </c>
      <c r="J9">
        <f>wimbledons_champions!V21</f>
        <v>6</v>
      </c>
    </row>
    <row r="10" spans="1:10" x14ac:dyDescent="0.4">
      <c r="A10">
        <f>wimbledons_champions!A22</f>
        <v>2015</v>
      </c>
      <c r="B10" t="str">
        <f>wimbledons_champions!B22</f>
        <v>Women's</v>
      </c>
      <c r="C10" s="14" t="str">
        <f>wimbledons_champions!C22</f>
        <v>S. Williams</v>
      </c>
      <c r="D10" t="str">
        <f>wimbledons_champions!D22</f>
        <v>USA</v>
      </c>
      <c r="E10">
        <f>wimbledons_champions!F22</f>
        <v>1</v>
      </c>
      <c r="F10">
        <f>wimbledons_champions!G22</f>
        <v>83</v>
      </c>
      <c r="G10" t="str">
        <f>wimbledons_champions!H22</f>
        <v>6-4, 6-4</v>
      </c>
      <c r="H10" s="2" t="str">
        <f>wimbledons_champions!S22</f>
        <v>G. Muguruza</v>
      </c>
      <c r="I10" t="str">
        <f>wimbledons_champions!T22</f>
        <v>ESP</v>
      </c>
      <c r="J10">
        <f>wimbledons_champions!V22</f>
        <v>20</v>
      </c>
    </row>
    <row r="11" spans="1:10" x14ac:dyDescent="0.4">
      <c r="A11">
        <f>wimbledons_champions!A23</f>
        <v>2015</v>
      </c>
      <c r="B11" t="str">
        <f>wimbledons_champions!B23</f>
        <v>Men's</v>
      </c>
      <c r="C11" s="9" t="str">
        <f>wimbledons_champions!C23</f>
        <v>N. Djokovic</v>
      </c>
      <c r="D11" t="str">
        <f>wimbledons_champions!D23</f>
        <v>SRB</v>
      </c>
      <c r="E11">
        <f>wimbledons_champions!F23</f>
        <v>1</v>
      </c>
      <c r="F11">
        <f>wimbledons_champions!G23</f>
        <v>176</v>
      </c>
      <c r="G11" t="str">
        <f>wimbledons_champions!H23</f>
        <v>7-6(7-1), 6-7(10-12), 6-4, 6-3</v>
      </c>
      <c r="H11" t="str">
        <f>wimbledons_champions!S23</f>
        <v>R. Federer</v>
      </c>
      <c r="I11" t="str">
        <f>wimbledons_champions!T23</f>
        <v>SUI</v>
      </c>
      <c r="J11">
        <f>wimbledons_champions!V23</f>
        <v>2</v>
      </c>
    </row>
    <row r="12" spans="1:10" x14ac:dyDescent="0.4">
      <c r="A12">
        <f>wimbledons_champions!A24</f>
        <v>2014</v>
      </c>
      <c r="B12" t="str">
        <f>wimbledons_champions!B24</f>
        <v>Women's</v>
      </c>
      <c r="C12" s="14" t="str">
        <f>wimbledons_champions!C24</f>
        <v>P. Kvitová</v>
      </c>
      <c r="D12" t="str">
        <f>wimbledons_champions!D24</f>
        <v>CZE</v>
      </c>
      <c r="E12">
        <f>wimbledons_champions!F24</f>
        <v>6</v>
      </c>
      <c r="F12">
        <f>wimbledons_champions!G24</f>
        <v>55</v>
      </c>
      <c r="G12" t="str">
        <f>wimbledons_champions!H24</f>
        <v>6-3, 6-0</v>
      </c>
      <c r="H12" s="2" t="str">
        <f>wimbledons_champions!S24</f>
        <v>E. Bouchard</v>
      </c>
      <c r="I12" t="str">
        <f>wimbledons_champions!T24</f>
        <v>CND</v>
      </c>
      <c r="J12">
        <f>wimbledons_champions!V24</f>
        <v>13</v>
      </c>
    </row>
    <row r="13" spans="1:10" x14ac:dyDescent="0.4">
      <c r="A13">
        <f>wimbledons_champions!A25</f>
        <v>2014</v>
      </c>
      <c r="B13" t="str">
        <f>wimbledons_champions!B25</f>
        <v>Men's</v>
      </c>
      <c r="C13" s="9" t="str">
        <f>wimbledons_champions!C25</f>
        <v>N. Djokovic</v>
      </c>
      <c r="D13" t="str">
        <f>wimbledons_champions!D25</f>
        <v>SRB</v>
      </c>
      <c r="E13">
        <f>wimbledons_champions!F25</f>
        <v>1</v>
      </c>
      <c r="F13">
        <f>wimbledons_champions!G25</f>
        <v>236</v>
      </c>
      <c r="G13" t="str">
        <f>wimbledons_champions!H25</f>
        <v>6-7(7-9), 6-4, 7-6(7-4), 5-7, 6-4</v>
      </c>
      <c r="H13" t="str">
        <f>wimbledons_champions!S25</f>
        <v>R. Federer</v>
      </c>
      <c r="I13" t="str">
        <f>wimbledons_champions!T25</f>
        <v>SUI</v>
      </c>
      <c r="J13">
        <f>wimbledons_champions!V25</f>
        <v>4</v>
      </c>
    </row>
    <row r="14" spans="1:10" x14ac:dyDescent="0.4">
      <c r="A14">
        <f>wimbledons_champions!A26</f>
        <v>2013</v>
      </c>
      <c r="B14" t="str">
        <f>wimbledons_champions!B26</f>
        <v>Women's</v>
      </c>
      <c r="C14" s="9" t="str">
        <f>wimbledons_champions!C26</f>
        <v>M. Bartoli</v>
      </c>
      <c r="D14" t="str">
        <f>wimbledons_champions!D26</f>
        <v>FRA</v>
      </c>
      <c r="E14">
        <f>wimbledons_champions!F26</f>
        <v>15</v>
      </c>
      <c r="F14">
        <f>wimbledons_champions!G26</f>
        <v>81</v>
      </c>
      <c r="G14" t="str">
        <f>wimbledons_champions!H26</f>
        <v>6-2,1-6,6-4</v>
      </c>
      <c r="H14" t="str">
        <f>wimbledons_champions!S26</f>
        <v>S. Lisicki</v>
      </c>
      <c r="I14" t="str">
        <f>wimbledons_champions!T26</f>
        <v>GER</v>
      </c>
      <c r="J14">
        <f>wimbledons_champions!V26</f>
        <v>23</v>
      </c>
    </row>
    <row r="15" spans="1:10" x14ac:dyDescent="0.4">
      <c r="A15">
        <f>wimbledons_champions!A27</f>
        <v>2013</v>
      </c>
      <c r="B15" t="str">
        <f>wimbledons_champions!B27</f>
        <v>Men's</v>
      </c>
      <c r="C15" s="9" t="str">
        <f>wimbledons_champions!C27</f>
        <v>A. Murray</v>
      </c>
      <c r="D15" t="str">
        <f>wimbledons_champions!D27</f>
        <v>GBR</v>
      </c>
      <c r="E15">
        <f>wimbledons_champions!F27</f>
        <v>2</v>
      </c>
      <c r="F15">
        <f>wimbledons_champions!G27</f>
        <v>134</v>
      </c>
      <c r="G15" t="str">
        <f>wimbledons_champions!H27</f>
        <v>6-4, 7-5, 6-4</v>
      </c>
      <c r="H15" t="str">
        <f>wimbledons_champions!S27</f>
        <v>N. Djokovic</v>
      </c>
      <c r="I15" t="str">
        <f>wimbledons_champions!T27</f>
        <v>SRB</v>
      </c>
      <c r="J15">
        <f>wimbledons_champions!V27</f>
        <v>1</v>
      </c>
    </row>
    <row r="16" spans="1:10" x14ac:dyDescent="0.4">
      <c r="A16">
        <f>wimbledons_champions!A28</f>
        <v>2012</v>
      </c>
      <c r="B16" t="str">
        <f>wimbledons_champions!B28</f>
        <v>Women's</v>
      </c>
      <c r="C16" s="10" t="str">
        <f>wimbledons_champions!C28</f>
        <v>S. Williams</v>
      </c>
      <c r="D16" t="str">
        <f>wimbledons_champions!D28</f>
        <v>USA</v>
      </c>
      <c r="E16">
        <f>wimbledons_champions!F28</f>
        <v>6</v>
      </c>
      <c r="F16">
        <f>wimbledons_champions!G28</f>
        <v>122</v>
      </c>
      <c r="G16" t="str">
        <f>wimbledons_champions!H28</f>
        <v>6-1, 5-7, 6-2</v>
      </c>
      <c r="H16" t="str">
        <f>wimbledons_champions!S28</f>
        <v>A. Radwańska</v>
      </c>
      <c r="I16" t="str">
        <f>wimbledons_champions!T28</f>
        <v>POL</v>
      </c>
      <c r="J16">
        <f>wimbledons_champions!V28</f>
        <v>3</v>
      </c>
    </row>
    <row r="17" spans="1:10" x14ac:dyDescent="0.4">
      <c r="A17">
        <f>wimbledons_champions!A29</f>
        <v>2012</v>
      </c>
      <c r="B17" t="str">
        <f>wimbledons_champions!B29</f>
        <v>Men's</v>
      </c>
      <c r="C17" s="9" t="str">
        <f>wimbledons_champions!C29</f>
        <v>R. Federer</v>
      </c>
      <c r="D17" t="str">
        <f>wimbledons_champions!D29</f>
        <v>SUI</v>
      </c>
      <c r="E17">
        <f>wimbledons_champions!F29</f>
        <v>3</v>
      </c>
      <c r="F17">
        <f>wimbledons_champions!G29</f>
        <v>204</v>
      </c>
      <c r="G17" t="str">
        <f>wimbledons_champions!H29</f>
        <v>4-6, 7-5, 6-3, 6-4</v>
      </c>
      <c r="H17" t="str">
        <f>wimbledons_champions!S29</f>
        <v>A. Murray</v>
      </c>
      <c r="I17" t="str">
        <f>wimbledons_champions!T29</f>
        <v>GBR</v>
      </c>
      <c r="J17">
        <f>wimbledons_champions!V29</f>
        <v>4</v>
      </c>
    </row>
    <row r="18" spans="1:10" x14ac:dyDescent="0.4">
      <c r="A18">
        <f>wimbledons_champions!A30</f>
        <v>2011</v>
      </c>
      <c r="B18" t="str">
        <f>wimbledons_champions!B30</f>
        <v>Women's</v>
      </c>
      <c r="C18" s="14" t="str">
        <f>wimbledons_champions!C30</f>
        <v>P. Kvitova</v>
      </c>
      <c r="D18" t="str">
        <f>wimbledons_champions!D30</f>
        <v>CZE</v>
      </c>
      <c r="E18">
        <f>wimbledons_champions!F30</f>
        <v>8</v>
      </c>
      <c r="F18">
        <f>wimbledons_champions!G30</f>
        <v>85</v>
      </c>
      <c r="G18" t="str">
        <f>wimbledons_champions!H30</f>
        <v>6-3, 6-4</v>
      </c>
      <c r="H18" t="str">
        <f>wimbledons_champions!S30</f>
        <v>M. Sharapova</v>
      </c>
      <c r="I18" t="str">
        <f>wimbledons_champions!T30</f>
        <v>RUS</v>
      </c>
      <c r="J18">
        <f>wimbledons_champions!V30</f>
        <v>5</v>
      </c>
    </row>
    <row r="19" spans="1:10" x14ac:dyDescent="0.4">
      <c r="A19">
        <f>wimbledons_champions!A31</f>
        <v>2011</v>
      </c>
      <c r="B19" t="str">
        <f>wimbledons_champions!B31</f>
        <v>Men's</v>
      </c>
      <c r="C19" s="9" t="str">
        <f>wimbledons_champions!C31</f>
        <v>N. Djokovic</v>
      </c>
      <c r="D19" t="str">
        <f>wimbledons_champions!D31</f>
        <v>SRB</v>
      </c>
      <c r="E19">
        <f>wimbledons_champions!F31</f>
        <v>2</v>
      </c>
      <c r="F19">
        <f>wimbledons_champions!G31</f>
        <v>148</v>
      </c>
      <c r="G19" t="str">
        <f>wimbledons_champions!H31</f>
        <v>6-4 6-1 1-6 6-3</v>
      </c>
      <c r="H19" t="str">
        <f>wimbledons_champions!S31</f>
        <v>R. Nadal</v>
      </c>
      <c r="I19" t="str">
        <f>wimbledons_champions!T31</f>
        <v>ESP</v>
      </c>
      <c r="J19">
        <f>wimbledons_champions!V31</f>
        <v>1</v>
      </c>
    </row>
    <row r="20" spans="1:10" x14ac:dyDescent="0.4">
      <c r="A20">
        <f>wimbledons_champions!A32</f>
        <v>2010</v>
      </c>
      <c r="B20" t="str">
        <f>wimbledons_champions!B32</f>
        <v>Women's</v>
      </c>
      <c r="C20" s="9" t="str">
        <f>wimbledons_champions!C32</f>
        <v>S. Williams</v>
      </c>
      <c r="D20" t="str">
        <f>wimbledons_champions!D32</f>
        <v>USA</v>
      </c>
      <c r="E20">
        <f>wimbledons_champions!F32</f>
        <v>1</v>
      </c>
      <c r="F20">
        <f>wimbledons_champions!G32</f>
        <v>66</v>
      </c>
      <c r="G20" t="str">
        <f>wimbledons_champions!H32</f>
        <v>6-3, 6-2</v>
      </c>
      <c r="H20" t="str">
        <f>wimbledons_champions!S32</f>
        <v>V. Zvonareva</v>
      </c>
      <c r="I20" t="str">
        <f>wimbledons_champions!T32</f>
        <v>RUS</v>
      </c>
      <c r="J20">
        <f>wimbledons_champions!V32</f>
        <v>21</v>
      </c>
    </row>
    <row r="21" spans="1:10" x14ac:dyDescent="0.4">
      <c r="A21">
        <f>wimbledons_champions!A33</f>
        <v>2010</v>
      </c>
      <c r="B21" t="str">
        <f>wimbledons_champions!B33</f>
        <v>Men's</v>
      </c>
      <c r="C21" s="9" t="str">
        <f>wimbledons_champions!C33</f>
        <v>R. Nadal</v>
      </c>
      <c r="D21" t="str">
        <f>wimbledons_champions!D33</f>
        <v>ESP</v>
      </c>
      <c r="E21">
        <f>wimbledons_champions!F33</f>
        <v>2</v>
      </c>
      <c r="F21">
        <f>wimbledons_champions!G33</f>
        <v>133</v>
      </c>
      <c r="G21" t="str">
        <f>wimbledons_champions!H33</f>
        <v>6-3, 7-5, 6-4</v>
      </c>
      <c r="H21" t="str">
        <f>wimbledons_champions!S33</f>
        <v>T. Berdych</v>
      </c>
      <c r="I21" t="str">
        <f>wimbledons_champions!T33</f>
        <v>CZE</v>
      </c>
      <c r="J21">
        <f>wimbledons_champions!V33</f>
        <v>12</v>
      </c>
    </row>
    <row r="22" spans="1:10" x14ac:dyDescent="0.4">
      <c r="A22">
        <f>wimbledons_champions!A34</f>
        <v>2009</v>
      </c>
      <c r="B22" t="str">
        <f>wimbledons_champions!B34</f>
        <v>Women's</v>
      </c>
      <c r="C22" s="10" t="str">
        <f>wimbledons_champions!C34</f>
        <v>S. Williams</v>
      </c>
      <c r="D22" t="str">
        <f>wimbledons_champions!D34</f>
        <v>USA</v>
      </c>
      <c r="E22">
        <f>wimbledons_champions!F34</f>
        <v>2</v>
      </c>
      <c r="F22">
        <f>wimbledons_champions!G34</f>
        <v>87</v>
      </c>
      <c r="G22" t="str">
        <f>wimbledons_champions!H34</f>
        <v>7-6 (7-3), 6-2</v>
      </c>
      <c r="H22" t="str">
        <f>wimbledons_champions!S34</f>
        <v>V.E.S. Williams</v>
      </c>
      <c r="I22" t="str">
        <f>wimbledons_champions!T34</f>
        <v>USA</v>
      </c>
      <c r="J22">
        <f>wimbledons_champions!V34</f>
        <v>3</v>
      </c>
    </row>
    <row r="23" spans="1:10" x14ac:dyDescent="0.4">
      <c r="A23">
        <f>wimbledons_champions!A35</f>
        <v>2009</v>
      </c>
      <c r="B23" t="str">
        <f>wimbledons_champions!B35</f>
        <v>Men's</v>
      </c>
      <c r="C23" s="9" t="str">
        <f>wimbledons_champions!C35</f>
        <v>R. Federer</v>
      </c>
      <c r="D23" t="str">
        <f>wimbledons_champions!D35</f>
        <v>SUI</v>
      </c>
      <c r="E23">
        <f>wimbledons_champions!F35</f>
        <v>2</v>
      </c>
      <c r="F23">
        <f>wimbledons_champions!G35</f>
        <v>256</v>
      </c>
      <c r="G23" t="str">
        <f>wimbledons_champions!H35</f>
        <v>5-7, 7-6 (8-6), 7-6 (7-5), 3-6, 16-14</v>
      </c>
      <c r="H23" t="str">
        <f>wimbledons_champions!S35</f>
        <v>A. Roddick</v>
      </c>
      <c r="I23" t="str">
        <f>wimbledons_champions!T35</f>
        <v>USA</v>
      </c>
      <c r="J23">
        <f>wimbledons_champions!V35</f>
        <v>6</v>
      </c>
    </row>
    <row r="24" spans="1:10" x14ac:dyDescent="0.4">
      <c r="A24">
        <f>wimbledons_champions!A36</f>
        <v>2008</v>
      </c>
      <c r="B24" t="str">
        <f>wimbledons_champions!B36</f>
        <v>Women's</v>
      </c>
      <c r="C24" s="9" t="str">
        <f>wimbledons_champions!C36</f>
        <v>V.E.S. Williams</v>
      </c>
      <c r="D24" t="str">
        <f>wimbledons_champions!D36</f>
        <v>USA</v>
      </c>
      <c r="E24">
        <f>wimbledons_champions!F36</f>
        <v>7</v>
      </c>
      <c r="F24">
        <f>wimbledons_champions!G36</f>
        <v>111</v>
      </c>
      <c r="G24" t="str">
        <f>wimbledons_champions!H36</f>
        <v>7-5, 6-4</v>
      </c>
      <c r="H24" s="2" t="str">
        <f>wimbledons_champions!S36</f>
        <v>S. Williams</v>
      </c>
      <c r="I24" t="str">
        <f>wimbledons_champions!T36</f>
        <v>USA</v>
      </c>
      <c r="J24">
        <f>wimbledons_champions!V36</f>
        <v>6</v>
      </c>
    </row>
    <row r="25" spans="1:10" x14ac:dyDescent="0.4">
      <c r="A25">
        <f>wimbledons_champions!A37</f>
        <v>2008</v>
      </c>
      <c r="B25" t="str">
        <f>wimbledons_champions!B37</f>
        <v>Men's</v>
      </c>
      <c r="C25" s="14" t="str">
        <f>wimbledons_champions!C37</f>
        <v>R. Nadal</v>
      </c>
      <c r="D25" t="str">
        <f>wimbledons_champions!D37</f>
        <v>ESP</v>
      </c>
      <c r="E25">
        <f>wimbledons_champions!F37</f>
        <v>2</v>
      </c>
      <c r="F25">
        <f>wimbledons_champions!G37</f>
        <v>288</v>
      </c>
      <c r="G25" t="str">
        <f>wimbledons_champions!H37</f>
        <v>6-4, 6-4, 6-7 (5-7), 6-7 (8-10), 9-7</v>
      </c>
      <c r="H25" t="str">
        <f>wimbledons_champions!S37</f>
        <v>R. Federer</v>
      </c>
      <c r="I25" t="str">
        <f>wimbledons_champions!T37</f>
        <v>SUI</v>
      </c>
      <c r="J25">
        <f>wimbledons_champions!V37</f>
        <v>1</v>
      </c>
    </row>
    <row r="26" spans="1:10" x14ac:dyDescent="0.4">
      <c r="A26">
        <f>wimbledons_champions!A38</f>
        <v>2007</v>
      </c>
      <c r="B26" t="str">
        <f>wimbledons_champions!B38</f>
        <v>Women's</v>
      </c>
      <c r="C26" s="10" t="str">
        <f>wimbledons_champions!C38</f>
        <v>V.E.S. Williams</v>
      </c>
      <c r="D26" t="str">
        <f>wimbledons_champions!D38</f>
        <v>USA</v>
      </c>
      <c r="E26">
        <f>wimbledons_champions!F38</f>
        <v>23</v>
      </c>
      <c r="F26">
        <f>wimbledons_champions!G38</f>
        <v>90</v>
      </c>
      <c r="G26" t="str">
        <f>wimbledons_champions!H38</f>
        <v>6-4, 6-1</v>
      </c>
      <c r="H26" t="str">
        <f>wimbledons_champions!S38</f>
        <v>M. Bartoli</v>
      </c>
      <c r="I26" t="str">
        <f>wimbledons_champions!T38</f>
        <v>FRA</v>
      </c>
      <c r="J26">
        <f>wimbledons_champions!V38</f>
        <v>18</v>
      </c>
    </row>
    <row r="27" spans="1:10" x14ac:dyDescent="0.4">
      <c r="A27">
        <f>wimbledons_champions!A39</f>
        <v>2007</v>
      </c>
      <c r="B27" t="str">
        <f>wimbledons_champions!B39</f>
        <v>Men's</v>
      </c>
      <c r="C27" s="14" t="str">
        <f>wimbledons_champions!C39</f>
        <v>R. Federer</v>
      </c>
      <c r="D27" t="str">
        <f>wimbledons_champions!D39</f>
        <v>SUI</v>
      </c>
      <c r="E27">
        <f>wimbledons_champions!F39</f>
        <v>1</v>
      </c>
      <c r="F27">
        <f>wimbledons_champions!G39</f>
        <v>225</v>
      </c>
      <c r="G27" t="str">
        <f>wimbledons_champions!H39</f>
        <v>7-6 (9-7), 4-6, 7-6 (7-3), 2-6, 6-2</v>
      </c>
      <c r="H27" t="str">
        <f>wimbledons_champions!S39</f>
        <v>R. Nadal</v>
      </c>
      <c r="I27" t="str">
        <f>wimbledons_champions!T39</f>
        <v>ESP</v>
      </c>
      <c r="J27">
        <f>wimbledons_champions!V39</f>
        <v>2</v>
      </c>
    </row>
    <row r="28" spans="1:10" x14ac:dyDescent="0.4">
      <c r="A28">
        <f>wimbledons_champions!A40</f>
        <v>2006</v>
      </c>
      <c r="B28" t="str">
        <f>wimbledons_champions!B40</f>
        <v>Women's</v>
      </c>
      <c r="C28" s="10" t="str">
        <f>wimbledons_champions!C40</f>
        <v>A. Mauresmo</v>
      </c>
      <c r="D28" t="str">
        <f>wimbledons_champions!D40</f>
        <v>FRA</v>
      </c>
      <c r="E28">
        <f>wimbledons_champions!F40</f>
        <v>1</v>
      </c>
      <c r="F28">
        <f>wimbledons_champions!G40</f>
        <v>122</v>
      </c>
      <c r="G28" t="str">
        <f>wimbledons_champions!H40</f>
        <v>2-6, 6-3, 6-4</v>
      </c>
      <c r="H28" t="str">
        <f>wimbledons_champions!S40</f>
        <v>PY. Hardenne</v>
      </c>
      <c r="I28" t="str">
        <f>wimbledons_champions!T40</f>
        <v>BEL</v>
      </c>
      <c r="J28">
        <f>wimbledons_champions!V40</f>
        <v>3</v>
      </c>
    </row>
    <row r="29" spans="1:10" x14ac:dyDescent="0.4">
      <c r="A29">
        <f>wimbledons_champions!A41</f>
        <v>2006</v>
      </c>
      <c r="B29" t="str">
        <f>wimbledons_champions!B41</f>
        <v>Men's</v>
      </c>
      <c r="C29" s="9" t="str">
        <f>wimbledons_champions!C41</f>
        <v>R. Federer</v>
      </c>
      <c r="D29" t="str">
        <f>wimbledons_champions!D41</f>
        <v>SUI</v>
      </c>
      <c r="E29">
        <f>wimbledons_champions!F41</f>
        <v>1</v>
      </c>
      <c r="F29">
        <f>wimbledons_champions!G41</f>
        <v>170</v>
      </c>
      <c r="G29" t="str">
        <f>wimbledons_champions!H41</f>
        <v>6-0, 7-6 (7-5), 6-7 (2-7), 6-3</v>
      </c>
      <c r="H29" t="str">
        <f>wimbledons_champions!S41</f>
        <v>R. Nadal</v>
      </c>
      <c r="I29" t="str">
        <f>wimbledons_champions!T41</f>
        <v>ESP</v>
      </c>
      <c r="J29">
        <f>wimbledons_champions!V41</f>
        <v>2</v>
      </c>
    </row>
    <row r="30" spans="1:10" x14ac:dyDescent="0.4">
      <c r="A30">
        <f>wimbledons_champions!A42</f>
        <v>2005</v>
      </c>
      <c r="B30" t="str">
        <f>wimbledons_champions!B42</f>
        <v>Women's</v>
      </c>
      <c r="C30" s="10" t="str">
        <f>wimbledons_champions!C42</f>
        <v>V.E.S. Williams</v>
      </c>
      <c r="D30" t="str">
        <f>wimbledons_champions!D42</f>
        <v>USA</v>
      </c>
      <c r="E30">
        <f>wimbledons_champions!F42</f>
        <v>14</v>
      </c>
      <c r="F30">
        <f>wimbledons_champions!G42</f>
        <v>166</v>
      </c>
      <c r="G30" t="str">
        <f>wimbledons_champions!H42</f>
        <v>4-6, 7-6 (7-4), 9-7</v>
      </c>
      <c r="H30" t="str">
        <f>wimbledons_champions!S42</f>
        <v>L.A. Davenport</v>
      </c>
      <c r="I30" t="str">
        <f>wimbledons_champions!T42</f>
        <v>USA</v>
      </c>
      <c r="J30">
        <f>wimbledons_champions!V42</f>
        <v>1</v>
      </c>
    </row>
    <row r="31" spans="1:10" x14ac:dyDescent="0.4">
      <c r="A31">
        <f>wimbledons_champions!A43</f>
        <v>2005</v>
      </c>
      <c r="B31" t="str">
        <f>wimbledons_champions!B43</f>
        <v>Men's</v>
      </c>
      <c r="C31" s="14" t="str">
        <f>wimbledons_champions!C43</f>
        <v>R. Federer</v>
      </c>
      <c r="D31" t="str">
        <f>wimbledons_champions!D43</f>
        <v>SUI</v>
      </c>
      <c r="E31">
        <f>wimbledons_champions!F43</f>
        <v>1</v>
      </c>
      <c r="F31">
        <f>wimbledons_champions!G43</f>
        <v>101</v>
      </c>
      <c r="G31" t="str">
        <f>wimbledons_champions!H43</f>
        <v>6-2, 7-6 (7-2), 6-4</v>
      </c>
      <c r="H31" t="str">
        <f>wimbledons_champions!S43</f>
        <v>A. Roddick</v>
      </c>
      <c r="I31" t="str">
        <f>wimbledons_champions!T43</f>
        <v>USA</v>
      </c>
      <c r="J31">
        <f>wimbledons_champions!V43</f>
        <v>2</v>
      </c>
    </row>
    <row r="32" spans="1:10" x14ac:dyDescent="0.4">
      <c r="A32">
        <f>wimbledons_champions!A44</f>
        <v>2004</v>
      </c>
      <c r="B32" t="str">
        <f>wimbledons_champions!B44</f>
        <v>Women's</v>
      </c>
      <c r="C32" s="10" t="str">
        <f>wimbledons_champions!C44</f>
        <v>M. Sharapova</v>
      </c>
      <c r="D32" t="str">
        <f>wimbledons_champions!D44</f>
        <v>RUS</v>
      </c>
      <c r="E32">
        <f>wimbledons_champions!F44</f>
        <v>13</v>
      </c>
      <c r="F32">
        <f>wimbledons_champions!G44</f>
        <v>74</v>
      </c>
      <c r="G32" t="str">
        <f>wimbledons_champions!H44</f>
        <v>6-1, 6-4</v>
      </c>
      <c r="H32" t="str">
        <f>wimbledons_champions!S44</f>
        <v>S. Williams</v>
      </c>
      <c r="I32" t="str">
        <f>wimbledons_champions!T44</f>
        <v>USA</v>
      </c>
      <c r="J32">
        <f>wimbledons_champions!V44</f>
        <v>1</v>
      </c>
    </row>
    <row r="33" spans="1:10" x14ac:dyDescent="0.4">
      <c r="A33">
        <f>wimbledons_champions!A45</f>
        <v>2004</v>
      </c>
      <c r="B33" t="str">
        <f>wimbledons_champions!B45</f>
        <v>Men's</v>
      </c>
      <c r="C33" s="9" t="str">
        <f>wimbledons_champions!C45</f>
        <v>R. Federer</v>
      </c>
      <c r="D33" t="str">
        <f>wimbledons_champions!D45</f>
        <v>SUI</v>
      </c>
      <c r="E33">
        <f>wimbledons_champions!F45</f>
        <v>1</v>
      </c>
      <c r="F33">
        <f>wimbledons_champions!G45</f>
        <v>151</v>
      </c>
      <c r="G33" t="str">
        <f>wimbledons_champions!H45</f>
        <v>4-6, 7-5, 7-6 (7-3), 6-4</v>
      </c>
      <c r="H33" t="str">
        <f>wimbledons_champions!S45</f>
        <v>A. Roddick</v>
      </c>
      <c r="I33" t="str">
        <f>wimbledons_champions!T45</f>
        <v>USA</v>
      </c>
      <c r="J33">
        <f>wimbledons_champions!V45</f>
        <v>2</v>
      </c>
    </row>
    <row r="34" spans="1:10" x14ac:dyDescent="0.4">
      <c r="A34">
        <f>wimbledons_champions!A46</f>
        <v>2003</v>
      </c>
      <c r="B34" t="str">
        <f>wimbledons_champions!B46</f>
        <v>Women's</v>
      </c>
      <c r="C34" s="10" t="str">
        <f>wimbledons_champions!C46</f>
        <v>S. Williams</v>
      </c>
      <c r="D34" t="str">
        <f>wimbledons_champions!D46</f>
        <v>USA</v>
      </c>
      <c r="E34">
        <f>wimbledons_champions!F46</f>
        <v>1</v>
      </c>
      <c r="F34">
        <f>wimbledons_champions!G46</f>
        <v>123</v>
      </c>
      <c r="G34" t="str">
        <f>wimbledons_champions!H46</f>
        <v>4-6, 6-4, 6-2</v>
      </c>
      <c r="H34" t="str">
        <f>wimbledons_champions!S46</f>
        <v>V.E.S. Williams</v>
      </c>
      <c r="I34" t="str">
        <f>wimbledons_champions!T46</f>
        <v>USA</v>
      </c>
      <c r="J34">
        <f>wimbledons_champions!V46</f>
        <v>4</v>
      </c>
    </row>
    <row r="35" spans="1:10" x14ac:dyDescent="0.4">
      <c r="A35">
        <f>wimbledons_champions!A47</f>
        <v>2003</v>
      </c>
      <c r="B35" t="str">
        <f>wimbledons_champions!B47</f>
        <v>Men's</v>
      </c>
      <c r="C35" s="9" t="str">
        <f>wimbledons_champions!C47</f>
        <v>R. Federer</v>
      </c>
      <c r="D35" t="str">
        <f>wimbledons_champions!D47</f>
        <v>SUI</v>
      </c>
      <c r="E35">
        <f>wimbledons_champions!F47</f>
        <v>4</v>
      </c>
      <c r="F35">
        <f>wimbledons_champions!G47</f>
        <v>119</v>
      </c>
      <c r="G35" t="str">
        <f>wimbledons_champions!H47</f>
        <v>7-6 (7-5), 6-2, 7-6 (7-3)</v>
      </c>
      <c r="H35" t="str">
        <f>wimbledons_champions!S47</f>
        <v>M. Philippousis</v>
      </c>
      <c r="I35" t="str">
        <f>wimbledons_champions!T47</f>
        <v>AUS</v>
      </c>
      <c r="J35" t="str">
        <f>wimbledons_champions!V47</f>
        <v>U</v>
      </c>
    </row>
    <row r="36" spans="1:10" x14ac:dyDescent="0.4">
      <c r="A36">
        <f>wimbledons_champions!A48</f>
        <v>2002</v>
      </c>
      <c r="B36" t="str">
        <f>wimbledons_champions!B48</f>
        <v>Women's</v>
      </c>
      <c r="C36" s="9" t="str">
        <f>wimbledons_champions!C48</f>
        <v>S. Williams</v>
      </c>
      <c r="D36" t="str">
        <f>wimbledons_champions!D48</f>
        <v>USA</v>
      </c>
      <c r="E36">
        <f>wimbledons_champions!F48</f>
        <v>2</v>
      </c>
      <c r="F36">
        <f>wimbledons_champions!G48</f>
        <v>78</v>
      </c>
      <c r="G36" t="str">
        <f>wimbledons_champions!H48</f>
        <v>7-6 (7-4), 6-3</v>
      </c>
      <c r="H36" t="str">
        <f>wimbledons_champions!S48</f>
        <v>V.E.S. Williams</v>
      </c>
      <c r="I36" t="str">
        <f>wimbledons_champions!T48</f>
        <v>USA</v>
      </c>
      <c r="J36">
        <f>wimbledons_champions!V48</f>
        <v>1</v>
      </c>
    </row>
    <row r="37" spans="1:10" x14ac:dyDescent="0.4">
      <c r="A37">
        <f>wimbledons_champions!A49</f>
        <v>2002</v>
      </c>
      <c r="B37" t="str">
        <f>wimbledons_champions!B49</f>
        <v>Men's</v>
      </c>
      <c r="C37" s="9" t="str">
        <f>wimbledons_champions!C49</f>
        <v>L.G. Hewitt</v>
      </c>
      <c r="D37" t="str">
        <f>wimbledons_champions!D49</f>
        <v>AUS</v>
      </c>
      <c r="E37">
        <f>wimbledons_champions!F49</f>
        <v>1</v>
      </c>
      <c r="F37">
        <f>wimbledons_champions!G49</f>
        <v>116</v>
      </c>
      <c r="G37" t="str">
        <f>wimbledons_champions!H49</f>
        <v>6-1, 6-3, 6-2</v>
      </c>
      <c r="H37" t="str">
        <f>wimbledons_champions!S49</f>
        <v>D.P. Nalbandian</v>
      </c>
      <c r="I37" t="str">
        <f>wimbledons_champions!T49</f>
        <v>ARG</v>
      </c>
      <c r="J37">
        <f>wimbledons_champions!V49</f>
        <v>28</v>
      </c>
    </row>
    <row r="38" spans="1:10" x14ac:dyDescent="0.4">
      <c r="A38">
        <f>wimbledons_champions!A50</f>
        <v>2001</v>
      </c>
      <c r="B38" t="str">
        <f>wimbledons_champions!B50</f>
        <v>Women's</v>
      </c>
      <c r="C38" s="9" t="str">
        <f>wimbledons_champions!C50</f>
        <v>V.E.S. Williams</v>
      </c>
      <c r="D38" t="str">
        <f>wimbledons_champions!D50</f>
        <v>USA</v>
      </c>
      <c r="E38">
        <f>wimbledons_champions!F50</f>
        <v>2</v>
      </c>
      <c r="F38">
        <f>wimbledons_champions!G50</f>
        <v>69</v>
      </c>
      <c r="G38" t="str">
        <f>wimbledons_champions!H50</f>
        <v>6-1, 3-6, 6-0</v>
      </c>
      <c r="H38" t="str">
        <f>wimbledons_champions!S50</f>
        <v>J. Henin</v>
      </c>
      <c r="I38" t="str">
        <f>wimbledons_champions!T50</f>
        <v>BEL</v>
      </c>
      <c r="J38">
        <f>wimbledons_champions!V50</f>
        <v>8</v>
      </c>
    </row>
    <row r="39" spans="1:10" x14ac:dyDescent="0.4">
      <c r="A39">
        <f>wimbledons_champions!A51</f>
        <v>2001</v>
      </c>
      <c r="B39" t="str">
        <f>wimbledons_champions!B51</f>
        <v>Men's</v>
      </c>
      <c r="C39" s="14" t="str">
        <f>wimbledons_champions!C51</f>
        <v>G.S. Ivanisevic</v>
      </c>
      <c r="D39" t="str">
        <f>wimbledons_champions!D51</f>
        <v>CRO</v>
      </c>
      <c r="E39" t="str">
        <f>wimbledons_champions!F51</f>
        <v>WC</v>
      </c>
      <c r="F39">
        <f>wimbledons_champions!G51</f>
        <v>182</v>
      </c>
      <c r="G39" t="str">
        <f>wimbledons_champions!H51</f>
        <v>6-3, 3-6, 6-3, 2-6, 9-7</v>
      </c>
      <c r="H39" t="str">
        <f>wimbledons_champions!S51</f>
        <v>P.M. Rafter</v>
      </c>
      <c r="I39" t="str">
        <f>wimbledons_champions!T51</f>
        <v>AUS</v>
      </c>
      <c r="J39">
        <f>wimbledons_champions!V51</f>
        <v>3</v>
      </c>
    </row>
    <row r="40" spans="1:10" x14ac:dyDescent="0.4">
      <c r="A40">
        <f>wimbledons_champions!A52</f>
        <v>2000</v>
      </c>
      <c r="B40" t="str">
        <f>wimbledons_champions!B52</f>
        <v>Women's</v>
      </c>
      <c r="C40" s="12" t="str">
        <f>wimbledons_champions!C52</f>
        <v>V.E.S. Williams</v>
      </c>
      <c r="D40" t="str">
        <f>wimbledons_champions!D52</f>
        <v>USA</v>
      </c>
      <c r="E40">
        <f>wimbledons_champions!F52</f>
        <v>5</v>
      </c>
      <c r="F40">
        <f>wimbledons_champions!G52</f>
        <v>84</v>
      </c>
      <c r="G40" t="str">
        <f>wimbledons_champions!H52</f>
        <v>6-3, 7-6 (7-3)</v>
      </c>
      <c r="H40" t="str">
        <f>wimbledons_champions!S52</f>
        <v>L.A. Davenport</v>
      </c>
      <c r="I40" t="str">
        <f>wimbledons_champions!T52</f>
        <v>USA</v>
      </c>
      <c r="J40">
        <f>wimbledons_champions!V52</f>
        <v>2</v>
      </c>
    </row>
    <row r="41" spans="1:10" x14ac:dyDescent="0.4">
      <c r="A41">
        <f>wimbledons_champions!A53</f>
        <v>2000</v>
      </c>
      <c r="B41" t="str">
        <f>wimbledons_champions!B53</f>
        <v>Men's</v>
      </c>
      <c r="C41" s="14" t="str">
        <f>wimbledons_champions!C53</f>
        <v>P. Sampras</v>
      </c>
      <c r="D41" t="str">
        <f>wimbledons_champions!D53</f>
        <v>USA</v>
      </c>
      <c r="E41">
        <f>wimbledons_champions!F53</f>
        <v>1</v>
      </c>
      <c r="F41">
        <f>wimbledons_champions!G53</f>
        <v>182</v>
      </c>
      <c r="G41" t="str">
        <f>wimbledons_champions!H53</f>
        <v>6-7 (10-12), 7-6 (7-5), 6-4, 6-2</v>
      </c>
      <c r="H41" t="str">
        <f>wimbledons_champions!S53</f>
        <v>P.M. Rafter</v>
      </c>
      <c r="I41" t="str">
        <f>wimbledons_champions!T53</f>
        <v>AUS</v>
      </c>
      <c r="J41">
        <f>wimbledons_champions!V53</f>
        <v>12</v>
      </c>
    </row>
    <row r="42" spans="1:10" x14ac:dyDescent="0.4">
      <c r="A42">
        <f>wimbledons_champions!A54</f>
        <v>1999</v>
      </c>
      <c r="B42" t="str">
        <f>wimbledons_champions!B54</f>
        <v>Women's</v>
      </c>
      <c r="C42" s="12" t="str">
        <f>wimbledons_champions!C54</f>
        <v>L.A. Davenport</v>
      </c>
      <c r="D42" t="str">
        <f>wimbledons_champions!D54</f>
        <v>USA</v>
      </c>
      <c r="E42">
        <f>wimbledons_champions!F54</f>
        <v>3</v>
      </c>
      <c r="F42">
        <f>wimbledons_champions!G54</f>
        <v>75</v>
      </c>
      <c r="G42" t="str">
        <f>wimbledons_champions!H54</f>
        <v>6-4, 7-5</v>
      </c>
      <c r="H42" t="str">
        <f>wimbledons_champions!S54</f>
        <v>S.M. Graf</v>
      </c>
      <c r="I42" t="str">
        <f>wimbledons_champions!T54</f>
        <v>GER</v>
      </c>
      <c r="J42">
        <f>wimbledons_champions!V54</f>
        <v>2</v>
      </c>
    </row>
    <row r="43" spans="1:10" x14ac:dyDescent="0.4">
      <c r="A43">
        <f>wimbledons_champions!A55</f>
        <v>1999</v>
      </c>
      <c r="B43" t="str">
        <f>wimbledons_champions!B55</f>
        <v>Men's</v>
      </c>
      <c r="C43" s="9" t="str">
        <f>wimbledons_champions!C55</f>
        <v>P. Sampras</v>
      </c>
      <c r="D43" t="str">
        <f>wimbledons_champions!D55</f>
        <v>USA</v>
      </c>
      <c r="E43">
        <f>wimbledons_champions!F55</f>
        <v>1</v>
      </c>
      <c r="F43">
        <f>wimbledons_champions!G55</f>
        <v>115</v>
      </c>
      <c r="G43" t="str">
        <f>wimbledons_champions!H55</f>
        <v>6-3, 6-4, 7-5</v>
      </c>
      <c r="H43" t="str">
        <f>wimbledons_champions!S55</f>
        <v>A.K. Agassi</v>
      </c>
      <c r="I43" t="str">
        <f>wimbledons_champions!T55</f>
        <v>USA</v>
      </c>
      <c r="J43">
        <f>wimbledons_champions!V55</f>
        <v>4</v>
      </c>
    </row>
    <row r="44" spans="1:10" x14ac:dyDescent="0.4">
      <c r="A44">
        <f>wimbledons_champions!A56</f>
        <v>1998</v>
      </c>
      <c r="B44" t="str">
        <f>wimbledons_champions!B56</f>
        <v>Women's</v>
      </c>
      <c r="C44" s="12" t="str">
        <f>wimbledons_champions!C56</f>
        <v>J. Novotna</v>
      </c>
      <c r="D44" t="str">
        <f>wimbledons_champions!D56</f>
        <v>CZE</v>
      </c>
      <c r="E44">
        <f>wimbledons_champions!F56</f>
        <v>3</v>
      </c>
      <c r="F44">
        <f>wimbledons_champions!G56</f>
        <v>94</v>
      </c>
      <c r="G44" t="str">
        <f>wimbledons_champions!H56</f>
        <v>6-4, 7-6 (7-2)</v>
      </c>
      <c r="H44" t="str">
        <f>wimbledons_champions!S56</f>
        <v>N. Tauziat</v>
      </c>
      <c r="I44" t="str">
        <f>wimbledons_champions!T56</f>
        <v>FRA</v>
      </c>
      <c r="J44">
        <f>wimbledons_champions!V56</f>
        <v>16</v>
      </c>
    </row>
    <row r="45" spans="1:10" x14ac:dyDescent="0.4">
      <c r="A45">
        <f>wimbledons_champions!A57</f>
        <v>1998</v>
      </c>
      <c r="B45" t="str">
        <f>wimbledons_champions!B57</f>
        <v>Men's</v>
      </c>
      <c r="C45" s="9" t="str">
        <f>wimbledons_champions!C57</f>
        <v>P. Sampras</v>
      </c>
      <c r="D45" t="str">
        <f>wimbledons_champions!D57</f>
        <v>USA</v>
      </c>
      <c r="E45">
        <f>wimbledons_champions!F57</f>
        <v>1</v>
      </c>
      <c r="F45">
        <f>wimbledons_champions!G57</f>
        <v>172</v>
      </c>
      <c r="G45" t="str">
        <f>wimbledons_champions!H57</f>
        <v>6-7 (2-7), 7-6 (11-9), 6-4, 3-6, 6-2</v>
      </c>
      <c r="H45" t="str">
        <f>wimbledons_champions!S57</f>
        <v>G.S. Ivanisevic</v>
      </c>
      <c r="I45" t="str">
        <f>wimbledons_champions!T57</f>
        <v>CRO</v>
      </c>
      <c r="J45">
        <f>wimbledons_champions!V57</f>
        <v>14</v>
      </c>
    </row>
    <row r="46" spans="1:10" x14ac:dyDescent="0.4">
      <c r="A46">
        <f>wimbledons_champions!A58</f>
        <v>1997</v>
      </c>
      <c r="B46" t="str">
        <f>wimbledons_champions!B58</f>
        <v>Women's</v>
      </c>
      <c r="C46" s="12" t="str">
        <f>wimbledons_champions!C58</f>
        <v>M. Hingis</v>
      </c>
      <c r="D46" t="str">
        <f>wimbledons_champions!D58</f>
        <v>SUI</v>
      </c>
      <c r="E46">
        <f>wimbledons_champions!F58</f>
        <v>1</v>
      </c>
      <c r="F46">
        <f>wimbledons_champions!G58</f>
        <v>110</v>
      </c>
      <c r="G46" t="str">
        <f>wimbledons_champions!H58</f>
        <v>2-6, 6-3, 6-3</v>
      </c>
      <c r="H46" t="str">
        <f>wimbledons_champions!S58</f>
        <v>J. Novotna</v>
      </c>
      <c r="I46" t="str">
        <f>wimbledons_champions!T58</f>
        <v>CZE</v>
      </c>
      <c r="J46">
        <f>wimbledons_champions!V58</f>
        <v>3</v>
      </c>
    </row>
    <row r="47" spans="1:10" x14ac:dyDescent="0.4">
      <c r="A47">
        <f>wimbledons_champions!A59</f>
        <v>1997</v>
      </c>
      <c r="B47" t="str">
        <f>wimbledons_champions!B59</f>
        <v>Men's</v>
      </c>
      <c r="C47" s="9" t="str">
        <f>wimbledons_champions!C59</f>
        <v>P. Sampras</v>
      </c>
      <c r="D47" t="str">
        <f>wimbledons_champions!D59</f>
        <v>USA</v>
      </c>
      <c r="E47">
        <f>wimbledons_champions!F59</f>
        <v>1</v>
      </c>
      <c r="F47">
        <f>wimbledons_champions!G59</f>
        <v>94</v>
      </c>
      <c r="G47" t="str">
        <f>wimbledons_champions!H59</f>
        <v>6-4, 6-2, 6-4</v>
      </c>
      <c r="H47" t="str">
        <f>wimbledons_champions!S59</f>
        <v>C.A. Pioline</v>
      </c>
      <c r="I47" t="str">
        <f>wimbledons_champions!T59</f>
        <v>FRA</v>
      </c>
      <c r="J47" t="str">
        <f>wimbledons_champions!V59</f>
        <v>U</v>
      </c>
    </row>
    <row r="48" spans="1:10" x14ac:dyDescent="0.4">
      <c r="A48">
        <f>wimbledons_champions!A60</f>
        <v>1996</v>
      </c>
      <c r="B48" t="str">
        <f>wimbledons_champions!B60</f>
        <v>Women's</v>
      </c>
      <c r="C48" s="9" t="str">
        <f>wimbledons_champions!C60</f>
        <v>S.M. Graf</v>
      </c>
      <c r="D48" t="str">
        <f>wimbledons_champions!D60</f>
        <v>GER</v>
      </c>
      <c r="E48" s="2">
        <f>wimbledons_champions!F60</f>
        <v>1</v>
      </c>
      <c r="F48">
        <f>wimbledons_champions!G60</f>
        <v>88</v>
      </c>
      <c r="G48" t="str">
        <f>wimbledons_champions!H60</f>
        <v>6-3, 7-5,</v>
      </c>
      <c r="H48" t="str">
        <f>wimbledons_champions!S60</f>
        <v>A.I.M. Sanchez Vicario</v>
      </c>
      <c r="I48" t="str">
        <f>wimbledons_champions!T60</f>
        <v>ESP</v>
      </c>
      <c r="J48">
        <f>wimbledons_champions!V60</f>
        <v>4</v>
      </c>
    </row>
    <row r="49" spans="1:10" x14ac:dyDescent="0.4">
      <c r="A49">
        <f>wimbledons_champions!A61</f>
        <v>1996</v>
      </c>
      <c r="B49" t="str">
        <f>wimbledons_champions!B61</f>
        <v>Men's</v>
      </c>
      <c r="C49" s="12" t="str">
        <f>wimbledons_champions!C61</f>
        <v>R.P.S. Krajicek</v>
      </c>
      <c r="D49" t="str">
        <f>wimbledons_champions!D61</f>
        <v>NED</v>
      </c>
      <c r="E49" t="str">
        <f>wimbledons_champions!F61</f>
        <v>U</v>
      </c>
      <c r="F49">
        <f>wimbledons_champions!G61</f>
        <v>94</v>
      </c>
      <c r="G49" t="str">
        <f>wimbledons_champions!H61</f>
        <v>6-3, 6-4, 6-3</v>
      </c>
      <c r="H49" t="str">
        <f>wimbledons_champions!S61</f>
        <v>M.O. Washington</v>
      </c>
      <c r="I49" t="str">
        <f>wimbledons_champions!T61</f>
        <v>USA</v>
      </c>
      <c r="J49" t="str">
        <f>wimbledons_champions!V61</f>
        <v>U</v>
      </c>
    </row>
    <row r="50" spans="1:10" x14ac:dyDescent="0.4">
      <c r="A50">
        <f>wimbledons_champions!A62</f>
        <v>1995</v>
      </c>
      <c r="B50" t="str">
        <f>wimbledons_champions!B62</f>
        <v>Women's</v>
      </c>
      <c r="C50" s="12" t="str">
        <f>wimbledons_champions!C62</f>
        <v>S.M. Graf</v>
      </c>
      <c r="D50" t="str">
        <f>wimbledons_champions!D62</f>
        <v>GER</v>
      </c>
      <c r="E50">
        <f>wimbledons_champions!F62</f>
        <v>1</v>
      </c>
      <c r="F50">
        <f>wimbledons_champions!G62</f>
        <v>122</v>
      </c>
      <c r="G50" t="str">
        <f>wimbledons_champions!H62</f>
        <v>4-6, 6-1, 7-5,</v>
      </c>
      <c r="H50" t="str">
        <f>wimbledons_champions!S62</f>
        <v>A.I.M. Sanchez Vicario</v>
      </c>
      <c r="I50" t="str">
        <f>wimbledons_champions!T62</f>
        <v>ESP</v>
      </c>
      <c r="J50">
        <f>wimbledons_champions!V62</f>
        <v>2</v>
      </c>
    </row>
    <row r="51" spans="1:10" x14ac:dyDescent="0.4">
      <c r="A51">
        <f>wimbledons_champions!A63</f>
        <v>1995</v>
      </c>
      <c r="B51" t="str">
        <f>wimbledons_champions!B63</f>
        <v>Men's</v>
      </c>
      <c r="C51" s="12" t="str">
        <f>wimbledons_champions!C63</f>
        <v>P. Sampras</v>
      </c>
      <c r="D51" t="str">
        <f>wimbledons_champions!D63</f>
        <v>USA</v>
      </c>
      <c r="E51">
        <f>wimbledons_champions!F63</f>
        <v>2</v>
      </c>
      <c r="F51">
        <f>wimbledons_champions!G63</f>
        <v>149</v>
      </c>
      <c r="G51" t="str">
        <f>wimbledons_champions!H63</f>
        <v>6-7 (5-7), 6-2, 6-4, 6-2</v>
      </c>
      <c r="H51" t="str">
        <f>wimbledons_champions!S63</f>
        <v>B.F. Becker</v>
      </c>
      <c r="I51" t="str">
        <f>wimbledons_champions!T63</f>
        <v>GER</v>
      </c>
      <c r="J51">
        <f>wimbledons_champions!V63</f>
        <v>3</v>
      </c>
    </row>
    <row r="52" spans="1:10" x14ac:dyDescent="0.4">
      <c r="A52">
        <f>wimbledons_champions!A64</f>
        <v>1994</v>
      </c>
      <c r="B52" t="str">
        <f>wimbledons_champions!B64</f>
        <v>Women's</v>
      </c>
      <c r="C52" s="12" t="str">
        <f>wimbledons_champions!C64</f>
        <v>I.C. Martinez</v>
      </c>
      <c r="D52" t="str">
        <f>wimbledons_champions!D64</f>
        <v>ESP</v>
      </c>
      <c r="E52">
        <f>wimbledons_champions!F64</f>
        <v>3</v>
      </c>
      <c r="F52">
        <f>wimbledons_champions!G64</f>
        <v>119</v>
      </c>
      <c r="G52" t="str">
        <f>wimbledons_champions!H64</f>
        <v>6-4, 3-6, 6-3,</v>
      </c>
      <c r="H52" t="str">
        <f>wimbledons_champions!S64</f>
        <v>M. Navratilova</v>
      </c>
      <c r="I52" t="str">
        <f>wimbledons_champions!T64</f>
        <v>USA</v>
      </c>
      <c r="J52">
        <f>wimbledons_champions!V64</f>
        <v>4</v>
      </c>
    </row>
    <row r="53" spans="1:10" x14ac:dyDescent="0.4">
      <c r="A53">
        <f>wimbledons_champions!A65</f>
        <v>1994</v>
      </c>
      <c r="B53" t="str">
        <f>wimbledons_champions!B65</f>
        <v>Men's</v>
      </c>
      <c r="C53" s="9" t="str">
        <f>wimbledons_champions!C65</f>
        <v>P. Sampras</v>
      </c>
      <c r="D53" t="str">
        <f>wimbledons_champions!D65</f>
        <v>USA</v>
      </c>
      <c r="E53">
        <f>wimbledons_champions!F65</f>
        <v>1</v>
      </c>
      <c r="F53">
        <f>wimbledons_champions!G65</f>
        <v>115</v>
      </c>
      <c r="G53" t="str">
        <f>wimbledons_champions!H65</f>
        <v>7-6 (7-2), 7-6 (7-5), 6-0</v>
      </c>
      <c r="H53" s="2" t="str">
        <f>wimbledons_champions!S65</f>
        <v>G.S. Ivanisevic</v>
      </c>
      <c r="I53" t="str">
        <f>wimbledons_champions!T65</f>
        <v>CRO</v>
      </c>
      <c r="J53">
        <f>wimbledons_champions!V65</f>
        <v>4</v>
      </c>
    </row>
    <row r="54" spans="1:10" x14ac:dyDescent="0.4">
      <c r="A54">
        <f>wimbledons_champions!A66</f>
        <v>1993</v>
      </c>
      <c r="B54" t="str">
        <f>wimbledons_champions!B66</f>
        <v>Women's</v>
      </c>
      <c r="C54" s="12" t="str">
        <f>wimbledons_champions!C66</f>
        <v>S.M. Graf</v>
      </c>
      <c r="D54" t="str">
        <f>wimbledons_champions!D66</f>
        <v>GER</v>
      </c>
      <c r="E54">
        <f>wimbledons_champions!F66</f>
        <v>1</v>
      </c>
      <c r="F54">
        <f>wimbledons_champions!G66</f>
        <v>134</v>
      </c>
      <c r="G54" t="str">
        <f>wimbledons_champions!H66</f>
        <v>7-6 (8-6), 1-6, 6-4,</v>
      </c>
      <c r="H54" t="str">
        <f>wimbledons_champions!S66</f>
        <v>J. Novotna</v>
      </c>
      <c r="I54" t="str">
        <f>wimbledons_champions!T66</f>
        <v>CZE</v>
      </c>
      <c r="J54">
        <f>wimbledons_champions!V66</f>
        <v>8</v>
      </c>
    </row>
    <row r="55" spans="1:10" x14ac:dyDescent="0.4">
      <c r="A55">
        <f>wimbledons_champions!A67</f>
        <v>1993</v>
      </c>
      <c r="B55" t="str">
        <f>wimbledons_champions!B67</f>
        <v>Men's</v>
      </c>
      <c r="C55" s="12" t="str">
        <f>wimbledons_champions!C67</f>
        <v>P. Sampras</v>
      </c>
      <c r="D55" t="str">
        <f>wimbledons_champions!D67</f>
        <v>USA</v>
      </c>
      <c r="E55">
        <f>wimbledons_champions!F67</f>
        <v>1</v>
      </c>
      <c r="F55">
        <f>wimbledons_champions!G67</f>
        <v>178</v>
      </c>
      <c r="G55" t="str">
        <f>wimbledons_champions!H67</f>
        <v>7-6 (7-3), 7-6 (8-6), 3-6, 6-3</v>
      </c>
      <c r="H55" t="str">
        <f>wimbledons_champions!S67</f>
        <v>J.S. Courier</v>
      </c>
      <c r="I55" t="str">
        <f>wimbledons_champions!T67</f>
        <v>USA</v>
      </c>
      <c r="J55">
        <f>wimbledons_champions!V67</f>
        <v>3</v>
      </c>
    </row>
    <row r="56" spans="1:10" x14ac:dyDescent="0.4">
      <c r="A56">
        <f>wimbledons_champions!A68</f>
        <v>1992</v>
      </c>
      <c r="B56" t="str">
        <f>wimbledons_champions!B68</f>
        <v>Women's</v>
      </c>
      <c r="C56" s="9" t="str">
        <f>wimbledons_champions!C68</f>
        <v>S.M. Graf</v>
      </c>
      <c r="D56" t="str">
        <f>wimbledons_champions!D68</f>
        <v>GER</v>
      </c>
      <c r="E56">
        <f>wimbledons_champions!F68</f>
        <v>2</v>
      </c>
      <c r="F56">
        <f>wimbledons_champions!G68</f>
        <v>58</v>
      </c>
      <c r="G56" t="str">
        <f>wimbledons_champions!H68</f>
        <v>6-2, 6-1,</v>
      </c>
      <c r="H56" t="str">
        <f>wimbledons_champions!S68</f>
        <v>M. Seles</v>
      </c>
      <c r="I56" t="str">
        <f>wimbledons_champions!T68</f>
        <v>SRB</v>
      </c>
      <c r="J56">
        <f>wimbledons_champions!V68</f>
        <v>1</v>
      </c>
    </row>
    <row r="57" spans="1:10" x14ac:dyDescent="0.4">
      <c r="A57">
        <f>wimbledons_champions!A69</f>
        <v>1992</v>
      </c>
      <c r="B57" t="str">
        <f>wimbledons_champions!B69</f>
        <v>Men's</v>
      </c>
      <c r="C57" s="12" t="str">
        <f>wimbledons_champions!C69</f>
        <v>A.K. Agassi</v>
      </c>
      <c r="D57" t="str">
        <f>wimbledons_champions!D69</f>
        <v>USA</v>
      </c>
      <c r="E57">
        <f>wimbledons_champions!F69</f>
        <v>12</v>
      </c>
      <c r="F57">
        <f>wimbledons_champions!G69</f>
        <v>170</v>
      </c>
      <c r="G57" t="str">
        <f>wimbledons_champions!H69</f>
        <v>6-7 (8-10), 6-4, 6-4, 1-6, 6-4</v>
      </c>
      <c r="H57" t="str">
        <f>wimbledons_champions!S69</f>
        <v>G.S. Ivanisevic</v>
      </c>
      <c r="I57" t="str">
        <f>wimbledons_champions!T69</f>
        <v>CRO</v>
      </c>
      <c r="J57">
        <f>wimbledons_champions!V69</f>
        <v>8</v>
      </c>
    </row>
    <row r="58" spans="1:10" x14ac:dyDescent="0.4">
      <c r="A58">
        <f>wimbledons_champions!A70</f>
        <v>1991</v>
      </c>
      <c r="B58" t="str">
        <f>wimbledons_champions!B70</f>
        <v>Women's</v>
      </c>
      <c r="C58" s="9" t="str">
        <f>wimbledons_champions!C70</f>
        <v>S.M. Graf</v>
      </c>
      <c r="D58" t="str">
        <f>wimbledons_champions!D70</f>
        <v>GER</v>
      </c>
      <c r="E58">
        <f>wimbledons_champions!F70</f>
        <v>1</v>
      </c>
      <c r="F58">
        <f>wimbledons_champions!G70</f>
        <v>127</v>
      </c>
      <c r="G58" t="str">
        <f>wimbledons_champions!H70</f>
        <v>6-4, 3-6, 8-6,</v>
      </c>
      <c r="H58" t="str">
        <f>wimbledons_champions!S70</f>
        <v>G.B. Sabatini</v>
      </c>
      <c r="I58" t="str">
        <f>wimbledons_champions!T70</f>
        <v>ARG</v>
      </c>
      <c r="J58">
        <f>wimbledons_champions!V70</f>
        <v>2</v>
      </c>
    </row>
    <row r="59" spans="1:10" x14ac:dyDescent="0.4">
      <c r="A59">
        <f>wimbledons_champions!A71</f>
        <v>1991</v>
      </c>
      <c r="B59" t="str">
        <f>wimbledons_champions!B71</f>
        <v>Men's</v>
      </c>
      <c r="C59" s="12" t="str">
        <f>wimbledons_champions!C71</f>
        <v>M.D. Stich</v>
      </c>
      <c r="D59" t="str">
        <f>wimbledons_champions!D71</f>
        <v>GER</v>
      </c>
      <c r="E59">
        <f>wimbledons_champions!F71</f>
        <v>6</v>
      </c>
      <c r="F59">
        <f>wimbledons_champions!G71</f>
        <v>153</v>
      </c>
      <c r="G59" t="str">
        <f>wimbledons_champions!H71</f>
        <v>6-4, 7-6 (7-4), 6-4</v>
      </c>
      <c r="H59" t="str">
        <f>wimbledons_champions!S71</f>
        <v>B.F. Becker</v>
      </c>
      <c r="I59" t="str">
        <f>wimbledons_champions!T71</f>
        <v>GER</v>
      </c>
      <c r="J59">
        <f>wimbledons_champions!V71</f>
        <v>2</v>
      </c>
    </row>
    <row r="60" spans="1:10" x14ac:dyDescent="0.4">
      <c r="A60">
        <f>wimbledons_champions!A72</f>
        <v>1990</v>
      </c>
      <c r="B60" t="str">
        <f>wimbledons_champions!B72</f>
        <v>Women's</v>
      </c>
      <c r="C60" s="9" t="str">
        <f>wimbledons_champions!C72</f>
        <v>M. Navratilova</v>
      </c>
      <c r="D60" t="str">
        <f>wimbledons_champions!D72</f>
        <v>USA</v>
      </c>
      <c r="E60">
        <f>wimbledons_champions!F72</f>
        <v>2</v>
      </c>
      <c r="F60">
        <f>wimbledons_champions!G72</f>
        <v>75</v>
      </c>
      <c r="G60" t="str">
        <f>wimbledons_champions!H72</f>
        <v>6-4, 6-1,</v>
      </c>
      <c r="H60" t="str">
        <f>wimbledons_champions!S72</f>
        <v>Z.L. Garrison</v>
      </c>
      <c r="I60" t="str">
        <f>wimbledons_champions!T72</f>
        <v>USA</v>
      </c>
      <c r="J60">
        <f>wimbledons_champions!V72</f>
        <v>5</v>
      </c>
    </row>
    <row r="61" spans="1:10" x14ac:dyDescent="0.4">
      <c r="A61">
        <f>wimbledons_champions!A73</f>
        <v>1990</v>
      </c>
      <c r="B61" t="str">
        <f>wimbledons_champions!B73</f>
        <v>Men's</v>
      </c>
      <c r="C61" s="10" t="str">
        <f>wimbledons_champions!C73</f>
        <v>S.B. Edberg</v>
      </c>
      <c r="D61" t="str">
        <f>wimbledons_champions!D73</f>
        <v>SWE</v>
      </c>
      <c r="E61">
        <f>wimbledons_champions!F73</f>
        <v>3</v>
      </c>
      <c r="F61">
        <f>wimbledons_champions!G73</f>
        <v>178</v>
      </c>
      <c r="G61" t="str">
        <f>wimbledons_champions!H73</f>
        <v>6-2, 6-2, 3-6, 3-6, 6-4</v>
      </c>
      <c r="H61" t="str">
        <f>wimbledons_champions!S73</f>
        <v>B.F. Becker</v>
      </c>
      <c r="I61" t="str">
        <f>wimbledons_champions!T73</f>
        <v>GER</v>
      </c>
      <c r="J61">
        <f>wimbledons_champions!V73</f>
        <v>2</v>
      </c>
    </row>
    <row r="62" spans="1:10" x14ac:dyDescent="0.4">
      <c r="A62">
        <f>wimbledons_champions!A74</f>
        <v>1989</v>
      </c>
      <c r="B62" t="str">
        <f>wimbledons_champions!B74</f>
        <v>Women's</v>
      </c>
      <c r="C62" s="9" t="str">
        <f>wimbledons_champions!C74</f>
        <v>S.M. Graf</v>
      </c>
      <c r="D62" t="str">
        <f>wimbledons_champions!D74</f>
        <v>GER</v>
      </c>
      <c r="E62">
        <f>wimbledons_champions!F74</f>
        <v>1</v>
      </c>
      <c r="F62">
        <f>wimbledons_champions!G74</f>
        <v>92</v>
      </c>
      <c r="G62" t="str">
        <f>wimbledons_champions!H74</f>
        <v>6-2, 6-7 (1-7), 6-1,</v>
      </c>
      <c r="H62" t="str">
        <f>wimbledons_champions!S74</f>
        <v>M. Navratilova</v>
      </c>
      <c r="I62" t="str">
        <f>wimbledons_champions!T74</f>
        <v>USA</v>
      </c>
      <c r="J62">
        <f>wimbledons_champions!V74</f>
        <v>2</v>
      </c>
    </row>
    <row r="63" spans="1:10" x14ac:dyDescent="0.4">
      <c r="A63">
        <f>wimbledons_champions!A75</f>
        <v>1989</v>
      </c>
      <c r="B63" t="str">
        <f>wimbledons_champions!B75</f>
        <v>Men's</v>
      </c>
      <c r="C63" s="12" t="str">
        <f>wimbledons_champions!C75</f>
        <v>B.F. Becker</v>
      </c>
      <c r="D63" t="str">
        <f>wimbledons_champions!D75</f>
        <v>GER</v>
      </c>
      <c r="E63">
        <f>wimbledons_champions!F75</f>
        <v>3</v>
      </c>
      <c r="F63">
        <f>wimbledons_champions!G75</f>
        <v>132</v>
      </c>
      <c r="G63" t="str">
        <f>wimbledons_champions!H75</f>
        <v>6-0, 7-6 (7-1), 6-4</v>
      </c>
      <c r="H63" s="2" t="str">
        <f>wimbledons_champions!S75</f>
        <v>S.B. Edberg</v>
      </c>
      <c r="I63" t="str">
        <f>wimbledons_champions!T75</f>
        <v>SWE</v>
      </c>
      <c r="J63">
        <f>wimbledons_champions!V75</f>
        <v>2</v>
      </c>
    </row>
    <row r="64" spans="1:10" x14ac:dyDescent="0.4">
      <c r="A64">
        <f>wimbledons_champions!A76</f>
        <v>1988</v>
      </c>
      <c r="B64" t="str">
        <f>wimbledons_champions!B76</f>
        <v>Women's</v>
      </c>
      <c r="C64" s="9" t="str">
        <f>wimbledons_champions!C76</f>
        <v>S.M. Graf</v>
      </c>
      <c r="D64" t="str">
        <f>wimbledons_champions!D76</f>
        <v>GER</v>
      </c>
      <c r="E64">
        <f>wimbledons_champions!F76</f>
        <v>1</v>
      </c>
      <c r="F64">
        <f>wimbledons_champions!G76</f>
        <v>93</v>
      </c>
      <c r="G64" t="str">
        <f>wimbledons_champions!H76</f>
        <v>5-7, 6-2, 6-1,</v>
      </c>
      <c r="H64" t="str">
        <f>wimbledons_champions!S76</f>
        <v>M. Navratilova</v>
      </c>
      <c r="I64" t="str">
        <f>wimbledons_champions!T76</f>
        <v>USA</v>
      </c>
      <c r="J64">
        <f>wimbledons_champions!V76</f>
        <v>2</v>
      </c>
    </row>
    <row r="65" spans="1:10" x14ac:dyDescent="0.4">
      <c r="A65">
        <f>wimbledons_champions!A77</f>
        <v>1988</v>
      </c>
      <c r="B65" t="str">
        <f>wimbledons_champions!B77</f>
        <v>Men's</v>
      </c>
      <c r="C65" s="12" t="str">
        <f>wimbledons_champions!C77</f>
        <v>S.B. Edberg</v>
      </c>
      <c r="D65" t="str">
        <f>wimbledons_champions!D77</f>
        <v>SWE</v>
      </c>
      <c r="E65">
        <f>wimbledons_champions!F77</f>
        <v>3</v>
      </c>
      <c r="F65">
        <f>wimbledons_champions!G77</f>
        <v>170</v>
      </c>
      <c r="G65" t="str">
        <f>wimbledons_champions!H77</f>
        <v>4-6, 7-6 (7-2), 6-4, 6-2</v>
      </c>
      <c r="H65" s="2" t="str">
        <f>wimbledons_champions!S77</f>
        <v>B.F. Becker</v>
      </c>
      <c r="I65" t="str">
        <f>wimbledons_champions!T77</f>
        <v>GER</v>
      </c>
      <c r="J65">
        <f>wimbledons_champions!V77</f>
        <v>6</v>
      </c>
    </row>
    <row r="66" spans="1:10" x14ac:dyDescent="0.4">
      <c r="A66">
        <f>wimbledons_champions!A78</f>
        <v>1987</v>
      </c>
      <c r="B66" t="str">
        <f>wimbledons_champions!B78</f>
        <v>Women's</v>
      </c>
      <c r="C66" s="9" t="str">
        <f>wimbledons_champions!C78</f>
        <v>M. Navratilova</v>
      </c>
      <c r="D66" t="str">
        <f>wimbledons_champions!D78</f>
        <v>USA</v>
      </c>
      <c r="E66">
        <f>wimbledons_champions!F78</f>
        <v>1</v>
      </c>
      <c r="F66">
        <f>wimbledons_champions!G78</f>
        <v>69</v>
      </c>
      <c r="G66" t="str">
        <f>wimbledons_champions!H78</f>
        <v>7-5, 6-3,</v>
      </c>
      <c r="H66" t="str">
        <f>wimbledons_champions!S78</f>
        <v>S.M. Graf</v>
      </c>
      <c r="I66" t="str">
        <f>wimbledons_champions!T78</f>
        <v>GER</v>
      </c>
      <c r="J66">
        <f>wimbledons_champions!V78</f>
        <v>2</v>
      </c>
    </row>
    <row r="67" spans="1:10" x14ac:dyDescent="0.4">
      <c r="A67">
        <f>wimbledons_champions!A79</f>
        <v>1987</v>
      </c>
      <c r="B67" t="str">
        <f>wimbledons_champions!B79</f>
        <v>Men's</v>
      </c>
      <c r="C67" s="10" t="str">
        <f>wimbledons_champions!C79</f>
        <v>P.H. Cash</v>
      </c>
      <c r="D67" t="str">
        <f>wimbledons_champions!D79</f>
        <v>AUS</v>
      </c>
      <c r="E67">
        <f>wimbledons_champions!F79</f>
        <v>11</v>
      </c>
      <c r="F67">
        <f>wimbledons_champions!G79</f>
        <v>165</v>
      </c>
      <c r="G67" t="str">
        <f>wimbledons_champions!H79</f>
        <v>7-6 (7-5), 6-2, 7-5</v>
      </c>
      <c r="H67" t="str">
        <f>wimbledons_champions!S79</f>
        <v>I. Lendl</v>
      </c>
      <c r="I67" t="str">
        <f>wimbledons_champions!T79</f>
        <v>CZE</v>
      </c>
      <c r="J67">
        <f>wimbledons_champions!V79</f>
        <v>2</v>
      </c>
    </row>
    <row r="68" spans="1:10" x14ac:dyDescent="0.4">
      <c r="A68">
        <f>wimbledons_champions!A80</f>
        <v>1986</v>
      </c>
      <c r="B68" t="str">
        <f>wimbledons_champions!B80</f>
        <v>Women's</v>
      </c>
      <c r="C68" s="9" t="str">
        <f>wimbledons_champions!C80</f>
        <v>M. Navratilova</v>
      </c>
      <c r="D68" t="str">
        <f>wimbledons_champions!D80</f>
        <v>USA</v>
      </c>
      <c r="E68">
        <f>wimbledons_champions!F80</f>
        <v>1</v>
      </c>
      <c r="F68">
        <f>wimbledons_champions!G80</f>
        <v>72</v>
      </c>
      <c r="G68" t="str">
        <f>wimbledons_champions!H80</f>
        <v>7-6 (7-1), 6-3,</v>
      </c>
      <c r="H68" t="str">
        <f>wimbledons_champions!S80</f>
        <v>H. Mandlikova</v>
      </c>
      <c r="I68" t="str">
        <f>wimbledons_champions!T80</f>
        <v>CZE</v>
      </c>
      <c r="J68">
        <f>wimbledons_champions!V80</f>
        <v>3</v>
      </c>
    </row>
    <row r="69" spans="1:10" x14ac:dyDescent="0.4">
      <c r="A69">
        <f>wimbledons_champions!A81</f>
        <v>1986</v>
      </c>
      <c r="B69" t="str">
        <f>wimbledons_champions!B81</f>
        <v>Men's</v>
      </c>
      <c r="C69" s="10" t="str">
        <f>wimbledons_champions!C81</f>
        <v>B.F. Becker</v>
      </c>
      <c r="D69" t="str">
        <f>wimbledons_champions!D81</f>
        <v>GER</v>
      </c>
      <c r="E69">
        <f>wimbledons_champions!F81</f>
        <v>4</v>
      </c>
      <c r="F69">
        <f>wimbledons_champions!G81</f>
        <v>122</v>
      </c>
      <c r="G69" t="str">
        <f>wimbledons_champions!H81</f>
        <v>6-4, 6-3, 7-5</v>
      </c>
      <c r="H69" t="str">
        <f>wimbledons_champions!S81</f>
        <v>I. Lendl</v>
      </c>
      <c r="I69" t="str">
        <f>wimbledons_champions!T81</f>
        <v>CZE</v>
      </c>
      <c r="J69">
        <f>wimbledons_champions!V81</f>
        <v>1</v>
      </c>
    </row>
    <row r="70" spans="1:10" x14ac:dyDescent="0.4">
      <c r="A70">
        <f>wimbledons_champions!A82</f>
        <v>1985</v>
      </c>
      <c r="B70" t="str">
        <f>wimbledons_champions!B82</f>
        <v>Women's</v>
      </c>
      <c r="C70" s="9" t="str">
        <f>wimbledons_champions!C82</f>
        <v>M. Navratilova</v>
      </c>
      <c r="D70" t="str">
        <f>wimbledons_champions!D82</f>
        <v>USA</v>
      </c>
      <c r="E70" s="2">
        <f>wimbledons_champions!F82</f>
        <v>1</v>
      </c>
      <c r="F70">
        <f>wimbledons_champions!G82</f>
        <v>107</v>
      </c>
      <c r="G70" t="str">
        <f>wimbledons_champions!H82</f>
        <v>4-6, 6-3, 6-2,</v>
      </c>
      <c r="H70" t="str">
        <f>wimbledons_champions!S82</f>
        <v>J.M. Lloyd</v>
      </c>
      <c r="I70" t="str">
        <f>wimbledons_champions!T82</f>
        <v>USA</v>
      </c>
      <c r="J70">
        <f>wimbledons_champions!V82</f>
        <v>1</v>
      </c>
    </row>
    <row r="71" spans="1:10" x14ac:dyDescent="0.4">
      <c r="A71">
        <f>wimbledons_champions!A83</f>
        <v>1985</v>
      </c>
      <c r="B71" t="str">
        <f>wimbledons_champions!B83</f>
        <v>Men's</v>
      </c>
      <c r="C71" s="10" t="str">
        <f>wimbledons_champions!C83</f>
        <v>B.F. Becker</v>
      </c>
      <c r="D71" t="str">
        <f>wimbledons_champions!D83</f>
        <v>GER</v>
      </c>
      <c r="E71" t="str">
        <f>wimbledons_champions!F83</f>
        <v>U</v>
      </c>
      <c r="F71">
        <f>wimbledons_champions!G83</f>
        <v>198</v>
      </c>
      <c r="G71" t="str">
        <f>wimbledons_champions!H83</f>
        <v>6-3, 6-7 (4-7), 7-6 (7-3), 6-4</v>
      </c>
      <c r="H71" t="str">
        <f>wimbledons_champions!S83</f>
        <v>K.M. Curren</v>
      </c>
      <c r="I71" t="str">
        <f>wimbledons_champions!T83</f>
        <v>USA</v>
      </c>
      <c r="J71">
        <f>wimbledons_champions!V83</f>
        <v>8</v>
      </c>
    </row>
    <row r="72" spans="1:10" x14ac:dyDescent="0.4">
      <c r="A72">
        <f>wimbledons_champions!A84</f>
        <v>1984</v>
      </c>
      <c r="B72" t="str">
        <f>wimbledons_champions!B84</f>
        <v>Women's</v>
      </c>
      <c r="C72" s="9" t="str">
        <f>wimbledons_champions!C84</f>
        <v>M. Navratilova</v>
      </c>
      <c r="D72" t="str">
        <f>wimbledons_champions!D84</f>
        <v>USA</v>
      </c>
      <c r="E72">
        <f>wimbledons_champions!F84</f>
        <v>1</v>
      </c>
      <c r="F72">
        <f>wimbledons_champions!G84</f>
        <v>84</v>
      </c>
      <c r="G72" t="str">
        <f>wimbledons_champions!H84</f>
        <v>7-6 (7-5), 6-2,</v>
      </c>
      <c r="H72" t="str">
        <f>wimbledons_champions!S84</f>
        <v>J.M. Lloyd</v>
      </c>
      <c r="I72" t="str">
        <f>wimbledons_champions!T84</f>
        <v>USA</v>
      </c>
      <c r="J72">
        <f>wimbledons_champions!V84</f>
        <v>2</v>
      </c>
    </row>
    <row r="73" spans="1:10" x14ac:dyDescent="0.4">
      <c r="A73">
        <f>wimbledons_champions!A85</f>
        <v>1984</v>
      </c>
      <c r="B73" t="str">
        <f>wimbledons_champions!B85</f>
        <v>Men's</v>
      </c>
      <c r="C73" s="10" t="str">
        <f>wimbledons_champions!C85</f>
        <v>J.P. McEnroe</v>
      </c>
      <c r="D73" t="str">
        <f>wimbledons_champions!D85</f>
        <v>USA</v>
      </c>
      <c r="E73">
        <f>wimbledons_champions!F85</f>
        <v>1</v>
      </c>
      <c r="F73">
        <f>wimbledons_champions!G85</f>
        <v>80</v>
      </c>
      <c r="G73" t="str">
        <f>wimbledons_champions!H85</f>
        <v>6-1, 6-1, 6-2</v>
      </c>
      <c r="H73" t="str">
        <f>wimbledons_champions!S85</f>
        <v>J.S. Connors</v>
      </c>
      <c r="I73" t="str">
        <f>wimbledons_champions!T85</f>
        <v>USA</v>
      </c>
      <c r="J73">
        <f>wimbledons_champions!V85</f>
        <v>3</v>
      </c>
    </row>
    <row r="74" spans="1:10" x14ac:dyDescent="0.4">
      <c r="A74">
        <f>wimbledons_champions!A86</f>
        <v>1983</v>
      </c>
      <c r="B74" t="str">
        <f>wimbledons_champions!B86</f>
        <v>Women's</v>
      </c>
      <c r="C74" s="9" t="str">
        <f>wimbledons_champions!C86</f>
        <v>M. Navratilova</v>
      </c>
      <c r="D74" t="str">
        <f>wimbledons_champions!D86</f>
        <v>USA</v>
      </c>
      <c r="E74">
        <f>wimbledons_champions!F86</f>
        <v>1</v>
      </c>
      <c r="F74">
        <f>wimbledons_champions!G86</f>
        <v>54</v>
      </c>
      <c r="G74" t="str">
        <f>wimbledons_champions!H86</f>
        <v>6-0, 6-3,</v>
      </c>
      <c r="H74" t="str">
        <f>wimbledons_champions!S86</f>
        <v>A. Jaeger</v>
      </c>
      <c r="I74" t="str">
        <f>wimbledons_champions!T86</f>
        <v>USA</v>
      </c>
      <c r="J74">
        <f>wimbledons_champions!V86</f>
        <v>3</v>
      </c>
    </row>
    <row r="75" spans="1:10" x14ac:dyDescent="0.4">
      <c r="A75">
        <f>wimbledons_champions!A87</f>
        <v>1983</v>
      </c>
      <c r="B75" t="str">
        <f>wimbledons_champions!B87</f>
        <v>Men's</v>
      </c>
      <c r="C75" s="10" t="str">
        <f>wimbledons_champions!C87</f>
        <v>J.P. McEnroe</v>
      </c>
      <c r="D75" t="str">
        <f>wimbledons_champions!D87</f>
        <v>USA</v>
      </c>
      <c r="E75">
        <f>wimbledons_champions!F87</f>
        <v>2</v>
      </c>
      <c r="F75">
        <f>wimbledons_champions!G87</f>
        <v>85</v>
      </c>
      <c r="G75" t="str">
        <f>wimbledons_champions!H87</f>
        <v>6-2, 6-2, 6-2</v>
      </c>
      <c r="H75" t="str">
        <f>wimbledons_champions!S87</f>
        <v>C.J. Lewis</v>
      </c>
      <c r="I75" t="str">
        <f>wimbledons_champions!T87</f>
        <v>NZL</v>
      </c>
      <c r="J75" t="str">
        <f>wimbledons_champions!V87</f>
        <v>U</v>
      </c>
    </row>
    <row r="76" spans="1:10" x14ac:dyDescent="0.4">
      <c r="A76">
        <f>wimbledons_champions!A88</f>
        <v>1982</v>
      </c>
      <c r="B76" t="str">
        <f>wimbledons_champions!B88</f>
        <v>Women's</v>
      </c>
      <c r="C76" s="9" t="str">
        <f>wimbledons_champions!C88</f>
        <v>M. Navratilova</v>
      </c>
      <c r="D76" t="str">
        <f>wimbledons_champions!D88</f>
        <v>USA</v>
      </c>
      <c r="E76">
        <f>wimbledons_champions!F88</f>
        <v>1</v>
      </c>
      <c r="F76">
        <f>wimbledons_champions!G88</f>
        <v>87</v>
      </c>
      <c r="G76" t="str">
        <f>wimbledons_champions!H88</f>
        <v>6-1, 3-6, 6-2,</v>
      </c>
      <c r="H76" t="str">
        <f>wimbledons_champions!S88</f>
        <v>J.M. Lloyd</v>
      </c>
      <c r="I76" t="str">
        <f>wimbledons_champions!T88</f>
        <v>USA</v>
      </c>
      <c r="J76">
        <f>wimbledons_champions!V88</f>
        <v>2</v>
      </c>
    </row>
    <row r="77" spans="1:10" x14ac:dyDescent="0.4">
      <c r="A77">
        <f>wimbledons_champions!A89</f>
        <v>1982</v>
      </c>
      <c r="B77" t="str">
        <f>wimbledons_champions!B89</f>
        <v>Men's</v>
      </c>
      <c r="C77" s="10" t="str">
        <f>wimbledons_champions!C89</f>
        <v>J.S. Connors</v>
      </c>
      <c r="D77" t="str">
        <f>wimbledons_champions!D89</f>
        <v>USA</v>
      </c>
      <c r="E77">
        <f>wimbledons_champions!F89</f>
        <v>2</v>
      </c>
      <c r="F77">
        <f>wimbledons_champions!G89</f>
        <v>256</v>
      </c>
      <c r="G77" t="str">
        <f>wimbledons_champions!H89</f>
        <v>3-6, 6-3, 6-7 (2-7), 7-6 (7-5), 6-4</v>
      </c>
      <c r="H77" t="str">
        <f>wimbledons_champions!S89</f>
        <v>J.P. McEnroe</v>
      </c>
      <c r="I77" t="str">
        <f>wimbledons_champions!T89</f>
        <v>USA</v>
      </c>
      <c r="J77">
        <f>wimbledons_champions!V89</f>
        <v>1</v>
      </c>
    </row>
    <row r="78" spans="1:10" x14ac:dyDescent="0.4">
      <c r="A78">
        <f>wimbledons_champions!A90</f>
        <v>1981</v>
      </c>
      <c r="B78" t="str">
        <f>wimbledons_champions!B90</f>
        <v>Women's</v>
      </c>
      <c r="C78" s="9" t="str">
        <f>wimbledons_champions!C90</f>
        <v>J.M. Lloyd</v>
      </c>
      <c r="D78" t="str">
        <f>wimbledons_champions!D90</f>
        <v>USA</v>
      </c>
      <c r="E78">
        <f>wimbledons_champions!F90</f>
        <v>1</v>
      </c>
      <c r="F78">
        <f>wimbledons_champions!G90</f>
        <v>60</v>
      </c>
      <c r="G78" t="str">
        <f>wimbledons_champions!H90</f>
        <v>6-2, 6-2,</v>
      </c>
      <c r="H78" t="str">
        <f>wimbledons_champions!S90</f>
        <v>H. Mandlikova</v>
      </c>
      <c r="I78" t="str">
        <f>wimbledons_champions!T90</f>
        <v>CZE</v>
      </c>
      <c r="J78">
        <f>wimbledons_champions!V90</f>
        <v>2</v>
      </c>
    </row>
    <row r="79" spans="1:10" x14ac:dyDescent="0.4">
      <c r="A79">
        <f>wimbledons_champions!A91</f>
        <v>1981</v>
      </c>
      <c r="B79" t="str">
        <f>wimbledons_champions!B91</f>
        <v>Men's</v>
      </c>
      <c r="C79" s="9" t="str">
        <f>wimbledons_champions!C91</f>
        <v>J.P. McEnroe</v>
      </c>
      <c r="D79" t="str">
        <f>wimbledons_champions!D91</f>
        <v>USA</v>
      </c>
      <c r="E79">
        <f>wimbledons_champions!F91</f>
        <v>2</v>
      </c>
      <c r="F79">
        <f>wimbledons_champions!G91</f>
        <v>202</v>
      </c>
      <c r="G79" t="str">
        <f>wimbledons_champions!H91</f>
        <v>4-6, 7-6 (7-1), 7-6 (7-4), 6-4</v>
      </c>
      <c r="H79" t="str">
        <f>wimbledons_champions!S91</f>
        <v>B.R. Borg</v>
      </c>
      <c r="I79" t="str">
        <f>wimbledons_champions!T91</f>
        <v>SWE</v>
      </c>
      <c r="J79">
        <f>wimbledons_champions!V91</f>
        <v>1</v>
      </c>
    </row>
    <row r="80" spans="1:10" x14ac:dyDescent="0.4">
      <c r="A80">
        <f>wimbledons_champions!A92</f>
        <v>1980</v>
      </c>
      <c r="B80" t="str">
        <f>wimbledons_champions!B92</f>
        <v>Women's</v>
      </c>
      <c r="C80" s="14" t="str">
        <f>wimbledons_champions!C92</f>
        <v>R.A. Cawley</v>
      </c>
      <c r="D80" t="str">
        <f>wimbledons_champions!D92</f>
        <v>AUS</v>
      </c>
      <c r="E80">
        <f>wimbledons_champions!F92</f>
        <v>4</v>
      </c>
      <c r="F80">
        <f>wimbledons_champions!G92</f>
        <v>93</v>
      </c>
      <c r="G80" t="str">
        <f>wimbledons_champions!H92</f>
        <v>6-1, 7-6 (7-4)</v>
      </c>
      <c r="H80" t="str">
        <f>wimbledons_champions!S92</f>
        <v>J.M. Lloyd</v>
      </c>
      <c r="I80" t="str">
        <f>wimbledons_champions!T92</f>
        <v>USA</v>
      </c>
      <c r="J80">
        <f>wimbledons_champions!V92</f>
        <v>3</v>
      </c>
    </row>
    <row r="81" spans="1:10" x14ac:dyDescent="0.4">
      <c r="A81">
        <f>wimbledons_champions!A93</f>
        <v>1980</v>
      </c>
      <c r="B81" t="str">
        <f>wimbledons_champions!B93</f>
        <v>Men's</v>
      </c>
      <c r="C81" s="9" t="str">
        <f>wimbledons_champions!C93</f>
        <v>B.R. Borg</v>
      </c>
      <c r="D81" t="str">
        <f>wimbledons_champions!D93</f>
        <v>SWE</v>
      </c>
      <c r="E81">
        <f>wimbledons_champions!F93</f>
        <v>1</v>
      </c>
      <c r="F81">
        <f>wimbledons_champions!G93</f>
        <v>233</v>
      </c>
      <c r="G81" t="str">
        <f>wimbledons_champions!H93</f>
        <v>1-6, 7-5, 6-3, 6-7 (16-18), 8-6</v>
      </c>
      <c r="H81" t="str">
        <f>wimbledons_champions!S93</f>
        <v>J.P. McEnroe</v>
      </c>
      <c r="I81" t="str">
        <f>wimbledons_champions!T93</f>
        <v>USA</v>
      </c>
      <c r="J81">
        <f>wimbledons_champions!V93</f>
        <v>2</v>
      </c>
    </row>
    <row r="82" spans="1:10" x14ac:dyDescent="0.4">
      <c r="A82">
        <f>wimbledons_champions!A94</f>
        <v>1979</v>
      </c>
      <c r="B82" t="str">
        <f>wimbledons_champions!B94</f>
        <v>Women's</v>
      </c>
      <c r="C82" s="14" t="str">
        <f>wimbledons_champions!C94</f>
        <v>M. Navratilova</v>
      </c>
      <c r="D82" t="str">
        <f>wimbledons_champions!D94</f>
        <v>USA</v>
      </c>
      <c r="E82">
        <f>wimbledons_champions!F94</f>
        <v>1</v>
      </c>
      <c r="F82">
        <f>wimbledons_champions!G94</f>
        <v>60</v>
      </c>
      <c r="G82" t="str">
        <f>wimbledons_champions!H94</f>
        <v>6-4, 6-4,</v>
      </c>
      <c r="H82" t="str">
        <f>wimbledons_champions!S94</f>
        <v>J.M. Lloyd</v>
      </c>
      <c r="I82" t="str">
        <f>wimbledons_champions!T94</f>
        <v>USA</v>
      </c>
      <c r="J82">
        <f>wimbledons_champions!V94</f>
        <v>2</v>
      </c>
    </row>
    <row r="83" spans="1:10" x14ac:dyDescent="0.4">
      <c r="A83">
        <f>wimbledons_champions!A95</f>
        <v>1979</v>
      </c>
      <c r="B83" t="str">
        <f>wimbledons_champions!B95</f>
        <v>Men's</v>
      </c>
      <c r="C83" s="10" t="str">
        <f>wimbledons_champions!C95</f>
        <v>B.R. Borg</v>
      </c>
      <c r="D83" t="str">
        <f>wimbledons_champions!D95</f>
        <v>SWE</v>
      </c>
      <c r="E83">
        <f>wimbledons_champions!F95</f>
        <v>1</v>
      </c>
      <c r="F83">
        <f>wimbledons_champions!G95</f>
        <v>169</v>
      </c>
      <c r="G83" t="str">
        <f>wimbledons_champions!H95</f>
        <v>6-7(4-7), 6-1, 3-6, 6-3, 6-4</v>
      </c>
      <c r="H83" t="str">
        <f>wimbledons_champions!S95</f>
        <v>R. Tanner</v>
      </c>
      <c r="I83" t="str">
        <f>wimbledons_champions!T95</f>
        <v>USA</v>
      </c>
      <c r="J83">
        <f>wimbledons_champions!V95</f>
        <v>5</v>
      </c>
    </row>
    <row r="84" spans="1:10" x14ac:dyDescent="0.4">
      <c r="A84">
        <f>wimbledons_champions!A96</f>
        <v>1978</v>
      </c>
      <c r="B84" t="str">
        <f>wimbledons_champions!B96</f>
        <v>Women's</v>
      </c>
      <c r="C84" s="14" t="str">
        <f>wimbledons_champions!C96</f>
        <v>M. Navratilova</v>
      </c>
      <c r="D84" t="str">
        <f>wimbledons_champions!D96</f>
        <v>USA</v>
      </c>
      <c r="E84">
        <f>wimbledons_champions!F96</f>
        <v>2</v>
      </c>
      <c r="F84">
        <f>wimbledons_champions!G96</f>
        <v>102</v>
      </c>
      <c r="G84" t="str">
        <f>wimbledons_champions!H96</f>
        <v>2-6, 6-4, 7-5,</v>
      </c>
      <c r="H84" t="str">
        <f>wimbledons_champions!S96</f>
        <v>C.M. Evert</v>
      </c>
      <c r="I84" t="str">
        <f>wimbledons_champions!T96</f>
        <v>USA</v>
      </c>
      <c r="J84">
        <f>wimbledons_champions!V96</f>
        <v>1</v>
      </c>
    </row>
    <row r="85" spans="1:10" x14ac:dyDescent="0.4">
      <c r="A85">
        <f>wimbledons_champions!A97</f>
        <v>1978</v>
      </c>
      <c r="B85" t="str">
        <f>wimbledons_champions!B97</f>
        <v>Men's</v>
      </c>
      <c r="C85" s="10" t="str">
        <f>wimbledons_champions!C97</f>
        <v>B.R. Borg</v>
      </c>
      <c r="D85" t="str">
        <f>wimbledons_champions!D97</f>
        <v>SWE</v>
      </c>
      <c r="E85">
        <f>wimbledons_champions!F97</f>
        <v>1</v>
      </c>
      <c r="F85">
        <f>wimbledons_champions!G97</f>
        <v>108</v>
      </c>
      <c r="G85" t="str">
        <f>wimbledons_champions!H97</f>
        <v>6-2, 6-2, 6-3</v>
      </c>
      <c r="H85" t="str">
        <f>wimbledons_champions!S97</f>
        <v>J.S. Connors</v>
      </c>
      <c r="I85" t="str">
        <f>wimbledons_champions!T97</f>
        <v>USA</v>
      </c>
      <c r="J85">
        <f>wimbledons_champions!V97</f>
        <v>2</v>
      </c>
    </row>
    <row r="86" spans="1:10" x14ac:dyDescent="0.4">
      <c r="A86">
        <f>wimbledons_champions!A98</f>
        <v>1977</v>
      </c>
      <c r="B86" t="str">
        <f>wimbledons_champions!B98</f>
        <v>Women's</v>
      </c>
      <c r="C86" s="14" t="str">
        <f>wimbledons_champions!C98</f>
        <v>S.V. Wade</v>
      </c>
      <c r="D86" t="str">
        <f>wimbledons_champions!D98</f>
        <v>GBR</v>
      </c>
      <c r="E86">
        <f>wimbledons_champions!F98</f>
        <v>3</v>
      </c>
      <c r="F86">
        <f>wimbledons_champions!G98</f>
        <v>98</v>
      </c>
      <c r="G86" t="str">
        <f>wimbledons_champions!H98</f>
        <v>4-6, 6-3, 6-1,</v>
      </c>
      <c r="H86" t="str">
        <f>wimbledons_champions!S98</f>
        <v>B.F. Stove</v>
      </c>
      <c r="I86" t="str">
        <f>wimbledons_champions!T98</f>
        <v>NED</v>
      </c>
      <c r="J86">
        <f>wimbledons_champions!V98</f>
        <v>7</v>
      </c>
    </row>
    <row r="87" spans="1:10" x14ac:dyDescent="0.4">
      <c r="A87">
        <f>wimbledons_champions!A99</f>
        <v>1977</v>
      </c>
      <c r="B87" t="str">
        <f>wimbledons_champions!B99</f>
        <v>Men's</v>
      </c>
      <c r="C87" s="9" t="str">
        <f>wimbledons_champions!C99</f>
        <v>B.R. Borg</v>
      </c>
      <c r="D87" t="str">
        <f>wimbledons_champions!D99</f>
        <v>SWE</v>
      </c>
      <c r="E87">
        <f>wimbledons_champions!F99</f>
        <v>2</v>
      </c>
      <c r="F87">
        <f>wimbledons_champions!G99</f>
        <v>194</v>
      </c>
      <c r="G87" t="str">
        <f>wimbledons_champions!H99</f>
        <v>3-6, 6-2, 6-1, 5-7, 6-4</v>
      </c>
      <c r="H87" t="str">
        <f>wimbledons_champions!S99</f>
        <v>J.S. Connors</v>
      </c>
      <c r="I87" t="str">
        <f>wimbledons_champions!T99</f>
        <v>USA</v>
      </c>
      <c r="J87">
        <f>wimbledons_champions!V99</f>
        <v>1</v>
      </c>
    </row>
    <row r="88" spans="1:10" x14ac:dyDescent="0.4">
      <c r="A88">
        <f>wimbledons_champions!A100</f>
        <v>1976</v>
      </c>
      <c r="B88" t="str">
        <f>wimbledons_champions!B100</f>
        <v>Women's</v>
      </c>
      <c r="C88" s="14" t="str">
        <f>wimbledons_champions!C100</f>
        <v>C.M. Evert</v>
      </c>
      <c r="D88" t="str">
        <f>wimbledons_champions!D100</f>
        <v>USA</v>
      </c>
      <c r="E88">
        <f>wimbledons_champions!F100</f>
        <v>1</v>
      </c>
      <c r="F88">
        <f>wimbledons_champions!G100</f>
        <v>120</v>
      </c>
      <c r="G88" t="str">
        <f>wimbledons_champions!H100</f>
        <v>6-3, 4-6, 8-6,</v>
      </c>
      <c r="H88" t="str">
        <f>wimbledons_champions!S100</f>
        <v>R.A. Cawley</v>
      </c>
      <c r="I88" t="str">
        <f>wimbledons_champions!T100</f>
        <v>AUS</v>
      </c>
      <c r="J88">
        <f>wimbledons_champions!V100</f>
        <v>2</v>
      </c>
    </row>
    <row r="89" spans="1:10" x14ac:dyDescent="0.4">
      <c r="A89">
        <f>wimbledons_champions!A101</f>
        <v>1976</v>
      </c>
      <c r="B89" t="str">
        <f>wimbledons_champions!B101</f>
        <v>Men's</v>
      </c>
      <c r="C89" s="9" t="str">
        <f>wimbledons_champions!C101</f>
        <v>B.R. Borg</v>
      </c>
      <c r="D89" t="str">
        <f>wimbledons_champions!D101</f>
        <v>SWE</v>
      </c>
      <c r="E89">
        <f>wimbledons_champions!F101</f>
        <v>4</v>
      </c>
      <c r="F89">
        <f>wimbledons_champions!G101</f>
        <v>110</v>
      </c>
      <c r="G89" t="str">
        <f>wimbledons_champions!H101</f>
        <v>6-4, 6-2, 9-7</v>
      </c>
      <c r="H89" t="str">
        <f>wimbledons_champions!S101</f>
        <v>I. Nastase</v>
      </c>
      <c r="I89" t="str">
        <f>wimbledons_champions!T101</f>
        <v>ROM</v>
      </c>
      <c r="J89">
        <f>wimbledons_champions!V101</f>
        <v>3</v>
      </c>
    </row>
    <row r="90" spans="1:10" x14ac:dyDescent="0.4">
      <c r="A90">
        <f>wimbledons_champions!A102</f>
        <v>1975</v>
      </c>
      <c r="B90" t="str">
        <f>wimbledons_champions!B102</f>
        <v>Women's</v>
      </c>
      <c r="C90" s="9" t="str">
        <f>wimbledons_champions!C102</f>
        <v>L.W. King</v>
      </c>
      <c r="D90" t="str">
        <f>wimbledons_champions!D102</f>
        <v>USA</v>
      </c>
      <c r="E90">
        <f>wimbledons_champions!F102</f>
        <v>3</v>
      </c>
      <c r="F90">
        <f>wimbledons_champions!G102</f>
        <v>38</v>
      </c>
      <c r="G90" t="str">
        <f>wimbledons_champions!H102</f>
        <v>6-0, 6-1,</v>
      </c>
      <c r="H90" t="str">
        <f>wimbledons_champions!S102</f>
        <v>R.A. Cawley</v>
      </c>
      <c r="I90" t="str">
        <f>wimbledons_champions!T102</f>
        <v>AUS</v>
      </c>
      <c r="J90">
        <f>wimbledons_champions!V102</f>
        <v>4</v>
      </c>
    </row>
    <row r="91" spans="1:10" x14ac:dyDescent="0.4">
      <c r="A91">
        <f>wimbledons_champions!A103</f>
        <v>1975</v>
      </c>
      <c r="B91" t="str">
        <f>wimbledons_champions!B103</f>
        <v>Men's</v>
      </c>
      <c r="C91" s="13" t="str">
        <f>wimbledons_champions!C103</f>
        <v>A.R. Ashe</v>
      </c>
      <c r="D91" t="str">
        <f>wimbledons_champions!D103</f>
        <v>USA</v>
      </c>
      <c r="E91">
        <f>wimbledons_champions!F103</f>
        <v>6</v>
      </c>
      <c r="F91">
        <f>wimbledons_champions!G103</f>
        <v>125</v>
      </c>
      <c r="G91" t="str">
        <f>wimbledons_champions!H103</f>
        <v>6-1, 6-1, 5-7, 6-4</v>
      </c>
      <c r="H91" t="str">
        <f>wimbledons_champions!S103</f>
        <v>J.S. Connors</v>
      </c>
      <c r="I91" t="str">
        <f>wimbledons_champions!T103</f>
        <v>USA</v>
      </c>
      <c r="J91">
        <f>wimbledons_champions!V103</f>
        <v>1</v>
      </c>
    </row>
    <row r="92" spans="1:10" x14ac:dyDescent="0.4">
      <c r="A92">
        <f>wimbledons_champions!A104</f>
        <v>1974</v>
      </c>
      <c r="B92" t="str">
        <f>wimbledons_champions!B104</f>
        <v>Women's</v>
      </c>
      <c r="C92" s="9" t="str">
        <f>wimbledons_champions!C104</f>
        <v>C.M. Evert</v>
      </c>
      <c r="D92" t="str">
        <f>wimbledons_champions!D104</f>
        <v>USA</v>
      </c>
      <c r="E92">
        <f>wimbledons_champions!F104</f>
        <v>2</v>
      </c>
      <c r="F92">
        <f>wimbledons_champions!G104</f>
        <v>59</v>
      </c>
      <c r="G92" t="str">
        <f>wimbledons_champions!H104</f>
        <v>6-0, 6-4</v>
      </c>
      <c r="H92" t="str">
        <f>wimbledons_champions!S104</f>
        <v>O.V. Morozova</v>
      </c>
      <c r="I92" t="str">
        <f>wimbledons_champions!T104</f>
        <v>URS</v>
      </c>
      <c r="J92">
        <f>wimbledons_champions!V104</f>
        <v>8</v>
      </c>
    </row>
    <row r="93" spans="1:10" x14ac:dyDescent="0.4">
      <c r="A93">
        <f>wimbledons_champions!A105</f>
        <v>1974</v>
      </c>
      <c r="B93" t="str">
        <f>wimbledons_champions!B105</f>
        <v>Men's</v>
      </c>
      <c r="C93" s="9" t="str">
        <f>wimbledons_champions!C105</f>
        <v>J.S. Connors</v>
      </c>
      <c r="D93" t="str">
        <f>wimbledons_champions!D105</f>
        <v>USA</v>
      </c>
      <c r="E93">
        <f>wimbledons_champions!F105</f>
        <v>3</v>
      </c>
      <c r="F93">
        <f>wimbledons_champions!G105</f>
        <v>93</v>
      </c>
      <c r="G93" t="str">
        <f>wimbledons_champions!H105</f>
        <v>6-1, 6-1, 6-4</v>
      </c>
      <c r="H93" t="str">
        <f>wimbledons_champions!S105</f>
        <v>K.R. Rosewall</v>
      </c>
      <c r="I93" t="str">
        <f>wimbledons_champions!T105</f>
        <v>AUS</v>
      </c>
      <c r="J93">
        <f>wimbledons_champions!V105</f>
        <v>9</v>
      </c>
    </row>
    <row r="94" spans="1:10" x14ac:dyDescent="0.4">
      <c r="A94">
        <f>wimbledons_champions!A106</f>
        <v>1973</v>
      </c>
      <c r="B94" t="str">
        <f>wimbledons_champions!B106</f>
        <v>Women's</v>
      </c>
      <c r="C94" s="9" t="str">
        <f>wimbledons_champions!C106</f>
        <v>L.W. King</v>
      </c>
      <c r="D94" t="str">
        <f>wimbledons_champions!D106</f>
        <v>USA</v>
      </c>
      <c r="E94">
        <f>wimbledons_champions!F106</f>
        <v>2</v>
      </c>
      <c r="F94">
        <f>wimbledons_champions!G106</f>
        <v>53</v>
      </c>
      <c r="G94" t="str">
        <f>wimbledons_champions!H106</f>
        <v>6-0, 7-5</v>
      </c>
      <c r="H94" t="str">
        <f>wimbledons_champions!S106</f>
        <v>C.M. Evert</v>
      </c>
      <c r="I94" t="str">
        <f>wimbledons_champions!T106</f>
        <v>USA</v>
      </c>
      <c r="J94">
        <f>wimbledons_champions!V106</f>
        <v>4</v>
      </c>
    </row>
    <row r="95" spans="1:10" x14ac:dyDescent="0.4">
      <c r="A95">
        <f>wimbledons_champions!A107</f>
        <v>1973</v>
      </c>
      <c r="B95" t="str">
        <f>wimbledons_champions!B107</f>
        <v>Men's</v>
      </c>
      <c r="C95" s="13" t="str">
        <f>wimbledons_champions!C107</f>
        <v>J. Kodes</v>
      </c>
      <c r="D95" t="str">
        <f>wimbledons_champions!D107</f>
        <v>CZE</v>
      </c>
      <c r="E95">
        <f>wimbledons_champions!F107</f>
        <v>2</v>
      </c>
      <c r="F95">
        <f>wimbledons_champions!G107</f>
        <v>110</v>
      </c>
      <c r="G95" t="str">
        <f>wimbledons_champions!H107</f>
        <v>6-1, 9-8(7-5), 6-3</v>
      </c>
      <c r="H95" t="str">
        <f>wimbledons_champions!S107</f>
        <v>A. Metreveli</v>
      </c>
      <c r="I95" t="str">
        <f>wimbledons_champions!T107</f>
        <v>URS</v>
      </c>
      <c r="J95">
        <f>wimbledons_champions!V107</f>
        <v>4</v>
      </c>
    </row>
    <row r="96" spans="1:10" x14ac:dyDescent="0.4">
      <c r="A96">
        <f>wimbledons_champions!A108</f>
        <v>1972</v>
      </c>
      <c r="B96" t="str">
        <f>wimbledons_champions!B108</f>
        <v>Women's</v>
      </c>
      <c r="C96" s="9" t="str">
        <f>wimbledons_champions!C108</f>
        <v>L.W. King</v>
      </c>
      <c r="D96" t="str">
        <f>wimbledons_champions!D108</f>
        <v>USA</v>
      </c>
      <c r="E96">
        <f>wimbledons_champions!F108</f>
        <v>2</v>
      </c>
      <c r="F96">
        <f>wimbledons_champions!G108</f>
        <v>50</v>
      </c>
      <c r="G96" t="str">
        <f>wimbledons_champions!H108</f>
        <v>6-3, 6-3,</v>
      </c>
      <c r="H96" t="str">
        <f>wimbledons_champions!S108</f>
        <v>E.F. Goolagong</v>
      </c>
      <c r="I96" t="str">
        <f>wimbledons_champions!T108</f>
        <v>AUS</v>
      </c>
      <c r="J96">
        <f>wimbledons_champions!V108</f>
        <v>1</v>
      </c>
    </row>
    <row r="97" spans="1:10" x14ac:dyDescent="0.4">
      <c r="A97">
        <f>wimbledons_champions!A109</f>
        <v>1972</v>
      </c>
      <c r="B97" t="str">
        <f>wimbledons_champions!B109</f>
        <v>Men's</v>
      </c>
      <c r="C97" s="13" t="str">
        <f>wimbledons_champions!C109</f>
        <v>S.R. Smith</v>
      </c>
      <c r="D97" t="str">
        <f>wimbledons_champions!D109</f>
        <v>USA</v>
      </c>
      <c r="E97">
        <f>wimbledons_champions!F109</f>
        <v>1</v>
      </c>
      <c r="F97">
        <f>wimbledons_champions!G109</f>
        <v>161</v>
      </c>
      <c r="G97" t="str">
        <f>wimbledons_champions!H109</f>
        <v>4-6, 6-3, 6-3, 4-6, 7-5</v>
      </c>
      <c r="H97" t="str">
        <f>wimbledons_champions!S109</f>
        <v>I. Nastase</v>
      </c>
      <c r="I97" t="str">
        <f>wimbledons_champions!T109</f>
        <v>ROM</v>
      </c>
      <c r="J97">
        <f>wimbledons_champions!V109</f>
        <v>2</v>
      </c>
    </row>
    <row r="98" spans="1:10" x14ac:dyDescent="0.4">
      <c r="A98">
        <f>wimbledons_champions!A110</f>
        <v>1971</v>
      </c>
      <c r="B98" t="str">
        <f>wimbledons_champions!B110</f>
        <v>Women's</v>
      </c>
      <c r="C98" s="9" t="str">
        <f>wimbledons_champions!C110</f>
        <v>E.F. Goolagong</v>
      </c>
      <c r="D98" t="str">
        <f>wimbledons_champions!D110</f>
        <v>AUS</v>
      </c>
      <c r="E98">
        <f>wimbledons_champions!F110</f>
        <v>3</v>
      </c>
      <c r="F98">
        <f>wimbledons_champions!G110</f>
        <v>62</v>
      </c>
      <c r="G98" t="str">
        <f>wimbledons_champions!H110</f>
        <v>6-4, 6-1,</v>
      </c>
      <c r="H98" t="str">
        <f>wimbledons_champions!S110</f>
        <v>B.M. Court</v>
      </c>
      <c r="I98" t="str">
        <f>wimbledons_champions!T110</f>
        <v>AUS</v>
      </c>
      <c r="J98">
        <f>wimbledons_champions!V110</f>
        <v>1</v>
      </c>
    </row>
    <row r="99" spans="1:10" x14ac:dyDescent="0.4">
      <c r="A99">
        <f>wimbledons_champions!A111</f>
        <v>1971</v>
      </c>
      <c r="B99" t="str">
        <f>wimbledons_champions!B111</f>
        <v>Men's</v>
      </c>
      <c r="C99" s="9" t="str">
        <f>wimbledons_champions!C111</f>
        <v>J.D. Newcombe</v>
      </c>
      <c r="D99" t="str">
        <f>wimbledons_champions!D111</f>
        <v>AUS</v>
      </c>
      <c r="E99">
        <f>wimbledons_champions!F111</f>
        <v>2</v>
      </c>
      <c r="F99">
        <f>wimbledons_champions!G111</f>
        <v>170</v>
      </c>
      <c r="G99" t="str">
        <f>wimbledons_champions!H111</f>
        <v>6-3, 5-7, 2-6, 6-4, 6-4</v>
      </c>
      <c r="H99" t="str">
        <f>wimbledons_champions!S111</f>
        <v>S.R. Smith</v>
      </c>
      <c r="I99" t="str">
        <f>wimbledons_champions!T111</f>
        <v>USA</v>
      </c>
      <c r="J99">
        <f>wimbledons_champions!V111</f>
        <v>4</v>
      </c>
    </row>
    <row r="100" spans="1:10" x14ac:dyDescent="0.4">
      <c r="A100">
        <f>wimbledons_champions!A112</f>
        <v>1970</v>
      </c>
      <c r="B100" t="str">
        <f>wimbledons_champions!B112</f>
        <v>Women's</v>
      </c>
      <c r="C100" s="9" t="str">
        <f>wimbledons_champions!C112</f>
        <v>B.M. Court</v>
      </c>
      <c r="D100" t="str">
        <f>wimbledons_champions!D112</f>
        <v>AUS</v>
      </c>
      <c r="E100">
        <f>wimbledons_champions!F112</f>
        <v>1</v>
      </c>
      <c r="F100">
        <f>wimbledons_champions!G112</f>
        <v>148</v>
      </c>
      <c r="G100" t="str">
        <f>wimbledons_champions!H112</f>
        <v>14-12, 11-9,</v>
      </c>
      <c r="H100" t="str">
        <f>wimbledons_champions!S112</f>
        <v>L.W. King</v>
      </c>
      <c r="I100" t="str">
        <f>wimbledons_champions!T112</f>
        <v>USA</v>
      </c>
      <c r="J100">
        <f>wimbledons_champions!V112</f>
        <v>2</v>
      </c>
    </row>
    <row r="101" spans="1:10" x14ac:dyDescent="0.4">
      <c r="A101">
        <f>wimbledons_champions!A113</f>
        <v>1970</v>
      </c>
      <c r="B101" t="str">
        <f>wimbledons_champions!B113</f>
        <v>Men's</v>
      </c>
      <c r="C101" s="9" t="str">
        <f>wimbledons_champions!C113</f>
        <v>J.D. Newcombe</v>
      </c>
      <c r="D101" t="str">
        <f>wimbledons_champions!D113</f>
        <v>AUS</v>
      </c>
      <c r="E101">
        <f>wimbledons_champions!F113</f>
        <v>2</v>
      </c>
      <c r="F101">
        <f>wimbledons_champions!G113</f>
        <v>163</v>
      </c>
      <c r="G101" t="str">
        <f>wimbledons_champions!H113</f>
        <v>5-7, 6-3, 6-2, 3-6, 6-1</v>
      </c>
      <c r="H101" t="str">
        <f>wimbledons_champions!S113</f>
        <v>K.R. Rosewall</v>
      </c>
      <c r="I101" t="str">
        <f>wimbledons_champions!T113</f>
        <v>AUS</v>
      </c>
      <c r="J101">
        <f>wimbledons_champions!V113</f>
        <v>5</v>
      </c>
    </row>
    <row r="102" spans="1:10" x14ac:dyDescent="0.4">
      <c r="A102">
        <f>wimbledons_champions!A114</f>
        <v>1969</v>
      </c>
      <c r="B102" t="str">
        <f>wimbledons_champions!B114</f>
        <v>Women's</v>
      </c>
      <c r="C102" s="9" t="str">
        <f>wimbledons_champions!C114</f>
        <v>P.F. Jones</v>
      </c>
      <c r="D102" t="str">
        <f>wimbledons_champions!D114</f>
        <v>GBR</v>
      </c>
      <c r="E102">
        <f>wimbledons_champions!F114</f>
        <v>4</v>
      </c>
      <c r="F102">
        <f>wimbledons_champions!G114</f>
        <v>71</v>
      </c>
      <c r="G102" t="str">
        <f>wimbledons_champions!H114</f>
        <v>3-6, 6-3, 6-2,</v>
      </c>
      <c r="H102" t="str">
        <f>wimbledons_champions!S114</f>
        <v>L.W. King</v>
      </c>
      <c r="I102" t="str">
        <f>wimbledons_champions!T114</f>
        <v>USA</v>
      </c>
      <c r="J102">
        <f>wimbledons_champions!V114</f>
        <v>2</v>
      </c>
    </row>
    <row r="103" spans="1:10" x14ac:dyDescent="0.4">
      <c r="A103">
        <f>wimbledons_champions!A115</f>
        <v>1969</v>
      </c>
      <c r="B103" t="str">
        <f>wimbledons_champions!B115</f>
        <v>Men's</v>
      </c>
      <c r="C103" s="9" t="str">
        <f>wimbledons_champions!C115</f>
        <v>R.G. Laver</v>
      </c>
      <c r="D103" t="str">
        <f>wimbledons_champions!D115</f>
        <v>AUS</v>
      </c>
      <c r="E103">
        <f>wimbledons_champions!F115</f>
        <v>1</v>
      </c>
      <c r="F103">
        <f>wimbledons_champions!G115</f>
        <v>136</v>
      </c>
      <c r="G103" t="str">
        <f>wimbledons_champions!H115</f>
        <v>6-4, 5-7, 6-4, 6-4</v>
      </c>
      <c r="H103" t="str">
        <f>wimbledons_champions!S115</f>
        <v>J.D. Newcombe</v>
      </c>
      <c r="I103" t="str">
        <f>wimbledons_champions!T115</f>
        <v>AUS</v>
      </c>
      <c r="J103">
        <f>wimbledons_champions!V115</f>
        <v>6</v>
      </c>
    </row>
    <row r="104" spans="1:10" x14ac:dyDescent="0.4">
      <c r="A104">
        <f>wimbledons_champions!A116</f>
        <v>1968</v>
      </c>
      <c r="B104" t="str">
        <f>wimbledons_champions!B116</f>
        <v>Women's</v>
      </c>
      <c r="C104" s="9" t="str">
        <f>wimbledons_champions!C116</f>
        <v>L.W. King</v>
      </c>
      <c r="D104" t="str">
        <f>wimbledons_champions!D116</f>
        <v>USA</v>
      </c>
      <c r="E104">
        <f>wimbledons_champions!F116</f>
        <v>1</v>
      </c>
      <c r="F104">
        <f>wimbledons_champions!G116</f>
        <v>69</v>
      </c>
      <c r="G104" t="str">
        <f>wimbledons_champions!H116</f>
        <v>9-7, 7-5,</v>
      </c>
      <c r="H104" t="str">
        <f>wimbledons_champions!S116</f>
        <v>J.A.M. Tegart</v>
      </c>
      <c r="I104" t="str">
        <f>wimbledons_champions!T116</f>
        <v>AUS</v>
      </c>
      <c r="J104">
        <f>wimbledons_champions!V116</f>
        <v>7</v>
      </c>
    </row>
    <row r="105" spans="1:10" x14ac:dyDescent="0.4">
      <c r="A105">
        <f>wimbledons_champions!A117</f>
        <v>1968</v>
      </c>
      <c r="B105" t="str">
        <f>wimbledons_champions!B117</f>
        <v>Men's</v>
      </c>
      <c r="C105" s="13" t="str">
        <f>wimbledons_champions!C117</f>
        <v>R.G. Laver</v>
      </c>
      <c r="D105" t="str">
        <f>wimbledons_champions!D117</f>
        <v>AUS</v>
      </c>
      <c r="E105">
        <f>wimbledons_champions!F117</f>
        <v>1</v>
      </c>
      <c r="F105">
        <f>wimbledons_champions!G117</f>
        <v>60</v>
      </c>
      <c r="G105" t="str">
        <f>wimbledons_champions!H117</f>
        <v>6-3, 6-4, 6-2</v>
      </c>
      <c r="H105" t="str">
        <f>wimbledons_champions!S117</f>
        <v>A.D. Roche</v>
      </c>
      <c r="I105" t="str">
        <f>wimbledons_champions!T117</f>
        <v>AUS</v>
      </c>
      <c r="J105">
        <f>wimbledons_champions!V117</f>
        <v>15</v>
      </c>
    </row>
    <row r="106" spans="1:10" x14ac:dyDescent="0.4">
      <c r="A106">
        <f>wimbledons_champions!A118</f>
        <v>1967</v>
      </c>
      <c r="B106" t="str">
        <f>wimbledons_champions!B118</f>
        <v>Women's</v>
      </c>
      <c r="C106" s="9" t="str">
        <f>wimbledons_champions!C118</f>
        <v>L.W. King</v>
      </c>
      <c r="D106" t="str">
        <f>wimbledons_champions!D118</f>
        <v>USA</v>
      </c>
      <c r="E106">
        <f>wimbledons_champions!F118</f>
        <v>1</v>
      </c>
      <c r="F106">
        <f>wimbledons_champions!G118</f>
        <v>60</v>
      </c>
      <c r="G106" t="str">
        <f>wimbledons_champions!H118</f>
        <v>6-3, 6-4,</v>
      </c>
      <c r="H106" t="str">
        <f>wimbledons_champions!S118</f>
        <v>P.F. Jones</v>
      </c>
      <c r="I106" t="str">
        <f>wimbledons_champions!T118</f>
        <v>GBR</v>
      </c>
      <c r="J106">
        <f>wimbledons_champions!V118</f>
        <v>3</v>
      </c>
    </row>
    <row r="107" spans="1:10" x14ac:dyDescent="0.4">
      <c r="A107">
        <f>wimbledons_champions!A119</f>
        <v>1967</v>
      </c>
      <c r="B107" t="str">
        <f>wimbledons_champions!B119</f>
        <v>Men's</v>
      </c>
      <c r="C107" s="13" t="str">
        <f>wimbledons_champions!C119</f>
        <v>J.D. Newcombe</v>
      </c>
      <c r="D107" t="str">
        <f>wimbledons_champions!D119</f>
        <v>AUS</v>
      </c>
      <c r="E107">
        <f>wimbledons_champions!F119</f>
        <v>3</v>
      </c>
      <c r="F107">
        <f>wimbledons_champions!G119</f>
        <v>71</v>
      </c>
      <c r="G107" t="str">
        <f>wimbledons_champions!H119</f>
        <v>6-3, 6-1, 6-1</v>
      </c>
      <c r="H107" t="str">
        <f>wimbledons_champions!S119</f>
        <v>W.P. Bungert</v>
      </c>
      <c r="I107" t="str">
        <f>wimbledons_champions!T119</f>
        <v>GER</v>
      </c>
      <c r="J107" t="str">
        <f>wimbledons_champions!V119</f>
        <v>U</v>
      </c>
    </row>
    <row r="108" spans="1:10" x14ac:dyDescent="0.4">
      <c r="A108">
        <f>wimbledons_champions!A120</f>
        <v>1966</v>
      </c>
      <c r="B108" t="str">
        <f>wimbledons_champions!B120</f>
        <v>Women's</v>
      </c>
      <c r="C108" s="9" t="str">
        <f>wimbledons_champions!C120</f>
        <v>L.W. King</v>
      </c>
      <c r="D108" t="str">
        <f>wimbledons_champions!D120</f>
        <v>USA</v>
      </c>
      <c r="E108">
        <f>wimbledons_champions!F120</f>
        <v>4</v>
      </c>
      <c r="F108">
        <f>wimbledons_champions!G120</f>
        <v>68</v>
      </c>
      <c r="G108" t="str">
        <f>wimbledons_champions!H120</f>
        <v>6-3, 3-6, 6-1,</v>
      </c>
      <c r="H108" t="str">
        <f>wimbledons_champions!S120</f>
        <v>M.E.A. Bueno</v>
      </c>
      <c r="I108" t="str">
        <f>wimbledons_champions!T120</f>
        <v>BRA</v>
      </c>
      <c r="J108">
        <f>wimbledons_champions!V120</f>
        <v>2</v>
      </c>
    </row>
    <row r="109" spans="1:10" x14ac:dyDescent="0.4">
      <c r="A109">
        <f>wimbledons_champions!A121</f>
        <v>1966</v>
      </c>
      <c r="B109" t="str">
        <f>wimbledons_champions!B121</f>
        <v>Men's</v>
      </c>
      <c r="C109" s="13" t="str">
        <f>wimbledons_champions!C121</f>
        <v>M.M. Santana</v>
      </c>
      <c r="D109" t="str">
        <f>wimbledons_champions!D121</f>
        <v>ESP</v>
      </c>
      <c r="E109">
        <f>wimbledons_champions!F121</f>
        <v>4</v>
      </c>
      <c r="F109">
        <f>wimbledons_champions!G121</f>
        <v>104</v>
      </c>
      <c r="G109" t="str">
        <f>wimbledons_champions!H121</f>
        <v>6-4, 11-9, 6-4</v>
      </c>
      <c r="H109" t="str">
        <f>wimbledons_champions!S121</f>
        <v>R.D. Ralston</v>
      </c>
      <c r="I109" t="str">
        <f>wimbledons_champions!T121</f>
        <v>USA</v>
      </c>
      <c r="J109">
        <f>wimbledons_champions!V121</f>
        <v>6</v>
      </c>
    </row>
    <row r="110" spans="1:10" x14ac:dyDescent="0.4">
      <c r="A110">
        <f>wimbledons_champions!A122</f>
        <v>1965</v>
      </c>
      <c r="B110" t="str">
        <f>wimbledons_champions!B122</f>
        <v>Women's</v>
      </c>
      <c r="C110" s="9" t="str">
        <f>wimbledons_champions!C122</f>
        <v>B.M. Court</v>
      </c>
      <c r="D110" t="str">
        <f>wimbledons_champions!D122</f>
        <v>AUS</v>
      </c>
      <c r="E110">
        <f>wimbledons_champions!F122</f>
        <v>2</v>
      </c>
      <c r="F110">
        <f>wimbledons_champions!G122</f>
        <v>56</v>
      </c>
      <c r="G110" t="str">
        <f>wimbledons_champions!H122</f>
        <v>6-4, 7-5,</v>
      </c>
      <c r="H110" t="str">
        <f>wimbledons_champions!S122</f>
        <v>M.E.A. Bueno</v>
      </c>
      <c r="I110" t="str">
        <f>wimbledons_champions!T122</f>
        <v>BRA</v>
      </c>
      <c r="J110">
        <f>wimbledons_champions!V122</f>
        <v>1</v>
      </c>
    </row>
    <row r="111" spans="1:10" x14ac:dyDescent="0.4">
      <c r="A111">
        <f>wimbledons_champions!A123</f>
        <v>1965</v>
      </c>
      <c r="B111" t="str">
        <f>wimbledons_champions!B123</f>
        <v>Men's</v>
      </c>
      <c r="C111" s="9" t="str">
        <f>wimbledons_champions!C123</f>
        <v>R.S. Emerson</v>
      </c>
      <c r="D111" t="str">
        <f>wimbledons_champions!D123</f>
        <v>AUS</v>
      </c>
      <c r="E111">
        <f>wimbledons_champions!F123</f>
        <v>1</v>
      </c>
      <c r="F111">
        <f>wimbledons_champions!G123</f>
        <v>67</v>
      </c>
      <c r="G111" t="str">
        <f>wimbledons_champions!H123</f>
        <v>6-2, 6-4, 6-4</v>
      </c>
      <c r="H111" t="str">
        <f>wimbledons_champions!S123</f>
        <v>F.S. Stolle</v>
      </c>
      <c r="I111" t="str">
        <f>wimbledons_champions!T123</f>
        <v>AUS</v>
      </c>
      <c r="J111">
        <f>wimbledons_champions!V123</f>
        <v>2</v>
      </c>
    </row>
    <row r="112" spans="1:10" x14ac:dyDescent="0.4">
      <c r="A112">
        <f>wimbledons_champions!A124</f>
        <v>1964</v>
      </c>
      <c r="B112" t="str">
        <f>wimbledons_champions!B124</f>
        <v>Women's</v>
      </c>
      <c r="C112" s="9" t="str">
        <f>wimbledons_champions!C124</f>
        <v>M.E.A. Bueno</v>
      </c>
      <c r="D112" t="str">
        <f>wimbledons_champions!D124</f>
        <v>BRA</v>
      </c>
      <c r="E112">
        <f>wimbledons_champions!F124</f>
        <v>2</v>
      </c>
      <c r="F112">
        <f>wimbledons_champions!G124</f>
        <v>90</v>
      </c>
      <c r="G112" t="str">
        <f>wimbledons_champions!H124</f>
        <v>6-4, 7-9, 6-3,</v>
      </c>
      <c r="H112" t="str">
        <f>wimbledons_champions!S124</f>
        <v>B.M. Court</v>
      </c>
      <c r="I112" t="str">
        <f>wimbledons_champions!T124</f>
        <v>AUS</v>
      </c>
      <c r="J112">
        <f>wimbledons_champions!V124</f>
        <v>1</v>
      </c>
    </row>
    <row r="113" spans="1:10" x14ac:dyDescent="0.4">
      <c r="A113">
        <f>wimbledons_champions!A125</f>
        <v>1964</v>
      </c>
      <c r="B113" t="str">
        <f>wimbledons_champions!B125</f>
        <v>Men's</v>
      </c>
      <c r="C113" s="9" t="str">
        <f>wimbledons_champions!C125</f>
        <v>R.S. Emerson</v>
      </c>
      <c r="D113" t="str">
        <f>wimbledons_champions!D125</f>
        <v>AUS</v>
      </c>
      <c r="E113">
        <f>wimbledons_champions!F125</f>
        <v>1</v>
      </c>
      <c r="F113">
        <f>wimbledons_champions!G125</f>
        <v>127</v>
      </c>
      <c r="G113" t="str">
        <f>wimbledons_champions!H125</f>
        <v>6-4, 12-10, 4-6, 6-3</v>
      </c>
      <c r="H113" t="str">
        <f>wimbledons_champions!S125</f>
        <v>F.S. Stolle</v>
      </c>
      <c r="I113" t="str">
        <f>wimbledons_champions!T125</f>
        <v>AUS</v>
      </c>
      <c r="J113">
        <f>wimbledons_champions!V125</f>
        <v>6</v>
      </c>
    </row>
    <row r="114" spans="1:10" x14ac:dyDescent="0.4">
      <c r="A114">
        <f>wimbledons_champions!A126</f>
        <v>1963</v>
      </c>
      <c r="B114" t="str">
        <f>wimbledons_champions!B126</f>
        <v>Women's</v>
      </c>
      <c r="C114" s="9" t="str">
        <f>wimbledons_champions!C126</f>
        <v>B.M. Court</v>
      </c>
      <c r="D114" t="str">
        <f>wimbledons_champions!D126</f>
        <v>AUS</v>
      </c>
      <c r="E114">
        <f>wimbledons_champions!F126</f>
        <v>1</v>
      </c>
      <c r="F114">
        <f>wimbledons_champions!G126</f>
        <v>51</v>
      </c>
      <c r="G114" t="str">
        <f>wimbledons_champions!H126</f>
        <v>6-3, 6-4,</v>
      </c>
      <c r="H114" t="str">
        <f>wimbledons_champions!S126</f>
        <v>B.J. Moffitt</v>
      </c>
      <c r="I114" t="str">
        <f>wimbledons_champions!T126</f>
        <v>USA</v>
      </c>
      <c r="J114" t="str">
        <f>wimbledons_champions!V126</f>
        <v>U</v>
      </c>
    </row>
    <row r="115" spans="1:10" x14ac:dyDescent="0.4">
      <c r="A115">
        <f>wimbledons_champions!A127</f>
        <v>1963</v>
      </c>
      <c r="B115" t="str">
        <f>wimbledons_champions!B127</f>
        <v>Men's</v>
      </c>
      <c r="C115" s="9" t="str">
        <f>wimbledons_champions!C127</f>
        <v>C.R. McKinley</v>
      </c>
      <c r="D115" t="str">
        <f>wimbledons_champions!D127</f>
        <v>USA</v>
      </c>
      <c r="E115">
        <f>wimbledons_champions!F127</f>
        <v>4</v>
      </c>
      <c r="F115">
        <f>wimbledons_champions!G127</f>
        <v>78</v>
      </c>
      <c r="G115" t="str">
        <f>wimbledons_champions!H127</f>
        <v>9-7, 6-1, 6-4</v>
      </c>
      <c r="H115" t="str">
        <f>wimbledons_champions!S127</f>
        <v>F.S. Stolle</v>
      </c>
      <c r="I115" t="str">
        <f>wimbledons_champions!T127</f>
        <v>AUS</v>
      </c>
      <c r="J115" s="2" t="str">
        <f>wimbledons_champions!V127</f>
        <v>U</v>
      </c>
    </row>
    <row r="116" spans="1:10" x14ac:dyDescent="0.4">
      <c r="A116">
        <f>wimbledons_champions!A128</f>
        <v>1962</v>
      </c>
      <c r="B116" t="str">
        <f>wimbledons_champions!B128</f>
        <v>Women's</v>
      </c>
      <c r="C116" s="9" t="str">
        <f>wimbledons_champions!C128</f>
        <v>J.R. Susman</v>
      </c>
      <c r="D116" t="str">
        <f>wimbledons_champions!D128</f>
        <v>USA</v>
      </c>
      <c r="E116">
        <f>wimbledons_champions!F128</f>
        <v>8</v>
      </c>
      <c r="F116">
        <f>wimbledons_champions!G128</f>
        <v>57</v>
      </c>
      <c r="G116" t="str">
        <f>wimbledons_champions!H128</f>
        <v>6-4, 6-4,</v>
      </c>
      <c r="H116" t="str">
        <f>wimbledons_champions!S128</f>
        <v>C. Sukova</v>
      </c>
      <c r="I116" t="str">
        <f>wimbledons_champions!T128</f>
        <v>CZE</v>
      </c>
      <c r="J116" t="str">
        <f>wimbledons_champions!V128</f>
        <v>U</v>
      </c>
    </row>
    <row r="117" spans="1:10" x14ac:dyDescent="0.4">
      <c r="A117">
        <f>wimbledons_champions!A129</f>
        <v>1962</v>
      </c>
      <c r="B117" t="str">
        <f>wimbledons_champions!B129</f>
        <v>Men's</v>
      </c>
      <c r="C117" s="9" t="str">
        <f>wimbledons_champions!C129</f>
        <v>R.G. Laver</v>
      </c>
      <c r="D117" t="str">
        <f>wimbledons_champions!D129</f>
        <v>AUS</v>
      </c>
      <c r="E117">
        <f>wimbledons_champions!F129</f>
        <v>1</v>
      </c>
      <c r="F117">
        <f>wimbledons_champions!G129</f>
        <v>51</v>
      </c>
      <c r="G117" t="str">
        <f>wimbledons_champions!H129</f>
        <v>6-2, 6-2, 6-1</v>
      </c>
      <c r="H117" t="str">
        <f>wimbledons_champions!S129</f>
        <v>M.F. Mulligan</v>
      </c>
      <c r="I117" t="str">
        <f>wimbledons_champions!T129</f>
        <v>AUS</v>
      </c>
      <c r="J117" s="2" t="str">
        <f>wimbledons_champions!V129</f>
        <v>U</v>
      </c>
    </row>
    <row r="118" spans="1:10" x14ac:dyDescent="0.4">
      <c r="A118">
        <f>wimbledons_champions!A130</f>
        <v>1961</v>
      </c>
      <c r="B118" t="str">
        <f>wimbledons_champions!B130</f>
        <v>Women's</v>
      </c>
      <c r="C118" s="9" t="str">
        <f>wimbledons_champions!C130</f>
        <v>F.A.M. Mortimer</v>
      </c>
      <c r="D118" t="str">
        <f>wimbledons_champions!D130</f>
        <v>GBR</v>
      </c>
      <c r="E118">
        <f>wimbledons_champions!F130</f>
        <v>7</v>
      </c>
      <c r="F118">
        <f>wimbledons_champions!G130</f>
        <v>96</v>
      </c>
      <c r="G118" t="str">
        <f>wimbledons_champions!H130</f>
        <v>4-6, 6-4, 7-5,</v>
      </c>
      <c r="H118" t="str">
        <f>wimbledons_champions!S130</f>
        <v>C.C. Truman</v>
      </c>
      <c r="I118" t="str">
        <f>wimbledons_champions!T130</f>
        <v>GBR</v>
      </c>
      <c r="J118">
        <f>wimbledons_champions!V130</f>
        <v>6</v>
      </c>
    </row>
    <row r="119" spans="1:10" x14ac:dyDescent="0.4">
      <c r="A119">
        <f>wimbledons_champions!A131</f>
        <v>1961</v>
      </c>
      <c r="B119" t="str">
        <f>wimbledons_champions!B131</f>
        <v>Men's</v>
      </c>
      <c r="C119" s="9" t="str">
        <f>wimbledons_champions!C131</f>
        <v>R.G. Laver</v>
      </c>
      <c r="D119" t="str">
        <f>wimbledons_champions!D131</f>
        <v>AUS</v>
      </c>
      <c r="E119">
        <f>wimbledons_champions!F131</f>
        <v>2</v>
      </c>
      <c r="F119">
        <f>wimbledons_champions!G131</f>
        <v>55</v>
      </c>
      <c r="G119" t="str">
        <f>wimbledons_champions!H131</f>
        <v>6-3, 6-1, 6-4</v>
      </c>
      <c r="H119" t="str">
        <f>wimbledons_champions!S131</f>
        <v>C.R. McKinley</v>
      </c>
      <c r="I119" t="str">
        <f>wimbledons_champions!T131</f>
        <v>USA</v>
      </c>
      <c r="J119">
        <f>wimbledons_champions!V131</f>
        <v>8</v>
      </c>
    </row>
    <row r="120" spans="1:10" x14ac:dyDescent="0.4">
      <c r="A120">
        <f>wimbledons_champions!A132</f>
        <v>1960</v>
      </c>
      <c r="B120" t="str">
        <f>wimbledons_champions!B132</f>
        <v>Women's</v>
      </c>
      <c r="C120" s="9" t="str">
        <f>wimbledons_champions!C132</f>
        <v>M.E.A. Bueno</v>
      </c>
      <c r="D120" t="str">
        <f>wimbledons_champions!D132</f>
        <v>BRA</v>
      </c>
      <c r="E120">
        <f>wimbledons_champions!F132</f>
        <v>1</v>
      </c>
      <c r="F120">
        <f>wimbledons_champions!G132</f>
        <v>59</v>
      </c>
      <c r="G120" t="str">
        <f>wimbledons_champions!H132</f>
        <v>8-6, 6-0</v>
      </c>
      <c r="H120" t="str">
        <f>wimbledons_champions!S132</f>
        <v>S. Reynolds</v>
      </c>
      <c r="I120" t="str">
        <f>wimbledons_champions!T132</f>
        <v>RSA</v>
      </c>
      <c r="J120">
        <f>wimbledons_champions!V132</f>
        <v>8</v>
      </c>
    </row>
    <row r="121" spans="1:10" x14ac:dyDescent="0.4">
      <c r="A121">
        <f>wimbledons_champions!A133</f>
        <v>1960</v>
      </c>
      <c r="B121" t="str">
        <f>wimbledons_champions!B133</f>
        <v>Men's</v>
      </c>
      <c r="C121" s="9" t="str">
        <f>wimbledons_champions!C133</f>
        <v>N.A. Fraser</v>
      </c>
      <c r="D121" t="str">
        <f>wimbledons_champions!D133</f>
        <v>AUS</v>
      </c>
      <c r="E121">
        <f>wimbledons_champions!F133</f>
        <v>1</v>
      </c>
      <c r="F121">
        <f>wimbledons_champions!G133</f>
        <v>130</v>
      </c>
      <c r="G121" t="str">
        <f>wimbledons_champions!H133</f>
        <v>6-4, 3-6, 9-7, 7-5</v>
      </c>
      <c r="H121" t="str">
        <f>wimbledons_champions!S133</f>
        <v>R.G. Laver</v>
      </c>
      <c r="I121" t="str">
        <f>wimbledons_champions!T133</f>
        <v>AUS</v>
      </c>
      <c r="J121">
        <f>wimbledons_champions!V133</f>
        <v>3</v>
      </c>
    </row>
    <row r="122" spans="1:10" x14ac:dyDescent="0.4">
      <c r="A122">
        <f>wimbledons_champions!A134</f>
        <v>1959</v>
      </c>
      <c r="B122" t="str">
        <f>wimbledons_champions!B134</f>
        <v>Women's</v>
      </c>
      <c r="C122" s="9" t="str">
        <f>wimbledons_champions!C134</f>
        <v>M.E.A. Bueno</v>
      </c>
      <c r="D122" t="str">
        <f>wimbledons_champions!D134</f>
        <v>BRA</v>
      </c>
      <c r="E122">
        <f>wimbledons_champions!F134</f>
        <v>6</v>
      </c>
      <c r="F122">
        <f>wimbledons_champions!G134</f>
        <v>43</v>
      </c>
      <c r="G122" t="str">
        <f>wimbledons_champions!H134</f>
        <v>6-4, 6-3,</v>
      </c>
      <c r="H122" t="str">
        <f>wimbledons_champions!S134</f>
        <v>D.R. Hard</v>
      </c>
      <c r="I122" t="str">
        <f>wimbledons_champions!T134</f>
        <v>USA</v>
      </c>
      <c r="J122">
        <f>wimbledons_champions!V134</f>
        <v>4</v>
      </c>
    </row>
    <row r="123" spans="1:10" x14ac:dyDescent="0.4">
      <c r="A123">
        <f>wimbledons_champions!A135</f>
        <v>1959</v>
      </c>
      <c r="B123" t="str">
        <f>wimbledons_champions!B135</f>
        <v>Men's</v>
      </c>
      <c r="C123" s="9" t="str">
        <f>wimbledons_champions!C135</f>
        <v>A.R. Olmedo</v>
      </c>
      <c r="D123" t="str">
        <f>wimbledons_champions!D135</f>
        <v>USA</v>
      </c>
      <c r="E123">
        <f>wimbledons_champions!F135</f>
        <v>1</v>
      </c>
      <c r="F123">
        <f>wimbledons_champions!G135</f>
        <v>71</v>
      </c>
      <c r="G123" t="str">
        <f>wimbledons_champions!H135</f>
        <v>6-4, 6-3, 6-4</v>
      </c>
      <c r="H123" t="str">
        <f>wimbledons_champions!S135</f>
        <v>R.G. Laver</v>
      </c>
      <c r="I123" t="str">
        <f>wimbledons_champions!T135</f>
        <v>AUS</v>
      </c>
      <c r="J123" t="str">
        <f>wimbledons_champions!V135</f>
        <v>U</v>
      </c>
    </row>
    <row r="124" spans="1:10" x14ac:dyDescent="0.4">
      <c r="A124">
        <f>wimbledons_champions!A136</f>
        <v>1958</v>
      </c>
      <c r="B124" t="str">
        <f>wimbledons_champions!B136</f>
        <v>Women's</v>
      </c>
      <c r="C124" s="9" t="str">
        <f>wimbledons_champions!C136</f>
        <v>A. Gibson</v>
      </c>
      <c r="D124" t="str">
        <f>wimbledons_champions!D136</f>
        <v>USA</v>
      </c>
      <c r="E124">
        <f>wimbledons_champions!F136</f>
        <v>1</v>
      </c>
      <c r="F124">
        <f>wimbledons_champions!G136</f>
        <v>62</v>
      </c>
      <c r="G124" t="str">
        <f>wimbledons_champions!H136</f>
        <v>8-6, 6-2,</v>
      </c>
      <c r="H124" t="str">
        <f>wimbledons_champions!S136</f>
        <v>F.A.M. Mortimer</v>
      </c>
      <c r="I124" t="str">
        <f>wimbledons_champions!T136</f>
        <v>GBR</v>
      </c>
      <c r="J124" t="str">
        <f>wimbledons_champions!V136</f>
        <v>U</v>
      </c>
    </row>
    <row r="125" spans="1:10" x14ac:dyDescent="0.4">
      <c r="A125">
        <f>wimbledons_champions!A137</f>
        <v>1958</v>
      </c>
      <c r="B125" t="str">
        <f>wimbledons_champions!B137</f>
        <v>Men's</v>
      </c>
      <c r="C125" s="9" t="str">
        <f>wimbledons_champions!C137</f>
        <v>A.J. Cooper</v>
      </c>
      <c r="D125" t="str">
        <f>wimbledons_champions!D137</f>
        <v>AUS</v>
      </c>
      <c r="E125">
        <f>wimbledons_champions!F137</f>
        <v>1</v>
      </c>
      <c r="F125">
        <f>wimbledons_champions!G137</f>
        <v>130</v>
      </c>
      <c r="G125" t="str">
        <f>wimbledons_champions!H137</f>
        <v>3-6, 6-3, 6-4, 13-11</v>
      </c>
      <c r="H125" t="str">
        <f>wimbledons_champions!S137</f>
        <v>N.A. Fraser</v>
      </c>
      <c r="I125" t="str">
        <f>wimbledons_champions!T137</f>
        <v>AUS</v>
      </c>
      <c r="J125" s="2">
        <f>wimbledons_champions!V137</f>
        <v>4</v>
      </c>
    </row>
    <row r="126" spans="1:10" x14ac:dyDescent="0.4">
      <c r="A126">
        <f>wimbledons_champions!A138</f>
        <v>1957</v>
      </c>
      <c r="B126" t="str">
        <f>wimbledons_champions!B138</f>
        <v>Women's</v>
      </c>
      <c r="C126" s="9" t="str">
        <f>wimbledons_champions!C138</f>
        <v>A. Gibson</v>
      </c>
      <c r="D126" t="str">
        <f>wimbledons_champions!D138</f>
        <v>USA</v>
      </c>
      <c r="E126">
        <f>wimbledons_champions!F138</f>
        <v>1</v>
      </c>
      <c r="F126">
        <f>wimbledons_champions!G138</f>
        <v>50</v>
      </c>
      <c r="G126" t="str">
        <f>wimbledons_champions!H138</f>
        <v>6-3, 6-2,</v>
      </c>
      <c r="H126" t="str">
        <f>wimbledons_champions!S138</f>
        <v>D.R. Hard</v>
      </c>
      <c r="I126" t="str">
        <f>wimbledons_champions!T138</f>
        <v>USA</v>
      </c>
      <c r="J126">
        <f>wimbledons_champions!V138</f>
        <v>5</v>
      </c>
    </row>
    <row r="127" spans="1:10" x14ac:dyDescent="0.4">
      <c r="A127">
        <f>wimbledons_champions!A139</f>
        <v>1957</v>
      </c>
      <c r="B127" t="str">
        <f>wimbledons_champions!B139</f>
        <v>Men's</v>
      </c>
      <c r="C127" s="9" t="str">
        <f>wimbledons_champions!C139</f>
        <v>L.A. Hoad</v>
      </c>
      <c r="D127" t="str">
        <f>wimbledons_champions!D139</f>
        <v>AUS</v>
      </c>
      <c r="E127">
        <f>wimbledons_champions!F139</f>
        <v>1</v>
      </c>
      <c r="F127">
        <f>wimbledons_champions!G139</f>
        <v>57</v>
      </c>
      <c r="G127" t="str">
        <f>wimbledons_champions!H139</f>
        <v>6-2, 6-1, 6-2</v>
      </c>
      <c r="H127" t="str">
        <f>wimbledons_champions!S139</f>
        <v>A.J. Cooper</v>
      </c>
      <c r="I127" t="str">
        <f>wimbledons_champions!T139</f>
        <v>AUS</v>
      </c>
      <c r="J127">
        <f>wimbledons_champions!V139</f>
        <v>2</v>
      </c>
    </row>
    <row r="128" spans="1:10" x14ac:dyDescent="0.4">
      <c r="A128">
        <f>wimbledons_champions!A140</f>
        <v>1956</v>
      </c>
      <c r="B128" t="str">
        <f>wimbledons_champions!B140</f>
        <v>Women's</v>
      </c>
      <c r="C128" s="9" t="str">
        <f>wimbledons_champions!C140</f>
        <v>S.J. Fry</v>
      </c>
      <c r="D128" t="str">
        <f>wimbledons_champions!D140</f>
        <v>USA</v>
      </c>
      <c r="E128">
        <f>wimbledons_champions!F140</f>
        <v>5</v>
      </c>
      <c r="F128">
        <f>wimbledons_champions!G140</f>
        <v>50</v>
      </c>
      <c r="G128" t="str">
        <f>wimbledons_champions!H140</f>
        <v>6-3, 6-1,</v>
      </c>
      <c r="H128" t="str">
        <f>wimbledons_champions!S140</f>
        <v>A. Buxton</v>
      </c>
      <c r="I128" t="str">
        <f>wimbledons_champions!T140</f>
        <v>GBR</v>
      </c>
      <c r="J128">
        <f>wimbledons_champions!V140</f>
        <v>6</v>
      </c>
    </row>
    <row r="129" spans="1:10" x14ac:dyDescent="0.4">
      <c r="A129">
        <f>wimbledons_champions!A141</f>
        <v>1956</v>
      </c>
      <c r="B129" t="str">
        <f>wimbledons_champions!B141</f>
        <v>Men's</v>
      </c>
      <c r="C129" s="9" t="str">
        <f>wimbledons_champions!C141</f>
        <v>L.A. Hoad</v>
      </c>
      <c r="D129" t="str">
        <f>wimbledons_champions!D141</f>
        <v>AUS</v>
      </c>
      <c r="E129">
        <f>wimbledons_champions!F141</f>
        <v>1</v>
      </c>
      <c r="F129">
        <f>wimbledons_champions!G141</f>
        <v>117</v>
      </c>
      <c r="G129" t="str">
        <f>wimbledons_champions!H141</f>
        <v>6-2, 4-6, 7-5, 6-4</v>
      </c>
      <c r="H129" t="str">
        <f>wimbledons_champions!S141</f>
        <v>K.R. Rosewall</v>
      </c>
      <c r="I129" t="str">
        <f>wimbledons_champions!T141</f>
        <v>AUS</v>
      </c>
      <c r="J129">
        <f>wimbledons_champions!V141</f>
        <v>2</v>
      </c>
    </row>
    <row r="130" spans="1:10" x14ac:dyDescent="0.4">
      <c r="A130">
        <f>wimbledons_champions!A142</f>
        <v>1955</v>
      </c>
      <c r="B130" t="str">
        <f>wimbledons_champions!B142</f>
        <v>Women's</v>
      </c>
      <c r="C130" s="9" t="str">
        <f>wimbledons_champions!C142</f>
        <v>A.L. Brough</v>
      </c>
      <c r="D130" t="str">
        <f>wimbledons_champions!D142</f>
        <v>USA</v>
      </c>
      <c r="E130">
        <f>wimbledons_champions!F142</f>
        <v>2</v>
      </c>
      <c r="F130">
        <f>wimbledons_champions!G142</f>
        <v>90</v>
      </c>
      <c r="G130" t="str">
        <f>wimbledons_champions!H142</f>
        <v>7-5, 8-6,</v>
      </c>
      <c r="H130" t="str">
        <f>wimbledons_champions!S142</f>
        <v>J.G. Fleitz</v>
      </c>
      <c r="I130" t="str">
        <f>wimbledons_champions!T142</f>
        <v>USA</v>
      </c>
      <c r="J130">
        <f>wimbledons_champions!V142</f>
        <v>3</v>
      </c>
    </row>
    <row r="131" spans="1:10" x14ac:dyDescent="0.4">
      <c r="A131">
        <f>wimbledons_champions!A143</f>
        <v>1955</v>
      </c>
      <c r="B131" t="str">
        <f>wimbledons_champions!B143</f>
        <v>Men's</v>
      </c>
      <c r="C131" s="9" t="str">
        <f>wimbledons_champions!C143</f>
        <v>M.A. Trabert</v>
      </c>
      <c r="D131" t="str">
        <f>wimbledons_champions!D143</f>
        <v>USA</v>
      </c>
      <c r="E131">
        <f>wimbledons_champions!F143</f>
        <v>1</v>
      </c>
      <c r="F131">
        <f>wimbledons_champions!G143</f>
        <v>73</v>
      </c>
      <c r="G131" t="str">
        <f>wimbledons_champions!H143</f>
        <v>6-3, 7-5, 6-1</v>
      </c>
      <c r="H131" t="str">
        <f>wimbledons_champions!S143</f>
        <v>K. Nielsen</v>
      </c>
      <c r="I131" t="str">
        <f>wimbledons_champions!T143</f>
        <v>DEN</v>
      </c>
      <c r="J131" t="str">
        <f>wimbledons_champions!V143</f>
        <v>U</v>
      </c>
    </row>
    <row r="132" spans="1:10" x14ac:dyDescent="0.4">
      <c r="A132">
        <f>wimbledons_champions!A144</f>
        <v>1954</v>
      </c>
      <c r="B132" t="str">
        <f>wimbledons_champions!B144</f>
        <v>Women's</v>
      </c>
      <c r="C132" s="9" t="str">
        <f>wimbledons_champions!C144</f>
        <v>M.C. Connolly</v>
      </c>
      <c r="D132" t="str">
        <f>wimbledons_champions!D144</f>
        <v>USA</v>
      </c>
      <c r="E132">
        <f>wimbledons_champions!F144</f>
        <v>1</v>
      </c>
      <c r="F132">
        <f>wimbledons_champions!G144</f>
        <v>50</v>
      </c>
      <c r="G132" t="str">
        <f>wimbledons_champions!H144</f>
        <v>6-2, 7-5,</v>
      </c>
      <c r="H132" t="str">
        <f>wimbledons_champions!S144</f>
        <v>A.L. Brough</v>
      </c>
      <c r="I132" t="str">
        <f>wimbledons_champions!T144</f>
        <v>USA</v>
      </c>
      <c r="J132">
        <f>wimbledons_champions!V144</f>
        <v>4</v>
      </c>
    </row>
    <row r="133" spans="1:10" x14ac:dyDescent="0.4">
      <c r="A133">
        <f>wimbledons_champions!A145</f>
        <v>1954</v>
      </c>
      <c r="B133" t="str">
        <f>wimbledons_champions!B145</f>
        <v>Men's</v>
      </c>
      <c r="C133" s="9" t="str">
        <f>wimbledons_champions!C145</f>
        <v>J. Drobny</v>
      </c>
      <c r="D133" t="str">
        <f>wimbledons_champions!D145</f>
        <v>CZE</v>
      </c>
      <c r="E133">
        <f>wimbledons_champions!F145</f>
        <v>11</v>
      </c>
      <c r="F133">
        <f>wimbledons_champions!G145</f>
        <v>157</v>
      </c>
      <c r="G133" t="str">
        <f>wimbledons_champions!H145</f>
        <v>13-11, 4-6, 6-2, 9-7</v>
      </c>
      <c r="H133" t="str">
        <f>wimbledons_champions!S145</f>
        <v>K.R. Rosewall</v>
      </c>
      <c r="I133" t="str">
        <f>wimbledons_champions!T145</f>
        <v>AUS</v>
      </c>
      <c r="J133">
        <f>wimbledons_champions!V145</f>
        <v>3</v>
      </c>
    </row>
    <row r="134" spans="1:10" x14ac:dyDescent="0.4">
      <c r="A134">
        <f>wimbledons_champions!A146</f>
        <v>1953</v>
      </c>
      <c r="B134" t="str">
        <f>wimbledons_champions!B146</f>
        <v>Women's</v>
      </c>
      <c r="C134" s="9" t="str">
        <f>wimbledons_champions!C146</f>
        <v>M.C. Connolly</v>
      </c>
      <c r="D134" t="str">
        <f>wimbledons_champions!D146</f>
        <v>USA</v>
      </c>
      <c r="E134">
        <f>wimbledons_champions!F146</f>
        <v>1</v>
      </c>
      <c r="F134">
        <f>wimbledons_champions!G146</f>
        <v>67</v>
      </c>
      <c r="G134" t="str">
        <f>wimbledons_champions!H146</f>
        <v>8-6, 7-5,</v>
      </c>
      <c r="H134" t="str">
        <f>wimbledons_champions!S146</f>
        <v>D.J. Hart</v>
      </c>
      <c r="I134" t="str">
        <f>wimbledons_champions!T146</f>
        <v>USA</v>
      </c>
      <c r="J134">
        <f>wimbledons_champions!V146</f>
        <v>2</v>
      </c>
    </row>
    <row r="135" spans="1:10" x14ac:dyDescent="0.4">
      <c r="A135">
        <f>wimbledons_champions!A147</f>
        <v>1953</v>
      </c>
      <c r="B135" t="str">
        <f>wimbledons_champions!B147</f>
        <v>Men's</v>
      </c>
      <c r="C135" s="9" t="str">
        <f>wimbledons_champions!C147</f>
        <v>E.V. Seixas</v>
      </c>
      <c r="D135" t="str">
        <f>wimbledons_champions!D147</f>
        <v>USA</v>
      </c>
      <c r="E135">
        <f>wimbledons_champions!F147</f>
        <v>2</v>
      </c>
      <c r="F135">
        <f>wimbledons_champions!G147</f>
        <v>80</v>
      </c>
      <c r="G135" t="str">
        <f>wimbledons_champions!H147</f>
        <v>9-7, 6-3, 6-4</v>
      </c>
      <c r="H135" t="str">
        <f>wimbledons_champions!S147</f>
        <v>K. Nielsen</v>
      </c>
      <c r="I135" t="str">
        <f>wimbledons_champions!T147</f>
        <v>DEN</v>
      </c>
      <c r="J135" t="str">
        <f>wimbledons_champions!V147</f>
        <v>U</v>
      </c>
    </row>
    <row r="136" spans="1:10" x14ac:dyDescent="0.4">
      <c r="A136">
        <f>wimbledons_champions!A148</f>
        <v>1952</v>
      </c>
      <c r="B136" t="str">
        <f>wimbledons_champions!B148</f>
        <v>Women's</v>
      </c>
      <c r="C136" s="9" t="str">
        <f>wimbledons_champions!C148</f>
        <v>M.C. Connolly</v>
      </c>
      <c r="D136" t="str">
        <f>wimbledons_champions!D148</f>
        <v>USA</v>
      </c>
      <c r="E136">
        <f>wimbledons_champions!F148</f>
        <v>2</v>
      </c>
      <c r="F136">
        <f>wimbledons_champions!G148</f>
        <v>65</v>
      </c>
      <c r="G136" t="str">
        <f>wimbledons_champions!H148</f>
        <v>7-5, 6-3,</v>
      </c>
      <c r="H136" t="str">
        <f>wimbledons_champions!S148</f>
        <v>A.L. Brough</v>
      </c>
      <c r="I136" t="str">
        <f>wimbledons_champions!T148</f>
        <v>USA</v>
      </c>
      <c r="J136">
        <f>wimbledons_champions!V148</f>
        <v>4</v>
      </c>
    </row>
    <row r="137" spans="1:10" x14ac:dyDescent="0.4">
      <c r="A137">
        <f>wimbledons_champions!A149</f>
        <v>1952</v>
      </c>
      <c r="B137" t="str">
        <f>wimbledons_champions!B149</f>
        <v>Men's</v>
      </c>
      <c r="C137" s="9" t="str">
        <f>wimbledons_champions!C149</f>
        <v>F.A. Sedgman</v>
      </c>
      <c r="D137" t="str">
        <f>wimbledons_champions!D149</f>
        <v>AUS</v>
      </c>
      <c r="E137">
        <f>wimbledons_champions!F149</f>
        <v>1</v>
      </c>
      <c r="F137">
        <f>wimbledons_champions!G149</f>
        <v>80</v>
      </c>
      <c r="G137" t="str">
        <f>wimbledons_champions!H149</f>
        <v>4-6, 6-2, 6-3, 6-2</v>
      </c>
      <c r="H137" t="str">
        <f>wimbledons_champions!S149</f>
        <v>J. Drobny</v>
      </c>
      <c r="I137" t="str">
        <f>wimbledons_champions!T149</f>
        <v>CZE</v>
      </c>
      <c r="J137">
        <f>wimbledons_champions!V149</f>
        <v>2</v>
      </c>
    </row>
    <row r="138" spans="1:10" x14ac:dyDescent="0.4">
      <c r="A138">
        <f>wimbledons_champions!A150</f>
        <v>1951</v>
      </c>
      <c r="B138" t="str">
        <f>wimbledons_champions!B150</f>
        <v>Women's</v>
      </c>
      <c r="C138" s="9" t="str">
        <f>wimbledons_champions!C150</f>
        <v>D.J. Hart</v>
      </c>
      <c r="D138" t="str">
        <f>wimbledons_champions!D150</f>
        <v>USA</v>
      </c>
      <c r="E138">
        <f>wimbledons_champions!F150</f>
        <v>3</v>
      </c>
      <c r="F138">
        <f>wimbledons_champions!G150</f>
        <v>35</v>
      </c>
      <c r="G138" t="str">
        <f>wimbledons_champions!H150</f>
        <v>6-1, 6-0</v>
      </c>
      <c r="H138" t="str">
        <f>wimbledons_champions!S150</f>
        <v>S.J. Fry</v>
      </c>
      <c r="I138" t="str">
        <f>wimbledons_champions!T150</f>
        <v>USA</v>
      </c>
      <c r="J138">
        <f>wimbledons_champions!V150</f>
        <v>4</v>
      </c>
    </row>
    <row r="139" spans="1:10" x14ac:dyDescent="0.4">
      <c r="A139">
        <f>wimbledons_champions!A151</f>
        <v>1951</v>
      </c>
      <c r="B139" t="str">
        <f>wimbledons_champions!B151</f>
        <v>Men's</v>
      </c>
      <c r="C139" s="9" t="str">
        <f>wimbledons_champions!C151</f>
        <v>R. Savitt</v>
      </c>
      <c r="D139" t="str">
        <f>wimbledons_champions!D151</f>
        <v>USA</v>
      </c>
      <c r="E139">
        <f>wimbledons_champions!F151</f>
        <v>6</v>
      </c>
      <c r="F139">
        <f>wimbledons_champions!G151</f>
        <v>62</v>
      </c>
      <c r="G139" t="str">
        <f>wimbledons_champions!H151</f>
        <v>6-4, 6-4, 6-4</v>
      </c>
      <c r="H139" t="str">
        <f>wimbledons_champions!S151</f>
        <v>K.B. McGregor</v>
      </c>
      <c r="I139" t="str">
        <f>wimbledons_champions!T151</f>
        <v>AUS</v>
      </c>
      <c r="J139">
        <f>wimbledons_champions!V151</f>
        <v>7</v>
      </c>
    </row>
    <row r="140" spans="1:10" x14ac:dyDescent="0.4">
      <c r="A140">
        <f>wimbledons_champions!A152</f>
        <v>1950</v>
      </c>
      <c r="B140" t="str">
        <f>wimbledons_champions!B152</f>
        <v>Women's</v>
      </c>
      <c r="C140" s="9" t="str">
        <f>wimbledons_champions!C152</f>
        <v>A.L. Brough</v>
      </c>
      <c r="D140" t="str">
        <f>wimbledons_champions!D152</f>
        <v>USA</v>
      </c>
      <c r="E140">
        <f>wimbledons_champions!F152</f>
        <v>1</v>
      </c>
      <c r="F140">
        <f>wimbledons_champions!G152</f>
        <v>62</v>
      </c>
      <c r="G140" t="str">
        <f>wimbledons_champions!H152</f>
        <v>6-1, 3-6, 6-1,</v>
      </c>
      <c r="H140" t="str">
        <f>wimbledons_champions!S152</f>
        <v>M. duPont</v>
      </c>
      <c r="I140" t="str">
        <f>wimbledons_champions!T152</f>
        <v>USA</v>
      </c>
      <c r="J140">
        <f>wimbledons_champions!V152</f>
        <v>2</v>
      </c>
    </row>
    <row r="141" spans="1:10" x14ac:dyDescent="0.4">
      <c r="A141">
        <f>wimbledons_champions!A153</f>
        <v>1950</v>
      </c>
      <c r="B141" t="str">
        <f>wimbledons_champions!B153</f>
        <v>Men's</v>
      </c>
      <c r="C141" s="9" t="str">
        <f>wimbledons_champions!C153</f>
        <v>J.E. Patty</v>
      </c>
      <c r="D141" t="str">
        <f>wimbledons_champions!D153</f>
        <v>USA</v>
      </c>
      <c r="E141">
        <f>wimbledons_champions!F153</f>
        <v>5</v>
      </c>
      <c r="F141">
        <f>wimbledons_champions!G153</f>
        <v>120</v>
      </c>
      <c r="G141" t="str">
        <f>wimbledons_champions!H153</f>
        <v>6-1, 8-10, 6-2, 6-3</v>
      </c>
      <c r="H141" t="str">
        <f>wimbledons_champions!S153</f>
        <v>F.A. Sedgman</v>
      </c>
      <c r="I141" t="str">
        <f>wimbledons_champions!T153</f>
        <v>AUS</v>
      </c>
      <c r="J141">
        <f>wimbledons_champions!V153</f>
        <v>1</v>
      </c>
    </row>
    <row r="142" spans="1:10" x14ac:dyDescent="0.4">
      <c r="A142">
        <f>wimbledons_champions!A154</f>
        <v>1949</v>
      </c>
      <c r="B142" t="str">
        <f>wimbledons_champions!B154</f>
        <v>Women's</v>
      </c>
      <c r="C142" s="9" t="str">
        <f>wimbledons_champions!C154</f>
        <v>A.L. Brough</v>
      </c>
      <c r="D142" t="str">
        <f>wimbledons_champions!D154</f>
        <v>USA</v>
      </c>
      <c r="E142">
        <f>wimbledons_champions!F154</f>
        <v>1</v>
      </c>
      <c r="F142">
        <f>wimbledons_champions!G154</f>
        <v>120</v>
      </c>
      <c r="G142" t="str">
        <f>wimbledons_champions!H154</f>
        <v>10-8, 1-6, 10-8,</v>
      </c>
      <c r="H142" t="str">
        <f>wimbledons_champions!S154</f>
        <v>M. duPont</v>
      </c>
      <c r="I142" t="str">
        <f>wimbledons_champions!T154</f>
        <v>USA</v>
      </c>
      <c r="J142">
        <f>wimbledons_champions!V154</f>
        <v>2</v>
      </c>
    </row>
    <row r="143" spans="1:10" x14ac:dyDescent="0.4">
      <c r="A143">
        <f>wimbledons_champions!A155</f>
        <v>1949</v>
      </c>
      <c r="B143" t="str">
        <f>wimbledons_champions!B155</f>
        <v>Men's</v>
      </c>
      <c r="C143" s="9" t="str">
        <f>wimbledons_champions!C155</f>
        <v>F.R. Schroeder</v>
      </c>
      <c r="D143" t="str">
        <f>wimbledons_champions!D155</f>
        <v>USA</v>
      </c>
      <c r="E143">
        <f>wimbledons_champions!F155</f>
        <v>1</v>
      </c>
      <c r="F143">
        <f>wimbledons_champions!G155</f>
        <v>100</v>
      </c>
      <c r="G143" t="str">
        <f>wimbledons_champions!H155</f>
        <v>3-6, 6-0, 6-3, 4-6, 6-4</v>
      </c>
      <c r="H143" t="str">
        <f>wimbledons_champions!S155</f>
        <v>J. Drobny</v>
      </c>
      <c r="I143" t="str">
        <f>wimbledons_champions!T155</f>
        <v>CZE</v>
      </c>
      <c r="J143">
        <f>wimbledons_champions!V155</f>
        <v>6</v>
      </c>
    </row>
    <row r="144" spans="1:10" x14ac:dyDescent="0.4">
      <c r="A144">
        <f>wimbledons_champions!A156</f>
        <v>1948</v>
      </c>
      <c r="B144" t="str">
        <f>wimbledons_champions!B156</f>
        <v>Women's</v>
      </c>
      <c r="C144" s="9" t="str">
        <f>wimbledons_champions!C156</f>
        <v>A.L. Brough</v>
      </c>
      <c r="D144" t="str">
        <f>wimbledons_champions!D156</f>
        <v>USA</v>
      </c>
      <c r="E144">
        <f>wimbledons_champions!F156</f>
        <v>2</v>
      </c>
      <c r="F144">
        <f>wimbledons_champions!G156</f>
        <v>76</v>
      </c>
      <c r="G144" t="str">
        <f>wimbledons_champions!H156</f>
        <v>6-3, 8-6,</v>
      </c>
      <c r="H144" t="str">
        <f>wimbledons_champions!S156</f>
        <v>D.J. Hart</v>
      </c>
      <c r="I144" t="str">
        <f>wimbledons_champions!T156</f>
        <v>USA</v>
      </c>
      <c r="J144">
        <f>wimbledons_champions!V156</f>
        <v>4</v>
      </c>
    </row>
    <row r="145" spans="1:10" x14ac:dyDescent="0.4">
      <c r="A145">
        <f>wimbledons_champions!A157</f>
        <v>1948</v>
      </c>
      <c r="B145" t="str">
        <f>wimbledons_champions!B157</f>
        <v>Men's</v>
      </c>
      <c r="C145" s="9" t="str">
        <f>wimbledons_champions!C157</f>
        <v>R. Falkenburg</v>
      </c>
      <c r="D145" t="str">
        <f>wimbledons_champions!D157</f>
        <v>USA</v>
      </c>
      <c r="E145">
        <f>wimbledons_champions!F157</f>
        <v>7</v>
      </c>
      <c r="F145">
        <f>wimbledons_champions!G157</f>
        <v>125</v>
      </c>
      <c r="G145" t="str">
        <f>wimbledons_champions!H157</f>
        <v>7-5, 0-6, 6-2, 3-6, 7-5</v>
      </c>
      <c r="H145" t="str">
        <f>wimbledons_champions!S157</f>
        <v>J.E. Bromwich</v>
      </c>
      <c r="I145" t="str">
        <f>wimbledons_champions!T157</f>
        <v>AUS</v>
      </c>
      <c r="J145">
        <f>wimbledons_champions!V157</f>
        <v>2</v>
      </c>
    </row>
    <row r="146" spans="1:10" x14ac:dyDescent="0.4">
      <c r="A146">
        <f>wimbledons_champions!A158</f>
        <v>1947</v>
      </c>
      <c r="B146" t="str">
        <f>wimbledons_champions!B158</f>
        <v>Women's</v>
      </c>
      <c r="C146" s="9" t="str">
        <f>wimbledons_champions!C158</f>
        <v>M.E. Osborne</v>
      </c>
      <c r="D146" t="str">
        <f>wimbledons_champions!D158</f>
        <v>USA</v>
      </c>
      <c r="E146">
        <f>wimbledons_champions!F158</f>
        <v>1</v>
      </c>
      <c r="F146">
        <f>wimbledons_champions!G158</f>
        <v>0</v>
      </c>
      <c r="G146" t="str">
        <f>wimbledons_champions!H158</f>
        <v>6-2, 6-4,</v>
      </c>
      <c r="H146" t="str">
        <f>wimbledons_champions!S158</f>
        <v>D.J. Hart</v>
      </c>
      <c r="I146" t="str">
        <f>wimbledons_champions!T158</f>
        <v>USA</v>
      </c>
      <c r="J146">
        <f>wimbledons_champions!V158</f>
        <v>3</v>
      </c>
    </row>
    <row r="147" spans="1:10" x14ac:dyDescent="0.4">
      <c r="A147">
        <f>wimbledons_champions!A159</f>
        <v>1947</v>
      </c>
      <c r="B147" t="str">
        <f>wimbledons_champions!B159</f>
        <v>Men's</v>
      </c>
      <c r="C147" s="9" t="str">
        <f>wimbledons_champions!C159</f>
        <v>J.A. Kramer</v>
      </c>
      <c r="D147" t="str">
        <f>wimbledons_champions!D159</f>
        <v>USA</v>
      </c>
      <c r="E147">
        <f>wimbledons_champions!F159</f>
        <v>1</v>
      </c>
      <c r="F147">
        <f>wimbledons_champions!G159</f>
        <v>45</v>
      </c>
      <c r="G147" t="str">
        <f>wimbledons_champions!H159</f>
        <v>6-1, 6-3, 6-2</v>
      </c>
      <c r="H147" t="str">
        <f>wimbledons_champions!S159</f>
        <v>T.P. Brown</v>
      </c>
      <c r="I147" t="str">
        <f>wimbledons_champions!T159</f>
        <v>USA</v>
      </c>
      <c r="J147">
        <f>wimbledons_champions!V159</f>
        <v>3</v>
      </c>
    </row>
    <row r="148" spans="1:10" x14ac:dyDescent="0.4">
      <c r="A148">
        <f>wimbledons_champions!A160</f>
        <v>1946</v>
      </c>
      <c r="B148" t="str">
        <f>wimbledons_champions!B160</f>
        <v>Women's</v>
      </c>
      <c r="C148" s="9" t="str">
        <f>wimbledons_champions!C160</f>
        <v>P.M. Betz</v>
      </c>
      <c r="D148" t="str">
        <f>wimbledons_champions!D160</f>
        <v>USA</v>
      </c>
      <c r="E148">
        <f>wimbledons_champions!F160</f>
        <v>1</v>
      </c>
      <c r="F148">
        <f>wimbledons_champions!G160</f>
        <v>0</v>
      </c>
      <c r="G148" t="str">
        <f>wimbledons_champions!H160</f>
        <v>6-2, 6-4,</v>
      </c>
      <c r="H148" t="str">
        <f>wimbledons_champions!S160</f>
        <v>A.L. Brough</v>
      </c>
      <c r="I148" t="str">
        <f>wimbledons_champions!T160</f>
        <v>USA</v>
      </c>
      <c r="J148">
        <f>wimbledons_champions!V160</f>
        <v>3</v>
      </c>
    </row>
    <row r="149" spans="1:10" x14ac:dyDescent="0.4">
      <c r="A149">
        <f>wimbledons_champions!A161</f>
        <v>1946</v>
      </c>
      <c r="B149" t="str">
        <f>wimbledons_champions!B161</f>
        <v>Men's</v>
      </c>
      <c r="C149" s="9" t="str">
        <f>wimbledons_champions!C161</f>
        <v>Y.F.M. Petra</v>
      </c>
      <c r="D149" t="str">
        <f>wimbledons_champions!D161</f>
        <v>FRA</v>
      </c>
      <c r="E149">
        <f>wimbledons_champions!F161</f>
        <v>5</v>
      </c>
      <c r="F149">
        <f>wimbledons_champions!G161</f>
        <v>0</v>
      </c>
      <c r="G149" t="str">
        <f>wimbledons_champions!H161</f>
        <v>6-2, 6-4, 7-9, 5-7, 6-4</v>
      </c>
      <c r="H149" t="str">
        <f>wimbledons_champions!S161</f>
        <v>G.E. Brown</v>
      </c>
      <c r="I149" t="str">
        <f>wimbledons_champions!T161</f>
        <v>AUS</v>
      </c>
      <c r="J149">
        <f>wimbledons_champions!V161</f>
        <v>3</v>
      </c>
    </row>
    <row r="150" spans="1:10" x14ac:dyDescent="0.4">
      <c r="A150">
        <f>wimbledons_champions!A162</f>
        <v>1939</v>
      </c>
      <c r="B150" t="str">
        <f>wimbledons_champions!B162</f>
        <v>Women's</v>
      </c>
      <c r="C150" s="9" t="str">
        <f>wimbledons_champions!C162</f>
        <v>A. Marble</v>
      </c>
      <c r="D150" t="str">
        <f>wimbledons_champions!D162</f>
        <v>USA</v>
      </c>
      <c r="E150">
        <f>wimbledons_champions!F162</f>
        <v>1</v>
      </c>
      <c r="F150">
        <f>wimbledons_champions!G162</f>
        <v>30</v>
      </c>
      <c r="G150" t="str">
        <f>wimbledons_champions!H162</f>
        <v>6-2, 6-0</v>
      </c>
      <c r="H150" t="str">
        <f>wimbledons_champions!S162</f>
        <v>K.E. Stammers</v>
      </c>
      <c r="I150" t="str">
        <f>wimbledons_champions!T162</f>
        <v>GBR</v>
      </c>
      <c r="J150">
        <f>wimbledons_champions!V162</f>
        <v>6</v>
      </c>
    </row>
    <row r="151" spans="1:10" x14ac:dyDescent="0.4">
      <c r="A151">
        <f>wimbledons_champions!A163</f>
        <v>1939</v>
      </c>
      <c r="B151" t="str">
        <f>wimbledons_champions!B163</f>
        <v>Men's</v>
      </c>
      <c r="C151" s="9" t="str">
        <f>wimbledons_champions!C163</f>
        <v>R.L. Riggs</v>
      </c>
      <c r="D151" t="str">
        <f>wimbledons_champions!D163</f>
        <v>USA</v>
      </c>
      <c r="E151">
        <f>wimbledons_champions!F163</f>
        <v>2</v>
      </c>
      <c r="F151">
        <f>wimbledons_champions!G163</f>
        <v>135</v>
      </c>
      <c r="G151" t="str">
        <f>wimbledons_champions!H163</f>
        <v>2-6, 8-6, 3-6, 6-3, 6-2</v>
      </c>
      <c r="H151" t="str">
        <f>wimbledons_champions!S163</f>
        <v>E.T. Cooke</v>
      </c>
      <c r="I151" t="str">
        <f>wimbledons_champions!T163</f>
        <v>USA</v>
      </c>
      <c r="J151">
        <f>wimbledons_champions!V163</f>
        <v>6</v>
      </c>
    </row>
    <row r="152" spans="1:10" x14ac:dyDescent="0.4">
      <c r="A152">
        <f>wimbledons_champions!A164</f>
        <v>1938</v>
      </c>
      <c r="B152" t="str">
        <f>wimbledons_champions!B164</f>
        <v>Women's</v>
      </c>
      <c r="C152" s="9" t="str">
        <f>wimbledons_champions!C164</f>
        <v>H.W. Moody</v>
      </c>
      <c r="D152" t="str">
        <f>wimbledons_champions!D164</f>
        <v>USA</v>
      </c>
      <c r="E152">
        <f>wimbledons_champions!F164</f>
        <v>1</v>
      </c>
      <c r="F152">
        <f>wimbledons_champions!G164</f>
        <v>0</v>
      </c>
      <c r="G152" t="str">
        <f>wimbledons_champions!H164</f>
        <v>6-4, 6-0</v>
      </c>
      <c r="H152" t="str">
        <f>wimbledons_champions!S164</f>
        <v>H.H. Jacobs</v>
      </c>
      <c r="I152" t="str">
        <f>wimbledons_champions!T164</f>
        <v>USA</v>
      </c>
      <c r="J152" t="str">
        <f>wimbledons_champions!V164</f>
        <v>U</v>
      </c>
    </row>
    <row r="153" spans="1:10" x14ac:dyDescent="0.4">
      <c r="A153">
        <f>wimbledons_champions!A165</f>
        <v>1938</v>
      </c>
      <c r="B153" t="str">
        <f>wimbledons_champions!B165</f>
        <v>Men's</v>
      </c>
      <c r="C153" s="14" t="str">
        <f>wimbledons_champions!C165</f>
        <v>J.D. Budge</v>
      </c>
      <c r="D153" t="str">
        <f>wimbledons_champions!D165</f>
        <v>USA</v>
      </c>
      <c r="E153">
        <f>wimbledons_champions!F165</f>
        <v>1</v>
      </c>
      <c r="F153">
        <f>wimbledons_champions!G165</f>
        <v>59</v>
      </c>
      <c r="G153" t="str">
        <f>wimbledons_champions!H165</f>
        <v>6-1, 6-0, 6-3</v>
      </c>
      <c r="H153" t="str">
        <f>wimbledons_champions!S165</f>
        <v>H.W. Austin</v>
      </c>
      <c r="I153" t="str">
        <f>wimbledons_champions!T165</f>
        <v>GBR</v>
      </c>
      <c r="J153" s="2">
        <f>wimbledons_champions!V165</f>
        <v>2</v>
      </c>
    </row>
    <row r="154" spans="1:10" x14ac:dyDescent="0.4">
      <c r="A154">
        <f>wimbledons_champions!A166</f>
        <v>1937</v>
      </c>
      <c r="B154" t="str">
        <f>wimbledons_champions!B166</f>
        <v>Women's</v>
      </c>
      <c r="C154" s="9" t="str">
        <f>wimbledons_champions!C166</f>
        <v>D.E. Round</v>
      </c>
      <c r="D154" t="str">
        <f>wimbledons_champions!D166</f>
        <v>GBR</v>
      </c>
      <c r="E154">
        <f>wimbledons_champions!F166</f>
        <v>7</v>
      </c>
      <c r="F154">
        <f>wimbledons_champions!G166</f>
        <v>60</v>
      </c>
      <c r="G154" t="str">
        <f>wimbledons_champions!H166</f>
        <v>6-2, 2-6, 7-5</v>
      </c>
      <c r="H154" t="str">
        <f>wimbledons_champions!S166</f>
        <v>J. Jedrzejowska</v>
      </c>
      <c r="I154" t="str">
        <f>wimbledons_champions!T166</f>
        <v>POL</v>
      </c>
      <c r="J154">
        <f>wimbledons_champions!V166</f>
        <v>4</v>
      </c>
    </row>
    <row r="155" spans="1:10" x14ac:dyDescent="0.4">
      <c r="A155">
        <f>wimbledons_champions!A167</f>
        <v>1937</v>
      </c>
      <c r="B155" t="str">
        <f>wimbledons_champions!B167</f>
        <v>Men's</v>
      </c>
      <c r="C155" s="9" t="str">
        <f>wimbledons_champions!C167</f>
        <v>J.D. Budge</v>
      </c>
      <c r="D155" t="str">
        <f>wimbledons_champions!D167</f>
        <v>USA</v>
      </c>
      <c r="E155">
        <f>wimbledons_champions!F167</f>
        <v>1</v>
      </c>
      <c r="F155">
        <f>wimbledons_champions!G167</f>
        <v>65</v>
      </c>
      <c r="G155" t="str">
        <f>wimbledons_champions!H167</f>
        <v>6-3, 6-4, 6-2</v>
      </c>
      <c r="H155" t="str">
        <f>wimbledons_champions!S167</f>
        <v>G. von Cramm</v>
      </c>
      <c r="I155" t="str">
        <f>wimbledons_champions!T167</f>
        <v>GER</v>
      </c>
      <c r="J155">
        <f>wimbledons_champions!V167</f>
        <v>2</v>
      </c>
    </row>
    <row r="156" spans="1:10" x14ac:dyDescent="0.4">
      <c r="A156">
        <f>wimbledons_champions!A168</f>
        <v>1936</v>
      </c>
      <c r="B156" t="str">
        <f>wimbledons_champions!B168</f>
        <v>Women's</v>
      </c>
      <c r="C156" s="9" t="str">
        <f>wimbledons_champions!C168</f>
        <v>H.H. Jacobs</v>
      </c>
      <c r="D156" t="str">
        <f>wimbledons_champions!D168</f>
        <v>USA</v>
      </c>
      <c r="E156">
        <f>wimbledons_champions!F168</f>
        <v>2</v>
      </c>
      <c r="F156">
        <f>wimbledons_champions!G168</f>
        <v>101</v>
      </c>
      <c r="G156" t="str">
        <f>wimbledons_champions!H168</f>
        <v>6-2, 4-6, 7-5</v>
      </c>
      <c r="H156" t="str">
        <f>wimbledons_champions!S168</f>
        <v>S. Sperling</v>
      </c>
      <c r="I156" t="str">
        <f>wimbledons_champions!T168</f>
        <v>GER</v>
      </c>
      <c r="J156">
        <f>wimbledons_champions!V168</f>
        <v>5</v>
      </c>
    </row>
    <row r="157" spans="1:10" x14ac:dyDescent="0.4">
      <c r="A157">
        <f>wimbledons_champions!A169</f>
        <v>1936</v>
      </c>
      <c r="B157" t="str">
        <f>wimbledons_champions!B169</f>
        <v>Men's</v>
      </c>
      <c r="C157" s="9" t="str">
        <f>wimbledons_champions!C169</f>
        <v>F.J. Perry</v>
      </c>
      <c r="D157" t="str">
        <f>wimbledons_champions!D169</f>
        <v>GBR</v>
      </c>
      <c r="E157">
        <f>wimbledons_champions!F169</f>
        <v>1</v>
      </c>
      <c r="F157">
        <f>wimbledons_champions!G169</f>
        <v>40</v>
      </c>
      <c r="G157" t="str">
        <f>wimbledons_champions!H169</f>
        <v>6-1, 6-1, 6-0</v>
      </c>
      <c r="H157" t="str">
        <f>wimbledons_champions!S169</f>
        <v>G. von Cramm</v>
      </c>
      <c r="I157" t="str">
        <f>wimbledons_champions!T169</f>
        <v>GER</v>
      </c>
      <c r="J157">
        <f>wimbledons_champions!V169</f>
        <v>2</v>
      </c>
    </row>
    <row r="158" spans="1:10" x14ac:dyDescent="0.4">
      <c r="A158">
        <f>wimbledons_champions!A170</f>
        <v>1935</v>
      </c>
      <c r="B158" t="str">
        <f>wimbledons_champions!B170</f>
        <v>Women's</v>
      </c>
      <c r="C158" s="9" t="str">
        <f>wimbledons_champions!C170</f>
        <v>H.W. Moody</v>
      </c>
      <c r="D158" t="str">
        <f>wimbledons_champions!D170</f>
        <v>USA</v>
      </c>
      <c r="E158">
        <f>wimbledons_champions!F170</f>
        <v>4</v>
      </c>
      <c r="F158">
        <f>wimbledons_champions!G170</f>
        <v>100</v>
      </c>
      <c r="G158" t="str">
        <f>wimbledons_champions!H170</f>
        <v>6-3, 3-6, 7-5</v>
      </c>
      <c r="H158" t="str">
        <f>wimbledons_champions!S170</f>
        <v>H.H. Jacobs</v>
      </c>
      <c r="I158" t="str">
        <f>wimbledons_champions!T170</f>
        <v>USA</v>
      </c>
      <c r="J158">
        <f>wimbledons_champions!V170</f>
        <v>3</v>
      </c>
    </row>
    <row r="159" spans="1:10" x14ac:dyDescent="0.4">
      <c r="A159">
        <f>wimbledons_champions!A171</f>
        <v>1935</v>
      </c>
      <c r="B159" t="str">
        <f>wimbledons_champions!B171</f>
        <v>Men's</v>
      </c>
      <c r="C159" s="14" t="str">
        <f>wimbledons_champions!C171</f>
        <v>F.J. Perry</v>
      </c>
      <c r="D159" t="str">
        <f>wimbledons_champions!D171</f>
        <v>GBR</v>
      </c>
      <c r="E159">
        <f>wimbledons_champions!F171</f>
        <v>1</v>
      </c>
      <c r="F159">
        <f>wimbledons_champions!G171</f>
        <v>80</v>
      </c>
      <c r="G159" t="str">
        <f>wimbledons_champions!H171</f>
        <v>6-2, 6-4, 6-4</v>
      </c>
      <c r="H159" t="str">
        <f>wimbledons_champions!S171</f>
        <v>G. von Cramm</v>
      </c>
      <c r="I159" t="str">
        <f>wimbledons_champions!T171</f>
        <v>GER</v>
      </c>
      <c r="J159">
        <f>wimbledons_champions!V171</f>
        <v>2</v>
      </c>
    </row>
    <row r="160" spans="1:10" x14ac:dyDescent="0.4">
      <c r="A160">
        <f>wimbledons_champions!A172</f>
        <v>1934</v>
      </c>
      <c r="B160" t="str">
        <f>wimbledons_champions!B172</f>
        <v>Women's</v>
      </c>
      <c r="C160" s="9" t="str">
        <f>wimbledons_champions!C172</f>
        <v>D.E. Round</v>
      </c>
      <c r="D160" t="str">
        <f>wimbledons_champions!D172</f>
        <v>GBR</v>
      </c>
      <c r="E160">
        <f>wimbledons_champions!F172</f>
        <v>2</v>
      </c>
      <c r="F160">
        <f>wimbledons_champions!G172</f>
        <v>0</v>
      </c>
      <c r="G160" t="str">
        <f>wimbledons_champions!H172</f>
        <v>6-2, 5-7, 6-3</v>
      </c>
      <c r="H160" t="str">
        <f>wimbledons_champions!S172</f>
        <v>H.H. Jacobs</v>
      </c>
      <c r="I160" t="str">
        <f>wimbledons_champions!T172</f>
        <v>USA</v>
      </c>
      <c r="J160">
        <f>wimbledons_champions!V172</f>
        <v>1</v>
      </c>
    </row>
    <row r="161" spans="1:10" x14ac:dyDescent="0.4">
      <c r="A161">
        <f>wimbledons_champions!A173</f>
        <v>1934</v>
      </c>
      <c r="B161" t="str">
        <f>wimbledons_champions!B173</f>
        <v>Men's</v>
      </c>
      <c r="C161" s="9" t="str">
        <f>wimbledons_champions!C173</f>
        <v>F.J. Perry</v>
      </c>
      <c r="D161" t="str">
        <f>wimbledons_champions!D173</f>
        <v>GBR</v>
      </c>
      <c r="E161">
        <f>wimbledons_champions!F173</f>
        <v>2</v>
      </c>
      <c r="F161">
        <f>wimbledons_champions!G173</f>
        <v>72</v>
      </c>
      <c r="G161" t="str">
        <f>wimbledons_champions!H173</f>
        <v>6-3, 6-0, 7-5</v>
      </c>
      <c r="H161" t="str">
        <f>wimbledons_champions!S173</f>
        <v>J.H. Crawford</v>
      </c>
      <c r="I161" t="str">
        <f>wimbledons_champions!T173</f>
        <v>AUS</v>
      </c>
      <c r="J161">
        <f>wimbledons_champions!V173</f>
        <v>1</v>
      </c>
    </row>
    <row r="162" spans="1:10" x14ac:dyDescent="0.4">
      <c r="A162">
        <f>wimbledons_champions!A174</f>
        <v>1933</v>
      </c>
      <c r="B162" t="str">
        <f>wimbledons_champions!B174</f>
        <v>Women's</v>
      </c>
      <c r="C162" s="9" t="str">
        <f>wimbledons_champions!C174</f>
        <v>H.W. Moody</v>
      </c>
      <c r="D162" t="str">
        <f>wimbledons_champions!D174</f>
        <v>USA</v>
      </c>
      <c r="E162">
        <f>wimbledons_champions!F174</f>
        <v>1</v>
      </c>
      <c r="F162">
        <f>wimbledons_champions!G174</f>
        <v>120</v>
      </c>
      <c r="G162" t="str">
        <f>wimbledons_champions!H174</f>
        <v>6-4, 6-8, 6-3</v>
      </c>
      <c r="H162" t="str">
        <f>wimbledons_champions!S174</f>
        <v>D.E. Round</v>
      </c>
      <c r="I162" t="str">
        <f>wimbledons_champions!T174</f>
        <v>GBR</v>
      </c>
      <c r="J162">
        <f>wimbledons_champions!V174</f>
        <v>2</v>
      </c>
    </row>
    <row r="163" spans="1:10" x14ac:dyDescent="0.4">
      <c r="A163">
        <f>wimbledons_champions!A175</f>
        <v>1933</v>
      </c>
      <c r="B163" t="str">
        <f>wimbledons_champions!B175</f>
        <v>Men's</v>
      </c>
      <c r="C163" s="14" t="str">
        <f>wimbledons_champions!C175</f>
        <v>J.H. Crawford</v>
      </c>
      <c r="D163" t="str">
        <f>wimbledons_champions!D175</f>
        <v>AUS</v>
      </c>
      <c r="E163">
        <f>wimbledons_champions!F175</f>
        <v>2</v>
      </c>
      <c r="F163">
        <f>wimbledons_champions!G175</f>
        <v>120</v>
      </c>
      <c r="G163" t="str">
        <f>wimbledons_champions!H175</f>
        <v>4-6, 11-9, 6-2, 2-6, 6-4</v>
      </c>
      <c r="H163" t="str">
        <f>wimbledons_champions!S175</f>
        <v>H.E. Vines</v>
      </c>
      <c r="I163" t="str">
        <f>wimbledons_champions!T175</f>
        <v>USA</v>
      </c>
      <c r="J163">
        <f>wimbledons_champions!V175</f>
        <v>1</v>
      </c>
    </row>
    <row r="164" spans="1:10" x14ac:dyDescent="0.4">
      <c r="A164">
        <f>wimbledons_champions!A176</f>
        <v>1932</v>
      </c>
      <c r="B164" t="str">
        <f>wimbledons_champions!B176</f>
        <v>Women's</v>
      </c>
      <c r="C164" s="9" t="str">
        <f>wimbledons_champions!C176</f>
        <v>H.W. Moody</v>
      </c>
      <c r="D164" t="str">
        <f>wimbledons_champions!D176</f>
        <v>USA</v>
      </c>
      <c r="E164">
        <f>wimbledons_champions!F176</f>
        <v>1</v>
      </c>
      <c r="F164">
        <f>wimbledons_champions!G176</f>
        <v>50</v>
      </c>
      <c r="G164" t="str">
        <f>wimbledons_champions!H176</f>
        <v>6-3, 6-1</v>
      </c>
      <c r="H164" t="str">
        <f>wimbledons_champions!S176</f>
        <v>H.H. Jacobs</v>
      </c>
      <c r="I164" t="str">
        <f>wimbledons_champions!T176</f>
        <v>USA</v>
      </c>
      <c r="J164">
        <f>wimbledons_champions!V176</f>
        <v>5</v>
      </c>
    </row>
    <row r="165" spans="1:10" x14ac:dyDescent="0.4">
      <c r="A165">
        <f>wimbledons_champions!A177</f>
        <v>1932</v>
      </c>
      <c r="B165" t="str">
        <f>wimbledons_champions!B177</f>
        <v>Men's</v>
      </c>
      <c r="C165" s="14" t="str">
        <f>wimbledons_champions!C177</f>
        <v>H.E. Vines</v>
      </c>
      <c r="D165" t="str">
        <f>wimbledons_champions!D177</f>
        <v>USA</v>
      </c>
      <c r="E165">
        <f>wimbledons_champions!F177</f>
        <v>2</v>
      </c>
      <c r="F165">
        <f>wimbledons_champions!G177</f>
        <v>50</v>
      </c>
      <c r="G165" t="str">
        <f>wimbledons_champions!H177</f>
        <v>6-2, 6-2, 6-0</v>
      </c>
      <c r="H165" t="str">
        <f>wimbledons_champions!S177</f>
        <v>H.W. Austin</v>
      </c>
      <c r="I165" t="str">
        <f>wimbledons_champions!T177</f>
        <v>GBR</v>
      </c>
      <c r="J165">
        <f>wimbledons_champions!V177</f>
        <v>6</v>
      </c>
    </row>
    <row r="166" spans="1:10" x14ac:dyDescent="0.4">
      <c r="A166">
        <f>wimbledons_champions!A178</f>
        <v>1931</v>
      </c>
      <c r="B166" t="str">
        <f>wimbledons_champions!B178</f>
        <v>Women's</v>
      </c>
      <c r="C166" s="9" t="str">
        <f>wimbledons_champions!C178</f>
        <v>C. Aussem</v>
      </c>
      <c r="D166" t="str">
        <f>wimbledons_champions!D178</f>
        <v>GER</v>
      </c>
      <c r="E166">
        <f>wimbledons_champions!F178</f>
        <v>1</v>
      </c>
      <c r="F166">
        <f>wimbledons_champions!G178</f>
        <v>0</v>
      </c>
      <c r="G166" t="str">
        <f>wimbledons_champions!H178</f>
        <v>6-2, 7-5</v>
      </c>
      <c r="H166" t="str">
        <f>wimbledons_champions!S178</f>
        <v>H. Krahwinkel</v>
      </c>
      <c r="I166" t="str">
        <f>wimbledons_champions!T178</f>
        <v>GER</v>
      </c>
      <c r="J166">
        <f>wimbledons_champions!V178</f>
        <v>4</v>
      </c>
    </row>
    <row r="167" spans="1:10" x14ac:dyDescent="0.4">
      <c r="A167">
        <f>wimbledons_champions!A179</f>
        <v>1931</v>
      </c>
      <c r="B167" t="str">
        <f>wimbledons_champions!B179</f>
        <v>Men's</v>
      </c>
      <c r="C167" s="9" t="str">
        <f>wimbledons_champions!C179</f>
        <v>S.B.B. Wood</v>
      </c>
      <c r="D167" t="str">
        <f>wimbledons_champions!D179</f>
        <v>USA</v>
      </c>
      <c r="E167">
        <f>wimbledons_champions!F179</f>
        <v>7</v>
      </c>
      <c r="F167">
        <f>wimbledons_champions!G179</f>
        <v>0</v>
      </c>
      <c r="G167" t="str">
        <f>wimbledons_champions!H179</f>
        <v>walk over</v>
      </c>
      <c r="H167" t="str">
        <f>wimbledons_champions!S179</f>
        <v>F.X. Shields</v>
      </c>
      <c r="I167" t="str">
        <f>wimbledons_champions!T179</f>
        <v>USA</v>
      </c>
      <c r="J167">
        <f>wimbledons_champions!V179</f>
        <v>3</v>
      </c>
    </row>
    <row r="168" spans="1:10" x14ac:dyDescent="0.4">
      <c r="A168">
        <f>wimbledons_champions!A180</f>
        <v>1930</v>
      </c>
      <c r="B168" t="str">
        <f>wimbledons_champions!B180</f>
        <v>Women's</v>
      </c>
      <c r="C168" s="9" t="str">
        <f>wimbledons_champions!C180</f>
        <v>H.W. Moody</v>
      </c>
      <c r="D168" t="str">
        <f>wimbledons_champions!D180</f>
        <v>USA</v>
      </c>
      <c r="E168">
        <f>wimbledons_champions!F180</f>
        <v>1</v>
      </c>
      <c r="F168">
        <f>wimbledons_champions!G180</f>
        <v>0</v>
      </c>
      <c r="G168" t="str">
        <f>wimbledons_champions!H180</f>
        <v>6-2, 6-2</v>
      </c>
      <c r="H168" t="str">
        <f>wimbledons_champions!S180</f>
        <v>E.M. Ryan</v>
      </c>
      <c r="I168" t="str">
        <f>wimbledons_champions!T180</f>
        <v>USA</v>
      </c>
      <c r="J168">
        <f>wimbledons_champions!V180</f>
        <v>8</v>
      </c>
    </row>
    <row r="169" spans="1:10" x14ac:dyDescent="0.4">
      <c r="A169">
        <f>wimbledons_champions!A181</f>
        <v>1930</v>
      </c>
      <c r="B169" t="str">
        <f>wimbledons_champions!B181</f>
        <v>Men's</v>
      </c>
      <c r="C169" s="14" t="str">
        <f>wimbledons_champions!C181</f>
        <v>W.T. Tilden</v>
      </c>
      <c r="D169" t="str">
        <f>wimbledons_champions!D181</f>
        <v>USA</v>
      </c>
      <c r="E169">
        <f>wimbledons_champions!F181</f>
        <v>2</v>
      </c>
      <c r="F169">
        <f>wimbledons_champions!G181</f>
        <v>70</v>
      </c>
      <c r="G169" t="str">
        <f>wimbledons_champions!H181</f>
        <v>6-3, 9-7, 6-4</v>
      </c>
      <c r="H169" t="str">
        <f>wimbledons_champions!S181</f>
        <v>W.L. Allison</v>
      </c>
      <c r="I169" t="str">
        <f>wimbledons_champions!T181</f>
        <v>USA</v>
      </c>
      <c r="J169" t="str">
        <f>wimbledons_champions!V181</f>
        <v>U</v>
      </c>
    </row>
    <row r="170" spans="1:10" x14ac:dyDescent="0.4">
      <c r="A170">
        <f>wimbledons_champions!A182</f>
        <v>1929</v>
      </c>
      <c r="B170" t="str">
        <f>wimbledons_champions!B182</f>
        <v>Women's</v>
      </c>
      <c r="C170" s="9" t="str">
        <f>wimbledons_champions!C182</f>
        <v>H.W. Moody</v>
      </c>
      <c r="D170" t="str">
        <f>wimbledons_champions!D182</f>
        <v>USA</v>
      </c>
      <c r="E170">
        <f>wimbledons_champions!F182</f>
        <v>1</v>
      </c>
      <c r="F170">
        <f>wimbledons_champions!G182</f>
        <v>0</v>
      </c>
      <c r="G170" t="str">
        <f>wimbledons_champions!H182</f>
        <v>6-1, 6-2</v>
      </c>
      <c r="H170" t="str">
        <f>wimbledons_champions!S182</f>
        <v>H.H. Jacobs</v>
      </c>
      <c r="I170" t="str">
        <f>wimbledons_champions!T182</f>
        <v>USA</v>
      </c>
      <c r="J170">
        <f>wimbledons_champions!V182</f>
        <v>5</v>
      </c>
    </row>
    <row r="171" spans="1:10" x14ac:dyDescent="0.4">
      <c r="A171">
        <f>wimbledons_champions!A183</f>
        <v>1929</v>
      </c>
      <c r="B171" t="str">
        <f>wimbledons_champions!B183</f>
        <v>Men's</v>
      </c>
      <c r="C171" s="9" t="str">
        <f>wimbledons_champions!C183</f>
        <v>H.J. Cochet</v>
      </c>
      <c r="D171" t="str">
        <f>wimbledons_champions!D183</f>
        <v>FRA</v>
      </c>
      <c r="E171">
        <f>wimbledons_champions!F183</f>
        <v>1</v>
      </c>
      <c r="F171">
        <f>wimbledons_champions!G183</f>
        <v>60</v>
      </c>
      <c r="G171" t="str">
        <f>wimbledons_champions!H183</f>
        <v>6-4, 6-3, 6-4</v>
      </c>
      <c r="H171" t="str">
        <f>wimbledons_champions!S183</f>
        <v>J.R. Borotra</v>
      </c>
      <c r="I171" t="str">
        <f>wimbledons_champions!T183</f>
        <v>FRA</v>
      </c>
      <c r="J171">
        <f>wimbledons_champions!V183</f>
        <v>2</v>
      </c>
    </row>
    <row r="172" spans="1:10" x14ac:dyDescent="0.4">
      <c r="A172">
        <f>wimbledons_champions!A184</f>
        <v>1928</v>
      </c>
      <c r="B172" t="str">
        <f>wimbledons_champions!B184</f>
        <v>Women's</v>
      </c>
      <c r="C172" s="9" t="str">
        <f>wimbledons_champions!C184</f>
        <v>H.W. Moody</v>
      </c>
      <c r="D172" t="str">
        <f>wimbledons_champions!D184</f>
        <v>USA</v>
      </c>
      <c r="E172">
        <f>wimbledons_champions!F184</f>
        <v>1</v>
      </c>
      <c r="F172">
        <f>wimbledons_champions!G184</f>
        <v>0</v>
      </c>
      <c r="G172" t="str">
        <f>wimbledons_champions!H184</f>
        <v>6-2, 6-3</v>
      </c>
      <c r="H172" t="str">
        <f>wimbledons_champions!S184</f>
        <v>E.M. de Alvarez</v>
      </c>
      <c r="I172" t="str">
        <f>wimbledons_champions!T184</f>
        <v>ESP</v>
      </c>
      <c r="J172">
        <f>wimbledons_champions!V184</f>
        <v>2</v>
      </c>
    </row>
    <row r="173" spans="1:10" x14ac:dyDescent="0.4">
      <c r="A173">
        <f>wimbledons_champions!A185</f>
        <v>1928</v>
      </c>
      <c r="B173" t="str">
        <f>wimbledons_champions!B185</f>
        <v>Men's</v>
      </c>
      <c r="C173" s="9" t="str">
        <f>wimbledons_champions!C185</f>
        <v>J.R. Lacoste</v>
      </c>
      <c r="D173" t="str">
        <f>wimbledons_champions!D185</f>
        <v>FRA</v>
      </c>
      <c r="E173">
        <f>wimbledons_champions!F185</f>
        <v>2</v>
      </c>
      <c r="F173">
        <f>wimbledons_champions!G185</f>
        <v>0</v>
      </c>
      <c r="G173" t="str">
        <f>wimbledons_champions!H185</f>
        <v>6-1, 4-6, 6-4, 6-2</v>
      </c>
      <c r="H173" t="str">
        <f>wimbledons_champions!S185</f>
        <v>H.J. Cochet</v>
      </c>
      <c r="I173" t="str">
        <f>wimbledons_champions!T185</f>
        <v>FRA</v>
      </c>
      <c r="J173">
        <f>wimbledons_champions!V185</f>
        <v>1</v>
      </c>
    </row>
    <row r="174" spans="1:10" x14ac:dyDescent="0.4">
      <c r="A174">
        <f>wimbledons_champions!A186</f>
        <v>1927</v>
      </c>
      <c r="B174" t="str">
        <f>wimbledons_champions!B186</f>
        <v>Women's</v>
      </c>
      <c r="C174" s="9" t="str">
        <f>wimbledons_champions!C186</f>
        <v>H.W. Moody</v>
      </c>
      <c r="D174" t="str">
        <f>wimbledons_champions!D186</f>
        <v>USA</v>
      </c>
      <c r="E174">
        <f>wimbledons_champions!F186</f>
        <v>1</v>
      </c>
      <c r="F174">
        <f>wimbledons_champions!G186</f>
        <v>0</v>
      </c>
      <c r="G174" t="str">
        <f>wimbledons_champions!H186</f>
        <v>6-2, 6-4</v>
      </c>
      <c r="H174" t="str">
        <f>wimbledons_champions!S186</f>
        <v>E.M. de Alvarez</v>
      </c>
      <c r="I174" t="str">
        <f>wimbledons_champions!T186</f>
        <v>ESP</v>
      </c>
      <c r="J174">
        <f>wimbledons_champions!V186</f>
        <v>4</v>
      </c>
    </row>
    <row r="175" spans="1:10" x14ac:dyDescent="0.4">
      <c r="A175" s="3">
        <f>wimbledons_champions!A187</f>
        <v>1927</v>
      </c>
      <c r="B175" t="str">
        <f>wimbledons_champions!B187</f>
        <v>Men's</v>
      </c>
      <c r="C175" s="9" t="str">
        <f>wimbledons_champions!C187</f>
        <v>H.J. Cochet</v>
      </c>
      <c r="D175" t="str">
        <f>wimbledons_champions!D187</f>
        <v>FRA</v>
      </c>
      <c r="E175">
        <f>wimbledons_champions!F187</f>
        <v>4</v>
      </c>
      <c r="F175">
        <f>wimbledons_champions!G187</f>
        <v>0</v>
      </c>
      <c r="G175" t="str">
        <f>wimbledons_champions!H187</f>
        <v>4-6, 4-6, 6-3, 6-4, 7-5</v>
      </c>
      <c r="H175" t="str">
        <f>wimbledons_champions!S187</f>
        <v>J.R. Borotra</v>
      </c>
      <c r="I175" t="str">
        <f>wimbledons_champions!T187</f>
        <v>FRA</v>
      </c>
      <c r="J175">
        <f>wimbledons_champions!V187</f>
        <v>3</v>
      </c>
    </row>
    <row r="176" spans="1:10" x14ac:dyDescent="0.4">
      <c r="A176">
        <f>wimbledons_champions!A188</f>
        <v>1926</v>
      </c>
      <c r="B176" t="str">
        <f>wimbledons_champions!B188</f>
        <v>Women's</v>
      </c>
      <c r="C176" s="9" t="str">
        <f>wimbledons_champions!C188</f>
        <v>L.A. Godfree</v>
      </c>
      <c r="D176" t="str">
        <f>wimbledons_champions!D188</f>
        <v>GBR</v>
      </c>
      <c r="E176">
        <f>wimbledons_champions!F188</f>
        <v>0</v>
      </c>
      <c r="F176">
        <f>wimbledons_champions!G188</f>
        <v>60</v>
      </c>
      <c r="G176" t="str">
        <f>wimbledons_champions!H188</f>
        <v>6-2, 4-6, 6-3</v>
      </c>
      <c r="H176" t="str">
        <f>wimbledons_champions!S188</f>
        <v>E.M. de Alvarez</v>
      </c>
      <c r="I176" t="str">
        <f>wimbledons_champions!T188</f>
        <v>ESP</v>
      </c>
      <c r="J176">
        <f>wimbledons_champions!V188</f>
        <v>0</v>
      </c>
    </row>
    <row r="177" spans="1:10" x14ac:dyDescent="0.4">
      <c r="A177">
        <f>wimbledons_champions!A189</f>
        <v>1926</v>
      </c>
      <c r="B177" t="str">
        <f>wimbledons_champions!B189</f>
        <v>Men's</v>
      </c>
      <c r="C177" s="9" t="str">
        <f>wimbledons_champions!C189</f>
        <v>J.R. Borotra</v>
      </c>
      <c r="D177" t="str">
        <f>wimbledons_champions!D189</f>
        <v>FRA</v>
      </c>
      <c r="E177">
        <f>wimbledons_champions!F189</f>
        <v>0</v>
      </c>
      <c r="F177">
        <f>wimbledons_champions!G189</f>
        <v>65</v>
      </c>
      <c r="G177" t="str">
        <f>wimbledons_champions!H189</f>
        <v>8-6, 6-1, 6-3</v>
      </c>
      <c r="H177" t="str">
        <f>wimbledons_champions!S189</f>
        <v>H.O. Kinsey</v>
      </c>
      <c r="I177" t="str">
        <f>wimbledons_champions!T189</f>
        <v>USA</v>
      </c>
      <c r="J177">
        <f>wimbledons_champions!V189</f>
        <v>0</v>
      </c>
    </row>
    <row r="178" spans="1:10" x14ac:dyDescent="0.4">
      <c r="A178">
        <f>wimbledons_champions!A190</f>
        <v>1925</v>
      </c>
      <c r="B178" t="str">
        <f>wimbledons_champions!B190</f>
        <v>Women's</v>
      </c>
      <c r="C178" s="9" t="str">
        <f>wimbledons_champions!C190</f>
        <v>S.R.F. Lenglen</v>
      </c>
      <c r="D178" t="str">
        <f>wimbledons_champions!D190</f>
        <v>FRA</v>
      </c>
      <c r="E178">
        <f>wimbledons_champions!F190</f>
        <v>0</v>
      </c>
      <c r="F178">
        <f>wimbledons_champions!G190</f>
        <v>25</v>
      </c>
      <c r="G178" t="str">
        <f>wimbledons_champions!H190</f>
        <v>6-2, 6-0</v>
      </c>
      <c r="H178" t="str">
        <f>wimbledons_champions!S190</f>
        <v>J.C. Fry</v>
      </c>
      <c r="I178" t="str">
        <f>wimbledons_champions!T190</f>
        <v>GBR</v>
      </c>
      <c r="J178">
        <f>wimbledons_champions!V190</f>
        <v>0</v>
      </c>
    </row>
    <row r="179" spans="1:10" x14ac:dyDescent="0.4">
      <c r="A179">
        <f>wimbledons_champions!A191</f>
        <v>1925</v>
      </c>
      <c r="B179" t="str">
        <f>wimbledons_champions!B191</f>
        <v>Men's</v>
      </c>
      <c r="C179" s="13" t="str">
        <f>wimbledons_champions!C191</f>
        <v>J.R. Lacoste</v>
      </c>
      <c r="D179" t="str">
        <f>wimbledons_champions!D191</f>
        <v>FRA</v>
      </c>
      <c r="E179">
        <f>wimbledons_champions!F191</f>
        <v>0</v>
      </c>
      <c r="F179">
        <f>wimbledons_champions!G191</f>
        <v>0</v>
      </c>
      <c r="G179" t="str">
        <f>wimbledons_champions!H191</f>
        <v>6-3, 6-3, 4-6, 8-6</v>
      </c>
      <c r="H179" t="str">
        <f>wimbledons_champions!S191</f>
        <v>J.R. Borotra</v>
      </c>
      <c r="I179" t="str">
        <f>wimbledons_champions!T191</f>
        <v>FRA</v>
      </c>
      <c r="J179">
        <f>wimbledons_champions!V191</f>
        <v>0</v>
      </c>
    </row>
    <row r="180" spans="1:10" x14ac:dyDescent="0.4">
      <c r="A180">
        <f>wimbledons_champions!A192</f>
        <v>1924</v>
      </c>
      <c r="B180" t="str">
        <f>wimbledons_champions!B192</f>
        <v>Women's</v>
      </c>
      <c r="C180" s="9" t="str">
        <f>wimbledons_champions!C192</f>
        <v>K. McKane</v>
      </c>
      <c r="D180" t="str">
        <f>wimbledons_champions!D192</f>
        <v>GBR</v>
      </c>
      <c r="E180">
        <f>wimbledons_champions!F192</f>
        <v>0</v>
      </c>
      <c r="F180">
        <f>wimbledons_champions!G192</f>
        <v>75</v>
      </c>
      <c r="G180" t="str">
        <f>wimbledons_champions!H192</f>
        <v>4-6, 6-4, 6-4</v>
      </c>
      <c r="H180" t="str">
        <f>wimbledons_champions!S192</f>
        <v>H.W. Moody</v>
      </c>
      <c r="I180" t="str">
        <f>wimbledons_champions!T192</f>
        <v>USA</v>
      </c>
      <c r="J180">
        <f>wimbledons_champions!V192</f>
        <v>0</v>
      </c>
    </row>
    <row r="181" spans="1:10" x14ac:dyDescent="0.4">
      <c r="A181">
        <f>wimbledons_champions!A193</f>
        <v>1924</v>
      </c>
      <c r="B181" t="str">
        <f>wimbledons_champions!B193</f>
        <v>Men's</v>
      </c>
      <c r="C181" s="9" t="str">
        <f>wimbledons_champions!C193</f>
        <v>J.R. Borotra</v>
      </c>
      <c r="D181" t="str">
        <f>wimbledons_champions!D193</f>
        <v>FRA</v>
      </c>
      <c r="E181">
        <f>wimbledons_champions!F193</f>
        <v>0</v>
      </c>
      <c r="F181">
        <f>wimbledons_champions!G193</f>
        <v>80</v>
      </c>
      <c r="G181" t="str">
        <f>wimbledons_champions!H193</f>
        <v>6-1, 3-6, 6-1, 3-6, 6-4</v>
      </c>
      <c r="H181" t="str">
        <f>wimbledons_champions!S193</f>
        <v>J.R. Lacoste</v>
      </c>
      <c r="I181" t="str">
        <f>wimbledons_champions!T193</f>
        <v>FRA</v>
      </c>
      <c r="J181">
        <f>wimbledons_champions!V193</f>
        <v>0</v>
      </c>
    </row>
    <row r="182" spans="1:10" x14ac:dyDescent="0.4">
      <c r="A182">
        <f>wimbledons_champions!A194</f>
        <v>1923</v>
      </c>
      <c r="B182" t="str">
        <f>wimbledons_champions!B194</f>
        <v>Women's</v>
      </c>
      <c r="C182" s="9" t="str">
        <f>wimbledons_champions!C194</f>
        <v>S.R.F. Lenglen</v>
      </c>
      <c r="D182" t="str">
        <f>wimbledons_champions!D194</f>
        <v>FRA</v>
      </c>
      <c r="E182">
        <f>wimbledons_champions!F194</f>
        <v>0</v>
      </c>
      <c r="F182">
        <f>wimbledons_champions!G194</f>
        <v>0</v>
      </c>
      <c r="G182" t="str">
        <f>wimbledons_champions!H194</f>
        <v>6-2, 6-2</v>
      </c>
      <c r="H182" t="str">
        <f>wimbledons_champions!S194</f>
        <v>K. McKane</v>
      </c>
      <c r="I182" t="str">
        <f>wimbledons_champions!T194</f>
        <v>GBR</v>
      </c>
      <c r="J182">
        <f>wimbledons_champions!V194</f>
        <v>0</v>
      </c>
    </row>
    <row r="183" spans="1:10" x14ac:dyDescent="0.4">
      <c r="A183">
        <f>wimbledons_champions!A195</f>
        <v>1923</v>
      </c>
      <c r="B183" t="str">
        <f>wimbledons_champions!B195</f>
        <v>Men's</v>
      </c>
      <c r="C183" s="13" t="str">
        <f>wimbledons_champions!C195</f>
        <v>W. M. Johnston</v>
      </c>
      <c r="D183" t="str">
        <f>wimbledons_champions!D195</f>
        <v>USA</v>
      </c>
      <c r="E183">
        <f>wimbledons_champions!F195</f>
        <v>0</v>
      </c>
      <c r="F183">
        <f>wimbledons_champions!G195</f>
        <v>46</v>
      </c>
      <c r="G183" t="str">
        <f>wimbledons_champions!H195</f>
        <v>6-0, 6-3, 6-1</v>
      </c>
      <c r="H183" t="str">
        <f>wimbledons_champions!S195</f>
        <v>F.T. Hunter</v>
      </c>
      <c r="I183" t="str">
        <f>wimbledons_champions!T195</f>
        <v>USA</v>
      </c>
      <c r="J183">
        <f>wimbledons_champions!V195</f>
        <v>0</v>
      </c>
    </row>
    <row r="184" spans="1:10" x14ac:dyDescent="0.4">
      <c r="A184">
        <f>wimbledons_champions!A196</f>
        <v>1922</v>
      </c>
      <c r="B184" t="str">
        <f>wimbledons_champions!B196</f>
        <v>Women's</v>
      </c>
      <c r="C184" s="9" t="str">
        <f>wimbledons_champions!C196</f>
        <v>S.R.F. Lenglen</v>
      </c>
      <c r="D184" t="str">
        <f>wimbledons_champions!D196</f>
        <v>FRA</v>
      </c>
      <c r="E184">
        <f>wimbledons_champions!F196</f>
        <v>0</v>
      </c>
      <c r="F184">
        <f>wimbledons_champions!G196</f>
        <v>23</v>
      </c>
      <c r="G184" t="str">
        <f>wimbledons_champions!H196</f>
        <v>6-2, 6-0</v>
      </c>
      <c r="H184" t="str">
        <f>wimbledons_champions!S196</f>
        <v>F.I. Mallory</v>
      </c>
      <c r="I184" t="str">
        <f>wimbledons_champions!T196</f>
        <v>USA</v>
      </c>
      <c r="J184">
        <f>wimbledons_champions!V196</f>
        <v>0</v>
      </c>
    </row>
    <row r="185" spans="1:10" x14ac:dyDescent="0.4">
      <c r="A185">
        <f>wimbledons_champions!A197</f>
        <v>1922</v>
      </c>
      <c r="B185" t="str">
        <f>wimbledons_champions!B197</f>
        <v>Men's</v>
      </c>
      <c r="C185" s="13" t="str">
        <f>wimbledons_champions!C197</f>
        <v>G.L. Patterson</v>
      </c>
      <c r="D185" t="str">
        <f>wimbledons_champions!D197</f>
        <v>AUS</v>
      </c>
      <c r="E185">
        <f>wimbledons_champions!F197</f>
        <v>0</v>
      </c>
      <c r="F185">
        <f>wimbledons_champions!G197</f>
        <v>0</v>
      </c>
      <c r="G185" t="str">
        <f>wimbledons_champions!H197</f>
        <v>6-3, 6-4, 6-2</v>
      </c>
      <c r="H185" t="str">
        <f>wimbledons_champions!S197</f>
        <v>R. Lycett</v>
      </c>
      <c r="I185" t="str">
        <f>wimbledons_champions!T197</f>
        <v>GBR</v>
      </c>
      <c r="J185">
        <f>wimbledons_champions!V197</f>
        <v>0</v>
      </c>
    </row>
    <row r="186" spans="1:10" x14ac:dyDescent="0.4">
      <c r="A186">
        <f>wimbledons_champions!A198</f>
        <v>1921</v>
      </c>
      <c r="B186" t="str">
        <f>wimbledons_champions!B198</f>
        <v>Women's</v>
      </c>
      <c r="C186" s="9" t="str">
        <f>wimbledons_champions!C198</f>
        <v>S.R.F. Lenglen</v>
      </c>
      <c r="D186" t="str">
        <f>wimbledons_champions!D198</f>
        <v>FRA</v>
      </c>
      <c r="E186">
        <f>wimbledons_champions!F198</f>
        <v>0</v>
      </c>
      <c r="F186">
        <f>wimbledons_champions!G198</f>
        <v>0</v>
      </c>
      <c r="G186" t="str">
        <f>wimbledons_champions!H198</f>
        <v>6-2, 6-0</v>
      </c>
      <c r="H186" t="str">
        <f>wimbledons_champions!S198</f>
        <v>E.M. Ryan</v>
      </c>
      <c r="I186" t="str">
        <f>wimbledons_champions!T198</f>
        <v>USA</v>
      </c>
      <c r="J186">
        <f>wimbledons_champions!V198</f>
        <v>0</v>
      </c>
    </row>
    <row r="187" spans="1:10" x14ac:dyDescent="0.4">
      <c r="A187">
        <f>wimbledons_champions!A199</f>
        <v>1921</v>
      </c>
      <c r="B187" t="str">
        <f>wimbledons_champions!B199</f>
        <v>Men's</v>
      </c>
      <c r="C187" s="13" t="str">
        <f>wimbledons_champions!C199</f>
        <v>W.T. Tilden</v>
      </c>
      <c r="D187" t="str">
        <f>wimbledons_champions!D199</f>
        <v>USA</v>
      </c>
      <c r="E187">
        <f>wimbledons_champions!F199</f>
        <v>0</v>
      </c>
      <c r="F187">
        <f>wimbledons_champions!G199</f>
        <v>0</v>
      </c>
      <c r="G187" t="str">
        <f>wimbledons_champions!H199</f>
        <v>4-6, 2-6, 6-1, 6-0, 7-5</v>
      </c>
      <c r="H187" t="str">
        <f>wimbledons_champions!S199</f>
        <v>B.I.C. Norton</v>
      </c>
      <c r="I187" t="str">
        <f>wimbledons_champions!T199</f>
        <v>RSA</v>
      </c>
      <c r="J187">
        <f>wimbledons_champions!V199</f>
        <v>0</v>
      </c>
    </row>
    <row r="188" spans="1:10" x14ac:dyDescent="0.4">
      <c r="A188">
        <f>wimbledons_champions!A200</f>
        <v>1920</v>
      </c>
      <c r="B188" t="str">
        <f>wimbledons_champions!B200</f>
        <v>Women's</v>
      </c>
      <c r="C188" s="9" t="str">
        <f>wimbledons_champions!C200</f>
        <v>S.R.F. Lenglen</v>
      </c>
      <c r="D188" t="str">
        <f>wimbledons_champions!D200</f>
        <v>FRA</v>
      </c>
      <c r="E188">
        <f>wimbledons_champions!F200</f>
        <v>0</v>
      </c>
      <c r="F188">
        <f>wimbledons_champions!G200</f>
        <v>0</v>
      </c>
      <c r="G188" t="str">
        <f>wimbledons_champions!H200</f>
        <v>6-3, 6-0</v>
      </c>
      <c r="H188" t="str">
        <f>wimbledons_champions!S200</f>
        <v>D.L. Chambers</v>
      </c>
      <c r="I188" t="str">
        <f>wimbledons_champions!T200</f>
        <v>GBR</v>
      </c>
      <c r="J188">
        <f>wimbledons_champions!V200</f>
        <v>0</v>
      </c>
    </row>
    <row r="189" spans="1:10" x14ac:dyDescent="0.4">
      <c r="A189">
        <f>wimbledons_champions!A201</f>
        <v>1920</v>
      </c>
      <c r="B189" t="str">
        <f>wimbledons_champions!B201</f>
        <v>Men's</v>
      </c>
      <c r="C189" s="13" t="str">
        <f>wimbledons_champions!C201</f>
        <v>W.T. Tilden</v>
      </c>
      <c r="D189" t="str">
        <f>wimbledons_champions!D201</f>
        <v>USA</v>
      </c>
      <c r="E189">
        <f>wimbledons_champions!F201</f>
        <v>0</v>
      </c>
      <c r="F189">
        <f>wimbledons_champions!G201</f>
        <v>0</v>
      </c>
      <c r="G189" t="str">
        <f>wimbledons_champions!H201</f>
        <v>2-6, 6-3, 6-2, 6-4</v>
      </c>
      <c r="H189" t="str">
        <f>wimbledons_champions!S201</f>
        <v>G.L. Patterson</v>
      </c>
      <c r="I189" t="str">
        <f>wimbledons_champions!T201</f>
        <v>AUS</v>
      </c>
      <c r="J189">
        <f>wimbledons_champions!V201</f>
        <v>0</v>
      </c>
    </row>
    <row r="190" spans="1:10" x14ac:dyDescent="0.4">
      <c r="A190">
        <f>wimbledons_champions!A202</f>
        <v>1919</v>
      </c>
      <c r="B190" t="str">
        <f>wimbledons_champions!B202</f>
        <v>Women's</v>
      </c>
      <c r="C190" s="9" t="str">
        <f>wimbledons_champions!C202</f>
        <v>S.R.F. Lenglen</v>
      </c>
      <c r="D190" t="str">
        <f>wimbledons_champions!D202</f>
        <v>FRA</v>
      </c>
      <c r="E190">
        <f>wimbledons_champions!F202</f>
        <v>0</v>
      </c>
      <c r="F190">
        <f>wimbledons_champions!G202</f>
        <v>125</v>
      </c>
      <c r="G190" t="str">
        <f>wimbledons_champions!H202</f>
        <v>10-8, 4-6, 9-7</v>
      </c>
      <c r="H190" t="str">
        <f>wimbledons_champions!S202</f>
        <v>D.L. Chambers</v>
      </c>
      <c r="I190" t="str">
        <f>wimbledons_champions!T202</f>
        <v>GBR</v>
      </c>
      <c r="J190">
        <f>wimbledons_champions!V202</f>
        <v>0</v>
      </c>
    </row>
    <row r="191" spans="1:10" x14ac:dyDescent="0.4">
      <c r="A191">
        <f>wimbledons_champions!A203</f>
        <v>1919</v>
      </c>
      <c r="B191" t="str">
        <f>wimbledons_champions!B203</f>
        <v>Men's</v>
      </c>
      <c r="C191" s="13" t="str">
        <f>wimbledons_champions!C203</f>
        <v>G.L. Patterson</v>
      </c>
      <c r="D191" t="str">
        <f>wimbledons_champions!D203</f>
        <v>AUS</v>
      </c>
      <c r="E191">
        <f>wimbledons_champions!F203</f>
        <v>0</v>
      </c>
      <c r="F191">
        <f>wimbledons_champions!G203</f>
        <v>0</v>
      </c>
      <c r="G191" t="str">
        <f>wimbledons_champions!H203</f>
        <v>6-3, 7-5, 6-2</v>
      </c>
      <c r="H191" t="str">
        <f>wimbledons_champions!S203</f>
        <v>N.E. Brookes</v>
      </c>
      <c r="I191" t="str">
        <f>wimbledons_champions!T203</f>
        <v>AUS</v>
      </c>
      <c r="J191">
        <f>wimbledons_champions!V203</f>
        <v>0</v>
      </c>
    </row>
    <row r="192" spans="1:10" x14ac:dyDescent="0.4">
      <c r="A192">
        <f>wimbledons_champions!A204</f>
        <v>1914</v>
      </c>
      <c r="B192" t="str">
        <f>wimbledons_champions!B204</f>
        <v>Women's</v>
      </c>
      <c r="C192" s="9" t="str">
        <f>wimbledons_champions!C204</f>
        <v>D.L. Chambers</v>
      </c>
      <c r="D192" t="str">
        <f>wimbledons_champions!D204</f>
        <v>GBR</v>
      </c>
      <c r="E192">
        <f>wimbledons_champions!F204</f>
        <v>0</v>
      </c>
      <c r="F192">
        <f>wimbledons_champions!G204</f>
        <v>0</v>
      </c>
      <c r="G192" t="str">
        <f>wimbledons_champions!H204</f>
        <v>7-5, 6-4</v>
      </c>
      <c r="H192" t="str">
        <f>wimbledons_champions!S204</f>
        <v>D.T.R. Larcombe</v>
      </c>
      <c r="I192" t="str">
        <f>wimbledons_champions!T204</f>
        <v>GBR</v>
      </c>
      <c r="J192">
        <f>wimbledons_champions!V204</f>
        <v>0</v>
      </c>
    </row>
    <row r="193" spans="1:10" x14ac:dyDescent="0.4">
      <c r="A193">
        <f>wimbledons_champions!A205</f>
        <v>1914</v>
      </c>
      <c r="B193" t="str">
        <f>wimbledons_champions!B205</f>
        <v>Men's</v>
      </c>
      <c r="C193" s="9" t="str">
        <f>wimbledons_champions!C205</f>
        <v>N.E. Brookes</v>
      </c>
      <c r="D193" t="str">
        <f>wimbledons_champions!D205</f>
        <v>AUS</v>
      </c>
      <c r="E193">
        <f>wimbledons_champions!F205</f>
        <v>0</v>
      </c>
      <c r="F193">
        <f>wimbledons_champions!G205</f>
        <v>0</v>
      </c>
      <c r="G193" t="str">
        <f>wimbledons_champions!H205</f>
        <v>6-4, 6-4, 7-5</v>
      </c>
      <c r="H193" t="str">
        <f>wimbledons_champions!S205</f>
        <v>A.F. Wilding</v>
      </c>
      <c r="I193" t="str">
        <f>wimbledons_champions!T205</f>
        <v>NZL</v>
      </c>
      <c r="J193">
        <f>wimbledons_champions!V205</f>
        <v>0</v>
      </c>
    </row>
    <row r="194" spans="1:10" x14ac:dyDescent="0.4">
      <c r="A194">
        <f>wimbledons_champions!A206</f>
        <v>1913</v>
      </c>
      <c r="B194" t="str">
        <f>wimbledons_champions!B206</f>
        <v>Women's</v>
      </c>
      <c r="C194" s="9" t="str">
        <f>wimbledons_champions!C206</f>
        <v>D.L. Chambers</v>
      </c>
      <c r="D194" t="str">
        <f>wimbledons_champions!D206</f>
        <v>GBR</v>
      </c>
      <c r="E194">
        <f>wimbledons_champions!F206</f>
        <v>0</v>
      </c>
      <c r="F194">
        <f>wimbledons_champions!G206</f>
        <v>0</v>
      </c>
      <c r="G194" t="str">
        <f>wimbledons_champions!H206</f>
        <v>6-0, 6-4</v>
      </c>
      <c r="H194" t="str">
        <f>wimbledons_champions!S206</f>
        <v>R.J. McNair</v>
      </c>
      <c r="I194" t="str">
        <f>wimbledons_champions!T206</f>
        <v>GBR</v>
      </c>
      <c r="J194">
        <f>wimbledons_champions!V206</f>
        <v>0</v>
      </c>
    </row>
    <row r="195" spans="1:10" x14ac:dyDescent="0.4">
      <c r="A195">
        <f>wimbledons_champions!A207</f>
        <v>1913</v>
      </c>
      <c r="B195" t="str">
        <f>wimbledons_champions!B207</f>
        <v>Men's</v>
      </c>
      <c r="C195" s="9" t="str">
        <f>wimbledons_champions!C207</f>
        <v>A.F. Wilding</v>
      </c>
      <c r="D195" t="str">
        <f>wimbledons_champions!D207</f>
        <v>NZL</v>
      </c>
      <c r="E195">
        <f>wimbledons_champions!F207</f>
        <v>0</v>
      </c>
      <c r="F195">
        <f>wimbledons_champions!G207</f>
        <v>0</v>
      </c>
      <c r="G195" t="str">
        <f>wimbledons_champions!H207</f>
        <v>8-6, 6-3, 10-8</v>
      </c>
      <c r="H195" t="str">
        <f>wimbledons_champions!S207</f>
        <v>M.E. McLoughlin</v>
      </c>
      <c r="I195" t="str">
        <f>wimbledons_champions!T207</f>
        <v>USA</v>
      </c>
      <c r="J195">
        <f>wimbledons_champions!V207</f>
        <v>0</v>
      </c>
    </row>
    <row r="196" spans="1:10" x14ac:dyDescent="0.4">
      <c r="A196">
        <f>wimbledons_champions!A208</f>
        <v>1912</v>
      </c>
      <c r="B196" t="str">
        <f>wimbledons_champions!B208</f>
        <v>Women's</v>
      </c>
      <c r="C196" s="9" t="str">
        <f>wimbledons_champions!C208</f>
        <v>D.T.R. Larcombe</v>
      </c>
      <c r="D196" t="str">
        <f>wimbledons_champions!D208</f>
        <v>GBR</v>
      </c>
      <c r="E196">
        <f>wimbledons_champions!F208</f>
        <v>0</v>
      </c>
      <c r="F196">
        <f>wimbledons_champions!G208</f>
        <v>0</v>
      </c>
      <c r="G196" t="str">
        <f>wimbledons_champions!H208</f>
        <v>6-3, 6-1</v>
      </c>
      <c r="H196" t="str">
        <f>wimbledons_champions!S208</f>
        <v>C.R. Cooper</v>
      </c>
      <c r="I196" t="str">
        <f>wimbledons_champions!T208</f>
        <v>GBR</v>
      </c>
      <c r="J196">
        <f>wimbledons_champions!V208</f>
        <v>0</v>
      </c>
    </row>
    <row r="197" spans="1:10" x14ac:dyDescent="0.4">
      <c r="A197">
        <f>wimbledons_champions!A209</f>
        <v>1912</v>
      </c>
      <c r="B197" t="str">
        <f>wimbledons_champions!B209</f>
        <v>Men's</v>
      </c>
      <c r="C197" s="9" t="str">
        <f>wimbledons_champions!C209</f>
        <v>A.F. Wilding</v>
      </c>
      <c r="D197" t="str">
        <f>wimbledons_champions!D209</f>
        <v>NZL</v>
      </c>
      <c r="E197">
        <f>wimbledons_champions!F209</f>
        <v>0</v>
      </c>
      <c r="F197">
        <f>wimbledons_champions!G209</f>
        <v>0</v>
      </c>
      <c r="G197" t="str">
        <f>wimbledons_champions!H209</f>
        <v>6-4, 6-4, 4-6, 6-4</v>
      </c>
      <c r="H197" t="str">
        <f>wimbledons_champions!S209</f>
        <v>A.W. Gore</v>
      </c>
      <c r="I197" t="str">
        <f>wimbledons_champions!T209</f>
        <v>GBR</v>
      </c>
      <c r="J197">
        <f>wimbledons_champions!V209</f>
        <v>0</v>
      </c>
    </row>
    <row r="198" spans="1:10" x14ac:dyDescent="0.4">
      <c r="A198">
        <f>wimbledons_champions!A210</f>
        <v>1911</v>
      </c>
      <c r="B198" t="str">
        <f>wimbledons_champions!B210</f>
        <v>Women's</v>
      </c>
      <c r="C198" s="9" t="str">
        <f>wimbledons_champions!C210</f>
        <v>D.L. Chambers</v>
      </c>
      <c r="D198" t="str">
        <f>wimbledons_champions!D210</f>
        <v>GBR</v>
      </c>
      <c r="E198">
        <f>wimbledons_champions!F210</f>
        <v>0</v>
      </c>
      <c r="F198">
        <f>wimbledons_champions!G210</f>
        <v>25</v>
      </c>
      <c r="G198" t="str">
        <f>wimbledons_champions!H210</f>
        <v>6-0, 6-0</v>
      </c>
      <c r="H198" t="str">
        <f>wimbledons_champions!S210</f>
        <v>P.D.H. Boothby</v>
      </c>
      <c r="I198" t="str">
        <f>wimbledons_champions!T210</f>
        <v>GBR</v>
      </c>
      <c r="J198">
        <f>wimbledons_champions!V210</f>
        <v>0</v>
      </c>
    </row>
    <row r="199" spans="1:10" x14ac:dyDescent="0.4">
      <c r="A199">
        <f>wimbledons_champions!A211</f>
        <v>1911</v>
      </c>
      <c r="B199" t="str">
        <f>wimbledons_champions!B211</f>
        <v>Men's</v>
      </c>
      <c r="C199" s="9" t="str">
        <f>wimbledons_champions!C211</f>
        <v>A.F. Wilding</v>
      </c>
      <c r="D199" t="str">
        <f>wimbledons_champions!D211</f>
        <v>NZL</v>
      </c>
      <c r="E199">
        <f>wimbledons_champions!F211</f>
        <v>0</v>
      </c>
      <c r="F199">
        <f>wimbledons_champions!G211</f>
        <v>0</v>
      </c>
      <c r="G199" t="str">
        <f>wimbledons_champions!H211</f>
        <v>6-4, 4-6, 2-6, 6-2, retd</v>
      </c>
      <c r="H199" t="str">
        <f>wimbledons_champions!S211</f>
        <v>H.R. Barrett</v>
      </c>
      <c r="I199" t="str">
        <f>wimbledons_champions!T211</f>
        <v>GBR</v>
      </c>
      <c r="J199">
        <f>wimbledons_champions!V211</f>
        <v>0</v>
      </c>
    </row>
    <row r="200" spans="1:10" x14ac:dyDescent="0.4">
      <c r="A200">
        <f>wimbledons_champions!A212</f>
        <v>1910</v>
      </c>
      <c r="B200" t="str">
        <f>wimbledons_champions!B212</f>
        <v>Women's</v>
      </c>
      <c r="C200" s="9" t="str">
        <f>wimbledons_champions!C212</f>
        <v>D.L. Chambers</v>
      </c>
      <c r="D200" t="str">
        <f>wimbledons_champions!D212</f>
        <v>GBR</v>
      </c>
      <c r="E200">
        <f>wimbledons_champions!F212</f>
        <v>0</v>
      </c>
      <c r="F200">
        <f>wimbledons_champions!G212</f>
        <v>0</v>
      </c>
      <c r="G200" t="str">
        <f>wimbledons_champions!H212</f>
        <v>6-2, 6-2</v>
      </c>
      <c r="H200" t="str">
        <f>wimbledons_champions!S212</f>
        <v>P.D.H. Boothby</v>
      </c>
      <c r="I200" t="str">
        <f>wimbledons_champions!T212</f>
        <v>GBR</v>
      </c>
      <c r="J200">
        <f>wimbledons_champions!V212</f>
        <v>0</v>
      </c>
    </row>
    <row r="201" spans="1:10" x14ac:dyDescent="0.4">
      <c r="A201">
        <f>wimbledons_champions!A213</f>
        <v>1910</v>
      </c>
      <c r="B201" t="str">
        <f>wimbledons_champions!B213</f>
        <v>Men's</v>
      </c>
      <c r="C201" s="9" t="str">
        <f>wimbledons_champions!C213</f>
        <v>A.F. Wilding</v>
      </c>
      <c r="D201" t="str">
        <f>wimbledons_champions!D213</f>
        <v>NZL</v>
      </c>
      <c r="E201">
        <f>wimbledons_champions!F213</f>
        <v>0</v>
      </c>
      <c r="F201">
        <f>wimbledons_champions!G213</f>
        <v>0</v>
      </c>
      <c r="G201" t="str">
        <f>wimbledons_champions!H213</f>
        <v>6-4, 7-5, 4-6, 6-2</v>
      </c>
      <c r="H201" t="str">
        <f>wimbledons_champions!S213</f>
        <v>A.W. Gore</v>
      </c>
      <c r="I201" t="str">
        <f>wimbledons_champions!T213</f>
        <v>GBR</v>
      </c>
      <c r="J201">
        <f>wimbledons_champions!V213</f>
        <v>0</v>
      </c>
    </row>
    <row r="202" spans="1:10" x14ac:dyDescent="0.4">
      <c r="A202">
        <f>wimbledons_champions!A214</f>
        <v>1909</v>
      </c>
      <c r="B202" t="str">
        <f>wimbledons_champions!B214</f>
        <v>Women's</v>
      </c>
      <c r="C202" s="9" t="str">
        <f>wimbledons_champions!C214</f>
        <v>P.D.H. Boothby</v>
      </c>
      <c r="D202" t="str">
        <f>wimbledons_champions!D214</f>
        <v>GBR</v>
      </c>
      <c r="E202">
        <f>wimbledons_champions!F214</f>
        <v>0</v>
      </c>
      <c r="F202">
        <f>wimbledons_champions!G214</f>
        <v>0</v>
      </c>
      <c r="G202" t="str">
        <f>wimbledons_champions!H214</f>
        <v>6-4, 4-6, 8-6</v>
      </c>
      <c r="H202" t="str">
        <f>wimbledons_champions!S214</f>
        <v>A.M. Morton</v>
      </c>
      <c r="I202" t="str">
        <f>wimbledons_champions!T214</f>
        <v>GBR</v>
      </c>
      <c r="J202">
        <f>wimbledons_champions!V214</f>
        <v>0</v>
      </c>
    </row>
    <row r="203" spans="1:10" x14ac:dyDescent="0.4">
      <c r="A203">
        <f>wimbledons_champions!A215</f>
        <v>1909</v>
      </c>
      <c r="B203" t="str">
        <f>wimbledons_champions!B215</f>
        <v>Men's</v>
      </c>
      <c r="C203" s="9" t="str">
        <f>wimbledons_champions!C215</f>
        <v>A.W. Gore</v>
      </c>
      <c r="D203" t="str">
        <f>wimbledons_champions!D215</f>
        <v>GBR</v>
      </c>
      <c r="E203">
        <f>wimbledons_champions!F215</f>
        <v>0</v>
      </c>
      <c r="F203">
        <f>wimbledons_champions!G215</f>
        <v>95</v>
      </c>
      <c r="G203" t="str">
        <f>wimbledons_champions!H215</f>
        <v>6-8, 1-6, 6-2, 6-2, 6-2</v>
      </c>
      <c r="H203" t="str">
        <f>wimbledons_champions!S215</f>
        <v>M.J.G. Ritchie</v>
      </c>
      <c r="I203" t="str">
        <f>wimbledons_champions!T215</f>
        <v>GBR</v>
      </c>
      <c r="J203">
        <f>wimbledons_champions!V215</f>
        <v>0</v>
      </c>
    </row>
    <row r="204" spans="1:10" x14ac:dyDescent="0.4">
      <c r="A204">
        <f>wimbledons_champions!A216</f>
        <v>1908</v>
      </c>
      <c r="B204" t="str">
        <f>wimbledons_champions!B216</f>
        <v>Women's</v>
      </c>
      <c r="C204" s="9" t="str">
        <f>wimbledons_champions!C216</f>
        <v>C.R. Cooper</v>
      </c>
      <c r="D204" t="str">
        <f>wimbledons_champions!D216</f>
        <v>GBR</v>
      </c>
      <c r="E204">
        <f>wimbledons_champions!F216</f>
        <v>0</v>
      </c>
      <c r="F204">
        <f>wimbledons_champions!G216</f>
        <v>0</v>
      </c>
      <c r="G204" t="str">
        <f>wimbledons_champions!H216</f>
        <v>6-4, 6-4</v>
      </c>
      <c r="H204" t="str">
        <f>wimbledons_champions!S216</f>
        <v>A.M. Morton</v>
      </c>
      <c r="I204" t="str">
        <f>wimbledons_champions!T216</f>
        <v>GBR</v>
      </c>
      <c r="J204">
        <f>wimbledons_champions!V216</f>
        <v>0</v>
      </c>
    </row>
    <row r="205" spans="1:10" x14ac:dyDescent="0.4">
      <c r="A205">
        <f>wimbledons_champions!A217</f>
        <v>1908</v>
      </c>
      <c r="B205" t="str">
        <f>wimbledons_champions!B217</f>
        <v>Men's</v>
      </c>
      <c r="C205" s="9" t="str">
        <f>wimbledons_champions!C217</f>
        <v>A.W. Gore</v>
      </c>
      <c r="D205" t="str">
        <f>wimbledons_champions!D217</f>
        <v>GBR</v>
      </c>
      <c r="E205">
        <f>wimbledons_champions!F217</f>
        <v>0</v>
      </c>
      <c r="F205">
        <f>wimbledons_champions!G217</f>
        <v>0</v>
      </c>
      <c r="G205" t="str">
        <f>wimbledons_champions!H217</f>
        <v>6-3, 6-2, 4-6, 3-6, 6-4</v>
      </c>
      <c r="H205" t="str">
        <f>wimbledons_champions!S217</f>
        <v>H.R. Barrett</v>
      </c>
      <c r="I205" t="str">
        <f>wimbledons_champions!T217</f>
        <v>GBR</v>
      </c>
      <c r="J205">
        <f>wimbledons_champions!V217</f>
        <v>0</v>
      </c>
    </row>
    <row r="206" spans="1:10" x14ac:dyDescent="0.4">
      <c r="A206">
        <f>wimbledons_champions!A218</f>
        <v>1907</v>
      </c>
      <c r="B206" t="str">
        <f>wimbledons_champions!B218</f>
        <v>Women's</v>
      </c>
      <c r="C206" s="9" t="str">
        <f>wimbledons_champions!C218</f>
        <v>M.G. Sutton</v>
      </c>
      <c r="D206" t="str">
        <f>wimbledons_champions!D218</f>
        <v>USA</v>
      </c>
      <c r="E206">
        <f>wimbledons_champions!F218</f>
        <v>0</v>
      </c>
      <c r="F206">
        <f>wimbledons_champions!G218</f>
        <v>0</v>
      </c>
      <c r="G206" t="str">
        <f>wimbledons_champions!H218</f>
        <v>6-1, 6-4</v>
      </c>
      <c r="H206" t="str">
        <f>wimbledons_champions!S218</f>
        <v>D.L. Chambers</v>
      </c>
      <c r="I206" t="str">
        <f>wimbledons_champions!T218</f>
        <v>GBR</v>
      </c>
      <c r="J206">
        <f>wimbledons_champions!V218</f>
        <v>0</v>
      </c>
    </row>
    <row r="207" spans="1:10" x14ac:dyDescent="0.4">
      <c r="A207">
        <f>wimbledons_champions!A219</f>
        <v>1907</v>
      </c>
      <c r="B207" t="str">
        <f>wimbledons_champions!B219</f>
        <v>Men's</v>
      </c>
      <c r="C207" s="9" t="str">
        <f>wimbledons_champions!C219</f>
        <v>N.E. Brookes</v>
      </c>
      <c r="D207" t="str">
        <f>wimbledons_champions!D219</f>
        <v>AUS</v>
      </c>
      <c r="E207">
        <f>wimbledons_champions!F219</f>
        <v>0</v>
      </c>
      <c r="F207">
        <f>wimbledons_champions!G219</f>
        <v>0</v>
      </c>
      <c r="G207" t="str">
        <f>wimbledons_champions!H219</f>
        <v>6-4, 6-2, 6-2</v>
      </c>
      <c r="H207" t="str">
        <f>wimbledons_champions!S219</f>
        <v>A.W. Gore</v>
      </c>
      <c r="I207" t="str">
        <f>wimbledons_champions!T219</f>
        <v>GBR</v>
      </c>
      <c r="J207">
        <f>wimbledons_champions!V219</f>
        <v>0</v>
      </c>
    </row>
    <row r="208" spans="1:10" x14ac:dyDescent="0.4">
      <c r="A208">
        <f>wimbledons_champions!A220</f>
        <v>1906</v>
      </c>
      <c r="B208" t="str">
        <f>wimbledons_champions!B220</f>
        <v>Women's</v>
      </c>
      <c r="C208" s="14" t="str">
        <f>wimbledons_champions!C220</f>
        <v>D.L. Chambers</v>
      </c>
      <c r="D208" t="str">
        <f>wimbledons_champions!D220</f>
        <v>GBR</v>
      </c>
      <c r="E208">
        <f>wimbledons_champions!F220</f>
        <v>0</v>
      </c>
      <c r="F208">
        <f>wimbledons_champions!G220</f>
        <v>57</v>
      </c>
      <c r="G208" t="str">
        <f>wimbledons_champions!H220</f>
        <v>6-3, 9-7</v>
      </c>
      <c r="H208" t="str">
        <f>wimbledons_champions!S220</f>
        <v>M.G. Sutton</v>
      </c>
      <c r="I208" t="str">
        <f>wimbledons_champions!T220</f>
        <v>USA</v>
      </c>
      <c r="J208">
        <f>wimbledons_champions!V220</f>
        <v>0</v>
      </c>
    </row>
    <row r="209" spans="1:10" x14ac:dyDescent="0.4">
      <c r="A209">
        <f>wimbledons_champions!A221</f>
        <v>1906</v>
      </c>
      <c r="B209" t="str">
        <f>wimbledons_champions!B221</f>
        <v>Men's</v>
      </c>
      <c r="C209" s="9" t="str">
        <f>wimbledons_champions!C221</f>
        <v>H.L. Doherty</v>
      </c>
      <c r="D209" t="str">
        <f>wimbledons_champions!D221</f>
        <v>GBR</v>
      </c>
      <c r="E209">
        <f>wimbledons_champions!F221</f>
        <v>0</v>
      </c>
      <c r="F209">
        <f>wimbledons_champions!G221</f>
        <v>74</v>
      </c>
      <c r="G209" t="str">
        <f>wimbledons_champions!H221</f>
        <v>6-4, 4-6, 6-2, 6-3</v>
      </c>
      <c r="H209" t="str">
        <f>wimbledons_champions!S221</f>
        <v>F.L. Riseley</v>
      </c>
      <c r="I209" t="str">
        <f>wimbledons_champions!T221</f>
        <v>GBR</v>
      </c>
      <c r="J209">
        <f>wimbledons_champions!V221</f>
        <v>0</v>
      </c>
    </row>
    <row r="210" spans="1:10" x14ac:dyDescent="0.4">
      <c r="A210">
        <f>wimbledons_champions!A222</f>
        <v>1905</v>
      </c>
      <c r="B210" t="str">
        <f>wimbledons_champions!B222</f>
        <v>Women's</v>
      </c>
      <c r="C210" s="14" t="str">
        <f>wimbledons_champions!C222</f>
        <v>M.G. Sutton</v>
      </c>
      <c r="D210" t="str">
        <f>wimbledons_champions!D222</f>
        <v>USA</v>
      </c>
      <c r="E210">
        <f>wimbledons_champions!F222</f>
        <v>0</v>
      </c>
      <c r="F210">
        <f>wimbledons_champions!G222</f>
        <v>0</v>
      </c>
      <c r="G210" t="str">
        <f>wimbledons_champions!H222</f>
        <v>6-3, 6-4</v>
      </c>
      <c r="H210" t="str">
        <f>wimbledons_champions!S222</f>
        <v>D.L. Chambers</v>
      </c>
      <c r="I210" t="str">
        <f>wimbledons_champions!T222</f>
        <v>GBR</v>
      </c>
      <c r="J210">
        <f>wimbledons_champions!V222</f>
        <v>0</v>
      </c>
    </row>
    <row r="211" spans="1:10" x14ac:dyDescent="0.4">
      <c r="A211">
        <f>wimbledons_champions!A223</f>
        <v>1905</v>
      </c>
      <c r="B211" t="str">
        <f>wimbledons_champions!B223</f>
        <v>Men's</v>
      </c>
      <c r="C211" s="9" t="str">
        <f>wimbledons_champions!C223</f>
        <v>H.L. Doherty</v>
      </c>
      <c r="D211" t="str">
        <f>wimbledons_champions!D223</f>
        <v>GBR</v>
      </c>
      <c r="E211">
        <f>wimbledons_champions!F223</f>
        <v>0</v>
      </c>
      <c r="F211">
        <f>wimbledons_champions!G223</f>
        <v>65</v>
      </c>
      <c r="G211" t="str">
        <f>wimbledons_champions!H223</f>
        <v>8-6, 6-2, 6-4</v>
      </c>
      <c r="H211" t="str">
        <f>wimbledons_champions!S223</f>
        <v>N.E. Brookes</v>
      </c>
      <c r="I211" t="str">
        <f>wimbledons_champions!T223</f>
        <v>AUS</v>
      </c>
      <c r="J211">
        <f>wimbledons_champions!V223</f>
        <v>0</v>
      </c>
    </row>
    <row r="212" spans="1:10" x14ac:dyDescent="0.4">
      <c r="A212">
        <f>wimbledons_champions!A224</f>
        <v>1904</v>
      </c>
      <c r="B212" t="str">
        <f>wimbledons_champions!B224</f>
        <v>Women's</v>
      </c>
      <c r="C212" s="14" t="str">
        <f>wimbledons_champions!C224</f>
        <v>D.L. Chambers</v>
      </c>
      <c r="D212" t="str">
        <f>wimbledons_champions!D224</f>
        <v>GBR</v>
      </c>
      <c r="E212">
        <f>wimbledons_champions!F224</f>
        <v>0</v>
      </c>
      <c r="F212">
        <f>wimbledons_champions!G224</f>
        <v>0</v>
      </c>
      <c r="G212" t="str">
        <f>wimbledons_champions!H224</f>
        <v>6-0, 6-3</v>
      </c>
      <c r="H212" t="str">
        <f>wimbledons_champions!S224</f>
        <v>C.R. Cooper</v>
      </c>
      <c r="I212" t="str">
        <f>wimbledons_champions!T224</f>
        <v>GBR</v>
      </c>
      <c r="J212">
        <f>wimbledons_champions!V224</f>
        <v>0</v>
      </c>
    </row>
    <row r="213" spans="1:10" x14ac:dyDescent="0.4">
      <c r="A213">
        <f>wimbledons_champions!A225</f>
        <v>1904</v>
      </c>
      <c r="B213" t="str">
        <f>wimbledons_champions!B225</f>
        <v>Men's</v>
      </c>
      <c r="C213" s="9" t="str">
        <f>wimbledons_champions!C225</f>
        <v>H.L. Doherty</v>
      </c>
      <c r="D213" t="str">
        <f>wimbledons_champions!D225</f>
        <v>GBR</v>
      </c>
      <c r="E213">
        <f>wimbledons_champions!F225</f>
        <v>0</v>
      </c>
      <c r="F213">
        <f>wimbledons_champions!G225</f>
        <v>0</v>
      </c>
      <c r="G213" t="str">
        <f>wimbledons_champions!H225</f>
        <v>6-1, 7-5, 8-6</v>
      </c>
      <c r="H213" t="str">
        <f>wimbledons_champions!S225</f>
        <v>F.L. Riseley</v>
      </c>
      <c r="I213" t="str">
        <f>wimbledons_champions!T225</f>
        <v>GBR</v>
      </c>
      <c r="J213">
        <f>wimbledons_champions!V225</f>
        <v>0</v>
      </c>
    </row>
    <row r="214" spans="1:10" x14ac:dyDescent="0.4">
      <c r="A214">
        <f>wimbledons_champions!A226</f>
        <v>1903</v>
      </c>
      <c r="B214" t="str">
        <f>wimbledons_champions!B226</f>
        <v>Women's</v>
      </c>
      <c r="C214" s="14" t="str">
        <f>wimbledons_champions!C226</f>
        <v>D.L. Chambers</v>
      </c>
      <c r="D214" t="str">
        <f>wimbledons_champions!D226</f>
        <v>GBR</v>
      </c>
      <c r="E214">
        <f>wimbledons_champions!F226</f>
        <v>0</v>
      </c>
      <c r="F214">
        <f>wimbledons_champions!G226</f>
        <v>0</v>
      </c>
      <c r="G214" t="str">
        <f>wimbledons_champions!H226</f>
        <v>4-6, 6-4, 6-2</v>
      </c>
      <c r="H214" t="str">
        <f>wimbledons_champions!S226</f>
        <v>E.W. Thomson</v>
      </c>
      <c r="I214" t="str">
        <f>wimbledons_champions!T226</f>
        <v>GBR</v>
      </c>
      <c r="J214">
        <f>wimbledons_champions!V226</f>
        <v>0</v>
      </c>
    </row>
    <row r="215" spans="1:10" x14ac:dyDescent="0.4">
      <c r="A215">
        <f>wimbledons_champions!A227</f>
        <v>1903</v>
      </c>
      <c r="B215" t="str">
        <f>wimbledons_champions!B227</f>
        <v>Men's</v>
      </c>
      <c r="C215" s="9" t="str">
        <f>wimbledons_champions!C227</f>
        <v>H.L. Doherty</v>
      </c>
      <c r="D215" t="str">
        <f>wimbledons_champions!D227</f>
        <v>GBR</v>
      </c>
      <c r="E215">
        <f>wimbledons_champions!F227</f>
        <v>0</v>
      </c>
      <c r="F215">
        <f>wimbledons_champions!G227</f>
        <v>0</v>
      </c>
      <c r="G215" t="str">
        <f>wimbledons_champions!H227</f>
        <v>7-5, 6-3, 6-0</v>
      </c>
      <c r="H215" t="str">
        <f>wimbledons_champions!S227</f>
        <v>F.L. Riseley</v>
      </c>
      <c r="I215" t="str">
        <f>wimbledons_champions!T227</f>
        <v>GBR</v>
      </c>
      <c r="J215">
        <f>wimbledons_champions!V227</f>
        <v>0</v>
      </c>
    </row>
    <row r="216" spans="1:10" x14ac:dyDescent="0.4">
      <c r="A216">
        <f>wimbledons_champions!A228</f>
        <v>1902</v>
      </c>
      <c r="B216" t="str">
        <f>wimbledons_champions!B228</f>
        <v>Women's</v>
      </c>
      <c r="C216" s="14" t="str">
        <f>wimbledons_champions!C228</f>
        <v>M.E. Robb</v>
      </c>
      <c r="D216" t="str">
        <f>wimbledons_champions!D228</f>
        <v>GBR</v>
      </c>
      <c r="E216">
        <f>wimbledons_champions!F228</f>
        <v>0</v>
      </c>
      <c r="F216">
        <f>wimbledons_champions!G228</f>
        <v>0</v>
      </c>
      <c r="G216" t="str">
        <f>wimbledons_champions!H228</f>
        <v>7-5, 6-1</v>
      </c>
      <c r="H216" t="str">
        <f>wimbledons_champions!S228</f>
        <v>C.R. Cooper</v>
      </c>
      <c r="I216" t="str">
        <f>wimbledons_champions!T228</f>
        <v>GBR</v>
      </c>
      <c r="J216">
        <f>wimbledons_champions!V228</f>
        <v>0</v>
      </c>
    </row>
    <row r="217" spans="1:10" x14ac:dyDescent="0.4">
      <c r="A217">
        <f>wimbledons_champions!A229</f>
        <v>1902</v>
      </c>
      <c r="B217" t="str">
        <f>wimbledons_champions!B229</f>
        <v>Men's</v>
      </c>
      <c r="C217" s="9" t="str">
        <f>wimbledons_champions!C229</f>
        <v>H.L. Doherty</v>
      </c>
      <c r="D217" t="str">
        <f>wimbledons_champions!D229</f>
        <v>GBR</v>
      </c>
      <c r="E217">
        <f>wimbledons_champions!F229</f>
        <v>0</v>
      </c>
      <c r="F217">
        <f>wimbledons_champions!G229</f>
        <v>84</v>
      </c>
      <c r="G217" t="str">
        <f>wimbledons_champions!H229</f>
        <v>6-4, 6-3, 3-6, 6-0</v>
      </c>
      <c r="H217" t="str">
        <f>wimbledons_champions!S229</f>
        <v>A.W. Gore</v>
      </c>
      <c r="I217" t="str">
        <f>wimbledons_champions!T229</f>
        <v>GBR</v>
      </c>
      <c r="J217">
        <f>wimbledons_champions!V229</f>
        <v>0</v>
      </c>
    </row>
    <row r="218" spans="1:10" x14ac:dyDescent="0.4">
      <c r="A218">
        <f>wimbledons_champions!A230</f>
        <v>1901</v>
      </c>
      <c r="B218" t="str">
        <f>wimbledons_champions!B230</f>
        <v>Women's</v>
      </c>
      <c r="C218" s="9" t="str">
        <f>wimbledons_champions!C230</f>
        <v>C.R. Cooper</v>
      </c>
      <c r="D218" t="str">
        <f>wimbledons_champions!D230</f>
        <v>GBR</v>
      </c>
      <c r="E218">
        <f>wimbledons_champions!F230</f>
        <v>0</v>
      </c>
      <c r="F218">
        <f>wimbledons_champions!G230</f>
        <v>0</v>
      </c>
      <c r="G218" t="str">
        <f>wimbledons_champions!H230</f>
        <v>6-2, 6-2</v>
      </c>
      <c r="H218" t="str">
        <f>wimbledons_champions!S230</f>
        <v>G.W. Hillyard</v>
      </c>
      <c r="I218" t="str">
        <f>wimbledons_champions!T230</f>
        <v>GBR</v>
      </c>
      <c r="J218">
        <f>wimbledons_champions!V230</f>
        <v>0</v>
      </c>
    </row>
    <row r="219" spans="1:10" x14ac:dyDescent="0.4">
      <c r="A219">
        <f>wimbledons_champions!A231</f>
        <v>1901</v>
      </c>
      <c r="B219" t="str">
        <f>wimbledons_champions!B231</f>
        <v>Men's</v>
      </c>
      <c r="C219" s="9" t="str">
        <f>wimbledons_champions!C231</f>
        <v>A.W. Gore</v>
      </c>
      <c r="D219" t="str">
        <f>wimbledons_champions!D231</f>
        <v>GBR</v>
      </c>
      <c r="E219">
        <f>wimbledons_champions!F231</f>
        <v>0</v>
      </c>
      <c r="F219">
        <f>wimbledons_champions!G231</f>
        <v>95</v>
      </c>
      <c r="G219" t="str">
        <f>wimbledons_champions!H231</f>
        <v>4-6, 7-5, 6-4, 6-4</v>
      </c>
      <c r="H219" t="str">
        <f>wimbledons_champions!S231</f>
        <v>R.F. Doherty</v>
      </c>
      <c r="I219" t="str">
        <f>wimbledons_champions!T231</f>
        <v>GBR</v>
      </c>
      <c r="J219">
        <f>wimbledons_champions!V231</f>
        <v>0</v>
      </c>
    </row>
    <row r="220" spans="1:10" x14ac:dyDescent="0.4">
      <c r="A220">
        <f>wimbledons_champions!A232</f>
        <v>1900</v>
      </c>
      <c r="B220" t="str">
        <f>wimbledons_champions!B232</f>
        <v>Women's</v>
      </c>
      <c r="C220" s="9" t="str">
        <f>wimbledons_champions!C232</f>
        <v>G.W. Hillyard</v>
      </c>
      <c r="D220" t="str">
        <f>wimbledons_champions!D232</f>
        <v>GBR</v>
      </c>
      <c r="E220">
        <f>wimbledons_champions!F232</f>
        <v>0</v>
      </c>
      <c r="F220">
        <f>wimbledons_champions!G232</f>
        <v>0</v>
      </c>
      <c r="G220" t="str">
        <f>wimbledons_champions!H232</f>
        <v>4-6, 6-4, 6-4</v>
      </c>
      <c r="H220" t="str">
        <f>wimbledons_champions!S232</f>
        <v>C.R. Cooper</v>
      </c>
      <c r="I220" t="str">
        <f>wimbledons_champions!T232</f>
        <v>GBR</v>
      </c>
      <c r="J220">
        <f>wimbledons_champions!V232</f>
        <v>0</v>
      </c>
    </row>
    <row r="221" spans="1:10" x14ac:dyDescent="0.4">
      <c r="A221">
        <f>wimbledons_champions!A233</f>
        <v>1900</v>
      </c>
      <c r="B221" t="str">
        <f>wimbledons_champions!B233</f>
        <v>Men's</v>
      </c>
      <c r="C221" s="14" t="str">
        <f>wimbledons_champions!C233</f>
        <v>R.F. Doherty</v>
      </c>
      <c r="D221" t="str">
        <f>wimbledons_champions!D233</f>
        <v>GBR</v>
      </c>
      <c r="E221">
        <f>wimbledons_champions!F233</f>
        <v>0</v>
      </c>
      <c r="F221">
        <f>wimbledons_champions!G233</f>
        <v>0</v>
      </c>
      <c r="G221" t="str">
        <f>wimbledons_champions!H233</f>
        <v>6-8, 6-3, 6-1, 6-2</v>
      </c>
      <c r="H221" t="str">
        <f>wimbledons_champions!S233</f>
        <v>S.H. Smith</v>
      </c>
      <c r="I221" t="str">
        <f>wimbledons_champions!T233</f>
        <v>GBR</v>
      </c>
      <c r="J221">
        <f>wimbledons_champions!V233</f>
        <v>0</v>
      </c>
    </row>
    <row r="222" spans="1:10" x14ac:dyDescent="0.4">
      <c r="A222">
        <f>wimbledons_champions!A234</f>
        <v>1899</v>
      </c>
      <c r="B222" t="str">
        <f>wimbledons_champions!B234</f>
        <v>Women's</v>
      </c>
      <c r="C222" s="9" t="str">
        <f>wimbledons_champions!C234</f>
        <v>G.W. Hillyard</v>
      </c>
      <c r="D222" t="str">
        <f>wimbledons_champions!D234</f>
        <v>GBR</v>
      </c>
      <c r="E222">
        <f>wimbledons_champions!F234</f>
        <v>0</v>
      </c>
      <c r="F222">
        <f>wimbledons_champions!G234</f>
        <v>0</v>
      </c>
      <c r="G222" t="str">
        <f>wimbledons_champions!H234</f>
        <v>6-2, 6-3</v>
      </c>
      <c r="H222" t="str">
        <f>wimbledons_champions!S234</f>
        <v>C.R. Cooper</v>
      </c>
      <c r="I222" t="str">
        <f>wimbledons_champions!T234</f>
        <v>GBR</v>
      </c>
      <c r="J222">
        <f>wimbledons_champions!V234</f>
        <v>0</v>
      </c>
    </row>
    <row r="223" spans="1:10" x14ac:dyDescent="0.4">
      <c r="A223">
        <f>wimbledons_champions!A235</f>
        <v>1899</v>
      </c>
      <c r="B223" t="str">
        <f>wimbledons_champions!B235</f>
        <v>Men's</v>
      </c>
      <c r="C223" s="14" t="str">
        <f>wimbledons_champions!C235</f>
        <v>R.F. Doherty</v>
      </c>
      <c r="D223" t="str">
        <f>wimbledons_champions!D235</f>
        <v>GBR</v>
      </c>
      <c r="E223">
        <f>wimbledons_champions!F235</f>
        <v>0</v>
      </c>
      <c r="F223">
        <f>wimbledons_champions!G235</f>
        <v>0</v>
      </c>
      <c r="G223" t="str">
        <f>wimbledons_champions!H235</f>
        <v>1-6, 4-6, 6-3, 6-3, 6-3</v>
      </c>
      <c r="H223" t="str">
        <f>wimbledons_champions!S235</f>
        <v>A.W. Gore</v>
      </c>
      <c r="I223" t="str">
        <f>wimbledons_champions!T235</f>
        <v>GBR</v>
      </c>
      <c r="J223">
        <f>wimbledons_champions!V235</f>
        <v>0</v>
      </c>
    </row>
    <row r="224" spans="1:10" x14ac:dyDescent="0.4">
      <c r="A224">
        <f>wimbledons_champions!A236</f>
        <v>1898</v>
      </c>
      <c r="B224" t="str">
        <f>wimbledons_champions!B236</f>
        <v>Women's</v>
      </c>
      <c r="C224" s="9" t="str">
        <f>wimbledons_champions!C236</f>
        <v>C.R. Cooper</v>
      </c>
      <c r="D224" t="str">
        <f>wimbledons_champions!D236</f>
        <v>GBR</v>
      </c>
      <c r="E224">
        <f>wimbledons_champions!F236</f>
        <v>0</v>
      </c>
      <c r="F224">
        <f>wimbledons_champions!G236</f>
        <v>0</v>
      </c>
      <c r="G224" t="str">
        <f>wimbledons_champions!H236</f>
        <v>6-4, 6-4</v>
      </c>
      <c r="H224" t="str">
        <f>wimbledons_champions!S236</f>
        <v>M.L.Martin</v>
      </c>
      <c r="I224" t="str">
        <f>wimbledons_champions!T236</f>
        <v>GBR</v>
      </c>
      <c r="J224">
        <f>wimbledons_champions!V236</f>
        <v>0</v>
      </c>
    </row>
    <row r="225" spans="1:10" x14ac:dyDescent="0.4">
      <c r="A225">
        <f>wimbledons_champions!A237</f>
        <v>1898</v>
      </c>
      <c r="B225" t="str">
        <f>wimbledons_champions!B237</f>
        <v>Men's</v>
      </c>
      <c r="C225" s="9" t="str">
        <f>wimbledons_champions!C237</f>
        <v>R.F. Doherty</v>
      </c>
      <c r="D225" t="str">
        <f>wimbledons_champions!D237</f>
        <v>GBR</v>
      </c>
      <c r="E225">
        <f>wimbledons_champions!F237</f>
        <v>0</v>
      </c>
      <c r="F225">
        <f>wimbledons_champions!G237</f>
        <v>55</v>
      </c>
      <c r="G225" t="str">
        <f>wimbledons_champions!H237</f>
        <v>6-3, 6-3, 2-6, 5-7, 6-1</v>
      </c>
      <c r="H225" t="str">
        <f>wimbledons_champions!S237</f>
        <v>H.L. Doherty</v>
      </c>
      <c r="I225" t="str">
        <f>wimbledons_champions!T237</f>
        <v>GBR</v>
      </c>
      <c r="J225">
        <f>wimbledons_champions!V237</f>
        <v>0</v>
      </c>
    </row>
    <row r="226" spans="1:10" x14ac:dyDescent="0.4">
      <c r="A226">
        <f>wimbledons_champions!A238</f>
        <v>1897</v>
      </c>
      <c r="B226" t="str">
        <f>wimbledons_champions!B238</f>
        <v>Women's</v>
      </c>
      <c r="C226" s="9" t="str">
        <f>wimbledons_champions!C238</f>
        <v>G.W. Hillyard</v>
      </c>
      <c r="D226" t="str">
        <f>wimbledons_champions!D238</f>
        <v>GBR</v>
      </c>
      <c r="E226">
        <f>wimbledons_champions!F238</f>
        <v>0</v>
      </c>
      <c r="F226">
        <f>wimbledons_champions!G238</f>
        <v>0</v>
      </c>
      <c r="G226" t="str">
        <f>wimbledons_champions!H238</f>
        <v>5-7, 7-5, 6-2</v>
      </c>
      <c r="H226" t="str">
        <f>wimbledons_champions!S238</f>
        <v>C.R. Cooper</v>
      </c>
      <c r="I226" t="str">
        <f>wimbledons_champions!T238</f>
        <v>GBR</v>
      </c>
      <c r="J226">
        <f>wimbledons_champions!V238</f>
        <v>0</v>
      </c>
    </row>
    <row r="227" spans="1:10" x14ac:dyDescent="0.4">
      <c r="A227">
        <f>wimbledons_champions!A239</f>
        <v>1897</v>
      </c>
      <c r="B227" t="str">
        <f>wimbledons_champions!B239</f>
        <v>Men's</v>
      </c>
      <c r="C227" s="14" t="str">
        <f>wimbledons_champions!C239</f>
        <v>R.F. Doherty</v>
      </c>
      <c r="D227" t="str">
        <f>wimbledons_champions!D239</f>
        <v>GBR</v>
      </c>
      <c r="E227">
        <f>wimbledons_champions!F239</f>
        <v>0</v>
      </c>
      <c r="F227">
        <f>wimbledons_champions!G239</f>
        <v>67</v>
      </c>
      <c r="G227" t="str">
        <f>wimbledons_champions!H239</f>
        <v>6-4, 6-4, 6-3</v>
      </c>
      <c r="H227" t="str">
        <f>wimbledons_champions!S239</f>
        <v>H.S. Mahony</v>
      </c>
      <c r="I227" t="str">
        <f>wimbledons_champions!T239</f>
        <v>GBR</v>
      </c>
      <c r="J227">
        <f>wimbledons_champions!V239</f>
        <v>0</v>
      </c>
    </row>
    <row r="228" spans="1:10" x14ac:dyDescent="0.4">
      <c r="A228">
        <f>wimbledons_champions!A240</f>
        <v>1896</v>
      </c>
      <c r="B228" t="str">
        <f>wimbledons_champions!B240</f>
        <v>Women's</v>
      </c>
      <c r="C228" s="9" t="str">
        <f>wimbledons_champions!C240</f>
        <v>C.R. Cooper</v>
      </c>
      <c r="D228" t="str">
        <f>wimbledons_champions!D240</f>
        <v>GBR</v>
      </c>
      <c r="E228">
        <f>wimbledons_champions!F240</f>
        <v>0</v>
      </c>
      <c r="F228">
        <f>wimbledons_champions!G240</f>
        <v>0</v>
      </c>
      <c r="G228" t="str">
        <f>wimbledons_champions!H240</f>
        <v>6-2, 6-3</v>
      </c>
      <c r="H228" t="str">
        <f>wimbledons_champions!S240</f>
        <v>W.H. Pickering</v>
      </c>
      <c r="I228" t="str">
        <f>wimbledons_champions!T240</f>
        <v>GBR</v>
      </c>
      <c r="J228">
        <f>wimbledons_champions!V240</f>
        <v>0</v>
      </c>
    </row>
    <row r="229" spans="1:10" x14ac:dyDescent="0.4">
      <c r="A229">
        <f>wimbledons_champions!A241</f>
        <v>1896</v>
      </c>
      <c r="B229" t="str">
        <f>wimbledons_champions!B241</f>
        <v>Men's</v>
      </c>
      <c r="C229" s="9" t="str">
        <f>wimbledons_champions!C241</f>
        <v>H.S. Mahony</v>
      </c>
      <c r="D229" t="str">
        <f>wimbledons_champions!D241</f>
        <v>GBR</v>
      </c>
      <c r="E229">
        <f>wimbledons_champions!F241</f>
        <v>0</v>
      </c>
      <c r="F229">
        <f>wimbledons_champions!G241</f>
        <v>120</v>
      </c>
      <c r="G229" t="str">
        <f>wimbledons_champions!H241</f>
        <v>6-2, 6-8, 5-7, 8-6, 6-3</v>
      </c>
      <c r="H229" t="str">
        <f>wimbledons_champions!S241</f>
        <v>W. Baddeley</v>
      </c>
      <c r="I229" t="str">
        <f>wimbledons_champions!T241</f>
        <v>GBR</v>
      </c>
      <c r="J229">
        <f>wimbledons_champions!V241</f>
        <v>0</v>
      </c>
    </row>
    <row r="230" spans="1:10" x14ac:dyDescent="0.4">
      <c r="A230">
        <f>wimbledons_champions!A242</f>
        <v>1895</v>
      </c>
      <c r="B230" t="str">
        <f>wimbledons_champions!B242</f>
        <v>Women's</v>
      </c>
      <c r="C230" s="9" t="str">
        <f>wimbledons_champions!C242</f>
        <v>C.R. Cooper</v>
      </c>
      <c r="D230" t="str">
        <f>wimbledons_champions!D242</f>
        <v>GBR</v>
      </c>
      <c r="E230">
        <f>wimbledons_champions!F242</f>
        <v>0</v>
      </c>
      <c r="F230">
        <f>wimbledons_champions!G242</f>
        <v>0</v>
      </c>
      <c r="G230" t="str">
        <f>wimbledons_champions!H242</f>
        <v>7-5, 8-6</v>
      </c>
      <c r="H230" t="str">
        <f>wimbledons_champions!S242</f>
        <v>H. Jackson</v>
      </c>
      <c r="I230" t="str">
        <f>wimbledons_champions!T242</f>
        <v>GBR</v>
      </c>
      <c r="J230">
        <f>wimbledons_champions!V242</f>
        <v>0</v>
      </c>
    </row>
    <row r="231" spans="1:10" x14ac:dyDescent="0.4">
      <c r="A231">
        <f>wimbledons_champions!A243</f>
        <v>1895</v>
      </c>
      <c r="B231" t="str">
        <f>wimbledons_champions!B243</f>
        <v>Men's</v>
      </c>
      <c r="C231" s="9" t="str">
        <f>wimbledons_champions!C243</f>
        <v>W. Baddeley</v>
      </c>
      <c r="D231" t="str">
        <f>wimbledons_champions!D243</f>
        <v>GBR</v>
      </c>
      <c r="E231">
        <f>wimbledons_champions!F243</f>
        <v>0</v>
      </c>
      <c r="F231">
        <f>wimbledons_champions!G243</f>
        <v>95</v>
      </c>
      <c r="G231" t="str">
        <f>wimbledons_champions!H243</f>
        <v>4-6, 2-6, 8-6, 6-2, 6-3</v>
      </c>
      <c r="H231" t="str">
        <f>wimbledons_champions!S243</f>
        <v>W.V. Eaves</v>
      </c>
      <c r="I231" t="str">
        <f>wimbledons_champions!T243</f>
        <v>GBR</v>
      </c>
      <c r="J231">
        <f>wimbledons_champions!V243</f>
        <v>0</v>
      </c>
    </row>
    <row r="232" spans="1:10" x14ac:dyDescent="0.4">
      <c r="A232">
        <f>wimbledons_champions!A244</f>
        <v>1894</v>
      </c>
      <c r="B232" t="str">
        <f>wimbledons_champions!B244</f>
        <v>Women's</v>
      </c>
      <c r="C232" s="9" t="str">
        <f>wimbledons_champions!C244</f>
        <v>G.W. Hillyard</v>
      </c>
      <c r="D232" t="str">
        <f>wimbledons_champions!D244</f>
        <v>GBR</v>
      </c>
      <c r="E232">
        <f>wimbledons_champions!F244</f>
        <v>0</v>
      </c>
      <c r="F232">
        <f>wimbledons_champions!G244</f>
        <v>0</v>
      </c>
      <c r="G232" t="str">
        <f>wimbledons_champions!H244</f>
        <v>6-1, 6-1</v>
      </c>
      <c r="H232" t="str">
        <f>wimbledons_champions!S244</f>
        <v>E.L. Austin</v>
      </c>
      <c r="I232" t="str">
        <f>wimbledons_champions!T244</f>
        <v>GBR</v>
      </c>
      <c r="J232">
        <f>wimbledons_champions!V244</f>
        <v>0</v>
      </c>
    </row>
    <row r="233" spans="1:10" x14ac:dyDescent="0.4">
      <c r="A233">
        <f>wimbledons_champions!A245</f>
        <v>1894</v>
      </c>
      <c r="B233" t="str">
        <f>wimbledons_champions!B245</f>
        <v>Men's</v>
      </c>
      <c r="C233" s="14" t="str">
        <f>wimbledons_champions!C245</f>
        <v>J. Pim</v>
      </c>
      <c r="D233" t="str">
        <f>wimbledons_champions!D245</f>
        <v>GBR</v>
      </c>
      <c r="E233">
        <f>wimbledons_champions!F245</f>
        <v>0</v>
      </c>
      <c r="F233">
        <f>wimbledons_champions!G245</f>
        <v>117</v>
      </c>
      <c r="G233" t="str">
        <f>wimbledons_champions!H245</f>
        <v>10-8, 6-2, 8-6</v>
      </c>
      <c r="H233" t="str">
        <f>wimbledons_champions!S245</f>
        <v>W. Baddeley</v>
      </c>
      <c r="I233" t="str">
        <f>wimbledons_champions!T245</f>
        <v>GBR</v>
      </c>
      <c r="J233">
        <f>wimbledons_champions!V245</f>
        <v>0</v>
      </c>
    </row>
    <row r="234" spans="1:10" x14ac:dyDescent="0.4">
      <c r="A234">
        <f>wimbledons_champions!A246</f>
        <v>1893</v>
      </c>
      <c r="B234" t="str">
        <f>wimbledons_champions!B246</f>
        <v>Women's</v>
      </c>
      <c r="C234" s="9" t="str">
        <f>wimbledons_champions!C246</f>
        <v>C. Dod</v>
      </c>
      <c r="D234" t="str">
        <f>wimbledons_champions!D246</f>
        <v>GBR</v>
      </c>
      <c r="E234">
        <f>wimbledons_champions!F246</f>
        <v>0</v>
      </c>
      <c r="F234">
        <f>wimbledons_champions!G246</f>
        <v>0</v>
      </c>
      <c r="G234" t="str">
        <f>wimbledons_champions!H246</f>
        <v>6-8, 6-1, 6-4</v>
      </c>
      <c r="H234" t="str">
        <f>wimbledons_champions!S246</f>
        <v>G.W. Hillyard</v>
      </c>
      <c r="I234" t="str">
        <f>wimbledons_champions!T246</f>
        <v>GBR</v>
      </c>
      <c r="J234">
        <f>wimbledons_champions!V246</f>
        <v>0</v>
      </c>
    </row>
    <row r="235" spans="1:10" x14ac:dyDescent="0.4">
      <c r="A235">
        <f>wimbledons_champions!A247</f>
        <v>1893</v>
      </c>
      <c r="B235" t="str">
        <f>wimbledons_champions!B247</f>
        <v>Men's</v>
      </c>
      <c r="C235" s="14" t="str">
        <f>wimbledons_champions!C247</f>
        <v>J. Pim</v>
      </c>
      <c r="D235" t="str">
        <f>wimbledons_champions!D247</f>
        <v>GBR</v>
      </c>
      <c r="E235">
        <f>wimbledons_champions!F247</f>
        <v>0</v>
      </c>
      <c r="F235">
        <f>wimbledons_champions!G247</f>
        <v>65</v>
      </c>
      <c r="G235" t="str">
        <f>wimbledons_champions!H247</f>
        <v>3-6, 6-1, 6-3, 6-2</v>
      </c>
      <c r="H235" t="str">
        <f>wimbledons_champions!S247</f>
        <v>W. Baddeley</v>
      </c>
      <c r="I235" t="str">
        <f>wimbledons_champions!T247</f>
        <v>GBR</v>
      </c>
      <c r="J235">
        <f>wimbledons_champions!V247</f>
        <v>0</v>
      </c>
    </row>
    <row r="236" spans="1:10" x14ac:dyDescent="0.4">
      <c r="A236">
        <f>wimbledons_champions!A248</f>
        <v>1892</v>
      </c>
      <c r="B236" t="str">
        <f>wimbledons_champions!B248</f>
        <v>Women's</v>
      </c>
      <c r="C236" s="9" t="str">
        <f>wimbledons_champions!C248</f>
        <v>C. Dod</v>
      </c>
      <c r="D236" t="str">
        <f>wimbledons_champions!D248</f>
        <v>GBR</v>
      </c>
      <c r="E236">
        <f>wimbledons_champions!F248</f>
        <v>0</v>
      </c>
      <c r="F236">
        <f>wimbledons_champions!G248</f>
        <v>0</v>
      </c>
      <c r="G236" t="str">
        <f>wimbledons_champions!H248</f>
        <v>6-1, 6-1</v>
      </c>
      <c r="H236" t="str">
        <f>wimbledons_champions!S248</f>
        <v>G.W. Hillyard</v>
      </c>
      <c r="I236" t="str">
        <f>wimbledons_champions!T248</f>
        <v>GBR</v>
      </c>
      <c r="J236">
        <f>wimbledons_champions!V248</f>
        <v>0</v>
      </c>
    </row>
    <row r="237" spans="1:10" x14ac:dyDescent="0.4">
      <c r="A237">
        <f>wimbledons_champions!A249</f>
        <v>1892</v>
      </c>
      <c r="B237" t="str">
        <f>wimbledons_champions!B249</f>
        <v>Men's</v>
      </c>
      <c r="C237" s="14" t="str">
        <f>wimbledons_champions!C249</f>
        <v>W. Baddeley</v>
      </c>
      <c r="D237" t="str">
        <f>wimbledons_champions!D249</f>
        <v>GBR</v>
      </c>
      <c r="E237">
        <f>wimbledons_champions!F249</f>
        <v>0</v>
      </c>
      <c r="F237">
        <f>wimbledons_champions!G249</f>
        <v>75</v>
      </c>
      <c r="G237" t="str">
        <f>wimbledons_champions!H249</f>
        <v>4-6, 6-3, 6-3, 6-2</v>
      </c>
      <c r="H237" t="str">
        <f>wimbledons_champions!S249</f>
        <v>J. Pim</v>
      </c>
      <c r="I237" t="str">
        <f>wimbledons_champions!T249</f>
        <v>GBR</v>
      </c>
      <c r="J237">
        <f>wimbledons_champions!V249</f>
        <v>0</v>
      </c>
    </row>
    <row r="238" spans="1:10" x14ac:dyDescent="0.4">
      <c r="A238">
        <f>wimbledons_champions!A250</f>
        <v>1891</v>
      </c>
      <c r="B238" t="str">
        <f>wimbledons_champions!B250</f>
        <v>Women's</v>
      </c>
      <c r="C238" s="9" t="str">
        <f>wimbledons_champions!C250</f>
        <v>C. Dod</v>
      </c>
      <c r="D238" t="str">
        <f>wimbledons_champions!D250</f>
        <v>GBR</v>
      </c>
      <c r="E238">
        <f>wimbledons_champions!F250</f>
        <v>0</v>
      </c>
      <c r="F238">
        <f>wimbledons_champions!G250</f>
        <v>0</v>
      </c>
      <c r="G238" t="str">
        <f>wimbledons_champions!H250</f>
        <v>6-2, 6-1</v>
      </c>
      <c r="H238" t="str">
        <f>wimbledons_champions!S250</f>
        <v>G.W. Hillyard</v>
      </c>
      <c r="I238" t="str">
        <f>wimbledons_champions!T250</f>
        <v>GBR</v>
      </c>
      <c r="J238">
        <f>wimbledons_champions!V250</f>
        <v>0</v>
      </c>
    </row>
    <row r="239" spans="1:10" x14ac:dyDescent="0.4">
      <c r="A239">
        <f>wimbledons_champions!A251</f>
        <v>1891</v>
      </c>
      <c r="B239" t="str">
        <f>wimbledons_champions!B251</f>
        <v>Men's</v>
      </c>
      <c r="C239" s="14" t="str">
        <f>wimbledons_champions!C251</f>
        <v>W. Baddeley</v>
      </c>
      <c r="D239" t="str">
        <f>wimbledons_champions!D251</f>
        <v>GBR</v>
      </c>
      <c r="E239">
        <f>wimbledons_champions!F251</f>
        <v>0</v>
      </c>
      <c r="F239">
        <f>wimbledons_champions!G251</f>
        <v>0</v>
      </c>
      <c r="G239" t="str">
        <f>wimbledons_champions!H251</f>
        <v>6-4, 1-6, 7-5, 6-0</v>
      </c>
      <c r="H239" t="str">
        <f>wimbledons_champions!S251</f>
        <v>J. Pim</v>
      </c>
      <c r="I239" t="str">
        <f>wimbledons_champions!T251</f>
        <v>GBR</v>
      </c>
      <c r="J239">
        <f>wimbledons_champions!V251</f>
        <v>0</v>
      </c>
    </row>
    <row r="240" spans="1:10" x14ac:dyDescent="0.4">
      <c r="A240">
        <f>wimbledons_champions!A252</f>
        <v>1890</v>
      </c>
      <c r="B240" t="str">
        <f>wimbledons_champions!B252</f>
        <v>Women's</v>
      </c>
      <c r="C240" s="9" t="str">
        <f>wimbledons_champions!C252</f>
        <v>H.G.B. Rice</v>
      </c>
      <c r="D240" t="str">
        <f>wimbledons_champions!D252</f>
        <v>GBR</v>
      </c>
      <c r="E240">
        <f>wimbledons_champions!F252</f>
        <v>0</v>
      </c>
      <c r="F240">
        <f>wimbledons_champions!G252</f>
        <v>0</v>
      </c>
      <c r="G240" t="str">
        <f>wimbledons_champions!H252</f>
        <v>6-4, 6-1</v>
      </c>
      <c r="H240" t="str">
        <f>wimbledons_champions!S252</f>
        <v>M. Jacks</v>
      </c>
      <c r="I240" t="str">
        <f>wimbledons_champions!T252</f>
        <v>GBR</v>
      </c>
      <c r="J240">
        <f>wimbledons_champions!V252</f>
        <v>0</v>
      </c>
    </row>
    <row r="241" spans="1:10" x14ac:dyDescent="0.4">
      <c r="A241">
        <f>wimbledons_champions!A253</f>
        <v>1890</v>
      </c>
      <c r="B241" t="str">
        <f>wimbledons_champions!B253</f>
        <v>Men's</v>
      </c>
      <c r="C241" s="9" t="str">
        <f>wimbledons_champions!C253</f>
        <v>W.J. Hamilton</v>
      </c>
      <c r="D241" t="str">
        <f>wimbledons_champions!D253</f>
        <v>GBR</v>
      </c>
      <c r="E241">
        <f>wimbledons_champions!F253</f>
        <v>0</v>
      </c>
      <c r="F241">
        <f>wimbledons_champions!G253</f>
        <v>96</v>
      </c>
      <c r="G241" t="str">
        <f>wimbledons_champions!H253</f>
        <v>6-8, 6-2, 3-6, 6-1, 6-1</v>
      </c>
      <c r="H241" t="str">
        <f>wimbledons_champions!S253</f>
        <v>W.C. Renshaw</v>
      </c>
      <c r="I241" t="str">
        <f>wimbledons_champions!T253</f>
        <v>GBR</v>
      </c>
      <c r="J241">
        <f>wimbledons_champions!V253</f>
        <v>0</v>
      </c>
    </row>
    <row r="242" spans="1:10" x14ac:dyDescent="0.4">
      <c r="A242">
        <f>wimbledons_champions!A254</f>
        <v>1889</v>
      </c>
      <c r="B242" t="str">
        <f>wimbledons_champions!B254</f>
        <v>Women's</v>
      </c>
      <c r="C242" s="13" t="str">
        <f>wimbledons_champions!C254</f>
        <v>G.W. Hillyard</v>
      </c>
      <c r="D242" t="str">
        <f>wimbledons_champions!D254</f>
        <v>GBR</v>
      </c>
      <c r="E242">
        <f>wimbledons_champions!F254</f>
        <v>0</v>
      </c>
      <c r="F242">
        <f>wimbledons_champions!G254</f>
        <v>0</v>
      </c>
      <c r="G242" t="str">
        <f>wimbledons_champions!H254</f>
        <v>4-6, 8-6, 6-4</v>
      </c>
      <c r="H242" t="str">
        <f>wimbledons_champions!S254</f>
        <v>H.G.B. Rice</v>
      </c>
      <c r="I242" t="str">
        <f>wimbledons_champions!T254</f>
        <v>GBR</v>
      </c>
      <c r="J242">
        <f>wimbledons_champions!V254</f>
        <v>0</v>
      </c>
    </row>
    <row r="243" spans="1:10" x14ac:dyDescent="0.4">
      <c r="A243">
        <f>wimbledons_champions!A255</f>
        <v>1889</v>
      </c>
      <c r="B243" t="str">
        <f>wimbledons_champions!B255</f>
        <v>Men's</v>
      </c>
      <c r="C243" s="14" t="str">
        <f>wimbledons_champions!C255</f>
        <v>W.C. Renshaw</v>
      </c>
      <c r="D243" t="str">
        <f>wimbledons_champions!D255</f>
        <v>GBR</v>
      </c>
      <c r="E243">
        <f>wimbledons_champions!F255</f>
        <v>0</v>
      </c>
      <c r="F243">
        <f>wimbledons_champions!G255</f>
        <v>63</v>
      </c>
      <c r="G243" t="str">
        <f>wimbledons_champions!H255</f>
        <v>6-4, 6-1, 3-6, 6-0</v>
      </c>
      <c r="H243" t="str">
        <f>wimbledons_champions!S255</f>
        <v>J.E. Renshaw</v>
      </c>
      <c r="I243" t="str">
        <f>wimbledons_champions!T255</f>
        <v>GBR</v>
      </c>
      <c r="J243">
        <f>wimbledons_champions!V255</f>
        <v>0</v>
      </c>
    </row>
    <row r="244" spans="1:10" x14ac:dyDescent="0.4">
      <c r="A244">
        <f>wimbledons_champions!A256</f>
        <v>1888</v>
      </c>
      <c r="B244" t="str">
        <f>wimbledons_champions!B256</f>
        <v>Women's</v>
      </c>
      <c r="C244" s="9" t="str">
        <f>wimbledons_champions!C256</f>
        <v>C. Dod</v>
      </c>
      <c r="D244" t="str">
        <f>wimbledons_champions!D256</f>
        <v>GBR</v>
      </c>
      <c r="E244">
        <f>wimbledons_champions!F256</f>
        <v>0</v>
      </c>
      <c r="F244">
        <f>wimbledons_champions!G256</f>
        <v>0</v>
      </c>
      <c r="G244" t="str">
        <f>wimbledons_champions!H256</f>
        <v>6-3, 6-3</v>
      </c>
      <c r="H244" t="str">
        <f>wimbledons_champions!S256</f>
        <v>G.W. Hillyard</v>
      </c>
      <c r="I244" t="str">
        <f>wimbledons_champions!T256</f>
        <v>GBR</v>
      </c>
      <c r="J244">
        <f>wimbledons_champions!V256</f>
        <v>0</v>
      </c>
    </row>
    <row r="245" spans="1:10" x14ac:dyDescent="0.4">
      <c r="A245">
        <f>wimbledons_champions!A257</f>
        <v>1888</v>
      </c>
      <c r="B245" t="str">
        <f>wimbledons_champions!B257</f>
        <v>Men's</v>
      </c>
      <c r="C245" s="14" t="str">
        <f>wimbledons_champions!C257</f>
        <v>J.E. Renshaw</v>
      </c>
      <c r="D245" t="str">
        <f>wimbledons_champions!D257</f>
        <v>GBR</v>
      </c>
      <c r="E245">
        <f>wimbledons_champions!F257</f>
        <v>0</v>
      </c>
      <c r="F245">
        <f>wimbledons_champions!G257</f>
        <v>51</v>
      </c>
      <c r="G245" t="str">
        <f>wimbledons_champions!H257</f>
        <v>6-3, 7-5, 6-0</v>
      </c>
      <c r="H245" t="str">
        <f>wimbledons_champions!S257</f>
        <v>H.F. Lawford</v>
      </c>
      <c r="I245" t="str">
        <f>wimbledons_champions!T257</f>
        <v>GBR</v>
      </c>
      <c r="J245">
        <f>wimbledons_champions!V257</f>
        <v>0</v>
      </c>
    </row>
    <row r="246" spans="1:10" x14ac:dyDescent="0.4">
      <c r="A246">
        <f>wimbledons_champions!A258</f>
        <v>1887</v>
      </c>
      <c r="B246" t="str">
        <f>wimbledons_champions!B258</f>
        <v>Women's</v>
      </c>
      <c r="C246" s="9" t="str">
        <f>wimbledons_champions!C258</f>
        <v>C. Dod</v>
      </c>
      <c r="D246" t="str">
        <f>wimbledons_champions!D258</f>
        <v>GBR</v>
      </c>
      <c r="E246">
        <f>wimbledons_champions!F258</f>
        <v>0</v>
      </c>
      <c r="F246">
        <f>wimbledons_champions!G258</f>
        <v>0</v>
      </c>
      <c r="G246" t="str">
        <f>wimbledons_champions!H258</f>
        <v>6-2, 6-0</v>
      </c>
      <c r="H246" t="str">
        <f>wimbledons_champions!S258</f>
        <v>G.W. Hillyard</v>
      </c>
      <c r="I246" t="str">
        <f>wimbledons_champions!T258</f>
        <v>GBR</v>
      </c>
      <c r="J246">
        <f>wimbledons_champions!V258</f>
        <v>0</v>
      </c>
    </row>
    <row r="247" spans="1:10" x14ac:dyDescent="0.4">
      <c r="A247">
        <f>wimbledons_champions!A259</f>
        <v>1887</v>
      </c>
      <c r="B247" t="str">
        <f>wimbledons_champions!B259</f>
        <v>Men's</v>
      </c>
      <c r="C247" s="14" t="str">
        <f>wimbledons_champions!C259</f>
        <v>H.F. Lawford</v>
      </c>
      <c r="D247" t="str">
        <f>wimbledons_champions!D259</f>
        <v>GBR</v>
      </c>
      <c r="E247">
        <f>wimbledons_champions!F259</f>
        <v>0</v>
      </c>
      <c r="F247">
        <f>wimbledons_champions!G259</f>
        <v>120</v>
      </c>
      <c r="G247" t="str">
        <f>wimbledons_champions!H259</f>
        <v>1-6, 6-3, 3-6, 6-4, 6-4</v>
      </c>
      <c r="H247" t="str">
        <f>wimbledons_champions!S259</f>
        <v>J.E. Renshaw</v>
      </c>
      <c r="I247" t="str">
        <f>wimbledons_champions!T259</f>
        <v>GBR</v>
      </c>
      <c r="J247">
        <f>wimbledons_champions!V259</f>
        <v>0</v>
      </c>
    </row>
    <row r="248" spans="1:10" x14ac:dyDescent="0.4">
      <c r="A248">
        <f>wimbledons_champions!A260</f>
        <v>1886</v>
      </c>
      <c r="B248" t="str">
        <f>wimbledons_champions!B260</f>
        <v>Women's</v>
      </c>
      <c r="C248" s="13" t="str">
        <f>wimbledons_champions!C260</f>
        <v>G.W. Hillyard</v>
      </c>
      <c r="D248" t="str">
        <f>wimbledons_champions!D260</f>
        <v>GBR</v>
      </c>
      <c r="E248">
        <f>wimbledons_champions!F260</f>
        <v>0</v>
      </c>
      <c r="F248">
        <f>wimbledons_champions!G260</f>
        <v>0</v>
      </c>
      <c r="G248" t="str">
        <f>wimbledons_champions!H260</f>
        <v>6-3, 6-3</v>
      </c>
      <c r="H248" t="str">
        <f>wimbledons_champions!S260</f>
        <v>M.E.E. Watson</v>
      </c>
      <c r="I248" t="str">
        <f>wimbledons_champions!T260</f>
        <v>GBR</v>
      </c>
      <c r="J248">
        <f>wimbledons_champions!V260</f>
        <v>0</v>
      </c>
    </row>
    <row r="249" spans="1:10" x14ac:dyDescent="0.4">
      <c r="A249">
        <f>wimbledons_champions!A261</f>
        <v>1886</v>
      </c>
      <c r="B249" t="str">
        <f>wimbledons_champions!B261</f>
        <v>Men's</v>
      </c>
      <c r="C249" s="9" t="str">
        <f>wimbledons_champions!C261</f>
        <v>W.C. Renshaw</v>
      </c>
      <c r="D249" t="str">
        <f>wimbledons_champions!D261</f>
        <v>GBR</v>
      </c>
      <c r="E249">
        <f>wimbledons_champions!F261</f>
        <v>0</v>
      </c>
      <c r="F249">
        <f>wimbledons_champions!G261</f>
        <v>96</v>
      </c>
      <c r="G249" t="str">
        <f>wimbledons_champions!H261</f>
        <v>6-0, 5-7, 6-3, 6-4</v>
      </c>
      <c r="H249" t="str">
        <f>wimbledons_champions!S261</f>
        <v>H.F. Lawford</v>
      </c>
      <c r="I249" t="str">
        <f>wimbledons_champions!T261</f>
        <v>GBR</v>
      </c>
      <c r="J249">
        <f>wimbledons_champions!V261</f>
        <v>0</v>
      </c>
    </row>
    <row r="250" spans="1:10" x14ac:dyDescent="0.4">
      <c r="A250">
        <f>wimbledons_champions!A262</f>
        <v>1885</v>
      </c>
      <c r="B250" t="str">
        <f>wimbledons_champions!B262</f>
        <v>Women's</v>
      </c>
      <c r="C250" s="13" t="str">
        <f>wimbledons_champions!C262</f>
        <v>M.E.E. Watson</v>
      </c>
      <c r="D250" t="str">
        <f>wimbledons_champions!D262</f>
        <v>GBR</v>
      </c>
      <c r="E250">
        <f>wimbledons_champions!F262</f>
        <v>0</v>
      </c>
      <c r="F250">
        <f>wimbledons_champions!G262</f>
        <v>0</v>
      </c>
      <c r="G250" t="str">
        <f>wimbledons_champions!H262</f>
        <v>6-1, 7-5</v>
      </c>
      <c r="H250" t="str">
        <f>wimbledons_champions!S262</f>
        <v>G.W. Hillyard</v>
      </c>
      <c r="I250" t="str">
        <f>wimbledons_champions!T262</f>
        <v>GBR</v>
      </c>
      <c r="J250">
        <f>wimbledons_champions!V262</f>
        <v>0</v>
      </c>
    </row>
    <row r="251" spans="1:10" x14ac:dyDescent="0.4">
      <c r="A251">
        <f>wimbledons_champions!A263</f>
        <v>1885</v>
      </c>
      <c r="B251" t="str">
        <f>wimbledons_champions!B263</f>
        <v>Men's</v>
      </c>
      <c r="C251" s="9" t="str">
        <f>wimbledons_champions!C263</f>
        <v>W.C. Renshaw</v>
      </c>
      <c r="D251" t="str">
        <f>wimbledons_champions!D263</f>
        <v>GBR</v>
      </c>
      <c r="E251">
        <f>wimbledons_champions!F263</f>
        <v>0</v>
      </c>
      <c r="F251">
        <f>wimbledons_champions!G263</f>
        <v>122</v>
      </c>
      <c r="G251" t="str">
        <f>wimbledons_champions!H263</f>
        <v>7-5, 6-2, 4-6, 7-5</v>
      </c>
      <c r="H251" t="str">
        <f>wimbledons_champions!S263</f>
        <v>H.F. Lawford</v>
      </c>
      <c r="I251" t="str">
        <f>wimbledons_champions!T263</f>
        <v>GBR</v>
      </c>
      <c r="J251">
        <f>wimbledons_champions!V263</f>
        <v>0</v>
      </c>
    </row>
    <row r="252" spans="1:10" x14ac:dyDescent="0.4">
      <c r="A252">
        <f>wimbledons_champions!A264</f>
        <v>1884</v>
      </c>
      <c r="B252" t="str">
        <f>wimbledons_champions!B264</f>
        <v>Women's</v>
      </c>
      <c r="C252" s="13" t="str">
        <f>wimbledons_champions!C264</f>
        <v>M.E.E. Watson</v>
      </c>
      <c r="D252" t="str">
        <f>wimbledons_champions!D264</f>
        <v>GBR</v>
      </c>
      <c r="E252">
        <f>wimbledons_champions!F264</f>
        <v>0</v>
      </c>
      <c r="F252">
        <f>wimbledons_champions!G264</f>
        <v>0</v>
      </c>
      <c r="G252" t="str">
        <f>wimbledons_champions!H264</f>
        <v>6-8, 6-3, 6-3</v>
      </c>
      <c r="H252" t="str">
        <f>wimbledons_champions!S264</f>
        <v>L.M. Watson</v>
      </c>
      <c r="I252" t="str">
        <f>wimbledons_champions!T264</f>
        <v>GBR</v>
      </c>
      <c r="J252">
        <f>wimbledons_champions!V264</f>
        <v>0</v>
      </c>
    </row>
    <row r="253" spans="1:10" x14ac:dyDescent="0.4">
      <c r="A253">
        <f>wimbledons_champions!A265</f>
        <v>1884</v>
      </c>
      <c r="B253" t="str">
        <f>wimbledons_champions!B265</f>
        <v>Men's</v>
      </c>
      <c r="C253" s="9" t="str">
        <f>wimbledons_champions!C265</f>
        <v>W.C. Renshaw</v>
      </c>
      <c r="D253" t="str">
        <f>wimbledons_champions!D265</f>
        <v>GBR</v>
      </c>
      <c r="E253">
        <f>wimbledons_champions!F265</f>
        <v>0</v>
      </c>
      <c r="F253">
        <f>wimbledons_champions!G265</f>
        <v>69</v>
      </c>
      <c r="G253" t="str">
        <f>wimbledons_champions!H265</f>
        <v>6-0, 6-4, 9-7</v>
      </c>
      <c r="H253" t="str">
        <f>wimbledons_champions!S265</f>
        <v>H.F. Lawford</v>
      </c>
      <c r="I253" t="str">
        <f>wimbledons_champions!T265</f>
        <v>GBR</v>
      </c>
      <c r="J253">
        <f>wimbledons_champions!V265</f>
        <v>0</v>
      </c>
    </row>
    <row r="254" spans="1:10" x14ac:dyDescent="0.4">
      <c r="A254">
        <f>wimbledons_champions!A266</f>
        <v>1883</v>
      </c>
      <c r="B254" t="str">
        <f>wimbledons_champions!B266</f>
        <v>Men's</v>
      </c>
      <c r="C254" s="13" t="str">
        <f>wimbledons_champions!C266</f>
        <v>W.C. Renshaw</v>
      </c>
      <c r="D254" t="str">
        <f>wimbledons_champions!D266</f>
        <v>GBR</v>
      </c>
      <c r="E254">
        <f>wimbledons_champions!F266</f>
        <v>0</v>
      </c>
      <c r="F254">
        <f>wimbledons_champions!G266</f>
        <v>89</v>
      </c>
      <c r="G254" t="str">
        <f>wimbledons_champions!H266</f>
        <v>2-6, 6-3, 6-3, 4-6, 6-3</v>
      </c>
      <c r="H254" t="str">
        <f>wimbledons_champions!S266</f>
        <v>J.E. Renshaw</v>
      </c>
      <c r="I254" t="str">
        <f>wimbledons_champions!T266</f>
        <v>GBR</v>
      </c>
      <c r="J254">
        <f>wimbledons_champions!V266</f>
        <v>0</v>
      </c>
    </row>
    <row r="255" spans="1:10" x14ac:dyDescent="0.4">
      <c r="A255">
        <f>wimbledons_champions!A267</f>
        <v>1882</v>
      </c>
      <c r="B255" t="str">
        <f>wimbledons_champions!B267</f>
        <v>Men's</v>
      </c>
      <c r="C255" s="13" t="str">
        <f>wimbledons_champions!C267</f>
        <v>W.C. Renshaw</v>
      </c>
      <c r="D255" t="str">
        <f>wimbledons_champions!D267</f>
        <v>GBR</v>
      </c>
      <c r="E255">
        <f>wimbledons_champions!F267</f>
        <v>0</v>
      </c>
      <c r="F255">
        <f>wimbledons_champions!G267</f>
        <v>85</v>
      </c>
      <c r="G255" t="str">
        <f>wimbledons_champions!H267</f>
        <v>6-1, 2-6, 4-6, 6-2, 6-2</v>
      </c>
      <c r="H255" t="str">
        <f>wimbledons_champions!S267</f>
        <v>J.E. Renshaw</v>
      </c>
      <c r="I255" t="str">
        <f>wimbledons_champions!T267</f>
        <v>GBR</v>
      </c>
      <c r="J255">
        <f>wimbledons_champions!V267</f>
        <v>0</v>
      </c>
    </row>
    <row r="256" spans="1:10" x14ac:dyDescent="0.4">
      <c r="A256">
        <f>wimbledons_champions!A268</f>
        <v>1881</v>
      </c>
      <c r="B256" t="str">
        <f>wimbledons_champions!B268</f>
        <v>Men's</v>
      </c>
      <c r="C256" s="13" t="str">
        <f>wimbledons_champions!C268</f>
        <v>W.C. Renshaw</v>
      </c>
      <c r="D256" t="str">
        <f>wimbledons_champions!D268</f>
        <v>GBR</v>
      </c>
      <c r="E256">
        <f>wimbledons_champions!F268</f>
        <v>0</v>
      </c>
      <c r="F256">
        <f>wimbledons_champions!G268</f>
        <v>37</v>
      </c>
      <c r="G256" t="str">
        <f>wimbledons_champions!H268</f>
        <v>6-0, 6-1, 6-1</v>
      </c>
      <c r="H256" t="str">
        <f>wimbledons_champions!S268</f>
        <v>J.T. Hartley</v>
      </c>
      <c r="I256" t="str">
        <f>wimbledons_champions!T268</f>
        <v>GBR</v>
      </c>
      <c r="J256">
        <f>wimbledons_champions!V268</f>
        <v>0</v>
      </c>
    </row>
    <row r="257" spans="1:10" x14ac:dyDescent="0.4">
      <c r="A257">
        <f>wimbledons_champions!A269</f>
        <v>1880</v>
      </c>
      <c r="B257" t="str">
        <f>wimbledons_champions!B269</f>
        <v>Men's</v>
      </c>
      <c r="C257" s="9" t="str">
        <f>wimbledons_champions!C269</f>
        <v>J.T. Hartley</v>
      </c>
      <c r="D257" t="str">
        <f>wimbledons_champions!D269</f>
        <v>GBR</v>
      </c>
      <c r="E257">
        <f>wimbledons_champions!F269</f>
        <v>0</v>
      </c>
      <c r="F257">
        <f>wimbledons_champions!G269</f>
        <v>0</v>
      </c>
      <c r="G257" t="str">
        <f>wimbledons_champions!H269</f>
        <v>6-3, 6-2, 2-6, 6-3</v>
      </c>
      <c r="H257" t="str">
        <f>wimbledons_champions!S269</f>
        <v>H.F. Lawford</v>
      </c>
      <c r="I257" t="str">
        <f>wimbledons_champions!T269</f>
        <v>GBR</v>
      </c>
      <c r="J257">
        <f>wimbledons_champions!V269</f>
        <v>0</v>
      </c>
    </row>
    <row r="258" spans="1:10" x14ac:dyDescent="0.4">
      <c r="A258">
        <f>wimbledons_champions!A270</f>
        <v>1879</v>
      </c>
      <c r="B258" t="str">
        <f>wimbledons_champions!B270</f>
        <v>Men's</v>
      </c>
      <c r="C258" s="9" t="str">
        <f>wimbledons_champions!C270</f>
        <v>J.T. Hartley</v>
      </c>
      <c r="D258" t="str">
        <f>wimbledons_champions!D270</f>
        <v>GBR</v>
      </c>
      <c r="E258">
        <f>wimbledons_champions!F270</f>
        <v>0</v>
      </c>
      <c r="F258">
        <f>wimbledons_champions!G270</f>
        <v>0</v>
      </c>
      <c r="G258" t="str">
        <f>wimbledons_champions!H270</f>
        <v>6-2, 6-4, 6-2</v>
      </c>
      <c r="H258" t="str">
        <f>wimbledons_champions!S270</f>
        <v>V.T.St.L. Goold</v>
      </c>
      <c r="I258" t="str">
        <f>wimbledons_champions!T270</f>
        <v>GBR</v>
      </c>
      <c r="J258">
        <f>wimbledons_champions!V270</f>
        <v>0</v>
      </c>
    </row>
    <row r="259" spans="1:10" x14ac:dyDescent="0.4">
      <c r="A259">
        <f>wimbledons_champions!A271</f>
        <v>1878</v>
      </c>
      <c r="B259" t="str">
        <f>wimbledons_champions!B271</f>
        <v>Men's</v>
      </c>
      <c r="C259" s="9" t="str">
        <f>wimbledons_champions!C271</f>
        <v>P.F. Hadow</v>
      </c>
      <c r="D259" t="str">
        <f>wimbledons_champions!D271</f>
        <v>GBR</v>
      </c>
      <c r="E259">
        <f>wimbledons_champions!F271</f>
        <v>0</v>
      </c>
      <c r="F259">
        <f>wimbledons_champions!G271</f>
        <v>0</v>
      </c>
      <c r="G259" t="str">
        <f>wimbledons_champions!H271</f>
        <v>7-5, 6-1, 9-7</v>
      </c>
      <c r="H259" t="str">
        <f>wimbledons_champions!S271</f>
        <v>S.W. Gore</v>
      </c>
      <c r="I259" t="str">
        <f>wimbledons_champions!T271</f>
        <v>GBR</v>
      </c>
      <c r="J259">
        <f>wimbledons_champions!V271</f>
        <v>0</v>
      </c>
    </row>
    <row r="260" spans="1:10" x14ac:dyDescent="0.4">
      <c r="A260">
        <f>wimbledons_champions!A272</f>
        <v>1877</v>
      </c>
      <c r="B260" t="str">
        <f>wimbledons_champions!B272</f>
        <v>Men's</v>
      </c>
      <c r="C260" s="9" t="str">
        <f>wimbledons_champions!C272</f>
        <v>S.W. Gore</v>
      </c>
      <c r="D260" t="str">
        <f>wimbledons_champions!D272</f>
        <v>GBR</v>
      </c>
      <c r="E260">
        <f>wimbledons_champions!F272</f>
        <v>0</v>
      </c>
      <c r="F260">
        <f>wimbledons_champions!G272</f>
        <v>48</v>
      </c>
      <c r="G260" t="str">
        <f>wimbledons_champions!H272</f>
        <v>6-1, 6-2, 6-4</v>
      </c>
      <c r="H260" t="str">
        <f>wimbledons_champions!S272</f>
        <v>W.C. Marshall</v>
      </c>
      <c r="I260" t="str">
        <f>wimbledons_champions!T272</f>
        <v>GBR</v>
      </c>
      <c r="J260">
        <f>wimbledons_champions!V272</f>
        <v>0</v>
      </c>
    </row>
    <row r="263" spans="1:10" x14ac:dyDescent="0.4">
      <c r="B263" s="4" t="s">
        <v>483</v>
      </c>
      <c r="C263" s="11">
        <v>124</v>
      </c>
      <c r="D263" s="3">
        <v>16</v>
      </c>
      <c r="E263" s="5">
        <f>AVERAGE(E2:E175)</f>
        <v>2.8596491228070176</v>
      </c>
      <c r="F263" s="3">
        <v>101</v>
      </c>
      <c r="H263" s="3">
        <v>167</v>
      </c>
      <c r="I263" s="3">
        <v>27</v>
      </c>
    </row>
    <row r="267" spans="1:10" x14ac:dyDescent="0.4">
      <c r="B267" t="s">
        <v>484</v>
      </c>
      <c r="C267" s="9">
        <v>65</v>
      </c>
      <c r="F267" s="3">
        <v>119</v>
      </c>
    </row>
    <row r="268" spans="1:10" x14ac:dyDescent="0.4">
      <c r="B268" t="s">
        <v>485</v>
      </c>
      <c r="C268" s="9">
        <v>59</v>
      </c>
      <c r="F268" s="3">
        <v>78.599999999999994</v>
      </c>
    </row>
    <row r="271" spans="1:10" x14ac:dyDescent="0.4">
      <c r="A271" s="6">
        <f>8/(8+4)</f>
        <v>0.66666666666666663</v>
      </c>
      <c r="B271" t="s">
        <v>487</v>
      </c>
      <c r="C271" s="9" t="s">
        <v>486</v>
      </c>
      <c r="D271" s="7" t="s">
        <v>130</v>
      </c>
    </row>
    <row r="272" spans="1:10" x14ac:dyDescent="0.4">
      <c r="A272" s="6">
        <f>9/(9+6)</f>
        <v>0.6</v>
      </c>
      <c r="B272" t="s">
        <v>488</v>
      </c>
      <c r="C272" s="9" t="s">
        <v>489</v>
      </c>
      <c r="D272" s="7" t="s">
        <v>28</v>
      </c>
    </row>
  </sheetData>
  <sortState xmlns:xlrd2="http://schemas.microsoft.com/office/spreadsheetml/2017/richdata2" ref="A2:J260">
    <sortCondition descending="1" ref="A2:A260"/>
    <sortCondition descending="1" ref="B2:B260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0"/>
  <sheetViews>
    <sheetView workbookViewId="0">
      <selection activeCell="H2" sqref="H2"/>
    </sheetView>
  </sheetViews>
  <sheetFormatPr defaultRowHeight="14.6" x14ac:dyDescent="0.4"/>
  <cols>
    <col min="1" max="1" width="5" bestFit="1" customWidth="1"/>
    <col min="2" max="2" width="9.3046875" bestFit="1" customWidth="1"/>
    <col min="3" max="3" width="15.69140625" bestFit="1" customWidth="1"/>
    <col min="4" max="4" width="20.53515625" bestFit="1" customWidth="1"/>
    <col min="5" max="5" width="15" bestFit="1" customWidth="1"/>
    <col min="6" max="6" width="5.4609375" bestFit="1" customWidth="1"/>
    <col min="7" max="7" width="30.4609375" bestFit="1" customWidth="1"/>
    <col min="8" max="8" width="20.69140625" bestFit="1" customWidth="1"/>
    <col min="9" max="9" width="21" bestFit="1" customWidth="1"/>
    <col min="10" max="10" width="15.4609375" bestFit="1" customWidth="1"/>
  </cols>
  <sheetData>
    <row r="1" spans="1:10" x14ac:dyDescent="0.4">
      <c r="A1" s="15" t="s">
        <v>9</v>
      </c>
      <c r="B1" s="15" t="s">
        <v>0</v>
      </c>
      <c r="C1" s="15" t="s">
        <v>1</v>
      </c>
      <c r="D1" s="15" t="s">
        <v>4</v>
      </c>
      <c r="E1" s="15" t="s">
        <v>8</v>
      </c>
      <c r="F1" s="15" t="s">
        <v>2</v>
      </c>
      <c r="G1" s="15" t="s">
        <v>6</v>
      </c>
      <c r="H1" s="15" t="s">
        <v>5</v>
      </c>
      <c r="I1" s="15" t="s">
        <v>3</v>
      </c>
      <c r="J1" s="15" t="s">
        <v>7</v>
      </c>
    </row>
    <row r="2" spans="1:10" x14ac:dyDescent="0.4">
      <c r="A2">
        <v>2019</v>
      </c>
      <c r="B2" t="s">
        <v>268</v>
      </c>
      <c r="C2" t="s">
        <v>471</v>
      </c>
      <c r="D2" t="s">
        <v>472</v>
      </c>
      <c r="E2">
        <v>7</v>
      </c>
      <c r="F2">
        <v>56</v>
      </c>
      <c r="G2" t="s">
        <v>473</v>
      </c>
      <c r="H2" t="s">
        <v>416</v>
      </c>
      <c r="I2" t="s">
        <v>28</v>
      </c>
      <c r="J2">
        <v>11</v>
      </c>
    </row>
    <row r="3" spans="1:10" x14ac:dyDescent="0.4">
      <c r="A3">
        <v>2019</v>
      </c>
      <c r="B3" t="s">
        <v>10</v>
      </c>
      <c r="C3" t="s">
        <v>129</v>
      </c>
      <c r="D3" t="s">
        <v>131</v>
      </c>
      <c r="E3">
        <v>1</v>
      </c>
      <c r="F3">
        <v>297</v>
      </c>
      <c r="G3" t="s">
        <v>470</v>
      </c>
      <c r="H3" t="s">
        <v>132</v>
      </c>
      <c r="I3" t="s">
        <v>130</v>
      </c>
      <c r="J3">
        <v>2</v>
      </c>
    </row>
    <row r="4" spans="1:10" x14ac:dyDescent="0.4">
      <c r="A4">
        <v>2018</v>
      </c>
      <c r="B4" t="s">
        <v>268</v>
      </c>
      <c r="C4" t="s">
        <v>476</v>
      </c>
      <c r="D4" t="s">
        <v>126</v>
      </c>
      <c r="E4">
        <v>11</v>
      </c>
      <c r="F4">
        <v>65</v>
      </c>
      <c r="G4" t="s">
        <v>477</v>
      </c>
      <c r="H4" t="s">
        <v>416</v>
      </c>
      <c r="I4" t="s">
        <v>28</v>
      </c>
      <c r="J4">
        <v>25</v>
      </c>
    </row>
    <row r="5" spans="1:10" x14ac:dyDescent="0.4">
      <c r="A5">
        <v>2018</v>
      </c>
      <c r="B5" t="s">
        <v>10</v>
      </c>
      <c r="C5" t="s">
        <v>129</v>
      </c>
      <c r="D5" t="s">
        <v>131</v>
      </c>
      <c r="E5">
        <v>12</v>
      </c>
      <c r="F5">
        <v>170</v>
      </c>
      <c r="G5" t="s">
        <v>475</v>
      </c>
      <c r="H5" t="s">
        <v>474</v>
      </c>
      <c r="I5" t="s">
        <v>90</v>
      </c>
      <c r="J5">
        <v>8</v>
      </c>
    </row>
    <row r="6" spans="1:10" x14ac:dyDescent="0.4">
      <c r="A6">
        <v>2017</v>
      </c>
      <c r="B6" t="s">
        <v>268</v>
      </c>
      <c r="C6" t="s">
        <v>481</v>
      </c>
      <c r="D6" t="s">
        <v>135</v>
      </c>
      <c r="E6">
        <v>14</v>
      </c>
      <c r="F6">
        <v>77</v>
      </c>
      <c r="G6" t="s">
        <v>482</v>
      </c>
      <c r="H6" t="s">
        <v>755</v>
      </c>
      <c r="I6" t="s">
        <v>28</v>
      </c>
      <c r="J6">
        <v>10</v>
      </c>
    </row>
    <row r="7" spans="1:10" x14ac:dyDescent="0.4">
      <c r="A7">
        <v>2017</v>
      </c>
      <c r="B7" t="s">
        <v>10</v>
      </c>
      <c r="C7" t="s">
        <v>132</v>
      </c>
      <c r="D7" t="s">
        <v>130</v>
      </c>
      <c r="E7">
        <v>3</v>
      </c>
      <c r="F7">
        <v>101</v>
      </c>
      <c r="G7" t="s">
        <v>478</v>
      </c>
      <c r="H7" t="s">
        <v>479</v>
      </c>
      <c r="I7" t="s">
        <v>480</v>
      </c>
      <c r="J7">
        <v>7</v>
      </c>
    </row>
    <row r="8" spans="1:10" x14ac:dyDescent="0.4">
      <c r="A8">
        <v>2016</v>
      </c>
      <c r="B8" t="s">
        <v>268</v>
      </c>
      <c r="C8" t="s">
        <v>416</v>
      </c>
      <c r="D8" t="s">
        <v>28</v>
      </c>
      <c r="E8">
        <v>1</v>
      </c>
      <c r="F8">
        <v>83</v>
      </c>
      <c r="G8" t="s">
        <v>427</v>
      </c>
      <c r="H8" t="s">
        <v>428</v>
      </c>
      <c r="I8" t="s">
        <v>126</v>
      </c>
      <c r="J8">
        <v>4</v>
      </c>
    </row>
    <row r="9" spans="1:10" x14ac:dyDescent="0.4">
      <c r="A9">
        <v>2016</v>
      </c>
      <c r="B9" t="s">
        <v>10</v>
      </c>
      <c r="C9" t="s">
        <v>203</v>
      </c>
      <c r="D9" t="s">
        <v>15</v>
      </c>
      <c r="E9">
        <v>2</v>
      </c>
      <c r="F9">
        <v>170</v>
      </c>
      <c r="G9" t="s">
        <v>207</v>
      </c>
      <c r="H9" t="s">
        <v>206</v>
      </c>
      <c r="I9" t="s">
        <v>205</v>
      </c>
      <c r="J9">
        <v>6</v>
      </c>
    </row>
    <row r="10" spans="1:10" x14ac:dyDescent="0.4">
      <c r="A10">
        <v>2015</v>
      </c>
      <c r="B10" t="s">
        <v>268</v>
      </c>
      <c r="C10" t="s">
        <v>416</v>
      </c>
      <c r="D10" t="s">
        <v>28</v>
      </c>
      <c r="E10">
        <v>1</v>
      </c>
      <c r="F10">
        <v>83</v>
      </c>
      <c r="G10" t="s">
        <v>321</v>
      </c>
      <c r="H10" t="s">
        <v>417</v>
      </c>
      <c r="I10" t="s">
        <v>135</v>
      </c>
      <c r="J10">
        <v>20</v>
      </c>
    </row>
    <row r="11" spans="1:10" x14ac:dyDescent="0.4">
      <c r="A11">
        <v>2015</v>
      </c>
      <c r="B11" t="s">
        <v>10</v>
      </c>
      <c r="C11" t="s">
        <v>129</v>
      </c>
      <c r="D11" t="s">
        <v>131</v>
      </c>
      <c r="E11">
        <v>1</v>
      </c>
      <c r="F11">
        <v>176</v>
      </c>
      <c r="G11" t="s">
        <v>133</v>
      </c>
      <c r="H11" t="s">
        <v>132</v>
      </c>
      <c r="I11" t="s">
        <v>130</v>
      </c>
      <c r="J11">
        <v>2</v>
      </c>
    </row>
    <row r="12" spans="1:10" x14ac:dyDescent="0.4">
      <c r="A12">
        <v>2014</v>
      </c>
      <c r="B12" t="s">
        <v>268</v>
      </c>
      <c r="C12" t="s">
        <v>291</v>
      </c>
      <c r="D12" t="s">
        <v>107</v>
      </c>
      <c r="E12">
        <v>6</v>
      </c>
      <c r="F12">
        <v>55</v>
      </c>
      <c r="G12" t="s">
        <v>292</v>
      </c>
      <c r="H12" t="s">
        <v>293</v>
      </c>
      <c r="I12" t="s">
        <v>205</v>
      </c>
      <c r="J12">
        <v>13</v>
      </c>
    </row>
    <row r="13" spans="1:10" x14ac:dyDescent="0.4">
      <c r="A13">
        <v>2014</v>
      </c>
      <c r="B13" t="s">
        <v>10</v>
      </c>
      <c r="C13" t="s">
        <v>129</v>
      </c>
      <c r="D13" t="s">
        <v>131</v>
      </c>
      <c r="E13">
        <v>1</v>
      </c>
      <c r="F13">
        <v>236</v>
      </c>
      <c r="G13" t="s">
        <v>134</v>
      </c>
      <c r="H13" t="s">
        <v>132</v>
      </c>
      <c r="I13" t="s">
        <v>130</v>
      </c>
      <c r="J13">
        <v>4</v>
      </c>
    </row>
    <row r="14" spans="1:10" x14ac:dyDescent="0.4">
      <c r="A14">
        <v>2013</v>
      </c>
      <c r="B14" t="s">
        <v>268</v>
      </c>
      <c r="C14" t="s">
        <v>314</v>
      </c>
      <c r="D14" t="s">
        <v>24</v>
      </c>
      <c r="E14">
        <v>15</v>
      </c>
      <c r="F14">
        <v>81</v>
      </c>
      <c r="G14" t="s">
        <v>315</v>
      </c>
      <c r="H14" t="s">
        <v>316</v>
      </c>
      <c r="I14" t="s">
        <v>126</v>
      </c>
      <c r="J14">
        <v>23</v>
      </c>
    </row>
    <row r="15" spans="1:10" x14ac:dyDescent="0.4">
      <c r="A15">
        <v>2013</v>
      </c>
      <c r="B15" t="s">
        <v>10</v>
      </c>
      <c r="C15" t="s">
        <v>203</v>
      </c>
      <c r="D15" t="s">
        <v>15</v>
      </c>
      <c r="E15">
        <v>2</v>
      </c>
      <c r="F15">
        <v>134</v>
      </c>
      <c r="G15" t="s">
        <v>204</v>
      </c>
      <c r="H15" t="s">
        <v>129</v>
      </c>
      <c r="I15" t="s">
        <v>131</v>
      </c>
      <c r="J15">
        <v>1</v>
      </c>
    </row>
    <row r="16" spans="1:10" x14ac:dyDescent="0.4">
      <c r="A16">
        <v>2012</v>
      </c>
      <c r="B16" t="s">
        <v>268</v>
      </c>
      <c r="C16" t="s">
        <v>416</v>
      </c>
      <c r="D16" t="s">
        <v>28</v>
      </c>
      <c r="E16">
        <v>6</v>
      </c>
      <c r="F16">
        <v>122</v>
      </c>
      <c r="G16" t="s">
        <v>466</v>
      </c>
      <c r="H16" t="s">
        <v>467</v>
      </c>
      <c r="I16" t="s">
        <v>375</v>
      </c>
      <c r="J16">
        <v>3</v>
      </c>
    </row>
    <row r="17" spans="1:10" x14ac:dyDescent="0.4">
      <c r="A17">
        <v>2012</v>
      </c>
      <c r="B17" t="s">
        <v>10</v>
      </c>
      <c r="C17" t="s">
        <v>132</v>
      </c>
      <c r="D17" t="s">
        <v>130</v>
      </c>
      <c r="E17">
        <v>3</v>
      </c>
      <c r="F17">
        <v>204</v>
      </c>
      <c r="G17" t="s">
        <v>230</v>
      </c>
      <c r="H17" t="s">
        <v>203</v>
      </c>
      <c r="I17" t="s">
        <v>15</v>
      </c>
      <c r="J17">
        <v>4</v>
      </c>
    </row>
    <row r="18" spans="1:10" x14ac:dyDescent="0.4">
      <c r="A18">
        <v>2011</v>
      </c>
      <c r="B18" t="s">
        <v>268</v>
      </c>
      <c r="C18" t="s">
        <v>294</v>
      </c>
      <c r="D18" t="s">
        <v>107</v>
      </c>
      <c r="E18">
        <v>8</v>
      </c>
      <c r="F18">
        <v>85</v>
      </c>
      <c r="G18" t="s">
        <v>295</v>
      </c>
      <c r="H18" t="s">
        <v>297</v>
      </c>
      <c r="I18" t="s">
        <v>296</v>
      </c>
      <c r="J18">
        <v>5</v>
      </c>
    </row>
    <row r="19" spans="1:10" x14ac:dyDescent="0.4">
      <c r="A19">
        <v>2011</v>
      </c>
      <c r="B19" t="s">
        <v>10</v>
      </c>
      <c r="C19" t="s">
        <v>129</v>
      </c>
      <c r="D19" t="s">
        <v>131</v>
      </c>
      <c r="E19">
        <v>2</v>
      </c>
      <c r="F19">
        <v>148</v>
      </c>
      <c r="G19" t="s">
        <v>208</v>
      </c>
      <c r="H19" t="s">
        <v>136</v>
      </c>
      <c r="I19" t="s">
        <v>135</v>
      </c>
      <c r="J19">
        <v>1</v>
      </c>
    </row>
    <row r="20" spans="1:10" x14ac:dyDescent="0.4">
      <c r="A20">
        <v>2010</v>
      </c>
      <c r="B20" t="s">
        <v>268</v>
      </c>
      <c r="C20" t="s">
        <v>416</v>
      </c>
      <c r="D20" t="s">
        <v>28</v>
      </c>
      <c r="E20">
        <v>1</v>
      </c>
      <c r="F20">
        <v>66</v>
      </c>
      <c r="G20" t="s">
        <v>418</v>
      </c>
      <c r="H20" t="s">
        <v>419</v>
      </c>
      <c r="I20" t="s">
        <v>296</v>
      </c>
      <c r="J20">
        <v>21</v>
      </c>
    </row>
    <row r="21" spans="1:10" x14ac:dyDescent="0.4">
      <c r="A21">
        <v>2010</v>
      </c>
      <c r="B21" t="s">
        <v>10</v>
      </c>
      <c r="C21" t="s">
        <v>136</v>
      </c>
      <c r="D21" t="s">
        <v>135</v>
      </c>
      <c r="E21">
        <v>2</v>
      </c>
      <c r="F21">
        <v>133</v>
      </c>
      <c r="G21" t="s">
        <v>200</v>
      </c>
      <c r="H21" t="s">
        <v>199</v>
      </c>
      <c r="I21" t="s">
        <v>198</v>
      </c>
      <c r="J21">
        <v>12</v>
      </c>
    </row>
    <row r="22" spans="1:10" x14ac:dyDescent="0.4">
      <c r="A22">
        <v>2009</v>
      </c>
      <c r="B22" t="s">
        <v>268</v>
      </c>
      <c r="C22" t="s">
        <v>416</v>
      </c>
      <c r="D22" t="s">
        <v>28</v>
      </c>
      <c r="E22">
        <v>2</v>
      </c>
      <c r="F22">
        <v>87</v>
      </c>
      <c r="G22" t="s">
        <v>447</v>
      </c>
      <c r="H22" t="s">
        <v>430</v>
      </c>
      <c r="I22" t="s">
        <v>28</v>
      </c>
      <c r="J22">
        <v>3</v>
      </c>
    </row>
    <row r="23" spans="1:10" x14ac:dyDescent="0.4">
      <c r="A23">
        <v>2009</v>
      </c>
      <c r="B23" t="s">
        <v>10</v>
      </c>
      <c r="C23" t="s">
        <v>132</v>
      </c>
      <c r="D23" t="s">
        <v>130</v>
      </c>
      <c r="E23">
        <v>2</v>
      </c>
      <c r="F23">
        <v>256</v>
      </c>
      <c r="G23" t="s">
        <v>209</v>
      </c>
      <c r="H23" t="s">
        <v>139</v>
      </c>
      <c r="I23" t="s">
        <v>28</v>
      </c>
      <c r="J23">
        <v>6</v>
      </c>
    </row>
    <row r="24" spans="1:10" x14ac:dyDescent="0.4">
      <c r="A24">
        <v>2008</v>
      </c>
      <c r="B24" t="s">
        <v>268</v>
      </c>
      <c r="C24" t="s">
        <v>430</v>
      </c>
      <c r="D24" t="s">
        <v>28</v>
      </c>
      <c r="E24">
        <v>7</v>
      </c>
      <c r="F24">
        <v>111</v>
      </c>
      <c r="G24" t="s">
        <v>359</v>
      </c>
      <c r="H24" t="s">
        <v>416</v>
      </c>
      <c r="I24" t="s">
        <v>28</v>
      </c>
      <c r="J24">
        <v>6</v>
      </c>
    </row>
    <row r="25" spans="1:10" x14ac:dyDescent="0.4">
      <c r="A25">
        <v>2008</v>
      </c>
      <c r="B25" t="s">
        <v>10</v>
      </c>
      <c r="C25" t="s">
        <v>136</v>
      </c>
      <c r="D25" t="s">
        <v>135</v>
      </c>
      <c r="E25">
        <v>2</v>
      </c>
      <c r="F25">
        <v>288</v>
      </c>
      <c r="G25" t="s">
        <v>197</v>
      </c>
      <c r="H25" t="s">
        <v>132</v>
      </c>
      <c r="I25" t="s">
        <v>130</v>
      </c>
      <c r="J25">
        <v>1</v>
      </c>
    </row>
    <row r="26" spans="1:10" x14ac:dyDescent="0.4">
      <c r="A26">
        <v>2007</v>
      </c>
      <c r="B26" t="s">
        <v>268</v>
      </c>
      <c r="C26" t="s">
        <v>430</v>
      </c>
      <c r="D26" t="s">
        <v>28</v>
      </c>
      <c r="E26">
        <v>23</v>
      </c>
      <c r="F26">
        <v>90</v>
      </c>
      <c r="G26" t="s">
        <v>348</v>
      </c>
      <c r="H26" t="s">
        <v>314</v>
      </c>
      <c r="I26" t="s">
        <v>24</v>
      </c>
      <c r="J26">
        <v>18</v>
      </c>
    </row>
    <row r="27" spans="1:10" x14ac:dyDescent="0.4">
      <c r="A27">
        <v>2007</v>
      </c>
      <c r="B27" t="s">
        <v>10</v>
      </c>
      <c r="C27" t="s">
        <v>132</v>
      </c>
      <c r="D27" t="s">
        <v>130</v>
      </c>
      <c r="E27">
        <v>1</v>
      </c>
      <c r="F27">
        <v>225</v>
      </c>
      <c r="G27" t="s">
        <v>138</v>
      </c>
      <c r="H27" t="s">
        <v>136</v>
      </c>
      <c r="I27" t="s">
        <v>135</v>
      </c>
      <c r="J27">
        <v>2</v>
      </c>
    </row>
    <row r="28" spans="1:10" x14ac:dyDescent="0.4">
      <c r="A28">
        <v>2006</v>
      </c>
      <c r="B28" t="s">
        <v>268</v>
      </c>
      <c r="C28" t="s">
        <v>310</v>
      </c>
      <c r="D28" t="s">
        <v>24</v>
      </c>
      <c r="E28">
        <v>1</v>
      </c>
      <c r="F28">
        <v>122</v>
      </c>
      <c r="G28" t="s">
        <v>311</v>
      </c>
      <c r="H28" t="s">
        <v>313</v>
      </c>
      <c r="I28" t="s">
        <v>312</v>
      </c>
      <c r="J28">
        <v>3</v>
      </c>
    </row>
    <row r="29" spans="1:10" x14ac:dyDescent="0.4">
      <c r="A29">
        <v>2006</v>
      </c>
      <c r="B29" t="s">
        <v>10</v>
      </c>
      <c r="C29" t="s">
        <v>132</v>
      </c>
      <c r="D29" t="s">
        <v>130</v>
      </c>
      <c r="E29">
        <v>1</v>
      </c>
      <c r="F29">
        <v>170</v>
      </c>
      <c r="G29" t="s">
        <v>137</v>
      </c>
      <c r="H29" t="s">
        <v>136</v>
      </c>
      <c r="I29" t="s">
        <v>135</v>
      </c>
      <c r="J29">
        <v>2</v>
      </c>
    </row>
    <row r="30" spans="1:10" x14ac:dyDescent="0.4">
      <c r="A30">
        <v>2005</v>
      </c>
      <c r="B30" t="s">
        <v>268</v>
      </c>
      <c r="C30" t="s">
        <v>430</v>
      </c>
      <c r="D30" t="s">
        <v>28</v>
      </c>
      <c r="E30">
        <v>14</v>
      </c>
      <c r="F30">
        <v>166</v>
      </c>
      <c r="G30" t="s">
        <v>440</v>
      </c>
      <c r="H30" t="s">
        <v>441</v>
      </c>
      <c r="I30" t="s">
        <v>28</v>
      </c>
      <c r="J30">
        <v>1</v>
      </c>
    </row>
    <row r="31" spans="1:10" x14ac:dyDescent="0.4">
      <c r="A31">
        <v>2005</v>
      </c>
      <c r="B31" t="s">
        <v>10</v>
      </c>
      <c r="C31" t="s">
        <v>132</v>
      </c>
      <c r="D31" t="s">
        <v>130</v>
      </c>
      <c r="E31">
        <v>1</v>
      </c>
      <c r="F31">
        <v>101</v>
      </c>
      <c r="G31" t="s">
        <v>141</v>
      </c>
      <c r="H31" t="s">
        <v>139</v>
      </c>
      <c r="I31" t="s">
        <v>28</v>
      </c>
      <c r="J31">
        <v>2</v>
      </c>
    </row>
    <row r="32" spans="1:10" x14ac:dyDescent="0.4">
      <c r="A32">
        <v>2004</v>
      </c>
      <c r="B32" t="s">
        <v>268</v>
      </c>
      <c r="C32" t="s">
        <v>297</v>
      </c>
      <c r="D32" t="s">
        <v>296</v>
      </c>
      <c r="E32">
        <v>13</v>
      </c>
      <c r="F32">
        <v>74</v>
      </c>
      <c r="G32" t="s">
        <v>395</v>
      </c>
      <c r="H32" t="s">
        <v>416</v>
      </c>
      <c r="I32" t="s">
        <v>28</v>
      </c>
      <c r="J32">
        <v>1</v>
      </c>
    </row>
    <row r="33" spans="1:10" x14ac:dyDescent="0.4">
      <c r="A33">
        <v>2004</v>
      </c>
      <c r="B33" t="s">
        <v>10</v>
      </c>
      <c r="C33" t="s">
        <v>132</v>
      </c>
      <c r="D33" t="s">
        <v>130</v>
      </c>
      <c r="E33">
        <v>1</v>
      </c>
      <c r="F33">
        <v>151</v>
      </c>
      <c r="G33" t="s">
        <v>140</v>
      </c>
      <c r="H33" t="s">
        <v>139</v>
      </c>
      <c r="I33" t="s">
        <v>28</v>
      </c>
      <c r="J33">
        <v>2</v>
      </c>
    </row>
    <row r="34" spans="1:10" x14ac:dyDescent="0.4">
      <c r="A34">
        <v>2003</v>
      </c>
      <c r="B34" t="s">
        <v>268</v>
      </c>
      <c r="C34" t="s">
        <v>416</v>
      </c>
      <c r="D34" t="s">
        <v>28</v>
      </c>
      <c r="E34">
        <v>1</v>
      </c>
      <c r="F34">
        <v>123</v>
      </c>
      <c r="G34" t="s">
        <v>339</v>
      </c>
      <c r="H34" t="s">
        <v>430</v>
      </c>
      <c r="I34" t="s">
        <v>28</v>
      </c>
      <c r="J34">
        <v>4</v>
      </c>
    </row>
    <row r="35" spans="1:10" x14ac:dyDescent="0.4">
      <c r="A35">
        <v>2003</v>
      </c>
      <c r="B35" t="s">
        <v>10</v>
      </c>
      <c r="C35" t="s">
        <v>132</v>
      </c>
      <c r="D35" t="s">
        <v>130</v>
      </c>
      <c r="E35">
        <v>4</v>
      </c>
      <c r="F35">
        <v>119</v>
      </c>
      <c r="G35" t="s">
        <v>240</v>
      </c>
      <c r="H35" t="s">
        <v>239</v>
      </c>
      <c r="I35" t="s">
        <v>12</v>
      </c>
      <c r="J35" t="s">
        <v>122</v>
      </c>
    </row>
    <row r="36" spans="1:10" x14ac:dyDescent="0.4">
      <c r="A36">
        <v>2002</v>
      </c>
      <c r="B36" t="s">
        <v>268</v>
      </c>
      <c r="C36" t="s">
        <v>416</v>
      </c>
      <c r="D36" t="s">
        <v>28</v>
      </c>
      <c r="E36">
        <v>2</v>
      </c>
      <c r="F36">
        <v>78</v>
      </c>
      <c r="G36" t="s">
        <v>444</v>
      </c>
      <c r="H36" t="s">
        <v>430</v>
      </c>
      <c r="I36" t="s">
        <v>28</v>
      </c>
      <c r="J36">
        <v>1</v>
      </c>
    </row>
    <row r="37" spans="1:10" x14ac:dyDescent="0.4">
      <c r="A37">
        <v>2002</v>
      </c>
      <c r="B37" t="s">
        <v>10</v>
      </c>
      <c r="C37" t="s">
        <v>110</v>
      </c>
      <c r="D37" t="s">
        <v>12</v>
      </c>
      <c r="E37">
        <v>1</v>
      </c>
      <c r="F37">
        <v>116</v>
      </c>
      <c r="G37" t="s">
        <v>113</v>
      </c>
      <c r="H37" t="s">
        <v>112</v>
      </c>
      <c r="I37" t="s">
        <v>111</v>
      </c>
      <c r="J37">
        <v>28</v>
      </c>
    </row>
    <row r="38" spans="1:10" x14ac:dyDescent="0.4">
      <c r="A38">
        <v>2001</v>
      </c>
      <c r="B38" t="s">
        <v>268</v>
      </c>
      <c r="C38" t="s">
        <v>430</v>
      </c>
      <c r="D38" t="s">
        <v>28</v>
      </c>
      <c r="E38">
        <v>2</v>
      </c>
      <c r="F38">
        <v>69</v>
      </c>
      <c r="G38" t="s">
        <v>453</v>
      </c>
      <c r="H38" t="s">
        <v>454</v>
      </c>
      <c r="I38" t="s">
        <v>312</v>
      </c>
      <c r="J38">
        <v>8</v>
      </c>
    </row>
    <row r="39" spans="1:10" x14ac:dyDescent="0.4">
      <c r="A39">
        <v>2001</v>
      </c>
      <c r="B39" t="s">
        <v>10</v>
      </c>
      <c r="C39" t="s">
        <v>154</v>
      </c>
      <c r="D39" t="s">
        <v>153</v>
      </c>
      <c r="F39">
        <v>182</v>
      </c>
      <c r="G39" t="s">
        <v>265</v>
      </c>
      <c r="H39" t="s">
        <v>151</v>
      </c>
      <c r="I39" t="s">
        <v>12</v>
      </c>
      <c r="J39">
        <v>3</v>
      </c>
    </row>
    <row r="40" spans="1:10" x14ac:dyDescent="0.4">
      <c r="A40">
        <v>2000</v>
      </c>
      <c r="B40" t="s">
        <v>268</v>
      </c>
      <c r="C40" t="s">
        <v>430</v>
      </c>
      <c r="D40" t="s">
        <v>28</v>
      </c>
      <c r="E40">
        <v>5</v>
      </c>
      <c r="F40">
        <v>84</v>
      </c>
      <c r="G40" t="s">
        <v>463</v>
      </c>
      <c r="H40" t="s">
        <v>456</v>
      </c>
      <c r="I40" t="s">
        <v>28</v>
      </c>
      <c r="J40">
        <v>2</v>
      </c>
    </row>
    <row r="41" spans="1:10" x14ac:dyDescent="0.4">
      <c r="A41">
        <v>2000</v>
      </c>
      <c r="B41" t="s">
        <v>10</v>
      </c>
      <c r="C41" t="s">
        <v>150</v>
      </c>
      <c r="D41" t="s">
        <v>28</v>
      </c>
      <c r="E41">
        <v>1</v>
      </c>
      <c r="F41">
        <v>182</v>
      </c>
      <c r="G41" t="s">
        <v>152</v>
      </c>
      <c r="H41" t="s">
        <v>151</v>
      </c>
      <c r="I41" t="s">
        <v>12</v>
      </c>
      <c r="J41">
        <v>12</v>
      </c>
    </row>
    <row r="42" spans="1:10" x14ac:dyDescent="0.4">
      <c r="A42">
        <v>1999</v>
      </c>
      <c r="B42" t="s">
        <v>268</v>
      </c>
      <c r="C42" t="s">
        <v>456</v>
      </c>
      <c r="D42" t="s">
        <v>28</v>
      </c>
      <c r="E42">
        <v>3</v>
      </c>
      <c r="F42">
        <v>75</v>
      </c>
      <c r="G42" t="s">
        <v>457</v>
      </c>
      <c r="H42" t="s">
        <v>380</v>
      </c>
      <c r="I42" t="s">
        <v>126</v>
      </c>
      <c r="J42">
        <v>2</v>
      </c>
    </row>
    <row r="43" spans="1:10" x14ac:dyDescent="0.4">
      <c r="A43">
        <v>1999</v>
      </c>
      <c r="B43" t="s">
        <v>10</v>
      </c>
      <c r="C43" t="s">
        <v>150</v>
      </c>
      <c r="D43" t="s">
        <v>28</v>
      </c>
      <c r="E43">
        <v>1</v>
      </c>
      <c r="F43">
        <v>115</v>
      </c>
      <c r="G43" t="s">
        <v>170</v>
      </c>
      <c r="H43" t="s">
        <v>169</v>
      </c>
      <c r="I43" t="s">
        <v>28</v>
      </c>
      <c r="J43">
        <v>4</v>
      </c>
    </row>
    <row r="44" spans="1:10" x14ac:dyDescent="0.4">
      <c r="A44">
        <v>1998</v>
      </c>
      <c r="B44" t="s">
        <v>268</v>
      </c>
      <c r="C44" t="s">
        <v>288</v>
      </c>
      <c r="D44" t="s">
        <v>107</v>
      </c>
      <c r="E44">
        <v>3</v>
      </c>
      <c r="F44">
        <v>94</v>
      </c>
      <c r="G44" t="s">
        <v>289</v>
      </c>
      <c r="H44" t="s">
        <v>290</v>
      </c>
      <c r="I44" t="s">
        <v>24</v>
      </c>
      <c r="J44">
        <v>16</v>
      </c>
    </row>
    <row r="45" spans="1:10" x14ac:dyDescent="0.4">
      <c r="A45">
        <v>1998</v>
      </c>
      <c r="B45" t="s">
        <v>10</v>
      </c>
      <c r="C45" t="s">
        <v>150</v>
      </c>
      <c r="D45" t="s">
        <v>28</v>
      </c>
      <c r="E45">
        <v>1</v>
      </c>
      <c r="F45">
        <v>172</v>
      </c>
      <c r="G45" t="s">
        <v>155</v>
      </c>
      <c r="H45" t="s">
        <v>154</v>
      </c>
      <c r="I45" t="s">
        <v>153</v>
      </c>
      <c r="J45">
        <v>14</v>
      </c>
    </row>
    <row r="46" spans="1:10" x14ac:dyDescent="0.4">
      <c r="A46">
        <v>1997</v>
      </c>
      <c r="B46" t="s">
        <v>268</v>
      </c>
      <c r="C46" t="s">
        <v>396</v>
      </c>
      <c r="D46" t="s">
        <v>130</v>
      </c>
      <c r="E46">
        <v>1</v>
      </c>
      <c r="F46">
        <v>110</v>
      </c>
      <c r="G46" t="s">
        <v>397</v>
      </c>
      <c r="H46" t="s">
        <v>288</v>
      </c>
      <c r="I46" t="s">
        <v>107</v>
      </c>
      <c r="J46">
        <v>3</v>
      </c>
    </row>
    <row r="47" spans="1:10" x14ac:dyDescent="0.4">
      <c r="A47">
        <v>1997</v>
      </c>
      <c r="B47" t="s">
        <v>10</v>
      </c>
      <c r="C47" t="s">
        <v>150</v>
      </c>
      <c r="D47" t="s">
        <v>28</v>
      </c>
      <c r="E47">
        <v>1</v>
      </c>
      <c r="F47">
        <v>94</v>
      </c>
      <c r="G47" t="s">
        <v>179</v>
      </c>
      <c r="H47" t="s">
        <v>178</v>
      </c>
      <c r="I47" t="s">
        <v>24</v>
      </c>
      <c r="J47" t="s">
        <v>122</v>
      </c>
    </row>
    <row r="48" spans="1:10" x14ac:dyDescent="0.4">
      <c r="A48">
        <v>1996</v>
      </c>
      <c r="B48" t="s">
        <v>268</v>
      </c>
      <c r="C48" t="s">
        <v>380</v>
      </c>
      <c r="D48" t="s">
        <v>126</v>
      </c>
      <c r="E48">
        <v>1</v>
      </c>
      <c r="F48">
        <v>88</v>
      </c>
      <c r="G48" t="s">
        <v>387</v>
      </c>
      <c r="H48" t="s">
        <v>384</v>
      </c>
      <c r="I48" t="s">
        <v>135</v>
      </c>
      <c r="J48">
        <v>4</v>
      </c>
    </row>
    <row r="49" spans="1:10" x14ac:dyDescent="0.4">
      <c r="A49">
        <v>1996</v>
      </c>
      <c r="B49" t="s">
        <v>10</v>
      </c>
      <c r="C49" t="s">
        <v>261</v>
      </c>
      <c r="D49" t="s">
        <v>262</v>
      </c>
      <c r="F49">
        <v>94</v>
      </c>
      <c r="G49" t="s">
        <v>264</v>
      </c>
      <c r="H49" t="s">
        <v>263</v>
      </c>
      <c r="I49" t="s">
        <v>28</v>
      </c>
      <c r="J49" t="s">
        <v>122</v>
      </c>
    </row>
    <row r="50" spans="1:10" x14ac:dyDescent="0.4">
      <c r="A50">
        <v>1995</v>
      </c>
      <c r="B50" t="s">
        <v>268</v>
      </c>
      <c r="C50" t="s">
        <v>380</v>
      </c>
      <c r="D50" t="s">
        <v>126</v>
      </c>
      <c r="E50">
        <v>1</v>
      </c>
      <c r="F50">
        <v>122</v>
      </c>
      <c r="G50" t="s">
        <v>383</v>
      </c>
      <c r="H50" t="s">
        <v>384</v>
      </c>
      <c r="I50" t="s">
        <v>135</v>
      </c>
      <c r="J50">
        <v>2</v>
      </c>
    </row>
    <row r="51" spans="1:10" x14ac:dyDescent="0.4">
      <c r="A51">
        <v>1995</v>
      </c>
      <c r="B51" t="s">
        <v>10</v>
      </c>
      <c r="C51" t="s">
        <v>150</v>
      </c>
      <c r="D51" t="s">
        <v>28</v>
      </c>
      <c r="E51">
        <v>2</v>
      </c>
      <c r="F51">
        <v>149</v>
      </c>
      <c r="G51" t="s">
        <v>214</v>
      </c>
      <c r="H51" t="s">
        <v>213</v>
      </c>
      <c r="I51" t="s">
        <v>126</v>
      </c>
      <c r="J51">
        <v>3</v>
      </c>
    </row>
    <row r="52" spans="1:10" x14ac:dyDescent="0.4">
      <c r="A52">
        <v>1994</v>
      </c>
      <c r="B52" t="s">
        <v>268</v>
      </c>
      <c r="C52" t="s">
        <v>298</v>
      </c>
      <c r="D52" t="s">
        <v>135</v>
      </c>
      <c r="E52">
        <v>3</v>
      </c>
      <c r="F52">
        <v>119</v>
      </c>
      <c r="G52" t="s">
        <v>299</v>
      </c>
      <c r="H52" t="s">
        <v>300</v>
      </c>
      <c r="I52" t="s">
        <v>28</v>
      </c>
      <c r="J52">
        <v>4</v>
      </c>
    </row>
    <row r="53" spans="1:10" x14ac:dyDescent="0.4">
      <c r="A53">
        <v>1994</v>
      </c>
      <c r="B53" t="s">
        <v>10</v>
      </c>
      <c r="C53" t="s">
        <v>150</v>
      </c>
      <c r="D53" t="s">
        <v>28</v>
      </c>
      <c r="E53">
        <v>1</v>
      </c>
      <c r="F53">
        <v>115</v>
      </c>
      <c r="G53" t="s">
        <v>168</v>
      </c>
      <c r="H53" t="s">
        <v>154</v>
      </c>
      <c r="I53" t="s">
        <v>153</v>
      </c>
      <c r="J53">
        <v>4</v>
      </c>
    </row>
    <row r="54" spans="1:10" x14ac:dyDescent="0.4">
      <c r="A54">
        <v>1993</v>
      </c>
      <c r="B54" t="s">
        <v>268</v>
      </c>
      <c r="C54" t="s">
        <v>380</v>
      </c>
      <c r="D54" t="s">
        <v>126</v>
      </c>
      <c r="E54">
        <v>1</v>
      </c>
      <c r="F54">
        <v>134</v>
      </c>
      <c r="G54" t="s">
        <v>391</v>
      </c>
      <c r="H54" t="s">
        <v>288</v>
      </c>
      <c r="I54" t="s">
        <v>107</v>
      </c>
      <c r="J54">
        <v>8</v>
      </c>
    </row>
    <row r="55" spans="1:10" x14ac:dyDescent="0.4">
      <c r="A55">
        <v>1993</v>
      </c>
      <c r="B55" t="s">
        <v>10</v>
      </c>
      <c r="C55" t="s">
        <v>150</v>
      </c>
      <c r="D55" t="s">
        <v>28</v>
      </c>
      <c r="E55">
        <v>1</v>
      </c>
      <c r="F55">
        <v>178</v>
      </c>
      <c r="G55" t="s">
        <v>167</v>
      </c>
      <c r="H55" t="s">
        <v>166</v>
      </c>
      <c r="I55" t="s">
        <v>28</v>
      </c>
      <c r="J55">
        <v>3</v>
      </c>
    </row>
    <row r="56" spans="1:10" x14ac:dyDescent="0.4">
      <c r="A56">
        <v>1992</v>
      </c>
      <c r="B56" t="s">
        <v>268</v>
      </c>
      <c r="C56" t="s">
        <v>380</v>
      </c>
      <c r="D56" t="s">
        <v>126</v>
      </c>
      <c r="E56">
        <v>2</v>
      </c>
      <c r="F56">
        <v>58</v>
      </c>
      <c r="G56" t="s">
        <v>392</v>
      </c>
      <c r="H56" t="s">
        <v>394</v>
      </c>
      <c r="I56" t="s">
        <v>393</v>
      </c>
      <c r="J56">
        <v>1</v>
      </c>
    </row>
    <row r="57" spans="1:10" x14ac:dyDescent="0.4">
      <c r="A57">
        <v>1992</v>
      </c>
      <c r="B57" t="s">
        <v>10</v>
      </c>
      <c r="C57" t="s">
        <v>169</v>
      </c>
      <c r="D57" t="s">
        <v>28</v>
      </c>
      <c r="E57">
        <v>12</v>
      </c>
      <c r="F57">
        <v>170</v>
      </c>
      <c r="G57" t="s">
        <v>185</v>
      </c>
      <c r="H57" t="s">
        <v>154</v>
      </c>
      <c r="I57" t="s">
        <v>153</v>
      </c>
      <c r="J57">
        <v>8</v>
      </c>
    </row>
    <row r="58" spans="1:10" x14ac:dyDescent="0.4">
      <c r="A58">
        <v>1991</v>
      </c>
      <c r="B58" t="s">
        <v>268</v>
      </c>
      <c r="C58" t="s">
        <v>380</v>
      </c>
      <c r="D58" t="s">
        <v>126</v>
      </c>
      <c r="E58">
        <v>1</v>
      </c>
      <c r="F58">
        <v>127</v>
      </c>
      <c r="G58" t="s">
        <v>381</v>
      </c>
      <c r="H58" t="s">
        <v>382</v>
      </c>
      <c r="I58" t="s">
        <v>111</v>
      </c>
      <c r="J58">
        <v>2</v>
      </c>
    </row>
    <row r="59" spans="1:10" x14ac:dyDescent="0.4">
      <c r="A59">
        <v>1991</v>
      </c>
      <c r="B59" t="s">
        <v>10</v>
      </c>
      <c r="C59" t="s">
        <v>248</v>
      </c>
      <c r="D59" t="s">
        <v>126</v>
      </c>
      <c r="E59">
        <v>6</v>
      </c>
      <c r="F59">
        <v>153</v>
      </c>
      <c r="G59" t="s">
        <v>249</v>
      </c>
      <c r="H59" t="s">
        <v>213</v>
      </c>
      <c r="I59" t="s">
        <v>126</v>
      </c>
      <c r="J59">
        <v>2</v>
      </c>
    </row>
    <row r="60" spans="1:10" x14ac:dyDescent="0.4">
      <c r="A60">
        <v>1990</v>
      </c>
      <c r="B60" t="s">
        <v>268</v>
      </c>
      <c r="C60" t="s">
        <v>300</v>
      </c>
      <c r="D60" t="s">
        <v>28</v>
      </c>
      <c r="E60">
        <v>2</v>
      </c>
      <c r="F60">
        <v>75</v>
      </c>
      <c r="G60" t="s">
        <v>279</v>
      </c>
      <c r="H60" t="s">
        <v>452</v>
      </c>
      <c r="I60" t="s">
        <v>28</v>
      </c>
      <c r="J60">
        <v>5</v>
      </c>
    </row>
    <row r="61" spans="1:10" x14ac:dyDescent="0.4">
      <c r="A61">
        <v>1990</v>
      </c>
      <c r="B61" t="s">
        <v>10</v>
      </c>
      <c r="C61" t="s">
        <v>228</v>
      </c>
      <c r="D61" t="s">
        <v>143</v>
      </c>
      <c r="E61">
        <v>3</v>
      </c>
      <c r="F61">
        <v>178</v>
      </c>
      <c r="G61" t="s">
        <v>231</v>
      </c>
      <c r="H61" t="s">
        <v>213</v>
      </c>
      <c r="I61" t="s">
        <v>126</v>
      </c>
      <c r="J61">
        <v>2</v>
      </c>
    </row>
    <row r="62" spans="1:10" x14ac:dyDescent="0.4">
      <c r="A62">
        <v>1989</v>
      </c>
      <c r="B62" t="s">
        <v>268</v>
      </c>
      <c r="C62" t="s">
        <v>380</v>
      </c>
      <c r="D62" t="s">
        <v>126</v>
      </c>
      <c r="E62">
        <v>1</v>
      </c>
      <c r="F62">
        <v>92</v>
      </c>
      <c r="G62" t="s">
        <v>386</v>
      </c>
      <c r="H62" t="s">
        <v>300</v>
      </c>
      <c r="I62" t="s">
        <v>28</v>
      </c>
      <c r="J62">
        <v>2</v>
      </c>
    </row>
    <row r="63" spans="1:10" x14ac:dyDescent="0.4">
      <c r="A63">
        <v>1989</v>
      </c>
      <c r="B63" t="s">
        <v>10</v>
      </c>
      <c r="C63" t="s">
        <v>213</v>
      </c>
      <c r="D63" t="s">
        <v>126</v>
      </c>
      <c r="E63">
        <v>3</v>
      </c>
      <c r="F63">
        <v>132</v>
      </c>
      <c r="G63" t="s">
        <v>229</v>
      </c>
      <c r="H63" t="s">
        <v>228</v>
      </c>
      <c r="I63" t="s">
        <v>143</v>
      </c>
      <c r="J63">
        <v>2</v>
      </c>
    </row>
    <row r="64" spans="1:10" x14ac:dyDescent="0.4">
      <c r="A64">
        <v>1988</v>
      </c>
      <c r="B64" t="s">
        <v>268</v>
      </c>
      <c r="C64" t="s">
        <v>380</v>
      </c>
      <c r="D64" t="s">
        <v>126</v>
      </c>
      <c r="E64">
        <v>1</v>
      </c>
      <c r="F64">
        <v>93</v>
      </c>
      <c r="G64" t="s">
        <v>385</v>
      </c>
      <c r="H64" t="s">
        <v>300</v>
      </c>
      <c r="I64" t="s">
        <v>28</v>
      </c>
      <c r="J64">
        <v>2</v>
      </c>
    </row>
    <row r="65" spans="1:10" x14ac:dyDescent="0.4">
      <c r="A65">
        <v>1988</v>
      </c>
      <c r="B65" t="s">
        <v>10</v>
      </c>
      <c r="C65" t="s">
        <v>228</v>
      </c>
      <c r="D65" t="s">
        <v>143</v>
      </c>
      <c r="E65">
        <v>3</v>
      </c>
      <c r="F65">
        <v>170</v>
      </c>
      <c r="G65" t="s">
        <v>232</v>
      </c>
      <c r="H65" t="s">
        <v>213</v>
      </c>
      <c r="I65" t="s">
        <v>126</v>
      </c>
      <c r="J65">
        <v>6</v>
      </c>
    </row>
    <row r="66" spans="1:10" x14ac:dyDescent="0.4">
      <c r="A66">
        <v>1987</v>
      </c>
      <c r="B66" t="s">
        <v>268</v>
      </c>
      <c r="C66" t="s">
        <v>300</v>
      </c>
      <c r="D66" t="s">
        <v>28</v>
      </c>
      <c r="E66">
        <v>1</v>
      </c>
      <c r="F66">
        <v>69</v>
      </c>
      <c r="G66" t="s">
        <v>403</v>
      </c>
      <c r="H66" t="s">
        <v>380</v>
      </c>
      <c r="I66" t="s">
        <v>126</v>
      </c>
      <c r="J66">
        <v>2</v>
      </c>
    </row>
    <row r="67" spans="1:10" x14ac:dyDescent="0.4">
      <c r="A67">
        <v>1987</v>
      </c>
      <c r="B67" t="s">
        <v>10</v>
      </c>
      <c r="C67" t="s">
        <v>180</v>
      </c>
      <c r="D67" t="s">
        <v>12</v>
      </c>
      <c r="E67">
        <v>11</v>
      </c>
      <c r="F67">
        <v>165</v>
      </c>
      <c r="G67" t="s">
        <v>183</v>
      </c>
      <c r="H67" t="s">
        <v>182</v>
      </c>
      <c r="I67" t="s">
        <v>181</v>
      </c>
      <c r="J67">
        <v>2</v>
      </c>
    </row>
    <row r="68" spans="1:10" x14ac:dyDescent="0.4">
      <c r="A68">
        <v>1986</v>
      </c>
      <c r="B68" t="s">
        <v>268</v>
      </c>
      <c r="C68" t="s">
        <v>300</v>
      </c>
      <c r="D68" t="s">
        <v>28</v>
      </c>
      <c r="E68">
        <v>1</v>
      </c>
      <c r="F68">
        <v>72</v>
      </c>
      <c r="G68" t="s">
        <v>420</v>
      </c>
      <c r="H68" t="s">
        <v>405</v>
      </c>
      <c r="I68" t="s">
        <v>181</v>
      </c>
      <c r="J68">
        <v>3</v>
      </c>
    </row>
    <row r="69" spans="1:10" x14ac:dyDescent="0.4">
      <c r="A69">
        <v>1986</v>
      </c>
      <c r="B69" t="s">
        <v>10</v>
      </c>
      <c r="C69" t="s">
        <v>213</v>
      </c>
      <c r="D69" t="s">
        <v>126</v>
      </c>
      <c r="E69">
        <v>4</v>
      </c>
      <c r="F69">
        <v>122</v>
      </c>
      <c r="G69" t="s">
        <v>238</v>
      </c>
      <c r="H69" t="s">
        <v>182</v>
      </c>
      <c r="I69" t="s">
        <v>181</v>
      </c>
      <c r="J69">
        <v>1</v>
      </c>
    </row>
    <row r="70" spans="1:10" x14ac:dyDescent="0.4">
      <c r="A70">
        <v>1985</v>
      </c>
      <c r="B70" t="s">
        <v>268</v>
      </c>
      <c r="C70" t="s">
        <v>300</v>
      </c>
      <c r="D70" t="s">
        <v>28</v>
      </c>
      <c r="E70">
        <v>1</v>
      </c>
      <c r="F70">
        <v>107</v>
      </c>
      <c r="G70" t="s">
        <v>398</v>
      </c>
      <c r="H70" t="s">
        <v>282</v>
      </c>
      <c r="I70" t="s">
        <v>28</v>
      </c>
      <c r="J70">
        <v>1</v>
      </c>
    </row>
    <row r="71" spans="1:10" x14ac:dyDescent="0.4">
      <c r="A71">
        <v>1985</v>
      </c>
      <c r="B71" t="s">
        <v>10</v>
      </c>
      <c r="C71" t="s">
        <v>213</v>
      </c>
      <c r="D71" t="s">
        <v>126</v>
      </c>
      <c r="F71">
        <v>198</v>
      </c>
      <c r="G71" t="s">
        <v>267</v>
      </c>
      <c r="H71" t="s">
        <v>266</v>
      </c>
      <c r="I71" t="s">
        <v>28</v>
      </c>
      <c r="J71">
        <v>8</v>
      </c>
    </row>
    <row r="72" spans="1:10" x14ac:dyDescent="0.4">
      <c r="A72">
        <v>1984</v>
      </c>
      <c r="B72" t="s">
        <v>268</v>
      </c>
      <c r="C72" t="s">
        <v>300</v>
      </c>
      <c r="D72" t="s">
        <v>28</v>
      </c>
      <c r="E72">
        <v>1</v>
      </c>
      <c r="F72">
        <v>84</v>
      </c>
      <c r="G72" t="s">
        <v>412</v>
      </c>
      <c r="H72" t="s">
        <v>282</v>
      </c>
      <c r="I72" t="s">
        <v>28</v>
      </c>
      <c r="J72">
        <v>2</v>
      </c>
    </row>
    <row r="73" spans="1:10" x14ac:dyDescent="0.4">
      <c r="A73">
        <v>1984</v>
      </c>
      <c r="B73" t="s">
        <v>10</v>
      </c>
      <c r="C73" t="s">
        <v>144</v>
      </c>
      <c r="D73" t="s">
        <v>28</v>
      </c>
      <c r="E73">
        <v>1</v>
      </c>
      <c r="F73">
        <v>80</v>
      </c>
      <c r="G73" t="s">
        <v>165</v>
      </c>
      <c r="H73" t="s">
        <v>146</v>
      </c>
      <c r="I73" t="s">
        <v>28</v>
      </c>
      <c r="J73">
        <v>3</v>
      </c>
    </row>
    <row r="74" spans="1:10" x14ac:dyDescent="0.4">
      <c r="A74">
        <v>1983</v>
      </c>
      <c r="B74" t="s">
        <v>268</v>
      </c>
      <c r="C74" t="s">
        <v>300</v>
      </c>
      <c r="D74" t="s">
        <v>28</v>
      </c>
      <c r="E74">
        <v>1</v>
      </c>
      <c r="F74">
        <v>54</v>
      </c>
      <c r="G74" t="s">
        <v>421</v>
      </c>
      <c r="H74" t="s">
        <v>422</v>
      </c>
      <c r="I74" t="s">
        <v>28</v>
      </c>
      <c r="J74">
        <v>3</v>
      </c>
    </row>
    <row r="75" spans="1:10" x14ac:dyDescent="0.4">
      <c r="A75">
        <v>1983</v>
      </c>
      <c r="B75" t="s">
        <v>10</v>
      </c>
      <c r="C75" t="s">
        <v>144</v>
      </c>
      <c r="D75" t="s">
        <v>28</v>
      </c>
      <c r="E75">
        <v>2</v>
      </c>
      <c r="F75">
        <v>85</v>
      </c>
      <c r="G75" t="s">
        <v>223</v>
      </c>
      <c r="H75" t="s">
        <v>222</v>
      </c>
      <c r="I75" t="s">
        <v>20</v>
      </c>
      <c r="J75" t="s">
        <v>122</v>
      </c>
    </row>
    <row r="76" spans="1:10" x14ac:dyDescent="0.4">
      <c r="A76">
        <v>1982</v>
      </c>
      <c r="B76" t="s">
        <v>268</v>
      </c>
      <c r="C76" t="s">
        <v>300</v>
      </c>
      <c r="D76" t="s">
        <v>28</v>
      </c>
      <c r="E76">
        <v>1</v>
      </c>
      <c r="F76">
        <v>87</v>
      </c>
      <c r="G76" t="s">
        <v>410</v>
      </c>
      <c r="H76" t="s">
        <v>282</v>
      </c>
      <c r="I76" t="s">
        <v>28</v>
      </c>
      <c r="J76">
        <v>2</v>
      </c>
    </row>
    <row r="77" spans="1:10" x14ac:dyDescent="0.4">
      <c r="A77">
        <v>1982</v>
      </c>
      <c r="B77" t="s">
        <v>10</v>
      </c>
      <c r="C77" t="s">
        <v>146</v>
      </c>
      <c r="D77" t="s">
        <v>28</v>
      </c>
      <c r="E77">
        <v>2</v>
      </c>
      <c r="F77">
        <v>256</v>
      </c>
      <c r="G77" t="s">
        <v>212</v>
      </c>
      <c r="H77" t="s">
        <v>144</v>
      </c>
      <c r="I77" t="s">
        <v>28</v>
      </c>
      <c r="J77">
        <v>1</v>
      </c>
    </row>
    <row r="78" spans="1:10" x14ac:dyDescent="0.4">
      <c r="A78">
        <v>1981</v>
      </c>
      <c r="B78" t="s">
        <v>268</v>
      </c>
      <c r="C78" t="s">
        <v>282</v>
      </c>
      <c r="D78" t="s">
        <v>28</v>
      </c>
      <c r="E78">
        <v>1</v>
      </c>
      <c r="F78">
        <v>60</v>
      </c>
      <c r="G78" t="s">
        <v>404</v>
      </c>
      <c r="H78" t="s">
        <v>405</v>
      </c>
      <c r="I78" t="s">
        <v>181</v>
      </c>
      <c r="J78">
        <v>2</v>
      </c>
    </row>
    <row r="79" spans="1:10" x14ac:dyDescent="0.4">
      <c r="A79">
        <v>1981</v>
      </c>
      <c r="B79" t="s">
        <v>10</v>
      </c>
      <c r="C79" t="s">
        <v>144</v>
      </c>
      <c r="D79" t="s">
        <v>28</v>
      </c>
      <c r="E79">
        <v>2</v>
      </c>
      <c r="F79">
        <v>202</v>
      </c>
      <c r="G79" t="s">
        <v>211</v>
      </c>
      <c r="H79" t="s">
        <v>142</v>
      </c>
      <c r="I79" t="s">
        <v>143</v>
      </c>
      <c r="J79">
        <v>1</v>
      </c>
    </row>
    <row r="80" spans="1:10" x14ac:dyDescent="0.4">
      <c r="A80">
        <v>1980</v>
      </c>
      <c r="B80" t="s">
        <v>268</v>
      </c>
      <c r="C80" t="s">
        <v>280</v>
      </c>
      <c r="D80" t="s">
        <v>12</v>
      </c>
      <c r="E80">
        <v>4</v>
      </c>
      <c r="F80">
        <v>93</v>
      </c>
      <c r="G80" t="s">
        <v>281</v>
      </c>
      <c r="H80" t="s">
        <v>282</v>
      </c>
      <c r="I80" t="s">
        <v>28</v>
      </c>
      <c r="J80">
        <v>3</v>
      </c>
    </row>
    <row r="81" spans="1:10" x14ac:dyDescent="0.4">
      <c r="A81">
        <v>1980</v>
      </c>
      <c r="B81" t="s">
        <v>10</v>
      </c>
      <c r="C81" t="s">
        <v>142</v>
      </c>
      <c r="D81" t="s">
        <v>143</v>
      </c>
      <c r="E81">
        <v>1</v>
      </c>
      <c r="F81">
        <v>233</v>
      </c>
      <c r="G81" t="s">
        <v>145</v>
      </c>
      <c r="H81" t="s">
        <v>144</v>
      </c>
      <c r="I81" t="s">
        <v>28</v>
      </c>
      <c r="J81">
        <v>2</v>
      </c>
    </row>
    <row r="82" spans="1:10" x14ac:dyDescent="0.4">
      <c r="A82">
        <v>1979</v>
      </c>
      <c r="B82" t="s">
        <v>268</v>
      </c>
      <c r="C82" t="s">
        <v>300</v>
      </c>
      <c r="D82" t="s">
        <v>28</v>
      </c>
      <c r="E82">
        <v>1</v>
      </c>
      <c r="F82">
        <v>60</v>
      </c>
      <c r="G82" t="s">
        <v>411</v>
      </c>
      <c r="H82" t="s">
        <v>282</v>
      </c>
      <c r="I82" t="s">
        <v>28</v>
      </c>
      <c r="J82">
        <v>2</v>
      </c>
    </row>
    <row r="83" spans="1:10" x14ac:dyDescent="0.4">
      <c r="A83">
        <v>1979</v>
      </c>
      <c r="B83" t="s">
        <v>10</v>
      </c>
      <c r="C83" t="s">
        <v>142</v>
      </c>
      <c r="D83" t="s">
        <v>143</v>
      </c>
      <c r="E83">
        <v>1</v>
      </c>
      <c r="F83">
        <v>169</v>
      </c>
      <c r="G83" t="s">
        <v>149</v>
      </c>
      <c r="H83" t="s">
        <v>148</v>
      </c>
      <c r="I83" t="s">
        <v>28</v>
      </c>
      <c r="J83">
        <v>5</v>
      </c>
    </row>
    <row r="84" spans="1:10" x14ac:dyDescent="0.4">
      <c r="A84">
        <v>1978</v>
      </c>
      <c r="B84" t="s">
        <v>268</v>
      </c>
      <c r="C84" t="s">
        <v>300</v>
      </c>
      <c r="D84" t="s">
        <v>28</v>
      </c>
      <c r="E84">
        <v>2</v>
      </c>
      <c r="F84">
        <v>102</v>
      </c>
      <c r="G84" t="s">
        <v>443</v>
      </c>
      <c r="H84" t="s">
        <v>399</v>
      </c>
      <c r="I84" t="s">
        <v>28</v>
      </c>
      <c r="J84">
        <v>1</v>
      </c>
    </row>
    <row r="85" spans="1:10" x14ac:dyDescent="0.4">
      <c r="A85">
        <v>1978</v>
      </c>
      <c r="B85" t="s">
        <v>10</v>
      </c>
      <c r="C85" t="s">
        <v>142</v>
      </c>
      <c r="D85" t="s">
        <v>143</v>
      </c>
      <c r="E85">
        <v>1</v>
      </c>
      <c r="F85">
        <v>108</v>
      </c>
      <c r="G85" t="s">
        <v>147</v>
      </c>
      <c r="H85" t="s">
        <v>146</v>
      </c>
      <c r="I85" t="s">
        <v>28</v>
      </c>
      <c r="J85">
        <v>2</v>
      </c>
    </row>
    <row r="86" spans="1:10" x14ac:dyDescent="0.4">
      <c r="A86">
        <v>1977</v>
      </c>
      <c r="B86" t="s">
        <v>268</v>
      </c>
      <c r="C86" t="s">
        <v>369</v>
      </c>
      <c r="D86" t="s">
        <v>15</v>
      </c>
      <c r="E86">
        <v>3</v>
      </c>
      <c r="F86">
        <v>98</v>
      </c>
      <c r="G86" t="s">
        <v>370</v>
      </c>
      <c r="H86" t="s">
        <v>371</v>
      </c>
      <c r="I86" t="s">
        <v>262</v>
      </c>
      <c r="J86">
        <v>7</v>
      </c>
    </row>
    <row r="87" spans="1:10" x14ac:dyDescent="0.4">
      <c r="A87">
        <v>1977</v>
      </c>
      <c r="B87" t="s">
        <v>10</v>
      </c>
      <c r="C87" t="s">
        <v>142</v>
      </c>
      <c r="D87" t="s">
        <v>143</v>
      </c>
      <c r="E87">
        <v>2</v>
      </c>
      <c r="F87">
        <v>194</v>
      </c>
      <c r="G87" t="s">
        <v>210</v>
      </c>
      <c r="H87" t="s">
        <v>146</v>
      </c>
      <c r="I87" t="s">
        <v>28</v>
      </c>
      <c r="J87">
        <v>1</v>
      </c>
    </row>
    <row r="88" spans="1:10" x14ac:dyDescent="0.4">
      <c r="A88">
        <v>1976</v>
      </c>
      <c r="B88" t="s">
        <v>268</v>
      </c>
      <c r="C88" t="s">
        <v>399</v>
      </c>
      <c r="D88" t="s">
        <v>28</v>
      </c>
      <c r="E88">
        <v>1</v>
      </c>
      <c r="F88">
        <v>120</v>
      </c>
      <c r="G88" t="s">
        <v>400</v>
      </c>
      <c r="H88" t="s">
        <v>280</v>
      </c>
      <c r="I88" t="s">
        <v>12</v>
      </c>
      <c r="J88">
        <v>2</v>
      </c>
    </row>
    <row r="89" spans="1:10" x14ac:dyDescent="0.4">
      <c r="A89">
        <v>1976</v>
      </c>
      <c r="B89" t="s">
        <v>10</v>
      </c>
      <c r="C89" t="s">
        <v>142</v>
      </c>
      <c r="D89" t="s">
        <v>143</v>
      </c>
      <c r="E89">
        <v>4</v>
      </c>
      <c r="F89">
        <v>110</v>
      </c>
      <c r="G89" t="s">
        <v>241</v>
      </c>
      <c r="H89" t="s">
        <v>161</v>
      </c>
      <c r="I89" t="s">
        <v>160</v>
      </c>
      <c r="J89">
        <v>3</v>
      </c>
    </row>
    <row r="90" spans="1:10" x14ac:dyDescent="0.4">
      <c r="A90">
        <v>1975</v>
      </c>
      <c r="B90" t="s">
        <v>268</v>
      </c>
      <c r="C90" t="s">
        <v>271</v>
      </c>
      <c r="D90" t="s">
        <v>28</v>
      </c>
      <c r="E90">
        <v>3</v>
      </c>
      <c r="F90">
        <v>38</v>
      </c>
      <c r="G90" t="s">
        <v>458</v>
      </c>
      <c r="H90" t="s">
        <v>280</v>
      </c>
      <c r="I90" t="s">
        <v>12</v>
      </c>
      <c r="J90">
        <v>4</v>
      </c>
    </row>
    <row r="91" spans="1:10" x14ac:dyDescent="0.4">
      <c r="A91">
        <v>1975</v>
      </c>
      <c r="B91" t="s">
        <v>10</v>
      </c>
      <c r="C91" t="s">
        <v>250</v>
      </c>
      <c r="D91" t="s">
        <v>28</v>
      </c>
      <c r="E91">
        <v>6</v>
      </c>
      <c r="F91">
        <v>125</v>
      </c>
      <c r="G91" t="s">
        <v>251</v>
      </c>
      <c r="H91" t="s">
        <v>146</v>
      </c>
      <c r="I91" t="s">
        <v>28</v>
      </c>
      <c r="J91">
        <v>1</v>
      </c>
    </row>
    <row r="92" spans="1:10" x14ac:dyDescent="0.4">
      <c r="A92">
        <v>1974</v>
      </c>
      <c r="B92" t="s">
        <v>268</v>
      </c>
      <c r="C92" t="s">
        <v>399</v>
      </c>
      <c r="D92" t="s">
        <v>28</v>
      </c>
      <c r="E92">
        <v>2</v>
      </c>
      <c r="F92">
        <v>59</v>
      </c>
      <c r="G92" t="s">
        <v>361</v>
      </c>
      <c r="H92" t="s">
        <v>455</v>
      </c>
      <c r="I92" t="s">
        <v>194</v>
      </c>
      <c r="J92">
        <v>8</v>
      </c>
    </row>
    <row r="93" spans="1:10" x14ac:dyDescent="0.4">
      <c r="A93">
        <v>1974</v>
      </c>
      <c r="B93" t="s">
        <v>10</v>
      </c>
      <c r="C93" t="s">
        <v>146</v>
      </c>
      <c r="D93" t="s">
        <v>28</v>
      </c>
      <c r="E93">
        <v>3</v>
      </c>
      <c r="F93">
        <v>93</v>
      </c>
      <c r="G93" t="s">
        <v>233</v>
      </c>
      <c r="H93" t="s">
        <v>101</v>
      </c>
      <c r="I93" t="s">
        <v>12</v>
      </c>
      <c r="J93">
        <v>9</v>
      </c>
    </row>
    <row r="94" spans="1:10" x14ac:dyDescent="0.4">
      <c r="A94">
        <v>1973</v>
      </c>
      <c r="B94" t="s">
        <v>268</v>
      </c>
      <c r="C94" t="s">
        <v>271</v>
      </c>
      <c r="D94" t="s">
        <v>28</v>
      </c>
      <c r="E94">
        <v>2</v>
      </c>
      <c r="F94">
        <v>53</v>
      </c>
      <c r="G94" t="s">
        <v>449</v>
      </c>
      <c r="H94" t="s">
        <v>399</v>
      </c>
      <c r="I94" t="s">
        <v>28</v>
      </c>
      <c r="J94">
        <v>4</v>
      </c>
    </row>
    <row r="95" spans="1:10" x14ac:dyDescent="0.4">
      <c r="A95">
        <v>1973</v>
      </c>
      <c r="B95" t="s">
        <v>10</v>
      </c>
      <c r="C95" t="s">
        <v>193</v>
      </c>
      <c r="D95" t="s">
        <v>107</v>
      </c>
      <c r="E95">
        <v>2</v>
      </c>
      <c r="F95">
        <v>110</v>
      </c>
      <c r="G95" t="s">
        <v>196</v>
      </c>
      <c r="H95" t="s">
        <v>195</v>
      </c>
      <c r="I95" t="s">
        <v>194</v>
      </c>
      <c r="J95">
        <v>4</v>
      </c>
    </row>
    <row r="96" spans="1:10" x14ac:dyDescent="0.4">
      <c r="A96">
        <v>1972</v>
      </c>
      <c r="B96" t="s">
        <v>268</v>
      </c>
      <c r="C96" t="s">
        <v>271</v>
      </c>
      <c r="D96" t="s">
        <v>28</v>
      </c>
      <c r="E96">
        <v>2</v>
      </c>
      <c r="F96">
        <v>50</v>
      </c>
      <c r="G96" t="s">
        <v>442</v>
      </c>
      <c r="H96" t="s">
        <v>278</v>
      </c>
      <c r="I96" t="s">
        <v>12</v>
      </c>
      <c r="J96">
        <v>1</v>
      </c>
    </row>
    <row r="97" spans="1:10" x14ac:dyDescent="0.4">
      <c r="A97">
        <v>1972</v>
      </c>
      <c r="B97" t="s">
        <v>10</v>
      </c>
      <c r="C97" t="s">
        <v>159</v>
      </c>
      <c r="D97" t="s">
        <v>28</v>
      </c>
      <c r="E97">
        <v>1</v>
      </c>
      <c r="F97">
        <v>161</v>
      </c>
      <c r="G97" t="s">
        <v>162</v>
      </c>
      <c r="H97" t="s">
        <v>161</v>
      </c>
      <c r="I97" t="s">
        <v>160</v>
      </c>
      <c r="J97">
        <v>2</v>
      </c>
    </row>
    <row r="98" spans="1:10" x14ac:dyDescent="0.4">
      <c r="A98">
        <v>1971</v>
      </c>
      <c r="B98" t="s">
        <v>268</v>
      </c>
      <c r="C98" t="s">
        <v>278</v>
      </c>
      <c r="D98" t="s">
        <v>12</v>
      </c>
      <c r="E98">
        <v>3</v>
      </c>
      <c r="F98">
        <v>62</v>
      </c>
      <c r="G98" t="s">
        <v>279</v>
      </c>
      <c r="H98" t="s">
        <v>269</v>
      </c>
      <c r="I98" t="s">
        <v>12</v>
      </c>
      <c r="J98">
        <v>1</v>
      </c>
    </row>
    <row r="99" spans="1:10" x14ac:dyDescent="0.4">
      <c r="A99">
        <v>1971</v>
      </c>
      <c r="B99" t="s">
        <v>10</v>
      </c>
      <c r="C99" t="s">
        <v>117</v>
      </c>
      <c r="D99" t="s">
        <v>12</v>
      </c>
      <c r="E99">
        <v>2</v>
      </c>
      <c r="F99">
        <v>170</v>
      </c>
      <c r="G99" t="s">
        <v>189</v>
      </c>
      <c r="H99" t="s">
        <v>159</v>
      </c>
      <c r="I99" t="s">
        <v>28</v>
      </c>
      <c r="J99">
        <v>4</v>
      </c>
    </row>
    <row r="100" spans="1:10" x14ac:dyDescent="0.4">
      <c r="A100">
        <v>1970</v>
      </c>
      <c r="B100" t="s">
        <v>268</v>
      </c>
      <c r="C100" t="s">
        <v>269</v>
      </c>
      <c r="D100" t="s">
        <v>12</v>
      </c>
      <c r="E100">
        <v>1</v>
      </c>
      <c r="F100">
        <v>148</v>
      </c>
      <c r="G100" t="s">
        <v>270</v>
      </c>
      <c r="H100" t="s">
        <v>271</v>
      </c>
      <c r="I100" t="s">
        <v>28</v>
      </c>
      <c r="J100">
        <v>2</v>
      </c>
    </row>
    <row r="101" spans="1:10" x14ac:dyDescent="0.4">
      <c r="A101">
        <v>1970</v>
      </c>
      <c r="B101" t="s">
        <v>10</v>
      </c>
      <c r="C101" t="s">
        <v>117</v>
      </c>
      <c r="D101" t="s">
        <v>12</v>
      </c>
      <c r="E101">
        <v>2</v>
      </c>
      <c r="F101">
        <v>163</v>
      </c>
      <c r="G101" t="s">
        <v>190</v>
      </c>
      <c r="H101" t="s">
        <v>101</v>
      </c>
      <c r="I101" t="s">
        <v>12</v>
      </c>
      <c r="J101">
        <v>5</v>
      </c>
    </row>
    <row r="102" spans="1:10" x14ac:dyDescent="0.4">
      <c r="A102">
        <v>1969</v>
      </c>
      <c r="B102" t="s">
        <v>268</v>
      </c>
      <c r="C102" t="s">
        <v>372</v>
      </c>
      <c r="D102" t="s">
        <v>15</v>
      </c>
      <c r="E102">
        <v>4</v>
      </c>
      <c r="F102">
        <v>71</v>
      </c>
      <c r="G102" t="s">
        <v>373</v>
      </c>
      <c r="H102" t="s">
        <v>271</v>
      </c>
      <c r="I102" t="s">
        <v>28</v>
      </c>
      <c r="J102">
        <v>2</v>
      </c>
    </row>
    <row r="103" spans="1:10" x14ac:dyDescent="0.4">
      <c r="A103">
        <v>1969</v>
      </c>
      <c r="B103" t="s">
        <v>10</v>
      </c>
      <c r="C103" t="s">
        <v>96</v>
      </c>
      <c r="D103" t="s">
        <v>12</v>
      </c>
      <c r="E103">
        <v>1</v>
      </c>
      <c r="F103">
        <v>136</v>
      </c>
      <c r="G103" t="s">
        <v>118</v>
      </c>
      <c r="H103" t="s">
        <v>117</v>
      </c>
      <c r="I103" t="s">
        <v>12</v>
      </c>
      <c r="J103">
        <v>6</v>
      </c>
    </row>
    <row r="104" spans="1:10" x14ac:dyDescent="0.4">
      <c r="A104">
        <v>1968</v>
      </c>
      <c r="B104" t="s">
        <v>268</v>
      </c>
      <c r="C104" t="s">
        <v>271</v>
      </c>
      <c r="D104" t="s">
        <v>28</v>
      </c>
      <c r="E104">
        <v>1</v>
      </c>
      <c r="F104">
        <v>69</v>
      </c>
      <c r="G104" t="s">
        <v>436</v>
      </c>
      <c r="H104" t="s">
        <v>437</v>
      </c>
      <c r="I104" t="s">
        <v>12</v>
      </c>
      <c r="J104">
        <v>7</v>
      </c>
    </row>
    <row r="105" spans="1:10" x14ac:dyDescent="0.4">
      <c r="A105">
        <v>1968</v>
      </c>
      <c r="B105" t="s">
        <v>10</v>
      </c>
      <c r="C105" t="s">
        <v>96</v>
      </c>
      <c r="D105" t="s">
        <v>12</v>
      </c>
      <c r="E105">
        <v>1</v>
      </c>
      <c r="F105">
        <v>60</v>
      </c>
      <c r="G105" t="s">
        <v>17</v>
      </c>
      <c r="H105" t="s">
        <v>97</v>
      </c>
      <c r="I105" t="s">
        <v>12</v>
      </c>
      <c r="J105">
        <v>15</v>
      </c>
    </row>
    <row r="106" spans="1:10" x14ac:dyDescent="0.4">
      <c r="A106">
        <v>1967</v>
      </c>
      <c r="B106" t="s">
        <v>268</v>
      </c>
      <c r="C106" t="s">
        <v>271</v>
      </c>
      <c r="D106" t="s">
        <v>28</v>
      </c>
      <c r="E106">
        <v>1</v>
      </c>
      <c r="F106">
        <v>60</v>
      </c>
      <c r="G106" t="s">
        <v>273</v>
      </c>
      <c r="H106" t="s">
        <v>372</v>
      </c>
      <c r="I106" t="s">
        <v>15</v>
      </c>
      <c r="J106">
        <v>3</v>
      </c>
    </row>
    <row r="107" spans="1:10" x14ac:dyDescent="0.4">
      <c r="A107">
        <v>1967</v>
      </c>
      <c r="B107" t="s">
        <v>10</v>
      </c>
      <c r="C107" t="s">
        <v>117</v>
      </c>
      <c r="D107" t="s">
        <v>12</v>
      </c>
      <c r="E107">
        <v>3</v>
      </c>
      <c r="F107">
        <v>71</v>
      </c>
      <c r="G107" t="s">
        <v>227</v>
      </c>
      <c r="H107" t="s">
        <v>226</v>
      </c>
      <c r="I107" t="s">
        <v>126</v>
      </c>
      <c r="J107" t="s">
        <v>122</v>
      </c>
    </row>
    <row r="108" spans="1:10" x14ac:dyDescent="0.4">
      <c r="A108">
        <v>1966</v>
      </c>
      <c r="B108" t="s">
        <v>268</v>
      </c>
      <c r="C108" t="s">
        <v>271</v>
      </c>
      <c r="D108" t="s">
        <v>28</v>
      </c>
      <c r="E108">
        <v>4</v>
      </c>
      <c r="F108">
        <v>68</v>
      </c>
      <c r="G108" t="s">
        <v>461</v>
      </c>
      <c r="H108" t="s">
        <v>277</v>
      </c>
      <c r="I108" t="s">
        <v>276</v>
      </c>
      <c r="J108">
        <v>2</v>
      </c>
    </row>
    <row r="109" spans="1:10" x14ac:dyDescent="0.4">
      <c r="A109">
        <v>1966</v>
      </c>
      <c r="B109" t="s">
        <v>10</v>
      </c>
      <c r="C109" t="s">
        <v>234</v>
      </c>
      <c r="D109" t="s">
        <v>135</v>
      </c>
      <c r="E109">
        <v>4</v>
      </c>
      <c r="F109">
        <v>104</v>
      </c>
      <c r="G109" t="s">
        <v>236</v>
      </c>
      <c r="H109" t="s">
        <v>235</v>
      </c>
      <c r="I109" t="s">
        <v>28</v>
      </c>
      <c r="J109">
        <v>6</v>
      </c>
    </row>
    <row r="110" spans="1:10" x14ac:dyDescent="0.4">
      <c r="A110">
        <v>1965</v>
      </c>
      <c r="B110" t="s">
        <v>268</v>
      </c>
      <c r="C110" t="s">
        <v>272</v>
      </c>
      <c r="D110" t="s">
        <v>12</v>
      </c>
      <c r="E110">
        <v>2</v>
      </c>
      <c r="F110">
        <v>56</v>
      </c>
      <c r="G110" t="s">
        <v>275</v>
      </c>
      <c r="H110" t="s">
        <v>277</v>
      </c>
      <c r="I110" t="s">
        <v>276</v>
      </c>
      <c r="J110">
        <v>1</v>
      </c>
    </row>
    <row r="111" spans="1:10" x14ac:dyDescent="0.4">
      <c r="A111">
        <v>1965</v>
      </c>
      <c r="B111" t="s">
        <v>10</v>
      </c>
      <c r="C111" t="s">
        <v>103</v>
      </c>
      <c r="D111" t="s">
        <v>12</v>
      </c>
      <c r="E111">
        <v>1</v>
      </c>
      <c r="F111">
        <v>67</v>
      </c>
      <c r="G111" t="s">
        <v>105</v>
      </c>
      <c r="H111" t="s">
        <v>104</v>
      </c>
      <c r="I111" t="s">
        <v>12</v>
      </c>
      <c r="J111">
        <v>2</v>
      </c>
    </row>
    <row r="112" spans="1:10" x14ac:dyDescent="0.4">
      <c r="A112">
        <v>1964</v>
      </c>
      <c r="B112" t="s">
        <v>268</v>
      </c>
      <c r="C112" t="s">
        <v>277</v>
      </c>
      <c r="D112" t="s">
        <v>276</v>
      </c>
      <c r="E112">
        <v>2</v>
      </c>
      <c r="F112">
        <v>90</v>
      </c>
      <c r="G112" t="s">
        <v>285</v>
      </c>
      <c r="H112" t="s">
        <v>272</v>
      </c>
      <c r="I112" t="s">
        <v>12</v>
      </c>
      <c r="J112">
        <v>1</v>
      </c>
    </row>
    <row r="113" spans="1:10" x14ac:dyDescent="0.4">
      <c r="A113">
        <v>1964</v>
      </c>
      <c r="B113" t="s">
        <v>10</v>
      </c>
      <c r="C113" t="s">
        <v>103</v>
      </c>
      <c r="D113" t="s">
        <v>12</v>
      </c>
      <c r="E113">
        <v>1</v>
      </c>
      <c r="F113">
        <v>127</v>
      </c>
      <c r="G113" t="s">
        <v>119</v>
      </c>
      <c r="H113" t="s">
        <v>104</v>
      </c>
      <c r="I113" t="s">
        <v>12</v>
      </c>
      <c r="J113">
        <v>6</v>
      </c>
    </row>
    <row r="114" spans="1:10" x14ac:dyDescent="0.4">
      <c r="A114">
        <v>1963</v>
      </c>
      <c r="B114" t="s">
        <v>268</v>
      </c>
      <c r="C114" t="s">
        <v>272</v>
      </c>
      <c r="D114" t="s">
        <v>12</v>
      </c>
      <c r="E114">
        <v>1</v>
      </c>
      <c r="F114">
        <v>51</v>
      </c>
      <c r="G114" t="s">
        <v>273</v>
      </c>
      <c r="H114" t="s">
        <v>274</v>
      </c>
      <c r="I114" t="s">
        <v>28</v>
      </c>
    </row>
    <row r="115" spans="1:10" x14ac:dyDescent="0.4">
      <c r="A115">
        <v>1963</v>
      </c>
      <c r="B115" t="s">
        <v>10</v>
      </c>
      <c r="C115" t="s">
        <v>191</v>
      </c>
      <c r="D115" t="s">
        <v>28</v>
      </c>
      <c r="E115">
        <v>4</v>
      </c>
      <c r="F115">
        <v>78</v>
      </c>
      <c r="G115" t="s">
        <v>242</v>
      </c>
      <c r="H115" t="s">
        <v>104</v>
      </c>
      <c r="I115" t="s">
        <v>12</v>
      </c>
      <c r="J115" t="s">
        <v>122</v>
      </c>
    </row>
    <row r="116" spans="1:10" x14ac:dyDescent="0.4">
      <c r="A116">
        <v>1962</v>
      </c>
      <c r="B116" t="s">
        <v>268</v>
      </c>
      <c r="C116" t="s">
        <v>468</v>
      </c>
      <c r="D116" t="s">
        <v>28</v>
      </c>
      <c r="E116">
        <v>8</v>
      </c>
      <c r="F116">
        <v>57</v>
      </c>
      <c r="G116" t="s">
        <v>411</v>
      </c>
      <c r="H116" t="s">
        <v>469</v>
      </c>
      <c r="I116" t="s">
        <v>181</v>
      </c>
    </row>
    <row r="117" spans="1:10" x14ac:dyDescent="0.4">
      <c r="A117">
        <v>1962</v>
      </c>
      <c r="B117" t="s">
        <v>10</v>
      </c>
      <c r="C117" t="s">
        <v>96</v>
      </c>
      <c r="D117" t="s">
        <v>12</v>
      </c>
      <c r="E117">
        <v>1</v>
      </c>
      <c r="F117">
        <v>51</v>
      </c>
      <c r="G117" t="s">
        <v>121</v>
      </c>
      <c r="H117" t="s">
        <v>120</v>
      </c>
      <c r="I117" t="s">
        <v>12</v>
      </c>
      <c r="J117" t="s">
        <v>122</v>
      </c>
    </row>
    <row r="118" spans="1:10" x14ac:dyDescent="0.4">
      <c r="A118">
        <v>1961</v>
      </c>
      <c r="B118" t="s">
        <v>268</v>
      </c>
      <c r="C118" t="s">
        <v>377</v>
      </c>
      <c r="D118" t="s">
        <v>15</v>
      </c>
      <c r="E118">
        <v>7</v>
      </c>
      <c r="F118">
        <v>96</v>
      </c>
      <c r="G118" t="s">
        <v>378</v>
      </c>
      <c r="H118" t="s">
        <v>379</v>
      </c>
      <c r="I118" t="s">
        <v>15</v>
      </c>
      <c r="J118">
        <v>6</v>
      </c>
    </row>
    <row r="119" spans="1:10" x14ac:dyDescent="0.4">
      <c r="A119">
        <v>1961</v>
      </c>
      <c r="B119" t="s">
        <v>10</v>
      </c>
      <c r="C119" t="s">
        <v>96</v>
      </c>
      <c r="D119" t="s">
        <v>12</v>
      </c>
      <c r="E119">
        <v>2</v>
      </c>
      <c r="F119">
        <v>55</v>
      </c>
      <c r="G119" t="s">
        <v>192</v>
      </c>
      <c r="H119" t="s">
        <v>191</v>
      </c>
      <c r="I119" t="s">
        <v>28</v>
      </c>
      <c r="J119">
        <v>8</v>
      </c>
    </row>
    <row r="120" spans="1:10" x14ac:dyDescent="0.4">
      <c r="A120">
        <v>1960</v>
      </c>
      <c r="B120" t="s">
        <v>268</v>
      </c>
      <c r="C120" t="s">
        <v>277</v>
      </c>
      <c r="D120" t="s">
        <v>276</v>
      </c>
      <c r="E120">
        <v>1</v>
      </c>
      <c r="F120">
        <v>59</v>
      </c>
      <c r="G120" t="s">
        <v>283</v>
      </c>
      <c r="H120" t="s">
        <v>284</v>
      </c>
      <c r="I120" t="s">
        <v>90</v>
      </c>
      <c r="J120">
        <v>8</v>
      </c>
    </row>
    <row r="121" spans="1:10" x14ac:dyDescent="0.4">
      <c r="A121">
        <v>1960</v>
      </c>
      <c r="B121" t="s">
        <v>10</v>
      </c>
      <c r="C121" t="s">
        <v>114</v>
      </c>
      <c r="D121" t="s">
        <v>12</v>
      </c>
      <c r="E121">
        <v>1</v>
      </c>
      <c r="F121">
        <v>130</v>
      </c>
      <c r="G121" t="s">
        <v>115</v>
      </c>
      <c r="H121" t="s">
        <v>96</v>
      </c>
      <c r="I121" t="s">
        <v>12</v>
      </c>
      <c r="J121">
        <v>3</v>
      </c>
    </row>
    <row r="122" spans="1:10" x14ac:dyDescent="0.4">
      <c r="A122">
        <v>1959</v>
      </c>
      <c r="B122" t="s">
        <v>268</v>
      </c>
      <c r="C122" t="s">
        <v>277</v>
      </c>
      <c r="D122" t="s">
        <v>276</v>
      </c>
      <c r="E122">
        <v>6</v>
      </c>
      <c r="F122">
        <v>43</v>
      </c>
      <c r="G122" t="s">
        <v>286</v>
      </c>
      <c r="H122" t="s">
        <v>287</v>
      </c>
      <c r="I122" t="s">
        <v>28</v>
      </c>
      <c r="J122">
        <v>4</v>
      </c>
    </row>
    <row r="123" spans="1:10" x14ac:dyDescent="0.4">
      <c r="A123">
        <v>1959</v>
      </c>
      <c r="B123" t="s">
        <v>10</v>
      </c>
      <c r="C123" t="s">
        <v>173</v>
      </c>
      <c r="D123" t="s">
        <v>28</v>
      </c>
      <c r="E123">
        <v>1</v>
      </c>
      <c r="F123">
        <v>71</v>
      </c>
      <c r="G123" t="s">
        <v>124</v>
      </c>
      <c r="H123" t="s">
        <v>96</v>
      </c>
      <c r="I123" t="s">
        <v>12</v>
      </c>
      <c r="J123" t="s">
        <v>122</v>
      </c>
    </row>
    <row r="124" spans="1:10" x14ac:dyDescent="0.4">
      <c r="A124">
        <v>1958</v>
      </c>
      <c r="B124" t="s">
        <v>268</v>
      </c>
      <c r="C124" t="s">
        <v>431</v>
      </c>
      <c r="D124" t="s">
        <v>28</v>
      </c>
      <c r="E124">
        <v>1</v>
      </c>
      <c r="F124">
        <v>62</v>
      </c>
      <c r="G124" t="s">
        <v>438</v>
      </c>
      <c r="H124" t="s">
        <v>377</v>
      </c>
      <c r="I124" t="s">
        <v>15</v>
      </c>
    </row>
    <row r="125" spans="1:10" x14ac:dyDescent="0.4">
      <c r="A125">
        <v>1958</v>
      </c>
      <c r="B125" t="s">
        <v>10</v>
      </c>
      <c r="C125" t="s">
        <v>99</v>
      </c>
      <c r="D125" t="s">
        <v>12</v>
      </c>
      <c r="E125">
        <v>1</v>
      </c>
      <c r="F125">
        <v>130</v>
      </c>
      <c r="G125" t="s">
        <v>116</v>
      </c>
      <c r="H125" t="s">
        <v>114</v>
      </c>
      <c r="I125" t="s">
        <v>12</v>
      </c>
      <c r="J125">
        <v>4</v>
      </c>
    </row>
    <row r="126" spans="1:10" x14ac:dyDescent="0.4">
      <c r="A126">
        <v>1957</v>
      </c>
      <c r="B126" t="s">
        <v>268</v>
      </c>
      <c r="C126" t="s">
        <v>431</v>
      </c>
      <c r="D126" t="s">
        <v>28</v>
      </c>
      <c r="E126">
        <v>1</v>
      </c>
      <c r="F126">
        <v>50</v>
      </c>
      <c r="G126" t="s">
        <v>432</v>
      </c>
      <c r="H126" t="s">
        <v>287</v>
      </c>
      <c r="I126" t="s">
        <v>28</v>
      </c>
      <c r="J126">
        <v>5</v>
      </c>
    </row>
    <row r="127" spans="1:10" x14ac:dyDescent="0.4">
      <c r="A127">
        <v>1957</v>
      </c>
      <c r="B127" t="s">
        <v>10</v>
      </c>
      <c r="C127" t="s">
        <v>98</v>
      </c>
      <c r="D127" t="s">
        <v>12</v>
      </c>
      <c r="E127">
        <v>1</v>
      </c>
      <c r="F127">
        <v>57</v>
      </c>
      <c r="G127" t="s">
        <v>100</v>
      </c>
      <c r="H127" t="s">
        <v>99</v>
      </c>
      <c r="I127" t="s">
        <v>12</v>
      </c>
      <c r="J127">
        <v>2</v>
      </c>
    </row>
    <row r="128" spans="1:10" x14ac:dyDescent="0.4">
      <c r="A128">
        <v>1956</v>
      </c>
      <c r="B128" t="s">
        <v>268</v>
      </c>
      <c r="C128" t="s">
        <v>460</v>
      </c>
      <c r="D128" t="s">
        <v>28</v>
      </c>
      <c r="E128">
        <v>5</v>
      </c>
      <c r="F128">
        <v>50</v>
      </c>
      <c r="G128" t="s">
        <v>464</v>
      </c>
      <c r="H128" t="s">
        <v>465</v>
      </c>
      <c r="I128" t="s">
        <v>15</v>
      </c>
      <c r="J128">
        <v>6</v>
      </c>
    </row>
    <row r="129" spans="1:10" x14ac:dyDescent="0.4">
      <c r="A129">
        <v>1956</v>
      </c>
      <c r="B129" t="s">
        <v>10</v>
      </c>
      <c r="C129" t="s">
        <v>98</v>
      </c>
      <c r="D129" t="s">
        <v>12</v>
      </c>
      <c r="E129">
        <v>1</v>
      </c>
      <c r="F129">
        <v>117</v>
      </c>
      <c r="G129" t="s">
        <v>102</v>
      </c>
      <c r="H129" t="s">
        <v>101</v>
      </c>
      <c r="I129" t="s">
        <v>12</v>
      </c>
      <c r="J129">
        <v>2</v>
      </c>
    </row>
    <row r="130" spans="1:10" x14ac:dyDescent="0.4">
      <c r="A130">
        <v>1955</v>
      </c>
      <c r="B130" t="s">
        <v>268</v>
      </c>
      <c r="C130" t="s">
        <v>406</v>
      </c>
      <c r="D130" t="s">
        <v>28</v>
      </c>
      <c r="E130">
        <v>2</v>
      </c>
      <c r="F130">
        <v>90</v>
      </c>
      <c r="G130" t="s">
        <v>445</v>
      </c>
      <c r="H130" t="s">
        <v>446</v>
      </c>
      <c r="I130" t="s">
        <v>28</v>
      </c>
      <c r="J130">
        <v>3</v>
      </c>
    </row>
    <row r="131" spans="1:10" x14ac:dyDescent="0.4">
      <c r="A131">
        <v>1955</v>
      </c>
      <c r="B131" t="s">
        <v>10</v>
      </c>
      <c r="C131" t="s">
        <v>174</v>
      </c>
      <c r="D131" t="s">
        <v>28</v>
      </c>
      <c r="E131">
        <v>1</v>
      </c>
      <c r="F131">
        <v>73</v>
      </c>
      <c r="G131" t="s">
        <v>177</v>
      </c>
      <c r="H131" t="s">
        <v>176</v>
      </c>
      <c r="I131" t="s">
        <v>175</v>
      </c>
      <c r="J131" t="s">
        <v>122</v>
      </c>
    </row>
    <row r="132" spans="1:10" x14ac:dyDescent="0.4">
      <c r="A132">
        <v>1954</v>
      </c>
      <c r="B132" t="s">
        <v>268</v>
      </c>
      <c r="C132" t="s">
        <v>413</v>
      </c>
      <c r="D132" t="s">
        <v>28</v>
      </c>
      <c r="E132">
        <v>1</v>
      </c>
      <c r="F132">
        <v>50</v>
      </c>
      <c r="G132" t="s">
        <v>429</v>
      </c>
      <c r="H132" t="s">
        <v>406</v>
      </c>
      <c r="I132" t="s">
        <v>28</v>
      </c>
      <c r="J132">
        <v>4</v>
      </c>
    </row>
    <row r="133" spans="1:10" x14ac:dyDescent="0.4">
      <c r="A133">
        <v>1954</v>
      </c>
      <c r="B133" t="s">
        <v>10</v>
      </c>
      <c r="C133" t="s">
        <v>108</v>
      </c>
      <c r="D133" t="s">
        <v>107</v>
      </c>
      <c r="E133">
        <v>11</v>
      </c>
      <c r="F133">
        <v>157</v>
      </c>
      <c r="G133" t="s">
        <v>184</v>
      </c>
      <c r="H133" t="s">
        <v>101</v>
      </c>
      <c r="I133" t="s">
        <v>12</v>
      </c>
      <c r="J133">
        <v>3</v>
      </c>
    </row>
    <row r="134" spans="1:10" x14ac:dyDescent="0.4">
      <c r="A134">
        <v>1953</v>
      </c>
      <c r="B134" t="s">
        <v>268</v>
      </c>
      <c r="C134" t="s">
        <v>413</v>
      </c>
      <c r="D134" t="s">
        <v>28</v>
      </c>
      <c r="E134">
        <v>1</v>
      </c>
      <c r="F134">
        <v>67</v>
      </c>
      <c r="G134" t="s">
        <v>414</v>
      </c>
      <c r="H134" t="s">
        <v>415</v>
      </c>
      <c r="I134" t="s">
        <v>28</v>
      </c>
      <c r="J134">
        <v>2</v>
      </c>
    </row>
    <row r="135" spans="1:10" x14ac:dyDescent="0.4">
      <c r="A135">
        <v>1953</v>
      </c>
      <c r="B135" t="s">
        <v>10</v>
      </c>
      <c r="C135" t="s">
        <v>220</v>
      </c>
      <c r="D135" t="s">
        <v>28</v>
      </c>
      <c r="E135">
        <v>2</v>
      </c>
      <c r="F135">
        <v>80</v>
      </c>
      <c r="G135" t="s">
        <v>221</v>
      </c>
      <c r="H135" t="s">
        <v>176</v>
      </c>
      <c r="I135" t="s">
        <v>175</v>
      </c>
      <c r="J135" t="s">
        <v>122</v>
      </c>
    </row>
    <row r="136" spans="1:10" x14ac:dyDescent="0.4">
      <c r="A136">
        <v>1952</v>
      </c>
      <c r="B136" t="s">
        <v>268</v>
      </c>
      <c r="C136" t="s">
        <v>413</v>
      </c>
      <c r="D136" t="s">
        <v>28</v>
      </c>
      <c r="E136">
        <v>2</v>
      </c>
      <c r="F136">
        <v>65</v>
      </c>
      <c r="G136" t="s">
        <v>403</v>
      </c>
      <c r="H136" t="s">
        <v>406</v>
      </c>
      <c r="I136" t="s">
        <v>28</v>
      </c>
      <c r="J136">
        <v>4</v>
      </c>
    </row>
    <row r="137" spans="1:10" x14ac:dyDescent="0.4">
      <c r="A137">
        <v>1952</v>
      </c>
      <c r="B137" t="s">
        <v>10</v>
      </c>
      <c r="C137" t="s">
        <v>106</v>
      </c>
      <c r="D137" t="s">
        <v>12</v>
      </c>
      <c r="E137">
        <v>1</v>
      </c>
      <c r="F137">
        <v>80</v>
      </c>
      <c r="G137" t="s">
        <v>109</v>
      </c>
      <c r="H137" t="s">
        <v>108</v>
      </c>
      <c r="I137" t="s">
        <v>107</v>
      </c>
      <c r="J137">
        <v>2</v>
      </c>
    </row>
    <row r="138" spans="1:10" x14ac:dyDescent="0.4">
      <c r="A138">
        <v>1951</v>
      </c>
      <c r="B138" t="s">
        <v>268</v>
      </c>
      <c r="C138" t="s">
        <v>415</v>
      </c>
      <c r="D138" t="s">
        <v>28</v>
      </c>
      <c r="E138">
        <v>3</v>
      </c>
      <c r="F138">
        <v>35</v>
      </c>
      <c r="G138" t="s">
        <v>459</v>
      </c>
      <c r="H138" t="s">
        <v>460</v>
      </c>
      <c r="I138" t="s">
        <v>28</v>
      </c>
      <c r="J138">
        <v>4</v>
      </c>
    </row>
    <row r="139" spans="1:10" x14ac:dyDescent="0.4">
      <c r="A139">
        <v>1951</v>
      </c>
      <c r="B139" t="s">
        <v>10</v>
      </c>
      <c r="C139" t="s">
        <v>252</v>
      </c>
      <c r="D139" t="s">
        <v>28</v>
      </c>
      <c r="E139">
        <v>6</v>
      </c>
      <c r="F139">
        <v>62</v>
      </c>
      <c r="G139" t="s">
        <v>254</v>
      </c>
      <c r="H139" t="s">
        <v>253</v>
      </c>
      <c r="I139" t="s">
        <v>12</v>
      </c>
      <c r="J139">
        <v>7</v>
      </c>
    </row>
    <row r="140" spans="1:10" x14ac:dyDescent="0.4">
      <c r="A140">
        <v>1950</v>
      </c>
      <c r="B140" t="s">
        <v>268</v>
      </c>
      <c r="C140" t="s">
        <v>406</v>
      </c>
      <c r="D140" t="s">
        <v>28</v>
      </c>
      <c r="E140">
        <v>1</v>
      </c>
      <c r="F140">
        <v>62</v>
      </c>
      <c r="G140" t="s">
        <v>409</v>
      </c>
      <c r="H140" t="s">
        <v>408</v>
      </c>
      <c r="I140" t="s">
        <v>28</v>
      </c>
      <c r="J140">
        <v>2</v>
      </c>
    </row>
    <row r="141" spans="1:10" x14ac:dyDescent="0.4">
      <c r="A141">
        <v>1950</v>
      </c>
      <c r="B141" t="s">
        <v>10</v>
      </c>
      <c r="C141" t="s">
        <v>246</v>
      </c>
      <c r="D141" t="s">
        <v>28</v>
      </c>
      <c r="E141">
        <v>5</v>
      </c>
      <c r="F141">
        <v>120</v>
      </c>
      <c r="G141" t="s">
        <v>247</v>
      </c>
      <c r="H141" t="s">
        <v>106</v>
      </c>
      <c r="I141" t="s">
        <v>12</v>
      </c>
      <c r="J141">
        <v>1</v>
      </c>
    </row>
    <row r="142" spans="1:10" x14ac:dyDescent="0.4">
      <c r="A142">
        <v>1949</v>
      </c>
      <c r="B142" t="s">
        <v>268</v>
      </c>
      <c r="C142" t="s">
        <v>406</v>
      </c>
      <c r="D142" t="s">
        <v>28</v>
      </c>
      <c r="E142">
        <v>1</v>
      </c>
      <c r="F142">
        <v>120</v>
      </c>
      <c r="G142" t="s">
        <v>407</v>
      </c>
      <c r="H142" t="s">
        <v>408</v>
      </c>
      <c r="I142" t="s">
        <v>28</v>
      </c>
      <c r="J142">
        <v>2</v>
      </c>
    </row>
    <row r="143" spans="1:10" x14ac:dyDescent="0.4">
      <c r="A143">
        <v>1949</v>
      </c>
      <c r="B143" t="s">
        <v>10</v>
      </c>
      <c r="C143" t="s">
        <v>171</v>
      </c>
      <c r="D143" t="s">
        <v>28</v>
      </c>
      <c r="E143">
        <v>1</v>
      </c>
      <c r="F143">
        <v>100</v>
      </c>
      <c r="G143" t="s">
        <v>172</v>
      </c>
      <c r="H143" t="s">
        <v>108</v>
      </c>
      <c r="I143" t="s">
        <v>107</v>
      </c>
      <c r="J143">
        <v>6</v>
      </c>
    </row>
    <row r="144" spans="1:10" x14ac:dyDescent="0.4">
      <c r="A144">
        <v>1948</v>
      </c>
      <c r="B144" t="s">
        <v>268</v>
      </c>
      <c r="C144" t="s">
        <v>406</v>
      </c>
      <c r="D144" t="s">
        <v>28</v>
      </c>
      <c r="E144">
        <v>2</v>
      </c>
      <c r="F144">
        <v>76</v>
      </c>
      <c r="G144" t="s">
        <v>448</v>
      </c>
      <c r="H144" t="s">
        <v>415</v>
      </c>
      <c r="I144" t="s">
        <v>28</v>
      </c>
      <c r="J144">
        <v>4</v>
      </c>
    </row>
    <row r="145" spans="1:10" x14ac:dyDescent="0.4">
      <c r="A145">
        <v>1948</v>
      </c>
      <c r="B145" t="s">
        <v>10</v>
      </c>
      <c r="C145" t="s">
        <v>255</v>
      </c>
      <c r="D145" t="s">
        <v>28</v>
      </c>
      <c r="E145">
        <v>7</v>
      </c>
      <c r="F145">
        <v>125</v>
      </c>
      <c r="G145" t="s">
        <v>257</v>
      </c>
      <c r="H145" t="s">
        <v>256</v>
      </c>
      <c r="I145" t="s">
        <v>12</v>
      </c>
      <c r="J145">
        <v>2</v>
      </c>
    </row>
    <row r="146" spans="1:10" x14ac:dyDescent="0.4">
      <c r="A146">
        <v>1947</v>
      </c>
      <c r="B146" t="s">
        <v>268</v>
      </c>
      <c r="C146" t="s">
        <v>423</v>
      </c>
      <c r="D146" t="s">
        <v>28</v>
      </c>
      <c r="E146">
        <v>1</v>
      </c>
      <c r="G146" t="s">
        <v>424</v>
      </c>
      <c r="H146" t="s">
        <v>415</v>
      </c>
      <c r="I146" t="s">
        <v>28</v>
      </c>
      <c r="J146">
        <v>3</v>
      </c>
    </row>
    <row r="147" spans="1:10" x14ac:dyDescent="0.4">
      <c r="A147">
        <v>1947</v>
      </c>
      <c r="B147" t="s">
        <v>10</v>
      </c>
      <c r="C147" t="s">
        <v>163</v>
      </c>
      <c r="D147" t="s">
        <v>28</v>
      </c>
      <c r="E147">
        <v>1</v>
      </c>
      <c r="F147">
        <v>45</v>
      </c>
      <c r="G147" t="s">
        <v>113</v>
      </c>
      <c r="H147" t="s">
        <v>164</v>
      </c>
      <c r="I147" t="s">
        <v>28</v>
      </c>
      <c r="J147">
        <v>3</v>
      </c>
    </row>
    <row r="148" spans="1:10" x14ac:dyDescent="0.4">
      <c r="A148">
        <v>1946</v>
      </c>
      <c r="B148" t="s">
        <v>268</v>
      </c>
      <c r="C148" t="s">
        <v>425</v>
      </c>
      <c r="D148" t="s">
        <v>28</v>
      </c>
      <c r="E148">
        <v>1</v>
      </c>
      <c r="G148" t="s">
        <v>424</v>
      </c>
      <c r="H148" t="s">
        <v>406</v>
      </c>
      <c r="I148" t="s">
        <v>28</v>
      </c>
      <c r="J148">
        <v>3</v>
      </c>
    </row>
    <row r="149" spans="1:10" x14ac:dyDescent="0.4">
      <c r="A149">
        <v>1946</v>
      </c>
      <c r="B149" t="s">
        <v>10</v>
      </c>
      <c r="C149" t="s">
        <v>243</v>
      </c>
      <c r="D149" t="s">
        <v>24</v>
      </c>
      <c r="E149">
        <v>5</v>
      </c>
      <c r="G149" t="s">
        <v>245</v>
      </c>
      <c r="H149" t="s">
        <v>244</v>
      </c>
      <c r="I149" t="s">
        <v>12</v>
      </c>
      <c r="J149">
        <v>3</v>
      </c>
    </row>
    <row r="150" spans="1:10" x14ac:dyDescent="0.4">
      <c r="A150">
        <v>1939</v>
      </c>
      <c r="B150" t="s">
        <v>268</v>
      </c>
      <c r="C150" t="s">
        <v>434</v>
      </c>
      <c r="D150" t="s">
        <v>28</v>
      </c>
      <c r="E150">
        <v>1</v>
      </c>
      <c r="F150">
        <v>30</v>
      </c>
      <c r="G150" t="s">
        <v>302</v>
      </c>
      <c r="H150" t="s">
        <v>435</v>
      </c>
      <c r="I150" t="s">
        <v>15</v>
      </c>
      <c r="J150">
        <v>6</v>
      </c>
    </row>
    <row r="151" spans="1:10" x14ac:dyDescent="0.4">
      <c r="A151">
        <v>1939</v>
      </c>
      <c r="B151" t="s">
        <v>10</v>
      </c>
      <c r="C151" t="s">
        <v>217</v>
      </c>
      <c r="D151" t="s">
        <v>28</v>
      </c>
      <c r="E151">
        <v>2</v>
      </c>
      <c r="F151">
        <v>135</v>
      </c>
      <c r="G151" t="s">
        <v>219</v>
      </c>
      <c r="H151" t="s">
        <v>218</v>
      </c>
      <c r="I151" t="s">
        <v>28</v>
      </c>
      <c r="J151">
        <v>6</v>
      </c>
    </row>
    <row r="152" spans="1:10" x14ac:dyDescent="0.4">
      <c r="A152">
        <v>1938</v>
      </c>
      <c r="B152" t="s">
        <v>268</v>
      </c>
      <c r="C152" t="s">
        <v>401</v>
      </c>
      <c r="D152" t="s">
        <v>28</v>
      </c>
      <c r="E152">
        <v>1</v>
      </c>
      <c r="G152" t="s">
        <v>439</v>
      </c>
      <c r="H152" t="s">
        <v>368</v>
      </c>
      <c r="I152" t="s">
        <v>28</v>
      </c>
    </row>
    <row r="153" spans="1:10" x14ac:dyDescent="0.4">
      <c r="A153">
        <v>1938</v>
      </c>
      <c r="B153" t="s">
        <v>10</v>
      </c>
      <c r="C153" t="s">
        <v>156</v>
      </c>
      <c r="D153" t="s">
        <v>28</v>
      </c>
      <c r="E153">
        <v>1</v>
      </c>
      <c r="F153">
        <v>59</v>
      </c>
      <c r="G153" t="s">
        <v>158</v>
      </c>
      <c r="H153" t="s">
        <v>157</v>
      </c>
      <c r="I153" t="s">
        <v>15</v>
      </c>
      <c r="J153">
        <v>2</v>
      </c>
    </row>
    <row r="154" spans="1:10" x14ac:dyDescent="0.4">
      <c r="A154">
        <v>1937</v>
      </c>
      <c r="B154" t="s">
        <v>268</v>
      </c>
      <c r="C154" t="s">
        <v>366</v>
      </c>
      <c r="D154" t="s">
        <v>15</v>
      </c>
      <c r="E154">
        <v>7</v>
      </c>
      <c r="F154">
        <v>60</v>
      </c>
      <c r="G154" t="s">
        <v>374</v>
      </c>
      <c r="H154" t="s">
        <v>376</v>
      </c>
      <c r="I154" t="s">
        <v>375</v>
      </c>
      <c r="J154">
        <v>4</v>
      </c>
    </row>
    <row r="155" spans="1:10" x14ac:dyDescent="0.4">
      <c r="A155">
        <v>1937</v>
      </c>
      <c r="B155" t="s">
        <v>10</v>
      </c>
      <c r="C155" t="s">
        <v>156</v>
      </c>
      <c r="D155" t="s">
        <v>28</v>
      </c>
      <c r="E155">
        <v>1</v>
      </c>
      <c r="F155">
        <v>65</v>
      </c>
      <c r="G155" t="s">
        <v>17</v>
      </c>
      <c r="H155" t="s">
        <v>127</v>
      </c>
      <c r="I155" t="s">
        <v>126</v>
      </c>
      <c r="J155">
        <v>2</v>
      </c>
    </row>
    <row r="156" spans="1:10" x14ac:dyDescent="0.4">
      <c r="A156">
        <v>1936</v>
      </c>
      <c r="B156" t="s">
        <v>268</v>
      </c>
      <c r="C156" t="s">
        <v>368</v>
      </c>
      <c r="D156" t="s">
        <v>28</v>
      </c>
      <c r="E156">
        <v>2</v>
      </c>
      <c r="F156">
        <v>101</v>
      </c>
      <c r="G156" t="s">
        <v>450</v>
      </c>
      <c r="H156" t="s">
        <v>451</v>
      </c>
      <c r="I156" t="s">
        <v>126</v>
      </c>
      <c r="J156">
        <v>5</v>
      </c>
    </row>
    <row r="157" spans="1:10" x14ac:dyDescent="0.4">
      <c r="A157">
        <v>1936</v>
      </c>
      <c r="B157" t="s">
        <v>10</v>
      </c>
      <c r="C157" t="s">
        <v>125</v>
      </c>
      <c r="D157" t="s">
        <v>15</v>
      </c>
      <c r="E157">
        <v>1</v>
      </c>
      <c r="F157">
        <v>40</v>
      </c>
      <c r="G157" t="s">
        <v>128</v>
      </c>
      <c r="H157" t="s">
        <v>127</v>
      </c>
      <c r="I157" t="s">
        <v>126</v>
      </c>
      <c r="J157">
        <v>2</v>
      </c>
    </row>
    <row r="158" spans="1:10" x14ac:dyDescent="0.4">
      <c r="A158">
        <v>1935</v>
      </c>
      <c r="B158" t="s">
        <v>268</v>
      </c>
      <c r="C158" t="s">
        <v>401</v>
      </c>
      <c r="D158" t="s">
        <v>28</v>
      </c>
      <c r="E158">
        <v>4</v>
      </c>
      <c r="F158">
        <v>100</v>
      </c>
      <c r="G158" t="s">
        <v>462</v>
      </c>
      <c r="H158" t="s">
        <v>368</v>
      </c>
      <c r="I158" t="s">
        <v>28</v>
      </c>
      <c r="J158">
        <v>3</v>
      </c>
    </row>
    <row r="159" spans="1:10" x14ac:dyDescent="0.4">
      <c r="A159">
        <v>1935</v>
      </c>
      <c r="B159" t="s">
        <v>10</v>
      </c>
      <c r="C159" t="s">
        <v>125</v>
      </c>
      <c r="D159" t="s">
        <v>15</v>
      </c>
      <c r="E159">
        <v>1</v>
      </c>
      <c r="F159">
        <v>80</v>
      </c>
      <c r="G159" t="s">
        <v>105</v>
      </c>
      <c r="H159" t="s">
        <v>127</v>
      </c>
      <c r="I159" t="s">
        <v>126</v>
      </c>
      <c r="J159">
        <v>2</v>
      </c>
    </row>
    <row r="160" spans="1:10" x14ac:dyDescent="0.4">
      <c r="A160">
        <v>1934</v>
      </c>
      <c r="B160" t="s">
        <v>268</v>
      </c>
      <c r="C160" t="s">
        <v>366</v>
      </c>
      <c r="D160" t="s">
        <v>15</v>
      </c>
      <c r="E160">
        <v>2</v>
      </c>
      <c r="G160" t="s">
        <v>367</v>
      </c>
      <c r="H160" t="s">
        <v>368</v>
      </c>
      <c r="I160" t="s">
        <v>28</v>
      </c>
      <c r="J160">
        <v>1</v>
      </c>
    </row>
    <row r="161" spans="1:10" x14ac:dyDescent="0.4">
      <c r="A161">
        <v>1934</v>
      </c>
      <c r="B161" t="s">
        <v>10</v>
      </c>
      <c r="C161" t="s">
        <v>125</v>
      </c>
      <c r="D161" t="s">
        <v>15</v>
      </c>
      <c r="E161">
        <v>2</v>
      </c>
      <c r="F161">
        <v>72</v>
      </c>
      <c r="G161" t="s">
        <v>202</v>
      </c>
      <c r="H161" t="s">
        <v>186</v>
      </c>
      <c r="I161" t="s">
        <v>12</v>
      </c>
      <c r="J161">
        <v>1</v>
      </c>
    </row>
    <row r="162" spans="1:10" x14ac:dyDescent="0.4">
      <c r="A162">
        <v>1933</v>
      </c>
      <c r="B162" t="s">
        <v>268</v>
      </c>
      <c r="C162" t="s">
        <v>401</v>
      </c>
      <c r="D162" t="s">
        <v>28</v>
      </c>
      <c r="E162">
        <v>1</v>
      </c>
      <c r="F162">
        <v>120</v>
      </c>
      <c r="G162" t="s">
        <v>402</v>
      </c>
      <c r="H162" t="s">
        <v>366</v>
      </c>
      <c r="I162" t="s">
        <v>15</v>
      </c>
      <c r="J162">
        <v>2</v>
      </c>
    </row>
    <row r="163" spans="1:10" x14ac:dyDescent="0.4">
      <c r="A163">
        <v>1933</v>
      </c>
      <c r="B163" t="s">
        <v>10</v>
      </c>
      <c r="C163" t="s">
        <v>186</v>
      </c>
      <c r="D163" t="s">
        <v>12</v>
      </c>
      <c r="E163">
        <v>2</v>
      </c>
      <c r="F163">
        <v>120</v>
      </c>
      <c r="G163" t="s">
        <v>188</v>
      </c>
      <c r="H163" t="s">
        <v>187</v>
      </c>
      <c r="I163" t="s">
        <v>28</v>
      </c>
      <c r="J163">
        <v>1</v>
      </c>
    </row>
    <row r="164" spans="1:10" x14ac:dyDescent="0.4">
      <c r="A164">
        <v>1932</v>
      </c>
      <c r="B164" t="s">
        <v>268</v>
      </c>
      <c r="C164" t="s">
        <v>401</v>
      </c>
      <c r="D164" t="s">
        <v>28</v>
      </c>
      <c r="E164">
        <v>1</v>
      </c>
      <c r="F164">
        <v>50</v>
      </c>
      <c r="G164" t="s">
        <v>342</v>
      </c>
      <c r="H164" t="s">
        <v>368</v>
      </c>
      <c r="I164" t="s">
        <v>28</v>
      </c>
      <c r="J164">
        <v>5</v>
      </c>
    </row>
    <row r="165" spans="1:10" x14ac:dyDescent="0.4">
      <c r="A165">
        <v>1932</v>
      </c>
      <c r="B165" t="s">
        <v>10</v>
      </c>
      <c r="C165" t="s">
        <v>215</v>
      </c>
      <c r="D165" t="s">
        <v>28</v>
      </c>
      <c r="E165">
        <v>2</v>
      </c>
      <c r="F165">
        <v>50</v>
      </c>
      <c r="G165" t="s">
        <v>216</v>
      </c>
      <c r="H165" t="s">
        <v>157</v>
      </c>
      <c r="I165" t="s">
        <v>15</v>
      </c>
      <c r="J165">
        <v>6</v>
      </c>
    </row>
    <row r="166" spans="1:10" x14ac:dyDescent="0.4">
      <c r="A166">
        <v>1931</v>
      </c>
      <c r="B166" t="s">
        <v>268</v>
      </c>
      <c r="C166" t="s">
        <v>388</v>
      </c>
      <c r="D166" t="s">
        <v>126</v>
      </c>
      <c r="E166">
        <v>1</v>
      </c>
      <c r="G166" t="s">
        <v>389</v>
      </c>
      <c r="H166" t="s">
        <v>390</v>
      </c>
      <c r="I166" t="s">
        <v>126</v>
      </c>
      <c r="J166">
        <v>4</v>
      </c>
    </row>
    <row r="167" spans="1:10" x14ac:dyDescent="0.4">
      <c r="A167">
        <v>1931</v>
      </c>
      <c r="B167" t="s">
        <v>10</v>
      </c>
      <c r="C167" t="s">
        <v>258</v>
      </c>
      <c r="D167" t="s">
        <v>28</v>
      </c>
      <c r="E167">
        <v>7</v>
      </c>
      <c r="G167" t="s">
        <v>260</v>
      </c>
      <c r="H167" t="s">
        <v>259</v>
      </c>
      <c r="I167" t="s">
        <v>28</v>
      </c>
      <c r="J167">
        <v>3</v>
      </c>
    </row>
    <row r="168" spans="1:10" x14ac:dyDescent="0.4">
      <c r="A168">
        <v>1930</v>
      </c>
      <c r="B168" t="s">
        <v>268</v>
      </c>
      <c r="C168" t="s">
        <v>401</v>
      </c>
      <c r="D168" t="s">
        <v>28</v>
      </c>
      <c r="E168">
        <v>1</v>
      </c>
      <c r="G168" t="s">
        <v>304</v>
      </c>
      <c r="H168" t="s">
        <v>308</v>
      </c>
      <c r="I168" t="s">
        <v>28</v>
      </c>
      <c r="J168">
        <v>8</v>
      </c>
    </row>
    <row r="169" spans="1:10" x14ac:dyDescent="0.4">
      <c r="A169">
        <v>1930</v>
      </c>
      <c r="B169" t="s">
        <v>10</v>
      </c>
      <c r="C169" t="s">
        <v>88</v>
      </c>
      <c r="D169" t="s">
        <v>28</v>
      </c>
      <c r="E169">
        <v>2</v>
      </c>
      <c r="F169">
        <v>70</v>
      </c>
      <c r="G169" t="s">
        <v>225</v>
      </c>
      <c r="H169" t="s">
        <v>224</v>
      </c>
      <c r="I169" t="s">
        <v>28</v>
      </c>
      <c r="J169" t="s">
        <v>122</v>
      </c>
    </row>
    <row r="170" spans="1:10" x14ac:dyDescent="0.4">
      <c r="A170">
        <v>1929</v>
      </c>
      <c r="B170" t="s">
        <v>268</v>
      </c>
      <c r="C170" t="s">
        <v>365</v>
      </c>
      <c r="D170" t="s">
        <v>28</v>
      </c>
      <c r="E170">
        <v>1</v>
      </c>
      <c r="G170" t="s">
        <v>433</v>
      </c>
      <c r="H170" t="s">
        <v>368</v>
      </c>
      <c r="I170" t="s">
        <v>28</v>
      </c>
      <c r="J170">
        <v>5</v>
      </c>
    </row>
    <row r="171" spans="1:10" x14ac:dyDescent="0.4">
      <c r="A171">
        <v>1929</v>
      </c>
      <c r="B171" t="s">
        <v>10</v>
      </c>
      <c r="C171" t="s">
        <v>123</v>
      </c>
      <c r="D171" t="s">
        <v>24</v>
      </c>
      <c r="E171">
        <v>1</v>
      </c>
      <c r="F171">
        <v>60</v>
      </c>
      <c r="G171" t="s">
        <v>124</v>
      </c>
      <c r="H171" t="s">
        <v>23</v>
      </c>
      <c r="I171" t="s">
        <v>24</v>
      </c>
      <c r="J171">
        <v>2</v>
      </c>
    </row>
    <row r="172" spans="1:10" x14ac:dyDescent="0.4">
      <c r="A172">
        <v>1928</v>
      </c>
      <c r="B172" t="s">
        <v>268</v>
      </c>
      <c r="C172" t="s">
        <v>365</v>
      </c>
      <c r="D172" t="s">
        <v>28</v>
      </c>
      <c r="E172">
        <v>1</v>
      </c>
      <c r="G172" t="s">
        <v>335</v>
      </c>
      <c r="H172" t="s">
        <v>319</v>
      </c>
      <c r="I172" t="s">
        <v>135</v>
      </c>
      <c r="J172">
        <v>2</v>
      </c>
    </row>
    <row r="173" spans="1:10" x14ac:dyDescent="0.4">
      <c r="A173">
        <v>1928</v>
      </c>
      <c r="B173" t="s">
        <v>10</v>
      </c>
      <c r="C173" t="s">
        <v>25</v>
      </c>
      <c r="D173" t="s">
        <v>24</v>
      </c>
      <c r="E173">
        <v>2</v>
      </c>
      <c r="G173" t="s">
        <v>201</v>
      </c>
      <c r="H173" t="s">
        <v>123</v>
      </c>
      <c r="I173" t="s">
        <v>24</v>
      </c>
      <c r="J173">
        <v>1</v>
      </c>
    </row>
    <row r="174" spans="1:10" x14ac:dyDescent="0.4">
      <c r="A174">
        <v>1927</v>
      </c>
      <c r="B174" t="s">
        <v>268</v>
      </c>
      <c r="C174" t="s">
        <v>365</v>
      </c>
      <c r="D174" t="s">
        <v>28</v>
      </c>
      <c r="E174">
        <v>1</v>
      </c>
      <c r="G174" t="s">
        <v>426</v>
      </c>
      <c r="H174" t="s">
        <v>319</v>
      </c>
      <c r="I174" t="s">
        <v>135</v>
      </c>
      <c r="J174">
        <v>4</v>
      </c>
    </row>
    <row r="175" spans="1:10" x14ac:dyDescent="0.4">
      <c r="A175">
        <v>1927</v>
      </c>
      <c r="B175" t="s">
        <v>10</v>
      </c>
      <c r="C175" t="s">
        <v>123</v>
      </c>
      <c r="D175" t="s">
        <v>24</v>
      </c>
      <c r="E175">
        <v>4</v>
      </c>
      <c r="G175" t="s">
        <v>237</v>
      </c>
      <c r="H175" t="s">
        <v>23</v>
      </c>
      <c r="I175" t="s">
        <v>24</v>
      </c>
      <c r="J175">
        <v>3</v>
      </c>
    </row>
    <row r="176" spans="1:10" x14ac:dyDescent="0.4">
      <c r="A176">
        <v>1926</v>
      </c>
      <c r="B176" t="s">
        <v>268</v>
      </c>
      <c r="C176" t="s">
        <v>317</v>
      </c>
      <c r="D176" t="s">
        <v>15</v>
      </c>
      <c r="F176">
        <v>60</v>
      </c>
      <c r="G176" t="s">
        <v>318</v>
      </c>
      <c r="H176" t="s">
        <v>319</v>
      </c>
      <c r="I176" t="s">
        <v>135</v>
      </c>
    </row>
    <row r="177" spans="1:9" x14ac:dyDescent="0.4">
      <c r="A177">
        <v>1926</v>
      </c>
      <c r="B177" t="s">
        <v>10</v>
      </c>
      <c r="C177" t="s">
        <v>23</v>
      </c>
      <c r="D177" t="s">
        <v>24</v>
      </c>
      <c r="F177">
        <v>65</v>
      </c>
      <c r="G177" t="s">
        <v>30</v>
      </c>
      <c r="H177" t="s">
        <v>29</v>
      </c>
      <c r="I177" t="s">
        <v>28</v>
      </c>
    </row>
    <row r="178" spans="1:9" x14ac:dyDescent="0.4">
      <c r="A178">
        <v>1925</v>
      </c>
      <c r="B178" t="s">
        <v>268</v>
      </c>
      <c r="C178" t="s">
        <v>301</v>
      </c>
      <c r="D178" t="s">
        <v>24</v>
      </c>
      <c r="F178">
        <v>25</v>
      </c>
      <c r="G178" t="s">
        <v>302</v>
      </c>
      <c r="H178" t="s">
        <v>303</v>
      </c>
      <c r="I178" t="s">
        <v>15</v>
      </c>
    </row>
    <row r="179" spans="1:9" x14ac:dyDescent="0.4">
      <c r="A179">
        <v>1925</v>
      </c>
      <c r="B179" t="s">
        <v>10</v>
      </c>
      <c r="C179" t="s">
        <v>25</v>
      </c>
      <c r="D179" t="s">
        <v>24</v>
      </c>
      <c r="G179" t="s">
        <v>27</v>
      </c>
      <c r="H179" t="s">
        <v>23</v>
      </c>
      <c r="I179" t="s">
        <v>24</v>
      </c>
    </row>
    <row r="180" spans="1:9" x14ac:dyDescent="0.4">
      <c r="A180">
        <v>1924</v>
      </c>
      <c r="B180" t="s">
        <v>268</v>
      </c>
      <c r="C180" t="s">
        <v>305</v>
      </c>
      <c r="D180" t="s">
        <v>15</v>
      </c>
      <c r="F180">
        <v>75</v>
      </c>
      <c r="G180" t="s">
        <v>343</v>
      </c>
      <c r="H180" t="s">
        <v>365</v>
      </c>
      <c r="I180" t="s">
        <v>28</v>
      </c>
    </row>
    <row r="181" spans="1:9" x14ac:dyDescent="0.4">
      <c r="A181">
        <v>1924</v>
      </c>
      <c r="B181" t="s">
        <v>10</v>
      </c>
      <c r="C181" t="s">
        <v>23</v>
      </c>
      <c r="D181" t="s">
        <v>24</v>
      </c>
      <c r="F181">
        <v>80</v>
      </c>
      <c r="G181" t="s">
        <v>26</v>
      </c>
      <c r="H181" t="s">
        <v>25</v>
      </c>
      <c r="I181" t="s">
        <v>24</v>
      </c>
    </row>
    <row r="182" spans="1:9" x14ac:dyDescent="0.4">
      <c r="A182">
        <v>1923</v>
      </c>
      <c r="B182" t="s">
        <v>268</v>
      </c>
      <c r="C182" t="s">
        <v>301</v>
      </c>
      <c r="D182" t="s">
        <v>24</v>
      </c>
      <c r="G182" t="s">
        <v>304</v>
      </c>
      <c r="H182" t="s">
        <v>305</v>
      </c>
      <c r="I182" t="s">
        <v>15</v>
      </c>
    </row>
    <row r="183" spans="1:9" x14ac:dyDescent="0.4">
      <c r="A183">
        <v>1923</v>
      </c>
      <c r="B183" t="s">
        <v>10</v>
      </c>
      <c r="C183" t="s">
        <v>93</v>
      </c>
      <c r="D183" t="s">
        <v>28</v>
      </c>
      <c r="F183">
        <v>46</v>
      </c>
      <c r="G183" t="s">
        <v>95</v>
      </c>
      <c r="H183" t="s">
        <v>94</v>
      </c>
      <c r="I183" t="s">
        <v>28</v>
      </c>
    </row>
    <row r="184" spans="1:9" x14ac:dyDescent="0.4">
      <c r="A184">
        <v>1922</v>
      </c>
      <c r="B184" t="s">
        <v>268</v>
      </c>
      <c r="C184" t="s">
        <v>301</v>
      </c>
      <c r="D184" t="s">
        <v>24</v>
      </c>
      <c r="F184">
        <v>23</v>
      </c>
      <c r="G184" t="s">
        <v>302</v>
      </c>
      <c r="H184" t="s">
        <v>309</v>
      </c>
      <c r="I184" t="s">
        <v>28</v>
      </c>
    </row>
    <row r="185" spans="1:9" x14ac:dyDescent="0.4">
      <c r="A185">
        <v>1922</v>
      </c>
      <c r="B185" t="s">
        <v>10</v>
      </c>
      <c r="C185" t="s">
        <v>11</v>
      </c>
      <c r="D185" t="s">
        <v>12</v>
      </c>
      <c r="G185" t="s">
        <v>17</v>
      </c>
      <c r="H185" t="s">
        <v>16</v>
      </c>
      <c r="I185" t="s">
        <v>15</v>
      </c>
    </row>
    <row r="186" spans="1:9" x14ac:dyDescent="0.4">
      <c r="A186">
        <v>1921</v>
      </c>
      <c r="B186" t="s">
        <v>268</v>
      </c>
      <c r="C186" t="s">
        <v>301</v>
      </c>
      <c r="D186" t="s">
        <v>24</v>
      </c>
      <c r="G186" t="s">
        <v>302</v>
      </c>
      <c r="H186" t="s">
        <v>308</v>
      </c>
      <c r="I186" t="s">
        <v>28</v>
      </c>
    </row>
    <row r="187" spans="1:9" x14ac:dyDescent="0.4">
      <c r="A187">
        <v>1921</v>
      </c>
      <c r="B187" t="s">
        <v>10</v>
      </c>
      <c r="C187" t="s">
        <v>88</v>
      </c>
      <c r="D187" t="s">
        <v>28</v>
      </c>
      <c r="G187" t="s">
        <v>92</v>
      </c>
      <c r="H187" t="s">
        <v>91</v>
      </c>
      <c r="I187" t="s">
        <v>90</v>
      </c>
    </row>
    <row r="188" spans="1:9" x14ac:dyDescent="0.4">
      <c r="A188">
        <v>1920</v>
      </c>
      <c r="B188" t="s">
        <v>268</v>
      </c>
      <c r="C188" t="s">
        <v>301</v>
      </c>
      <c r="D188" t="s">
        <v>24</v>
      </c>
      <c r="G188" t="s">
        <v>292</v>
      </c>
      <c r="H188" t="s">
        <v>307</v>
      </c>
      <c r="I188" t="s">
        <v>15</v>
      </c>
    </row>
    <row r="189" spans="1:9" x14ac:dyDescent="0.4">
      <c r="A189">
        <v>1920</v>
      </c>
      <c r="B189" t="s">
        <v>10</v>
      </c>
      <c r="C189" t="s">
        <v>88</v>
      </c>
      <c r="D189" t="s">
        <v>28</v>
      </c>
      <c r="G189" t="s">
        <v>89</v>
      </c>
      <c r="H189" t="s">
        <v>11</v>
      </c>
      <c r="I189" t="s">
        <v>12</v>
      </c>
    </row>
    <row r="190" spans="1:9" x14ac:dyDescent="0.4">
      <c r="A190">
        <v>1919</v>
      </c>
      <c r="B190" t="s">
        <v>268</v>
      </c>
      <c r="C190" t="s">
        <v>301</v>
      </c>
      <c r="D190" t="s">
        <v>24</v>
      </c>
      <c r="F190">
        <v>125</v>
      </c>
      <c r="G190" t="s">
        <v>306</v>
      </c>
      <c r="H190" t="s">
        <v>307</v>
      </c>
      <c r="I190" t="s">
        <v>15</v>
      </c>
    </row>
    <row r="191" spans="1:9" x14ac:dyDescent="0.4">
      <c r="A191">
        <v>1919</v>
      </c>
      <c r="B191" t="s">
        <v>10</v>
      </c>
      <c r="C191" t="s">
        <v>11</v>
      </c>
      <c r="D191" t="s">
        <v>12</v>
      </c>
      <c r="G191" t="s">
        <v>14</v>
      </c>
      <c r="H191" t="s">
        <v>13</v>
      </c>
      <c r="I191" t="s">
        <v>12</v>
      </c>
    </row>
    <row r="192" spans="1:9" x14ac:dyDescent="0.4">
      <c r="A192">
        <v>1914</v>
      </c>
      <c r="B192" t="s">
        <v>268</v>
      </c>
      <c r="C192" t="s">
        <v>307</v>
      </c>
      <c r="D192" t="s">
        <v>15</v>
      </c>
      <c r="G192" t="s">
        <v>359</v>
      </c>
      <c r="H192" t="s">
        <v>341</v>
      </c>
      <c r="I192" t="s">
        <v>15</v>
      </c>
    </row>
    <row r="193" spans="1:9" x14ac:dyDescent="0.4">
      <c r="A193">
        <v>1914</v>
      </c>
      <c r="B193" t="s">
        <v>10</v>
      </c>
      <c r="C193" t="s">
        <v>13</v>
      </c>
      <c r="D193" t="s">
        <v>12</v>
      </c>
      <c r="G193" t="s">
        <v>22</v>
      </c>
      <c r="H193" t="s">
        <v>21</v>
      </c>
      <c r="I193" t="s">
        <v>20</v>
      </c>
    </row>
    <row r="194" spans="1:9" x14ac:dyDescent="0.4">
      <c r="A194">
        <v>1913</v>
      </c>
      <c r="B194" t="s">
        <v>268</v>
      </c>
      <c r="C194" t="s">
        <v>307</v>
      </c>
      <c r="D194" t="s">
        <v>15</v>
      </c>
      <c r="G194" t="s">
        <v>361</v>
      </c>
      <c r="H194" t="s">
        <v>362</v>
      </c>
      <c r="I194" t="s">
        <v>15</v>
      </c>
    </row>
    <row r="195" spans="1:9" x14ac:dyDescent="0.4">
      <c r="A195">
        <v>1913</v>
      </c>
      <c r="B195" t="s">
        <v>10</v>
      </c>
      <c r="C195" t="s">
        <v>21</v>
      </c>
      <c r="D195" t="s">
        <v>20</v>
      </c>
      <c r="G195" t="s">
        <v>87</v>
      </c>
      <c r="H195" t="s">
        <v>86</v>
      </c>
      <c r="I195" t="s">
        <v>28</v>
      </c>
    </row>
    <row r="196" spans="1:9" x14ac:dyDescent="0.4">
      <c r="A196">
        <v>1912</v>
      </c>
      <c r="B196" t="s">
        <v>268</v>
      </c>
      <c r="C196" t="s">
        <v>341</v>
      </c>
      <c r="D196" t="s">
        <v>15</v>
      </c>
      <c r="G196" t="s">
        <v>342</v>
      </c>
      <c r="H196" t="s">
        <v>320</v>
      </c>
      <c r="I196" t="s">
        <v>15</v>
      </c>
    </row>
    <row r="197" spans="1:9" x14ac:dyDescent="0.4">
      <c r="A197">
        <v>1912</v>
      </c>
      <c r="B197" t="s">
        <v>10</v>
      </c>
      <c r="C197" t="s">
        <v>21</v>
      </c>
      <c r="D197" t="s">
        <v>20</v>
      </c>
      <c r="G197" t="s">
        <v>83</v>
      </c>
      <c r="H197" t="s">
        <v>18</v>
      </c>
      <c r="I197" t="s">
        <v>15</v>
      </c>
    </row>
    <row r="198" spans="1:9" x14ac:dyDescent="0.4">
      <c r="A198">
        <v>1911</v>
      </c>
      <c r="B198" t="s">
        <v>268</v>
      </c>
      <c r="C198" t="s">
        <v>307</v>
      </c>
      <c r="D198" t="s">
        <v>15</v>
      </c>
      <c r="F198">
        <v>25</v>
      </c>
      <c r="G198" t="s">
        <v>360</v>
      </c>
      <c r="H198" t="s">
        <v>357</v>
      </c>
      <c r="I198" t="s">
        <v>15</v>
      </c>
    </row>
    <row r="199" spans="1:9" x14ac:dyDescent="0.4">
      <c r="A199">
        <v>1911</v>
      </c>
      <c r="B199" t="s">
        <v>10</v>
      </c>
      <c r="C199" t="s">
        <v>21</v>
      </c>
      <c r="D199" t="s">
        <v>20</v>
      </c>
      <c r="G199" t="s">
        <v>85</v>
      </c>
      <c r="H199" t="s">
        <v>33</v>
      </c>
      <c r="I199" t="s">
        <v>15</v>
      </c>
    </row>
    <row r="200" spans="1:9" x14ac:dyDescent="0.4">
      <c r="A200">
        <v>1910</v>
      </c>
      <c r="B200" t="s">
        <v>268</v>
      </c>
      <c r="C200" t="s">
        <v>307</v>
      </c>
      <c r="D200" t="s">
        <v>15</v>
      </c>
      <c r="G200" t="s">
        <v>304</v>
      </c>
      <c r="H200" t="s">
        <v>357</v>
      </c>
      <c r="I200" t="s">
        <v>15</v>
      </c>
    </row>
    <row r="201" spans="1:9" x14ac:dyDescent="0.4">
      <c r="A201">
        <v>1910</v>
      </c>
      <c r="B201" t="s">
        <v>10</v>
      </c>
      <c r="C201" t="s">
        <v>21</v>
      </c>
      <c r="D201" t="s">
        <v>20</v>
      </c>
      <c r="G201" t="s">
        <v>84</v>
      </c>
      <c r="H201" t="s">
        <v>18</v>
      </c>
      <c r="I201" t="s">
        <v>15</v>
      </c>
    </row>
    <row r="202" spans="1:9" x14ac:dyDescent="0.4">
      <c r="A202">
        <v>1909</v>
      </c>
      <c r="B202" t="s">
        <v>268</v>
      </c>
      <c r="C202" t="s">
        <v>357</v>
      </c>
      <c r="D202" t="s">
        <v>15</v>
      </c>
      <c r="G202" t="s">
        <v>358</v>
      </c>
      <c r="H202" t="s">
        <v>322</v>
      </c>
      <c r="I202" t="s">
        <v>15</v>
      </c>
    </row>
    <row r="203" spans="1:9" x14ac:dyDescent="0.4">
      <c r="A203">
        <v>1909</v>
      </c>
      <c r="B203" t="s">
        <v>10</v>
      </c>
      <c r="C203" t="s">
        <v>18</v>
      </c>
      <c r="D203" t="s">
        <v>15</v>
      </c>
      <c r="F203">
        <v>95</v>
      </c>
      <c r="G203" t="s">
        <v>36</v>
      </c>
      <c r="H203" t="s">
        <v>35</v>
      </c>
      <c r="I203" t="s">
        <v>15</v>
      </c>
    </row>
    <row r="204" spans="1:9" x14ac:dyDescent="0.4">
      <c r="A204">
        <v>1908</v>
      </c>
      <c r="B204" t="s">
        <v>268</v>
      </c>
      <c r="C204" t="s">
        <v>320</v>
      </c>
      <c r="D204" t="s">
        <v>15</v>
      </c>
      <c r="G204" t="s">
        <v>321</v>
      </c>
      <c r="H204" t="s">
        <v>322</v>
      </c>
      <c r="I204" t="s">
        <v>15</v>
      </c>
    </row>
    <row r="205" spans="1:9" x14ac:dyDescent="0.4">
      <c r="A205">
        <v>1908</v>
      </c>
      <c r="B205" t="s">
        <v>10</v>
      </c>
      <c r="C205" t="s">
        <v>18</v>
      </c>
      <c r="D205" t="s">
        <v>15</v>
      </c>
      <c r="G205" t="s">
        <v>34</v>
      </c>
      <c r="H205" t="s">
        <v>33</v>
      </c>
      <c r="I205" t="s">
        <v>15</v>
      </c>
    </row>
    <row r="206" spans="1:9" x14ac:dyDescent="0.4">
      <c r="A206">
        <v>1907</v>
      </c>
      <c r="B206" t="s">
        <v>268</v>
      </c>
      <c r="C206" t="s">
        <v>364</v>
      </c>
      <c r="D206" t="s">
        <v>28</v>
      </c>
      <c r="G206" t="s">
        <v>395</v>
      </c>
      <c r="H206" t="s">
        <v>307</v>
      </c>
      <c r="I206" t="s">
        <v>15</v>
      </c>
    </row>
    <row r="207" spans="1:9" x14ac:dyDescent="0.4">
      <c r="A207">
        <v>1907</v>
      </c>
      <c r="B207" t="s">
        <v>10</v>
      </c>
      <c r="C207" t="s">
        <v>13</v>
      </c>
      <c r="D207" t="s">
        <v>12</v>
      </c>
      <c r="G207" t="s">
        <v>19</v>
      </c>
      <c r="H207" t="s">
        <v>18</v>
      </c>
      <c r="I207" t="s">
        <v>15</v>
      </c>
    </row>
    <row r="208" spans="1:9" x14ac:dyDescent="0.4">
      <c r="A208">
        <v>1906</v>
      </c>
      <c r="B208" t="s">
        <v>268</v>
      </c>
      <c r="C208" t="s">
        <v>337</v>
      </c>
      <c r="D208" t="s">
        <v>15</v>
      </c>
      <c r="F208">
        <v>57</v>
      </c>
      <c r="G208" t="s">
        <v>363</v>
      </c>
      <c r="H208" t="s">
        <v>364</v>
      </c>
      <c r="I208" t="s">
        <v>28</v>
      </c>
    </row>
    <row r="209" spans="1:9" x14ac:dyDescent="0.4">
      <c r="A209">
        <v>1906</v>
      </c>
      <c r="B209" t="s">
        <v>10</v>
      </c>
      <c r="C209" t="s">
        <v>31</v>
      </c>
      <c r="D209" t="s">
        <v>15</v>
      </c>
      <c r="F209">
        <v>74</v>
      </c>
      <c r="G209" t="s">
        <v>45</v>
      </c>
      <c r="H209" t="s">
        <v>43</v>
      </c>
      <c r="I209" t="s">
        <v>15</v>
      </c>
    </row>
    <row r="210" spans="1:9" x14ac:dyDescent="0.4">
      <c r="A210">
        <v>1905</v>
      </c>
      <c r="B210" t="s">
        <v>268</v>
      </c>
      <c r="C210" t="s">
        <v>364</v>
      </c>
      <c r="D210" t="s">
        <v>28</v>
      </c>
      <c r="G210" t="s">
        <v>295</v>
      </c>
      <c r="H210" t="s">
        <v>337</v>
      </c>
      <c r="I210" t="s">
        <v>15</v>
      </c>
    </row>
    <row r="211" spans="1:9" x14ac:dyDescent="0.4">
      <c r="A211">
        <v>1905</v>
      </c>
      <c r="B211" t="s">
        <v>10</v>
      </c>
      <c r="C211" t="s">
        <v>31</v>
      </c>
      <c r="D211" t="s">
        <v>15</v>
      </c>
      <c r="F211">
        <v>65</v>
      </c>
      <c r="G211" t="s">
        <v>32</v>
      </c>
      <c r="H211" t="s">
        <v>13</v>
      </c>
      <c r="I211" t="s">
        <v>12</v>
      </c>
    </row>
    <row r="212" spans="1:9" x14ac:dyDescent="0.4">
      <c r="A212">
        <v>1904</v>
      </c>
      <c r="B212" t="s">
        <v>268</v>
      </c>
      <c r="C212" t="s">
        <v>337</v>
      </c>
      <c r="D212" t="s">
        <v>15</v>
      </c>
      <c r="G212" t="s">
        <v>338</v>
      </c>
      <c r="H212" t="s">
        <v>320</v>
      </c>
      <c r="I212" t="s">
        <v>15</v>
      </c>
    </row>
    <row r="213" spans="1:9" x14ac:dyDescent="0.4">
      <c r="A213">
        <v>1904</v>
      </c>
      <c r="B213" t="s">
        <v>10</v>
      </c>
      <c r="C213" t="s">
        <v>31</v>
      </c>
      <c r="D213" t="s">
        <v>15</v>
      </c>
      <c r="G213" t="s">
        <v>44</v>
      </c>
      <c r="H213" t="s">
        <v>43</v>
      </c>
      <c r="I213" t="s">
        <v>15</v>
      </c>
    </row>
    <row r="214" spans="1:9" x14ac:dyDescent="0.4">
      <c r="A214">
        <v>1903</v>
      </c>
      <c r="B214" t="s">
        <v>268</v>
      </c>
      <c r="C214" t="s">
        <v>337</v>
      </c>
      <c r="D214" t="s">
        <v>15</v>
      </c>
      <c r="G214" t="s">
        <v>339</v>
      </c>
      <c r="H214" t="s">
        <v>340</v>
      </c>
      <c r="I214" t="s">
        <v>15</v>
      </c>
    </row>
    <row r="215" spans="1:9" x14ac:dyDescent="0.4">
      <c r="A215">
        <v>1903</v>
      </c>
      <c r="B215" t="s">
        <v>10</v>
      </c>
      <c r="C215" t="s">
        <v>31</v>
      </c>
      <c r="D215" t="s">
        <v>15</v>
      </c>
      <c r="G215" t="s">
        <v>46</v>
      </c>
      <c r="H215" t="s">
        <v>43</v>
      </c>
      <c r="I215" t="s">
        <v>15</v>
      </c>
    </row>
    <row r="216" spans="1:9" x14ac:dyDescent="0.4">
      <c r="A216">
        <v>1902</v>
      </c>
      <c r="B216" t="s">
        <v>268</v>
      </c>
      <c r="C216" t="s">
        <v>350</v>
      </c>
      <c r="D216" t="s">
        <v>15</v>
      </c>
      <c r="G216" t="s">
        <v>351</v>
      </c>
      <c r="H216" t="s">
        <v>320</v>
      </c>
      <c r="I216" t="s">
        <v>15</v>
      </c>
    </row>
    <row r="217" spans="1:9" x14ac:dyDescent="0.4">
      <c r="A217">
        <v>1902</v>
      </c>
      <c r="B217" t="s">
        <v>10</v>
      </c>
      <c r="C217" t="s">
        <v>31</v>
      </c>
      <c r="D217" t="s">
        <v>15</v>
      </c>
      <c r="F217">
        <v>84</v>
      </c>
      <c r="G217" t="s">
        <v>42</v>
      </c>
      <c r="H217" t="s">
        <v>18</v>
      </c>
      <c r="I217" t="s">
        <v>15</v>
      </c>
    </row>
    <row r="218" spans="1:9" x14ac:dyDescent="0.4">
      <c r="A218">
        <v>1901</v>
      </c>
      <c r="B218" t="s">
        <v>268</v>
      </c>
      <c r="C218" t="s">
        <v>320</v>
      </c>
      <c r="D218" t="s">
        <v>15</v>
      </c>
      <c r="G218" t="s">
        <v>304</v>
      </c>
      <c r="H218" t="s">
        <v>323</v>
      </c>
      <c r="I218" t="s">
        <v>15</v>
      </c>
    </row>
    <row r="219" spans="1:9" x14ac:dyDescent="0.4">
      <c r="A219">
        <v>1901</v>
      </c>
      <c r="B219" t="s">
        <v>10</v>
      </c>
      <c r="C219" t="s">
        <v>18</v>
      </c>
      <c r="D219" t="s">
        <v>15</v>
      </c>
      <c r="F219">
        <v>95</v>
      </c>
      <c r="G219" t="s">
        <v>38</v>
      </c>
      <c r="H219" t="s">
        <v>37</v>
      </c>
      <c r="I219" t="s">
        <v>15</v>
      </c>
    </row>
    <row r="220" spans="1:9" x14ac:dyDescent="0.4">
      <c r="A220">
        <v>1900</v>
      </c>
      <c r="B220" t="s">
        <v>268</v>
      </c>
      <c r="C220" t="s">
        <v>323</v>
      </c>
      <c r="D220" t="s">
        <v>15</v>
      </c>
      <c r="G220" t="s">
        <v>343</v>
      </c>
      <c r="H220" t="s">
        <v>331</v>
      </c>
      <c r="I220" t="s">
        <v>15</v>
      </c>
    </row>
    <row r="221" spans="1:9" x14ac:dyDescent="0.4">
      <c r="A221">
        <v>1900</v>
      </c>
      <c r="B221" t="s">
        <v>10</v>
      </c>
      <c r="C221" t="s">
        <v>37</v>
      </c>
      <c r="D221" t="s">
        <v>15</v>
      </c>
      <c r="G221" t="s">
        <v>65</v>
      </c>
      <c r="H221" t="s">
        <v>64</v>
      </c>
      <c r="I221" t="s">
        <v>15</v>
      </c>
    </row>
    <row r="222" spans="1:9" x14ac:dyDescent="0.4">
      <c r="A222">
        <v>1899</v>
      </c>
      <c r="B222" t="s">
        <v>268</v>
      </c>
      <c r="C222" t="s">
        <v>323</v>
      </c>
      <c r="D222" t="s">
        <v>15</v>
      </c>
      <c r="G222" t="s">
        <v>335</v>
      </c>
      <c r="H222" t="s">
        <v>331</v>
      </c>
      <c r="I222" t="s">
        <v>15</v>
      </c>
    </row>
    <row r="223" spans="1:9" x14ac:dyDescent="0.4">
      <c r="A223">
        <v>1899</v>
      </c>
      <c r="B223" t="s">
        <v>10</v>
      </c>
      <c r="C223" t="s">
        <v>37</v>
      </c>
      <c r="D223" t="s">
        <v>15</v>
      </c>
      <c r="G223" t="s">
        <v>61</v>
      </c>
      <c r="H223" t="s">
        <v>18</v>
      </c>
      <c r="I223" t="s">
        <v>15</v>
      </c>
    </row>
    <row r="224" spans="1:9" x14ac:dyDescent="0.4">
      <c r="A224">
        <v>1898</v>
      </c>
      <c r="B224" t="s">
        <v>268</v>
      </c>
      <c r="C224" t="s">
        <v>331</v>
      </c>
      <c r="D224" t="s">
        <v>15</v>
      </c>
      <c r="G224" t="s">
        <v>321</v>
      </c>
      <c r="H224" t="s">
        <v>334</v>
      </c>
      <c r="I224" t="s">
        <v>15</v>
      </c>
    </row>
    <row r="225" spans="1:9" x14ac:dyDescent="0.4">
      <c r="A225">
        <v>1898</v>
      </c>
      <c r="B225" t="s">
        <v>10</v>
      </c>
      <c r="C225" t="s">
        <v>37</v>
      </c>
      <c r="D225" t="s">
        <v>15</v>
      </c>
      <c r="F225">
        <v>55</v>
      </c>
      <c r="G225" t="s">
        <v>62</v>
      </c>
      <c r="H225" t="s">
        <v>31</v>
      </c>
      <c r="I225" t="s">
        <v>15</v>
      </c>
    </row>
    <row r="226" spans="1:9" x14ac:dyDescent="0.4">
      <c r="A226">
        <v>1897</v>
      </c>
      <c r="B226" t="s">
        <v>268</v>
      </c>
      <c r="C226" t="s">
        <v>323</v>
      </c>
      <c r="D226" t="s">
        <v>15</v>
      </c>
      <c r="G226" t="s">
        <v>344</v>
      </c>
      <c r="H226" t="s">
        <v>331</v>
      </c>
      <c r="I226" t="s">
        <v>15</v>
      </c>
    </row>
    <row r="227" spans="1:9" x14ac:dyDescent="0.4">
      <c r="A227">
        <v>1897</v>
      </c>
      <c r="B227" t="s">
        <v>10</v>
      </c>
      <c r="C227" t="s">
        <v>37</v>
      </c>
      <c r="D227" t="s">
        <v>15</v>
      </c>
      <c r="F227">
        <v>67</v>
      </c>
      <c r="G227" t="s">
        <v>63</v>
      </c>
      <c r="H227" t="s">
        <v>47</v>
      </c>
      <c r="I227" t="s">
        <v>15</v>
      </c>
    </row>
    <row r="228" spans="1:9" x14ac:dyDescent="0.4">
      <c r="A228">
        <v>1896</v>
      </c>
      <c r="B228" t="s">
        <v>268</v>
      </c>
      <c r="C228" t="s">
        <v>331</v>
      </c>
      <c r="D228" t="s">
        <v>15</v>
      </c>
      <c r="G228" t="s">
        <v>335</v>
      </c>
      <c r="H228" t="s">
        <v>336</v>
      </c>
      <c r="I228" t="s">
        <v>15</v>
      </c>
    </row>
    <row r="229" spans="1:9" x14ac:dyDescent="0.4">
      <c r="A229">
        <v>1896</v>
      </c>
      <c r="B229" t="s">
        <v>10</v>
      </c>
      <c r="C229" t="s">
        <v>47</v>
      </c>
      <c r="D229" t="s">
        <v>15</v>
      </c>
      <c r="F229">
        <v>120</v>
      </c>
      <c r="G229" t="s">
        <v>49</v>
      </c>
      <c r="H229" t="s">
        <v>48</v>
      </c>
      <c r="I229" t="s">
        <v>15</v>
      </c>
    </row>
    <row r="230" spans="1:9" x14ac:dyDescent="0.4">
      <c r="A230">
        <v>1895</v>
      </c>
      <c r="B230" t="s">
        <v>268</v>
      </c>
      <c r="C230" t="s">
        <v>331</v>
      </c>
      <c r="D230" t="s">
        <v>15</v>
      </c>
      <c r="G230" t="s">
        <v>332</v>
      </c>
      <c r="H230" t="s">
        <v>333</v>
      </c>
      <c r="I230" t="s">
        <v>15</v>
      </c>
    </row>
    <row r="231" spans="1:9" x14ac:dyDescent="0.4">
      <c r="A231">
        <v>1895</v>
      </c>
      <c r="B231" t="s">
        <v>10</v>
      </c>
      <c r="C231" t="s">
        <v>48</v>
      </c>
      <c r="D231" t="s">
        <v>15</v>
      </c>
      <c r="F231">
        <v>95</v>
      </c>
      <c r="G231" t="s">
        <v>72</v>
      </c>
      <c r="H231" t="s">
        <v>71</v>
      </c>
      <c r="I231" t="s">
        <v>15</v>
      </c>
    </row>
    <row r="232" spans="1:9" x14ac:dyDescent="0.4">
      <c r="A232">
        <v>1894</v>
      </c>
      <c r="B232" t="s">
        <v>268</v>
      </c>
      <c r="C232" t="s">
        <v>323</v>
      </c>
      <c r="D232" t="s">
        <v>15</v>
      </c>
      <c r="G232" t="s">
        <v>328</v>
      </c>
      <c r="H232" t="s">
        <v>345</v>
      </c>
      <c r="I232" t="s">
        <v>15</v>
      </c>
    </row>
    <row r="233" spans="1:9" x14ac:dyDescent="0.4">
      <c r="A233">
        <v>1894</v>
      </c>
      <c r="B233" t="s">
        <v>10</v>
      </c>
      <c r="C233" t="s">
        <v>50</v>
      </c>
      <c r="D233" t="s">
        <v>15</v>
      </c>
      <c r="F233">
        <v>117</v>
      </c>
      <c r="G233" t="s">
        <v>51</v>
      </c>
      <c r="H233" t="s">
        <v>48</v>
      </c>
      <c r="I233" t="s">
        <v>15</v>
      </c>
    </row>
    <row r="234" spans="1:9" x14ac:dyDescent="0.4">
      <c r="A234">
        <v>1893</v>
      </c>
      <c r="B234" t="s">
        <v>268</v>
      </c>
      <c r="C234" t="s">
        <v>327</v>
      </c>
      <c r="D234" t="s">
        <v>15</v>
      </c>
      <c r="G234" t="s">
        <v>330</v>
      </c>
      <c r="H234" t="s">
        <v>323</v>
      </c>
      <c r="I234" t="s">
        <v>15</v>
      </c>
    </row>
    <row r="235" spans="1:9" x14ac:dyDescent="0.4">
      <c r="A235">
        <v>1893</v>
      </c>
      <c r="B235" t="s">
        <v>10</v>
      </c>
      <c r="C235" t="s">
        <v>50</v>
      </c>
      <c r="D235" t="s">
        <v>15</v>
      </c>
      <c r="F235">
        <v>65</v>
      </c>
      <c r="G235" t="s">
        <v>52</v>
      </c>
      <c r="H235" t="s">
        <v>48</v>
      </c>
      <c r="I235" t="s">
        <v>15</v>
      </c>
    </row>
    <row r="236" spans="1:9" x14ac:dyDescent="0.4">
      <c r="A236">
        <v>1892</v>
      </c>
      <c r="B236" t="s">
        <v>268</v>
      </c>
      <c r="C236" t="s">
        <v>327</v>
      </c>
      <c r="D236" t="s">
        <v>15</v>
      </c>
      <c r="G236" t="s">
        <v>328</v>
      </c>
      <c r="H236" t="s">
        <v>323</v>
      </c>
      <c r="I236" t="s">
        <v>15</v>
      </c>
    </row>
    <row r="237" spans="1:9" x14ac:dyDescent="0.4">
      <c r="A237">
        <v>1892</v>
      </c>
      <c r="B237" t="s">
        <v>10</v>
      </c>
      <c r="C237" t="s">
        <v>48</v>
      </c>
      <c r="D237" t="s">
        <v>15</v>
      </c>
      <c r="F237">
        <v>75</v>
      </c>
      <c r="G237" t="s">
        <v>68</v>
      </c>
      <c r="H237" t="s">
        <v>50</v>
      </c>
      <c r="I237" t="s">
        <v>15</v>
      </c>
    </row>
    <row r="238" spans="1:9" x14ac:dyDescent="0.4">
      <c r="A238">
        <v>1891</v>
      </c>
      <c r="B238" t="s">
        <v>268</v>
      </c>
      <c r="C238" t="s">
        <v>327</v>
      </c>
      <c r="D238" t="s">
        <v>15</v>
      </c>
      <c r="G238" t="s">
        <v>329</v>
      </c>
      <c r="H238" t="s">
        <v>323</v>
      </c>
      <c r="I238" t="s">
        <v>15</v>
      </c>
    </row>
    <row r="239" spans="1:9" x14ac:dyDescent="0.4">
      <c r="A239">
        <v>1891</v>
      </c>
      <c r="B239" t="s">
        <v>10</v>
      </c>
      <c r="C239" t="s">
        <v>48</v>
      </c>
      <c r="D239" t="s">
        <v>15</v>
      </c>
      <c r="G239" t="s">
        <v>70</v>
      </c>
      <c r="H239" t="s">
        <v>69</v>
      </c>
      <c r="I239" t="s">
        <v>15</v>
      </c>
    </row>
    <row r="240" spans="1:9" x14ac:dyDescent="0.4">
      <c r="A240">
        <v>1890</v>
      </c>
      <c r="B240" t="s">
        <v>268</v>
      </c>
      <c r="C240" t="s">
        <v>347</v>
      </c>
      <c r="D240" t="s">
        <v>15</v>
      </c>
      <c r="G240" t="s">
        <v>348</v>
      </c>
      <c r="H240" t="s">
        <v>349</v>
      </c>
      <c r="I240" t="s">
        <v>15</v>
      </c>
    </row>
    <row r="241" spans="1:9" x14ac:dyDescent="0.4">
      <c r="A241">
        <v>1890</v>
      </c>
      <c r="B241" t="s">
        <v>10</v>
      </c>
      <c r="C241" t="s">
        <v>81</v>
      </c>
      <c r="D241" t="s">
        <v>15</v>
      </c>
      <c r="F241">
        <v>96</v>
      </c>
      <c r="G241" t="s">
        <v>82</v>
      </c>
      <c r="H241" t="s">
        <v>73</v>
      </c>
      <c r="I241" t="s">
        <v>15</v>
      </c>
    </row>
    <row r="242" spans="1:9" x14ac:dyDescent="0.4">
      <c r="A242">
        <v>1889</v>
      </c>
      <c r="B242" t="s">
        <v>268</v>
      </c>
      <c r="C242" t="s">
        <v>323</v>
      </c>
      <c r="D242" t="s">
        <v>15</v>
      </c>
      <c r="G242" t="s">
        <v>346</v>
      </c>
      <c r="H242" t="s">
        <v>347</v>
      </c>
      <c r="I242" t="s">
        <v>15</v>
      </c>
    </row>
    <row r="243" spans="1:9" x14ac:dyDescent="0.4">
      <c r="A243">
        <v>1889</v>
      </c>
      <c r="B243" t="s">
        <v>10</v>
      </c>
      <c r="C243" t="s">
        <v>73</v>
      </c>
      <c r="D243" t="s">
        <v>15</v>
      </c>
      <c r="F243">
        <v>63</v>
      </c>
      <c r="G243" t="s">
        <v>79</v>
      </c>
      <c r="H243" t="s">
        <v>40</v>
      </c>
      <c r="I243" t="s">
        <v>15</v>
      </c>
    </row>
    <row r="244" spans="1:9" x14ac:dyDescent="0.4">
      <c r="A244">
        <v>1888</v>
      </c>
      <c r="B244" t="s">
        <v>268</v>
      </c>
      <c r="C244" t="s">
        <v>327</v>
      </c>
      <c r="D244" t="s">
        <v>15</v>
      </c>
      <c r="G244" t="s">
        <v>325</v>
      </c>
      <c r="H244" t="s">
        <v>323</v>
      </c>
      <c r="I244" t="s">
        <v>15</v>
      </c>
    </row>
    <row r="245" spans="1:9" x14ac:dyDescent="0.4">
      <c r="A245">
        <v>1888</v>
      </c>
      <c r="B245" t="s">
        <v>10</v>
      </c>
      <c r="C245" t="s">
        <v>40</v>
      </c>
      <c r="D245" t="s">
        <v>15</v>
      </c>
      <c r="F245">
        <v>51</v>
      </c>
      <c r="G245" t="s">
        <v>53</v>
      </c>
      <c r="H245" t="s">
        <v>39</v>
      </c>
      <c r="I245" t="s">
        <v>15</v>
      </c>
    </row>
    <row r="246" spans="1:9" x14ac:dyDescent="0.4">
      <c r="A246">
        <v>1887</v>
      </c>
      <c r="B246" t="s">
        <v>268</v>
      </c>
      <c r="C246" t="s">
        <v>327</v>
      </c>
      <c r="D246" t="s">
        <v>15</v>
      </c>
      <c r="G246" t="s">
        <v>302</v>
      </c>
      <c r="H246" t="s">
        <v>324</v>
      </c>
      <c r="I246" t="s">
        <v>15</v>
      </c>
    </row>
    <row r="247" spans="1:9" x14ac:dyDescent="0.4">
      <c r="A247">
        <v>1887</v>
      </c>
      <c r="B247" t="s">
        <v>10</v>
      </c>
      <c r="C247" t="s">
        <v>39</v>
      </c>
      <c r="D247" t="s">
        <v>15</v>
      </c>
      <c r="F247">
        <v>120</v>
      </c>
      <c r="G247" t="s">
        <v>41</v>
      </c>
      <c r="H247" t="s">
        <v>40</v>
      </c>
      <c r="I247" t="s">
        <v>15</v>
      </c>
    </row>
    <row r="248" spans="1:9" x14ac:dyDescent="0.4">
      <c r="A248">
        <v>1886</v>
      </c>
      <c r="B248" t="s">
        <v>268</v>
      </c>
      <c r="C248" t="s">
        <v>324</v>
      </c>
      <c r="D248" t="s">
        <v>15</v>
      </c>
      <c r="G248" t="s">
        <v>325</v>
      </c>
      <c r="H248" t="s">
        <v>326</v>
      </c>
      <c r="I248" t="s">
        <v>15</v>
      </c>
    </row>
    <row r="249" spans="1:9" x14ac:dyDescent="0.4">
      <c r="A249">
        <v>1886</v>
      </c>
      <c r="B249" t="s">
        <v>10</v>
      </c>
      <c r="C249" t="s">
        <v>73</v>
      </c>
      <c r="D249" t="s">
        <v>15</v>
      </c>
      <c r="F249">
        <v>96</v>
      </c>
      <c r="G249" t="s">
        <v>74</v>
      </c>
      <c r="H249" t="s">
        <v>39</v>
      </c>
      <c r="I249" t="s">
        <v>15</v>
      </c>
    </row>
    <row r="250" spans="1:9" x14ac:dyDescent="0.4">
      <c r="A250">
        <v>1885</v>
      </c>
      <c r="B250" t="s">
        <v>268</v>
      </c>
      <c r="C250" t="s">
        <v>352</v>
      </c>
      <c r="D250" t="s">
        <v>15</v>
      </c>
      <c r="G250" t="s">
        <v>353</v>
      </c>
      <c r="H250" t="s">
        <v>354</v>
      </c>
      <c r="I250" t="s">
        <v>15</v>
      </c>
    </row>
    <row r="251" spans="1:9" x14ac:dyDescent="0.4">
      <c r="A251">
        <v>1885</v>
      </c>
      <c r="B251" t="s">
        <v>10</v>
      </c>
      <c r="C251" t="s">
        <v>73</v>
      </c>
      <c r="D251" t="s">
        <v>15</v>
      </c>
      <c r="F251">
        <v>122</v>
      </c>
      <c r="G251" t="s">
        <v>76</v>
      </c>
      <c r="H251" t="s">
        <v>39</v>
      </c>
      <c r="I251" t="s">
        <v>15</v>
      </c>
    </row>
    <row r="252" spans="1:9" x14ac:dyDescent="0.4">
      <c r="A252">
        <v>1884</v>
      </c>
      <c r="B252" t="s">
        <v>268</v>
      </c>
      <c r="C252" t="s">
        <v>352</v>
      </c>
      <c r="D252" t="s">
        <v>15</v>
      </c>
      <c r="G252" t="s">
        <v>355</v>
      </c>
      <c r="H252" t="s">
        <v>356</v>
      </c>
      <c r="I252" t="s">
        <v>15</v>
      </c>
    </row>
    <row r="253" spans="1:9" x14ac:dyDescent="0.4">
      <c r="A253">
        <v>1884</v>
      </c>
      <c r="B253" t="s">
        <v>10</v>
      </c>
      <c r="C253" t="s">
        <v>73</v>
      </c>
      <c r="D253" t="s">
        <v>15</v>
      </c>
      <c r="F253">
        <v>69</v>
      </c>
      <c r="G253" t="s">
        <v>75</v>
      </c>
      <c r="H253" t="s">
        <v>39</v>
      </c>
      <c r="I253" t="s">
        <v>15</v>
      </c>
    </row>
    <row r="254" spans="1:9" x14ac:dyDescent="0.4">
      <c r="A254">
        <v>1883</v>
      </c>
      <c r="B254" t="s">
        <v>10</v>
      </c>
      <c r="C254" t="s">
        <v>73</v>
      </c>
      <c r="D254" t="s">
        <v>15</v>
      </c>
      <c r="F254">
        <v>89</v>
      </c>
      <c r="G254" t="s">
        <v>77</v>
      </c>
      <c r="H254" t="s">
        <v>40</v>
      </c>
      <c r="I254" t="s">
        <v>15</v>
      </c>
    </row>
    <row r="255" spans="1:9" x14ac:dyDescent="0.4">
      <c r="A255">
        <v>1882</v>
      </c>
      <c r="B255" t="s">
        <v>10</v>
      </c>
      <c r="C255" t="s">
        <v>73</v>
      </c>
      <c r="D255" t="s">
        <v>15</v>
      </c>
      <c r="F255">
        <v>85</v>
      </c>
      <c r="G255" t="s">
        <v>78</v>
      </c>
      <c r="H255" t="s">
        <v>40</v>
      </c>
      <c r="I255" t="s">
        <v>15</v>
      </c>
    </row>
    <row r="256" spans="1:9" x14ac:dyDescent="0.4">
      <c r="A256">
        <v>1881</v>
      </c>
      <c r="B256" t="s">
        <v>10</v>
      </c>
      <c r="C256" t="s">
        <v>73</v>
      </c>
      <c r="D256" t="s">
        <v>15</v>
      </c>
      <c r="F256">
        <v>37</v>
      </c>
      <c r="G256" t="s">
        <v>80</v>
      </c>
      <c r="H256" t="s">
        <v>54</v>
      </c>
      <c r="I256" t="s">
        <v>15</v>
      </c>
    </row>
    <row r="257" spans="1:9" x14ac:dyDescent="0.4">
      <c r="A257">
        <v>1880</v>
      </c>
      <c r="B257" t="s">
        <v>10</v>
      </c>
      <c r="C257" t="s">
        <v>54</v>
      </c>
      <c r="D257" t="s">
        <v>15</v>
      </c>
      <c r="G257" t="s">
        <v>55</v>
      </c>
      <c r="H257" t="s">
        <v>39</v>
      </c>
      <c r="I257" t="s">
        <v>15</v>
      </c>
    </row>
    <row r="258" spans="1:9" x14ac:dyDescent="0.4">
      <c r="A258">
        <v>1879</v>
      </c>
      <c r="B258" t="s">
        <v>10</v>
      </c>
      <c r="C258" t="s">
        <v>54</v>
      </c>
      <c r="D258" t="s">
        <v>15</v>
      </c>
      <c r="G258" t="s">
        <v>57</v>
      </c>
      <c r="H258" t="s">
        <v>56</v>
      </c>
      <c r="I258" t="s">
        <v>15</v>
      </c>
    </row>
    <row r="259" spans="1:9" x14ac:dyDescent="0.4">
      <c r="A259">
        <v>1878</v>
      </c>
      <c r="B259" t="s">
        <v>10</v>
      </c>
      <c r="C259" t="s">
        <v>58</v>
      </c>
      <c r="D259" t="s">
        <v>15</v>
      </c>
      <c r="G259" t="s">
        <v>60</v>
      </c>
      <c r="H259" t="s">
        <v>59</v>
      </c>
      <c r="I259" t="s">
        <v>15</v>
      </c>
    </row>
    <row r="260" spans="1:9" x14ac:dyDescent="0.4">
      <c r="A260">
        <v>1877</v>
      </c>
      <c r="B260" t="s">
        <v>10</v>
      </c>
      <c r="C260" t="s">
        <v>59</v>
      </c>
      <c r="D260" t="s">
        <v>15</v>
      </c>
      <c r="F260">
        <v>48</v>
      </c>
      <c r="G260" t="s">
        <v>67</v>
      </c>
      <c r="H260" t="s">
        <v>66</v>
      </c>
      <c r="I260" t="s">
        <v>15</v>
      </c>
    </row>
  </sheetData>
  <sortState xmlns:xlrd2="http://schemas.microsoft.com/office/spreadsheetml/2017/richdata2" ref="A2:J260">
    <sortCondition descending="1" ref="A2:A260"/>
    <sortCondition descending="1" ref="B2:B260"/>
  </sortState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0"/>
  <sheetViews>
    <sheetView topLeftCell="A112" workbookViewId="0">
      <selection activeCell="D4" sqref="D4"/>
    </sheetView>
  </sheetViews>
  <sheetFormatPr defaultRowHeight="14.6" x14ac:dyDescent="0.4"/>
  <cols>
    <col min="1" max="1" width="15.69140625" bestFit="1" customWidth="1"/>
    <col min="2" max="2" width="20.53515625" bestFit="1" customWidth="1"/>
    <col min="3" max="3" width="30.4609375" bestFit="1" customWidth="1"/>
    <col min="4" max="4" width="20.69140625" bestFit="1" customWidth="1"/>
    <col min="5" max="5" width="21" bestFit="1" customWidth="1"/>
  </cols>
  <sheetData>
    <row r="1" spans="1:5" x14ac:dyDescent="0.4">
      <c r="A1" s="15" t="s">
        <v>1</v>
      </c>
      <c r="B1" s="15" t="s">
        <v>4</v>
      </c>
      <c r="C1" s="15" t="s">
        <v>6</v>
      </c>
      <c r="D1" s="15" t="s">
        <v>5</v>
      </c>
      <c r="E1" s="15" t="s">
        <v>3</v>
      </c>
    </row>
    <row r="2" spans="1:5" x14ac:dyDescent="0.4">
      <c r="A2" t="s">
        <v>471</v>
      </c>
      <c r="B2" t="s">
        <v>472</v>
      </c>
      <c r="C2" t="s">
        <v>473</v>
      </c>
      <c r="D2" t="s">
        <v>416</v>
      </c>
      <c r="E2" t="s">
        <v>28</v>
      </c>
    </row>
    <row r="3" spans="1:5" x14ac:dyDescent="0.4">
      <c r="A3" t="s">
        <v>129</v>
      </c>
      <c r="B3" t="s">
        <v>131</v>
      </c>
      <c r="C3" t="s">
        <v>470</v>
      </c>
      <c r="D3" t="s">
        <v>132</v>
      </c>
      <c r="E3" t="s">
        <v>130</v>
      </c>
    </row>
    <row r="4" spans="1:5" x14ac:dyDescent="0.4">
      <c r="A4" t="s">
        <v>476</v>
      </c>
      <c r="B4" t="s">
        <v>126</v>
      </c>
      <c r="C4" t="s">
        <v>477</v>
      </c>
      <c r="D4" t="s">
        <v>416</v>
      </c>
      <c r="E4" t="s">
        <v>28</v>
      </c>
    </row>
    <row r="5" spans="1:5" x14ac:dyDescent="0.4">
      <c r="A5" t="s">
        <v>129</v>
      </c>
      <c r="B5" t="s">
        <v>131</v>
      </c>
      <c r="C5" t="s">
        <v>475</v>
      </c>
      <c r="D5" t="s">
        <v>474</v>
      </c>
      <c r="E5" t="s">
        <v>90</v>
      </c>
    </row>
    <row r="6" spans="1:5" x14ac:dyDescent="0.4">
      <c r="A6" t="s">
        <v>481</v>
      </c>
      <c r="B6" t="s">
        <v>135</v>
      </c>
      <c r="C6" t="s">
        <v>482</v>
      </c>
      <c r="D6" t="s">
        <v>755</v>
      </c>
      <c r="E6" t="s">
        <v>28</v>
      </c>
    </row>
    <row r="7" spans="1:5" x14ac:dyDescent="0.4">
      <c r="A7" t="s">
        <v>132</v>
      </c>
      <c r="B7" t="s">
        <v>130</v>
      </c>
      <c r="C7" t="s">
        <v>478</v>
      </c>
      <c r="D7" t="s">
        <v>479</v>
      </c>
      <c r="E7" t="s">
        <v>480</v>
      </c>
    </row>
    <row r="8" spans="1:5" x14ac:dyDescent="0.4">
      <c r="A8" t="s">
        <v>203</v>
      </c>
      <c r="B8" t="s">
        <v>15</v>
      </c>
      <c r="C8" t="s">
        <v>207</v>
      </c>
      <c r="D8" t="s">
        <v>206</v>
      </c>
      <c r="E8" t="s">
        <v>205</v>
      </c>
    </row>
    <row r="9" spans="1:5" x14ac:dyDescent="0.4">
      <c r="A9" t="s">
        <v>416</v>
      </c>
      <c r="B9" t="s">
        <v>28</v>
      </c>
      <c r="C9" t="s">
        <v>427</v>
      </c>
      <c r="D9" t="s">
        <v>428</v>
      </c>
      <c r="E9" t="s">
        <v>126</v>
      </c>
    </row>
    <row r="10" spans="1:5" x14ac:dyDescent="0.4">
      <c r="A10" t="s">
        <v>129</v>
      </c>
      <c r="B10" t="s">
        <v>131</v>
      </c>
      <c r="C10" t="s">
        <v>133</v>
      </c>
      <c r="D10" t="s">
        <v>132</v>
      </c>
      <c r="E10" t="s">
        <v>130</v>
      </c>
    </row>
    <row r="11" spans="1:5" x14ac:dyDescent="0.4">
      <c r="A11" t="s">
        <v>416</v>
      </c>
      <c r="B11" t="s">
        <v>28</v>
      </c>
      <c r="C11" t="s">
        <v>321</v>
      </c>
      <c r="D11" t="s">
        <v>417</v>
      </c>
      <c r="E11" t="s">
        <v>135</v>
      </c>
    </row>
    <row r="12" spans="1:5" x14ac:dyDescent="0.4">
      <c r="A12" t="s">
        <v>291</v>
      </c>
      <c r="B12" t="s">
        <v>107</v>
      </c>
      <c r="C12" t="s">
        <v>292</v>
      </c>
      <c r="D12" t="s">
        <v>293</v>
      </c>
      <c r="E12" t="s">
        <v>205</v>
      </c>
    </row>
    <row r="13" spans="1:5" x14ac:dyDescent="0.4">
      <c r="A13" t="s">
        <v>129</v>
      </c>
      <c r="B13" t="s">
        <v>131</v>
      </c>
      <c r="C13" t="s">
        <v>134</v>
      </c>
      <c r="D13" t="s">
        <v>132</v>
      </c>
      <c r="E13" t="s">
        <v>130</v>
      </c>
    </row>
    <row r="14" spans="1:5" x14ac:dyDescent="0.4">
      <c r="A14" t="s">
        <v>314</v>
      </c>
      <c r="B14" t="s">
        <v>24</v>
      </c>
      <c r="C14" t="s">
        <v>315</v>
      </c>
      <c r="D14" t="s">
        <v>316</v>
      </c>
      <c r="E14" t="s">
        <v>126</v>
      </c>
    </row>
    <row r="15" spans="1:5" x14ac:dyDescent="0.4">
      <c r="A15" t="s">
        <v>203</v>
      </c>
      <c r="B15" t="s">
        <v>15</v>
      </c>
      <c r="C15" t="s">
        <v>204</v>
      </c>
      <c r="D15" t="s">
        <v>129</v>
      </c>
      <c r="E15" t="s">
        <v>131</v>
      </c>
    </row>
    <row r="16" spans="1:5" x14ac:dyDescent="0.4">
      <c r="A16" t="s">
        <v>132</v>
      </c>
      <c r="B16" t="s">
        <v>130</v>
      </c>
      <c r="C16" t="s">
        <v>230</v>
      </c>
      <c r="D16" t="s">
        <v>203</v>
      </c>
      <c r="E16" t="s">
        <v>15</v>
      </c>
    </row>
    <row r="17" spans="1:5" x14ac:dyDescent="0.4">
      <c r="A17" t="s">
        <v>416</v>
      </c>
      <c r="B17" t="s">
        <v>28</v>
      </c>
      <c r="C17" t="s">
        <v>466</v>
      </c>
      <c r="D17" t="s">
        <v>467</v>
      </c>
      <c r="E17" t="s">
        <v>375</v>
      </c>
    </row>
    <row r="18" spans="1:5" x14ac:dyDescent="0.4">
      <c r="A18" t="s">
        <v>294</v>
      </c>
      <c r="B18" t="s">
        <v>107</v>
      </c>
      <c r="C18" t="s">
        <v>295</v>
      </c>
      <c r="D18" t="s">
        <v>297</v>
      </c>
      <c r="E18" t="s">
        <v>296</v>
      </c>
    </row>
    <row r="19" spans="1:5" x14ac:dyDescent="0.4">
      <c r="A19" t="s">
        <v>129</v>
      </c>
      <c r="B19" t="s">
        <v>131</v>
      </c>
      <c r="C19" t="s">
        <v>208</v>
      </c>
      <c r="D19" t="s">
        <v>136</v>
      </c>
      <c r="E19" t="s">
        <v>135</v>
      </c>
    </row>
    <row r="20" spans="1:5" x14ac:dyDescent="0.4">
      <c r="A20" t="s">
        <v>136</v>
      </c>
      <c r="B20" t="s">
        <v>135</v>
      </c>
      <c r="C20" t="s">
        <v>200</v>
      </c>
      <c r="D20" t="s">
        <v>199</v>
      </c>
      <c r="E20" t="s">
        <v>198</v>
      </c>
    </row>
    <row r="21" spans="1:5" x14ac:dyDescent="0.4">
      <c r="A21" t="s">
        <v>416</v>
      </c>
      <c r="B21" t="s">
        <v>28</v>
      </c>
      <c r="C21" t="s">
        <v>418</v>
      </c>
      <c r="D21" t="s">
        <v>419</v>
      </c>
      <c r="E21" t="s">
        <v>296</v>
      </c>
    </row>
    <row r="22" spans="1:5" x14ac:dyDescent="0.4">
      <c r="A22" t="s">
        <v>132</v>
      </c>
      <c r="B22" t="s">
        <v>130</v>
      </c>
      <c r="C22" t="s">
        <v>209</v>
      </c>
      <c r="D22" t="s">
        <v>139</v>
      </c>
      <c r="E22" t="s">
        <v>28</v>
      </c>
    </row>
    <row r="23" spans="1:5" x14ac:dyDescent="0.4">
      <c r="A23" t="s">
        <v>416</v>
      </c>
      <c r="B23" t="s">
        <v>28</v>
      </c>
      <c r="C23" t="s">
        <v>447</v>
      </c>
      <c r="D23" t="s">
        <v>430</v>
      </c>
      <c r="E23" t="s">
        <v>28</v>
      </c>
    </row>
    <row r="24" spans="1:5" x14ac:dyDescent="0.4">
      <c r="A24" t="s">
        <v>136</v>
      </c>
      <c r="B24" t="s">
        <v>135</v>
      </c>
      <c r="C24" t="s">
        <v>197</v>
      </c>
      <c r="D24" t="s">
        <v>132</v>
      </c>
      <c r="E24" t="s">
        <v>130</v>
      </c>
    </row>
    <row r="25" spans="1:5" x14ac:dyDescent="0.4">
      <c r="A25" t="s">
        <v>430</v>
      </c>
      <c r="B25" t="s">
        <v>28</v>
      </c>
      <c r="C25" t="s">
        <v>359</v>
      </c>
      <c r="D25" t="s">
        <v>416</v>
      </c>
      <c r="E25" t="s">
        <v>28</v>
      </c>
    </row>
    <row r="26" spans="1:5" x14ac:dyDescent="0.4">
      <c r="A26" t="s">
        <v>132</v>
      </c>
      <c r="B26" t="s">
        <v>130</v>
      </c>
      <c r="C26" t="s">
        <v>138</v>
      </c>
      <c r="D26" t="s">
        <v>136</v>
      </c>
      <c r="E26" t="s">
        <v>135</v>
      </c>
    </row>
    <row r="27" spans="1:5" x14ac:dyDescent="0.4">
      <c r="A27" t="s">
        <v>430</v>
      </c>
      <c r="B27" t="s">
        <v>28</v>
      </c>
      <c r="C27" t="s">
        <v>348</v>
      </c>
      <c r="D27" t="s">
        <v>314</v>
      </c>
      <c r="E27" t="s">
        <v>24</v>
      </c>
    </row>
    <row r="28" spans="1:5" x14ac:dyDescent="0.4">
      <c r="A28" t="s">
        <v>310</v>
      </c>
      <c r="B28" t="s">
        <v>24</v>
      </c>
      <c r="C28" t="s">
        <v>311</v>
      </c>
      <c r="D28" t="s">
        <v>313</v>
      </c>
      <c r="E28" t="s">
        <v>312</v>
      </c>
    </row>
    <row r="29" spans="1:5" x14ac:dyDescent="0.4">
      <c r="A29" t="s">
        <v>132</v>
      </c>
      <c r="B29" t="s">
        <v>130</v>
      </c>
      <c r="C29" t="s">
        <v>137</v>
      </c>
      <c r="D29" t="s">
        <v>136</v>
      </c>
      <c r="E29" t="s">
        <v>135</v>
      </c>
    </row>
    <row r="30" spans="1:5" x14ac:dyDescent="0.4">
      <c r="A30" t="s">
        <v>132</v>
      </c>
      <c r="B30" t="s">
        <v>130</v>
      </c>
      <c r="C30" t="s">
        <v>141</v>
      </c>
      <c r="D30" t="s">
        <v>139</v>
      </c>
      <c r="E30" t="s">
        <v>28</v>
      </c>
    </row>
    <row r="31" spans="1:5" x14ac:dyDescent="0.4">
      <c r="A31" t="s">
        <v>430</v>
      </c>
      <c r="B31" t="s">
        <v>28</v>
      </c>
      <c r="C31" t="s">
        <v>440</v>
      </c>
      <c r="D31" t="s">
        <v>441</v>
      </c>
      <c r="E31" t="s">
        <v>28</v>
      </c>
    </row>
    <row r="32" spans="1:5" x14ac:dyDescent="0.4">
      <c r="A32" t="s">
        <v>297</v>
      </c>
      <c r="B32" t="s">
        <v>296</v>
      </c>
      <c r="C32" t="s">
        <v>395</v>
      </c>
      <c r="D32" t="s">
        <v>416</v>
      </c>
      <c r="E32" t="s">
        <v>28</v>
      </c>
    </row>
    <row r="33" spans="1:5" x14ac:dyDescent="0.4">
      <c r="A33" t="s">
        <v>132</v>
      </c>
      <c r="B33" t="s">
        <v>130</v>
      </c>
      <c r="C33" t="s">
        <v>140</v>
      </c>
      <c r="D33" t="s">
        <v>139</v>
      </c>
      <c r="E33" t="s">
        <v>28</v>
      </c>
    </row>
    <row r="34" spans="1:5" x14ac:dyDescent="0.4">
      <c r="A34" t="s">
        <v>132</v>
      </c>
      <c r="B34" t="s">
        <v>130</v>
      </c>
      <c r="C34" t="s">
        <v>240</v>
      </c>
      <c r="D34" t="s">
        <v>239</v>
      </c>
      <c r="E34" t="s">
        <v>12</v>
      </c>
    </row>
    <row r="35" spans="1:5" x14ac:dyDescent="0.4">
      <c r="A35" t="s">
        <v>416</v>
      </c>
      <c r="B35" t="s">
        <v>28</v>
      </c>
      <c r="C35" t="s">
        <v>339</v>
      </c>
      <c r="D35" t="s">
        <v>430</v>
      </c>
      <c r="E35" t="s">
        <v>28</v>
      </c>
    </row>
    <row r="36" spans="1:5" x14ac:dyDescent="0.4">
      <c r="A36" t="s">
        <v>110</v>
      </c>
      <c r="B36" t="s">
        <v>12</v>
      </c>
      <c r="C36" t="s">
        <v>113</v>
      </c>
      <c r="D36" t="s">
        <v>112</v>
      </c>
      <c r="E36" t="s">
        <v>111</v>
      </c>
    </row>
    <row r="37" spans="1:5" x14ac:dyDescent="0.4">
      <c r="A37" t="s">
        <v>416</v>
      </c>
      <c r="B37" t="s">
        <v>28</v>
      </c>
      <c r="C37" t="s">
        <v>444</v>
      </c>
      <c r="D37" t="s">
        <v>430</v>
      </c>
      <c r="E37" t="s">
        <v>28</v>
      </c>
    </row>
    <row r="38" spans="1:5" x14ac:dyDescent="0.4">
      <c r="A38" t="s">
        <v>154</v>
      </c>
      <c r="B38" t="s">
        <v>153</v>
      </c>
      <c r="C38" t="s">
        <v>265</v>
      </c>
      <c r="D38" t="s">
        <v>151</v>
      </c>
      <c r="E38" t="s">
        <v>12</v>
      </c>
    </row>
    <row r="39" spans="1:5" x14ac:dyDescent="0.4">
      <c r="A39" t="s">
        <v>430</v>
      </c>
      <c r="B39" t="s">
        <v>28</v>
      </c>
      <c r="C39" t="s">
        <v>453</v>
      </c>
      <c r="D39" t="s">
        <v>454</v>
      </c>
      <c r="E39" t="s">
        <v>312</v>
      </c>
    </row>
    <row r="40" spans="1:5" x14ac:dyDescent="0.4">
      <c r="A40" t="s">
        <v>150</v>
      </c>
      <c r="B40" t="s">
        <v>28</v>
      </c>
      <c r="C40" t="s">
        <v>152</v>
      </c>
      <c r="D40" t="s">
        <v>151</v>
      </c>
      <c r="E40" t="s">
        <v>12</v>
      </c>
    </row>
    <row r="41" spans="1:5" x14ac:dyDescent="0.4">
      <c r="A41" t="s">
        <v>430</v>
      </c>
      <c r="B41" t="s">
        <v>28</v>
      </c>
      <c r="C41" t="s">
        <v>463</v>
      </c>
      <c r="D41" t="s">
        <v>456</v>
      </c>
      <c r="E41" t="s">
        <v>28</v>
      </c>
    </row>
    <row r="42" spans="1:5" x14ac:dyDescent="0.4">
      <c r="A42" t="s">
        <v>150</v>
      </c>
      <c r="B42" t="s">
        <v>28</v>
      </c>
      <c r="C42" t="s">
        <v>170</v>
      </c>
      <c r="D42" t="s">
        <v>169</v>
      </c>
      <c r="E42" t="s">
        <v>28</v>
      </c>
    </row>
    <row r="43" spans="1:5" x14ac:dyDescent="0.4">
      <c r="A43" t="s">
        <v>456</v>
      </c>
      <c r="B43" t="s">
        <v>28</v>
      </c>
      <c r="C43" t="s">
        <v>457</v>
      </c>
      <c r="D43" t="s">
        <v>380</v>
      </c>
      <c r="E43" t="s">
        <v>126</v>
      </c>
    </row>
    <row r="44" spans="1:5" x14ac:dyDescent="0.4">
      <c r="A44" t="s">
        <v>288</v>
      </c>
      <c r="B44" t="s">
        <v>107</v>
      </c>
      <c r="C44" t="s">
        <v>289</v>
      </c>
      <c r="D44" t="s">
        <v>290</v>
      </c>
      <c r="E44" t="s">
        <v>24</v>
      </c>
    </row>
    <row r="45" spans="1:5" x14ac:dyDescent="0.4">
      <c r="A45" t="s">
        <v>150</v>
      </c>
      <c r="B45" t="s">
        <v>28</v>
      </c>
      <c r="C45" t="s">
        <v>155</v>
      </c>
      <c r="D45" t="s">
        <v>154</v>
      </c>
      <c r="E45" t="s">
        <v>153</v>
      </c>
    </row>
    <row r="46" spans="1:5" x14ac:dyDescent="0.4">
      <c r="A46" t="s">
        <v>396</v>
      </c>
      <c r="B46" t="s">
        <v>130</v>
      </c>
      <c r="C46" t="s">
        <v>397</v>
      </c>
      <c r="D46" t="s">
        <v>288</v>
      </c>
      <c r="E46" t="s">
        <v>107</v>
      </c>
    </row>
    <row r="47" spans="1:5" x14ac:dyDescent="0.4">
      <c r="A47" t="s">
        <v>150</v>
      </c>
      <c r="B47" t="s">
        <v>28</v>
      </c>
      <c r="C47" t="s">
        <v>179</v>
      </c>
      <c r="D47" t="s">
        <v>178</v>
      </c>
      <c r="E47" t="s">
        <v>24</v>
      </c>
    </row>
    <row r="48" spans="1:5" x14ac:dyDescent="0.4">
      <c r="A48" t="s">
        <v>380</v>
      </c>
      <c r="B48" t="s">
        <v>126</v>
      </c>
      <c r="C48" t="s">
        <v>387</v>
      </c>
      <c r="D48" t="s">
        <v>384</v>
      </c>
      <c r="E48" t="s">
        <v>135</v>
      </c>
    </row>
    <row r="49" spans="1:5" x14ac:dyDescent="0.4">
      <c r="A49" t="s">
        <v>261</v>
      </c>
      <c r="B49" t="s">
        <v>262</v>
      </c>
      <c r="C49" t="s">
        <v>264</v>
      </c>
      <c r="D49" t="s">
        <v>263</v>
      </c>
      <c r="E49" t="s">
        <v>28</v>
      </c>
    </row>
    <row r="50" spans="1:5" x14ac:dyDescent="0.4">
      <c r="A50" t="s">
        <v>380</v>
      </c>
      <c r="B50" t="s">
        <v>126</v>
      </c>
      <c r="C50" t="s">
        <v>383</v>
      </c>
      <c r="D50" t="s">
        <v>384</v>
      </c>
      <c r="E50" t="s">
        <v>135</v>
      </c>
    </row>
    <row r="51" spans="1:5" x14ac:dyDescent="0.4">
      <c r="A51" t="s">
        <v>150</v>
      </c>
      <c r="B51" t="s">
        <v>28</v>
      </c>
      <c r="C51" t="s">
        <v>214</v>
      </c>
      <c r="D51" t="s">
        <v>213</v>
      </c>
      <c r="E51" t="s">
        <v>126</v>
      </c>
    </row>
    <row r="52" spans="1:5" x14ac:dyDescent="0.4">
      <c r="A52" t="s">
        <v>298</v>
      </c>
      <c r="B52" t="s">
        <v>135</v>
      </c>
      <c r="C52" t="s">
        <v>299</v>
      </c>
      <c r="D52" t="s">
        <v>300</v>
      </c>
      <c r="E52" t="s">
        <v>28</v>
      </c>
    </row>
    <row r="53" spans="1:5" x14ac:dyDescent="0.4">
      <c r="A53" t="s">
        <v>150</v>
      </c>
      <c r="B53" t="s">
        <v>28</v>
      </c>
      <c r="C53" t="s">
        <v>168</v>
      </c>
      <c r="D53" t="s">
        <v>154</v>
      </c>
      <c r="E53" t="s">
        <v>153</v>
      </c>
    </row>
    <row r="54" spans="1:5" x14ac:dyDescent="0.4">
      <c r="A54" t="s">
        <v>380</v>
      </c>
      <c r="B54" t="s">
        <v>126</v>
      </c>
      <c r="C54" t="s">
        <v>391</v>
      </c>
      <c r="D54" t="s">
        <v>288</v>
      </c>
      <c r="E54" t="s">
        <v>107</v>
      </c>
    </row>
    <row r="55" spans="1:5" x14ac:dyDescent="0.4">
      <c r="A55" t="s">
        <v>150</v>
      </c>
      <c r="B55" t="s">
        <v>28</v>
      </c>
      <c r="C55" t="s">
        <v>167</v>
      </c>
      <c r="D55" t="s">
        <v>166</v>
      </c>
      <c r="E55" t="s">
        <v>28</v>
      </c>
    </row>
    <row r="56" spans="1:5" x14ac:dyDescent="0.4">
      <c r="A56" t="s">
        <v>380</v>
      </c>
      <c r="B56" t="s">
        <v>126</v>
      </c>
      <c r="C56" t="s">
        <v>392</v>
      </c>
      <c r="D56" t="s">
        <v>394</v>
      </c>
      <c r="E56" t="s">
        <v>393</v>
      </c>
    </row>
    <row r="57" spans="1:5" x14ac:dyDescent="0.4">
      <c r="A57" t="s">
        <v>169</v>
      </c>
      <c r="B57" t="s">
        <v>28</v>
      </c>
      <c r="C57" t="s">
        <v>185</v>
      </c>
      <c r="D57" t="s">
        <v>154</v>
      </c>
      <c r="E57" t="s">
        <v>153</v>
      </c>
    </row>
    <row r="58" spans="1:5" x14ac:dyDescent="0.4">
      <c r="A58" t="s">
        <v>248</v>
      </c>
      <c r="B58" t="s">
        <v>126</v>
      </c>
      <c r="C58" t="s">
        <v>249</v>
      </c>
      <c r="D58" t="s">
        <v>213</v>
      </c>
      <c r="E58" t="s">
        <v>126</v>
      </c>
    </row>
    <row r="59" spans="1:5" x14ac:dyDescent="0.4">
      <c r="A59" t="s">
        <v>380</v>
      </c>
      <c r="B59" t="s">
        <v>126</v>
      </c>
      <c r="C59" t="s">
        <v>381</v>
      </c>
      <c r="D59" t="s">
        <v>382</v>
      </c>
      <c r="E59" t="s">
        <v>111</v>
      </c>
    </row>
    <row r="60" spans="1:5" x14ac:dyDescent="0.4">
      <c r="A60" t="s">
        <v>228</v>
      </c>
      <c r="B60" t="s">
        <v>143</v>
      </c>
      <c r="C60" t="s">
        <v>231</v>
      </c>
      <c r="D60" t="s">
        <v>213</v>
      </c>
      <c r="E60" t="s">
        <v>126</v>
      </c>
    </row>
    <row r="61" spans="1:5" x14ac:dyDescent="0.4">
      <c r="A61" t="s">
        <v>300</v>
      </c>
      <c r="B61" t="s">
        <v>28</v>
      </c>
      <c r="C61" t="s">
        <v>279</v>
      </c>
      <c r="D61" t="s">
        <v>452</v>
      </c>
      <c r="E61" t="s">
        <v>28</v>
      </c>
    </row>
    <row r="62" spans="1:5" x14ac:dyDescent="0.4">
      <c r="A62" t="s">
        <v>213</v>
      </c>
      <c r="B62" t="s">
        <v>126</v>
      </c>
      <c r="C62" t="s">
        <v>229</v>
      </c>
      <c r="D62" t="s">
        <v>228</v>
      </c>
      <c r="E62" t="s">
        <v>143</v>
      </c>
    </row>
    <row r="63" spans="1:5" x14ac:dyDescent="0.4">
      <c r="A63" t="s">
        <v>380</v>
      </c>
      <c r="B63" t="s">
        <v>126</v>
      </c>
      <c r="C63" t="s">
        <v>386</v>
      </c>
      <c r="D63" t="s">
        <v>300</v>
      </c>
      <c r="E63" t="s">
        <v>28</v>
      </c>
    </row>
    <row r="64" spans="1:5" x14ac:dyDescent="0.4">
      <c r="A64" t="s">
        <v>380</v>
      </c>
      <c r="B64" t="s">
        <v>126</v>
      </c>
      <c r="C64" t="s">
        <v>385</v>
      </c>
      <c r="D64" t="s">
        <v>300</v>
      </c>
      <c r="E64" t="s">
        <v>28</v>
      </c>
    </row>
    <row r="65" spans="1:5" x14ac:dyDescent="0.4">
      <c r="A65" t="s">
        <v>228</v>
      </c>
      <c r="B65" t="s">
        <v>143</v>
      </c>
      <c r="C65" t="s">
        <v>232</v>
      </c>
      <c r="D65" t="s">
        <v>213</v>
      </c>
      <c r="E65" t="s">
        <v>126</v>
      </c>
    </row>
    <row r="66" spans="1:5" x14ac:dyDescent="0.4">
      <c r="A66" t="s">
        <v>180</v>
      </c>
      <c r="B66" t="s">
        <v>12</v>
      </c>
      <c r="C66" t="s">
        <v>183</v>
      </c>
      <c r="D66" t="s">
        <v>182</v>
      </c>
      <c r="E66" t="s">
        <v>181</v>
      </c>
    </row>
    <row r="67" spans="1:5" x14ac:dyDescent="0.4">
      <c r="A67" t="s">
        <v>300</v>
      </c>
      <c r="B67" t="s">
        <v>28</v>
      </c>
      <c r="C67" t="s">
        <v>403</v>
      </c>
      <c r="D67" t="s">
        <v>380</v>
      </c>
      <c r="E67" t="s">
        <v>126</v>
      </c>
    </row>
    <row r="68" spans="1:5" x14ac:dyDescent="0.4">
      <c r="A68" t="s">
        <v>213</v>
      </c>
      <c r="B68" t="s">
        <v>126</v>
      </c>
      <c r="C68" t="s">
        <v>238</v>
      </c>
      <c r="D68" t="s">
        <v>182</v>
      </c>
      <c r="E68" t="s">
        <v>181</v>
      </c>
    </row>
    <row r="69" spans="1:5" x14ac:dyDescent="0.4">
      <c r="A69" t="s">
        <v>300</v>
      </c>
      <c r="B69" t="s">
        <v>28</v>
      </c>
      <c r="C69" t="s">
        <v>420</v>
      </c>
      <c r="D69" t="s">
        <v>405</v>
      </c>
      <c r="E69" t="s">
        <v>181</v>
      </c>
    </row>
    <row r="70" spans="1:5" x14ac:dyDescent="0.4">
      <c r="A70" t="s">
        <v>213</v>
      </c>
      <c r="B70" t="s">
        <v>126</v>
      </c>
      <c r="C70" t="s">
        <v>267</v>
      </c>
      <c r="D70" t="s">
        <v>266</v>
      </c>
      <c r="E70" t="s">
        <v>28</v>
      </c>
    </row>
    <row r="71" spans="1:5" x14ac:dyDescent="0.4">
      <c r="A71" t="s">
        <v>300</v>
      </c>
      <c r="B71" t="s">
        <v>28</v>
      </c>
      <c r="C71" t="s">
        <v>398</v>
      </c>
      <c r="D71" t="s">
        <v>282</v>
      </c>
      <c r="E71" t="s">
        <v>28</v>
      </c>
    </row>
    <row r="72" spans="1:5" x14ac:dyDescent="0.4">
      <c r="A72" t="s">
        <v>144</v>
      </c>
      <c r="B72" t="s">
        <v>28</v>
      </c>
      <c r="C72" t="s">
        <v>165</v>
      </c>
      <c r="D72" t="s">
        <v>146</v>
      </c>
      <c r="E72" t="s">
        <v>28</v>
      </c>
    </row>
    <row r="73" spans="1:5" x14ac:dyDescent="0.4">
      <c r="A73" t="s">
        <v>300</v>
      </c>
      <c r="B73" t="s">
        <v>28</v>
      </c>
      <c r="C73" t="s">
        <v>412</v>
      </c>
      <c r="D73" t="s">
        <v>282</v>
      </c>
      <c r="E73" t="s">
        <v>28</v>
      </c>
    </row>
    <row r="74" spans="1:5" x14ac:dyDescent="0.4">
      <c r="A74" t="s">
        <v>144</v>
      </c>
      <c r="B74" t="s">
        <v>28</v>
      </c>
      <c r="C74" t="s">
        <v>223</v>
      </c>
      <c r="D74" t="s">
        <v>222</v>
      </c>
      <c r="E74" t="s">
        <v>20</v>
      </c>
    </row>
    <row r="75" spans="1:5" x14ac:dyDescent="0.4">
      <c r="A75" t="s">
        <v>300</v>
      </c>
      <c r="B75" t="s">
        <v>28</v>
      </c>
      <c r="C75" t="s">
        <v>421</v>
      </c>
      <c r="D75" t="s">
        <v>422</v>
      </c>
      <c r="E75" t="s">
        <v>28</v>
      </c>
    </row>
    <row r="76" spans="1:5" x14ac:dyDescent="0.4">
      <c r="A76" t="s">
        <v>146</v>
      </c>
      <c r="B76" t="s">
        <v>28</v>
      </c>
      <c r="C76" t="s">
        <v>212</v>
      </c>
      <c r="D76" t="s">
        <v>144</v>
      </c>
      <c r="E76" t="s">
        <v>28</v>
      </c>
    </row>
    <row r="77" spans="1:5" x14ac:dyDescent="0.4">
      <c r="A77" t="s">
        <v>300</v>
      </c>
      <c r="B77" t="s">
        <v>28</v>
      </c>
      <c r="C77" t="s">
        <v>410</v>
      </c>
      <c r="D77" t="s">
        <v>282</v>
      </c>
      <c r="E77" t="s">
        <v>28</v>
      </c>
    </row>
    <row r="78" spans="1:5" x14ac:dyDescent="0.4">
      <c r="A78" t="s">
        <v>144</v>
      </c>
      <c r="B78" t="s">
        <v>28</v>
      </c>
      <c r="C78" t="s">
        <v>211</v>
      </c>
      <c r="D78" t="s">
        <v>142</v>
      </c>
      <c r="E78" t="s">
        <v>143</v>
      </c>
    </row>
    <row r="79" spans="1:5" x14ac:dyDescent="0.4">
      <c r="A79" t="s">
        <v>282</v>
      </c>
      <c r="B79" t="s">
        <v>28</v>
      </c>
      <c r="C79" t="s">
        <v>404</v>
      </c>
      <c r="D79" t="s">
        <v>405</v>
      </c>
      <c r="E79" t="s">
        <v>181</v>
      </c>
    </row>
    <row r="80" spans="1:5" x14ac:dyDescent="0.4">
      <c r="A80" t="s">
        <v>280</v>
      </c>
      <c r="B80" t="s">
        <v>12</v>
      </c>
      <c r="C80" t="s">
        <v>281</v>
      </c>
      <c r="D80" t="s">
        <v>282</v>
      </c>
      <c r="E80" t="s">
        <v>28</v>
      </c>
    </row>
    <row r="81" spans="1:5" x14ac:dyDescent="0.4">
      <c r="A81" t="s">
        <v>142</v>
      </c>
      <c r="B81" t="s">
        <v>143</v>
      </c>
      <c r="C81" t="s">
        <v>145</v>
      </c>
      <c r="D81" t="s">
        <v>144</v>
      </c>
      <c r="E81" t="s">
        <v>28</v>
      </c>
    </row>
    <row r="82" spans="1:5" x14ac:dyDescent="0.4">
      <c r="A82" t="s">
        <v>142</v>
      </c>
      <c r="B82" t="s">
        <v>143</v>
      </c>
      <c r="C82" t="s">
        <v>149</v>
      </c>
      <c r="D82" t="s">
        <v>148</v>
      </c>
      <c r="E82" t="s">
        <v>28</v>
      </c>
    </row>
    <row r="83" spans="1:5" x14ac:dyDescent="0.4">
      <c r="A83" t="s">
        <v>300</v>
      </c>
      <c r="B83" t="s">
        <v>28</v>
      </c>
      <c r="C83" t="s">
        <v>411</v>
      </c>
      <c r="D83" t="s">
        <v>282</v>
      </c>
      <c r="E83" t="s">
        <v>28</v>
      </c>
    </row>
    <row r="84" spans="1:5" x14ac:dyDescent="0.4">
      <c r="A84" t="s">
        <v>142</v>
      </c>
      <c r="B84" t="s">
        <v>143</v>
      </c>
      <c r="C84" t="s">
        <v>147</v>
      </c>
      <c r="D84" t="s">
        <v>146</v>
      </c>
      <c r="E84" t="s">
        <v>28</v>
      </c>
    </row>
    <row r="85" spans="1:5" x14ac:dyDescent="0.4">
      <c r="A85" t="s">
        <v>300</v>
      </c>
      <c r="B85" t="s">
        <v>28</v>
      </c>
      <c r="C85" t="s">
        <v>443</v>
      </c>
      <c r="D85" t="s">
        <v>399</v>
      </c>
      <c r="E85" t="s">
        <v>28</v>
      </c>
    </row>
    <row r="86" spans="1:5" x14ac:dyDescent="0.4">
      <c r="A86" t="s">
        <v>369</v>
      </c>
      <c r="B86" t="s">
        <v>15</v>
      </c>
      <c r="C86" t="s">
        <v>370</v>
      </c>
      <c r="D86" t="s">
        <v>371</v>
      </c>
      <c r="E86" t="s">
        <v>262</v>
      </c>
    </row>
    <row r="87" spans="1:5" x14ac:dyDescent="0.4">
      <c r="A87" t="s">
        <v>142</v>
      </c>
      <c r="B87" t="s">
        <v>143</v>
      </c>
      <c r="C87" t="s">
        <v>210</v>
      </c>
      <c r="D87" t="s">
        <v>146</v>
      </c>
      <c r="E87" t="s">
        <v>28</v>
      </c>
    </row>
    <row r="88" spans="1:5" x14ac:dyDescent="0.4">
      <c r="A88" t="s">
        <v>142</v>
      </c>
      <c r="B88" t="s">
        <v>143</v>
      </c>
      <c r="C88" t="s">
        <v>241</v>
      </c>
      <c r="D88" t="s">
        <v>161</v>
      </c>
      <c r="E88" t="s">
        <v>160</v>
      </c>
    </row>
    <row r="89" spans="1:5" x14ac:dyDescent="0.4">
      <c r="A89" t="s">
        <v>399</v>
      </c>
      <c r="B89" t="s">
        <v>28</v>
      </c>
      <c r="C89" t="s">
        <v>400</v>
      </c>
      <c r="D89" t="s">
        <v>280</v>
      </c>
      <c r="E89" t="s">
        <v>12</v>
      </c>
    </row>
    <row r="90" spans="1:5" x14ac:dyDescent="0.4">
      <c r="A90" t="s">
        <v>250</v>
      </c>
      <c r="B90" t="s">
        <v>28</v>
      </c>
      <c r="C90" t="s">
        <v>251</v>
      </c>
      <c r="D90" t="s">
        <v>146</v>
      </c>
      <c r="E90" t="s">
        <v>28</v>
      </c>
    </row>
    <row r="91" spans="1:5" x14ac:dyDescent="0.4">
      <c r="A91" t="s">
        <v>271</v>
      </c>
      <c r="B91" t="s">
        <v>28</v>
      </c>
      <c r="C91" t="s">
        <v>458</v>
      </c>
      <c r="D91" t="s">
        <v>280</v>
      </c>
      <c r="E91" t="s">
        <v>12</v>
      </c>
    </row>
    <row r="92" spans="1:5" x14ac:dyDescent="0.4">
      <c r="A92" t="s">
        <v>146</v>
      </c>
      <c r="B92" t="s">
        <v>28</v>
      </c>
      <c r="C92" t="s">
        <v>233</v>
      </c>
      <c r="D92" t="s">
        <v>101</v>
      </c>
      <c r="E92" t="s">
        <v>12</v>
      </c>
    </row>
    <row r="93" spans="1:5" x14ac:dyDescent="0.4">
      <c r="A93" t="s">
        <v>399</v>
      </c>
      <c r="B93" t="s">
        <v>28</v>
      </c>
      <c r="C93" t="s">
        <v>361</v>
      </c>
      <c r="D93" t="s">
        <v>455</v>
      </c>
      <c r="E93" t="s">
        <v>194</v>
      </c>
    </row>
    <row r="94" spans="1:5" x14ac:dyDescent="0.4">
      <c r="A94" t="s">
        <v>193</v>
      </c>
      <c r="B94" t="s">
        <v>107</v>
      </c>
      <c r="C94" t="s">
        <v>196</v>
      </c>
      <c r="D94" t="s">
        <v>195</v>
      </c>
      <c r="E94" t="s">
        <v>194</v>
      </c>
    </row>
    <row r="95" spans="1:5" x14ac:dyDescent="0.4">
      <c r="A95" t="s">
        <v>271</v>
      </c>
      <c r="B95" t="s">
        <v>28</v>
      </c>
      <c r="C95" t="s">
        <v>449</v>
      </c>
      <c r="D95" t="s">
        <v>399</v>
      </c>
      <c r="E95" t="s">
        <v>28</v>
      </c>
    </row>
    <row r="96" spans="1:5" x14ac:dyDescent="0.4">
      <c r="A96" t="s">
        <v>159</v>
      </c>
      <c r="B96" t="s">
        <v>28</v>
      </c>
      <c r="C96" t="s">
        <v>162</v>
      </c>
      <c r="D96" t="s">
        <v>161</v>
      </c>
      <c r="E96" t="s">
        <v>160</v>
      </c>
    </row>
    <row r="97" spans="1:5" x14ac:dyDescent="0.4">
      <c r="A97" t="s">
        <v>271</v>
      </c>
      <c r="B97" t="s">
        <v>28</v>
      </c>
      <c r="C97" t="s">
        <v>442</v>
      </c>
      <c r="D97" t="s">
        <v>278</v>
      </c>
      <c r="E97" t="s">
        <v>12</v>
      </c>
    </row>
    <row r="98" spans="1:5" x14ac:dyDescent="0.4">
      <c r="A98" t="s">
        <v>117</v>
      </c>
      <c r="B98" t="s">
        <v>12</v>
      </c>
      <c r="C98" t="s">
        <v>189</v>
      </c>
      <c r="D98" t="s">
        <v>159</v>
      </c>
      <c r="E98" t="s">
        <v>28</v>
      </c>
    </row>
    <row r="99" spans="1:5" x14ac:dyDescent="0.4">
      <c r="A99" t="s">
        <v>278</v>
      </c>
      <c r="B99" t="s">
        <v>12</v>
      </c>
      <c r="C99" t="s">
        <v>279</v>
      </c>
      <c r="D99" t="s">
        <v>269</v>
      </c>
      <c r="E99" t="s">
        <v>12</v>
      </c>
    </row>
    <row r="100" spans="1:5" x14ac:dyDescent="0.4">
      <c r="A100" t="s">
        <v>117</v>
      </c>
      <c r="B100" t="s">
        <v>12</v>
      </c>
      <c r="C100" t="s">
        <v>190</v>
      </c>
      <c r="D100" t="s">
        <v>101</v>
      </c>
      <c r="E100" t="s">
        <v>12</v>
      </c>
    </row>
    <row r="101" spans="1:5" x14ac:dyDescent="0.4">
      <c r="A101" t="s">
        <v>269</v>
      </c>
      <c r="B101" t="s">
        <v>12</v>
      </c>
      <c r="C101" t="s">
        <v>270</v>
      </c>
      <c r="D101" t="s">
        <v>271</v>
      </c>
      <c r="E101" t="s">
        <v>28</v>
      </c>
    </row>
    <row r="102" spans="1:5" x14ac:dyDescent="0.4">
      <c r="A102" t="s">
        <v>96</v>
      </c>
      <c r="B102" t="s">
        <v>12</v>
      </c>
      <c r="C102" t="s">
        <v>118</v>
      </c>
      <c r="D102" t="s">
        <v>117</v>
      </c>
      <c r="E102" t="s">
        <v>12</v>
      </c>
    </row>
    <row r="103" spans="1:5" x14ac:dyDescent="0.4">
      <c r="A103" t="s">
        <v>372</v>
      </c>
      <c r="B103" t="s">
        <v>15</v>
      </c>
      <c r="C103" t="s">
        <v>373</v>
      </c>
      <c r="D103" t="s">
        <v>271</v>
      </c>
      <c r="E103" t="s">
        <v>28</v>
      </c>
    </row>
    <row r="104" spans="1:5" x14ac:dyDescent="0.4">
      <c r="A104" t="s">
        <v>96</v>
      </c>
      <c r="B104" t="s">
        <v>12</v>
      </c>
      <c r="C104" t="s">
        <v>17</v>
      </c>
      <c r="D104" t="s">
        <v>97</v>
      </c>
      <c r="E104" t="s">
        <v>12</v>
      </c>
    </row>
    <row r="105" spans="1:5" x14ac:dyDescent="0.4">
      <c r="A105" t="s">
        <v>271</v>
      </c>
      <c r="B105" t="s">
        <v>28</v>
      </c>
      <c r="C105" t="s">
        <v>436</v>
      </c>
      <c r="D105" t="s">
        <v>437</v>
      </c>
      <c r="E105" t="s">
        <v>12</v>
      </c>
    </row>
    <row r="106" spans="1:5" x14ac:dyDescent="0.4">
      <c r="A106" t="s">
        <v>117</v>
      </c>
      <c r="B106" t="s">
        <v>12</v>
      </c>
      <c r="C106" t="s">
        <v>227</v>
      </c>
      <c r="D106" t="s">
        <v>226</v>
      </c>
      <c r="E106" t="s">
        <v>126</v>
      </c>
    </row>
    <row r="107" spans="1:5" x14ac:dyDescent="0.4">
      <c r="A107" t="s">
        <v>271</v>
      </c>
      <c r="B107" t="s">
        <v>28</v>
      </c>
      <c r="C107" t="s">
        <v>273</v>
      </c>
      <c r="D107" t="s">
        <v>372</v>
      </c>
      <c r="E107" t="s">
        <v>15</v>
      </c>
    </row>
    <row r="108" spans="1:5" x14ac:dyDescent="0.4">
      <c r="A108" t="s">
        <v>234</v>
      </c>
      <c r="B108" t="s">
        <v>135</v>
      </c>
      <c r="C108" t="s">
        <v>236</v>
      </c>
      <c r="D108" t="s">
        <v>235</v>
      </c>
      <c r="E108" t="s">
        <v>28</v>
      </c>
    </row>
    <row r="109" spans="1:5" x14ac:dyDescent="0.4">
      <c r="A109" t="s">
        <v>271</v>
      </c>
      <c r="B109" t="s">
        <v>28</v>
      </c>
      <c r="C109" t="s">
        <v>461</v>
      </c>
      <c r="D109" t="s">
        <v>277</v>
      </c>
      <c r="E109" t="s">
        <v>276</v>
      </c>
    </row>
    <row r="110" spans="1:5" x14ac:dyDescent="0.4">
      <c r="A110" t="s">
        <v>103</v>
      </c>
      <c r="B110" t="s">
        <v>12</v>
      </c>
      <c r="C110" t="s">
        <v>105</v>
      </c>
      <c r="D110" t="s">
        <v>104</v>
      </c>
      <c r="E110" t="s">
        <v>12</v>
      </c>
    </row>
    <row r="111" spans="1:5" x14ac:dyDescent="0.4">
      <c r="A111" t="s">
        <v>272</v>
      </c>
      <c r="B111" t="s">
        <v>12</v>
      </c>
      <c r="C111" t="s">
        <v>275</v>
      </c>
      <c r="D111" t="s">
        <v>277</v>
      </c>
      <c r="E111" t="s">
        <v>276</v>
      </c>
    </row>
    <row r="112" spans="1:5" x14ac:dyDescent="0.4">
      <c r="A112" t="s">
        <v>103</v>
      </c>
      <c r="B112" t="s">
        <v>12</v>
      </c>
      <c r="C112" t="s">
        <v>119</v>
      </c>
      <c r="D112" t="s">
        <v>104</v>
      </c>
      <c r="E112" t="s">
        <v>12</v>
      </c>
    </row>
    <row r="113" spans="1:5" x14ac:dyDescent="0.4">
      <c r="A113" t="s">
        <v>277</v>
      </c>
      <c r="B113" t="s">
        <v>276</v>
      </c>
      <c r="C113" t="s">
        <v>285</v>
      </c>
      <c r="D113" t="s">
        <v>272</v>
      </c>
      <c r="E113" t="s">
        <v>12</v>
      </c>
    </row>
    <row r="114" spans="1:5" x14ac:dyDescent="0.4">
      <c r="A114" t="s">
        <v>272</v>
      </c>
      <c r="B114" t="s">
        <v>12</v>
      </c>
      <c r="C114" t="s">
        <v>273</v>
      </c>
      <c r="D114" t="s">
        <v>274</v>
      </c>
      <c r="E114" t="s">
        <v>28</v>
      </c>
    </row>
    <row r="115" spans="1:5" x14ac:dyDescent="0.4">
      <c r="A115" t="s">
        <v>191</v>
      </c>
      <c r="B115" t="s">
        <v>28</v>
      </c>
      <c r="C115" t="s">
        <v>242</v>
      </c>
      <c r="D115" t="s">
        <v>104</v>
      </c>
      <c r="E115" t="s">
        <v>12</v>
      </c>
    </row>
    <row r="116" spans="1:5" x14ac:dyDescent="0.4">
      <c r="A116" t="s">
        <v>96</v>
      </c>
      <c r="B116" t="s">
        <v>12</v>
      </c>
      <c r="C116" t="s">
        <v>121</v>
      </c>
      <c r="D116" t="s">
        <v>120</v>
      </c>
      <c r="E116" t="s">
        <v>12</v>
      </c>
    </row>
    <row r="117" spans="1:5" x14ac:dyDescent="0.4">
      <c r="A117" t="s">
        <v>468</v>
      </c>
      <c r="B117" t="s">
        <v>28</v>
      </c>
      <c r="C117" t="s">
        <v>411</v>
      </c>
      <c r="D117" t="s">
        <v>469</v>
      </c>
      <c r="E117" t="s">
        <v>181</v>
      </c>
    </row>
    <row r="118" spans="1:5" x14ac:dyDescent="0.4">
      <c r="A118" t="s">
        <v>96</v>
      </c>
      <c r="B118" t="s">
        <v>12</v>
      </c>
      <c r="C118" t="s">
        <v>192</v>
      </c>
      <c r="D118" t="s">
        <v>191</v>
      </c>
      <c r="E118" t="s">
        <v>28</v>
      </c>
    </row>
    <row r="119" spans="1:5" x14ac:dyDescent="0.4">
      <c r="A119" t="s">
        <v>377</v>
      </c>
      <c r="B119" t="s">
        <v>15</v>
      </c>
      <c r="C119" t="s">
        <v>378</v>
      </c>
      <c r="D119" t="s">
        <v>379</v>
      </c>
      <c r="E119" t="s">
        <v>15</v>
      </c>
    </row>
    <row r="120" spans="1:5" x14ac:dyDescent="0.4">
      <c r="A120" t="s">
        <v>114</v>
      </c>
      <c r="B120" t="s">
        <v>12</v>
      </c>
      <c r="C120" t="s">
        <v>115</v>
      </c>
      <c r="D120" t="s">
        <v>96</v>
      </c>
      <c r="E120" t="s">
        <v>12</v>
      </c>
    </row>
    <row r="121" spans="1:5" x14ac:dyDescent="0.4">
      <c r="A121" t="s">
        <v>277</v>
      </c>
      <c r="B121" t="s">
        <v>276</v>
      </c>
      <c r="C121" t="s">
        <v>283</v>
      </c>
      <c r="D121" t="s">
        <v>284</v>
      </c>
      <c r="E121" t="s">
        <v>90</v>
      </c>
    </row>
    <row r="122" spans="1:5" x14ac:dyDescent="0.4">
      <c r="A122" t="s">
        <v>277</v>
      </c>
      <c r="B122" t="s">
        <v>276</v>
      </c>
      <c r="C122" t="s">
        <v>286</v>
      </c>
      <c r="D122" t="s">
        <v>287</v>
      </c>
      <c r="E122" t="s">
        <v>28</v>
      </c>
    </row>
    <row r="123" spans="1:5" x14ac:dyDescent="0.4">
      <c r="A123" t="s">
        <v>173</v>
      </c>
      <c r="B123" t="s">
        <v>28</v>
      </c>
      <c r="C123" t="s">
        <v>124</v>
      </c>
      <c r="D123" t="s">
        <v>96</v>
      </c>
      <c r="E123" t="s">
        <v>12</v>
      </c>
    </row>
    <row r="124" spans="1:5" x14ac:dyDescent="0.4">
      <c r="A124" t="s">
        <v>99</v>
      </c>
      <c r="B124" t="s">
        <v>12</v>
      </c>
      <c r="C124" t="s">
        <v>116</v>
      </c>
      <c r="D124" t="s">
        <v>114</v>
      </c>
      <c r="E124" t="s">
        <v>12</v>
      </c>
    </row>
    <row r="125" spans="1:5" x14ac:dyDescent="0.4">
      <c r="A125" t="s">
        <v>431</v>
      </c>
      <c r="B125" t="s">
        <v>28</v>
      </c>
      <c r="C125" t="s">
        <v>438</v>
      </c>
      <c r="D125" t="s">
        <v>377</v>
      </c>
      <c r="E125" t="s">
        <v>15</v>
      </c>
    </row>
    <row r="126" spans="1:5" x14ac:dyDescent="0.4">
      <c r="A126" t="s">
        <v>98</v>
      </c>
      <c r="B126" t="s">
        <v>12</v>
      </c>
      <c r="C126" t="s">
        <v>100</v>
      </c>
      <c r="D126" t="s">
        <v>99</v>
      </c>
      <c r="E126" t="s">
        <v>12</v>
      </c>
    </row>
    <row r="127" spans="1:5" x14ac:dyDescent="0.4">
      <c r="A127" t="s">
        <v>431</v>
      </c>
      <c r="B127" t="s">
        <v>28</v>
      </c>
      <c r="C127" t="s">
        <v>432</v>
      </c>
      <c r="D127" t="s">
        <v>287</v>
      </c>
      <c r="E127" t="s">
        <v>28</v>
      </c>
    </row>
    <row r="128" spans="1:5" x14ac:dyDescent="0.4">
      <c r="A128" t="s">
        <v>98</v>
      </c>
      <c r="B128" t="s">
        <v>12</v>
      </c>
      <c r="C128" t="s">
        <v>102</v>
      </c>
      <c r="D128" t="s">
        <v>101</v>
      </c>
      <c r="E128" t="s">
        <v>12</v>
      </c>
    </row>
    <row r="129" spans="1:5" x14ac:dyDescent="0.4">
      <c r="A129" t="s">
        <v>460</v>
      </c>
      <c r="B129" t="s">
        <v>28</v>
      </c>
      <c r="C129" t="s">
        <v>464</v>
      </c>
      <c r="D129" t="s">
        <v>465</v>
      </c>
      <c r="E129" t="s">
        <v>15</v>
      </c>
    </row>
    <row r="130" spans="1:5" x14ac:dyDescent="0.4">
      <c r="A130" t="s">
        <v>174</v>
      </c>
      <c r="B130" t="s">
        <v>28</v>
      </c>
      <c r="C130" t="s">
        <v>177</v>
      </c>
      <c r="D130" t="s">
        <v>176</v>
      </c>
      <c r="E130" t="s">
        <v>175</v>
      </c>
    </row>
    <row r="131" spans="1:5" x14ac:dyDescent="0.4">
      <c r="A131" t="s">
        <v>406</v>
      </c>
      <c r="B131" t="s">
        <v>28</v>
      </c>
      <c r="C131" t="s">
        <v>445</v>
      </c>
      <c r="D131" t="s">
        <v>446</v>
      </c>
      <c r="E131" t="s">
        <v>28</v>
      </c>
    </row>
    <row r="132" spans="1:5" x14ac:dyDescent="0.4">
      <c r="A132" t="s">
        <v>108</v>
      </c>
      <c r="B132" t="s">
        <v>107</v>
      </c>
      <c r="C132" t="s">
        <v>184</v>
      </c>
      <c r="D132" t="s">
        <v>101</v>
      </c>
      <c r="E132" t="s">
        <v>12</v>
      </c>
    </row>
    <row r="133" spans="1:5" x14ac:dyDescent="0.4">
      <c r="A133" t="s">
        <v>413</v>
      </c>
      <c r="B133" t="s">
        <v>28</v>
      </c>
      <c r="C133" t="s">
        <v>429</v>
      </c>
      <c r="D133" t="s">
        <v>406</v>
      </c>
      <c r="E133" t="s">
        <v>28</v>
      </c>
    </row>
    <row r="134" spans="1:5" x14ac:dyDescent="0.4">
      <c r="A134" t="s">
        <v>220</v>
      </c>
      <c r="B134" t="s">
        <v>28</v>
      </c>
      <c r="C134" t="s">
        <v>221</v>
      </c>
      <c r="D134" t="s">
        <v>176</v>
      </c>
      <c r="E134" t="s">
        <v>175</v>
      </c>
    </row>
    <row r="135" spans="1:5" x14ac:dyDescent="0.4">
      <c r="A135" t="s">
        <v>413</v>
      </c>
      <c r="B135" t="s">
        <v>28</v>
      </c>
      <c r="C135" t="s">
        <v>414</v>
      </c>
      <c r="D135" t="s">
        <v>415</v>
      </c>
      <c r="E135" t="s">
        <v>28</v>
      </c>
    </row>
    <row r="136" spans="1:5" x14ac:dyDescent="0.4">
      <c r="A136" t="s">
        <v>106</v>
      </c>
      <c r="B136" t="s">
        <v>12</v>
      </c>
      <c r="C136" t="s">
        <v>109</v>
      </c>
      <c r="D136" t="s">
        <v>108</v>
      </c>
      <c r="E136" t="s">
        <v>107</v>
      </c>
    </row>
    <row r="137" spans="1:5" x14ac:dyDescent="0.4">
      <c r="A137" t="s">
        <v>413</v>
      </c>
      <c r="B137" t="s">
        <v>28</v>
      </c>
      <c r="C137" t="s">
        <v>403</v>
      </c>
      <c r="D137" t="s">
        <v>406</v>
      </c>
      <c r="E137" t="s">
        <v>28</v>
      </c>
    </row>
    <row r="138" spans="1:5" x14ac:dyDescent="0.4">
      <c r="A138" t="s">
        <v>252</v>
      </c>
      <c r="B138" t="s">
        <v>28</v>
      </c>
      <c r="C138" t="s">
        <v>254</v>
      </c>
      <c r="D138" t="s">
        <v>253</v>
      </c>
      <c r="E138" t="s">
        <v>12</v>
      </c>
    </row>
    <row r="139" spans="1:5" x14ac:dyDescent="0.4">
      <c r="A139" t="s">
        <v>415</v>
      </c>
      <c r="B139" t="s">
        <v>28</v>
      </c>
      <c r="C139" t="s">
        <v>459</v>
      </c>
      <c r="D139" t="s">
        <v>460</v>
      </c>
      <c r="E139" t="s">
        <v>28</v>
      </c>
    </row>
    <row r="140" spans="1:5" x14ac:dyDescent="0.4">
      <c r="A140" t="s">
        <v>246</v>
      </c>
      <c r="B140" t="s">
        <v>28</v>
      </c>
      <c r="C140" t="s">
        <v>247</v>
      </c>
      <c r="D140" t="s">
        <v>106</v>
      </c>
      <c r="E140" t="s">
        <v>12</v>
      </c>
    </row>
    <row r="141" spans="1:5" x14ac:dyDescent="0.4">
      <c r="A141" t="s">
        <v>406</v>
      </c>
      <c r="B141" t="s">
        <v>28</v>
      </c>
      <c r="C141" t="s">
        <v>409</v>
      </c>
      <c r="D141" t="s">
        <v>408</v>
      </c>
      <c r="E141" t="s">
        <v>28</v>
      </c>
    </row>
    <row r="142" spans="1:5" x14ac:dyDescent="0.4">
      <c r="A142" t="s">
        <v>171</v>
      </c>
      <c r="B142" t="s">
        <v>28</v>
      </c>
      <c r="C142" t="s">
        <v>172</v>
      </c>
      <c r="D142" t="s">
        <v>108</v>
      </c>
      <c r="E142" t="s">
        <v>107</v>
      </c>
    </row>
    <row r="143" spans="1:5" x14ac:dyDescent="0.4">
      <c r="A143" t="s">
        <v>406</v>
      </c>
      <c r="B143" t="s">
        <v>28</v>
      </c>
      <c r="C143" t="s">
        <v>407</v>
      </c>
      <c r="D143" t="s">
        <v>408</v>
      </c>
      <c r="E143" t="s">
        <v>28</v>
      </c>
    </row>
    <row r="144" spans="1:5" x14ac:dyDescent="0.4">
      <c r="A144" t="s">
        <v>255</v>
      </c>
      <c r="B144" t="s">
        <v>28</v>
      </c>
      <c r="C144" t="s">
        <v>257</v>
      </c>
      <c r="D144" t="s">
        <v>256</v>
      </c>
      <c r="E144" t="s">
        <v>12</v>
      </c>
    </row>
    <row r="145" spans="1:5" x14ac:dyDescent="0.4">
      <c r="A145" t="s">
        <v>406</v>
      </c>
      <c r="B145" t="s">
        <v>28</v>
      </c>
      <c r="C145" t="s">
        <v>448</v>
      </c>
      <c r="D145" t="s">
        <v>415</v>
      </c>
      <c r="E145" t="s">
        <v>28</v>
      </c>
    </row>
    <row r="146" spans="1:5" x14ac:dyDescent="0.4">
      <c r="A146" t="s">
        <v>163</v>
      </c>
      <c r="B146" t="s">
        <v>28</v>
      </c>
      <c r="C146" t="s">
        <v>113</v>
      </c>
      <c r="D146" t="s">
        <v>164</v>
      </c>
      <c r="E146" t="s">
        <v>28</v>
      </c>
    </row>
    <row r="147" spans="1:5" x14ac:dyDescent="0.4">
      <c r="A147" t="s">
        <v>423</v>
      </c>
      <c r="B147" t="s">
        <v>28</v>
      </c>
      <c r="C147" t="s">
        <v>424</v>
      </c>
      <c r="D147" t="s">
        <v>415</v>
      </c>
      <c r="E147" t="s">
        <v>28</v>
      </c>
    </row>
    <row r="148" spans="1:5" x14ac:dyDescent="0.4">
      <c r="A148" t="s">
        <v>243</v>
      </c>
      <c r="B148" t="s">
        <v>24</v>
      </c>
      <c r="C148" t="s">
        <v>245</v>
      </c>
      <c r="D148" t="s">
        <v>244</v>
      </c>
      <c r="E148" t="s">
        <v>12</v>
      </c>
    </row>
    <row r="149" spans="1:5" x14ac:dyDescent="0.4">
      <c r="A149" t="s">
        <v>425</v>
      </c>
      <c r="B149" t="s">
        <v>28</v>
      </c>
      <c r="C149" t="s">
        <v>424</v>
      </c>
      <c r="D149" t="s">
        <v>406</v>
      </c>
      <c r="E149" t="s">
        <v>28</v>
      </c>
    </row>
    <row r="150" spans="1:5" x14ac:dyDescent="0.4">
      <c r="A150" t="s">
        <v>217</v>
      </c>
      <c r="B150" t="s">
        <v>28</v>
      </c>
      <c r="C150" t="s">
        <v>219</v>
      </c>
      <c r="D150" t="s">
        <v>218</v>
      </c>
      <c r="E150" t="s">
        <v>28</v>
      </c>
    </row>
    <row r="151" spans="1:5" x14ac:dyDescent="0.4">
      <c r="A151" t="s">
        <v>434</v>
      </c>
      <c r="B151" t="s">
        <v>28</v>
      </c>
      <c r="C151" t="s">
        <v>302</v>
      </c>
      <c r="D151" t="s">
        <v>435</v>
      </c>
      <c r="E151" t="s">
        <v>15</v>
      </c>
    </row>
    <row r="152" spans="1:5" x14ac:dyDescent="0.4">
      <c r="A152" t="s">
        <v>156</v>
      </c>
      <c r="B152" t="s">
        <v>28</v>
      </c>
      <c r="C152" t="s">
        <v>158</v>
      </c>
      <c r="D152" t="s">
        <v>157</v>
      </c>
      <c r="E152" t="s">
        <v>15</v>
      </c>
    </row>
    <row r="153" spans="1:5" x14ac:dyDescent="0.4">
      <c r="A153" t="s">
        <v>401</v>
      </c>
      <c r="B153" t="s">
        <v>28</v>
      </c>
      <c r="C153" t="s">
        <v>439</v>
      </c>
      <c r="D153" t="s">
        <v>368</v>
      </c>
      <c r="E153" t="s">
        <v>28</v>
      </c>
    </row>
    <row r="154" spans="1:5" x14ac:dyDescent="0.4">
      <c r="A154" t="s">
        <v>366</v>
      </c>
      <c r="B154" t="s">
        <v>15</v>
      </c>
      <c r="C154" t="s">
        <v>374</v>
      </c>
      <c r="D154" t="s">
        <v>376</v>
      </c>
      <c r="E154" t="s">
        <v>375</v>
      </c>
    </row>
    <row r="155" spans="1:5" x14ac:dyDescent="0.4">
      <c r="A155" t="s">
        <v>156</v>
      </c>
      <c r="B155" t="s">
        <v>28</v>
      </c>
      <c r="C155" t="s">
        <v>17</v>
      </c>
      <c r="D155" t="s">
        <v>127</v>
      </c>
      <c r="E155" t="s">
        <v>126</v>
      </c>
    </row>
    <row r="156" spans="1:5" x14ac:dyDescent="0.4">
      <c r="A156" t="s">
        <v>125</v>
      </c>
      <c r="B156" t="s">
        <v>15</v>
      </c>
      <c r="C156" t="s">
        <v>128</v>
      </c>
      <c r="D156" t="s">
        <v>127</v>
      </c>
      <c r="E156" t="s">
        <v>126</v>
      </c>
    </row>
    <row r="157" spans="1:5" x14ac:dyDescent="0.4">
      <c r="A157" t="s">
        <v>368</v>
      </c>
      <c r="B157" t="s">
        <v>28</v>
      </c>
      <c r="C157" t="s">
        <v>450</v>
      </c>
      <c r="D157" t="s">
        <v>451</v>
      </c>
      <c r="E157" t="s">
        <v>126</v>
      </c>
    </row>
    <row r="158" spans="1:5" x14ac:dyDescent="0.4">
      <c r="A158" t="s">
        <v>125</v>
      </c>
      <c r="B158" t="s">
        <v>15</v>
      </c>
      <c r="C158" t="s">
        <v>105</v>
      </c>
      <c r="D158" t="s">
        <v>127</v>
      </c>
      <c r="E158" t="s">
        <v>126</v>
      </c>
    </row>
    <row r="159" spans="1:5" x14ac:dyDescent="0.4">
      <c r="A159" t="s">
        <v>401</v>
      </c>
      <c r="B159" t="s">
        <v>28</v>
      </c>
      <c r="C159" t="s">
        <v>462</v>
      </c>
      <c r="D159" t="s">
        <v>368</v>
      </c>
      <c r="E159" t="s">
        <v>28</v>
      </c>
    </row>
    <row r="160" spans="1:5" x14ac:dyDescent="0.4">
      <c r="A160" t="s">
        <v>125</v>
      </c>
      <c r="B160" t="s">
        <v>15</v>
      </c>
      <c r="C160" t="s">
        <v>202</v>
      </c>
      <c r="D160" t="s">
        <v>186</v>
      </c>
      <c r="E160" t="s">
        <v>12</v>
      </c>
    </row>
    <row r="161" spans="1:5" x14ac:dyDescent="0.4">
      <c r="A161" t="s">
        <v>366</v>
      </c>
      <c r="B161" t="s">
        <v>15</v>
      </c>
      <c r="C161" t="s">
        <v>367</v>
      </c>
      <c r="D161" t="s">
        <v>368</v>
      </c>
      <c r="E161" t="s">
        <v>28</v>
      </c>
    </row>
    <row r="162" spans="1:5" x14ac:dyDescent="0.4">
      <c r="A162" t="s">
        <v>186</v>
      </c>
      <c r="B162" t="s">
        <v>12</v>
      </c>
      <c r="C162" t="s">
        <v>188</v>
      </c>
      <c r="D162" t="s">
        <v>187</v>
      </c>
      <c r="E162" t="s">
        <v>28</v>
      </c>
    </row>
    <row r="163" spans="1:5" x14ac:dyDescent="0.4">
      <c r="A163" t="s">
        <v>401</v>
      </c>
      <c r="B163" t="s">
        <v>28</v>
      </c>
      <c r="C163" t="s">
        <v>402</v>
      </c>
      <c r="D163" t="s">
        <v>366</v>
      </c>
      <c r="E163" t="s">
        <v>15</v>
      </c>
    </row>
    <row r="164" spans="1:5" x14ac:dyDescent="0.4">
      <c r="A164" t="s">
        <v>215</v>
      </c>
      <c r="B164" t="s">
        <v>28</v>
      </c>
      <c r="C164" t="s">
        <v>216</v>
      </c>
      <c r="D164" t="s">
        <v>157</v>
      </c>
      <c r="E164" t="s">
        <v>15</v>
      </c>
    </row>
    <row r="165" spans="1:5" x14ac:dyDescent="0.4">
      <c r="A165" t="s">
        <v>401</v>
      </c>
      <c r="B165" t="s">
        <v>28</v>
      </c>
      <c r="C165" t="s">
        <v>342</v>
      </c>
      <c r="D165" t="s">
        <v>368</v>
      </c>
      <c r="E165" t="s">
        <v>28</v>
      </c>
    </row>
    <row r="166" spans="1:5" x14ac:dyDescent="0.4">
      <c r="A166" t="s">
        <v>388</v>
      </c>
      <c r="B166" t="s">
        <v>126</v>
      </c>
      <c r="C166" t="s">
        <v>389</v>
      </c>
      <c r="D166" t="s">
        <v>390</v>
      </c>
      <c r="E166" t="s">
        <v>126</v>
      </c>
    </row>
    <row r="167" spans="1:5" x14ac:dyDescent="0.4">
      <c r="A167" t="s">
        <v>258</v>
      </c>
      <c r="B167" t="s">
        <v>28</v>
      </c>
      <c r="C167" t="s">
        <v>260</v>
      </c>
      <c r="D167" t="s">
        <v>259</v>
      </c>
      <c r="E167" t="s">
        <v>28</v>
      </c>
    </row>
    <row r="168" spans="1:5" x14ac:dyDescent="0.4">
      <c r="A168" t="s">
        <v>88</v>
      </c>
      <c r="B168" t="s">
        <v>28</v>
      </c>
      <c r="C168" t="s">
        <v>225</v>
      </c>
      <c r="D168" t="s">
        <v>224</v>
      </c>
      <c r="E168" t="s">
        <v>28</v>
      </c>
    </row>
    <row r="169" spans="1:5" x14ac:dyDescent="0.4">
      <c r="A169" t="s">
        <v>401</v>
      </c>
      <c r="B169" t="s">
        <v>28</v>
      </c>
      <c r="C169" t="s">
        <v>304</v>
      </c>
      <c r="D169" t="s">
        <v>308</v>
      </c>
      <c r="E169" t="s">
        <v>28</v>
      </c>
    </row>
    <row r="170" spans="1:5" x14ac:dyDescent="0.4">
      <c r="A170" t="s">
        <v>123</v>
      </c>
      <c r="B170" t="s">
        <v>24</v>
      </c>
      <c r="C170" t="s">
        <v>124</v>
      </c>
      <c r="D170" t="s">
        <v>23</v>
      </c>
      <c r="E170" t="s">
        <v>24</v>
      </c>
    </row>
    <row r="171" spans="1:5" x14ac:dyDescent="0.4">
      <c r="A171" t="s">
        <v>365</v>
      </c>
      <c r="B171" t="s">
        <v>28</v>
      </c>
      <c r="C171" t="s">
        <v>433</v>
      </c>
      <c r="D171" t="s">
        <v>368</v>
      </c>
      <c r="E171" t="s">
        <v>28</v>
      </c>
    </row>
    <row r="172" spans="1:5" x14ac:dyDescent="0.4">
      <c r="A172" t="s">
        <v>25</v>
      </c>
      <c r="B172" t="s">
        <v>24</v>
      </c>
      <c r="C172" t="s">
        <v>201</v>
      </c>
      <c r="D172" t="s">
        <v>123</v>
      </c>
      <c r="E172" t="s">
        <v>24</v>
      </c>
    </row>
    <row r="173" spans="1:5" x14ac:dyDescent="0.4">
      <c r="A173" t="s">
        <v>365</v>
      </c>
      <c r="B173" t="s">
        <v>28</v>
      </c>
      <c r="C173" t="s">
        <v>335</v>
      </c>
      <c r="D173" t="s">
        <v>319</v>
      </c>
      <c r="E173" t="s">
        <v>135</v>
      </c>
    </row>
    <row r="174" spans="1:5" x14ac:dyDescent="0.4">
      <c r="A174" t="s">
        <v>123</v>
      </c>
      <c r="B174" t="s">
        <v>24</v>
      </c>
      <c r="C174" t="s">
        <v>237</v>
      </c>
      <c r="D174" t="s">
        <v>23</v>
      </c>
      <c r="E174" t="s">
        <v>24</v>
      </c>
    </row>
    <row r="175" spans="1:5" x14ac:dyDescent="0.4">
      <c r="A175" t="s">
        <v>365</v>
      </c>
      <c r="B175" t="s">
        <v>28</v>
      </c>
      <c r="C175" t="s">
        <v>426</v>
      </c>
      <c r="D175" t="s">
        <v>319</v>
      </c>
      <c r="E175" t="s">
        <v>135</v>
      </c>
    </row>
    <row r="176" spans="1:5" x14ac:dyDescent="0.4">
      <c r="A176" t="s">
        <v>23</v>
      </c>
      <c r="B176" t="s">
        <v>24</v>
      </c>
      <c r="C176" t="s">
        <v>30</v>
      </c>
      <c r="D176" t="s">
        <v>29</v>
      </c>
      <c r="E176" t="s">
        <v>28</v>
      </c>
    </row>
    <row r="177" spans="1:5" x14ac:dyDescent="0.4">
      <c r="A177" t="s">
        <v>317</v>
      </c>
      <c r="B177" t="s">
        <v>15</v>
      </c>
      <c r="C177" t="s">
        <v>318</v>
      </c>
      <c r="D177" t="s">
        <v>319</v>
      </c>
      <c r="E177" t="s">
        <v>135</v>
      </c>
    </row>
    <row r="178" spans="1:5" x14ac:dyDescent="0.4">
      <c r="A178" t="s">
        <v>25</v>
      </c>
      <c r="B178" t="s">
        <v>24</v>
      </c>
      <c r="C178" t="s">
        <v>27</v>
      </c>
      <c r="D178" t="s">
        <v>23</v>
      </c>
      <c r="E178" t="s">
        <v>24</v>
      </c>
    </row>
    <row r="179" spans="1:5" x14ac:dyDescent="0.4">
      <c r="A179" t="s">
        <v>301</v>
      </c>
      <c r="B179" t="s">
        <v>24</v>
      </c>
      <c r="C179" t="s">
        <v>302</v>
      </c>
      <c r="D179" t="s">
        <v>303</v>
      </c>
      <c r="E179" t="s">
        <v>15</v>
      </c>
    </row>
    <row r="180" spans="1:5" x14ac:dyDescent="0.4">
      <c r="A180" t="s">
        <v>23</v>
      </c>
      <c r="B180" t="s">
        <v>24</v>
      </c>
      <c r="C180" t="s">
        <v>26</v>
      </c>
      <c r="D180" t="s">
        <v>25</v>
      </c>
      <c r="E180" t="s">
        <v>24</v>
      </c>
    </row>
    <row r="181" spans="1:5" x14ac:dyDescent="0.4">
      <c r="A181" t="s">
        <v>305</v>
      </c>
      <c r="B181" t="s">
        <v>15</v>
      </c>
      <c r="C181" t="s">
        <v>343</v>
      </c>
      <c r="D181" t="s">
        <v>365</v>
      </c>
      <c r="E181" t="s">
        <v>28</v>
      </c>
    </row>
    <row r="182" spans="1:5" x14ac:dyDescent="0.4">
      <c r="A182" t="s">
        <v>301</v>
      </c>
      <c r="B182" t="s">
        <v>24</v>
      </c>
      <c r="C182" t="s">
        <v>304</v>
      </c>
      <c r="D182" t="s">
        <v>305</v>
      </c>
      <c r="E182" t="s">
        <v>15</v>
      </c>
    </row>
    <row r="183" spans="1:5" x14ac:dyDescent="0.4">
      <c r="A183" t="s">
        <v>93</v>
      </c>
      <c r="B183" t="s">
        <v>28</v>
      </c>
      <c r="C183" t="s">
        <v>95</v>
      </c>
      <c r="D183" t="s">
        <v>94</v>
      </c>
      <c r="E183" t="s">
        <v>28</v>
      </c>
    </row>
    <row r="184" spans="1:5" x14ac:dyDescent="0.4">
      <c r="A184" t="s">
        <v>11</v>
      </c>
      <c r="B184" t="s">
        <v>12</v>
      </c>
      <c r="C184" t="s">
        <v>17</v>
      </c>
      <c r="D184" t="s">
        <v>16</v>
      </c>
      <c r="E184" t="s">
        <v>15</v>
      </c>
    </row>
    <row r="185" spans="1:5" x14ac:dyDescent="0.4">
      <c r="A185" t="s">
        <v>301</v>
      </c>
      <c r="B185" t="s">
        <v>24</v>
      </c>
      <c r="C185" t="s">
        <v>302</v>
      </c>
      <c r="D185" t="s">
        <v>309</v>
      </c>
      <c r="E185" t="s">
        <v>28</v>
      </c>
    </row>
    <row r="186" spans="1:5" x14ac:dyDescent="0.4">
      <c r="A186" t="s">
        <v>301</v>
      </c>
      <c r="B186" t="s">
        <v>24</v>
      </c>
      <c r="C186" t="s">
        <v>302</v>
      </c>
      <c r="D186" t="s">
        <v>308</v>
      </c>
      <c r="E186" t="s">
        <v>28</v>
      </c>
    </row>
    <row r="187" spans="1:5" x14ac:dyDescent="0.4">
      <c r="A187" t="s">
        <v>88</v>
      </c>
      <c r="B187" t="s">
        <v>28</v>
      </c>
      <c r="C187" t="s">
        <v>92</v>
      </c>
      <c r="D187" t="s">
        <v>91</v>
      </c>
      <c r="E187" t="s">
        <v>90</v>
      </c>
    </row>
    <row r="188" spans="1:5" x14ac:dyDescent="0.4">
      <c r="A188" t="s">
        <v>301</v>
      </c>
      <c r="B188" t="s">
        <v>24</v>
      </c>
      <c r="C188" t="s">
        <v>292</v>
      </c>
      <c r="D188" t="s">
        <v>307</v>
      </c>
      <c r="E188" t="s">
        <v>15</v>
      </c>
    </row>
    <row r="189" spans="1:5" x14ac:dyDescent="0.4">
      <c r="A189" t="s">
        <v>88</v>
      </c>
      <c r="B189" t="s">
        <v>28</v>
      </c>
      <c r="C189" t="s">
        <v>89</v>
      </c>
      <c r="D189" t="s">
        <v>11</v>
      </c>
      <c r="E189" t="s">
        <v>12</v>
      </c>
    </row>
    <row r="190" spans="1:5" x14ac:dyDescent="0.4">
      <c r="A190" t="s">
        <v>11</v>
      </c>
      <c r="B190" t="s">
        <v>12</v>
      </c>
      <c r="C190" t="s">
        <v>14</v>
      </c>
      <c r="D190" t="s">
        <v>13</v>
      </c>
      <c r="E190" t="s">
        <v>12</v>
      </c>
    </row>
    <row r="191" spans="1:5" x14ac:dyDescent="0.4">
      <c r="A191" t="s">
        <v>301</v>
      </c>
      <c r="B191" t="s">
        <v>24</v>
      </c>
      <c r="C191" t="s">
        <v>306</v>
      </c>
      <c r="D191" t="s">
        <v>307</v>
      </c>
      <c r="E191" t="s">
        <v>15</v>
      </c>
    </row>
    <row r="192" spans="1:5" x14ac:dyDescent="0.4">
      <c r="A192" t="s">
        <v>13</v>
      </c>
      <c r="B192" t="s">
        <v>12</v>
      </c>
      <c r="C192" t="s">
        <v>22</v>
      </c>
      <c r="D192" t="s">
        <v>21</v>
      </c>
      <c r="E192" t="s">
        <v>20</v>
      </c>
    </row>
    <row r="193" spans="1:5" x14ac:dyDescent="0.4">
      <c r="A193" t="s">
        <v>307</v>
      </c>
      <c r="B193" t="s">
        <v>15</v>
      </c>
      <c r="C193" t="s">
        <v>359</v>
      </c>
      <c r="D193" t="s">
        <v>341</v>
      </c>
      <c r="E193" t="s">
        <v>15</v>
      </c>
    </row>
    <row r="194" spans="1:5" x14ac:dyDescent="0.4">
      <c r="A194" t="s">
        <v>307</v>
      </c>
      <c r="B194" t="s">
        <v>15</v>
      </c>
      <c r="C194" t="s">
        <v>361</v>
      </c>
      <c r="D194" t="s">
        <v>362</v>
      </c>
      <c r="E194" t="s">
        <v>15</v>
      </c>
    </row>
    <row r="195" spans="1:5" x14ac:dyDescent="0.4">
      <c r="A195" t="s">
        <v>21</v>
      </c>
      <c r="B195" t="s">
        <v>20</v>
      </c>
      <c r="C195" t="s">
        <v>87</v>
      </c>
      <c r="D195" t="s">
        <v>86</v>
      </c>
      <c r="E195" t="s">
        <v>28</v>
      </c>
    </row>
    <row r="196" spans="1:5" x14ac:dyDescent="0.4">
      <c r="A196" t="s">
        <v>341</v>
      </c>
      <c r="B196" t="s">
        <v>15</v>
      </c>
      <c r="C196" t="s">
        <v>342</v>
      </c>
      <c r="D196" t="s">
        <v>320</v>
      </c>
      <c r="E196" t="s">
        <v>15</v>
      </c>
    </row>
    <row r="197" spans="1:5" x14ac:dyDescent="0.4">
      <c r="A197" t="s">
        <v>21</v>
      </c>
      <c r="B197" t="s">
        <v>20</v>
      </c>
      <c r="C197" t="s">
        <v>83</v>
      </c>
      <c r="D197" t="s">
        <v>18</v>
      </c>
      <c r="E197" t="s">
        <v>15</v>
      </c>
    </row>
    <row r="198" spans="1:5" x14ac:dyDescent="0.4">
      <c r="A198" t="s">
        <v>307</v>
      </c>
      <c r="B198" t="s">
        <v>15</v>
      </c>
      <c r="C198" t="s">
        <v>360</v>
      </c>
      <c r="D198" t="s">
        <v>357</v>
      </c>
      <c r="E198" t="s">
        <v>15</v>
      </c>
    </row>
    <row r="199" spans="1:5" x14ac:dyDescent="0.4">
      <c r="A199" t="s">
        <v>21</v>
      </c>
      <c r="B199" t="s">
        <v>20</v>
      </c>
      <c r="C199" t="s">
        <v>85</v>
      </c>
      <c r="D199" t="s">
        <v>33</v>
      </c>
      <c r="E199" t="s">
        <v>15</v>
      </c>
    </row>
    <row r="200" spans="1:5" x14ac:dyDescent="0.4">
      <c r="A200" t="s">
        <v>307</v>
      </c>
      <c r="B200" t="s">
        <v>15</v>
      </c>
      <c r="C200" t="s">
        <v>304</v>
      </c>
      <c r="D200" t="s">
        <v>357</v>
      </c>
      <c r="E200" t="s">
        <v>15</v>
      </c>
    </row>
    <row r="201" spans="1:5" x14ac:dyDescent="0.4">
      <c r="A201" t="s">
        <v>21</v>
      </c>
      <c r="B201" t="s">
        <v>20</v>
      </c>
      <c r="C201" t="s">
        <v>84</v>
      </c>
      <c r="D201" t="s">
        <v>18</v>
      </c>
      <c r="E201" t="s">
        <v>15</v>
      </c>
    </row>
    <row r="202" spans="1:5" x14ac:dyDescent="0.4">
      <c r="A202" t="s">
        <v>18</v>
      </c>
      <c r="B202" t="s">
        <v>15</v>
      </c>
      <c r="C202" t="s">
        <v>36</v>
      </c>
      <c r="D202" t="s">
        <v>35</v>
      </c>
      <c r="E202" t="s">
        <v>15</v>
      </c>
    </row>
    <row r="203" spans="1:5" x14ac:dyDescent="0.4">
      <c r="A203" t="s">
        <v>357</v>
      </c>
      <c r="B203" t="s">
        <v>15</v>
      </c>
      <c r="C203" t="s">
        <v>358</v>
      </c>
      <c r="D203" t="s">
        <v>322</v>
      </c>
      <c r="E203" t="s">
        <v>15</v>
      </c>
    </row>
    <row r="204" spans="1:5" x14ac:dyDescent="0.4">
      <c r="A204" t="s">
        <v>18</v>
      </c>
      <c r="B204" t="s">
        <v>15</v>
      </c>
      <c r="C204" t="s">
        <v>34</v>
      </c>
      <c r="D204" t="s">
        <v>33</v>
      </c>
      <c r="E204" t="s">
        <v>15</v>
      </c>
    </row>
    <row r="205" spans="1:5" x14ac:dyDescent="0.4">
      <c r="A205" t="s">
        <v>320</v>
      </c>
      <c r="B205" t="s">
        <v>15</v>
      </c>
      <c r="C205" t="s">
        <v>321</v>
      </c>
      <c r="D205" t="s">
        <v>322</v>
      </c>
      <c r="E205" t="s">
        <v>15</v>
      </c>
    </row>
    <row r="206" spans="1:5" x14ac:dyDescent="0.4">
      <c r="A206" t="s">
        <v>13</v>
      </c>
      <c r="B206" t="s">
        <v>12</v>
      </c>
      <c r="C206" t="s">
        <v>19</v>
      </c>
      <c r="D206" t="s">
        <v>18</v>
      </c>
      <c r="E206" t="s">
        <v>15</v>
      </c>
    </row>
    <row r="207" spans="1:5" x14ac:dyDescent="0.4">
      <c r="A207" t="s">
        <v>364</v>
      </c>
      <c r="B207" t="s">
        <v>28</v>
      </c>
      <c r="C207" t="s">
        <v>395</v>
      </c>
      <c r="D207" t="s">
        <v>307</v>
      </c>
      <c r="E207" t="s">
        <v>15</v>
      </c>
    </row>
    <row r="208" spans="1:5" x14ac:dyDescent="0.4">
      <c r="A208" t="s">
        <v>31</v>
      </c>
      <c r="B208" t="s">
        <v>15</v>
      </c>
      <c r="C208" t="s">
        <v>45</v>
      </c>
      <c r="D208" t="s">
        <v>43</v>
      </c>
      <c r="E208" t="s">
        <v>15</v>
      </c>
    </row>
    <row r="209" spans="1:5" x14ac:dyDescent="0.4">
      <c r="A209" t="s">
        <v>337</v>
      </c>
      <c r="B209" t="s">
        <v>15</v>
      </c>
      <c r="C209" t="s">
        <v>363</v>
      </c>
      <c r="D209" t="s">
        <v>364</v>
      </c>
      <c r="E209" t="s">
        <v>28</v>
      </c>
    </row>
    <row r="210" spans="1:5" x14ac:dyDescent="0.4">
      <c r="A210" t="s">
        <v>31</v>
      </c>
      <c r="B210" t="s">
        <v>15</v>
      </c>
      <c r="C210" t="s">
        <v>32</v>
      </c>
      <c r="D210" t="s">
        <v>13</v>
      </c>
      <c r="E210" t="s">
        <v>12</v>
      </c>
    </row>
    <row r="211" spans="1:5" x14ac:dyDescent="0.4">
      <c r="A211" t="s">
        <v>364</v>
      </c>
      <c r="B211" t="s">
        <v>28</v>
      </c>
      <c r="C211" t="s">
        <v>295</v>
      </c>
      <c r="D211" t="s">
        <v>337</v>
      </c>
      <c r="E211" t="s">
        <v>15</v>
      </c>
    </row>
    <row r="212" spans="1:5" x14ac:dyDescent="0.4">
      <c r="A212" t="s">
        <v>31</v>
      </c>
      <c r="B212" t="s">
        <v>15</v>
      </c>
      <c r="C212" t="s">
        <v>44</v>
      </c>
      <c r="D212" t="s">
        <v>43</v>
      </c>
      <c r="E212" t="s">
        <v>15</v>
      </c>
    </row>
    <row r="213" spans="1:5" x14ac:dyDescent="0.4">
      <c r="A213" t="s">
        <v>337</v>
      </c>
      <c r="B213" t="s">
        <v>15</v>
      </c>
      <c r="C213" t="s">
        <v>338</v>
      </c>
      <c r="D213" t="s">
        <v>320</v>
      </c>
      <c r="E213" t="s">
        <v>15</v>
      </c>
    </row>
    <row r="214" spans="1:5" x14ac:dyDescent="0.4">
      <c r="A214" t="s">
        <v>31</v>
      </c>
      <c r="B214" t="s">
        <v>15</v>
      </c>
      <c r="C214" t="s">
        <v>46</v>
      </c>
      <c r="D214" t="s">
        <v>43</v>
      </c>
      <c r="E214" t="s">
        <v>15</v>
      </c>
    </row>
    <row r="215" spans="1:5" x14ac:dyDescent="0.4">
      <c r="A215" t="s">
        <v>337</v>
      </c>
      <c r="B215" t="s">
        <v>15</v>
      </c>
      <c r="C215" t="s">
        <v>339</v>
      </c>
      <c r="D215" t="s">
        <v>340</v>
      </c>
      <c r="E215" t="s">
        <v>15</v>
      </c>
    </row>
    <row r="216" spans="1:5" x14ac:dyDescent="0.4">
      <c r="A216" t="s">
        <v>31</v>
      </c>
      <c r="B216" t="s">
        <v>15</v>
      </c>
      <c r="C216" t="s">
        <v>42</v>
      </c>
      <c r="D216" t="s">
        <v>18</v>
      </c>
      <c r="E216" t="s">
        <v>15</v>
      </c>
    </row>
    <row r="217" spans="1:5" x14ac:dyDescent="0.4">
      <c r="A217" t="s">
        <v>350</v>
      </c>
      <c r="B217" t="s">
        <v>15</v>
      </c>
      <c r="C217" t="s">
        <v>351</v>
      </c>
      <c r="D217" t="s">
        <v>320</v>
      </c>
      <c r="E217" t="s">
        <v>15</v>
      </c>
    </row>
    <row r="218" spans="1:5" x14ac:dyDescent="0.4">
      <c r="A218" t="s">
        <v>18</v>
      </c>
      <c r="B218" t="s">
        <v>15</v>
      </c>
      <c r="C218" t="s">
        <v>38</v>
      </c>
      <c r="D218" t="s">
        <v>37</v>
      </c>
      <c r="E218" t="s">
        <v>15</v>
      </c>
    </row>
    <row r="219" spans="1:5" x14ac:dyDescent="0.4">
      <c r="A219" t="s">
        <v>320</v>
      </c>
      <c r="B219" t="s">
        <v>15</v>
      </c>
      <c r="C219" t="s">
        <v>304</v>
      </c>
      <c r="D219" t="s">
        <v>323</v>
      </c>
      <c r="E219" t="s">
        <v>15</v>
      </c>
    </row>
    <row r="220" spans="1:5" x14ac:dyDescent="0.4">
      <c r="A220" t="s">
        <v>37</v>
      </c>
      <c r="B220" t="s">
        <v>15</v>
      </c>
      <c r="C220" t="s">
        <v>65</v>
      </c>
      <c r="D220" t="s">
        <v>64</v>
      </c>
      <c r="E220" t="s">
        <v>15</v>
      </c>
    </row>
    <row r="221" spans="1:5" x14ac:dyDescent="0.4">
      <c r="A221" t="s">
        <v>323</v>
      </c>
      <c r="B221" t="s">
        <v>15</v>
      </c>
      <c r="C221" t="s">
        <v>343</v>
      </c>
      <c r="D221" t="s">
        <v>331</v>
      </c>
      <c r="E221" t="s">
        <v>15</v>
      </c>
    </row>
    <row r="222" spans="1:5" x14ac:dyDescent="0.4">
      <c r="A222" t="s">
        <v>37</v>
      </c>
      <c r="B222" t="s">
        <v>15</v>
      </c>
      <c r="C222" t="s">
        <v>61</v>
      </c>
      <c r="D222" t="s">
        <v>18</v>
      </c>
      <c r="E222" t="s">
        <v>15</v>
      </c>
    </row>
    <row r="223" spans="1:5" x14ac:dyDescent="0.4">
      <c r="A223" t="s">
        <v>323</v>
      </c>
      <c r="B223" t="s">
        <v>15</v>
      </c>
      <c r="C223" t="s">
        <v>335</v>
      </c>
      <c r="D223" t="s">
        <v>331</v>
      </c>
      <c r="E223" t="s">
        <v>15</v>
      </c>
    </row>
    <row r="224" spans="1:5" x14ac:dyDescent="0.4">
      <c r="A224" t="s">
        <v>37</v>
      </c>
      <c r="B224" t="s">
        <v>15</v>
      </c>
      <c r="C224" t="s">
        <v>62</v>
      </c>
      <c r="D224" t="s">
        <v>31</v>
      </c>
      <c r="E224" t="s">
        <v>15</v>
      </c>
    </row>
    <row r="225" spans="1:5" x14ac:dyDescent="0.4">
      <c r="A225" t="s">
        <v>331</v>
      </c>
      <c r="B225" t="s">
        <v>15</v>
      </c>
      <c r="C225" t="s">
        <v>321</v>
      </c>
      <c r="D225" t="s">
        <v>334</v>
      </c>
      <c r="E225" t="s">
        <v>15</v>
      </c>
    </row>
    <row r="226" spans="1:5" x14ac:dyDescent="0.4">
      <c r="A226" t="s">
        <v>37</v>
      </c>
      <c r="B226" t="s">
        <v>15</v>
      </c>
      <c r="C226" t="s">
        <v>63</v>
      </c>
      <c r="D226" t="s">
        <v>47</v>
      </c>
      <c r="E226" t="s">
        <v>15</v>
      </c>
    </row>
    <row r="227" spans="1:5" x14ac:dyDescent="0.4">
      <c r="A227" t="s">
        <v>323</v>
      </c>
      <c r="B227" t="s">
        <v>15</v>
      </c>
      <c r="C227" t="s">
        <v>344</v>
      </c>
      <c r="D227" t="s">
        <v>331</v>
      </c>
      <c r="E227" t="s">
        <v>15</v>
      </c>
    </row>
    <row r="228" spans="1:5" x14ac:dyDescent="0.4">
      <c r="A228" t="s">
        <v>47</v>
      </c>
      <c r="B228" t="s">
        <v>15</v>
      </c>
      <c r="C228" t="s">
        <v>49</v>
      </c>
      <c r="D228" t="s">
        <v>48</v>
      </c>
      <c r="E228" t="s">
        <v>15</v>
      </c>
    </row>
    <row r="229" spans="1:5" x14ac:dyDescent="0.4">
      <c r="A229" t="s">
        <v>331</v>
      </c>
      <c r="B229" t="s">
        <v>15</v>
      </c>
      <c r="C229" t="s">
        <v>335</v>
      </c>
      <c r="D229" t="s">
        <v>336</v>
      </c>
      <c r="E229" t="s">
        <v>15</v>
      </c>
    </row>
    <row r="230" spans="1:5" x14ac:dyDescent="0.4">
      <c r="A230" t="s">
        <v>48</v>
      </c>
      <c r="B230" t="s">
        <v>15</v>
      </c>
      <c r="C230" t="s">
        <v>72</v>
      </c>
      <c r="D230" t="s">
        <v>71</v>
      </c>
      <c r="E230" t="s">
        <v>15</v>
      </c>
    </row>
    <row r="231" spans="1:5" x14ac:dyDescent="0.4">
      <c r="A231" t="s">
        <v>331</v>
      </c>
      <c r="B231" t="s">
        <v>15</v>
      </c>
      <c r="C231" t="s">
        <v>332</v>
      </c>
      <c r="D231" t="s">
        <v>333</v>
      </c>
      <c r="E231" t="s">
        <v>15</v>
      </c>
    </row>
    <row r="232" spans="1:5" x14ac:dyDescent="0.4">
      <c r="A232" t="s">
        <v>50</v>
      </c>
      <c r="B232" t="s">
        <v>15</v>
      </c>
      <c r="C232" t="s">
        <v>51</v>
      </c>
      <c r="D232" t="s">
        <v>48</v>
      </c>
      <c r="E232" t="s">
        <v>15</v>
      </c>
    </row>
    <row r="233" spans="1:5" x14ac:dyDescent="0.4">
      <c r="A233" t="s">
        <v>323</v>
      </c>
      <c r="B233" t="s">
        <v>15</v>
      </c>
      <c r="C233" t="s">
        <v>328</v>
      </c>
      <c r="D233" t="s">
        <v>345</v>
      </c>
      <c r="E233" t="s">
        <v>15</v>
      </c>
    </row>
    <row r="234" spans="1:5" x14ac:dyDescent="0.4">
      <c r="A234" t="s">
        <v>50</v>
      </c>
      <c r="B234" t="s">
        <v>15</v>
      </c>
      <c r="C234" t="s">
        <v>52</v>
      </c>
      <c r="D234" t="s">
        <v>48</v>
      </c>
      <c r="E234" t="s">
        <v>15</v>
      </c>
    </row>
    <row r="235" spans="1:5" x14ac:dyDescent="0.4">
      <c r="A235" t="s">
        <v>327</v>
      </c>
      <c r="B235" t="s">
        <v>15</v>
      </c>
      <c r="C235" t="s">
        <v>330</v>
      </c>
      <c r="D235" t="s">
        <v>323</v>
      </c>
      <c r="E235" t="s">
        <v>15</v>
      </c>
    </row>
    <row r="236" spans="1:5" x14ac:dyDescent="0.4">
      <c r="A236" t="s">
        <v>48</v>
      </c>
      <c r="B236" t="s">
        <v>15</v>
      </c>
      <c r="C236" t="s">
        <v>68</v>
      </c>
      <c r="D236" t="s">
        <v>50</v>
      </c>
      <c r="E236" t="s">
        <v>15</v>
      </c>
    </row>
    <row r="237" spans="1:5" x14ac:dyDescent="0.4">
      <c r="A237" t="s">
        <v>327</v>
      </c>
      <c r="B237" t="s">
        <v>15</v>
      </c>
      <c r="C237" t="s">
        <v>328</v>
      </c>
      <c r="D237" t="s">
        <v>323</v>
      </c>
      <c r="E237" t="s">
        <v>15</v>
      </c>
    </row>
    <row r="238" spans="1:5" x14ac:dyDescent="0.4">
      <c r="A238" t="s">
        <v>48</v>
      </c>
      <c r="B238" t="s">
        <v>15</v>
      </c>
      <c r="C238" t="s">
        <v>70</v>
      </c>
      <c r="D238" t="s">
        <v>69</v>
      </c>
      <c r="E238" t="s">
        <v>15</v>
      </c>
    </row>
    <row r="239" spans="1:5" x14ac:dyDescent="0.4">
      <c r="A239" t="s">
        <v>327</v>
      </c>
      <c r="B239" t="s">
        <v>15</v>
      </c>
      <c r="C239" t="s">
        <v>329</v>
      </c>
      <c r="D239" t="s">
        <v>323</v>
      </c>
      <c r="E239" t="s">
        <v>15</v>
      </c>
    </row>
    <row r="240" spans="1:5" x14ac:dyDescent="0.4">
      <c r="A240" t="s">
        <v>81</v>
      </c>
      <c r="B240" t="s">
        <v>15</v>
      </c>
      <c r="C240" t="s">
        <v>82</v>
      </c>
      <c r="D240" t="s">
        <v>73</v>
      </c>
      <c r="E240" t="s">
        <v>15</v>
      </c>
    </row>
    <row r="241" spans="1:5" x14ac:dyDescent="0.4">
      <c r="A241" t="s">
        <v>347</v>
      </c>
      <c r="B241" t="s">
        <v>15</v>
      </c>
      <c r="C241" t="s">
        <v>348</v>
      </c>
      <c r="D241" t="s">
        <v>349</v>
      </c>
      <c r="E241" t="s">
        <v>15</v>
      </c>
    </row>
    <row r="242" spans="1:5" x14ac:dyDescent="0.4">
      <c r="A242" t="s">
        <v>73</v>
      </c>
      <c r="B242" t="s">
        <v>15</v>
      </c>
      <c r="C242" t="s">
        <v>79</v>
      </c>
      <c r="D242" t="s">
        <v>40</v>
      </c>
      <c r="E242" t="s">
        <v>15</v>
      </c>
    </row>
    <row r="243" spans="1:5" x14ac:dyDescent="0.4">
      <c r="A243" t="s">
        <v>323</v>
      </c>
      <c r="B243" t="s">
        <v>15</v>
      </c>
      <c r="C243" t="s">
        <v>346</v>
      </c>
      <c r="D243" t="s">
        <v>347</v>
      </c>
      <c r="E243" t="s">
        <v>15</v>
      </c>
    </row>
    <row r="244" spans="1:5" x14ac:dyDescent="0.4">
      <c r="A244" t="s">
        <v>40</v>
      </c>
      <c r="B244" t="s">
        <v>15</v>
      </c>
      <c r="C244" t="s">
        <v>53</v>
      </c>
      <c r="D244" t="s">
        <v>39</v>
      </c>
      <c r="E244" t="s">
        <v>15</v>
      </c>
    </row>
    <row r="245" spans="1:5" x14ac:dyDescent="0.4">
      <c r="A245" t="s">
        <v>327</v>
      </c>
      <c r="B245" t="s">
        <v>15</v>
      </c>
      <c r="C245" t="s">
        <v>325</v>
      </c>
      <c r="D245" t="s">
        <v>323</v>
      </c>
      <c r="E245" t="s">
        <v>15</v>
      </c>
    </row>
    <row r="246" spans="1:5" x14ac:dyDescent="0.4">
      <c r="A246" t="s">
        <v>39</v>
      </c>
      <c r="B246" t="s">
        <v>15</v>
      </c>
      <c r="C246" t="s">
        <v>41</v>
      </c>
      <c r="D246" t="s">
        <v>40</v>
      </c>
      <c r="E246" t="s">
        <v>15</v>
      </c>
    </row>
    <row r="247" spans="1:5" x14ac:dyDescent="0.4">
      <c r="A247" t="s">
        <v>327</v>
      </c>
      <c r="B247" t="s">
        <v>15</v>
      </c>
      <c r="C247" t="s">
        <v>302</v>
      </c>
      <c r="D247" t="s">
        <v>324</v>
      </c>
      <c r="E247" t="s">
        <v>15</v>
      </c>
    </row>
    <row r="248" spans="1:5" x14ac:dyDescent="0.4">
      <c r="A248" t="s">
        <v>73</v>
      </c>
      <c r="B248" t="s">
        <v>15</v>
      </c>
      <c r="C248" t="s">
        <v>74</v>
      </c>
      <c r="D248" t="s">
        <v>39</v>
      </c>
      <c r="E248" t="s">
        <v>15</v>
      </c>
    </row>
    <row r="249" spans="1:5" x14ac:dyDescent="0.4">
      <c r="A249" t="s">
        <v>324</v>
      </c>
      <c r="B249" t="s">
        <v>15</v>
      </c>
      <c r="C249" t="s">
        <v>325</v>
      </c>
      <c r="D249" t="s">
        <v>326</v>
      </c>
      <c r="E249" t="s">
        <v>15</v>
      </c>
    </row>
    <row r="250" spans="1:5" x14ac:dyDescent="0.4">
      <c r="A250" t="s">
        <v>73</v>
      </c>
      <c r="B250" t="s">
        <v>15</v>
      </c>
      <c r="C250" t="s">
        <v>76</v>
      </c>
      <c r="D250" t="s">
        <v>39</v>
      </c>
      <c r="E250" t="s">
        <v>15</v>
      </c>
    </row>
    <row r="251" spans="1:5" x14ac:dyDescent="0.4">
      <c r="A251" t="s">
        <v>352</v>
      </c>
      <c r="B251" t="s">
        <v>15</v>
      </c>
      <c r="C251" t="s">
        <v>353</v>
      </c>
      <c r="D251" t="s">
        <v>354</v>
      </c>
      <c r="E251" t="s">
        <v>15</v>
      </c>
    </row>
    <row r="252" spans="1:5" x14ac:dyDescent="0.4">
      <c r="A252" t="s">
        <v>73</v>
      </c>
      <c r="B252" t="s">
        <v>15</v>
      </c>
      <c r="C252" t="s">
        <v>75</v>
      </c>
      <c r="D252" t="s">
        <v>39</v>
      </c>
      <c r="E252" t="s">
        <v>15</v>
      </c>
    </row>
    <row r="253" spans="1:5" x14ac:dyDescent="0.4">
      <c r="A253" t="s">
        <v>352</v>
      </c>
      <c r="B253" t="s">
        <v>15</v>
      </c>
      <c r="C253" t="s">
        <v>355</v>
      </c>
      <c r="D253" t="s">
        <v>356</v>
      </c>
      <c r="E253" t="s">
        <v>15</v>
      </c>
    </row>
    <row r="254" spans="1:5" x14ac:dyDescent="0.4">
      <c r="A254" t="s">
        <v>73</v>
      </c>
      <c r="B254" t="s">
        <v>15</v>
      </c>
      <c r="C254" t="s">
        <v>77</v>
      </c>
      <c r="D254" t="s">
        <v>40</v>
      </c>
      <c r="E254" t="s">
        <v>15</v>
      </c>
    </row>
    <row r="255" spans="1:5" x14ac:dyDescent="0.4">
      <c r="A255" t="s">
        <v>73</v>
      </c>
      <c r="B255" t="s">
        <v>15</v>
      </c>
      <c r="C255" t="s">
        <v>78</v>
      </c>
      <c r="D255" t="s">
        <v>40</v>
      </c>
      <c r="E255" t="s">
        <v>15</v>
      </c>
    </row>
    <row r="256" spans="1:5" x14ac:dyDescent="0.4">
      <c r="A256" t="s">
        <v>73</v>
      </c>
      <c r="B256" t="s">
        <v>15</v>
      </c>
      <c r="C256" t="s">
        <v>80</v>
      </c>
      <c r="D256" t="s">
        <v>54</v>
      </c>
      <c r="E256" t="s">
        <v>15</v>
      </c>
    </row>
    <row r="257" spans="1:5" x14ac:dyDescent="0.4">
      <c r="A257" t="s">
        <v>54</v>
      </c>
      <c r="B257" t="s">
        <v>15</v>
      </c>
      <c r="C257" t="s">
        <v>55</v>
      </c>
      <c r="D257" t="s">
        <v>39</v>
      </c>
      <c r="E257" t="s">
        <v>15</v>
      </c>
    </row>
    <row r="258" spans="1:5" x14ac:dyDescent="0.4">
      <c r="A258" t="s">
        <v>54</v>
      </c>
      <c r="B258" t="s">
        <v>15</v>
      </c>
      <c r="C258" t="s">
        <v>57</v>
      </c>
      <c r="D258" t="s">
        <v>56</v>
      </c>
      <c r="E258" t="s">
        <v>15</v>
      </c>
    </row>
    <row r="259" spans="1:5" x14ac:dyDescent="0.4">
      <c r="A259" t="s">
        <v>58</v>
      </c>
      <c r="B259" t="s">
        <v>15</v>
      </c>
      <c r="C259" t="s">
        <v>60</v>
      </c>
      <c r="D259" t="s">
        <v>59</v>
      </c>
      <c r="E259" t="s">
        <v>15</v>
      </c>
    </row>
    <row r="260" spans="1:5" x14ac:dyDescent="0.4">
      <c r="A260" t="s">
        <v>59</v>
      </c>
      <c r="B260" t="s">
        <v>15</v>
      </c>
      <c r="C260" t="s">
        <v>67</v>
      </c>
      <c r="D260" t="s">
        <v>66</v>
      </c>
      <c r="E260" t="s">
        <v>15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4"/>
  <sheetViews>
    <sheetView workbookViewId="0">
      <selection activeCell="C35" sqref="C35"/>
    </sheetView>
  </sheetViews>
  <sheetFormatPr defaultRowHeight="14.6" x14ac:dyDescent="0.4"/>
  <cols>
    <col min="1" max="1" width="5" bestFit="1" customWidth="1"/>
    <col min="2" max="2" width="27.4609375" customWidth="1"/>
    <col min="3" max="3" width="35.53515625" customWidth="1"/>
  </cols>
  <sheetData>
    <row r="1" spans="1:3" x14ac:dyDescent="0.4">
      <c r="A1" s="15" t="s">
        <v>9</v>
      </c>
      <c r="B1" s="15" t="s">
        <v>490</v>
      </c>
      <c r="C1" s="15" t="s">
        <v>491</v>
      </c>
    </row>
    <row r="2" spans="1:3" x14ac:dyDescent="0.4">
      <c r="A2">
        <v>2019</v>
      </c>
      <c r="B2" t="s">
        <v>131</v>
      </c>
      <c r="C2" t="s">
        <v>472</v>
      </c>
    </row>
    <row r="3" spans="1:3" x14ac:dyDescent="0.4">
      <c r="A3">
        <v>2018</v>
      </c>
      <c r="B3" t="s">
        <v>131</v>
      </c>
      <c r="C3" t="s">
        <v>126</v>
      </c>
    </row>
    <row r="4" spans="1:3" x14ac:dyDescent="0.4">
      <c r="A4">
        <v>2017</v>
      </c>
      <c r="B4" t="s">
        <v>130</v>
      </c>
      <c r="C4" t="s">
        <v>135</v>
      </c>
    </row>
    <row r="5" spans="1:3" x14ac:dyDescent="0.4">
      <c r="A5">
        <v>2016</v>
      </c>
      <c r="B5" t="s">
        <v>15</v>
      </c>
      <c r="C5" t="s">
        <v>28</v>
      </c>
    </row>
    <row r="6" spans="1:3" x14ac:dyDescent="0.4">
      <c r="A6">
        <v>2015</v>
      </c>
      <c r="B6" t="s">
        <v>131</v>
      </c>
      <c r="C6" t="s">
        <v>28</v>
      </c>
    </row>
    <row r="7" spans="1:3" x14ac:dyDescent="0.4">
      <c r="A7">
        <v>2014</v>
      </c>
      <c r="B7" t="s">
        <v>131</v>
      </c>
      <c r="C7" t="s">
        <v>107</v>
      </c>
    </row>
    <row r="8" spans="1:3" x14ac:dyDescent="0.4">
      <c r="A8">
        <v>2013</v>
      </c>
      <c r="B8" t="s">
        <v>15</v>
      </c>
      <c r="C8" t="s">
        <v>24</v>
      </c>
    </row>
    <row r="9" spans="1:3" x14ac:dyDescent="0.4">
      <c r="A9">
        <v>2012</v>
      </c>
      <c r="B9" t="s">
        <v>130</v>
      </c>
      <c r="C9" t="s">
        <v>28</v>
      </c>
    </row>
    <row r="10" spans="1:3" x14ac:dyDescent="0.4">
      <c r="A10">
        <v>2011</v>
      </c>
      <c r="B10" t="s">
        <v>131</v>
      </c>
      <c r="C10" t="s">
        <v>107</v>
      </c>
    </row>
    <row r="11" spans="1:3" x14ac:dyDescent="0.4">
      <c r="A11">
        <v>2010</v>
      </c>
      <c r="B11" t="s">
        <v>135</v>
      </c>
      <c r="C11" t="s">
        <v>28</v>
      </c>
    </row>
    <row r="12" spans="1:3" x14ac:dyDescent="0.4">
      <c r="A12">
        <v>2009</v>
      </c>
      <c r="B12" t="s">
        <v>130</v>
      </c>
      <c r="C12" t="s">
        <v>28</v>
      </c>
    </row>
    <row r="13" spans="1:3" x14ac:dyDescent="0.4">
      <c r="A13">
        <v>2008</v>
      </c>
      <c r="B13" t="s">
        <v>135</v>
      </c>
      <c r="C13" t="s">
        <v>28</v>
      </c>
    </row>
    <row r="14" spans="1:3" x14ac:dyDescent="0.4">
      <c r="A14">
        <v>2007</v>
      </c>
      <c r="B14" t="s">
        <v>130</v>
      </c>
      <c r="C14" t="s">
        <v>28</v>
      </c>
    </row>
    <row r="15" spans="1:3" x14ac:dyDescent="0.4">
      <c r="A15">
        <v>2006</v>
      </c>
      <c r="B15" t="s">
        <v>130</v>
      </c>
      <c r="C15" t="s">
        <v>24</v>
      </c>
    </row>
    <row r="16" spans="1:3" x14ac:dyDescent="0.4">
      <c r="A16">
        <v>2005</v>
      </c>
      <c r="B16" t="s">
        <v>130</v>
      </c>
      <c r="C16" t="s">
        <v>28</v>
      </c>
    </row>
    <row r="17" spans="1:3" x14ac:dyDescent="0.4">
      <c r="A17">
        <v>2004</v>
      </c>
      <c r="B17" t="s">
        <v>130</v>
      </c>
      <c r="C17" t="s">
        <v>296</v>
      </c>
    </row>
    <row r="18" spans="1:3" x14ac:dyDescent="0.4">
      <c r="A18">
        <v>2003</v>
      </c>
      <c r="B18" t="s">
        <v>130</v>
      </c>
      <c r="C18" t="s">
        <v>28</v>
      </c>
    </row>
    <row r="19" spans="1:3" x14ac:dyDescent="0.4">
      <c r="A19">
        <v>2002</v>
      </c>
      <c r="B19" t="s">
        <v>12</v>
      </c>
      <c r="C19" t="s">
        <v>28</v>
      </c>
    </row>
    <row r="20" spans="1:3" x14ac:dyDescent="0.4">
      <c r="A20">
        <v>2001</v>
      </c>
      <c r="B20" t="s">
        <v>153</v>
      </c>
      <c r="C20" t="s">
        <v>28</v>
      </c>
    </row>
    <row r="21" spans="1:3" x14ac:dyDescent="0.4">
      <c r="A21">
        <v>2000</v>
      </c>
      <c r="B21" t="s">
        <v>28</v>
      </c>
      <c r="C21" t="s">
        <v>28</v>
      </c>
    </row>
    <row r="22" spans="1:3" x14ac:dyDescent="0.4">
      <c r="A22">
        <v>1999</v>
      </c>
      <c r="B22" t="s">
        <v>28</v>
      </c>
      <c r="C22" t="s">
        <v>28</v>
      </c>
    </row>
    <row r="23" spans="1:3" x14ac:dyDescent="0.4">
      <c r="A23">
        <v>1998</v>
      </c>
      <c r="B23" t="s">
        <v>28</v>
      </c>
      <c r="C23" t="s">
        <v>107</v>
      </c>
    </row>
    <row r="24" spans="1:3" x14ac:dyDescent="0.4">
      <c r="A24">
        <v>1997</v>
      </c>
      <c r="B24" t="s">
        <v>28</v>
      </c>
      <c r="C24" t="s">
        <v>130</v>
      </c>
    </row>
    <row r="25" spans="1:3" x14ac:dyDescent="0.4">
      <c r="A25">
        <v>1996</v>
      </c>
      <c r="B25" t="s">
        <v>262</v>
      </c>
      <c r="C25" t="s">
        <v>126</v>
      </c>
    </row>
    <row r="26" spans="1:3" x14ac:dyDescent="0.4">
      <c r="A26">
        <v>1995</v>
      </c>
      <c r="B26" t="s">
        <v>28</v>
      </c>
      <c r="C26" t="s">
        <v>126</v>
      </c>
    </row>
    <row r="27" spans="1:3" x14ac:dyDescent="0.4">
      <c r="A27">
        <v>1994</v>
      </c>
      <c r="B27" t="s">
        <v>28</v>
      </c>
      <c r="C27" t="s">
        <v>135</v>
      </c>
    </row>
    <row r="28" spans="1:3" x14ac:dyDescent="0.4">
      <c r="A28">
        <v>1993</v>
      </c>
      <c r="B28" t="s">
        <v>28</v>
      </c>
      <c r="C28" t="s">
        <v>126</v>
      </c>
    </row>
    <row r="29" spans="1:3" x14ac:dyDescent="0.4">
      <c r="A29">
        <v>1992</v>
      </c>
      <c r="B29" t="s">
        <v>28</v>
      </c>
      <c r="C29" t="s">
        <v>126</v>
      </c>
    </row>
    <row r="30" spans="1:3" x14ac:dyDescent="0.4">
      <c r="A30">
        <v>1991</v>
      </c>
      <c r="B30" t="s">
        <v>126</v>
      </c>
      <c r="C30" t="s">
        <v>126</v>
      </c>
    </row>
    <row r="31" spans="1:3" x14ac:dyDescent="0.4">
      <c r="A31">
        <v>1990</v>
      </c>
      <c r="B31" t="s">
        <v>143</v>
      </c>
      <c r="C31" t="s">
        <v>28</v>
      </c>
    </row>
    <row r="32" spans="1:3" x14ac:dyDescent="0.4">
      <c r="A32">
        <v>1989</v>
      </c>
      <c r="B32" t="s">
        <v>126</v>
      </c>
      <c r="C32" t="s">
        <v>126</v>
      </c>
    </row>
    <row r="33" spans="1:3" x14ac:dyDescent="0.4">
      <c r="A33">
        <v>1988</v>
      </c>
      <c r="B33" t="s">
        <v>143</v>
      </c>
      <c r="C33" t="s">
        <v>126</v>
      </c>
    </row>
    <row r="34" spans="1:3" x14ac:dyDescent="0.4">
      <c r="A34">
        <v>1987</v>
      </c>
      <c r="B34" t="s">
        <v>12</v>
      </c>
      <c r="C34" t="s">
        <v>28</v>
      </c>
    </row>
    <row r="35" spans="1:3" x14ac:dyDescent="0.4">
      <c r="A35">
        <v>1986</v>
      </c>
      <c r="B35" t="s">
        <v>126</v>
      </c>
      <c r="C35" t="s">
        <v>28</v>
      </c>
    </row>
    <row r="36" spans="1:3" x14ac:dyDescent="0.4">
      <c r="A36">
        <v>1985</v>
      </c>
      <c r="B36" t="s">
        <v>126</v>
      </c>
      <c r="C36" t="s">
        <v>28</v>
      </c>
    </row>
    <row r="37" spans="1:3" x14ac:dyDescent="0.4">
      <c r="A37">
        <v>1984</v>
      </c>
      <c r="B37" t="s">
        <v>28</v>
      </c>
      <c r="C37" t="s">
        <v>28</v>
      </c>
    </row>
    <row r="38" spans="1:3" x14ac:dyDescent="0.4">
      <c r="A38">
        <v>1983</v>
      </c>
      <c r="B38" t="s">
        <v>28</v>
      </c>
      <c r="C38" t="s">
        <v>28</v>
      </c>
    </row>
    <row r="39" spans="1:3" x14ac:dyDescent="0.4">
      <c r="A39">
        <v>1982</v>
      </c>
      <c r="B39" t="s">
        <v>28</v>
      </c>
      <c r="C39" t="s">
        <v>28</v>
      </c>
    </row>
    <row r="40" spans="1:3" x14ac:dyDescent="0.4">
      <c r="A40">
        <v>1981</v>
      </c>
      <c r="B40" t="s">
        <v>28</v>
      </c>
      <c r="C40" t="s">
        <v>28</v>
      </c>
    </row>
    <row r="41" spans="1:3" x14ac:dyDescent="0.4">
      <c r="A41">
        <v>1980</v>
      </c>
      <c r="B41" t="s">
        <v>143</v>
      </c>
      <c r="C41" t="s">
        <v>12</v>
      </c>
    </row>
    <row r="42" spans="1:3" x14ac:dyDescent="0.4">
      <c r="A42">
        <v>1979</v>
      </c>
      <c r="B42" t="s">
        <v>143</v>
      </c>
      <c r="C42" t="s">
        <v>28</v>
      </c>
    </row>
    <row r="43" spans="1:3" x14ac:dyDescent="0.4">
      <c r="A43">
        <v>1978</v>
      </c>
      <c r="B43" t="s">
        <v>143</v>
      </c>
      <c r="C43" t="s">
        <v>28</v>
      </c>
    </row>
    <row r="44" spans="1:3" x14ac:dyDescent="0.4">
      <c r="A44">
        <v>1977</v>
      </c>
      <c r="B44" t="s">
        <v>143</v>
      </c>
      <c r="C44" t="s">
        <v>15</v>
      </c>
    </row>
    <row r="45" spans="1:3" x14ac:dyDescent="0.4">
      <c r="A45">
        <v>1976</v>
      </c>
      <c r="B45" t="s">
        <v>143</v>
      </c>
      <c r="C45" t="s">
        <v>28</v>
      </c>
    </row>
    <row r="46" spans="1:3" x14ac:dyDescent="0.4">
      <c r="A46">
        <v>1975</v>
      </c>
      <c r="B46" t="s">
        <v>28</v>
      </c>
      <c r="C46" t="s">
        <v>28</v>
      </c>
    </row>
    <row r="47" spans="1:3" x14ac:dyDescent="0.4">
      <c r="A47">
        <v>1974</v>
      </c>
      <c r="B47" t="s">
        <v>28</v>
      </c>
      <c r="C47" t="s">
        <v>28</v>
      </c>
    </row>
    <row r="48" spans="1:3" x14ac:dyDescent="0.4">
      <c r="A48">
        <v>1973</v>
      </c>
      <c r="B48" t="s">
        <v>107</v>
      </c>
      <c r="C48" t="s">
        <v>28</v>
      </c>
    </row>
    <row r="49" spans="1:3" x14ac:dyDescent="0.4">
      <c r="A49">
        <v>1972</v>
      </c>
      <c r="B49" t="s">
        <v>28</v>
      </c>
      <c r="C49" t="s">
        <v>28</v>
      </c>
    </row>
    <row r="50" spans="1:3" x14ac:dyDescent="0.4">
      <c r="A50">
        <v>1971</v>
      </c>
      <c r="B50" t="s">
        <v>12</v>
      </c>
      <c r="C50" t="s">
        <v>12</v>
      </c>
    </row>
    <row r="51" spans="1:3" x14ac:dyDescent="0.4">
      <c r="A51">
        <v>1970</v>
      </c>
      <c r="B51" t="s">
        <v>12</v>
      </c>
      <c r="C51" t="s">
        <v>12</v>
      </c>
    </row>
    <row r="52" spans="1:3" x14ac:dyDescent="0.4">
      <c r="A52">
        <v>1969</v>
      </c>
      <c r="B52" t="s">
        <v>12</v>
      </c>
      <c r="C52" t="s">
        <v>15</v>
      </c>
    </row>
    <row r="53" spans="1:3" x14ac:dyDescent="0.4">
      <c r="A53">
        <v>1968</v>
      </c>
      <c r="B53" t="s">
        <v>12</v>
      </c>
      <c r="C53" t="s">
        <v>28</v>
      </c>
    </row>
    <row r="54" spans="1:3" x14ac:dyDescent="0.4">
      <c r="A54">
        <v>1967</v>
      </c>
      <c r="B54" t="s">
        <v>12</v>
      </c>
      <c r="C54" t="s">
        <v>28</v>
      </c>
    </row>
    <row r="55" spans="1:3" x14ac:dyDescent="0.4">
      <c r="A55">
        <v>1966</v>
      </c>
      <c r="B55" t="s">
        <v>135</v>
      </c>
      <c r="C55" t="s">
        <v>28</v>
      </c>
    </row>
    <row r="56" spans="1:3" x14ac:dyDescent="0.4">
      <c r="A56">
        <v>1965</v>
      </c>
      <c r="B56" t="s">
        <v>12</v>
      </c>
      <c r="C56" t="s">
        <v>12</v>
      </c>
    </row>
    <row r="57" spans="1:3" x14ac:dyDescent="0.4">
      <c r="A57">
        <v>1964</v>
      </c>
      <c r="B57" t="s">
        <v>12</v>
      </c>
      <c r="C57" t="s">
        <v>276</v>
      </c>
    </row>
    <row r="58" spans="1:3" x14ac:dyDescent="0.4">
      <c r="A58">
        <v>1963</v>
      </c>
      <c r="B58" t="s">
        <v>28</v>
      </c>
      <c r="C58" t="s">
        <v>12</v>
      </c>
    </row>
    <row r="59" spans="1:3" x14ac:dyDescent="0.4">
      <c r="A59">
        <v>1962</v>
      </c>
      <c r="B59" t="s">
        <v>12</v>
      </c>
      <c r="C59" t="s">
        <v>28</v>
      </c>
    </row>
    <row r="60" spans="1:3" x14ac:dyDescent="0.4">
      <c r="A60">
        <v>1961</v>
      </c>
      <c r="B60" t="s">
        <v>12</v>
      </c>
      <c r="C60" t="s">
        <v>15</v>
      </c>
    </row>
    <row r="61" spans="1:3" x14ac:dyDescent="0.4">
      <c r="A61">
        <v>1960</v>
      </c>
      <c r="B61" t="s">
        <v>12</v>
      </c>
      <c r="C61" t="s">
        <v>276</v>
      </c>
    </row>
    <row r="62" spans="1:3" x14ac:dyDescent="0.4">
      <c r="A62">
        <v>1959</v>
      </c>
      <c r="B62" t="s">
        <v>28</v>
      </c>
      <c r="C62" t="s">
        <v>276</v>
      </c>
    </row>
    <row r="63" spans="1:3" x14ac:dyDescent="0.4">
      <c r="A63">
        <v>1958</v>
      </c>
      <c r="B63" t="s">
        <v>12</v>
      </c>
      <c r="C63" t="s">
        <v>28</v>
      </c>
    </row>
    <row r="64" spans="1:3" x14ac:dyDescent="0.4">
      <c r="A64">
        <v>1957</v>
      </c>
      <c r="B64" t="s">
        <v>12</v>
      </c>
      <c r="C64" t="s">
        <v>28</v>
      </c>
    </row>
    <row r="65" spans="1:3" x14ac:dyDescent="0.4">
      <c r="A65">
        <v>1956</v>
      </c>
      <c r="B65" t="s">
        <v>12</v>
      </c>
      <c r="C65" t="s">
        <v>28</v>
      </c>
    </row>
    <row r="66" spans="1:3" x14ac:dyDescent="0.4">
      <c r="A66">
        <v>1955</v>
      </c>
      <c r="B66" t="s">
        <v>28</v>
      </c>
      <c r="C66" t="s">
        <v>28</v>
      </c>
    </row>
    <row r="67" spans="1:3" x14ac:dyDescent="0.4">
      <c r="A67">
        <v>1954</v>
      </c>
      <c r="B67" t="s">
        <v>107</v>
      </c>
      <c r="C67" t="s">
        <v>28</v>
      </c>
    </row>
    <row r="68" spans="1:3" x14ac:dyDescent="0.4">
      <c r="A68">
        <v>1953</v>
      </c>
      <c r="B68" t="s">
        <v>28</v>
      </c>
      <c r="C68" t="s">
        <v>28</v>
      </c>
    </row>
    <row r="69" spans="1:3" x14ac:dyDescent="0.4">
      <c r="A69">
        <v>1952</v>
      </c>
      <c r="B69" t="s">
        <v>12</v>
      </c>
      <c r="C69" t="s">
        <v>28</v>
      </c>
    </row>
    <row r="70" spans="1:3" x14ac:dyDescent="0.4">
      <c r="A70">
        <v>1951</v>
      </c>
      <c r="B70" t="s">
        <v>28</v>
      </c>
      <c r="C70" t="s">
        <v>28</v>
      </c>
    </row>
    <row r="71" spans="1:3" x14ac:dyDescent="0.4">
      <c r="A71">
        <v>1950</v>
      </c>
      <c r="B71" t="s">
        <v>28</v>
      </c>
      <c r="C71" t="s">
        <v>28</v>
      </c>
    </row>
    <row r="72" spans="1:3" x14ac:dyDescent="0.4">
      <c r="A72">
        <v>1949</v>
      </c>
      <c r="B72" t="s">
        <v>28</v>
      </c>
      <c r="C72" t="s">
        <v>28</v>
      </c>
    </row>
    <row r="73" spans="1:3" x14ac:dyDescent="0.4">
      <c r="A73">
        <v>1948</v>
      </c>
      <c r="B73" t="s">
        <v>28</v>
      </c>
      <c r="C73" t="s">
        <v>28</v>
      </c>
    </row>
    <row r="74" spans="1:3" x14ac:dyDescent="0.4">
      <c r="A74">
        <v>1947</v>
      </c>
      <c r="B74" t="s">
        <v>28</v>
      </c>
      <c r="C74" t="s">
        <v>28</v>
      </c>
    </row>
    <row r="75" spans="1:3" x14ac:dyDescent="0.4">
      <c r="A75">
        <v>1946</v>
      </c>
      <c r="B75" t="s">
        <v>24</v>
      </c>
      <c r="C75" t="s">
        <v>28</v>
      </c>
    </row>
    <row r="76" spans="1:3" x14ac:dyDescent="0.4">
      <c r="A76">
        <v>1939</v>
      </c>
      <c r="B76" t="s">
        <v>28</v>
      </c>
      <c r="C76" t="s">
        <v>28</v>
      </c>
    </row>
    <row r="77" spans="1:3" x14ac:dyDescent="0.4">
      <c r="A77">
        <v>1938</v>
      </c>
      <c r="B77" t="s">
        <v>28</v>
      </c>
      <c r="C77" t="s">
        <v>28</v>
      </c>
    </row>
    <row r="78" spans="1:3" x14ac:dyDescent="0.4">
      <c r="A78">
        <v>1937</v>
      </c>
      <c r="B78" t="s">
        <v>28</v>
      </c>
      <c r="C78" t="s">
        <v>15</v>
      </c>
    </row>
    <row r="79" spans="1:3" x14ac:dyDescent="0.4">
      <c r="A79">
        <v>1936</v>
      </c>
      <c r="B79" t="s">
        <v>15</v>
      </c>
      <c r="C79" t="s">
        <v>28</v>
      </c>
    </row>
    <row r="80" spans="1:3" x14ac:dyDescent="0.4">
      <c r="A80">
        <v>1935</v>
      </c>
      <c r="B80" t="s">
        <v>15</v>
      </c>
      <c r="C80" t="s">
        <v>28</v>
      </c>
    </row>
    <row r="81" spans="1:3" x14ac:dyDescent="0.4">
      <c r="A81">
        <v>1934</v>
      </c>
      <c r="B81" t="s">
        <v>15</v>
      </c>
      <c r="C81" t="s">
        <v>15</v>
      </c>
    </row>
    <row r="82" spans="1:3" x14ac:dyDescent="0.4">
      <c r="A82">
        <v>1933</v>
      </c>
      <c r="B82" t="s">
        <v>12</v>
      </c>
      <c r="C82" t="s">
        <v>28</v>
      </c>
    </row>
    <row r="83" spans="1:3" x14ac:dyDescent="0.4">
      <c r="A83">
        <v>1932</v>
      </c>
      <c r="B83" t="s">
        <v>28</v>
      </c>
      <c r="C83" t="s">
        <v>28</v>
      </c>
    </row>
    <row r="84" spans="1:3" x14ac:dyDescent="0.4">
      <c r="A84">
        <v>1931</v>
      </c>
      <c r="B84" t="s">
        <v>28</v>
      </c>
      <c r="C84" t="s">
        <v>126</v>
      </c>
    </row>
    <row r="85" spans="1:3" x14ac:dyDescent="0.4">
      <c r="A85">
        <v>1930</v>
      </c>
      <c r="B85" t="s">
        <v>28</v>
      </c>
      <c r="C85" t="s">
        <v>28</v>
      </c>
    </row>
    <row r="86" spans="1:3" x14ac:dyDescent="0.4">
      <c r="A86">
        <v>1929</v>
      </c>
      <c r="B86" t="s">
        <v>24</v>
      </c>
      <c r="C86" t="s">
        <v>28</v>
      </c>
    </row>
    <row r="87" spans="1:3" x14ac:dyDescent="0.4">
      <c r="A87">
        <v>1928</v>
      </c>
      <c r="B87" t="s">
        <v>24</v>
      </c>
      <c r="C87" t="s">
        <v>28</v>
      </c>
    </row>
    <row r="88" spans="1:3" x14ac:dyDescent="0.4">
      <c r="A88">
        <v>1927</v>
      </c>
      <c r="B88" t="s">
        <v>24</v>
      </c>
      <c r="C88" t="s">
        <v>28</v>
      </c>
    </row>
    <row r="89" spans="1:3" x14ac:dyDescent="0.4">
      <c r="A89">
        <v>1926</v>
      </c>
      <c r="B89" t="s">
        <v>24</v>
      </c>
      <c r="C89" t="s">
        <v>15</v>
      </c>
    </row>
    <row r="90" spans="1:3" x14ac:dyDescent="0.4">
      <c r="A90">
        <v>1925</v>
      </c>
      <c r="B90" t="s">
        <v>24</v>
      </c>
      <c r="C90" t="s">
        <v>24</v>
      </c>
    </row>
    <row r="91" spans="1:3" x14ac:dyDescent="0.4">
      <c r="A91">
        <v>1924</v>
      </c>
      <c r="B91" t="s">
        <v>24</v>
      </c>
      <c r="C91" t="s">
        <v>15</v>
      </c>
    </row>
    <row r="92" spans="1:3" x14ac:dyDescent="0.4">
      <c r="A92">
        <v>1923</v>
      </c>
      <c r="B92" t="s">
        <v>28</v>
      </c>
      <c r="C92" t="s">
        <v>24</v>
      </c>
    </row>
    <row r="93" spans="1:3" x14ac:dyDescent="0.4">
      <c r="A93">
        <v>1922</v>
      </c>
      <c r="B93" t="s">
        <v>12</v>
      </c>
      <c r="C93" t="s">
        <v>24</v>
      </c>
    </row>
    <row r="94" spans="1:3" x14ac:dyDescent="0.4">
      <c r="A94">
        <v>1921</v>
      </c>
      <c r="B94" t="s">
        <v>28</v>
      </c>
      <c r="C94" t="s">
        <v>24</v>
      </c>
    </row>
    <row r="95" spans="1:3" x14ac:dyDescent="0.4">
      <c r="A95">
        <v>1920</v>
      </c>
      <c r="B95" t="s">
        <v>28</v>
      </c>
      <c r="C95" t="s">
        <v>24</v>
      </c>
    </row>
    <row r="96" spans="1:3" x14ac:dyDescent="0.4">
      <c r="A96">
        <v>1919</v>
      </c>
      <c r="B96" t="s">
        <v>12</v>
      </c>
      <c r="C96" t="s">
        <v>24</v>
      </c>
    </row>
    <row r="97" spans="1:3" x14ac:dyDescent="0.4">
      <c r="A97">
        <v>1914</v>
      </c>
      <c r="B97" t="s">
        <v>12</v>
      </c>
      <c r="C97" t="s">
        <v>15</v>
      </c>
    </row>
    <row r="98" spans="1:3" x14ac:dyDescent="0.4">
      <c r="A98">
        <v>1913</v>
      </c>
      <c r="B98" t="s">
        <v>20</v>
      </c>
      <c r="C98" t="s">
        <v>15</v>
      </c>
    </row>
    <row r="99" spans="1:3" x14ac:dyDescent="0.4">
      <c r="A99">
        <v>1912</v>
      </c>
      <c r="B99" t="s">
        <v>20</v>
      </c>
      <c r="C99" t="s">
        <v>15</v>
      </c>
    </row>
    <row r="100" spans="1:3" x14ac:dyDescent="0.4">
      <c r="A100">
        <v>1911</v>
      </c>
      <c r="B100" t="s">
        <v>20</v>
      </c>
      <c r="C100" t="s">
        <v>15</v>
      </c>
    </row>
    <row r="101" spans="1:3" x14ac:dyDescent="0.4">
      <c r="A101">
        <v>1910</v>
      </c>
      <c r="B101" t="s">
        <v>20</v>
      </c>
      <c r="C101" t="s">
        <v>15</v>
      </c>
    </row>
    <row r="102" spans="1:3" x14ac:dyDescent="0.4">
      <c r="A102">
        <v>1909</v>
      </c>
      <c r="B102" t="s">
        <v>15</v>
      </c>
      <c r="C102" t="s">
        <v>15</v>
      </c>
    </row>
    <row r="103" spans="1:3" x14ac:dyDescent="0.4">
      <c r="A103">
        <v>1908</v>
      </c>
      <c r="B103" t="s">
        <v>15</v>
      </c>
      <c r="C103" t="s">
        <v>15</v>
      </c>
    </row>
    <row r="104" spans="1:3" x14ac:dyDescent="0.4">
      <c r="A104">
        <v>1907</v>
      </c>
      <c r="B104" t="s">
        <v>12</v>
      </c>
      <c r="C104" t="s">
        <v>28</v>
      </c>
    </row>
    <row r="105" spans="1:3" x14ac:dyDescent="0.4">
      <c r="A105">
        <v>1906</v>
      </c>
      <c r="B105" t="s">
        <v>15</v>
      </c>
      <c r="C105" t="s">
        <v>15</v>
      </c>
    </row>
    <row r="106" spans="1:3" x14ac:dyDescent="0.4">
      <c r="A106">
        <v>1905</v>
      </c>
      <c r="B106" t="s">
        <v>15</v>
      </c>
      <c r="C106" t="s">
        <v>28</v>
      </c>
    </row>
    <row r="107" spans="1:3" x14ac:dyDescent="0.4">
      <c r="A107">
        <v>1904</v>
      </c>
      <c r="B107" t="s">
        <v>15</v>
      </c>
      <c r="C107" t="s">
        <v>15</v>
      </c>
    </row>
    <row r="108" spans="1:3" x14ac:dyDescent="0.4">
      <c r="A108">
        <v>1903</v>
      </c>
      <c r="B108" t="s">
        <v>15</v>
      </c>
      <c r="C108" t="s">
        <v>15</v>
      </c>
    </row>
    <row r="109" spans="1:3" x14ac:dyDescent="0.4">
      <c r="A109">
        <v>1902</v>
      </c>
      <c r="B109" t="s">
        <v>15</v>
      </c>
      <c r="C109" t="s">
        <v>15</v>
      </c>
    </row>
    <row r="110" spans="1:3" x14ac:dyDescent="0.4">
      <c r="A110">
        <v>1901</v>
      </c>
      <c r="B110" t="s">
        <v>15</v>
      </c>
      <c r="C110" t="s">
        <v>15</v>
      </c>
    </row>
    <row r="111" spans="1:3" x14ac:dyDescent="0.4">
      <c r="A111">
        <v>1900</v>
      </c>
      <c r="B111" t="s">
        <v>15</v>
      </c>
      <c r="C111" t="s">
        <v>15</v>
      </c>
    </row>
    <row r="112" spans="1:3" x14ac:dyDescent="0.4">
      <c r="A112">
        <v>1899</v>
      </c>
      <c r="B112" t="s">
        <v>15</v>
      </c>
      <c r="C112" t="s">
        <v>15</v>
      </c>
    </row>
    <row r="113" spans="1:3" x14ac:dyDescent="0.4">
      <c r="A113">
        <v>1898</v>
      </c>
      <c r="B113" t="s">
        <v>15</v>
      </c>
      <c r="C113" t="s">
        <v>15</v>
      </c>
    </row>
    <row r="114" spans="1:3" x14ac:dyDescent="0.4">
      <c r="A114">
        <v>1897</v>
      </c>
      <c r="B114" t="s">
        <v>15</v>
      </c>
      <c r="C114" t="s">
        <v>15</v>
      </c>
    </row>
    <row r="115" spans="1:3" x14ac:dyDescent="0.4">
      <c r="A115">
        <v>1896</v>
      </c>
      <c r="B115" t="s">
        <v>15</v>
      </c>
      <c r="C115" t="s">
        <v>15</v>
      </c>
    </row>
    <row r="116" spans="1:3" x14ac:dyDescent="0.4">
      <c r="A116">
        <v>1895</v>
      </c>
      <c r="B116" t="s">
        <v>15</v>
      </c>
      <c r="C116" t="s">
        <v>15</v>
      </c>
    </row>
    <row r="117" spans="1:3" x14ac:dyDescent="0.4">
      <c r="A117">
        <v>1894</v>
      </c>
      <c r="B117" t="s">
        <v>15</v>
      </c>
      <c r="C117" t="s">
        <v>15</v>
      </c>
    </row>
    <row r="118" spans="1:3" x14ac:dyDescent="0.4">
      <c r="A118">
        <v>1893</v>
      </c>
      <c r="B118" t="s">
        <v>15</v>
      </c>
      <c r="C118" t="s">
        <v>15</v>
      </c>
    </row>
    <row r="119" spans="1:3" x14ac:dyDescent="0.4">
      <c r="A119">
        <v>1892</v>
      </c>
      <c r="B119" t="s">
        <v>15</v>
      </c>
      <c r="C119" t="s">
        <v>15</v>
      </c>
    </row>
    <row r="120" spans="1:3" x14ac:dyDescent="0.4">
      <c r="A120">
        <v>1891</v>
      </c>
      <c r="B120" t="s">
        <v>15</v>
      </c>
      <c r="C120" t="s">
        <v>15</v>
      </c>
    </row>
    <row r="121" spans="1:3" x14ac:dyDescent="0.4">
      <c r="A121">
        <v>1890</v>
      </c>
      <c r="B121" t="s">
        <v>15</v>
      </c>
      <c r="C121" t="s">
        <v>15</v>
      </c>
    </row>
    <row r="122" spans="1:3" x14ac:dyDescent="0.4">
      <c r="A122">
        <v>1889</v>
      </c>
      <c r="B122" t="s">
        <v>15</v>
      </c>
      <c r="C122" t="s">
        <v>15</v>
      </c>
    </row>
    <row r="123" spans="1:3" x14ac:dyDescent="0.4">
      <c r="A123">
        <v>1888</v>
      </c>
      <c r="B123" t="s">
        <v>15</v>
      </c>
      <c r="C123" t="s">
        <v>15</v>
      </c>
    </row>
    <row r="124" spans="1:3" x14ac:dyDescent="0.4">
      <c r="A124">
        <v>1887</v>
      </c>
      <c r="B124" t="s">
        <v>15</v>
      </c>
      <c r="C124" t="s">
        <v>15</v>
      </c>
    </row>
    <row r="125" spans="1:3" x14ac:dyDescent="0.4">
      <c r="A125">
        <v>1886</v>
      </c>
      <c r="B125" t="s">
        <v>15</v>
      </c>
      <c r="C125" t="s">
        <v>15</v>
      </c>
    </row>
    <row r="126" spans="1:3" x14ac:dyDescent="0.4">
      <c r="A126">
        <v>1885</v>
      </c>
      <c r="B126" t="s">
        <v>15</v>
      </c>
      <c r="C126" t="s">
        <v>15</v>
      </c>
    </row>
    <row r="127" spans="1:3" x14ac:dyDescent="0.4">
      <c r="A127">
        <v>1884</v>
      </c>
      <c r="B127" t="s">
        <v>15</v>
      </c>
      <c r="C127" t="s">
        <v>15</v>
      </c>
    </row>
    <row r="128" spans="1:3" x14ac:dyDescent="0.4">
      <c r="A128">
        <v>1883</v>
      </c>
      <c r="B128" t="s">
        <v>15</v>
      </c>
    </row>
    <row r="129" spans="1:2" x14ac:dyDescent="0.4">
      <c r="A129">
        <v>1882</v>
      </c>
      <c r="B129" t="s">
        <v>15</v>
      </c>
    </row>
    <row r="130" spans="1:2" x14ac:dyDescent="0.4">
      <c r="A130">
        <v>1881</v>
      </c>
      <c r="B130" t="s">
        <v>15</v>
      </c>
    </row>
    <row r="131" spans="1:2" x14ac:dyDescent="0.4">
      <c r="A131">
        <v>1880</v>
      </c>
      <c r="B131" t="s">
        <v>15</v>
      </c>
    </row>
    <row r="132" spans="1:2" x14ac:dyDescent="0.4">
      <c r="A132">
        <v>1879</v>
      </c>
      <c r="B132" t="s">
        <v>15</v>
      </c>
    </row>
    <row r="133" spans="1:2" x14ac:dyDescent="0.4">
      <c r="A133">
        <v>1878</v>
      </c>
      <c r="B133" t="s">
        <v>15</v>
      </c>
    </row>
    <row r="134" spans="1:2" x14ac:dyDescent="0.4">
      <c r="A134">
        <v>1877</v>
      </c>
      <c r="B134" t="s">
        <v>15</v>
      </c>
    </row>
  </sheetData>
  <sortState xmlns:xlrd2="http://schemas.microsoft.com/office/spreadsheetml/2017/richdata2" ref="A2:C134">
    <sortCondition descending="1" ref="A2:A134"/>
  </sortState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6" sqref="Q6"/>
    </sheetView>
  </sheetViews>
  <sheetFormatPr defaultRowHeight="14.6" x14ac:dyDescent="0.4"/>
  <cols>
    <col min="1" max="1" width="4.84375" bestFit="1" customWidth="1"/>
    <col min="2" max="2" width="7.53515625" bestFit="1" customWidth="1"/>
    <col min="3" max="3" width="10" bestFit="1" customWidth="1"/>
    <col min="4" max="4" width="20.53515625" bestFit="1" customWidth="1"/>
    <col min="5" max="5" width="15" bestFit="1" customWidth="1"/>
    <col min="6" max="6" width="5.3046875" bestFit="1" customWidth="1"/>
    <col min="7" max="7" width="5.84375" bestFit="1" customWidth="1"/>
    <col min="8" max="8" width="10.4609375" bestFit="1" customWidth="1"/>
    <col min="9" max="9" width="21" bestFit="1" customWidth="1"/>
    <col min="10" max="10" width="15.4609375" bestFit="1" customWidth="1"/>
  </cols>
  <sheetData>
    <row r="1" spans="1:10" x14ac:dyDescent="0.4">
      <c r="A1" t="str">
        <f>wimbledons_champions!A1</f>
        <v>Year</v>
      </c>
      <c r="B1" t="str">
        <f>wimbledons_champions!B1</f>
        <v>Gender</v>
      </c>
      <c r="C1" t="str">
        <f>wimbledons_champions!C1</f>
        <v>Champion</v>
      </c>
      <c r="D1" t="str">
        <f>wimbledons_champions!D1</f>
        <v>Champion Nationality</v>
      </c>
      <c r="E1" t="str">
        <f>wimbledons_champions!F1</f>
        <v>Champion Seed</v>
      </c>
      <c r="F1" t="str">
        <f>wimbledons_champions!G1</f>
        <v>Mins</v>
      </c>
      <c r="G1" t="str">
        <f>wimbledons_champions!H1</f>
        <v>Score</v>
      </c>
      <c r="H1" t="str">
        <f>wimbledons_champions!S1</f>
        <v>Runner-up</v>
      </c>
      <c r="I1" t="str">
        <f>wimbledons_champions!T1</f>
        <v>Runner-up Nationality</v>
      </c>
      <c r="J1" t="str">
        <f>wimbledons_champions!V1</f>
        <v>Runner-up Seed</v>
      </c>
    </row>
    <row r="2" spans="1:10" x14ac:dyDescent="0.4">
      <c r="A2">
        <v>2021</v>
      </c>
      <c r="B2" t="s">
        <v>10</v>
      </c>
      <c r="C2" t="s">
        <v>129</v>
      </c>
      <c r="D2" t="s">
        <v>131</v>
      </c>
      <c r="E2">
        <v>1</v>
      </c>
      <c r="F2">
        <v>204</v>
      </c>
      <c r="G2" t="s">
        <v>756</v>
      </c>
      <c r="H2" t="s">
        <v>757</v>
      </c>
      <c r="I2" t="s">
        <v>764</v>
      </c>
      <c r="J2">
        <v>7</v>
      </c>
    </row>
    <row r="3" spans="1:10" x14ac:dyDescent="0.4">
      <c r="A3">
        <f>wimbledons_champions!A15</f>
        <v>2019</v>
      </c>
      <c r="B3" t="str">
        <f>wimbledons_champions!B15</f>
        <v>Men's</v>
      </c>
      <c r="C3" t="str">
        <f>wimbledons_champions!C15</f>
        <v>N. Djokovic</v>
      </c>
      <c r="D3" t="str">
        <f>wimbledons_champions!D15</f>
        <v>SRB</v>
      </c>
      <c r="E3">
        <f>wimbledons_champions!F15</f>
        <v>1</v>
      </c>
      <c r="F3">
        <f>wimbledons_champions!G15</f>
        <v>297</v>
      </c>
      <c r="G3" t="str">
        <f>wimbledons_champions!H15</f>
        <v>7-6(7-5),1-6,7-6(7-4),4-6,13-12(7-3)</v>
      </c>
      <c r="H3" t="str">
        <f>wimbledons_champions!S15</f>
        <v>R. Federer</v>
      </c>
      <c r="I3" t="str">
        <f>wimbledons_champions!T15</f>
        <v>SUI</v>
      </c>
      <c r="J3">
        <f>wimbledons_champions!V15</f>
        <v>2</v>
      </c>
    </row>
    <row r="4" spans="1:10" x14ac:dyDescent="0.4">
      <c r="A4">
        <f>wimbledons_champions!A17</f>
        <v>2018</v>
      </c>
      <c r="B4" t="str">
        <f>wimbledons_champions!B17</f>
        <v>Men's</v>
      </c>
      <c r="C4" t="str">
        <f>wimbledons_champions!C17</f>
        <v>N. Djokovic</v>
      </c>
      <c r="D4" t="str">
        <f>wimbledons_champions!D17</f>
        <v>SRB</v>
      </c>
      <c r="E4">
        <f>wimbledons_champions!F17</f>
        <v>12</v>
      </c>
      <c r="F4">
        <f>wimbledons_champions!G17</f>
        <v>170</v>
      </c>
      <c r="G4" t="str">
        <f>wimbledons_champions!H17</f>
        <v>6-2,6-2,7-6(7-3)</v>
      </c>
      <c r="H4" t="str">
        <f>wimbledons_champions!S17</f>
        <v>K. Anderson</v>
      </c>
      <c r="I4" t="str">
        <f>wimbledons_champions!T17</f>
        <v>RSA</v>
      </c>
      <c r="J4">
        <f>wimbledons_champions!V17</f>
        <v>8</v>
      </c>
    </row>
    <row r="5" spans="1:10" x14ac:dyDescent="0.4">
      <c r="A5">
        <f>wimbledons_champions!A19</f>
        <v>2017</v>
      </c>
      <c r="B5" t="str">
        <f>wimbledons_champions!B19</f>
        <v>Men's</v>
      </c>
      <c r="C5" t="str">
        <f>wimbledons_champions!C19</f>
        <v>R. Federer</v>
      </c>
      <c r="D5" t="str">
        <f>wimbledons_champions!D19</f>
        <v>SUI</v>
      </c>
      <c r="E5">
        <f>wimbledons_champions!F19</f>
        <v>3</v>
      </c>
      <c r="F5">
        <f>wimbledons_champions!G19</f>
        <v>101</v>
      </c>
      <c r="G5" t="str">
        <f>wimbledons_champions!H19</f>
        <v>6-3,6-1,6-4</v>
      </c>
      <c r="H5" t="str">
        <f>wimbledons_champions!S19</f>
        <v>M.Cilic</v>
      </c>
      <c r="I5" t="str">
        <f>wimbledons_champions!T19</f>
        <v>CRO</v>
      </c>
      <c r="J5">
        <f>wimbledons_champions!V19</f>
        <v>7</v>
      </c>
    </row>
    <row r="6" spans="1:10" x14ac:dyDescent="0.4">
      <c r="A6">
        <f>wimbledons_champions!A21</f>
        <v>2016</v>
      </c>
      <c r="B6" t="str">
        <f>wimbledons_champions!B21</f>
        <v>Men's</v>
      </c>
      <c r="C6" t="str">
        <f>wimbledons_champions!C21</f>
        <v>A. Murray</v>
      </c>
      <c r="D6" t="str">
        <f>wimbledons_champions!D21</f>
        <v>GBR</v>
      </c>
      <c r="E6">
        <f>wimbledons_champions!F21</f>
        <v>2</v>
      </c>
      <c r="F6">
        <f>wimbledons_champions!G21</f>
        <v>170</v>
      </c>
      <c r="G6" t="str">
        <f>wimbledons_champions!H21</f>
        <v>6-4, 7-6(7-3), 7-6(7-2)</v>
      </c>
      <c r="H6" t="str">
        <f>wimbledons_champions!S21</f>
        <v>M. Raonic</v>
      </c>
      <c r="I6" t="str">
        <f>wimbledons_champions!T21</f>
        <v>CND</v>
      </c>
      <c r="J6">
        <f>wimbledons_champions!V21</f>
        <v>6</v>
      </c>
    </row>
    <row r="7" spans="1:10" x14ac:dyDescent="0.4">
      <c r="A7">
        <f>wimbledons_champions!A23</f>
        <v>2015</v>
      </c>
      <c r="B7" t="str">
        <f>wimbledons_champions!B23</f>
        <v>Men's</v>
      </c>
      <c r="C7" t="str">
        <f>wimbledons_champions!C23</f>
        <v>N. Djokovic</v>
      </c>
      <c r="D7" t="str">
        <f>wimbledons_champions!D23</f>
        <v>SRB</v>
      </c>
      <c r="E7">
        <f>wimbledons_champions!F23</f>
        <v>1</v>
      </c>
      <c r="F7">
        <f>wimbledons_champions!G23</f>
        <v>176</v>
      </c>
      <c r="G7" t="str">
        <f>wimbledons_champions!H23</f>
        <v>7-6(7-1), 6-7(10-12), 6-4, 6-3</v>
      </c>
      <c r="H7" t="str">
        <f>wimbledons_champions!S23</f>
        <v>R. Federer</v>
      </c>
      <c r="I7" t="str">
        <f>wimbledons_champions!T23</f>
        <v>SUI</v>
      </c>
      <c r="J7">
        <f>wimbledons_champions!V23</f>
        <v>2</v>
      </c>
    </row>
    <row r="8" spans="1:10" x14ac:dyDescent="0.4">
      <c r="A8">
        <f>wimbledons_champions!A25</f>
        <v>2014</v>
      </c>
      <c r="B8" t="str">
        <f>wimbledons_champions!B25</f>
        <v>Men's</v>
      </c>
      <c r="C8" t="str">
        <f>wimbledons_champions!C25</f>
        <v>N. Djokovic</v>
      </c>
      <c r="D8" t="str">
        <f>wimbledons_champions!D25</f>
        <v>SRB</v>
      </c>
      <c r="E8">
        <f>wimbledons_champions!F25</f>
        <v>1</v>
      </c>
      <c r="F8">
        <f>wimbledons_champions!G25</f>
        <v>236</v>
      </c>
      <c r="G8" t="str">
        <f>wimbledons_champions!H25</f>
        <v>6-7(7-9), 6-4, 7-6(7-4), 5-7, 6-4</v>
      </c>
      <c r="H8" t="str">
        <f>wimbledons_champions!S25</f>
        <v>R. Federer</v>
      </c>
      <c r="I8" t="str">
        <f>wimbledons_champions!T25</f>
        <v>SUI</v>
      </c>
      <c r="J8">
        <f>wimbledons_champions!V25</f>
        <v>4</v>
      </c>
    </row>
    <row r="9" spans="1:10" x14ac:dyDescent="0.4">
      <c r="A9">
        <f>wimbledons_champions!A27</f>
        <v>2013</v>
      </c>
      <c r="B9" t="str">
        <f>wimbledons_champions!B27</f>
        <v>Men's</v>
      </c>
      <c r="C9" t="str">
        <f>wimbledons_champions!C27</f>
        <v>A. Murray</v>
      </c>
      <c r="D9" t="str">
        <f>wimbledons_champions!D27</f>
        <v>GBR</v>
      </c>
      <c r="E9">
        <f>wimbledons_champions!F27</f>
        <v>2</v>
      </c>
      <c r="F9">
        <f>wimbledons_champions!G27</f>
        <v>134</v>
      </c>
      <c r="G9" t="str">
        <f>wimbledons_champions!H27</f>
        <v>6-4, 7-5, 6-4</v>
      </c>
      <c r="H9" t="str">
        <f>wimbledons_champions!S27</f>
        <v>N. Djokovic</v>
      </c>
      <c r="I9" t="str">
        <f>wimbledons_champions!T27</f>
        <v>SRB</v>
      </c>
      <c r="J9">
        <f>wimbledons_champions!V27</f>
        <v>1</v>
      </c>
    </row>
    <row r="10" spans="1:10" x14ac:dyDescent="0.4">
      <c r="A10">
        <f>wimbledons_champions!A29</f>
        <v>2012</v>
      </c>
      <c r="B10" t="str">
        <f>wimbledons_champions!B29</f>
        <v>Men's</v>
      </c>
      <c r="C10" t="str">
        <f>wimbledons_champions!C29</f>
        <v>R. Federer</v>
      </c>
      <c r="D10" t="str">
        <f>wimbledons_champions!D29</f>
        <v>SUI</v>
      </c>
      <c r="E10">
        <f>wimbledons_champions!F29</f>
        <v>3</v>
      </c>
      <c r="F10">
        <f>wimbledons_champions!G29</f>
        <v>204</v>
      </c>
      <c r="G10" t="str">
        <f>wimbledons_champions!H29</f>
        <v>4-6, 7-5, 6-3, 6-4</v>
      </c>
      <c r="H10" t="str">
        <f>wimbledons_champions!S29</f>
        <v>A. Murray</v>
      </c>
      <c r="I10" t="str">
        <f>wimbledons_champions!T29</f>
        <v>GBR</v>
      </c>
      <c r="J10">
        <f>wimbledons_champions!V29</f>
        <v>4</v>
      </c>
    </row>
    <row r="11" spans="1:10" x14ac:dyDescent="0.4">
      <c r="A11">
        <f>wimbledons_champions!A31</f>
        <v>2011</v>
      </c>
      <c r="B11" t="str">
        <f>wimbledons_champions!B31</f>
        <v>Men's</v>
      </c>
      <c r="C11" t="str">
        <f>wimbledons_champions!C31</f>
        <v>N. Djokovic</v>
      </c>
      <c r="D11" t="str">
        <f>wimbledons_champions!D31</f>
        <v>SRB</v>
      </c>
      <c r="E11">
        <f>wimbledons_champions!F31</f>
        <v>2</v>
      </c>
      <c r="F11">
        <f>wimbledons_champions!G31</f>
        <v>148</v>
      </c>
      <c r="G11" t="str">
        <f>wimbledons_champions!H31</f>
        <v>6-4 6-1 1-6 6-3</v>
      </c>
      <c r="H11" t="str">
        <f>wimbledons_champions!S31</f>
        <v>R. Nadal</v>
      </c>
      <c r="I11" t="str">
        <f>wimbledons_champions!T31</f>
        <v>ESP</v>
      </c>
      <c r="J11">
        <f>wimbledons_champions!V31</f>
        <v>1</v>
      </c>
    </row>
    <row r="12" spans="1:10" x14ac:dyDescent="0.4">
      <c r="A12">
        <f>wimbledons_champions!A33</f>
        <v>2010</v>
      </c>
      <c r="B12" t="str">
        <f>wimbledons_champions!B33</f>
        <v>Men's</v>
      </c>
      <c r="C12" t="str">
        <f>wimbledons_champions!C33</f>
        <v>R. Nadal</v>
      </c>
      <c r="D12" t="str">
        <f>wimbledons_champions!D33</f>
        <v>ESP</v>
      </c>
      <c r="E12">
        <f>wimbledons_champions!F33</f>
        <v>2</v>
      </c>
      <c r="F12">
        <f>wimbledons_champions!G33</f>
        <v>133</v>
      </c>
      <c r="G12" t="str">
        <f>wimbledons_champions!H33</f>
        <v>6-3, 7-5, 6-4</v>
      </c>
      <c r="H12" t="str">
        <f>wimbledons_champions!S33</f>
        <v>T. Berdych</v>
      </c>
      <c r="I12" t="str">
        <f>wimbledons_champions!T33</f>
        <v>CZE</v>
      </c>
      <c r="J12">
        <f>wimbledons_champions!V33</f>
        <v>12</v>
      </c>
    </row>
    <row r="13" spans="1:10" x14ac:dyDescent="0.4">
      <c r="A13">
        <f>wimbledons_champions!A35</f>
        <v>2009</v>
      </c>
      <c r="B13" t="str">
        <f>wimbledons_champions!B35</f>
        <v>Men's</v>
      </c>
      <c r="C13" t="str">
        <f>wimbledons_champions!C35</f>
        <v>R. Federer</v>
      </c>
      <c r="D13" t="str">
        <f>wimbledons_champions!D35</f>
        <v>SUI</v>
      </c>
      <c r="E13">
        <f>wimbledons_champions!F35</f>
        <v>2</v>
      </c>
      <c r="F13">
        <f>wimbledons_champions!G35</f>
        <v>256</v>
      </c>
      <c r="G13" t="str">
        <f>wimbledons_champions!H35</f>
        <v>5-7, 7-6 (8-6), 7-6 (7-5), 3-6, 16-14</v>
      </c>
      <c r="H13" t="str">
        <f>wimbledons_champions!S35</f>
        <v>A. Roddick</v>
      </c>
      <c r="I13" t="str">
        <f>wimbledons_champions!T35</f>
        <v>USA</v>
      </c>
      <c r="J13">
        <f>wimbledons_champions!V35</f>
        <v>6</v>
      </c>
    </row>
    <row r="14" spans="1:10" x14ac:dyDescent="0.4">
      <c r="A14">
        <f>wimbledons_champions!A37</f>
        <v>2008</v>
      </c>
      <c r="B14" t="str">
        <f>wimbledons_champions!B37</f>
        <v>Men's</v>
      </c>
      <c r="C14" t="str">
        <f>wimbledons_champions!C37</f>
        <v>R. Nadal</v>
      </c>
      <c r="D14" t="str">
        <f>wimbledons_champions!D37</f>
        <v>ESP</v>
      </c>
      <c r="E14">
        <f>wimbledons_champions!F37</f>
        <v>2</v>
      </c>
      <c r="F14">
        <f>wimbledons_champions!G37</f>
        <v>288</v>
      </c>
      <c r="G14" t="str">
        <f>wimbledons_champions!H37</f>
        <v>6-4, 6-4, 6-7 (5-7), 6-7 (8-10), 9-7</v>
      </c>
      <c r="H14" t="str">
        <f>wimbledons_champions!S37</f>
        <v>R. Federer</v>
      </c>
      <c r="I14" t="str">
        <f>wimbledons_champions!T37</f>
        <v>SUI</v>
      </c>
      <c r="J14">
        <f>wimbledons_champions!V37</f>
        <v>1</v>
      </c>
    </row>
    <row r="15" spans="1:10" x14ac:dyDescent="0.4">
      <c r="A15">
        <f>wimbledons_champions!A39</f>
        <v>2007</v>
      </c>
      <c r="B15" t="str">
        <f>wimbledons_champions!B39</f>
        <v>Men's</v>
      </c>
      <c r="C15" t="str">
        <f>wimbledons_champions!C39</f>
        <v>R. Federer</v>
      </c>
      <c r="D15" t="str">
        <f>wimbledons_champions!D39</f>
        <v>SUI</v>
      </c>
      <c r="E15">
        <f>wimbledons_champions!F39</f>
        <v>1</v>
      </c>
      <c r="F15">
        <f>wimbledons_champions!G39</f>
        <v>225</v>
      </c>
      <c r="G15" t="str">
        <f>wimbledons_champions!H39</f>
        <v>7-6 (9-7), 4-6, 7-6 (7-3), 2-6, 6-2</v>
      </c>
      <c r="H15" t="str">
        <f>wimbledons_champions!S39</f>
        <v>R. Nadal</v>
      </c>
      <c r="I15" t="str">
        <f>wimbledons_champions!T39</f>
        <v>ESP</v>
      </c>
      <c r="J15">
        <f>wimbledons_champions!V39</f>
        <v>2</v>
      </c>
    </row>
    <row r="16" spans="1:10" x14ac:dyDescent="0.4">
      <c r="A16">
        <f>wimbledons_champions!A41</f>
        <v>2006</v>
      </c>
      <c r="B16" t="str">
        <f>wimbledons_champions!B41</f>
        <v>Men's</v>
      </c>
      <c r="C16" t="str">
        <f>wimbledons_champions!C41</f>
        <v>R. Federer</v>
      </c>
      <c r="D16" t="str">
        <f>wimbledons_champions!D41</f>
        <v>SUI</v>
      </c>
      <c r="E16">
        <f>wimbledons_champions!F41</f>
        <v>1</v>
      </c>
      <c r="F16">
        <f>wimbledons_champions!G41</f>
        <v>170</v>
      </c>
      <c r="G16" t="str">
        <f>wimbledons_champions!H41</f>
        <v>6-0, 7-6 (7-5), 6-7 (2-7), 6-3</v>
      </c>
      <c r="H16" t="str">
        <f>wimbledons_champions!S41</f>
        <v>R. Nadal</v>
      </c>
      <c r="I16" t="str">
        <f>wimbledons_champions!T41</f>
        <v>ESP</v>
      </c>
      <c r="J16">
        <f>wimbledons_champions!V41</f>
        <v>2</v>
      </c>
    </row>
    <row r="17" spans="1:10" x14ac:dyDescent="0.4">
      <c r="A17">
        <f>wimbledons_champions!A43</f>
        <v>2005</v>
      </c>
      <c r="B17" t="str">
        <f>wimbledons_champions!B43</f>
        <v>Men's</v>
      </c>
      <c r="C17" t="str">
        <f>wimbledons_champions!C43</f>
        <v>R. Federer</v>
      </c>
      <c r="D17" t="str">
        <f>wimbledons_champions!D43</f>
        <v>SUI</v>
      </c>
      <c r="E17">
        <f>wimbledons_champions!F43</f>
        <v>1</v>
      </c>
      <c r="F17">
        <f>wimbledons_champions!G43</f>
        <v>101</v>
      </c>
      <c r="G17" t="str">
        <f>wimbledons_champions!H43</f>
        <v>6-2, 7-6 (7-2), 6-4</v>
      </c>
      <c r="H17" t="str">
        <f>wimbledons_champions!S43</f>
        <v>A. Roddick</v>
      </c>
      <c r="I17" t="str">
        <f>wimbledons_champions!T43</f>
        <v>USA</v>
      </c>
      <c r="J17">
        <f>wimbledons_champions!V43</f>
        <v>2</v>
      </c>
    </row>
    <row r="18" spans="1:10" x14ac:dyDescent="0.4">
      <c r="A18">
        <f>wimbledons_champions!A45</f>
        <v>2004</v>
      </c>
      <c r="B18" t="str">
        <f>wimbledons_champions!B45</f>
        <v>Men's</v>
      </c>
      <c r="C18" t="str">
        <f>wimbledons_champions!C45</f>
        <v>R. Federer</v>
      </c>
      <c r="D18" t="str">
        <f>wimbledons_champions!D45</f>
        <v>SUI</v>
      </c>
      <c r="E18">
        <f>wimbledons_champions!F45</f>
        <v>1</v>
      </c>
      <c r="F18">
        <f>wimbledons_champions!G45</f>
        <v>151</v>
      </c>
      <c r="G18" t="str">
        <f>wimbledons_champions!H45</f>
        <v>4-6, 7-5, 7-6 (7-3), 6-4</v>
      </c>
      <c r="H18" t="str">
        <f>wimbledons_champions!S45</f>
        <v>A. Roddick</v>
      </c>
      <c r="I18" t="str">
        <f>wimbledons_champions!T45</f>
        <v>USA</v>
      </c>
      <c r="J18">
        <f>wimbledons_champions!V45</f>
        <v>2</v>
      </c>
    </row>
    <row r="19" spans="1:10" x14ac:dyDescent="0.4">
      <c r="A19">
        <f>wimbledons_champions!A47</f>
        <v>2003</v>
      </c>
      <c r="B19" t="str">
        <f>wimbledons_champions!B47</f>
        <v>Men's</v>
      </c>
      <c r="C19" t="str">
        <f>wimbledons_champions!C47</f>
        <v>R. Federer</v>
      </c>
      <c r="D19" t="str">
        <f>wimbledons_champions!D47</f>
        <v>SUI</v>
      </c>
      <c r="E19">
        <f>wimbledons_champions!F47</f>
        <v>4</v>
      </c>
      <c r="F19">
        <f>wimbledons_champions!G47</f>
        <v>119</v>
      </c>
      <c r="G19" t="str">
        <f>wimbledons_champions!H47</f>
        <v>7-6 (7-5), 6-2, 7-6 (7-3)</v>
      </c>
      <c r="H19" t="str">
        <f>wimbledons_champions!S47</f>
        <v>M. Philippousis</v>
      </c>
      <c r="I19" t="str">
        <f>wimbledons_champions!T47</f>
        <v>AUS</v>
      </c>
      <c r="J19" t="str">
        <f>wimbledons_champions!V47</f>
        <v>U</v>
      </c>
    </row>
    <row r="20" spans="1:10" x14ac:dyDescent="0.4">
      <c r="A20">
        <f>wimbledons_champions!A49</f>
        <v>2002</v>
      </c>
      <c r="B20" t="str">
        <f>wimbledons_champions!B49</f>
        <v>Men's</v>
      </c>
      <c r="C20" t="str">
        <f>wimbledons_champions!C49</f>
        <v>L.G. Hewitt</v>
      </c>
      <c r="D20" t="str">
        <f>wimbledons_champions!D49</f>
        <v>AUS</v>
      </c>
      <c r="E20">
        <f>wimbledons_champions!F49</f>
        <v>1</v>
      </c>
      <c r="F20">
        <f>wimbledons_champions!G49</f>
        <v>116</v>
      </c>
      <c r="G20" t="str">
        <f>wimbledons_champions!H49</f>
        <v>6-1, 6-3, 6-2</v>
      </c>
      <c r="H20" t="str">
        <f>wimbledons_champions!S49</f>
        <v>D.P. Nalbandian</v>
      </c>
      <c r="I20" t="str">
        <f>wimbledons_champions!T49</f>
        <v>ARG</v>
      </c>
      <c r="J20">
        <f>wimbledons_champions!V49</f>
        <v>28</v>
      </c>
    </row>
    <row r="21" spans="1:10" x14ac:dyDescent="0.4">
      <c r="A21">
        <f>wimbledons_champions!A51</f>
        <v>2001</v>
      </c>
      <c r="B21" t="str">
        <f>wimbledons_champions!B51</f>
        <v>Men's</v>
      </c>
      <c r="C21" t="str">
        <f>wimbledons_champions!C51</f>
        <v>G.S. Ivanisevic</v>
      </c>
      <c r="D21" t="str">
        <f>wimbledons_champions!D51</f>
        <v>CRO</v>
      </c>
      <c r="E21" t="str">
        <f>wimbledons_champions!F51</f>
        <v>WC</v>
      </c>
      <c r="F21">
        <f>wimbledons_champions!G51</f>
        <v>182</v>
      </c>
      <c r="G21" t="str">
        <f>wimbledons_champions!H51</f>
        <v>6-3, 3-6, 6-3, 2-6, 9-7</v>
      </c>
      <c r="H21" t="str">
        <f>wimbledons_champions!S51</f>
        <v>P.M. Rafter</v>
      </c>
      <c r="I21" t="str">
        <f>wimbledons_champions!T51</f>
        <v>AUS</v>
      </c>
      <c r="J21">
        <f>wimbledons_champions!V51</f>
        <v>3</v>
      </c>
    </row>
    <row r="22" spans="1:10" x14ac:dyDescent="0.4">
      <c r="A22">
        <f>wimbledons_champions!A53</f>
        <v>2000</v>
      </c>
      <c r="B22" t="str">
        <f>wimbledons_champions!B53</f>
        <v>Men's</v>
      </c>
      <c r="C22" t="str">
        <f>wimbledons_champions!C53</f>
        <v>P. Sampras</v>
      </c>
      <c r="D22" t="str">
        <f>wimbledons_champions!D53</f>
        <v>USA</v>
      </c>
      <c r="E22">
        <f>wimbledons_champions!F53</f>
        <v>1</v>
      </c>
      <c r="F22">
        <f>wimbledons_champions!G53</f>
        <v>182</v>
      </c>
      <c r="G22" t="str">
        <f>wimbledons_champions!H53</f>
        <v>6-7 (10-12), 7-6 (7-5), 6-4, 6-2</v>
      </c>
      <c r="H22" t="str">
        <f>wimbledons_champions!S53</f>
        <v>P.M. Rafter</v>
      </c>
      <c r="I22" t="str">
        <f>wimbledons_champions!T53</f>
        <v>AUS</v>
      </c>
      <c r="J22">
        <f>wimbledons_champions!V53</f>
        <v>12</v>
      </c>
    </row>
    <row r="23" spans="1:10" x14ac:dyDescent="0.4">
      <c r="A23">
        <f>wimbledons_champions!A55</f>
        <v>1999</v>
      </c>
      <c r="B23" t="str">
        <f>wimbledons_champions!B55</f>
        <v>Men's</v>
      </c>
      <c r="C23" t="str">
        <f>wimbledons_champions!C55</f>
        <v>P. Sampras</v>
      </c>
      <c r="D23" t="str">
        <f>wimbledons_champions!D55</f>
        <v>USA</v>
      </c>
      <c r="E23">
        <f>wimbledons_champions!F55</f>
        <v>1</v>
      </c>
      <c r="F23">
        <f>wimbledons_champions!G55</f>
        <v>115</v>
      </c>
      <c r="G23" t="str">
        <f>wimbledons_champions!H55</f>
        <v>6-3, 6-4, 7-5</v>
      </c>
      <c r="H23" t="str">
        <f>wimbledons_champions!S55</f>
        <v>A.K. Agassi</v>
      </c>
      <c r="I23" t="str">
        <f>wimbledons_champions!T55</f>
        <v>USA</v>
      </c>
      <c r="J23">
        <f>wimbledons_champions!V55</f>
        <v>4</v>
      </c>
    </row>
    <row r="24" spans="1:10" x14ac:dyDescent="0.4">
      <c r="A24">
        <f>wimbledons_champions!A57</f>
        <v>1998</v>
      </c>
      <c r="B24" t="str">
        <f>wimbledons_champions!B57</f>
        <v>Men's</v>
      </c>
      <c r="C24" t="str">
        <f>wimbledons_champions!C57</f>
        <v>P. Sampras</v>
      </c>
      <c r="D24" t="str">
        <f>wimbledons_champions!D57</f>
        <v>USA</v>
      </c>
      <c r="E24">
        <f>wimbledons_champions!F57</f>
        <v>1</v>
      </c>
      <c r="F24">
        <f>wimbledons_champions!G57</f>
        <v>172</v>
      </c>
      <c r="G24" t="str">
        <f>wimbledons_champions!H57</f>
        <v>6-7 (2-7), 7-6 (11-9), 6-4, 3-6, 6-2</v>
      </c>
      <c r="H24" t="str">
        <f>wimbledons_champions!S57</f>
        <v>G.S. Ivanisevic</v>
      </c>
      <c r="I24" t="str">
        <f>wimbledons_champions!T57</f>
        <v>CRO</v>
      </c>
      <c r="J24">
        <f>wimbledons_champions!V57</f>
        <v>14</v>
      </c>
    </row>
    <row r="25" spans="1:10" x14ac:dyDescent="0.4">
      <c r="A25">
        <f>wimbledons_champions!A59</f>
        <v>1997</v>
      </c>
      <c r="B25" t="str">
        <f>wimbledons_champions!B59</f>
        <v>Men's</v>
      </c>
      <c r="C25" t="str">
        <f>wimbledons_champions!C59</f>
        <v>P. Sampras</v>
      </c>
      <c r="D25" t="str">
        <f>wimbledons_champions!D59</f>
        <v>USA</v>
      </c>
      <c r="E25">
        <f>wimbledons_champions!F59</f>
        <v>1</v>
      </c>
      <c r="F25">
        <f>wimbledons_champions!G59</f>
        <v>94</v>
      </c>
      <c r="G25" t="str">
        <f>wimbledons_champions!H59</f>
        <v>6-4, 6-2, 6-4</v>
      </c>
      <c r="H25" t="str">
        <f>wimbledons_champions!S59</f>
        <v>C.A. Pioline</v>
      </c>
      <c r="I25" t="str">
        <f>wimbledons_champions!T59</f>
        <v>FRA</v>
      </c>
      <c r="J25" t="str">
        <f>wimbledons_champions!V59</f>
        <v>U</v>
      </c>
    </row>
    <row r="26" spans="1:10" x14ac:dyDescent="0.4">
      <c r="A26">
        <f>wimbledons_champions!A61</f>
        <v>1996</v>
      </c>
      <c r="B26" t="str">
        <f>wimbledons_champions!B61</f>
        <v>Men's</v>
      </c>
      <c r="C26" t="str">
        <f>wimbledons_champions!C61</f>
        <v>R.P.S. Krajicek</v>
      </c>
      <c r="D26" t="str">
        <f>wimbledons_champions!D61</f>
        <v>NED</v>
      </c>
      <c r="E26" t="str">
        <f>wimbledons_champions!F61</f>
        <v>U</v>
      </c>
      <c r="F26">
        <f>wimbledons_champions!G61</f>
        <v>94</v>
      </c>
      <c r="G26" t="str">
        <f>wimbledons_champions!H61</f>
        <v>6-3, 6-4, 6-3</v>
      </c>
      <c r="H26" t="str">
        <f>wimbledons_champions!S61</f>
        <v>M.O. Washington</v>
      </c>
      <c r="I26" t="str">
        <f>wimbledons_champions!T61</f>
        <v>USA</v>
      </c>
      <c r="J26" t="str">
        <f>wimbledons_champions!V61</f>
        <v>U</v>
      </c>
    </row>
    <row r="27" spans="1:10" x14ac:dyDescent="0.4">
      <c r="A27">
        <f>wimbledons_champions!A63</f>
        <v>1995</v>
      </c>
      <c r="B27" t="str">
        <f>wimbledons_champions!B63</f>
        <v>Men's</v>
      </c>
      <c r="C27" t="str">
        <f>wimbledons_champions!C63</f>
        <v>P. Sampras</v>
      </c>
      <c r="D27" t="str">
        <f>wimbledons_champions!D63</f>
        <v>USA</v>
      </c>
      <c r="E27">
        <f>wimbledons_champions!F63</f>
        <v>2</v>
      </c>
      <c r="F27">
        <f>wimbledons_champions!G63</f>
        <v>149</v>
      </c>
      <c r="G27" t="str">
        <f>wimbledons_champions!H63</f>
        <v>6-7 (5-7), 6-2, 6-4, 6-2</v>
      </c>
      <c r="H27" t="str">
        <f>wimbledons_champions!S63</f>
        <v>B.F. Becker</v>
      </c>
      <c r="I27" t="str">
        <f>wimbledons_champions!T63</f>
        <v>GER</v>
      </c>
      <c r="J27">
        <f>wimbledons_champions!V63</f>
        <v>3</v>
      </c>
    </row>
    <row r="28" spans="1:10" x14ac:dyDescent="0.4">
      <c r="A28">
        <f>wimbledons_champions!A65</f>
        <v>1994</v>
      </c>
      <c r="B28" t="str">
        <f>wimbledons_champions!B65</f>
        <v>Men's</v>
      </c>
      <c r="C28" t="str">
        <f>wimbledons_champions!C65</f>
        <v>P. Sampras</v>
      </c>
      <c r="D28" t="str">
        <f>wimbledons_champions!D65</f>
        <v>USA</v>
      </c>
      <c r="E28">
        <f>wimbledons_champions!F65</f>
        <v>1</v>
      </c>
      <c r="F28">
        <f>wimbledons_champions!G65</f>
        <v>115</v>
      </c>
      <c r="G28" t="str">
        <f>wimbledons_champions!H65</f>
        <v>7-6 (7-2), 7-6 (7-5), 6-0</v>
      </c>
      <c r="H28" t="str">
        <f>wimbledons_champions!S65</f>
        <v>G.S. Ivanisevic</v>
      </c>
      <c r="I28" t="str">
        <f>wimbledons_champions!T65</f>
        <v>CRO</v>
      </c>
      <c r="J28">
        <f>wimbledons_champions!V65</f>
        <v>4</v>
      </c>
    </row>
    <row r="29" spans="1:10" x14ac:dyDescent="0.4">
      <c r="A29">
        <f>wimbledons_champions!A67</f>
        <v>1993</v>
      </c>
      <c r="B29" t="str">
        <f>wimbledons_champions!B67</f>
        <v>Men's</v>
      </c>
      <c r="C29" t="str">
        <f>wimbledons_champions!C67</f>
        <v>P. Sampras</v>
      </c>
      <c r="D29" t="str">
        <f>wimbledons_champions!D67</f>
        <v>USA</v>
      </c>
      <c r="E29">
        <f>wimbledons_champions!F67</f>
        <v>1</v>
      </c>
      <c r="F29">
        <f>wimbledons_champions!G67</f>
        <v>178</v>
      </c>
      <c r="G29" t="str">
        <f>wimbledons_champions!H67</f>
        <v>7-6 (7-3), 7-6 (8-6), 3-6, 6-3</v>
      </c>
      <c r="H29" t="str">
        <f>wimbledons_champions!S67</f>
        <v>J.S. Courier</v>
      </c>
      <c r="I29" t="str">
        <f>wimbledons_champions!T67</f>
        <v>USA</v>
      </c>
      <c r="J29">
        <f>wimbledons_champions!V67</f>
        <v>3</v>
      </c>
    </row>
    <row r="30" spans="1:10" x14ac:dyDescent="0.4">
      <c r="A30">
        <f>wimbledons_champions!A69</f>
        <v>1992</v>
      </c>
      <c r="B30" t="str">
        <f>wimbledons_champions!B69</f>
        <v>Men's</v>
      </c>
      <c r="C30" t="str">
        <f>wimbledons_champions!C69</f>
        <v>A.K. Agassi</v>
      </c>
      <c r="D30" t="str">
        <f>wimbledons_champions!D69</f>
        <v>USA</v>
      </c>
      <c r="E30">
        <f>wimbledons_champions!F69</f>
        <v>12</v>
      </c>
      <c r="F30">
        <f>wimbledons_champions!G69</f>
        <v>170</v>
      </c>
      <c r="G30" t="str">
        <f>wimbledons_champions!H69</f>
        <v>6-7 (8-10), 6-4, 6-4, 1-6, 6-4</v>
      </c>
      <c r="H30" t="str">
        <f>wimbledons_champions!S69</f>
        <v>G.S. Ivanisevic</v>
      </c>
      <c r="I30" t="str">
        <f>wimbledons_champions!T69</f>
        <v>CRO</v>
      </c>
      <c r="J30">
        <f>wimbledons_champions!V69</f>
        <v>8</v>
      </c>
    </row>
    <row r="31" spans="1:10" x14ac:dyDescent="0.4">
      <c r="A31">
        <f>wimbledons_champions!A71</f>
        <v>1991</v>
      </c>
      <c r="B31" t="str">
        <f>wimbledons_champions!B71</f>
        <v>Men's</v>
      </c>
      <c r="C31" t="str">
        <f>wimbledons_champions!C71</f>
        <v>M.D. Stich</v>
      </c>
      <c r="D31" t="str">
        <f>wimbledons_champions!D71</f>
        <v>GER</v>
      </c>
      <c r="E31">
        <f>wimbledons_champions!F71</f>
        <v>6</v>
      </c>
      <c r="F31">
        <f>wimbledons_champions!G71</f>
        <v>153</v>
      </c>
      <c r="G31" t="str">
        <f>wimbledons_champions!H71</f>
        <v>6-4, 7-6 (7-4), 6-4</v>
      </c>
      <c r="H31" t="str">
        <f>wimbledons_champions!S71</f>
        <v>B.F. Becker</v>
      </c>
      <c r="I31" t="str">
        <f>wimbledons_champions!T71</f>
        <v>GER</v>
      </c>
      <c r="J31">
        <f>wimbledons_champions!V71</f>
        <v>2</v>
      </c>
    </row>
    <row r="32" spans="1:10" x14ac:dyDescent="0.4">
      <c r="A32">
        <f>wimbledons_champions!A73</f>
        <v>1990</v>
      </c>
      <c r="B32" t="str">
        <f>wimbledons_champions!B73</f>
        <v>Men's</v>
      </c>
      <c r="C32" t="str">
        <f>wimbledons_champions!C73</f>
        <v>S.B. Edberg</v>
      </c>
      <c r="D32" t="str">
        <f>wimbledons_champions!D73</f>
        <v>SWE</v>
      </c>
      <c r="E32">
        <f>wimbledons_champions!F73</f>
        <v>3</v>
      </c>
      <c r="F32">
        <f>wimbledons_champions!G73</f>
        <v>178</v>
      </c>
      <c r="G32" t="str">
        <f>wimbledons_champions!H73</f>
        <v>6-2, 6-2, 3-6, 3-6, 6-4</v>
      </c>
      <c r="H32" t="str">
        <f>wimbledons_champions!S73</f>
        <v>B.F. Becker</v>
      </c>
      <c r="I32" t="str">
        <f>wimbledons_champions!T73</f>
        <v>GER</v>
      </c>
      <c r="J32">
        <f>wimbledons_champions!V73</f>
        <v>2</v>
      </c>
    </row>
    <row r="33" spans="1:10" x14ac:dyDescent="0.4">
      <c r="A33">
        <f>wimbledons_champions!A75</f>
        <v>1989</v>
      </c>
      <c r="B33" t="str">
        <f>wimbledons_champions!B75</f>
        <v>Men's</v>
      </c>
      <c r="C33" t="str">
        <f>wimbledons_champions!C75</f>
        <v>B.F. Becker</v>
      </c>
      <c r="D33" t="str">
        <f>wimbledons_champions!D75</f>
        <v>GER</v>
      </c>
      <c r="E33">
        <f>wimbledons_champions!F75</f>
        <v>3</v>
      </c>
      <c r="F33">
        <f>wimbledons_champions!G75</f>
        <v>132</v>
      </c>
      <c r="G33" t="str">
        <f>wimbledons_champions!H75</f>
        <v>6-0, 7-6 (7-1), 6-4</v>
      </c>
      <c r="H33" t="str">
        <f>wimbledons_champions!S75</f>
        <v>S.B. Edberg</v>
      </c>
      <c r="I33" t="str">
        <f>wimbledons_champions!T75</f>
        <v>SWE</v>
      </c>
      <c r="J33">
        <f>wimbledons_champions!V75</f>
        <v>2</v>
      </c>
    </row>
    <row r="34" spans="1:10" x14ac:dyDescent="0.4">
      <c r="A34">
        <f>wimbledons_champions!A77</f>
        <v>1988</v>
      </c>
      <c r="B34" t="str">
        <f>wimbledons_champions!B77</f>
        <v>Men's</v>
      </c>
      <c r="C34" t="str">
        <f>wimbledons_champions!C77</f>
        <v>S.B. Edberg</v>
      </c>
      <c r="D34" t="str">
        <f>wimbledons_champions!D77</f>
        <v>SWE</v>
      </c>
      <c r="E34">
        <f>wimbledons_champions!F77</f>
        <v>3</v>
      </c>
      <c r="F34">
        <f>wimbledons_champions!G77</f>
        <v>170</v>
      </c>
      <c r="G34" t="str">
        <f>wimbledons_champions!H77</f>
        <v>4-6, 7-6 (7-2), 6-4, 6-2</v>
      </c>
      <c r="H34" t="str">
        <f>wimbledons_champions!S77</f>
        <v>B.F. Becker</v>
      </c>
      <c r="I34" t="str">
        <f>wimbledons_champions!T77</f>
        <v>GER</v>
      </c>
      <c r="J34">
        <f>wimbledons_champions!V77</f>
        <v>6</v>
      </c>
    </row>
    <row r="35" spans="1:10" x14ac:dyDescent="0.4">
      <c r="A35">
        <f>wimbledons_champions!A79</f>
        <v>1987</v>
      </c>
      <c r="B35" t="str">
        <f>wimbledons_champions!B79</f>
        <v>Men's</v>
      </c>
      <c r="C35" t="str">
        <f>wimbledons_champions!C79</f>
        <v>P.H. Cash</v>
      </c>
      <c r="D35" t="str">
        <f>wimbledons_champions!D79</f>
        <v>AUS</v>
      </c>
      <c r="E35">
        <f>wimbledons_champions!F79</f>
        <v>11</v>
      </c>
      <c r="F35">
        <f>wimbledons_champions!G79</f>
        <v>165</v>
      </c>
      <c r="G35" t="str">
        <f>wimbledons_champions!H79</f>
        <v>7-6 (7-5), 6-2, 7-5</v>
      </c>
      <c r="H35" t="str">
        <f>wimbledons_champions!S79</f>
        <v>I. Lendl</v>
      </c>
      <c r="I35" t="str">
        <f>wimbledons_champions!T79</f>
        <v>CZE</v>
      </c>
      <c r="J35">
        <f>wimbledons_champions!V79</f>
        <v>2</v>
      </c>
    </row>
    <row r="36" spans="1:10" x14ac:dyDescent="0.4">
      <c r="A36">
        <f>wimbledons_champions!A81</f>
        <v>1986</v>
      </c>
      <c r="B36" t="str">
        <f>wimbledons_champions!B81</f>
        <v>Men's</v>
      </c>
      <c r="C36" t="str">
        <f>wimbledons_champions!C81</f>
        <v>B.F. Becker</v>
      </c>
      <c r="D36" t="str">
        <f>wimbledons_champions!D81</f>
        <v>GER</v>
      </c>
      <c r="E36">
        <f>wimbledons_champions!F81</f>
        <v>4</v>
      </c>
      <c r="F36">
        <f>wimbledons_champions!G81</f>
        <v>122</v>
      </c>
      <c r="G36" t="str">
        <f>wimbledons_champions!H81</f>
        <v>6-4, 6-3, 7-5</v>
      </c>
      <c r="H36" t="str">
        <f>wimbledons_champions!S81</f>
        <v>I. Lendl</v>
      </c>
      <c r="I36" t="str">
        <f>wimbledons_champions!T81</f>
        <v>CZE</v>
      </c>
      <c r="J36">
        <f>wimbledons_champions!V81</f>
        <v>1</v>
      </c>
    </row>
    <row r="37" spans="1:10" x14ac:dyDescent="0.4">
      <c r="A37">
        <f>wimbledons_champions!A83</f>
        <v>1985</v>
      </c>
      <c r="B37" t="str">
        <f>wimbledons_champions!B83</f>
        <v>Men's</v>
      </c>
      <c r="C37" t="str">
        <f>wimbledons_champions!C83</f>
        <v>B.F. Becker</v>
      </c>
      <c r="D37" t="str">
        <f>wimbledons_champions!D83</f>
        <v>GER</v>
      </c>
      <c r="E37" t="str">
        <f>wimbledons_champions!F83</f>
        <v>U</v>
      </c>
      <c r="F37">
        <f>wimbledons_champions!G83</f>
        <v>198</v>
      </c>
      <c r="G37" t="str">
        <f>wimbledons_champions!H83</f>
        <v>6-3, 6-7 (4-7), 7-6 (7-3), 6-4</v>
      </c>
      <c r="H37" t="str">
        <f>wimbledons_champions!S83</f>
        <v>K.M. Curren</v>
      </c>
      <c r="I37" t="str">
        <f>wimbledons_champions!T83</f>
        <v>USA</v>
      </c>
      <c r="J37">
        <f>wimbledons_champions!V83</f>
        <v>8</v>
      </c>
    </row>
    <row r="38" spans="1:10" x14ac:dyDescent="0.4">
      <c r="A38">
        <f>wimbledons_champions!A85</f>
        <v>1984</v>
      </c>
      <c r="B38" t="str">
        <f>wimbledons_champions!B85</f>
        <v>Men's</v>
      </c>
      <c r="C38" t="str">
        <f>wimbledons_champions!C85</f>
        <v>J.P. McEnroe</v>
      </c>
      <c r="D38" t="str">
        <f>wimbledons_champions!D85</f>
        <v>USA</v>
      </c>
      <c r="E38">
        <f>wimbledons_champions!F85</f>
        <v>1</v>
      </c>
      <c r="F38">
        <f>wimbledons_champions!G85</f>
        <v>80</v>
      </c>
      <c r="G38" t="str">
        <f>wimbledons_champions!H85</f>
        <v>6-1, 6-1, 6-2</v>
      </c>
      <c r="H38" t="str">
        <f>wimbledons_champions!S85</f>
        <v>J.S. Connors</v>
      </c>
      <c r="I38" t="str">
        <f>wimbledons_champions!T85</f>
        <v>USA</v>
      </c>
      <c r="J38">
        <f>wimbledons_champions!V85</f>
        <v>3</v>
      </c>
    </row>
    <row r="39" spans="1:10" x14ac:dyDescent="0.4">
      <c r="A39">
        <f>wimbledons_champions!A87</f>
        <v>1983</v>
      </c>
      <c r="B39" t="str">
        <f>wimbledons_champions!B87</f>
        <v>Men's</v>
      </c>
      <c r="C39" t="str">
        <f>wimbledons_champions!C87</f>
        <v>J.P. McEnroe</v>
      </c>
      <c r="D39" t="str">
        <f>wimbledons_champions!D87</f>
        <v>USA</v>
      </c>
      <c r="E39">
        <f>wimbledons_champions!F87</f>
        <v>2</v>
      </c>
      <c r="F39">
        <f>wimbledons_champions!G87</f>
        <v>85</v>
      </c>
      <c r="G39" t="str">
        <f>wimbledons_champions!H87</f>
        <v>6-2, 6-2, 6-2</v>
      </c>
      <c r="H39" t="str">
        <f>wimbledons_champions!S87</f>
        <v>C.J. Lewis</v>
      </c>
      <c r="I39" t="str">
        <f>wimbledons_champions!T87</f>
        <v>NZL</v>
      </c>
      <c r="J39" t="str">
        <f>wimbledons_champions!V87</f>
        <v>U</v>
      </c>
    </row>
    <row r="40" spans="1:10" x14ac:dyDescent="0.4">
      <c r="A40">
        <f>wimbledons_champions!A89</f>
        <v>1982</v>
      </c>
      <c r="B40" t="str">
        <f>wimbledons_champions!B89</f>
        <v>Men's</v>
      </c>
      <c r="C40" t="str">
        <f>wimbledons_champions!C89</f>
        <v>J.S. Connors</v>
      </c>
      <c r="D40" t="str">
        <f>wimbledons_champions!D89</f>
        <v>USA</v>
      </c>
      <c r="E40">
        <f>wimbledons_champions!F89</f>
        <v>2</v>
      </c>
      <c r="F40">
        <f>wimbledons_champions!G89</f>
        <v>256</v>
      </c>
      <c r="G40" t="str">
        <f>wimbledons_champions!H89</f>
        <v>3-6, 6-3, 6-7 (2-7), 7-6 (7-5), 6-4</v>
      </c>
      <c r="H40" t="str">
        <f>wimbledons_champions!S89</f>
        <v>J.P. McEnroe</v>
      </c>
      <c r="I40" t="str">
        <f>wimbledons_champions!T89</f>
        <v>USA</v>
      </c>
      <c r="J40">
        <f>wimbledons_champions!V89</f>
        <v>1</v>
      </c>
    </row>
    <row r="41" spans="1:10" x14ac:dyDescent="0.4">
      <c r="A41">
        <f>wimbledons_champions!A91</f>
        <v>1981</v>
      </c>
      <c r="B41" t="str">
        <f>wimbledons_champions!B91</f>
        <v>Men's</v>
      </c>
      <c r="C41" t="str">
        <f>wimbledons_champions!C91</f>
        <v>J.P. McEnroe</v>
      </c>
      <c r="D41" t="str">
        <f>wimbledons_champions!D91</f>
        <v>USA</v>
      </c>
      <c r="E41">
        <f>wimbledons_champions!F91</f>
        <v>2</v>
      </c>
      <c r="F41">
        <f>wimbledons_champions!G91</f>
        <v>202</v>
      </c>
      <c r="G41" t="str">
        <f>wimbledons_champions!H91</f>
        <v>4-6, 7-6 (7-1), 7-6 (7-4), 6-4</v>
      </c>
      <c r="H41" t="str">
        <f>wimbledons_champions!S91</f>
        <v>B.R. Borg</v>
      </c>
      <c r="I41" t="str">
        <f>wimbledons_champions!T91</f>
        <v>SWE</v>
      </c>
      <c r="J41">
        <f>wimbledons_champions!V91</f>
        <v>1</v>
      </c>
    </row>
    <row r="42" spans="1:10" x14ac:dyDescent="0.4">
      <c r="A42">
        <f>wimbledons_champions!A93</f>
        <v>1980</v>
      </c>
      <c r="B42" t="str">
        <f>wimbledons_champions!B93</f>
        <v>Men's</v>
      </c>
      <c r="C42" t="str">
        <f>wimbledons_champions!C93</f>
        <v>B.R. Borg</v>
      </c>
      <c r="D42" t="str">
        <f>wimbledons_champions!D93</f>
        <v>SWE</v>
      </c>
      <c r="E42">
        <f>wimbledons_champions!F93</f>
        <v>1</v>
      </c>
      <c r="F42">
        <f>wimbledons_champions!G93</f>
        <v>233</v>
      </c>
      <c r="G42" t="str">
        <f>wimbledons_champions!H93</f>
        <v>1-6, 7-5, 6-3, 6-7 (16-18), 8-6</v>
      </c>
      <c r="H42" t="str">
        <f>wimbledons_champions!S93</f>
        <v>J.P. McEnroe</v>
      </c>
      <c r="I42" t="str">
        <f>wimbledons_champions!T93</f>
        <v>USA</v>
      </c>
      <c r="J42">
        <f>wimbledons_champions!V93</f>
        <v>2</v>
      </c>
    </row>
    <row r="43" spans="1:10" x14ac:dyDescent="0.4">
      <c r="A43">
        <f>wimbledons_champions!A95</f>
        <v>1979</v>
      </c>
      <c r="B43" t="str">
        <f>wimbledons_champions!B95</f>
        <v>Men's</v>
      </c>
      <c r="C43" t="str">
        <f>wimbledons_champions!C95</f>
        <v>B.R. Borg</v>
      </c>
      <c r="D43" t="str">
        <f>wimbledons_champions!D95</f>
        <v>SWE</v>
      </c>
      <c r="E43">
        <f>wimbledons_champions!F95</f>
        <v>1</v>
      </c>
      <c r="F43">
        <f>wimbledons_champions!G95</f>
        <v>169</v>
      </c>
      <c r="G43" t="str">
        <f>wimbledons_champions!H95</f>
        <v>6-7(4-7), 6-1, 3-6, 6-3, 6-4</v>
      </c>
      <c r="H43" t="str">
        <f>wimbledons_champions!S95</f>
        <v>R. Tanner</v>
      </c>
      <c r="I43" t="str">
        <f>wimbledons_champions!T95</f>
        <v>USA</v>
      </c>
      <c r="J43">
        <f>wimbledons_champions!V95</f>
        <v>5</v>
      </c>
    </row>
    <row r="44" spans="1:10" x14ac:dyDescent="0.4">
      <c r="A44">
        <f>wimbledons_champions!A97</f>
        <v>1978</v>
      </c>
      <c r="B44" t="str">
        <f>wimbledons_champions!B97</f>
        <v>Men's</v>
      </c>
      <c r="C44" t="str">
        <f>wimbledons_champions!C97</f>
        <v>B.R. Borg</v>
      </c>
      <c r="D44" t="str">
        <f>wimbledons_champions!D97</f>
        <v>SWE</v>
      </c>
      <c r="E44">
        <f>wimbledons_champions!F97</f>
        <v>1</v>
      </c>
      <c r="F44">
        <f>wimbledons_champions!G97</f>
        <v>108</v>
      </c>
      <c r="G44" t="str">
        <f>wimbledons_champions!H97</f>
        <v>6-2, 6-2, 6-3</v>
      </c>
      <c r="H44" t="str">
        <f>wimbledons_champions!S97</f>
        <v>J.S. Connors</v>
      </c>
      <c r="I44" t="str">
        <f>wimbledons_champions!T97</f>
        <v>USA</v>
      </c>
      <c r="J44">
        <f>wimbledons_champions!V97</f>
        <v>2</v>
      </c>
    </row>
    <row r="45" spans="1:10" x14ac:dyDescent="0.4">
      <c r="A45">
        <f>wimbledons_champions!A99</f>
        <v>1977</v>
      </c>
      <c r="B45" t="str">
        <f>wimbledons_champions!B99</f>
        <v>Men's</v>
      </c>
      <c r="C45" t="str">
        <f>wimbledons_champions!C99</f>
        <v>B.R. Borg</v>
      </c>
      <c r="D45" t="str">
        <f>wimbledons_champions!D99</f>
        <v>SWE</v>
      </c>
      <c r="E45">
        <f>wimbledons_champions!F99</f>
        <v>2</v>
      </c>
      <c r="F45">
        <f>wimbledons_champions!G99</f>
        <v>194</v>
      </c>
      <c r="G45" t="str">
        <f>wimbledons_champions!H99</f>
        <v>3-6, 6-2, 6-1, 5-7, 6-4</v>
      </c>
      <c r="H45" t="str">
        <f>wimbledons_champions!S99</f>
        <v>J.S. Connors</v>
      </c>
      <c r="I45" t="str">
        <f>wimbledons_champions!T99</f>
        <v>USA</v>
      </c>
      <c r="J45">
        <f>wimbledons_champions!V99</f>
        <v>1</v>
      </c>
    </row>
    <row r="46" spans="1:10" x14ac:dyDescent="0.4">
      <c r="A46">
        <f>wimbledons_champions!A101</f>
        <v>1976</v>
      </c>
      <c r="B46" t="str">
        <f>wimbledons_champions!B101</f>
        <v>Men's</v>
      </c>
      <c r="C46" t="str">
        <f>wimbledons_champions!C101</f>
        <v>B.R. Borg</v>
      </c>
      <c r="D46" t="str">
        <f>wimbledons_champions!D101</f>
        <v>SWE</v>
      </c>
      <c r="E46">
        <f>wimbledons_champions!F101</f>
        <v>4</v>
      </c>
      <c r="F46">
        <f>wimbledons_champions!G101</f>
        <v>110</v>
      </c>
      <c r="G46" t="str">
        <f>wimbledons_champions!H101</f>
        <v>6-4, 6-2, 9-7</v>
      </c>
      <c r="H46" t="str">
        <f>wimbledons_champions!S101</f>
        <v>I. Nastase</v>
      </c>
      <c r="I46" t="str">
        <f>wimbledons_champions!T101</f>
        <v>ROM</v>
      </c>
      <c r="J46">
        <f>wimbledons_champions!V101</f>
        <v>3</v>
      </c>
    </row>
    <row r="47" spans="1:10" x14ac:dyDescent="0.4">
      <c r="A47">
        <f>wimbledons_champions!A103</f>
        <v>1975</v>
      </c>
      <c r="B47" t="str">
        <f>wimbledons_champions!B103</f>
        <v>Men's</v>
      </c>
      <c r="C47" t="str">
        <f>wimbledons_champions!C103</f>
        <v>A.R. Ashe</v>
      </c>
      <c r="D47" t="str">
        <f>wimbledons_champions!D103</f>
        <v>USA</v>
      </c>
      <c r="E47">
        <f>wimbledons_champions!F103</f>
        <v>6</v>
      </c>
      <c r="F47">
        <f>wimbledons_champions!G103</f>
        <v>125</v>
      </c>
      <c r="G47" t="str">
        <f>wimbledons_champions!H103</f>
        <v>6-1, 6-1, 5-7, 6-4</v>
      </c>
      <c r="H47" t="str">
        <f>wimbledons_champions!S103</f>
        <v>J.S. Connors</v>
      </c>
      <c r="I47" t="str">
        <f>wimbledons_champions!T103</f>
        <v>USA</v>
      </c>
      <c r="J47">
        <f>wimbledons_champions!V103</f>
        <v>1</v>
      </c>
    </row>
    <row r="48" spans="1:10" x14ac:dyDescent="0.4">
      <c r="A48">
        <f>wimbledons_champions!A105</f>
        <v>1974</v>
      </c>
      <c r="B48" t="str">
        <f>wimbledons_champions!B105</f>
        <v>Men's</v>
      </c>
      <c r="C48" t="str">
        <f>wimbledons_champions!C105</f>
        <v>J.S. Connors</v>
      </c>
      <c r="D48" t="str">
        <f>wimbledons_champions!D105</f>
        <v>USA</v>
      </c>
      <c r="E48">
        <f>wimbledons_champions!F105</f>
        <v>3</v>
      </c>
      <c r="F48">
        <f>wimbledons_champions!G105</f>
        <v>93</v>
      </c>
      <c r="G48" t="str">
        <f>wimbledons_champions!H105</f>
        <v>6-1, 6-1, 6-4</v>
      </c>
      <c r="H48" t="str">
        <f>wimbledons_champions!S105</f>
        <v>K.R. Rosewall</v>
      </c>
      <c r="I48" t="str">
        <f>wimbledons_champions!T105</f>
        <v>AUS</v>
      </c>
      <c r="J48">
        <f>wimbledons_champions!V105</f>
        <v>9</v>
      </c>
    </row>
    <row r="49" spans="1:10" x14ac:dyDescent="0.4">
      <c r="A49">
        <f>wimbledons_champions!A107</f>
        <v>1973</v>
      </c>
      <c r="B49" t="str">
        <f>wimbledons_champions!B107</f>
        <v>Men's</v>
      </c>
      <c r="C49" t="str">
        <f>wimbledons_champions!C107</f>
        <v>J. Kodes</v>
      </c>
      <c r="D49" t="str">
        <f>wimbledons_champions!D107</f>
        <v>CZE</v>
      </c>
      <c r="E49">
        <f>wimbledons_champions!F107</f>
        <v>2</v>
      </c>
      <c r="F49">
        <f>wimbledons_champions!G107</f>
        <v>110</v>
      </c>
      <c r="G49" t="str">
        <f>wimbledons_champions!H107</f>
        <v>6-1, 9-8(7-5), 6-3</v>
      </c>
      <c r="H49" t="str">
        <f>wimbledons_champions!S107</f>
        <v>A. Metreveli</v>
      </c>
      <c r="I49" t="str">
        <f>wimbledons_champions!T107</f>
        <v>URS</v>
      </c>
      <c r="J49">
        <f>wimbledons_champions!V107</f>
        <v>4</v>
      </c>
    </row>
    <row r="50" spans="1:10" x14ac:dyDescent="0.4">
      <c r="A50">
        <f>wimbledons_champions!A109</f>
        <v>1972</v>
      </c>
      <c r="B50" t="str">
        <f>wimbledons_champions!B109</f>
        <v>Men's</v>
      </c>
      <c r="C50" t="str">
        <f>wimbledons_champions!C109</f>
        <v>S.R. Smith</v>
      </c>
      <c r="D50" t="str">
        <f>wimbledons_champions!D109</f>
        <v>USA</v>
      </c>
      <c r="E50">
        <f>wimbledons_champions!F109</f>
        <v>1</v>
      </c>
      <c r="F50">
        <f>wimbledons_champions!G109</f>
        <v>161</v>
      </c>
      <c r="G50" t="str">
        <f>wimbledons_champions!H109</f>
        <v>4-6, 6-3, 6-3, 4-6, 7-5</v>
      </c>
      <c r="H50" t="str">
        <f>wimbledons_champions!S109</f>
        <v>I. Nastase</v>
      </c>
      <c r="I50" t="str">
        <f>wimbledons_champions!T109</f>
        <v>ROM</v>
      </c>
      <c r="J50">
        <f>wimbledons_champions!V109</f>
        <v>2</v>
      </c>
    </row>
    <row r="51" spans="1:10" x14ac:dyDescent="0.4">
      <c r="A51">
        <f>wimbledons_champions!A111</f>
        <v>1971</v>
      </c>
      <c r="B51" t="str">
        <f>wimbledons_champions!B111</f>
        <v>Men's</v>
      </c>
      <c r="C51" t="str">
        <f>wimbledons_champions!C111</f>
        <v>J.D. Newcombe</v>
      </c>
      <c r="D51" t="str">
        <f>wimbledons_champions!D111</f>
        <v>AUS</v>
      </c>
      <c r="E51">
        <f>wimbledons_champions!F111</f>
        <v>2</v>
      </c>
      <c r="F51">
        <f>wimbledons_champions!G111</f>
        <v>170</v>
      </c>
      <c r="G51" t="str">
        <f>wimbledons_champions!H111</f>
        <v>6-3, 5-7, 2-6, 6-4, 6-4</v>
      </c>
      <c r="H51" t="str">
        <f>wimbledons_champions!S111</f>
        <v>S.R. Smith</v>
      </c>
      <c r="I51" t="str">
        <f>wimbledons_champions!T111</f>
        <v>USA</v>
      </c>
      <c r="J51">
        <f>wimbledons_champions!V111</f>
        <v>4</v>
      </c>
    </row>
    <row r="52" spans="1:10" x14ac:dyDescent="0.4">
      <c r="A52">
        <f>wimbledons_champions!A113</f>
        <v>1970</v>
      </c>
      <c r="B52" t="str">
        <f>wimbledons_champions!B113</f>
        <v>Men's</v>
      </c>
      <c r="C52" t="str">
        <f>wimbledons_champions!C113</f>
        <v>J.D. Newcombe</v>
      </c>
      <c r="D52" t="str">
        <f>wimbledons_champions!D113</f>
        <v>AUS</v>
      </c>
      <c r="E52">
        <f>wimbledons_champions!F113</f>
        <v>2</v>
      </c>
      <c r="F52">
        <f>wimbledons_champions!G113</f>
        <v>163</v>
      </c>
      <c r="G52" t="str">
        <f>wimbledons_champions!H113</f>
        <v>5-7, 6-3, 6-2, 3-6, 6-1</v>
      </c>
      <c r="H52" t="str">
        <f>wimbledons_champions!S113</f>
        <v>K.R. Rosewall</v>
      </c>
      <c r="I52" t="str">
        <f>wimbledons_champions!T113</f>
        <v>AUS</v>
      </c>
      <c r="J52">
        <f>wimbledons_champions!V113</f>
        <v>5</v>
      </c>
    </row>
    <row r="53" spans="1:10" x14ac:dyDescent="0.4">
      <c r="A53">
        <f>wimbledons_champions!A115</f>
        <v>1969</v>
      </c>
      <c r="B53" t="str">
        <f>wimbledons_champions!B115</f>
        <v>Men's</v>
      </c>
      <c r="C53" t="str">
        <f>wimbledons_champions!C115</f>
        <v>R.G. Laver</v>
      </c>
      <c r="D53" t="str">
        <f>wimbledons_champions!D115</f>
        <v>AUS</v>
      </c>
      <c r="E53">
        <f>wimbledons_champions!F115</f>
        <v>1</v>
      </c>
      <c r="F53">
        <f>wimbledons_champions!G115</f>
        <v>136</v>
      </c>
      <c r="G53" t="str">
        <f>wimbledons_champions!H115</f>
        <v>6-4, 5-7, 6-4, 6-4</v>
      </c>
      <c r="H53" t="str">
        <f>wimbledons_champions!S115</f>
        <v>J.D. Newcombe</v>
      </c>
      <c r="I53" t="str">
        <f>wimbledons_champions!T115</f>
        <v>AUS</v>
      </c>
      <c r="J53">
        <f>wimbledons_champions!V115</f>
        <v>6</v>
      </c>
    </row>
    <row r="54" spans="1:10" x14ac:dyDescent="0.4">
      <c r="A54">
        <f>wimbledons_champions!A117</f>
        <v>1968</v>
      </c>
      <c r="B54" t="str">
        <f>wimbledons_champions!B117</f>
        <v>Men's</v>
      </c>
      <c r="C54" t="str">
        <f>wimbledons_champions!C117</f>
        <v>R.G. Laver</v>
      </c>
      <c r="D54" t="str">
        <f>wimbledons_champions!D117</f>
        <v>AUS</v>
      </c>
      <c r="E54">
        <f>wimbledons_champions!F117</f>
        <v>1</v>
      </c>
      <c r="F54">
        <f>wimbledons_champions!G117</f>
        <v>60</v>
      </c>
      <c r="G54" t="str">
        <f>wimbledons_champions!H117</f>
        <v>6-3, 6-4, 6-2</v>
      </c>
      <c r="H54" t="str">
        <f>wimbledons_champions!S117</f>
        <v>A.D. Roche</v>
      </c>
      <c r="I54" t="str">
        <f>wimbledons_champions!T117</f>
        <v>AUS</v>
      </c>
      <c r="J54">
        <f>wimbledons_champions!V117</f>
        <v>15</v>
      </c>
    </row>
    <row r="55" spans="1:10" x14ac:dyDescent="0.4">
      <c r="A55">
        <f>wimbledons_champions!A119</f>
        <v>1967</v>
      </c>
      <c r="B55" t="str">
        <f>wimbledons_champions!B119</f>
        <v>Men's</v>
      </c>
      <c r="C55" t="str">
        <f>wimbledons_champions!C119</f>
        <v>J.D. Newcombe</v>
      </c>
      <c r="D55" t="str">
        <f>wimbledons_champions!D119</f>
        <v>AUS</v>
      </c>
      <c r="E55">
        <f>wimbledons_champions!F119</f>
        <v>3</v>
      </c>
      <c r="F55">
        <f>wimbledons_champions!G119</f>
        <v>71</v>
      </c>
      <c r="G55" t="str">
        <f>wimbledons_champions!H119</f>
        <v>6-3, 6-1, 6-1</v>
      </c>
      <c r="H55" t="str">
        <f>wimbledons_champions!S119</f>
        <v>W.P. Bungert</v>
      </c>
      <c r="I55" t="str">
        <f>wimbledons_champions!T119</f>
        <v>GER</v>
      </c>
      <c r="J55" t="str">
        <f>wimbledons_champions!V119</f>
        <v>U</v>
      </c>
    </row>
    <row r="56" spans="1:10" x14ac:dyDescent="0.4">
      <c r="A56">
        <f>wimbledons_champions!A121</f>
        <v>1966</v>
      </c>
      <c r="B56" t="str">
        <f>wimbledons_champions!B121</f>
        <v>Men's</v>
      </c>
      <c r="C56" t="str">
        <f>wimbledons_champions!C121</f>
        <v>M.M. Santana</v>
      </c>
      <c r="D56" t="str">
        <f>wimbledons_champions!D121</f>
        <v>ESP</v>
      </c>
      <c r="E56">
        <f>wimbledons_champions!F121</f>
        <v>4</v>
      </c>
      <c r="F56">
        <f>wimbledons_champions!G121</f>
        <v>104</v>
      </c>
      <c r="G56" t="str">
        <f>wimbledons_champions!H121</f>
        <v>6-4, 11-9, 6-4</v>
      </c>
      <c r="H56" t="str">
        <f>wimbledons_champions!S121</f>
        <v>R.D. Ralston</v>
      </c>
      <c r="I56" t="str">
        <f>wimbledons_champions!T121</f>
        <v>USA</v>
      </c>
      <c r="J56">
        <f>wimbledons_champions!V121</f>
        <v>6</v>
      </c>
    </row>
    <row r="57" spans="1:10" x14ac:dyDescent="0.4">
      <c r="A57">
        <f>wimbledons_champions!A123</f>
        <v>1965</v>
      </c>
      <c r="B57" t="str">
        <f>wimbledons_champions!B123</f>
        <v>Men's</v>
      </c>
      <c r="C57" t="str">
        <f>wimbledons_champions!C123</f>
        <v>R.S. Emerson</v>
      </c>
      <c r="D57" t="str">
        <f>wimbledons_champions!D123</f>
        <v>AUS</v>
      </c>
      <c r="E57">
        <f>wimbledons_champions!F123</f>
        <v>1</v>
      </c>
      <c r="F57">
        <f>wimbledons_champions!G123</f>
        <v>67</v>
      </c>
      <c r="G57" t="str">
        <f>wimbledons_champions!H123</f>
        <v>6-2, 6-4, 6-4</v>
      </c>
      <c r="H57" t="str">
        <f>wimbledons_champions!S123</f>
        <v>F.S. Stolle</v>
      </c>
      <c r="I57" t="str">
        <f>wimbledons_champions!T123</f>
        <v>AUS</v>
      </c>
      <c r="J57">
        <f>wimbledons_champions!V123</f>
        <v>2</v>
      </c>
    </row>
    <row r="58" spans="1:10" x14ac:dyDescent="0.4">
      <c r="A58">
        <f>wimbledons_champions!A125</f>
        <v>1964</v>
      </c>
      <c r="B58" t="str">
        <f>wimbledons_champions!B125</f>
        <v>Men's</v>
      </c>
      <c r="C58" t="str">
        <f>wimbledons_champions!C125</f>
        <v>R.S. Emerson</v>
      </c>
      <c r="D58" t="str">
        <f>wimbledons_champions!D125</f>
        <v>AUS</v>
      </c>
      <c r="E58">
        <f>wimbledons_champions!F125</f>
        <v>1</v>
      </c>
      <c r="F58">
        <f>wimbledons_champions!G125</f>
        <v>127</v>
      </c>
      <c r="G58" t="str">
        <f>wimbledons_champions!H125</f>
        <v>6-4, 12-10, 4-6, 6-3</v>
      </c>
      <c r="H58" t="str">
        <f>wimbledons_champions!S125</f>
        <v>F.S. Stolle</v>
      </c>
      <c r="I58" t="str">
        <f>wimbledons_champions!T125</f>
        <v>AUS</v>
      </c>
      <c r="J58">
        <f>wimbledons_champions!V125</f>
        <v>6</v>
      </c>
    </row>
    <row r="59" spans="1:10" x14ac:dyDescent="0.4">
      <c r="A59">
        <f>wimbledons_champions!A127</f>
        <v>1963</v>
      </c>
      <c r="B59" t="str">
        <f>wimbledons_champions!B127</f>
        <v>Men's</v>
      </c>
      <c r="C59" t="str">
        <f>wimbledons_champions!C127</f>
        <v>C.R. McKinley</v>
      </c>
      <c r="D59" t="str">
        <f>wimbledons_champions!D127</f>
        <v>USA</v>
      </c>
      <c r="E59">
        <f>wimbledons_champions!F127</f>
        <v>4</v>
      </c>
      <c r="F59">
        <f>wimbledons_champions!G127</f>
        <v>78</v>
      </c>
      <c r="G59" t="str">
        <f>wimbledons_champions!H127</f>
        <v>9-7, 6-1, 6-4</v>
      </c>
      <c r="H59" t="str">
        <f>wimbledons_champions!S127</f>
        <v>F.S. Stolle</v>
      </c>
      <c r="I59" t="str">
        <f>wimbledons_champions!T127</f>
        <v>AUS</v>
      </c>
      <c r="J59" t="str">
        <f>wimbledons_champions!V127</f>
        <v>U</v>
      </c>
    </row>
    <row r="60" spans="1:10" x14ac:dyDescent="0.4">
      <c r="A60">
        <f>wimbledons_champions!A129</f>
        <v>1962</v>
      </c>
      <c r="B60" t="str">
        <f>wimbledons_champions!B129</f>
        <v>Men's</v>
      </c>
      <c r="C60" t="str">
        <f>wimbledons_champions!C129</f>
        <v>R.G. Laver</v>
      </c>
      <c r="D60" t="str">
        <f>wimbledons_champions!D129</f>
        <v>AUS</v>
      </c>
      <c r="E60">
        <f>wimbledons_champions!F129</f>
        <v>1</v>
      </c>
      <c r="F60">
        <f>wimbledons_champions!G129</f>
        <v>51</v>
      </c>
      <c r="G60" t="str">
        <f>wimbledons_champions!H129</f>
        <v>6-2, 6-2, 6-1</v>
      </c>
      <c r="H60" t="str">
        <f>wimbledons_champions!S129</f>
        <v>M.F. Mulligan</v>
      </c>
      <c r="I60" t="str">
        <f>wimbledons_champions!T129</f>
        <v>AUS</v>
      </c>
      <c r="J60" t="str">
        <f>wimbledons_champions!V129</f>
        <v>U</v>
      </c>
    </row>
    <row r="61" spans="1:10" x14ac:dyDescent="0.4">
      <c r="A61">
        <f>wimbledons_champions!A131</f>
        <v>1961</v>
      </c>
      <c r="B61" t="str">
        <f>wimbledons_champions!B131</f>
        <v>Men's</v>
      </c>
      <c r="C61" t="str">
        <f>wimbledons_champions!C131</f>
        <v>R.G. Laver</v>
      </c>
      <c r="D61" t="str">
        <f>wimbledons_champions!D131</f>
        <v>AUS</v>
      </c>
      <c r="E61">
        <f>wimbledons_champions!F131</f>
        <v>2</v>
      </c>
      <c r="F61">
        <f>wimbledons_champions!G131</f>
        <v>55</v>
      </c>
      <c r="G61" t="str">
        <f>wimbledons_champions!H131</f>
        <v>6-3, 6-1, 6-4</v>
      </c>
      <c r="H61" t="str">
        <f>wimbledons_champions!S131</f>
        <v>C.R. McKinley</v>
      </c>
      <c r="I61" t="str">
        <f>wimbledons_champions!T131</f>
        <v>USA</v>
      </c>
      <c r="J61">
        <f>wimbledons_champions!V131</f>
        <v>8</v>
      </c>
    </row>
    <row r="62" spans="1:10" x14ac:dyDescent="0.4">
      <c r="A62">
        <f>wimbledons_champions!A133</f>
        <v>1960</v>
      </c>
      <c r="B62" t="str">
        <f>wimbledons_champions!B133</f>
        <v>Men's</v>
      </c>
      <c r="C62" t="str">
        <f>wimbledons_champions!C133</f>
        <v>N.A. Fraser</v>
      </c>
      <c r="D62" t="str">
        <f>wimbledons_champions!D133</f>
        <v>AUS</v>
      </c>
      <c r="E62">
        <f>wimbledons_champions!F133</f>
        <v>1</v>
      </c>
      <c r="F62">
        <f>wimbledons_champions!G133</f>
        <v>130</v>
      </c>
      <c r="G62" t="str">
        <f>wimbledons_champions!H133</f>
        <v>6-4, 3-6, 9-7, 7-5</v>
      </c>
      <c r="H62" t="str">
        <f>wimbledons_champions!S133</f>
        <v>R.G. Laver</v>
      </c>
      <c r="I62" t="str">
        <f>wimbledons_champions!T133</f>
        <v>AUS</v>
      </c>
      <c r="J62">
        <f>wimbledons_champions!V133</f>
        <v>3</v>
      </c>
    </row>
    <row r="63" spans="1:10" x14ac:dyDescent="0.4">
      <c r="A63">
        <f>wimbledons_champions!A135</f>
        <v>1959</v>
      </c>
      <c r="B63" t="str">
        <f>wimbledons_champions!B135</f>
        <v>Men's</v>
      </c>
      <c r="C63" t="str">
        <f>wimbledons_champions!C135</f>
        <v>A.R. Olmedo</v>
      </c>
      <c r="D63" t="str">
        <f>wimbledons_champions!D135</f>
        <v>USA</v>
      </c>
      <c r="E63">
        <f>wimbledons_champions!F135</f>
        <v>1</v>
      </c>
      <c r="F63">
        <f>wimbledons_champions!G135</f>
        <v>71</v>
      </c>
      <c r="G63" t="str">
        <f>wimbledons_champions!H135</f>
        <v>6-4, 6-3, 6-4</v>
      </c>
      <c r="H63" t="str">
        <f>wimbledons_champions!S135</f>
        <v>R.G. Laver</v>
      </c>
      <c r="I63" t="str">
        <f>wimbledons_champions!T135</f>
        <v>AUS</v>
      </c>
      <c r="J63" t="str">
        <f>wimbledons_champions!V135</f>
        <v>U</v>
      </c>
    </row>
    <row r="64" spans="1:10" x14ac:dyDescent="0.4">
      <c r="A64">
        <f>wimbledons_champions!A137</f>
        <v>1958</v>
      </c>
      <c r="B64" t="str">
        <f>wimbledons_champions!B137</f>
        <v>Men's</v>
      </c>
      <c r="C64" t="str">
        <f>wimbledons_champions!C137</f>
        <v>A.J. Cooper</v>
      </c>
      <c r="D64" t="str">
        <f>wimbledons_champions!D137</f>
        <v>AUS</v>
      </c>
      <c r="E64">
        <f>wimbledons_champions!F137</f>
        <v>1</v>
      </c>
      <c r="F64">
        <f>wimbledons_champions!G137</f>
        <v>130</v>
      </c>
      <c r="G64" t="str">
        <f>wimbledons_champions!H137</f>
        <v>3-6, 6-3, 6-4, 13-11</v>
      </c>
      <c r="H64" t="str">
        <f>wimbledons_champions!S137</f>
        <v>N.A. Fraser</v>
      </c>
      <c r="I64" t="str">
        <f>wimbledons_champions!T137</f>
        <v>AUS</v>
      </c>
      <c r="J64">
        <f>wimbledons_champions!V137</f>
        <v>4</v>
      </c>
    </row>
    <row r="65" spans="1:10" x14ac:dyDescent="0.4">
      <c r="A65">
        <f>wimbledons_champions!A139</f>
        <v>1957</v>
      </c>
      <c r="B65" t="str">
        <f>wimbledons_champions!B139</f>
        <v>Men's</v>
      </c>
      <c r="C65" t="str">
        <f>wimbledons_champions!C139</f>
        <v>L.A. Hoad</v>
      </c>
      <c r="D65" t="str">
        <f>wimbledons_champions!D139</f>
        <v>AUS</v>
      </c>
      <c r="E65">
        <f>wimbledons_champions!F139</f>
        <v>1</v>
      </c>
      <c r="F65">
        <f>wimbledons_champions!G139</f>
        <v>57</v>
      </c>
      <c r="G65" t="str">
        <f>wimbledons_champions!H139</f>
        <v>6-2, 6-1, 6-2</v>
      </c>
      <c r="H65" t="str">
        <f>wimbledons_champions!S139</f>
        <v>A.J. Cooper</v>
      </c>
      <c r="I65" t="str">
        <f>wimbledons_champions!T139</f>
        <v>AUS</v>
      </c>
      <c r="J65">
        <f>wimbledons_champions!V139</f>
        <v>2</v>
      </c>
    </row>
    <row r="66" spans="1:10" x14ac:dyDescent="0.4">
      <c r="A66">
        <f>wimbledons_champions!A141</f>
        <v>1956</v>
      </c>
      <c r="B66" t="str">
        <f>wimbledons_champions!B141</f>
        <v>Men's</v>
      </c>
      <c r="C66" t="str">
        <f>wimbledons_champions!C141</f>
        <v>L.A. Hoad</v>
      </c>
      <c r="D66" t="str">
        <f>wimbledons_champions!D141</f>
        <v>AUS</v>
      </c>
      <c r="E66">
        <f>wimbledons_champions!F141</f>
        <v>1</v>
      </c>
      <c r="F66">
        <f>wimbledons_champions!G141</f>
        <v>117</v>
      </c>
      <c r="G66" t="str">
        <f>wimbledons_champions!H141</f>
        <v>6-2, 4-6, 7-5, 6-4</v>
      </c>
      <c r="H66" t="str">
        <f>wimbledons_champions!S141</f>
        <v>K.R. Rosewall</v>
      </c>
      <c r="I66" t="str">
        <f>wimbledons_champions!T141</f>
        <v>AUS</v>
      </c>
      <c r="J66">
        <f>wimbledons_champions!V141</f>
        <v>2</v>
      </c>
    </row>
    <row r="67" spans="1:10" x14ac:dyDescent="0.4">
      <c r="A67">
        <f>wimbledons_champions!A143</f>
        <v>1955</v>
      </c>
      <c r="B67" t="str">
        <f>wimbledons_champions!B143</f>
        <v>Men's</v>
      </c>
      <c r="C67" t="str">
        <f>wimbledons_champions!C143</f>
        <v>M.A. Trabert</v>
      </c>
      <c r="D67" t="str">
        <f>wimbledons_champions!D143</f>
        <v>USA</v>
      </c>
      <c r="E67">
        <f>wimbledons_champions!F143</f>
        <v>1</v>
      </c>
      <c r="F67">
        <f>wimbledons_champions!G143</f>
        <v>73</v>
      </c>
      <c r="G67" t="str">
        <f>wimbledons_champions!H143</f>
        <v>6-3, 7-5, 6-1</v>
      </c>
      <c r="H67" t="str">
        <f>wimbledons_champions!S143</f>
        <v>K. Nielsen</v>
      </c>
      <c r="I67" t="str">
        <f>wimbledons_champions!T143</f>
        <v>DEN</v>
      </c>
      <c r="J67" t="str">
        <f>wimbledons_champions!V143</f>
        <v>U</v>
      </c>
    </row>
    <row r="68" spans="1:10" x14ac:dyDescent="0.4">
      <c r="A68">
        <f>wimbledons_champions!A145</f>
        <v>1954</v>
      </c>
      <c r="B68" t="str">
        <f>wimbledons_champions!B145</f>
        <v>Men's</v>
      </c>
      <c r="C68" t="str">
        <f>wimbledons_champions!C145</f>
        <v>J. Drobny</v>
      </c>
      <c r="D68" t="str">
        <f>wimbledons_champions!D145</f>
        <v>CZE</v>
      </c>
      <c r="E68">
        <f>wimbledons_champions!F145</f>
        <v>11</v>
      </c>
      <c r="F68">
        <f>wimbledons_champions!G145</f>
        <v>157</v>
      </c>
      <c r="G68" t="str">
        <f>wimbledons_champions!H145</f>
        <v>13-11, 4-6, 6-2, 9-7</v>
      </c>
      <c r="H68" t="str">
        <f>wimbledons_champions!S145</f>
        <v>K.R. Rosewall</v>
      </c>
      <c r="I68" t="str">
        <f>wimbledons_champions!T145</f>
        <v>AUS</v>
      </c>
      <c r="J68">
        <f>wimbledons_champions!V145</f>
        <v>3</v>
      </c>
    </row>
    <row r="69" spans="1:10" x14ac:dyDescent="0.4">
      <c r="A69">
        <f>wimbledons_champions!A147</f>
        <v>1953</v>
      </c>
      <c r="B69" t="str">
        <f>wimbledons_champions!B147</f>
        <v>Men's</v>
      </c>
      <c r="C69" t="str">
        <f>wimbledons_champions!C147</f>
        <v>E.V. Seixas</v>
      </c>
      <c r="D69" t="str">
        <f>wimbledons_champions!D147</f>
        <v>USA</v>
      </c>
      <c r="E69">
        <f>wimbledons_champions!F147</f>
        <v>2</v>
      </c>
      <c r="F69">
        <f>wimbledons_champions!G147</f>
        <v>80</v>
      </c>
      <c r="G69" t="str">
        <f>wimbledons_champions!H147</f>
        <v>9-7, 6-3, 6-4</v>
      </c>
      <c r="H69" t="str">
        <f>wimbledons_champions!S147</f>
        <v>K. Nielsen</v>
      </c>
      <c r="I69" t="str">
        <f>wimbledons_champions!T147</f>
        <v>DEN</v>
      </c>
      <c r="J69" t="str">
        <f>wimbledons_champions!V147</f>
        <v>U</v>
      </c>
    </row>
    <row r="70" spans="1:10" x14ac:dyDescent="0.4">
      <c r="A70">
        <f>wimbledons_champions!A149</f>
        <v>1952</v>
      </c>
      <c r="B70" t="str">
        <f>wimbledons_champions!B149</f>
        <v>Men's</v>
      </c>
      <c r="C70" t="str">
        <f>wimbledons_champions!C149</f>
        <v>F.A. Sedgman</v>
      </c>
      <c r="D70" t="str">
        <f>wimbledons_champions!D149</f>
        <v>AUS</v>
      </c>
      <c r="E70">
        <f>wimbledons_champions!F149</f>
        <v>1</v>
      </c>
      <c r="F70">
        <f>wimbledons_champions!G149</f>
        <v>80</v>
      </c>
      <c r="G70" t="str">
        <f>wimbledons_champions!H149</f>
        <v>4-6, 6-2, 6-3, 6-2</v>
      </c>
      <c r="H70" t="str">
        <f>wimbledons_champions!S149</f>
        <v>J. Drobny</v>
      </c>
      <c r="I70" t="str">
        <f>wimbledons_champions!T149</f>
        <v>CZE</v>
      </c>
      <c r="J70">
        <f>wimbledons_champions!V149</f>
        <v>2</v>
      </c>
    </row>
    <row r="71" spans="1:10" x14ac:dyDescent="0.4">
      <c r="A71">
        <f>wimbledons_champions!A151</f>
        <v>1951</v>
      </c>
      <c r="B71" t="str">
        <f>wimbledons_champions!B151</f>
        <v>Men's</v>
      </c>
      <c r="C71" t="str">
        <f>wimbledons_champions!C151</f>
        <v>R. Savitt</v>
      </c>
      <c r="D71" t="str">
        <f>wimbledons_champions!D151</f>
        <v>USA</v>
      </c>
      <c r="E71">
        <f>wimbledons_champions!F151</f>
        <v>6</v>
      </c>
      <c r="F71">
        <f>wimbledons_champions!G151</f>
        <v>62</v>
      </c>
      <c r="G71" t="str">
        <f>wimbledons_champions!H151</f>
        <v>6-4, 6-4, 6-4</v>
      </c>
      <c r="H71" t="str">
        <f>wimbledons_champions!S151</f>
        <v>K.B. McGregor</v>
      </c>
      <c r="I71" t="str">
        <f>wimbledons_champions!T151</f>
        <v>AUS</v>
      </c>
      <c r="J71">
        <f>wimbledons_champions!V151</f>
        <v>7</v>
      </c>
    </row>
    <row r="72" spans="1:10" x14ac:dyDescent="0.4">
      <c r="A72">
        <f>wimbledons_champions!A153</f>
        <v>1950</v>
      </c>
      <c r="B72" t="str">
        <f>wimbledons_champions!B153</f>
        <v>Men's</v>
      </c>
      <c r="C72" t="str">
        <f>wimbledons_champions!C153</f>
        <v>J.E. Patty</v>
      </c>
      <c r="D72" t="str">
        <f>wimbledons_champions!D153</f>
        <v>USA</v>
      </c>
      <c r="E72">
        <f>wimbledons_champions!F153</f>
        <v>5</v>
      </c>
      <c r="F72">
        <f>wimbledons_champions!G153</f>
        <v>120</v>
      </c>
      <c r="G72" t="str">
        <f>wimbledons_champions!H153</f>
        <v>6-1, 8-10, 6-2, 6-3</v>
      </c>
      <c r="H72" t="str">
        <f>wimbledons_champions!S153</f>
        <v>F.A. Sedgman</v>
      </c>
      <c r="I72" t="str">
        <f>wimbledons_champions!T153</f>
        <v>AUS</v>
      </c>
      <c r="J72">
        <f>wimbledons_champions!V153</f>
        <v>1</v>
      </c>
    </row>
    <row r="73" spans="1:10" x14ac:dyDescent="0.4">
      <c r="A73">
        <f>wimbledons_champions!A155</f>
        <v>1949</v>
      </c>
      <c r="B73" t="str">
        <f>wimbledons_champions!B155</f>
        <v>Men's</v>
      </c>
      <c r="C73" t="str">
        <f>wimbledons_champions!C155</f>
        <v>F.R. Schroeder</v>
      </c>
      <c r="D73" t="str">
        <f>wimbledons_champions!D155</f>
        <v>USA</v>
      </c>
      <c r="E73">
        <f>wimbledons_champions!F155</f>
        <v>1</v>
      </c>
      <c r="F73">
        <f>wimbledons_champions!G155</f>
        <v>100</v>
      </c>
      <c r="G73" t="str">
        <f>wimbledons_champions!H155</f>
        <v>3-6, 6-0, 6-3, 4-6, 6-4</v>
      </c>
      <c r="H73" t="str">
        <f>wimbledons_champions!S155</f>
        <v>J. Drobny</v>
      </c>
      <c r="I73" t="str">
        <f>wimbledons_champions!T155</f>
        <v>CZE</v>
      </c>
      <c r="J73">
        <f>wimbledons_champions!V155</f>
        <v>6</v>
      </c>
    </row>
    <row r="74" spans="1:10" x14ac:dyDescent="0.4">
      <c r="A74">
        <f>wimbledons_champions!A157</f>
        <v>1948</v>
      </c>
      <c r="B74" t="str">
        <f>wimbledons_champions!B157</f>
        <v>Men's</v>
      </c>
      <c r="C74" t="str">
        <f>wimbledons_champions!C157</f>
        <v>R. Falkenburg</v>
      </c>
      <c r="D74" t="str">
        <f>wimbledons_champions!D157</f>
        <v>USA</v>
      </c>
      <c r="E74">
        <f>wimbledons_champions!F157</f>
        <v>7</v>
      </c>
      <c r="F74">
        <f>wimbledons_champions!G157</f>
        <v>125</v>
      </c>
      <c r="G74" t="str">
        <f>wimbledons_champions!H157</f>
        <v>7-5, 0-6, 6-2, 3-6, 7-5</v>
      </c>
      <c r="H74" t="str">
        <f>wimbledons_champions!S157</f>
        <v>J.E. Bromwich</v>
      </c>
      <c r="I74" t="str">
        <f>wimbledons_champions!T157</f>
        <v>AUS</v>
      </c>
      <c r="J74">
        <f>wimbledons_champions!V157</f>
        <v>2</v>
      </c>
    </row>
    <row r="75" spans="1:10" x14ac:dyDescent="0.4">
      <c r="A75">
        <f>wimbledons_champions!A159</f>
        <v>1947</v>
      </c>
      <c r="B75" t="str">
        <f>wimbledons_champions!B159</f>
        <v>Men's</v>
      </c>
      <c r="C75" t="str">
        <f>wimbledons_champions!C159</f>
        <v>J.A. Kramer</v>
      </c>
      <c r="D75" t="str">
        <f>wimbledons_champions!D159</f>
        <v>USA</v>
      </c>
      <c r="E75">
        <f>wimbledons_champions!F159</f>
        <v>1</v>
      </c>
      <c r="F75">
        <f>wimbledons_champions!G159</f>
        <v>45</v>
      </c>
      <c r="G75" t="str">
        <f>wimbledons_champions!H159</f>
        <v>6-1, 6-3, 6-2</v>
      </c>
      <c r="H75" t="str">
        <f>wimbledons_champions!S159</f>
        <v>T.P. Brown</v>
      </c>
      <c r="I75" t="str">
        <f>wimbledons_champions!T159</f>
        <v>USA</v>
      </c>
      <c r="J75">
        <f>wimbledons_champions!V159</f>
        <v>3</v>
      </c>
    </row>
    <row r="76" spans="1:10" x14ac:dyDescent="0.4">
      <c r="A76">
        <f>wimbledons_champions!A161</f>
        <v>1946</v>
      </c>
      <c r="B76" t="str">
        <f>wimbledons_champions!B161</f>
        <v>Men's</v>
      </c>
      <c r="C76" t="str">
        <f>wimbledons_champions!C161</f>
        <v>Y.F.M. Petra</v>
      </c>
      <c r="D76" t="str">
        <f>wimbledons_champions!D161</f>
        <v>FRA</v>
      </c>
      <c r="E76">
        <f>wimbledons_champions!F161</f>
        <v>5</v>
      </c>
      <c r="F76">
        <f>wimbledons_champions!G161</f>
        <v>0</v>
      </c>
      <c r="G76" t="str">
        <f>wimbledons_champions!H161</f>
        <v>6-2, 6-4, 7-9, 5-7, 6-4</v>
      </c>
      <c r="H76" t="str">
        <f>wimbledons_champions!S161</f>
        <v>G.E. Brown</v>
      </c>
      <c r="I76" t="str">
        <f>wimbledons_champions!T161</f>
        <v>AUS</v>
      </c>
      <c r="J76">
        <f>wimbledons_champions!V161</f>
        <v>3</v>
      </c>
    </row>
    <row r="77" spans="1:10" x14ac:dyDescent="0.4">
      <c r="A77">
        <f>wimbledons_champions!A163</f>
        <v>1939</v>
      </c>
      <c r="B77" t="str">
        <f>wimbledons_champions!B163</f>
        <v>Men's</v>
      </c>
      <c r="C77" t="str">
        <f>wimbledons_champions!C163</f>
        <v>R.L. Riggs</v>
      </c>
      <c r="D77" t="str">
        <f>wimbledons_champions!D163</f>
        <v>USA</v>
      </c>
      <c r="E77">
        <f>wimbledons_champions!F163</f>
        <v>2</v>
      </c>
      <c r="F77">
        <f>wimbledons_champions!G163</f>
        <v>135</v>
      </c>
      <c r="G77" t="str">
        <f>wimbledons_champions!H163</f>
        <v>2-6, 8-6, 3-6, 6-3, 6-2</v>
      </c>
      <c r="H77" t="str">
        <f>wimbledons_champions!S163</f>
        <v>E.T. Cooke</v>
      </c>
      <c r="I77" t="str">
        <f>wimbledons_champions!T163</f>
        <v>USA</v>
      </c>
      <c r="J77">
        <f>wimbledons_champions!V163</f>
        <v>6</v>
      </c>
    </row>
    <row r="78" spans="1:10" x14ac:dyDescent="0.4">
      <c r="A78">
        <f>wimbledons_champions!A165</f>
        <v>1938</v>
      </c>
      <c r="B78" t="str">
        <f>wimbledons_champions!B165</f>
        <v>Men's</v>
      </c>
      <c r="C78" t="str">
        <f>wimbledons_champions!C165</f>
        <v>J.D. Budge</v>
      </c>
      <c r="D78" t="str">
        <f>wimbledons_champions!D165</f>
        <v>USA</v>
      </c>
      <c r="E78">
        <f>wimbledons_champions!F165</f>
        <v>1</v>
      </c>
      <c r="F78">
        <f>wimbledons_champions!G165</f>
        <v>59</v>
      </c>
      <c r="G78" t="str">
        <f>wimbledons_champions!H165</f>
        <v>6-1, 6-0, 6-3</v>
      </c>
      <c r="H78" t="str">
        <f>wimbledons_champions!S165</f>
        <v>H.W. Austin</v>
      </c>
      <c r="I78" t="str">
        <f>wimbledons_champions!T165</f>
        <v>GBR</v>
      </c>
      <c r="J78">
        <f>wimbledons_champions!V165</f>
        <v>2</v>
      </c>
    </row>
    <row r="79" spans="1:10" x14ac:dyDescent="0.4">
      <c r="A79">
        <f>wimbledons_champions!A167</f>
        <v>1937</v>
      </c>
      <c r="B79" t="str">
        <f>wimbledons_champions!B167</f>
        <v>Men's</v>
      </c>
      <c r="C79" t="str">
        <f>wimbledons_champions!C167</f>
        <v>J.D. Budge</v>
      </c>
      <c r="D79" t="str">
        <f>wimbledons_champions!D167</f>
        <v>USA</v>
      </c>
      <c r="E79">
        <f>wimbledons_champions!F167</f>
        <v>1</v>
      </c>
      <c r="F79">
        <f>wimbledons_champions!G167</f>
        <v>65</v>
      </c>
      <c r="G79" t="str">
        <f>wimbledons_champions!H167</f>
        <v>6-3, 6-4, 6-2</v>
      </c>
      <c r="H79" t="str">
        <f>wimbledons_champions!S167</f>
        <v>G. von Cramm</v>
      </c>
      <c r="I79" t="str">
        <f>wimbledons_champions!T167</f>
        <v>GER</v>
      </c>
      <c r="J79">
        <f>wimbledons_champions!V167</f>
        <v>2</v>
      </c>
    </row>
    <row r="80" spans="1:10" x14ac:dyDescent="0.4">
      <c r="A80">
        <f>wimbledons_champions!A169</f>
        <v>1936</v>
      </c>
      <c r="B80" t="str">
        <f>wimbledons_champions!B169</f>
        <v>Men's</v>
      </c>
      <c r="C80" t="str">
        <f>wimbledons_champions!C169</f>
        <v>F.J. Perry</v>
      </c>
      <c r="D80" t="str">
        <f>wimbledons_champions!D169</f>
        <v>GBR</v>
      </c>
      <c r="E80">
        <f>wimbledons_champions!F169</f>
        <v>1</v>
      </c>
      <c r="F80">
        <f>wimbledons_champions!G169</f>
        <v>40</v>
      </c>
      <c r="G80" t="str">
        <f>wimbledons_champions!H169</f>
        <v>6-1, 6-1, 6-0</v>
      </c>
      <c r="H80" t="str">
        <f>wimbledons_champions!S169</f>
        <v>G. von Cramm</v>
      </c>
      <c r="I80" t="str">
        <f>wimbledons_champions!T169</f>
        <v>GER</v>
      </c>
      <c r="J80">
        <f>wimbledons_champions!V169</f>
        <v>2</v>
      </c>
    </row>
    <row r="81" spans="1:10" x14ac:dyDescent="0.4">
      <c r="A81">
        <f>wimbledons_champions!A171</f>
        <v>1935</v>
      </c>
      <c r="B81" t="str">
        <f>wimbledons_champions!B171</f>
        <v>Men's</v>
      </c>
      <c r="C81" t="str">
        <f>wimbledons_champions!C171</f>
        <v>F.J. Perry</v>
      </c>
      <c r="D81" t="str">
        <f>wimbledons_champions!D171</f>
        <v>GBR</v>
      </c>
      <c r="E81">
        <f>wimbledons_champions!F171</f>
        <v>1</v>
      </c>
      <c r="F81">
        <f>wimbledons_champions!G171</f>
        <v>80</v>
      </c>
      <c r="G81" t="str">
        <f>wimbledons_champions!H171</f>
        <v>6-2, 6-4, 6-4</v>
      </c>
      <c r="H81" t="str">
        <f>wimbledons_champions!S171</f>
        <v>G. von Cramm</v>
      </c>
      <c r="I81" t="str">
        <f>wimbledons_champions!T171</f>
        <v>GER</v>
      </c>
      <c r="J81">
        <f>wimbledons_champions!V171</f>
        <v>2</v>
      </c>
    </row>
    <row r="82" spans="1:10" x14ac:dyDescent="0.4">
      <c r="A82">
        <f>wimbledons_champions!A173</f>
        <v>1934</v>
      </c>
      <c r="B82" t="str">
        <f>wimbledons_champions!B173</f>
        <v>Men's</v>
      </c>
      <c r="C82" t="str">
        <f>wimbledons_champions!C173</f>
        <v>F.J. Perry</v>
      </c>
      <c r="D82" t="str">
        <f>wimbledons_champions!D173</f>
        <v>GBR</v>
      </c>
      <c r="E82">
        <f>wimbledons_champions!F173</f>
        <v>2</v>
      </c>
      <c r="F82">
        <f>wimbledons_champions!G173</f>
        <v>72</v>
      </c>
      <c r="G82" t="str">
        <f>wimbledons_champions!H173</f>
        <v>6-3, 6-0, 7-5</v>
      </c>
      <c r="H82" t="str">
        <f>wimbledons_champions!S173</f>
        <v>J.H. Crawford</v>
      </c>
      <c r="I82" t="str">
        <f>wimbledons_champions!T173</f>
        <v>AUS</v>
      </c>
      <c r="J82">
        <f>wimbledons_champions!V173</f>
        <v>1</v>
      </c>
    </row>
    <row r="83" spans="1:10" x14ac:dyDescent="0.4">
      <c r="A83">
        <f>wimbledons_champions!A175</f>
        <v>1933</v>
      </c>
      <c r="B83" t="str">
        <f>wimbledons_champions!B175</f>
        <v>Men's</v>
      </c>
      <c r="C83" t="str">
        <f>wimbledons_champions!C175</f>
        <v>J.H. Crawford</v>
      </c>
      <c r="D83" t="str">
        <f>wimbledons_champions!D175</f>
        <v>AUS</v>
      </c>
      <c r="E83">
        <f>wimbledons_champions!F175</f>
        <v>2</v>
      </c>
      <c r="F83">
        <f>wimbledons_champions!G175</f>
        <v>120</v>
      </c>
      <c r="G83" t="str">
        <f>wimbledons_champions!H175</f>
        <v>4-6, 11-9, 6-2, 2-6, 6-4</v>
      </c>
      <c r="H83" t="str">
        <f>wimbledons_champions!S175</f>
        <v>H.E. Vines</v>
      </c>
      <c r="I83" t="str">
        <f>wimbledons_champions!T175</f>
        <v>USA</v>
      </c>
      <c r="J83">
        <f>wimbledons_champions!V175</f>
        <v>1</v>
      </c>
    </row>
    <row r="84" spans="1:10" x14ac:dyDescent="0.4">
      <c r="A84">
        <f>wimbledons_champions!A177</f>
        <v>1932</v>
      </c>
      <c r="B84" t="str">
        <f>wimbledons_champions!B177</f>
        <v>Men's</v>
      </c>
      <c r="C84" t="str">
        <f>wimbledons_champions!C177</f>
        <v>H.E. Vines</v>
      </c>
      <c r="D84" t="str">
        <f>wimbledons_champions!D177</f>
        <v>USA</v>
      </c>
      <c r="E84">
        <f>wimbledons_champions!F177</f>
        <v>2</v>
      </c>
      <c r="F84">
        <f>wimbledons_champions!G177</f>
        <v>50</v>
      </c>
      <c r="G84" t="str">
        <f>wimbledons_champions!H177</f>
        <v>6-2, 6-2, 6-0</v>
      </c>
      <c r="H84" t="str">
        <f>wimbledons_champions!S177</f>
        <v>H.W. Austin</v>
      </c>
      <c r="I84" t="str">
        <f>wimbledons_champions!T177</f>
        <v>GBR</v>
      </c>
      <c r="J84">
        <f>wimbledons_champions!V177</f>
        <v>6</v>
      </c>
    </row>
    <row r="85" spans="1:10" x14ac:dyDescent="0.4">
      <c r="A85">
        <f>wimbledons_champions!A179</f>
        <v>1931</v>
      </c>
      <c r="B85" t="str">
        <f>wimbledons_champions!B179</f>
        <v>Men's</v>
      </c>
      <c r="C85" t="str">
        <f>wimbledons_champions!C179</f>
        <v>S.B.B. Wood</v>
      </c>
      <c r="D85" t="str">
        <f>wimbledons_champions!D179</f>
        <v>USA</v>
      </c>
      <c r="E85">
        <f>wimbledons_champions!F179</f>
        <v>7</v>
      </c>
      <c r="F85">
        <f>wimbledons_champions!G179</f>
        <v>0</v>
      </c>
      <c r="G85" t="str">
        <f>wimbledons_champions!H179</f>
        <v>walk over</v>
      </c>
      <c r="H85" t="str">
        <f>wimbledons_champions!S179</f>
        <v>F.X. Shields</v>
      </c>
      <c r="I85" t="str">
        <f>wimbledons_champions!T179</f>
        <v>USA</v>
      </c>
      <c r="J85">
        <f>wimbledons_champions!V179</f>
        <v>3</v>
      </c>
    </row>
    <row r="86" spans="1:10" x14ac:dyDescent="0.4">
      <c r="A86">
        <f>wimbledons_champions!A181</f>
        <v>1930</v>
      </c>
      <c r="B86" t="str">
        <f>wimbledons_champions!B181</f>
        <v>Men's</v>
      </c>
      <c r="C86" t="str">
        <f>wimbledons_champions!C181</f>
        <v>W.T. Tilden</v>
      </c>
      <c r="D86" t="str">
        <f>wimbledons_champions!D181</f>
        <v>USA</v>
      </c>
      <c r="E86">
        <f>wimbledons_champions!F181</f>
        <v>2</v>
      </c>
      <c r="F86">
        <f>wimbledons_champions!G181</f>
        <v>70</v>
      </c>
      <c r="G86" t="str">
        <f>wimbledons_champions!H181</f>
        <v>6-3, 9-7, 6-4</v>
      </c>
      <c r="H86" t="str">
        <f>wimbledons_champions!S181</f>
        <v>W.L. Allison</v>
      </c>
      <c r="I86" t="str">
        <f>wimbledons_champions!T181</f>
        <v>USA</v>
      </c>
      <c r="J86" t="str">
        <f>wimbledons_champions!V181</f>
        <v>U</v>
      </c>
    </row>
    <row r="87" spans="1:10" x14ac:dyDescent="0.4">
      <c r="A87">
        <f>wimbledons_champions!A183</f>
        <v>1929</v>
      </c>
      <c r="B87" t="str">
        <f>wimbledons_champions!B183</f>
        <v>Men's</v>
      </c>
      <c r="C87" t="str">
        <f>wimbledons_champions!C183</f>
        <v>H.J. Cochet</v>
      </c>
      <c r="D87" t="str">
        <f>wimbledons_champions!D183</f>
        <v>FRA</v>
      </c>
      <c r="E87">
        <f>wimbledons_champions!F183</f>
        <v>1</v>
      </c>
      <c r="F87">
        <f>wimbledons_champions!G183</f>
        <v>60</v>
      </c>
      <c r="G87" t="str">
        <f>wimbledons_champions!H183</f>
        <v>6-4, 6-3, 6-4</v>
      </c>
      <c r="H87" t="str">
        <f>wimbledons_champions!S183</f>
        <v>J.R. Borotra</v>
      </c>
      <c r="I87" t="str">
        <f>wimbledons_champions!T183</f>
        <v>FRA</v>
      </c>
      <c r="J87">
        <f>wimbledons_champions!V183</f>
        <v>2</v>
      </c>
    </row>
    <row r="88" spans="1:10" x14ac:dyDescent="0.4">
      <c r="A88">
        <f>wimbledons_champions!A185</f>
        <v>1928</v>
      </c>
      <c r="B88" t="str">
        <f>wimbledons_champions!B185</f>
        <v>Men's</v>
      </c>
      <c r="C88" t="str">
        <f>wimbledons_champions!C185</f>
        <v>J.R. Lacoste</v>
      </c>
      <c r="D88" t="str">
        <f>wimbledons_champions!D185</f>
        <v>FRA</v>
      </c>
      <c r="E88">
        <f>wimbledons_champions!F185</f>
        <v>2</v>
      </c>
      <c r="F88">
        <f>wimbledons_champions!G185</f>
        <v>0</v>
      </c>
      <c r="G88" t="str">
        <f>wimbledons_champions!H185</f>
        <v>6-1, 4-6, 6-4, 6-2</v>
      </c>
      <c r="H88" t="str">
        <f>wimbledons_champions!S185</f>
        <v>H.J. Cochet</v>
      </c>
      <c r="I88" t="str">
        <f>wimbledons_champions!T185</f>
        <v>FRA</v>
      </c>
      <c r="J88">
        <f>wimbledons_champions!V185</f>
        <v>1</v>
      </c>
    </row>
    <row r="89" spans="1:10" x14ac:dyDescent="0.4">
      <c r="A89">
        <f>wimbledons_champions!A187</f>
        <v>1927</v>
      </c>
      <c r="B89" t="str">
        <f>wimbledons_champions!B187</f>
        <v>Men's</v>
      </c>
      <c r="C89" t="str">
        <f>wimbledons_champions!C187</f>
        <v>H.J. Cochet</v>
      </c>
      <c r="D89" t="str">
        <f>wimbledons_champions!D187</f>
        <v>FRA</v>
      </c>
      <c r="E89">
        <f>wimbledons_champions!F187</f>
        <v>4</v>
      </c>
      <c r="F89">
        <f>wimbledons_champions!G187</f>
        <v>0</v>
      </c>
      <c r="G89" t="str">
        <f>wimbledons_champions!H187</f>
        <v>4-6, 4-6, 6-3, 6-4, 7-5</v>
      </c>
      <c r="H89" t="str">
        <f>wimbledons_champions!S187</f>
        <v>J.R. Borotra</v>
      </c>
      <c r="I89" t="str">
        <f>wimbledons_champions!T187</f>
        <v>FRA</v>
      </c>
      <c r="J89">
        <f>wimbledons_champions!V187</f>
        <v>3</v>
      </c>
    </row>
    <row r="90" spans="1:10" x14ac:dyDescent="0.4">
      <c r="A90">
        <f>wimbledons_champions!A189</f>
        <v>1926</v>
      </c>
      <c r="B90" t="str">
        <f>wimbledons_champions!B189</f>
        <v>Men's</v>
      </c>
      <c r="C90" t="str">
        <f>wimbledons_champions!C189</f>
        <v>J.R. Borotra</v>
      </c>
      <c r="D90" t="str">
        <f>wimbledons_champions!D189</f>
        <v>FRA</v>
      </c>
      <c r="E90">
        <f>wimbledons_champions!F189</f>
        <v>0</v>
      </c>
      <c r="F90">
        <f>wimbledons_champions!G189</f>
        <v>65</v>
      </c>
      <c r="G90" t="str">
        <f>wimbledons_champions!H189</f>
        <v>8-6, 6-1, 6-3</v>
      </c>
      <c r="H90" t="str">
        <f>wimbledons_champions!S189</f>
        <v>H.O. Kinsey</v>
      </c>
      <c r="I90" t="str">
        <f>wimbledons_champions!T189</f>
        <v>USA</v>
      </c>
      <c r="J90">
        <f>wimbledons_champions!V189</f>
        <v>0</v>
      </c>
    </row>
    <row r="91" spans="1:10" x14ac:dyDescent="0.4">
      <c r="A91">
        <f>wimbledons_champions!A191</f>
        <v>1925</v>
      </c>
      <c r="B91" t="str">
        <f>wimbledons_champions!B191</f>
        <v>Men's</v>
      </c>
      <c r="C91" t="str">
        <f>wimbledons_champions!C191</f>
        <v>J.R. Lacoste</v>
      </c>
      <c r="D91" t="str">
        <f>wimbledons_champions!D191</f>
        <v>FRA</v>
      </c>
      <c r="E91">
        <f>wimbledons_champions!F191</f>
        <v>0</v>
      </c>
      <c r="F91">
        <f>wimbledons_champions!G191</f>
        <v>0</v>
      </c>
      <c r="G91" t="str">
        <f>wimbledons_champions!H191</f>
        <v>6-3, 6-3, 4-6, 8-6</v>
      </c>
      <c r="H91" t="str">
        <f>wimbledons_champions!S191</f>
        <v>J.R. Borotra</v>
      </c>
      <c r="I91" t="str">
        <f>wimbledons_champions!T191</f>
        <v>FRA</v>
      </c>
      <c r="J91">
        <f>wimbledons_champions!V191</f>
        <v>0</v>
      </c>
    </row>
    <row r="92" spans="1:10" x14ac:dyDescent="0.4">
      <c r="A92">
        <f>wimbledons_champions!A193</f>
        <v>1924</v>
      </c>
      <c r="B92" t="str">
        <f>wimbledons_champions!B193</f>
        <v>Men's</v>
      </c>
      <c r="C92" t="str">
        <f>wimbledons_champions!C193</f>
        <v>J.R. Borotra</v>
      </c>
      <c r="D92" t="str">
        <f>wimbledons_champions!D193</f>
        <v>FRA</v>
      </c>
      <c r="E92">
        <f>wimbledons_champions!F193</f>
        <v>0</v>
      </c>
      <c r="F92">
        <f>wimbledons_champions!G193</f>
        <v>80</v>
      </c>
      <c r="G92" t="str">
        <f>wimbledons_champions!H193</f>
        <v>6-1, 3-6, 6-1, 3-6, 6-4</v>
      </c>
      <c r="H92" t="str">
        <f>wimbledons_champions!S193</f>
        <v>J.R. Lacoste</v>
      </c>
      <c r="I92" t="str">
        <f>wimbledons_champions!T193</f>
        <v>FRA</v>
      </c>
      <c r="J92">
        <f>wimbledons_champions!V193</f>
        <v>0</v>
      </c>
    </row>
    <row r="93" spans="1:10" x14ac:dyDescent="0.4">
      <c r="A93">
        <f>wimbledons_champions!A195</f>
        <v>1923</v>
      </c>
      <c r="B93" t="str">
        <f>wimbledons_champions!B195</f>
        <v>Men's</v>
      </c>
      <c r="C93" t="str">
        <f>wimbledons_champions!C195</f>
        <v>W. M. Johnston</v>
      </c>
      <c r="D93" t="str">
        <f>wimbledons_champions!D195</f>
        <v>USA</v>
      </c>
      <c r="E93">
        <f>wimbledons_champions!F195</f>
        <v>0</v>
      </c>
      <c r="F93">
        <f>wimbledons_champions!G195</f>
        <v>46</v>
      </c>
      <c r="G93" t="str">
        <f>wimbledons_champions!H195</f>
        <v>6-0, 6-3, 6-1</v>
      </c>
      <c r="H93" t="str">
        <f>wimbledons_champions!S195</f>
        <v>F.T. Hunter</v>
      </c>
      <c r="I93" t="str">
        <f>wimbledons_champions!T195</f>
        <v>USA</v>
      </c>
      <c r="J93">
        <f>wimbledons_champions!V195</f>
        <v>0</v>
      </c>
    </row>
    <row r="94" spans="1:10" x14ac:dyDescent="0.4">
      <c r="A94">
        <f>wimbledons_champions!A197</f>
        <v>1922</v>
      </c>
      <c r="B94" t="str">
        <f>wimbledons_champions!B197</f>
        <v>Men's</v>
      </c>
      <c r="C94" t="str">
        <f>wimbledons_champions!C197</f>
        <v>G.L. Patterson</v>
      </c>
      <c r="D94" t="str">
        <f>wimbledons_champions!D197</f>
        <v>AUS</v>
      </c>
      <c r="E94">
        <f>wimbledons_champions!F197</f>
        <v>0</v>
      </c>
      <c r="F94">
        <f>wimbledons_champions!G197</f>
        <v>0</v>
      </c>
      <c r="G94" t="str">
        <f>wimbledons_champions!H197</f>
        <v>6-3, 6-4, 6-2</v>
      </c>
      <c r="H94" t="str">
        <f>wimbledons_champions!S197</f>
        <v>R. Lycett</v>
      </c>
      <c r="I94" t="str">
        <f>wimbledons_champions!T197</f>
        <v>GBR</v>
      </c>
      <c r="J94">
        <f>wimbledons_champions!V197</f>
        <v>0</v>
      </c>
    </row>
    <row r="95" spans="1:10" x14ac:dyDescent="0.4">
      <c r="A95">
        <f>wimbledons_champions!A199</f>
        <v>1921</v>
      </c>
      <c r="B95" t="str">
        <f>wimbledons_champions!B199</f>
        <v>Men's</v>
      </c>
      <c r="C95" t="str">
        <f>wimbledons_champions!C199</f>
        <v>W.T. Tilden</v>
      </c>
      <c r="D95" t="str">
        <f>wimbledons_champions!D199</f>
        <v>USA</v>
      </c>
      <c r="E95">
        <f>wimbledons_champions!F199</f>
        <v>0</v>
      </c>
      <c r="F95">
        <f>wimbledons_champions!G199</f>
        <v>0</v>
      </c>
      <c r="G95" t="str">
        <f>wimbledons_champions!H199</f>
        <v>4-6, 2-6, 6-1, 6-0, 7-5</v>
      </c>
      <c r="H95" t="str">
        <f>wimbledons_champions!S199</f>
        <v>B.I.C. Norton</v>
      </c>
      <c r="I95" t="str">
        <f>wimbledons_champions!T199</f>
        <v>RSA</v>
      </c>
      <c r="J95">
        <f>wimbledons_champions!V199</f>
        <v>0</v>
      </c>
    </row>
    <row r="96" spans="1:10" x14ac:dyDescent="0.4">
      <c r="A96">
        <f>wimbledons_champions!A201</f>
        <v>1920</v>
      </c>
      <c r="B96" t="str">
        <f>wimbledons_champions!B201</f>
        <v>Men's</v>
      </c>
      <c r="C96" t="str">
        <f>wimbledons_champions!C201</f>
        <v>W.T. Tilden</v>
      </c>
      <c r="D96" t="str">
        <f>wimbledons_champions!D201</f>
        <v>USA</v>
      </c>
      <c r="E96">
        <f>wimbledons_champions!F201</f>
        <v>0</v>
      </c>
      <c r="F96">
        <f>wimbledons_champions!G201</f>
        <v>0</v>
      </c>
      <c r="G96" t="str">
        <f>wimbledons_champions!H201</f>
        <v>2-6, 6-3, 6-2, 6-4</v>
      </c>
      <c r="H96" t="str">
        <f>wimbledons_champions!S201</f>
        <v>G.L. Patterson</v>
      </c>
      <c r="I96" t="str">
        <f>wimbledons_champions!T201</f>
        <v>AUS</v>
      </c>
      <c r="J96">
        <f>wimbledons_champions!V201</f>
        <v>0</v>
      </c>
    </row>
    <row r="97" spans="1:10" x14ac:dyDescent="0.4">
      <c r="A97">
        <f>wimbledons_champions!A203</f>
        <v>1919</v>
      </c>
      <c r="B97" t="str">
        <f>wimbledons_champions!B203</f>
        <v>Men's</v>
      </c>
      <c r="C97" t="str">
        <f>wimbledons_champions!C203</f>
        <v>G.L. Patterson</v>
      </c>
      <c r="D97" t="str">
        <f>wimbledons_champions!D203</f>
        <v>AUS</v>
      </c>
      <c r="E97">
        <f>wimbledons_champions!F203</f>
        <v>0</v>
      </c>
      <c r="F97">
        <f>wimbledons_champions!G203</f>
        <v>0</v>
      </c>
      <c r="G97" t="str">
        <f>wimbledons_champions!H203</f>
        <v>6-3, 7-5, 6-2</v>
      </c>
      <c r="H97" t="str">
        <f>wimbledons_champions!S203</f>
        <v>N.E. Brookes</v>
      </c>
      <c r="I97" t="str">
        <f>wimbledons_champions!T203</f>
        <v>AUS</v>
      </c>
      <c r="J97">
        <f>wimbledons_champions!V203</f>
        <v>0</v>
      </c>
    </row>
    <row r="98" spans="1:10" x14ac:dyDescent="0.4">
      <c r="A98">
        <f>wimbledons_champions!A205</f>
        <v>1914</v>
      </c>
      <c r="B98" t="str">
        <f>wimbledons_champions!B205</f>
        <v>Men's</v>
      </c>
      <c r="C98" t="str">
        <f>wimbledons_champions!C205</f>
        <v>N.E. Brookes</v>
      </c>
      <c r="D98" t="str">
        <f>wimbledons_champions!D205</f>
        <v>AUS</v>
      </c>
      <c r="E98">
        <f>wimbledons_champions!F205</f>
        <v>0</v>
      </c>
      <c r="F98">
        <f>wimbledons_champions!G205</f>
        <v>0</v>
      </c>
      <c r="G98" t="str">
        <f>wimbledons_champions!H205</f>
        <v>6-4, 6-4, 7-5</v>
      </c>
      <c r="H98" t="str">
        <f>wimbledons_champions!S205</f>
        <v>A.F. Wilding</v>
      </c>
      <c r="I98" t="str">
        <f>wimbledons_champions!T205</f>
        <v>NZL</v>
      </c>
      <c r="J98">
        <f>wimbledons_champions!V205</f>
        <v>0</v>
      </c>
    </row>
    <row r="99" spans="1:10" x14ac:dyDescent="0.4">
      <c r="A99">
        <f>wimbledons_champions!A207</f>
        <v>1913</v>
      </c>
      <c r="B99" t="str">
        <f>wimbledons_champions!B207</f>
        <v>Men's</v>
      </c>
      <c r="C99" t="str">
        <f>wimbledons_champions!C207</f>
        <v>A.F. Wilding</v>
      </c>
      <c r="D99" t="str">
        <f>wimbledons_champions!D207</f>
        <v>NZL</v>
      </c>
      <c r="E99">
        <f>wimbledons_champions!F207</f>
        <v>0</v>
      </c>
      <c r="F99">
        <f>wimbledons_champions!G207</f>
        <v>0</v>
      </c>
      <c r="G99" t="str">
        <f>wimbledons_champions!H207</f>
        <v>8-6, 6-3, 10-8</v>
      </c>
      <c r="H99" t="str">
        <f>wimbledons_champions!S207</f>
        <v>M.E. McLoughlin</v>
      </c>
      <c r="I99" t="str">
        <f>wimbledons_champions!T207</f>
        <v>USA</v>
      </c>
      <c r="J99">
        <f>wimbledons_champions!V207</f>
        <v>0</v>
      </c>
    </row>
    <row r="100" spans="1:10" x14ac:dyDescent="0.4">
      <c r="A100">
        <f>wimbledons_champions!A209</f>
        <v>1912</v>
      </c>
      <c r="B100" t="str">
        <f>wimbledons_champions!B209</f>
        <v>Men's</v>
      </c>
      <c r="C100" t="str">
        <f>wimbledons_champions!C209</f>
        <v>A.F. Wilding</v>
      </c>
      <c r="D100" t="str">
        <f>wimbledons_champions!D209</f>
        <v>NZL</v>
      </c>
      <c r="E100">
        <f>wimbledons_champions!F209</f>
        <v>0</v>
      </c>
      <c r="F100">
        <f>wimbledons_champions!G209</f>
        <v>0</v>
      </c>
      <c r="G100" t="str">
        <f>wimbledons_champions!H209</f>
        <v>6-4, 6-4, 4-6, 6-4</v>
      </c>
      <c r="H100" t="str">
        <f>wimbledons_champions!S209</f>
        <v>A.W. Gore</v>
      </c>
      <c r="I100" t="str">
        <f>wimbledons_champions!T209</f>
        <v>GBR</v>
      </c>
      <c r="J100">
        <f>wimbledons_champions!V209</f>
        <v>0</v>
      </c>
    </row>
    <row r="101" spans="1:10" x14ac:dyDescent="0.4">
      <c r="A101">
        <f>wimbledons_champions!A211</f>
        <v>1911</v>
      </c>
      <c r="B101" t="str">
        <f>wimbledons_champions!B211</f>
        <v>Men's</v>
      </c>
      <c r="C101" t="str">
        <f>wimbledons_champions!C211</f>
        <v>A.F. Wilding</v>
      </c>
      <c r="D101" t="str">
        <f>wimbledons_champions!D211</f>
        <v>NZL</v>
      </c>
      <c r="E101">
        <f>wimbledons_champions!F211</f>
        <v>0</v>
      </c>
      <c r="F101">
        <f>wimbledons_champions!G211</f>
        <v>0</v>
      </c>
      <c r="G101" t="str">
        <f>wimbledons_champions!H211</f>
        <v>6-4, 4-6, 2-6, 6-2, retd</v>
      </c>
      <c r="H101" t="str">
        <f>wimbledons_champions!S211</f>
        <v>H.R. Barrett</v>
      </c>
      <c r="I101" t="str">
        <f>wimbledons_champions!T211</f>
        <v>GBR</v>
      </c>
      <c r="J101">
        <f>wimbledons_champions!V211</f>
        <v>0</v>
      </c>
    </row>
    <row r="102" spans="1:10" x14ac:dyDescent="0.4">
      <c r="A102">
        <f>wimbledons_champions!A213</f>
        <v>1910</v>
      </c>
      <c r="B102" t="str">
        <f>wimbledons_champions!B213</f>
        <v>Men's</v>
      </c>
      <c r="C102" t="str">
        <f>wimbledons_champions!C213</f>
        <v>A.F. Wilding</v>
      </c>
      <c r="D102" t="str">
        <f>wimbledons_champions!D213</f>
        <v>NZL</v>
      </c>
      <c r="E102">
        <f>wimbledons_champions!F213</f>
        <v>0</v>
      </c>
      <c r="F102">
        <f>wimbledons_champions!G213</f>
        <v>0</v>
      </c>
      <c r="G102" t="str">
        <f>wimbledons_champions!H213</f>
        <v>6-4, 7-5, 4-6, 6-2</v>
      </c>
      <c r="H102" t="str">
        <f>wimbledons_champions!S213</f>
        <v>A.W. Gore</v>
      </c>
      <c r="I102" t="str">
        <f>wimbledons_champions!T213</f>
        <v>GBR</v>
      </c>
      <c r="J102">
        <f>wimbledons_champions!V213</f>
        <v>0</v>
      </c>
    </row>
    <row r="103" spans="1:10" x14ac:dyDescent="0.4">
      <c r="A103">
        <f>wimbledons_champions!A215</f>
        <v>1909</v>
      </c>
      <c r="B103" t="str">
        <f>wimbledons_champions!B215</f>
        <v>Men's</v>
      </c>
      <c r="C103" t="str">
        <f>wimbledons_champions!C215</f>
        <v>A.W. Gore</v>
      </c>
      <c r="D103" t="str">
        <f>wimbledons_champions!D215</f>
        <v>GBR</v>
      </c>
      <c r="E103">
        <f>wimbledons_champions!F215</f>
        <v>0</v>
      </c>
      <c r="F103">
        <f>wimbledons_champions!G215</f>
        <v>95</v>
      </c>
      <c r="G103" t="str">
        <f>wimbledons_champions!H215</f>
        <v>6-8, 1-6, 6-2, 6-2, 6-2</v>
      </c>
      <c r="H103" t="str">
        <f>wimbledons_champions!S215</f>
        <v>M.J.G. Ritchie</v>
      </c>
      <c r="I103" t="str">
        <f>wimbledons_champions!T215</f>
        <v>GBR</v>
      </c>
      <c r="J103">
        <f>wimbledons_champions!V215</f>
        <v>0</v>
      </c>
    </row>
    <row r="104" spans="1:10" x14ac:dyDescent="0.4">
      <c r="A104">
        <f>wimbledons_champions!A217</f>
        <v>1908</v>
      </c>
      <c r="B104" t="str">
        <f>wimbledons_champions!B217</f>
        <v>Men's</v>
      </c>
      <c r="C104" t="str">
        <f>wimbledons_champions!C217</f>
        <v>A.W. Gore</v>
      </c>
      <c r="D104" t="str">
        <f>wimbledons_champions!D217</f>
        <v>GBR</v>
      </c>
      <c r="E104">
        <f>wimbledons_champions!F217</f>
        <v>0</v>
      </c>
      <c r="F104">
        <f>wimbledons_champions!G217</f>
        <v>0</v>
      </c>
      <c r="G104" t="str">
        <f>wimbledons_champions!H217</f>
        <v>6-3, 6-2, 4-6, 3-6, 6-4</v>
      </c>
      <c r="H104" t="str">
        <f>wimbledons_champions!S217</f>
        <v>H.R. Barrett</v>
      </c>
      <c r="I104" t="str">
        <f>wimbledons_champions!T217</f>
        <v>GBR</v>
      </c>
      <c r="J104">
        <f>wimbledons_champions!V217</f>
        <v>0</v>
      </c>
    </row>
    <row r="105" spans="1:10" x14ac:dyDescent="0.4">
      <c r="A105">
        <f>wimbledons_champions!A219</f>
        <v>1907</v>
      </c>
      <c r="B105" t="str">
        <f>wimbledons_champions!B219</f>
        <v>Men's</v>
      </c>
      <c r="C105" t="str">
        <f>wimbledons_champions!C219</f>
        <v>N.E. Brookes</v>
      </c>
      <c r="D105" t="str">
        <f>wimbledons_champions!D219</f>
        <v>AUS</v>
      </c>
      <c r="E105">
        <f>wimbledons_champions!F219</f>
        <v>0</v>
      </c>
      <c r="F105">
        <f>wimbledons_champions!G219</f>
        <v>0</v>
      </c>
      <c r="G105" t="str">
        <f>wimbledons_champions!H219</f>
        <v>6-4, 6-2, 6-2</v>
      </c>
      <c r="H105" t="str">
        <f>wimbledons_champions!S219</f>
        <v>A.W. Gore</v>
      </c>
      <c r="I105" t="str">
        <f>wimbledons_champions!T219</f>
        <v>GBR</v>
      </c>
      <c r="J105">
        <f>wimbledons_champions!V219</f>
        <v>0</v>
      </c>
    </row>
    <row r="106" spans="1:10" x14ac:dyDescent="0.4">
      <c r="A106">
        <f>wimbledons_champions!A221</f>
        <v>1906</v>
      </c>
      <c r="B106" t="str">
        <f>wimbledons_champions!B221</f>
        <v>Men's</v>
      </c>
      <c r="C106" t="str">
        <f>wimbledons_champions!C221</f>
        <v>H.L. Doherty</v>
      </c>
      <c r="D106" t="str">
        <f>wimbledons_champions!D221</f>
        <v>GBR</v>
      </c>
      <c r="E106">
        <f>wimbledons_champions!F221</f>
        <v>0</v>
      </c>
      <c r="F106">
        <f>wimbledons_champions!G221</f>
        <v>74</v>
      </c>
      <c r="G106" t="str">
        <f>wimbledons_champions!H221</f>
        <v>6-4, 4-6, 6-2, 6-3</v>
      </c>
      <c r="H106" t="str">
        <f>wimbledons_champions!S221</f>
        <v>F.L. Riseley</v>
      </c>
      <c r="I106" t="str">
        <f>wimbledons_champions!T221</f>
        <v>GBR</v>
      </c>
      <c r="J106">
        <f>wimbledons_champions!V221</f>
        <v>0</v>
      </c>
    </row>
    <row r="107" spans="1:10" x14ac:dyDescent="0.4">
      <c r="A107">
        <f>wimbledons_champions!A223</f>
        <v>1905</v>
      </c>
      <c r="B107" t="str">
        <f>wimbledons_champions!B223</f>
        <v>Men's</v>
      </c>
      <c r="C107" t="str">
        <f>wimbledons_champions!C223</f>
        <v>H.L. Doherty</v>
      </c>
      <c r="D107" t="str">
        <f>wimbledons_champions!D223</f>
        <v>GBR</v>
      </c>
      <c r="E107">
        <f>wimbledons_champions!F223</f>
        <v>0</v>
      </c>
      <c r="F107">
        <f>wimbledons_champions!G223</f>
        <v>65</v>
      </c>
      <c r="G107" t="str">
        <f>wimbledons_champions!H223</f>
        <v>8-6, 6-2, 6-4</v>
      </c>
      <c r="H107" t="str">
        <f>wimbledons_champions!S223</f>
        <v>N.E. Brookes</v>
      </c>
      <c r="I107" t="str">
        <f>wimbledons_champions!T223</f>
        <v>AUS</v>
      </c>
      <c r="J107">
        <f>wimbledons_champions!V223</f>
        <v>0</v>
      </c>
    </row>
    <row r="108" spans="1:10" x14ac:dyDescent="0.4">
      <c r="A108">
        <f>wimbledons_champions!A225</f>
        <v>1904</v>
      </c>
      <c r="B108" t="str">
        <f>wimbledons_champions!B225</f>
        <v>Men's</v>
      </c>
      <c r="C108" t="str">
        <f>wimbledons_champions!C225</f>
        <v>H.L. Doherty</v>
      </c>
      <c r="D108" t="str">
        <f>wimbledons_champions!D225</f>
        <v>GBR</v>
      </c>
      <c r="E108">
        <f>wimbledons_champions!F225</f>
        <v>0</v>
      </c>
      <c r="F108">
        <f>wimbledons_champions!G225</f>
        <v>0</v>
      </c>
      <c r="G108" t="str">
        <f>wimbledons_champions!H225</f>
        <v>6-1, 7-5, 8-6</v>
      </c>
      <c r="H108" t="str">
        <f>wimbledons_champions!S225</f>
        <v>F.L. Riseley</v>
      </c>
      <c r="I108" t="str">
        <f>wimbledons_champions!T225</f>
        <v>GBR</v>
      </c>
      <c r="J108">
        <f>wimbledons_champions!V225</f>
        <v>0</v>
      </c>
    </row>
    <row r="109" spans="1:10" x14ac:dyDescent="0.4">
      <c r="A109">
        <f>wimbledons_champions!A227</f>
        <v>1903</v>
      </c>
      <c r="B109" t="str">
        <f>wimbledons_champions!B227</f>
        <v>Men's</v>
      </c>
      <c r="C109" t="str">
        <f>wimbledons_champions!C227</f>
        <v>H.L. Doherty</v>
      </c>
      <c r="D109" t="str">
        <f>wimbledons_champions!D227</f>
        <v>GBR</v>
      </c>
      <c r="E109">
        <f>wimbledons_champions!F227</f>
        <v>0</v>
      </c>
      <c r="F109">
        <f>wimbledons_champions!G227</f>
        <v>0</v>
      </c>
      <c r="G109" t="str">
        <f>wimbledons_champions!H227</f>
        <v>7-5, 6-3, 6-0</v>
      </c>
      <c r="H109" t="str">
        <f>wimbledons_champions!S227</f>
        <v>F.L. Riseley</v>
      </c>
      <c r="I109" t="str">
        <f>wimbledons_champions!T227</f>
        <v>GBR</v>
      </c>
      <c r="J109">
        <f>wimbledons_champions!V227</f>
        <v>0</v>
      </c>
    </row>
    <row r="110" spans="1:10" x14ac:dyDescent="0.4">
      <c r="A110">
        <f>wimbledons_champions!A229</f>
        <v>1902</v>
      </c>
      <c r="B110" t="str">
        <f>wimbledons_champions!B229</f>
        <v>Men's</v>
      </c>
      <c r="C110" t="str">
        <f>wimbledons_champions!C229</f>
        <v>H.L. Doherty</v>
      </c>
      <c r="D110" t="str">
        <f>wimbledons_champions!D229</f>
        <v>GBR</v>
      </c>
      <c r="E110">
        <f>wimbledons_champions!F229</f>
        <v>0</v>
      </c>
      <c r="F110">
        <f>wimbledons_champions!G229</f>
        <v>84</v>
      </c>
      <c r="G110" t="str">
        <f>wimbledons_champions!H229</f>
        <v>6-4, 6-3, 3-6, 6-0</v>
      </c>
      <c r="H110" t="str">
        <f>wimbledons_champions!S229</f>
        <v>A.W. Gore</v>
      </c>
      <c r="I110" t="str">
        <f>wimbledons_champions!T229</f>
        <v>GBR</v>
      </c>
      <c r="J110">
        <f>wimbledons_champions!V229</f>
        <v>0</v>
      </c>
    </row>
    <row r="111" spans="1:10" x14ac:dyDescent="0.4">
      <c r="A111">
        <f>wimbledons_champions!A231</f>
        <v>1901</v>
      </c>
      <c r="B111" t="str">
        <f>wimbledons_champions!B231</f>
        <v>Men's</v>
      </c>
      <c r="C111" t="str">
        <f>wimbledons_champions!C231</f>
        <v>A.W. Gore</v>
      </c>
      <c r="D111" t="str">
        <f>wimbledons_champions!D231</f>
        <v>GBR</v>
      </c>
      <c r="E111">
        <f>wimbledons_champions!F231</f>
        <v>0</v>
      </c>
      <c r="F111">
        <f>wimbledons_champions!G231</f>
        <v>95</v>
      </c>
      <c r="G111" t="str">
        <f>wimbledons_champions!H231</f>
        <v>4-6, 7-5, 6-4, 6-4</v>
      </c>
      <c r="H111" t="str">
        <f>wimbledons_champions!S231</f>
        <v>R.F. Doherty</v>
      </c>
      <c r="I111" t="str">
        <f>wimbledons_champions!T231</f>
        <v>GBR</v>
      </c>
      <c r="J111">
        <f>wimbledons_champions!V231</f>
        <v>0</v>
      </c>
    </row>
    <row r="112" spans="1:10" x14ac:dyDescent="0.4">
      <c r="A112">
        <f>wimbledons_champions!A233</f>
        <v>1900</v>
      </c>
      <c r="B112" t="str">
        <f>wimbledons_champions!B233</f>
        <v>Men's</v>
      </c>
      <c r="C112" t="str">
        <f>wimbledons_champions!C233</f>
        <v>R.F. Doherty</v>
      </c>
      <c r="D112" t="str">
        <f>wimbledons_champions!D233</f>
        <v>GBR</v>
      </c>
      <c r="E112">
        <f>wimbledons_champions!F233</f>
        <v>0</v>
      </c>
      <c r="F112">
        <f>wimbledons_champions!G233</f>
        <v>0</v>
      </c>
      <c r="G112" t="str">
        <f>wimbledons_champions!H233</f>
        <v>6-8, 6-3, 6-1, 6-2</v>
      </c>
      <c r="H112" t="str">
        <f>wimbledons_champions!S233</f>
        <v>S.H. Smith</v>
      </c>
      <c r="I112" t="str">
        <f>wimbledons_champions!T233</f>
        <v>GBR</v>
      </c>
      <c r="J112">
        <f>wimbledons_champions!V233</f>
        <v>0</v>
      </c>
    </row>
    <row r="113" spans="1:10" x14ac:dyDescent="0.4">
      <c r="A113">
        <f>wimbledons_champions!A235</f>
        <v>1899</v>
      </c>
      <c r="B113" t="str">
        <f>wimbledons_champions!B235</f>
        <v>Men's</v>
      </c>
      <c r="C113" t="str">
        <f>wimbledons_champions!C235</f>
        <v>R.F. Doherty</v>
      </c>
      <c r="D113" t="str">
        <f>wimbledons_champions!D235</f>
        <v>GBR</v>
      </c>
      <c r="E113">
        <f>wimbledons_champions!F235</f>
        <v>0</v>
      </c>
      <c r="F113">
        <f>wimbledons_champions!G235</f>
        <v>0</v>
      </c>
      <c r="G113" t="str">
        <f>wimbledons_champions!H235</f>
        <v>1-6, 4-6, 6-3, 6-3, 6-3</v>
      </c>
      <c r="H113" t="str">
        <f>wimbledons_champions!S235</f>
        <v>A.W. Gore</v>
      </c>
      <c r="I113" t="str">
        <f>wimbledons_champions!T235</f>
        <v>GBR</v>
      </c>
      <c r="J113">
        <f>wimbledons_champions!V235</f>
        <v>0</v>
      </c>
    </row>
    <row r="114" spans="1:10" x14ac:dyDescent="0.4">
      <c r="A114">
        <f>wimbledons_champions!A237</f>
        <v>1898</v>
      </c>
      <c r="B114" t="str">
        <f>wimbledons_champions!B237</f>
        <v>Men's</v>
      </c>
      <c r="C114" t="str">
        <f>wimbledons_champions!C237</f>
        <v>R.F. Doherty</v>
      </c>
      <c r="D114" t="str">
        <f>wimbledons_champions!D237</f>
        <v>GBR</v>
      </c>
      <c r="E114">
        <f>wimbledons_champions!F237</f>
        <v>0</v>
      </c>
      <c r="F114">
        <f>wimbledons_champions!G237</f>
        <v>55</v>
      </c>
      <c r="G114" t="str">
        <f>wimbledons_champions!H237</f>
        <v>6-3, 6-3, 2-6, 5-7, 6-1</v>
      </c>
      <c r="H114" t="str">
        <f>wimbledons_champions!S237</f>
        <v>H.L. Doherty</v>
      </c>
      <c r="I114" t="str">
        <f>wimbledons_champions!T237</f>
        <v>GBR</v>
      </c>
      <c r="J114">
        <f>wimbledons_champions!V237</f>
        <v>0</v>
      </c>
    </row>
    <row r="115" spans="1:10" x14ac:dyDescent="0.4">
      <c r="A115">
        <f>wimbledons_champions!A239</f>
        <v>1897</v>
      </c>
      <c r="B115" t="str">
        <f>wimbledons_champions!B239</f>
        <v>Men's</v>
      </c>
      <c r="C115" t="str">
        <f>wimbledons_champions!C239</f>
        <v>R.F. Doherty</v>
      </c>
      <c r="D115" t="str">
        <f>wimbledons_champions!D239</f>
        <v>GBR</v>
      </c>
      <c r="E115">
        <f>wimbledons_champions!F239</f>
        <v>0</v>
      </c>
      <c r="F115">
        <f>wimbledons_champions!G239</f>
        <v>67</v>
      </c>
      <c r="G115" t="str">
        <f>wimbledons_champions!H239</f>
        <v>6-4, 6-4, 6-3</v>
      </c>
      <c r="H115" t="str">
        <f>wimbledons_champions!S239</f>
        <v>H.S. Mahony</v>
      </c>
      <c r="I115" t="str">
        <f>wimbledons_champions!T239</f>
        <v>GBR</v>
      </c>
      <c r="J115">
        <f>wimbledons_champions!V239</f>
        <v>0</v>
      </c>
    </row>
    <row r="116" spans="1:10" x14ac:dyDescent="0.4">
      <c r="A116">
        <f>wimbledons_champions!A241</f>
        <v>1896</v>
      </c>
      <c r="B116" t="str">
        <f>wimbledons_champions!B241</f>
        <v>Men's</v>
      </c>
      <c r="C116" t="str">
        <f>wimbledons_champions!C241</f>
        <v>H.S. Mahony</v>
      </c>
      <c r="D116" t="str">
        <f>wimbledons_champions!D241</f>
        <v>GBR</v>
      </c>
      <c r="E116">
        <f>wimbledons_champions!F241</f>
        <v>0</v>
      </c>
      <c r="F116">
        <f>wimbledons_champions!G241</f>
        <v>120</v>
      </c>
      <c r="G116" t="str">
        <f>wimbledons_champions!H241</f>
        <v>6-2, 6-8, 5-7, 8-6, 6-3</v>
      </c>
      <c r="H116" t="str">
        <f>wimbledons_champions!S241</f>
        <v>W. Baddeley</v>
      </c>
      <c r="I116" t="str">
        <f>wimbledons_champions!T241</f>
        <v>GBR</v>
      </c>
      <c r="J116">
        <f>wimbledons_champions!V241</f>
        <v>0</v>
      </c>
    </row>
    <row r="117" spans="1:10" x14ac:dyDescent="0.4">
      <c r="A117">
        <f>wimbledons_champions!A243</f>
        <v>1895</v>
      </c>
      <c r="B117" t="str">
        <f>wimbledons_champions!B243</f>
        <v>Men's</v>
      </c>
      <c r="C117" t="str">
        <f>wimbledons_champions!C243</f>
        <v>W. Baddeley</v>
      </c>
      <c r="D117" t="str">
        <f>wimbledons_champions!D243</f>
        <v>GBR</v>
      </c>
      <c r="E117">
        <f>wimbledons_champions!F243</f>
        <v>0</v>
      </c>
      <c r="F117">
        <f>wimbledons_champions!G243</f>
        <v>95</v>
      </c>
      <c r="G117" t="str">
        <f>wimbledons_champions!H243</f>
        <v>4-6, 2-6, 8-6, 6-2, 6-3</v>
      </c>
      <c r="H117" t="str">
        <f>wimbledons_champions!S243</f>
        <v>W.V. Eaves</v>
      </c>
      <c r="I117" t="str">
        <f>wimbledons_champions!T243</f>
        <v>GBR</v>
      </c>
      <c r="J117">
        <f>wimbledons_champions!V243</f>
        <v>0</v>
      </c>
    </row>
    <row r="118" spans="1:10" x14ac:dyDescent="0.4">
      <c r="A118">
        <f>wimbledons_champions!A245</f>
        <v>1894</v>
      </c>
      <c r="B118" t="str">
        <f>wimbledons_champions!B245</f>
        <v>Men's</v>
      </c>
      <c r="C118" t="str">
        <f>wimbledons_champions!C245</f>
        <v>J. Pim</v>
      </c>
      <c r="D118" t="str">
        <f>wimbledons_champions!D245</f>
        <v>GBR</v>
      </c>
      <c r="E118">
        <f>wimbledons_champions!F245</f>
        <v>0</v>
      </c>
      <c r="F118">
        <f>wimbledons_champions!G245</f>
        <v>117</v>
      </c>
      <c r="G118" t="str">
        <f>wimbledons_champions!H245</f>
        <v>10-8, 6-2, 8-6</v>
      </c>
      <c r="H118" t="str">
        <f>wimbledons_champions!S245</f>
        <v>W. Baddeley</v>
      </c>
      <c r="I118" t="str">
        <f>wimbledons_champions!T245</f>
        <v>GBR</v>
      </c>
      <c r="J118">
        <f>wimbledons_champions!V245</f>
        <v>0</v>
      </c>
    </row>
    <row r="119" spans="1:10" x14ac:dyDescent="0.4">
      <c r="A119">
        <f>wimbledons_champions!A247</f>
        <v>1893</v>
      </c>
      <c r="B119" t="str">
        <f>wimbledons_champions!B247</f>
        <v>Men's</v>
      </c>
      <c r="C119" t="str">
        <f>wimbledons_champions!C247</f>
        <v>J. Pim</v>
      </c>
      <c r="D119" t="str">
        <f>wimbledons_champions!D247</f>
        <v>GBR</v>
      </c>
      <c r="E119">
        <f>wimbledons_champions!F247</f>
        <v>0</v>
      </c>
      <c r="F119">
        <f>wimbledons_champions!G247</f>
        <v>65</v>
      </c>
      <c r="G119" t="str">
        <f>wimbledons_champions!H247</f>
        <v>3-6, 6-1, 6-3, 6-2</v>
      </c>
      <c r="H119" t="str">
        <f>wimbledons_champions!S247</f>
        <v>W. Baddeley</v>
      </c>
      <c r="I119" t="str">
        <f>wimbledons_champions!T247</f>
        <v>GBR</v>
      </c>
      <c r="J119">
        <f>wimbledons_champions!V247</f>
        <v>0</v>
      </c>
    </row>
    <row r="120" spans="1:10" x14ac:dyDescent="0.4">
      <c r="A120">
        <f>wimbledons_champions!A249</f>
        <v>1892</v>
      </c>
      <c r="B120" t="str">
        <f>wimbledons_champions!B249</f>
        <v>Men's</v>
      </c>
      <c r="C120" t="str">
        <f>wimbledons_champions!C249</f>
        <v>W. Baddeley</v>
      </c>
      <c r="D120" t="str">
        <f>wimbledons_champions!D249</f>
        <v>GBR</v>
      </c>
      <c r="E120">
        <f>wimbledons_champions!F249</f>
        <v>0</v>
      </c>
      <c r="F120">
        <f>wimbledons_champions!G249</f>
        <v>75</v>
      </c>
      <c r="G120" t="str">
        <f>wimbledons_champions!H249</f>
        <v>4-6, 6-3, 6-3, 6-2</v>
      </c>
      <c r="H120" t="str">
        <f>wimbledons_champions!S249</f>
        <v>J. Pim</v>
      </c>
      <c r="I120" t="str">
        <f>wimbledons_champions!T249</f>
        <v>GBR</v>
      </c>
      <c r="J120">
        <f>wimbledons_champions!V249</f>
        <v>0</v>
      </c>
    </row>
    <row r="121" spans="1:10" x14ac:dyDescent="0.4">
      <c r="A121">
        <f>wimbledons_champions!A251</f>
        <v>1891</v>
      </c>
      <c r="B121" t="str">
        <f>wimbledons_champions!B251</f>
        <v>Men's</v>
      </c>
      <c r="C121" t="str">
        <f>wimbledons_champions!C251</f>
        <v>W. Baddeley</v>
      </c>
      <c r="D121" t="str">
        <f>wimbledons_champions!D251</f>
        <v>GBR</v>
      </c>
      <c r="E121">
        <f>wimbledons_champions!F251</f>
        <v>0</v>
      </c>
      <c r="F121">
        <f>wimbledons_champions!G251</f>
        <v>0</v>
      </c>
      <c r="G121" t="str">
        <f>wimbledons_champions!H251</f>
        <v>6-4, 1-6, 7-5, 6-0</v>
      </c>
      <c r="H121" t="str">
        <f>wimbledons_champions!S251</f>
        <v>J. Pim</v>
      </c>
      <c r="I121" t="str">
        <f>wimbledons_champions!T251</f>
        <v>GBR</v>
      </c>
      <c r="J121">
        <f>wimbledons_champions!V251</f>
        <v>0</v>
      </c>
    </row>
    <row r="122" spans="1:10" x14ac:dyDescent="0.4">
      <c r="A122">
        <f>wimbledons_champions!A253</f>
        <v>1890</v>
      </c>
      <c r="B122" t="str">
        <f>wimbledons_champions!B253</f>
        <v>Men's</v>
      </c>
      <c r="C122" t="str">
        <f>wimbledons_champions!C253</f>
        <v>W.J. Hamilton</v>
      </c>
      <c r="D122" t="str">
        <f>wimbledons_champions!D253</f>
        <v>GBR</v>
      </c>
      <c r="E122">
        <f>wimbledons_champions!F253</f>
        <v>0</v>
      </c>
      <c r="F122">
        <f>wimbledons_champions!G253</f>
        <v>96</v>
      </c>
      <c r="G122" t="str">
        <f>wimbledons_champions!H253</f>
        <v>6-8, 6-2, 3-6, 6-1, 6-1</v>
      </c>
      <c r="H122" t="str">
        <f>wimbledons_champions!S253</f>
        <v>W.C. Renshaw</v>
      </c>
      <c r="I122" t="str">
        <f>wimbledons_champions!T253</f>
        <v>GBR</v>
      </c>
      <c r="J122">
        <f>wimbledons_champions!V253</f>
        <v>0</v>
      </c>
    </row>
    <row r="123" spans="1:10" x14ac:dyDescent="0.4">
      <c r="A123">
        <f>wimbledons_champions!A255</f>
        <v>1889</v>
      </c>
      <c r="B123" t="str">
        <f>wimbledons_champions!B255</f>
        <v>Men's</v>
      </c>
      <c r="C123" t="str">
        <f>wimbledons_champions!C255</f>
        <v>W.C. Renshaw</v>
      </c>
      <c r="D123" t="str">
        <f>wimbledons_champions!D255</f>
        <v>GBR</v>
      </c>
      <c r="E123">
        <f>wimbledons_champions!F255</f>
        <v>0</v>
      </c>
      <c r="F123">
        <f>wimbledons_champions!G255</f>
        <v>63</v>
      </c>
      <c r="G123" t="str">
        <f>wimbledons_champions!H255</f>
        <v>6-4, 6-1, 3-6, 6-0</v>
      </c>
      <c r="H123" t="str">
        <f>wimbledons_champions!S255</f>
        <v>J.E. Renshaw</v>
      </c>
      <c r="I123" t="str">
        <f>wimbledons_champions!T255</f>
        <v>GBR</v>
      </c>
      <c r="J123">
        <f>wimbledons_champions!V255</f>
        <v>0</v>
      </c>
    </row>
    <row r="124" spans="1:10" x14ac:dyDescent="0.4">
      <c r="A124">
        <f>wimbledons_champions!A257</f>
        <v>1888</v>
      </c>
      <c r="B124" t="str">
        <f>wimbledons_champions!B257</f>
        <v>Men's</v>
      </c>
      <c r="C124" t="str">
        <f>wimbledons_champions!C257</f>
        <v>J.E. Renshaw</v>
      </c>
      <c r="D124" t="str">
        <f>wimbledons_champions!D257</f>
        <v>GBR</v>
      </c>
      <c r="E124">
        <f>wimbledons_champions!F257</f>
        <v>0</v>
      </c>
      <c r="F124">
        <f>wimbledons_champions!G257</f>
        <v>51</v>
      </c>
      <c r="G124" t="str">
        <f>wimbledons_champions!H257</f>
        <v>6-3, 7-5, 6-0</v>
      </c>
      <c r="H124" t="str">
        <f>wimbledons_champions!S257</f>
        <v>H.F. Lawford</v>
      </c>
      <c r="I124" t="str">
        <f>wimbledons_champions!T257</f>
        <v>GBR</v>
      </c>
      <c r="J124">
        <f>wimbledons_champions!V257</f>
        <v>0</v>
      </c>
    </row>
    <row r="125" spans="1:10" x14ac:dyDescent="0.4">
      <c r="A125">
        <f>wimbledons_champions!A259</f>
        <v>1887</v>
      </c>
      <c r="B125" t="str">
        <f>wimbledons_champions!B259</f>
        <v>Men's</v>
      </c>
      <c r="C125" t="str">
        <f>wimbledons_champions!C259</f>
        <v>H.F. Lawford</v>
      </c>
      <c r="D125" t="str">
        <f>wimbledons_champions!D259</f>
        <v>GBR</v>
      </c>
      <c r="E125">
        <f>wimbledons_champions!F259</f>
        <v>0</v>
      </c>
      <c r="F125">
        <f>wimbledons_champions!G259</f>
        <v>120</v>
      </c>
      <c r="G125" t="str">
        <f>wimbledons_champions!H259</f>
        <v>1-6, 6-3, 3-6, 6-4, 6-4</v>
      </c>
      <c r="H125" t="str">
        <f>wimbledons_champions!S259</f>
        <v>J.E. Renshaw</v>
      </c>
      <c r="I125" t="str">
        <f>wimbledons_champions!T259</f>
        <v>GBR</v>
      </c>
      <c r="J125">
        <f>wimbledons_champions!V259</f>
        <v>0</v>
      </c>
    </row>
    <row r="126" spans="1:10" x14ac:dyDescent="0.4">
      <c r="A126">
        <f>wimbledons_champions!A261</f>
        <v>1886</v>
      </c>
      <c r="B126" t="str">
        <f>wimbledons_champions!B261</f>
        <v>Men's</v>
      </c>
      <c r="C126" t="str">
        <f>wimbledons_champions!C261</f>
        <v>W.C. Renshaw</v>
      </c>
      <c r="D126" t="str">
        <f>wimbledons_champions!D261</f>
        <v>GBR</v>
      </c>
      <c r="E126">
        <f>wimbledons_champions!F261</f>
        <v>0</v>
      </c>
      <c r="F126">
        <f>wimbledons_champions!G261</f>
        <v>96</v>
      </c>
      <c r="G126" t="str">
        <f>wimbledons_champions!H261</f>
        <v>6-0, 5-7, 6-3, 6-4</v>
      </c>
      <c r="H126" t="str">
        <f>wimbledons_champions!S261</f>
        <v>H.F. Lawford</v>
      </c>
      <c r="I126" t="str">
        <f>wimbledons_champions!T261</f>
        <v>GBR</v>
      </c>
      <c r="J126">
        <f>wimbledons_champions!V261</f>
        <v>0</v>
      </c>
    </row>
    <row r="127" spans="1:10" x14ac:dyDescent="0.4">
      <c r="A127">
        <f>wimbledons_champions!A263</f>
        <v>1885</v>
      </c>
      <c r="B127" t="str">
        <f>wimbledons_champions!B263</f>
        <v>Men's</v>
      </c>
      <c r="C127" t="str">
        <f>wimbledons_champions!C263</f>
        <v>W.C. Renshaw</v>
      </c>
      <c r="D127" t="str">
        <f>wimbledons_champions!D263</f>
        <v>GBR</v>
      </c>
      <c r="E127">
        <f>wimbledons_champions!F263</f>
        <v>0</v>
      </c>
      <c r="F127">
        <f>wimbledons_champions!G263</f>
        <v>122</v>
      </c>
      <c r="G127" t="str">
        <f>wimbledons_champions!H263</f>
        <v>7-5, 6-2, 4-6, 7-5</v>
      </c>
      <c r="H127" t="str">
        <f>wimbledons_champions!S263</f>
        <v>H.F. Lawford</v>
      </c>
      <c r="I127" t="str">
        <f>wimbledons_champions!T263</f>
        <v>GBR</v>
      </c>
      <c r="J127">
        <f>wimbledons_champions!V263</f>
        <v>0</v>
      </c>
    </row>
    <row r="128" spans="1:10" x14ac:dyDescent="0.4">
      <c r="A128">
        <f>wimbledons_champions!A265</f>
        <v>1884</v>
      </c>
      <c r="B128" t="str">
        <f>wimbledons_champions!B265</f>
        <v>Men's</v>
      </c>
      <c r="C128" t="str">
        <f>wimbledons_champions!C265</f>
        <v>W.C. Renshaw</v>
      </c>
      <c r="D128" t="str">
        <f>wimbledons_champions!D265</f>
        <v>GBR</v>
      </c>
      <c r="E128">
        <f>wimbledons_champions!F265</f>
        <v>0</v>
      </c>
      <c r="F128">
        <f>wimbledons_champions!G265</f>
        <v>69</v>
      </c>
      <c r="G128" t="str">
        <f>wimbledons_champions!H265</f>
        <v>6-0, 6-4, 9-7</v>
      </c>
      <c r="H128" t="str">
        <f>wimbledons_champions!S265</f>
        <v>H.F. Lawford</v>
      </c>
      <c r="I128" t="str">
        <f>wimbledons_champions!T265</f>
        <v>GBR</v>
      </c>
      <c r="J128">
        <f>wimbledons_champions!V265</f>
        <v>0</v>
      </c>
    </row>
    <row r="130" spans="3:9" s="4" customFormat="1" x14ac:dyDescent="0.4">
      <c r="C130" s="4">
        <v>59</v>
      </c>
      <c r="D130" s="4">
        <v>12</v>
      </c>
      <c r="H130" s="4">
        <v>84</v>
      </c>
      <c r="I130" s="4">
        <v>19</v>
      </c>
    </row>
  </sheetData>
  <sortState xmlns:xlrd2="http://schemas.microsoft.com/office/spreadsheetml/2017/richdata2" ref="A3:J128">
    <sortCondition descending="1" ref="A3:A128"/>
  </sortState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" sqref="H4"/>
    </sheetView>
  </sheetViews>
  <sheetFormatPr defaultRowHeight="14.6" x14ac:dyDescent="0.4"/>
  <cols>
    <col min="1" max="1" width="4.84375" bestFit="1" customWidth="1"/>
    <col min="2" max="2" width="11.4609375" customWidth="1"/>
    <col min="3" max="3" width="24.84375" customWidth="1"/>
    <col min="4" max="4" width="20.53515625" bestFit="1" customWidth="1"/>
    <col min="5" max="5" width="15" bestFit="1" customWidth="1"/>
    <col min="6" max="6" width="5.3046875" bestFit="1" customWidth="1"/>
    <col min="7" max="7" width="29" customWidth="1"/>
    <col min="8" max="8" width="28.07421875" customWidth="1"/>
    <col min="9" max="9" width="21" bestFit="1" customWidth="1"/>
    <col min="10" max="10" width="15.4609375" bestFit="1" customWidth="1"/>
  </cols>
  <sheetData>
    <row r="1" spans="1:10" x14ac:dyDescent="0.4">
      <c r="A1" t="str">
        <f>wimbledons_champions!A1</f>
        <v>Year</v>
      </c>
      <c r="B1" t="str">
        <f>wimbledons_champions!B1</f>
        <v>Gender</v>
      </c>
      <c r="C1" t="str">
        <f>wimbledons_champions!C1</f>
        <v>Champion</v>
      </c>
      <c r="D1" t="str">
        <f>wimbledons_champions!D1</f>
        <v>Champion Nationality</v>
      </c>
      <c r="E1" t="str">
        <f>wimbledons_champions!F1</f>
        <v>Champion Seed</v>
      </c>
      <c r="F1" t="str">
        <f>wimbledons_champions!G1</f>
        <v>Mins</v>
      </c>
      <c r="G1" t="str">
        <f>wimbledons_champions!H1</f>
        <v>Score</v>
      </c>
      <c r="H1" t="str">
        <f>wimbledons_champions!S1</f>
        <v>Runner-up</v>
      </c>
      <c r="I1" t="str">
        <f>wimbledons_champions!T1</f>
        <v>Runner-up Nationality</v>
      </c>
      <c r="J1" t="str">
        <f>wimbledons_champions!V1</f>
        <v>Runner-up Seed</v>
      </c>
    </row>
    <row r="2" spans="1:10" x14ac:dyDescent="0.4">
      <c r="A2" s="22">
        <v>2021</v>
      </c>
      <c r="B2" s="25" t="s">
        <v>268</v>
      </c>
      <c r="C2" s="25" t="s">
        <v>759</v>
      </c>
      <c r="D2" s="25" t="s">
        <v>760</v>
      </c>
      <c r="E2" s="7">
        <v>1</v>
      </c>
      <c r="F2" s="7">
        <v>116</v>
      </c>
      <c r="G2" s="25" t="s">
        <v>761</v>
      </c>
      <c r="H2" s="25" t="s">
        <v>762</v>
      </c>
      <c r="I2" s="25" t="s">
        <v>107</v>
      </c>
      <c r="J2" s="7">
        <v>8</v>
      </c>
    </row>
    <row r="3" spans="1:10" x14ac:dyDescent="0.4">
      <c r="A3">
        <f>wimbledons_champions!A14</f>
        <v>2019</v>
      </c>
      <c r="B3" t="str">
        <f>wimbledons_champions!B14</f>
        <v>Women's</v>
      </c>
      <c r="C3" t="str">
        <f>wimbledons_champions!C14</f>
        <v>S.Halep</v>
      </c>
      <c r="D3" t="str">
        <f>wimbledons_champions!D14</f>
        <v>ROU</v>
      </c>
      <c r="E3">
        <f>wimbledons_champions!F14</f>
        <v>7</v>
      </c>
      <c r="F3">
        <f>wimbledons_champions!G14</f>
        <v>56</v>
      </c>
      <c r="G3" t="str">
        <f>wimbledons_champions!H14</f>
        <v>6-2,6-2</v>
      </c>
      <c r="H3" t="str">
        <f>wimbledons_champions!S14</f>
        <v>S. Williams</v>
      </c>
      <c r="I3" t="str">
        <f>wimbledons_champions!T14</f>
        <v>USA</v>
      </c>
      <c r="J3">
        <f>wimbledons_champions!V14</f>
        <v>11</v>
      </c>
    </row>
    <row r="4" spans="1:10" x14ac:dyDescent="0.4">
      <c r="A4">
        <f>wimbledons_champions!A16</f>
        <v>2018</v>
      </c>
      <c r="B4" t="str">
        <f>wimbledons_champions!B16</f>
        <v>Women's</v>
      </c>
      <c r="C4" t="str">
        <f>wimbledons_champions!C16</f>
        <v>A. Kerber</v>
      </c>
      <c r="D4" t="str">
        <f>wimbledons_champions!D16</f>
        <v>GER</v>
      </c>
      <c r="E4">
        <f>wimbledons_champions!F16</f>
        <v>11</v>
      </c>
      <c r="F4">
        <f>wimbledons_champions!G16</f>
        <v>65</v>
      </c>
      <c r="G4" t="str">
        <f>wimbledons_champions!H16</f>
        <v>6-3,6-3</v>
      </c>
      <c r="H4" t="str">
        <f>wimbledons_champions!S16</f>
        <v>S. Williams</v>
      </c>
      <c r="I4" t="str">
        <f>wimbledons_champions!T16</f>
        <v>USA</v>
      </c>
      <c r="J4">
        <f>wimbledons_champions!V16</f>
        <v>25</v>
      </c>
    </row>
    <row r="5" spans="1:10" x14ac:dyDescent="0.4">
      <c r="A5">
        <f>wimbledons_champions!A18</f>
        <v>2017</v>
      </c>
      <c r="B5" t="str">
        <f>wimbledons_champions!B18</f>
        <v>Women's</v>
      </c>
      <c r="C5" t="str">
        <f>wimbledons_champions!C18</f>
        <v>G. Muguruza</v>
      </c>
      <c r="D5" t="str">
        <f>wimbledons_champions!D18</f>
        <v>ESP</v>
      </c>
      <c r="E5">
        <f>wimbledons_champions!F18</f>
        <v>14</v>
      </c>
      <c r="F5">
        <f>wimbledons_champions!G18</f>
        <v>77</v>
      </c>
      <c r="G5" t="str">
        <f>wimbledons_champions!H18</f>
        <v>7-5,6-0</v>
      </c>
      <c r="H5" t="str">
        <f>wimbledons_champions!S18</f>
        <v>V.E.S. Williams</v>
      </c>
      <c r="I5" t="str">
        <f>wimbledons_champions!T18</f>
        <v>USA</v>
      </c>
      <c r="J5">
        <f>wimbledons_champions!V18</f>
        <v>10</v>
      </c>
    </row>
    <row r="6" spans="1:10" x14ac:dyDescent="0.4">
      <c r="A6">
        <f>wimbledons_champions!A20</f>
        <v>2016</v>
      </c>
      <c r="B6" t="str">
        <f>wimbledons_champions!B20</f>
        <v>Women's</v>
      </c>
      <c r="C6" t="str">
        <f>wimbledons_champions!C20</f>
        <v>S. Williams</v>
      </c>
      <c r="D6" t="str">
        <f>wimbledons_champions!D20</f>
        <v>USA</v>
      </c>
      <c r="E6">
        <f>wimbledons_champions!F20</f>
        <v>1</v>
      </c>
      <c r="F6">
        <f>wimbledons_champions!G20</f>
        <v>83</v>
      </c>
      <c r="G6" t="str">
        <f>wimbledons_champions!H20</f>
        <v>7-5, 6-3</v>
      </c>
      <c r="H6" t="str">
        <f>wimbledons_champions!S20</f>
        <v>A. Kerber</v>
      </c>
      <c r="I6" t="str">
        <f>wimbledons_champions!T20</f>
        <v>GER</v>
      </c>
      <c r="J6">
        <f>wimbledons_champions!V20</f>
        <v>4</v>
      </c>
    </row>
    <row r="7" spans="1:10" x14ac:dyDescent="0.4">
      <c r="A7">
        <f>wimbledons_champions!A22</f>
        <v>2015</v>
      </c>
      <c r="B7" t="str">
        <f>wimbledons_champions!B22</f>
        <v>Women's</v>
      </c>
      <c r="C7" t="str">
        <f>wimbledons_champions!C22</f>
        <v>S. Williams</v>
      </c>
      <c r="D7" t="str">
        <f>wimbledons_champions!D22</f>
        <v>USA</v>
      </c>
      <c r="E7">
        <f>wimbledons_champions!F22</f>
        <v>1</v>
      </c>
      <c r="F7">
        <f>wimbledons_champions!G22</f>
        <v>83</v>
      </c>
      <c r="G7" t="str">
        <f>wimbledons_champions!H22</f>
        <v>6-4, 6-4</v>
      </c>
      <c r="H7" t="str">
        <f>wimbledons_champions!S22</f>
        <v>G. Muguruza</v>
      </c>
      <c r="I7" t="str">
        <f>wimbledons_champions!T22</f>
        <v>ESP</v>
      </c>
      <c r="J7">
        <f>wimbledons_champions!V22</f>
        <v>20</v>
      </c>
    </row>
    <row r="8" spans="1:10" x14ac:dyDescent="0.4">
      <c r="A8">
        <f>wimbledons_champions!A24</f>
        <v>2014</v>
      </c>
      <c r="B8" t="str">
        <f>wimbledons_champions!B24</f>
        <v>Women's</v>
      </c>
      <c r="C8" t="str">
        <f>wimbledons_champions!C24</f>
        <v>P. Kvitová</v>
      </c>
      <c r="D8" t="str">
        <f>wimbledons_champions!D24</f>
        <v>CZE</v>
      </c>
      <c r="E8">
        <f>wimbledons_champions!F24</f>
        <v>6</v>
      </c>
      <c r="F8">
        <f>wimbledons_champions!G24</f>
        <v>55</v>
      </c>
      <c r="G8" t="str">
        <f>wimbledons_champions!H24</f>
        <v>6-3, 6-0</v>
      </c>
      <c r="H8" t="str">
        <f>wimbledons_champions!S24</f>
        <v>E. Bouchard</v>
      </c>
      <c r="I8" t="str">
        <f>wimbledons_champions!T24</f>
        <v>CND</v>
      </c>
      <c r="J8">
        <f>wimbledons_champions!V24</f>
        <v>13</v>
      </c>
    </row>
    <row r="9" spans="1:10" x14ac:dyDescent="0.4">
      <c r="A9">
        <f>wimbledons_champions!A26</f>
        <v>2013</v>
      </c>
      <c r="B9" t="str">
        <f>wimbledons_champions!B26</f>
        <v>Women's</v>
      </c>
      <c r="C9" t="str">
        <f>wimbledons_champions!C26</f>
        <v>M. Bartoli</v>
      </c>
      <c r="D9" t="str">
        <f>wimbledons_champions!D26</f>
        <v>FRA</v>
      </c>
      <c r="E9">
        <f>wimbledons_champions!F26</f>
        <v>15</v>
      </c>
      <c r="F9">
        <f>wimbledons_champions!G26</f>
        <v>81</v>
      </c>
      <c r="G9" t="str">
        <f>wimbledons_champions!H26</f>
        <v>6-2,1-6,6-4</v>
      </c>
      <c r="H9" t="str">
        <f>wimbledons_champions!S26</f>
        <v>S. Lisicki</v>
      </c>
      <c r="I9" t="str">
        <f>wimbledons_champions!T26</f>
        <v>GER</v>
      </c>
      <c r="J9">
        <f>wimbledons_champions!V26</f>
        <v>23</v>
      </c>
    </row>
    <row r="10" spans="1:10" x14ac:dyDescent="0.4">
      <c r="A10">
        <f>wimbledons_champions!A28</f>
        <v>2012</v>
      </c>
      <c r="B10" t="str">
        <f>wimbledons_champions!B28</f>
        <v>Women's</v>
      </c>
      <c r="C10" t="str">
        <f>wimbledons_champions!C28</f>
        <v>S. Williams</v>
      </c>
      <c r="D10" t="str">
        <f>wimbledons_champions!D28</f>
        <v>USA</v>
      </c>
      <c r="E10">
        <f>wimbledons_champions!F28</f>
        <v>6</v>
      </c>
      <c r="F10">
        <f>wimbledons_champions!G28</f>
        <v>122</v>
      </c>
      <c r="G10" t="str">
        <f>wimbledons_champions!H28</f>
        <v>6-1, 5-7, 6-2</v>
      </c>
      <c r="H10" t="str">
        <f>wimbledons_champions!S28</f>
        <v>A. Radwańska</v>
      </c>
      <c r="I10" t="str">
        <f>wimbledons_champions!T28</f>
        <v>POL</v>
      </c>
      <c r="J10">
        <f>wimbledons_champions!V28</f>
        <v>3</v>
      </c>
    </row>
    <row r="11" spans="1:10" x14ac:dyDescent="0.4">
      <c r="A11">
        <f>wimbledons_champions!A30</f>
        <v>2011</v>
      </c>
      <c r="B11" t="str">
        <f>wimbledons_champions!B30</f>
        <v>Women's</v>
      </c>
      <c r="C11" t="str">
        <f>wimbledons_champions!C30</f>
        <v>P. Kvitova</v>
      </c>
      <c r="D11" t="str">
        <f>wimbledons_champions!D30</f>
        <v>CZE</v>
      </c>
      <c r="E11">
        <f>wimbledons_champions!F30</f>
        <v>8</v>
      </c>
      <c r="F11">
        <f>wimbledons_champions!G30</f>
        <v>85</v>
      </c>
      <c r="G11" t="str">
        <f>wimbledons_champions!H30</f>
        <v>6-3, 6-4</v>
      </c>
      <c r="H11" t="str">
        <f>wimbledons_champions!S30</f>
        <v>M. Sharapova</v>
      </c>
      <c r="I11" t="str">
        <f>wimbledons_champions!T30</f>
        <v>RUS</v>
      </c>
      <c r="J11">
        <f>wimbledons_champions!V30</f>
        <v>5</v>
      </c>
    </row>
    <row r="12" spans="1:10" x14ac:dyDescent="0.4">
      <c r="A12">
        <f>wimbledons_champions!A32</f>
        <v>2010</v>
      </c>
      <c r="B12" t="str">
        <f>wimbledons_champions!B32</f>
        <v>Women's</v>
      </c>
      <c r="C12" t="str">
        <f>wimbledons_champions!C32</f>
        <v>S. Williams</v>
      </c>
      <c r="D12" t="str">
        <f>wimbledons_champions!D32</f>
        <v>USA</v>
      </c>
      <c r="E12">
        <f>wimbledons_champions!F32</f>
        <v>1</v>
      </c>
      <c r="F12">
        <f>wimbledons_champions!G32</f>
        <v>66</v>
      </c>
      <c r="G12" t="str">
        <f>wimbledons_champions!H32</f>
        <v>6-3, 6-2</v>
      </c>
      <c r="H12" t="str">
        <f>wimbledons_champions!S32</f>
        <v>V. Zvonareva</v>
      </c>
      <c r="I12" t="str">
        <f>wimbledons_champions!T32</f>
        <v>RUS</v>
      </c>
      <c r="J12">
        <f>wimbledons_champions!V32</f>
        <v>21</v>
      </c>
    </row>
    <row r="13" spans="1:10" x14ac:dyDescent="0.4">
      <c r="A13">
        <f>wimbledons_champions!A34</f>
        <v>2009</v>
      </c>
      <c r="B13" t="str">
        <f>wimbledons_champions!B34</f>
        <v>Women's</v>
      </c>
      <c r="C13" t="str">
        <f>wimbledons_champions!C34</f>
        <v>S. Williams</v>
      </c>
      <c r="D13" t="str">
        <f>wimbledons_champions!D34</f>
        <v>USA</v>
      </c>
      <c r="E13">
        <f>wimbledons_champions!F34</f>
        <v>2</v>
      </c>
      <c r="F13">
        <f>wimbledons_champions!G34</f>
        <v>87</v>
      </c>
      <c r="G13" t="str">
        <f>wimbledons_champions!H34</f>
        <v>7-6 (7-3), 6-2</v>
      </c>
      <c r="H13" t="str">
        <f>wimbledons_champions!S34</f>
        <v>V.E.S. Williams</v>
      </c>
      <c r="I13" t="str">
        <f>wimbledons_champions!T34</f>
        <v>USA</v>
      </c>
      <c r="J13">
        <f>wimbledons_champions!V34</f>
        <v>3</v>
      </c>
    </row>
    <row r="14" spans="1:10" x14ac:dyDescent="0.4">
      <c r="A14">
        <f>wimbledons_champions!A36</f>
        <v>2008</v>
      </c>
      <c r="B14" t="str">
        <f>wimbledons_champions!B36</f>
        <v>Women's</v>
      </c>
      <c r="C14" t="str">
        <f>wimbledons_champions!C36</f>
        <v>V.E.S. Williams</v>
      </c>
      <c r="D14" t="str">
        <f>wimbledons_champions!D36</f>
        <v>USA</v>
      </c>
      <c r="E14">
        <f>wimbledons_champions!F36</f>
        <v>7</v>
      </c>
      <c r="F14">
        <f>wimbledons_champions!G36</f>
        <v>111</v>
      </c>
      <c r="G14" t="str">
        <f>wimbledons_champions!H36</f>
        <v>7-5, 6-4</v>
      </c>
      <c r="H14" t="str">
        <f>wimbledons_champions!S36</f>
        <v>S. Williams</v>
      </c>
      <c r="I14" t="str">
        <f>wimbledons_champions!T36</f>
        <v>USA</v>
      </c>
      <c r="J14">
        <f>wimbledons_champions!V36</f>
        <v>6</v>
      </c>
    </row>
    <row r="15" spans="1:10" x14ac:dyDescent="0.4">
      <c r="A15">
        <f>wimbledons_champions!A38</f>
        <v>2007</v>
      </c>
      <c r="B15" t="str">
        <f>wimbledons_champions!B38</f>
        <v>Women's</v>
      </c>
      <c r="C15" t="str">
        <f>wimbledons_champions!C38</f>
        <v>V.E.S. Williams</v>
      </c>
      <c r="D15" t="str">
        <f>wimbledons_champions!D38</f>
        <v>USA</v>
      </c>
      <c r="E15">
        <f>wimbledons_champions!F38</f>
        <v>23</v>
      </c>
      <c r="F15">
        <f>wimbledons_champions!G38</f>
        <v>90</v>
      </c>
      <c r="G15" t="str">
        <f>wimbledons_champions!H38</f>
        <v>6-4, 6-1</v>
      </c>
      <c r="H15" t="str">
        <f>wimbledons_champions!S38</f>
        <v>M. Bartoli</v>
      </c>
      <c r="I15" t="str">
        <f>wimbledons_champions!T38</f>
        <v>FRA</v>
      </c>
      <c r="J15">
        <f>wimbledons_champions!V38</f>
        <v>18</v>
      </c>
    </row>
    <row r="16" spans="1:10" x14ac:dyDescent="0.4">
      <c r="A16">
        <f>wimbledons_champions!A40</f>
        <v>2006</v>
      </c>
      <c r="B16" t="str">
        <f>wimbledons_champions!B40</f>
        <v>Women's</v>
      </c>
      <c r="C16" t="str">
        <f>wimbledons_champions!C40</f>
        <v>A. Mauresmo</v>
      </c>
      <c r="D16" t="str">
        <f>wimbledons_champions!D40</f>
        <v>FRA</v>
      </c>
      <c r="E16">
        <f>wimbledons_champions!F40</f>
        <v>1</v>
      </c>
      <c r="F16">
        <f>wimbledons_champions!G40</f>
        <v>122</v>
      </c>
      <c r="G16" t="str">
        <f>wimbledons_champions!H40</f>
        <v>2-6, 6-3, 6-4</v>
      </c>
      <c r="H16" t="str">
        <f>wimbledons_champions!S40</f>
        <v>PY. Hardenne</v>
      </c>
      <c r="I16" t="str">
        <f>wimbledons_champions!T40</f>
        <v>BEL</v>
      </c>
      <c r="J16">
        <f>wimbledons_champions!V40</f>
        <v>3</v>
      </c>
    </row>
    <row r="17" spans="1:10" x14ac:dyDescent="0.4">
      <c r="A17">
        <f>wimbledons_champions!A42</f>
        <v>2005</v>
      </c>
      <c r="B17" t="str">
        <f>wimbledons_champions!B42</f>
        <v>Women's</v>
      </c>
      <c r="C17" t="str">
        <f>wimbledons_champions!C42</f>
        <v>V.E.S. Williams</v>
      </c>
      <c r="D17" t="str">
        <f>wimbledons_champions!D42</f>
        <v>USA</v>
      </c>
      <c r="E17">
        <f>wimbledons_champions!F42</f>
        <v>14</v>
      </c>
      <c r="F17">
        <f>wimbledons_champions!G42</f>
        <v>166</v>
      </c>
      <c r="G17" t="str">
        <f>wimbledons_champions!H42</f>
        <v>4-6, 7-6 (7-4), 9-7</v>
      </c>
      <c r="H17" t="str">
        <f>wimbledons_champions!S42</f>
        <v>L.A. Davenport</v>
      </c>
      <c r="I17" t="str">
        <f>wimbledons_champions!T42</f>
        <v>USA</v>
      </c>
      <c r="J17">
        <f>wimbledons_champions!V42</f>
        <v>1</v>
      </c>
    </row>
    <row r="18" spans="1:10" x14ac:dyDescent="0.4">
      <c r="A18">
        <f>wimbledons_champions!A44</f>
        <v>2004</v>
      </c>
      <c r="B18" t="str">
        <f>wimbledons_champions!B44</f>
        <v>Women's</v>
      </c>
      <c r="C18" t="str">
        <f>wimbledons_champions!C44</f>
        <v>M. Sharapova</v>
      </c>
      <c r="D18" t="str">
        <f>wimbledons_champions!D44</f>
        <v>RUS</v>
      </c>
      <c r="E18">
        <f>wimbledons_champions!F44</f>
        <v>13</v>
      </c>
      <c r="F18">
        <f>wimbledons_champions!G44</f>
        <v>74</v>
      </c>
      <c r="G18" t="str">
        <f>wimbledons_champions!H44</f>
        <v>6-1, 6-4</v>
      </c>
      <c r="H18" t="str">
        <f>wimbledons_champions!S44</f>
        <v>S. Williams</v>
      </c>
      <c r="I18" t="str">
        <f>wimbledons_champions!T44</f>
        <v>USA</v>
      </c>
      <c r="J18">
        <f>wimbledons_champions!V44</f>
        <v>1</v>
      </c>
    </row>
    <row r="19" spans="1:10" x14ac:dyDescent="0.4">
      <c r="A19">
        <f>wimbledons_champions!A46</f>
        <v>2003</v>
      </c>
      <c r="B19" t="str">
        <f>wimbledons_champions!B46</f>
        <v>Women's</v>
      </c>
      <c r="C19" t="str">
        <f>wimbledons_champions!C46</f>
        <v>S. Williams</v>
      </c>
      <c r="D19" t="str">
        <f>wimbledons_champions!D46</f>
        <v>USA</v>
      </c>
      <c r="E19">
        <f>wimbledons_champions!F46</f>
        <v>1</v>
      </c>
      <c r="F19">
        <f>wimbledons_champions!G46</f>
        <v>123</v>
      </c>
      <c r="G19" t="str">
        <f>wimbledons_champions!H46</f>
        <v>4-6, 6-4, 6-2</v>
      </c>
      <c r="H19" t="str">
        <f>wimbledons_champions!S46</f>
        <v>V.E.S. Williams</v>
      </c>
      <c r="I19" t="str">
        <f>wimbledons_champions!T46</f>
        <v>USA</v>
      </c>
      <c r="J19">
        <f>wimbledons_champions!V46</f>
        <v>4</v>
      </c>
    </row>
    <row r="20" spans="1:10" x14ac:dyDescent="0.4">
      <c r="A20">
        <f>wimbledons_champions!A48</f>
        <v>2002</v>
      </c>
      <c r="B20" t="str">
        <f>wimbledons_champions!B48</f>
        <v>Women's</v>
      </c>
      <c r="C20" t="str">
        <f>wimbledons_champions!C48</f>
        <v>S. Williams</v>
      </c>
      <c r="D20" t="str">
        <f>wimbledons_champions!D48</f>
        <v>USA</v>
      </c>
      <c r="E20">
        <f>wimbledons_champions!F48</f>
        <v>2</v>
      </c>
      <c r="F20">
        <f>wimbledons_champions!G48</f>
        <v>78</v>
      </c>
      <c r="G20" t="str">
        <f>wimbledons_champions!H48</f>
        <v>7-6 (7-4), 6-3</v>
      </c>
      <c r="H20" t="str">
        <f>wimbledons_champions!S48</f>
        <v>V.E.S. Williams</v>
      </c>
      <c r="I20" t="str">
        <f>wimbledons_champions!T48</f>
        <v>USA</v>
      </c>
      <c r="J20">
        <f>wimbledons_champions!V48</f>
        <v>1</v>
      </c>
    </row>
    <row r="21" spans="1:10" x14ac:dyDescent="0.4">
      <c r="A21">
        <f>wimbledons_champions!A50</f>
        <v>2001</v>
      </c>
      <c r="B21" t="str">
        <f>wimbledons_champions!B50</f>
        <v>Women's</v>
      </c>
      <c r="C21" t="str">
        <f>wimbledons_champions!C50</f>
        <v>V.E.S. Williams</v>
      </c>
      <c r="D21" t="str">
        <f>wimbledons_champions!D50</f>
        <v>USA</v>
      </c>
      <c r="E21">
        <f>wimbledons_champions!F50</f>
        <v>2</v>
      </c>
      <c r="F21">
        <f>wimbledons_champions!G50</f>
        <v>69</v>
      </c>
      <c r="G21" t="str">
        <f>wimbledons_champions!H50</f>
        <v>6-1, 3-6, 6-0</v>
      </c>
      <c r="H21" t="str">
        <f>wimbledons_champions!S50</f>
        <v>J. Henin</v>
      </c>
      <c r="I21" t="str">
        <f>wimbledons_champions!T50</f>
        <v>BEL</v>
      </c>
      <c r="J21">
        <f>wimbledons_champions!V50</f>
        <v>8</v>
      </c>
    </row>
    <row r="22" spans="1:10" x14ac:dyDescent="0.4">
      <c r="A22">
        <f>wimbledons_champions!A52</f>
        <v>2000</v>
      </c>
      <c r="B22" t="str">
        <f>wimbledons_champions!B52</f>
        <v>Women's</v>
      </c>
      <c r="C22" t="str">
        <f>wimbledons_champions!C52</f>
        <v>V.E.S. Williams</v>
      </c>
      <c r="D22" t="str">
        <f>wimbledons_champions!D52</f>
        <v>USA</v>
      </c>
      <c r="E22">
        <f>wimbledons_champions!F52</f>
        <v>5</v>
      </c>
      <c r="F22">
        <f>wimbledons_champions!G52</f>
        <v>84</v>
      </c>
      <c r="G22" t="str">
        <f>wimbledons_champions!H52</f>
        <v>6-3, 7-6 (7-3)</v>
      </c>
      <c r="H22" t="str">
        <f>wimbledons_champions!S52</f>
        <v>L.A. Davenport</v>
      </c>
      <c r="I22" t="str">
        <f>wimbledons_champions!T52</f>
        <v>USA</v>
      </c>
      <c r="J22">
        <f>wimbledons_champions!V52</f>
        <v>2</v>
      </c>
    </row>
    <row r="23" spans="1:10" x14ac:dyDescent="0.4">
      <c r="A23">
        <f>wimbledons_champions!A54</f>
        <v>1999</v>
      </c>
      <c r="B23" t="str">
        <f>wimbledons_champions!B54</f>
        <v>Women's</v>
      </c>
      <c r="C23" t="str">
        <f>wimbledons_champions!C54</f>
        <v>L.A. Davenport</v>
      </c>
      <c r="D23" t="str">
        <f>wimbledons_champions!D54</f>
        <v>USA</v>
      </c>
      <c r="E23">
        <f>wimbledons_champions!F54</f>
        <v>3</v>
      </c>
      <c r="F23">
        <f>wimbledons_champions!G54</f>
        <v>75</v>
      </c>
      <c r="G23" t="str">
        <f>wimbledons_champions!H54</f>
        <v>6-4, 7-5</v>
      </c>
      <c r="H23" t="str">
        <f>wimbledons_champions!S54</f>
        <v>S.M. Graf</v>
      </c>
      <c r="I23" t="str">
        <f>wimbledons_champions!T54</f>
        <v>GER</v>
      </c>
      <c r="J23">
        <f>wimbledons_champions!V54</f>
        <v>2</v>
      </c>
    </row>
    <row r="24" spans="1:10" x14ac:dyDescent="0.4">
      <c r="A24">
        <f>wimbledons_champions!A56</f>
        <v>1998</v>
      </c>
      <c r="B24" t="str">
        <f>wimbledons_champions!B56</f>
        <v>Women's</v>
      </c>
      <c r="C24" t="str">
        <f>wimbledons_champions!C56</f>
        <v>J. Novotna</v>
      </c>
      <c r="D24" t="str">
        <f>wimbledons_champions!D56</f>
        <v>CZE</v>
      </c>
      <c r="E24">
        <f>wimbledons_champions!F56</f>
        <v>3</v>
      </c>
      <c r="F24">
        <f>wimbledons_champions!G56</f>
        <v>94</v>
      </c>
      <c r="G24" t="str">
        <f>wimbledons_champions!H56</f>
        <v>6-4, 7-6 (7-2)</v>
      </c>
      <c r="H24" t="str">
        <f>wimbledons_champions!S56</f>
        <v>N. Tauziat</v>
      </c>
      <c r="I24" t="str">
        <f>wimbledons_champions!T56</f>
        <v>FRA</v>
      </c>
      <c r="J24">
        <f>wimbledons_champions!V56</f>
        <v>16</v>
      </c>
    </row>
    <row r="25" spans="1:10" x14ac:dyDescent="0.4">
      <c r="A25">
        <f>wimbledons_champions!A58</f>
        <v>1997</v>
      </c>
      <c r="B25" t="str">
        <f>wimbledons_champions!B58</f>
        <v>Women's</v>
      </c>
      <c r="C25" t="str">
        <f>wimbledons_champions!C58</f>
        <v>M. Hingis</v>
      </c>
      <c r="D25" t="str">
        <f>wimbledons_champions!D58</f>
        <v>SUI</v>
      </c>
      <c r="E25">
        <f>wimbledons_champions!F58</f>
        <v>1</v>
      </c>
      <c r="F25">
        <f>wimbledons_champions!G58</f>
        <v>110</v>
      </c>
      <c r="G25" t="str">
        <f>wimbledons_champions!H58</f>
        <v>2-6, 6-3, 6-3</v>
      </c>
      <c r="H25" t="str">
        <f>wimbledons_champions!S58</f>
        <v>J. Novotna</v>
      </c>
      <c r="I25" t="str">
        <f>wimbledons_champions!T58</f>
        <v>CZE</v>
      </c>
      <c r="J25">
        <f>wimbledons_champions!V58</f>
        <v>3</v>
      </c>
    </row>
    <row r="26" spans="1:10" x14ac:dyDescent="0.4">
      <c r="A26">
        <f>wimbledons_champions!A60</f>
        <v>1996</v>
      </c>
      <c r="B26" t="str">
        <f>wimbledons_champions!B60</f>
        <v>Women's</v>
      </c>
      <c r="C26" t="str">
        <f>wimbledons_champions!C60</f>
        <v>S.M. Graf</v>
      </c>
      <c r="D26" t="str">
        <f>wimbledons_champions!D60</f>
        <v>GER</v>
      </c>
      <c r="E26">
        <f>wimbledons_champions!F60</f>
        <v>1</v>
      </c>
      <c r="F26">
        <f>wimbledons_champions!G60</f>
        <v>88</v>
      </c>
      <c r="G26" t="str">
        <f>wimbledons_champions!H60</f>
        <v>6-3, 7-5,</v>
      </c>
      <c r="H26" t="str">
        <f>wimbledons_champions!S60</f>
        <v>A.I.M. Sanchez Vicario</v>
      </c>
      <c r="I26" t="str">
        <f>wimbledons_champions!T60</f>
        <v>ESP</v>
      </c>
      <c r="J26">
        <f>wimbledons_champions!V60</f>
        <v>4</v>
      </c>
    </row>
    <row r="27" spans="1:10" x14ac:dyDescent="0.4">
      <c r="A27">
        <f>wimbledons_champions!A62</f>
        <v>1995</v>
      </c>
      <c r="B27" t="str">
        <f>wimbledons_champions!B62</f>
        <v>Women's</v>
      </c>
      <c r="C27" t="str">
        <f>wimbledons_champions!C62</f>
        <v>S.M. Graf</v>
      </c>
      <c r="D27" t="str">
        <f>wimbledons_champions!D62</f>
        <v>GER</v>
      </c>
      <c r="E27">
        <f>wimbledons_champions!F62</f>
        <v>1</v>
      </c>
      <c r="F27">
        <f>wimbledons_champions!G62</f>
        <v>122</v>
      </c>
      <c r="G27" t="str">
        <f>wimbledons_champions!H62</f>
        <v>4-6, 6-1, 7-5,</v>
      </c>
      <c r="H27" t="str">
        <f>wimbledons_champions!S62</f>
        <v>A.I.M. Sanchez Vicario</v>
      </c>
      <c r="I27" t="str">
        <f>wimbledons_champions!T62</f>
        <v>ESP</v>
      </c>
      <c r="J27">
        <f>wimbledons_champions!V62</f>
        <v>2</v>
      </c>
    </row>
    <row r="28" spans="1:10" x14ac:dyDescent="0.4">
      <c r="A28">
        <f>wimbledons_champions!A64</f>
        <v>1994</v>
      </c>
      <c r="B28" t="str">
        <f>wimbledons_champions!B64</f>
        <v>Women's</v>
      </c>
      <c r="C28" t="str">
        <f>wimbledons_champions!C64</f>
        <v>I.C. Martinez</v>
      </c>
      <c r="D28" t="str">
        <f>wimbledons_champions!D64</f>
        <v>ESP</v>
      </c>
      <c r="E28">
        <f>wimbledons_champions!F64</f>
        <v>3</v>
      </c>
      <c r="F28">
        <f>wimbledons_champions!G64</f>
        <v>119</v>
      </c>
      <c r="G28" t="str">
        <f>wimbledons_champions!H64</f>
        <v>6-4, 3-6, 6-3,</v>
      </c>
      <c r="H28" t="str">
        <f>wimbledons_champions!S64</f>
        <v>M. Navratilova</v>
      </c>
      <c r="I28" t="str">
        <f>wimbledons_champions!T64</f>
        <v>USA</v>
      </c>
      <c r="J28">
        <f>wimbledons_champions!V64</f>
        <v>4</v>
      </c>
    </row>
    <row r="29" spans="1:10" x14ac:dyDescent="0.4">
      <c r="A29">
        <f>wimbledons_champions!A66</f>
        <v>1993</v>
      </c>
      <c r="B29" t="str">
        <f>wimbledons_champions!B66</f>
        <v>Women's</v>
      </c>
      <c r="C29" t="str">
        <f>wimbledons_champions!C66</f>
        <v>S.M. Graf</v>
      </c>
      <c r="D29" t="str">
        <f>wimbledons_champions!D66</f>
        <v>GER</v>
      </c>
      <c r="E29">
        <f>wimbledons_champions!F66</f>
        <v>1</v>
      </c>
      <c r="F29">
        <f>wimbledons_champions!G66</f>
        <v>134</v>
      </c>
      <c r="G29" t="str">
        <f>wimbledons_champions!H66</f>
        <v>7-6 (8-6), 1-6, 6-4,</v>
      </c>
      <c r="H29" t="str">
        <f>wimbledons_champions!S66</f>
        <v>J. Novotna</v>
      </c>
      <c r="I29" t="str">
        <f>wimbledons_champions!T66</f>
        <v>CZE</v>
      </c>
      <c r="J29">
        <f>wimbledons_champions!V66</f>
        <v>8</v>
      </c>
    </row>
    <row r="30" spans="1:10" x14ac:dyDescent="0.4">
      <c r="A30">
        <f>wimbledons_champions!A68</f>
        <v>1992</v>
      </c>
      <c r="B30" t="str">
        <f>wimbledons_champions!B68</f>
        <v>Women's</v>
      </c>
      <c r="C30" t="str">
        <f>wimbledons_champions!C68</f>
        <v>S.M. Graf</v>
      </c>
      <c r="D30" t="str">
        <f>wimbledons_champions!D68</f>
        <v>GER</v>
      </c>
      <c r="E30">
        <f>wimbledons_champions!F68</f>
        <v>2</v>
      </c>
      <c r="F30">
        <f>wimbledons_champions!G68</f>
        <v>58</v>
      </c>
      <c r="G30" t="str">
        <f>wimbledons_champions!H68</f>
        <v>6-2, 6-1,</v>
      </c>
      <c r="H30" t="str">
        <f>wimbledons_champions!S68</f>
        <v>M. Seles</v>
      </c>
      <c r="I30" t="str">
        <f>wimbledons_champions!T68</f>
        <v>SRB</v>
      </c>
      <c r="J30">
        <f>wimbledons_champions!V68</f>
        <v>1</v>
      </c>
    </row>
    <row r="31" spans="1:10" x14ac:dyDescent="0.4">
      <c r="A31">
        <f>wimbledons_champions!A70</f>
        <v>1991</v>
      </c>
      <c r="B31" t="str">
        <f>wimbledons_champions!B70</f>
        <v>Women's</v>
      </c>
      <c r="C31" t="str">
        <f>wimbledons_champions!C70</f>
        <v>S.M. Graf</v>
      </c>
      <c r="D31" t="str">
        <f>wimbledons_champions!D70</f>
        <v>GER</v>
      </c>
      <c r="E31">
        <f>wimbledons_champions!F70</f>
        <v>1</v>
      </c>
      <c r="F31">
        <f>wimbledons_champions!G70</f>
        <v>127</v>
      </c>
      <c r="G31" t="str">
        <f>wimbledons_champions!H70</f>
        <v>6-4, 3-6, 8-6,</v>
      </c>
      <c r="H31" t="str">
        <f>wimbledons_champions!S70</f>
        <v>G.B. Sabatini</v>
      </c>
      <c r="I31" t="str">
        <f>wimbledons_champions!T70</f>
        <v>ARG</v>
      </c>
      <c r="J31">
        <f>wimbledons_champions!V70</f>
        <v>2</v>
      </c>
    </row>
    <row r="32" spans="1:10" x14ac:dyDescent="0.4">
      <c r="A32">
        <f>wimbledons_champions!A72</f>
        <v>1990</v>
      </c>
      <c r="B32" t="str">
        <f>wimbledons_champions!B72</f>
        <v>Women's</v>
      </c>
      <c r="C32" t="str">
        <f>wimbledons_champions!C72</f>
        <v>M. Navratilova</v>
      </c>
      <c r="D32" t="str">
        <f>wimbledons_champions!D72</f>
        <v>USA</v>
      </c>
      <c r="E32">
        <f>wimbledons_champions!F72</f>
        <v>2</v>
      </c>
      <c r="F32">
        <f>wimbledons_champions!G72</f>
        <v>75</v>
      </c>
      <c r="G32" t="str">
        <f>wimbledons_champions!H72</f>
        <v>6-4, 6-1,</v>
      </c>
      <c r="H32" t="str">
        <f>wimbledons_champions!S72</f>
        <v>Z.L. Garrison</v>
      </c>
      <c r="I32" t="str">
        <f>wimbledons_champions!T72</f>
        <v>USA</v>
      </c>
      <c r="J32">
        <f>wimbledons_champions!V72</f>
        <v>5</v>
      </c>
    </row>
    <row r="33" spans="1:10" x14ac:dyDescent="0.4">
      <c r="A33">
        <f>wimbledons_champions!A74</f>
        <v>1989</v>
      </c>
      <c r="B33" t="str">
        <f>wimbledons_champions!B74</f>
        <v>Women's</v>
      </c>
      <c r="C33" t="str">
        <f>wimbledons_champions!C74</f>
        <v>S.M. Graf</v>
      </c>
      <c r="D33" t="str">
        <f>wimbledons_champions!D74</f>
        <v>GER</v>
      </c>
      <c r="E33">
        <f>wimbledons_champions!F74</f>
        <v>1</v>
      </c>
      <c r="F33">
        <f>wimbledons_champions!G74</f>
        <v>92</v>
      </c>
      <c r="G33" t="str">
        <f>wimbledons_champions!H74</f>
        <v>6-2, 6-7 (1-7), 6-1,</v>
      </c>
      <c r="H33" t="str">
        <f>wimbledons_champions!S74</f>
        <v>M. Navratilova</v>
      </c>
      <c r="I33" t="str">
        <f>wimbledons_champions!T74</f>
        <v>USA</v>
      </c>
      <c r="J33">
        <f>wimbledons_champions!V74</f>
        <v>2</v>
      </c>
    </row>
    <row r="34" spans="1:10" x14ac:dyDescent="0.4">
      <c r="A34">
        <f>wimbledons_champions!A76</f>
        <v>1988</v>
      </c>
      <c r="B34" t="str">
        <f>wimbledons_champions!B76</f>
        <v>Women's</v>
      </c>
      <c r="C34" t="str">
        <f>wimbledons_champions!C76</f>
        <v>S.M. Graf</v>
      </c>
      <c r="D34" t="str">
        <f>wimbledons_champions!D76</f>
        <v>GER</v>
      </c>
      <c r="E34">
        <f>wimbledons_champions!F76</f>
        <v>1</v>
      </c>
      <c r="F34">
        <f>wimbledons_champions!G76</f>
        <v>93</v>
      </c>
      <c r="G34" t="str">
        <f>wimbledons_champions!H76</f>
        <v>5-7, 6-2, 6-1,</v>
      </c>
      <c r="H34" t="str">
        <f>wimbledons_champions!S76</f>
        <v>M. Navratilova</v>
      </c>
      <c r="I34" t="str">
        <f>wimbledons_champions!T76</f>
        <v>USA</v>
      </c>
      <c r="J34">
        <f>wimbledons_champions!V76</f>
        <v>2</v>
      </c>
    </row>
    <row r="35" spans="1:10" x14ac:dyDescent="0.4">
      <c r="A35">
        <f>wimbledons_champions!A78</f>
        <v>1987</v>
      </c>
      <c r="B35" t="str">
        <f>wimbledons_champions!B78</f>
        <v>Women's</v>
      </c>
      <c r="C35" t="str">
        <f>wimbledons_champions!C78</f>
        <v>M. Navratilova</v>
      </c>
      <c r="D35" t="str">
        <f>wimbledons_champions!D78</f>
        <v>USA</v>
      </c>
      <c r="E35">
        <f>wimbledons_champions!F78</f>
        <v>1</v>
      </c>
      <c r="F35">
        <f>wimbledons_champions!G78</f>
        <v>69</v>
      </c>
      <c r="G35" t="str">
        <f>wimbledons_champions!H78</f>
        <v>7-5, 6-3,</v>
      </c>
      <c r="H35" t="str">
        <f>wimbledons_champions!S78</f>
        <v>S.M. Graf</v>
      </c>
      <c r="I35" t="str">
        <f>wimbledons_champions!T78</f>
        <v>GER</v>
      </c>
      <c r="J35">
        <f>wimbledons_champions!V78</f>
        <v>2</v>
      </c>
    </row>
    <row r="36" spans="1:10" x14ac:dyDescent="0.4">
      <c r="A36">
        <f>wimbledons_champions!A80</f>
        <v>1986</v>
      </c>
      <c r="B36" t="str">
        <f>wimbledons_champions!B80</f>
        <v>Women's</v>
      </c>
      <c r="C36" t="str">
        <f>wimbledons_champions!C80</f>
        <v>M. Navratilova</v>
      </c>
      <c r="D36" t="str">
        <f>wimbledons_champions!D80</f>
        <v>USA</v>
      </c>
      <c r="E36">
        <f>wimbledons_champions!F80</f>
        <v>1</v>
      </c>
      <c r="F36">
        <f>wimbledons_champions!G80</f>
        <v>72</v>
      </c>
      <c r="G36" t="str">
        <f>wimbledons_champions!H80</f>
        <v>7-6 (7-1), 6-3,</v>
      </c>
      <c r="H36" t="str">
        <f>wimbledons_champions!S80</f>
        <v>H. Mandlikova</v>
      </c>
      <c r="I36" t="str">
        <f>wimbledons_champions!T80</f>
        <v>CZE</v>
      </c>
      <c r="J36">
        <f>wimbledons_champions!V80</f>
        <v>3</v>
      </c>
    </row>
    <row r="37" spans="1:10" x14ac:dyDescent="0.4">
      <c r="A37">
        <f>wimbledons_champions!A82</f>
        <v>1985</v>
      </c>
      <c r="B37" t="str">
        <f>wimbledons_champions!B82</f>
        <v>Women's</v>
      </c>
      <c r="C37" t="str">
        <f>wimbledons_champions!C82</f>
        <v>M. Navratilova</v>
      </c>
      <c r="D37" t="str">
        <f>wimbledons_champions!D82</f>
        <v>USA</v>
      </c>
      <c r="E37">
        <f>wimbledons_champions!F82</f>
        <v>1</v>
      </c>
      <c r="F37">
        <f>wimbledons_champions!G82</f>
        <v>107</v>
      </c>
      <c r="G37" t="str">
        <f>wimbledons_champions!H82</f>
        <v>4-6, 6-3, 6-2,</v>
      </c>
      <c r="H37" t="str">
        <f>wimbledons_champions!S82</f>
        <v>J.M. Lloyd</v>
      </c>
      <c r="I37" t="str">
        <f>wimbledons_champions!T82</f>
        <v>USA</v>
      </c>
      <c r="J37">
        <f>wimbledons_champions!V82</f>
        <v>1</v>
      </c>
    </row>
    <row r="38" spans="1:10" x14ac:dyDescent="0.4">
      <c r="A38">
        <f>wimbledons_champions!A84</f>
        <v>1984</v>
      </c>
      <c r="B38" t="str">
        <f>wimbledons_champions!B84</f>
        <v>Women's</v>
      </c>
      <c r="C38" t="str">
        <f>wimbledons_champions!C84</f>
        <v>M. Navratilova</v>
      </c>
      <c r="D38" t="str">
        <f>wimbledons_champions!D84</f>
        <v>USA</v>
      </c>
      <c r="E38">
        <f>wimbledons_champions!F84</f>
        <v>1</v>
      </c>
      <c r="F38">
        <f>wimbledons_champions!G84</f>
        <v>84</v>
      </c>
      <c r="G38" t="str">
        <f>wimbledons_champions!H84</f>
        <v>7-6 (7-5), 6-2,</v>
      </c>
      <c r="H38" t="str">
        <f>wimbledons_champions!S84</f>
        <v>J.M. Lloyd</v>
      </c>
      <c r="I38" t="str">
        <f>wimbledons_champions!T84</f>
        <v>USA</v>
      </c>
      <c r="J38">
        <f>wimbledons_champions!V84</f>
        <v>2</v>
      </c>
    </row>
    <row r="39" spans="1:10" x14ac:dyDescent="0.4">
      <c r="A39">
        <f>wimbledons_champions!A86</f>
        <v>1983</v>
      </c>
      <c r="B39" t="str">
        <f>wimbledons_champions!B86</f>
        <v>Women's</v>
      </c>
      <c r="C39" t="str">
        <f>wimbledons_champions!C86</f>
        <v>M. Navratilova</v>
      </c>
      <c r="D39" t="str">
        <f>wimbledons_champions!D86</f>
        <v>USA</v>
      </c>
      <c r="E39">
        <f>wimbledons_champions!F86</f>
        <v>1</v>
      </c>
      <c r="F39">
        <f>wimbledons_champions!G86</f>
        <v>54</v>
      </c>
      <c r="G39" t="str">
        <f>wimbledons_champions!H86</f>
        <v>6-0, 6-3,</v>
      </c>
      <c r="H39" t="str">
        <f>wimbledons_champions!S86</f>
        <v>A. Jaeger</v>
      </c>
      <c r="I39" t="str">
        <f>wimbledons_champions!T86</f>
        <v>USA</v>
      </c>
      <c r="J39">
        <f>wimbledons_champions!V86</f>
        <v>3</v>
      </c>
    </row>
    <row r="40" spans="1:10" x14ac:dyDescent="0.4">
      <c r="A40">
        <f>wimbledons_champions!A88</f>
        <v>1982</v>
      </c>
      <c r="B40" t="str">
        <f>wimbledons_champions!B88</f>
        <v>Women's</v>
      </c>
      <c r="C40" t="str">
        <f>wimbledons_champions!C88</f>
        <v>M. Navratilova</v>
      </c>
      <c r="D40" t="str">
        <f>wimbledons_champions!D88</f>
        <v>USA</v>
      </c>
      <c r="E40">
        <f>wimbledons_champions!F88</f>
        <v>1</v>
      </c>
      <c r="F40">
        <f>wimbledons_champions!G88</f>
        <v>87</v>
      </c>
      <c r="G40" t="str">
        <f>wimbledons_champions!H88</f>
        <v>6-1, 3-6, 6-2,</v>
      </c>
      <c r="H40" t="str">
        <f>wimbledons_champions!S88</f>
        <v>J.M. Lloyd</v>
      </c>
      <c r="I40" t="str">
        <f>wimbledons_champions!T88</f>
        <v>USA</v>
      </c>
      <c r="J40">
        <f>wimbledons_champions!V88</f>
        <v>2</v>
      </c>
    </row>
    <row r="41" spans="1:10" x14ac:dyDescent="0.4">
      <c r="A41">
        <f>wimbledons_champions!A90</f>
        <v>1981</v>
      </c>
      <c r="B41" t="str">
        <f>wimbledons_champions!B90</f>
        <v>Women's</v>
      </c>
      <c r="C41" t="str">
        <f>wimbledons_champions!C90</f>
        <v>J.M. Lloyd</v>
      </c>
      <c r="D41" t="str">
        <f>wimbledons_champions!D90</f>
        <v>USA</v>
      </c>
      <c r="E41">
        <f>wimbledons_champions!F90</f>
        <v>1</v>
      </c>
      <c r="F41">
        <f>wimbledons_champions!G90</f>
        <v>60</v>
      </c>
      <c r="G41" t="str">
        <f>wimbledons_champions!H90</f>
        <v>6-2, 6-2,</v>
      </c>
      <c r="H41" t="str">
        <f>wimbledons_champions!S90</f>
        <v>H. Mandlikova</v>
      </c>
      <c r="I41" t="str">
        <f>wimbledons_champions!T90</f>
        <v>CZE</v>
      </c>
      <c r="J41">
        <f>wimbledons_champions!V90</f>
        <v>2</v>
      </c>
    </row>
    <row r="42" spans="1:10" x14ac:dyDescent="0.4">
      <c r="A42">
        <f>wimbledons_champions!A92</f>
        <v>1980</v>
      </c>
      <c r="B42" t="str">
        <f>wimbledons_champions!B92</f>
        <v>Women's</v>
      </c>
      <c r="C42" t="str">
        <f>wimbledons_champions!C92</f>
        <v>R.A. Cawley</v>
      </c>
      <c r="D42" t="str">
        <f>wimbledons_champions!D92</f>
        <v>AUS</v>
      </c>
      <c r="E42">
        <f>wimbledons_champions!F92</f>
        <v>4</v>
      </c>
      <c r="F42">
        <f>wimbledons_champions!G92</f>
        <v>93</v>
      </c>
      <c r="G42" t="str">
        <f>wimbledons_champions!H92</f>
        <v>6-1, 7-6 (7-4)</v>
      </c>
      <c r="H42" t="str">
        <f>wimbledons_champions!S92</f>
        <v>J.M. Lloyd</v>
      </c>
      <c r="I42" t="str">
        <f>wimbledons_champions!T92</f>
        <v>USA</v>
      </c>
      <c r="J42">
        <f>wimbledons_champions!V92</f>
        <v>3</v>
      </c>
    </row>
    <row r="43" spans="1:10" x14ac:dyDescent="0.4">
      <c r="A43">
        <f>wimbledons_champions!A94</f>
        <v>1979</v>
      </c>
      <c r="B43" t="str">
        <f>wimbledons_champions!B94</f>
        <v>Women's</v>
      </c>
      <c r="C43" t="str">
        <f>wimbledons_champions!C94</f>
        <v>M. Navratilova</v>
      </c>
      <c r="D43" t="str">
        <f>wimbledons_champions!D94</f>
        <v>USA</v>
      </c>
      <c r="E43">
        <f>wimbledons_champions!F94</f>
        <v>1</v>
      </c>
      <c r="F43">
        <f>wimbledons_champions!G94</f>
        <v>60</v>
      </c>
      <c r="G43" t="str">
        <f>wimbledons_champions!H94</f>
        <v>6-4, 6-4,</v>
      </c>
      <c r="H43" t="str">
        <f>wimbledons_champions!S94</f>
        <v>J.M. Lloyd</v>
      </c>
      <c r="I43" t="str">
        <f>wimbledons_champions!T94</f>
        <v>USA</v>
      </c>
      <c r="J43">
        <f>wimbledons_champions!V94</f>
        <v>2</v>
      </c>
    </row>
    <row r="44" spans="1:10" x14ac:dyDescent="0.4">
      <c r="A44">
        <f>wimbledons_champions!A96</f>
        <v>1978</v>
      </c>
      <c r="B44" t="str">
        <f>wimbledons_champions!B96</f>
        <v>Women's</v>
      </c>
      <c r="C44" t="str">
        <f>wimbledons_champions!C96</f>
        <v>M. Navratilova</v>
      </c>
      <c r="D44" t="str">
        <f>wimbledons_champions!D96</f>
        <v>USA</v>
      </c>
      <c r="E44">
        <f>wimbledons_champions!F96</f>
        <v>2</v>
      </c>
      <c r="F44">
        <f>wimbledons_champions!G96</f>
        <v>102</v>
      </c>
      <c r="G44" t="str">
        <f>wimbledons_champions!H96</f>
        <v>2-6, 6-4, 7-5,</v>
      </c>
      <c r="H44" t="str">
        <f>wimbledons_champions!S96</f>
        <v>C.M. Evert</v>
      </c>
      <c r="I44" t="str">
        <f>wimbledons_champions!T96</f>
        <v>USA</v>
      </c>
      <c r="J44">
        <f>wimbledons_champions!V96</f>
        <v>1</v>
      </c>
    </row>
    <row r="45" spans="1:10" x14ac:dyDescent="0.4">
      <c r="A45">
        <f>wimbledons_champions!A98</f>
        <v>1977</v>
      </c>
      <c r="B45" t="str">
        <f>wimbledons_champions!B98</f>
        <v>Women's</v>
      </c>
      <c r="C45" t="str">
        <f>wimbledons_champions!C98</f>
        <v>S.V. Wade</v>
      </c>
      <c r="D45" t="str">
        <f>wimbledons_champions!D98</f>
        <v>GBR</v>
      </c>
      <c r="E45">
        <f>wimbledons_champions!F98</f>
        <v>3</v>
      </c>
      <c r="F45">
        <f>wimbledons_champions!G98</f>
        <v>98</v>
      </c>
      <c r="G45" t="str">
        <f>wimbledons_champions!H98</f>
        <v>4-6, 6-3, 6-1,</v>
      </c>
      <c r="H45" t="str">
        <f>wimbledons_champions!S98</f>
        <v>B.F. Stove</v>
      </c>
      <c r="I45" t="str">
        <f>wimbledons_champions!T98</f>
        <v>NED</v>
      </c>
      <c r="J45">
        <f>wimbledons_champions!V98</f>
        <v>7</v>
      </c>
    </row>
    <row r="46" spans="1:10" x14ac:dyDescent="0.4">
      <c r="A46">
        <f>wimbledons_champions!A100</f>
        <v>1976</v>
      </c>
      <c r="B46" t="str">
        <f>wimbledons_champions!B100</f>
        <v>Women's</v>
      </c>
      <c r="C46" t="str">
        <f>wimbledons_champions!C100</f>
        <v>C.M. Evert</v>
      </c>
      <c r="D46" t="str">
        <f>wimbledons_champions!D100</f>
        <v>USA</v>
      </c>
      <c r="E46">
        <f>wimbledons_champions!F100</f>
        <v>1</v>
      </c>
      <c r="F46">
        <f>wimbledons_champions!G100</f>
        <v>120</v>
      </c>
      <c r="G46" t="str">
        <f>wimbledons_champions!H100</f>
        <v>6-3, 4-6, 8-6,</v>
      </c>
      <c r="H46" t="str">
        <f>wimbledons_champions!S100</f>
        <v>R.A. Cawley</v>
      </c>
      <c r="I46" t="str">
        <f>wimbledons_champions!T100</f>
        <v>AUS</v>
      </c>
      <c r="J46">
        <f>wimbledons_champions!V100</f>
        <v>2</v>
      </c>
    </row>
    <row r="47" spans="1:10" x14ac:dyDescent="0.4">
      <c r="A47">
        <f>wimbledons_champions!A102</f>
        <v>1975</v>
      </c>
      <c r="B47" t="str">
        <f>wimbledons_champions!B102</f>
        <v>Women's</v>
      </c>
      <c r="C47" t="str">
        <f>wimbledons_champions!C102</f>
        <v>L.W. King</v>
      </c>
      <c r="D47" t="str">
        <f>wimbledons_champions!D102</f>
        <v>USA</v>
      </c>
      <c r="E47">
        <f>wimbledons_champions!F102</f>
        <v>3</v>
      </c>
      <c r="F47">
        <f>wimbledons_champions!G102</f>
        <v>38</v>
      </c>
      <c r="G47" t="str">
        <f>wimbledons_champions!H102</f>
        <v>6-0, 6-1,</v>
      </c>
      <c r="H47" t="str">
        <f>wimbledons_champions!S102</f>
        <v>R.A. Cawley</v>
      </c>
      <c r="I47" t="str">
        <f>wimbledons_champions!T102</f>
        <v>AUS</v>
      </c>
      <c r="J47">
        <f>wimbledons_champions!V102</f>
        <v>4</v>
      </c>
    </row>
    <row r="48" spans="1:10" x14ac:dyDescent="0.4">
      <c r="A48">
        <f>wimbledons_champions!A104</f>
        <v>1974</v>
      </c>
      <c r="B48" t="str">
        <f>wimbledons_champions!B104</f>
        <v>Women's</v>
      </c>
      <c r="C48" t="str">
        <f>wimbledons_champions!C104</f>
        <v>C.M. Evert</v>
      </c>
      <c r="D48" t="str">
        <f>wimbledons_champions!D104</f>
        <v>USA</v>
      </c>
      <c r="E48">
        <f>wimbledons_champions!F104</f>
        <v>2</v>
      </c>
      <c r="F48">
        <f>wimbledons_champions!G104</f>
        <v>59</v>
      </c>
      <c r="G48" t="str">
        <f>wimbledons_champions!H104</f>
        <v>6-0, 6-4</v>
      </c>
      <c r="H48" t="str">
        <f>wimbledons_champions!S104</f>
        <v>O.V. Morozova</v>
      </c>
      <c r="I48" t="str">
        <f>wimbledons_champions!T104</f>
        <v>URS</v>
      </c>
      <c r="J48">
        <f>wimbledons_champions!V104</f>
        <v>8</v>
      </c>
    </row>
    <row r="49" spans="1:10" x14ac:dyDescent="0.4">
      <c r="A49">
        <f>wimbledons_champions!A106</f>
        <v>1973</v>
      </c>
      <c r="B49" t="str">
        <f>wimbledons_champions!B106</f>
        <v>Women's</v>
      </c>
      <c r="C49" t="str">
        <f>wimbledons_champions!C106</f>
        <v>L.W. King</v>
      </c>
      <c r="D49" t="str">
        <f>wimbledons_champions!D106</f>
        <v>USA</v>
      </c>
      <c r="E49">
        <f>wimbledons_champions!F106</f>
        <v>2</v>
      </c>
      <c r="F49">
        <f>wimbledons_champions!G106</f>
        <v>53</v>
      </c>
      <c r="G49" t="str">
        <f>wimbledons_champions!H106</f>
        <v>6-0, 7-5</v>
      </c>
      <c r="H49" t="str">
        <f>wimbledons_champions!S106</f>
        <v>C.M. Evert</v>
      </c>
      <c r="I49" t="str">
        <f>wimbledons_champions!T106</f>
        <v>USA</v>
      </c>
      <c r="J49">
        <f>wimbledons_champions!V106</f>
        <v>4</v>
      </c>
    </row>
    <row r="50" spans="1:10" x14ac:dyDescent="0.4">
      <c r="A50">
        <f>wimbledons_champions!A108</f>
        <v>1972</v>
      </c>
      <c r="B50" t="str">
        <f>wimbledons_champions!B108</f>
        <v>Women's</v>
      </c>
      <c r="C50" t="str">
        <f>wimbledons_champions!C108</f>
        <v>L.W. King</v>
      </c>
      <c r="D50" t="str">
        <f>wimbledons_champions!D108</f>
        <v>USA</v>
      </c>
      <c r="E50">
        <f>wimbledons_champions!F108</f>
        <v>2</v>
      </c>
      <c r="F50">
        <f>wimbledons_champions!G108</f>
        <v>50</v>
      </c>
      <c r="G50" t="str">
        <f>wimbledons_champions!H108</f>
        <v>6-3, 6-3,</v>
      </c>
      <c r="H50" t="str">
        <f>wimbledons_champions!S108</f>
        <v>E.F. Goolagong</v>
      </c>
      <c r="I50" t="str">
        <f>wimbledons_champions!T108</f>
        <v>AUS</v>
      </c>
      <c r="J50">
        <f>wimbledons_champions!V108</f>
        <v>1</v>
      </c>
    </row>
    <row r="51" spans="1:10" x14ac:dyDescent="0.4">
      <c r="A51">
        <f>wimbledons_champions!A110</f>
        <v>1971</v>
      </c>
      <c r="B51" t="str">
        <f>wimbledons_champions!B110</f>
        <v>Women's</v>
      </c>
      <c r="C51" t="str">
        <f>wimbledons_champions!C110</f>
        <v>E.F. Goolagong</v>
      </c>
      <c r="D51" t="str">
        <f>wimbledons_champions!D110</f>
        <v>AUS</v>
      </c>
      <c r="E51">
        <f>wimbledons_champions!F110</f>
        <v>3</v>
      </c>
      <c r="F51">
        <f>wimbledons_champions!G110</f>
        <v>62</v>
      </c>
      <c r="G51" t="str">
        <f>wimbledons_champions!H110</f>
        <v>6-4, 6-1,</v>
      </c>
      <c r="H51" t="str">
        <f>wimbledons_champions!S110</f>
        <v>B.M. Court</v>
      </c>
      <c r="I51" t="str">
        <f>wimbledons_champions!T110</f>
        <v>AUS</v>
      </c>
      <c r="J51">
        <f>wimbledons_champions!V110</f>
        <v>1</v>
      </c>
    </row>
    <row r="52" spans="1:10" x14ac:dyDescent="0.4">
      <c r="A52">
        <f>wimbledons_champions!A112</f>
        <v>1970</v>
      </c>
      <c r="B52" t="str">
        <f>wimbledons_champions!B112</f>
        <v>Women's</v>
      </c>
      <c r="C52" t="str">
        <f>wimbledons_champions!C112</f>
        <v>B.M. Court</v>
      </c>
      <c r="D52" t="str">
        <f>wimbledons_champions!D112</f>
        <v>AUS</v>
      </c>
      <c r="E52">
        <f>wimbledons_champions!F112</f>
        <v>1</v>
      </c>
      <c r="F52">
        <f>wimbledons_champions!G112</f>
        <v>148</v>
      </c>
      <c r="G52" t="str">
        <f>wimbledons_champions!H112</f>
        <v>14-12, 11-9,</v>
      </c>
      <c r="H52" t="str">
        <f>wimbledons_champions!S112</f>
        <v>L.W. King</v>
      </c>
      <c r="I52" t="str">
        <f>wimbledons_champions!T112</f>
        <v>USA</v>
      </c>
      <c r="J52">
        <f>wimbledons_champions!V112</f>
        <v>2</v>
      </c>
    </row>
    <row r="53" spans="1:10" x14ac:dyDescent="0.4">
      <c r="A53">
        <f>wimbledons_champions!A114</f>
        <v>1969</v>
      </c>
      <c r="B53" t="str">
        <f>wimbledons_champions!B114</f>
        <v>Women's</v>
      </c>
      <c r="C53" t="str">
        <f>wimbledons_champions!C114</f>
        <v>P.F. Jones</v>
      </c>
      <c r="D53" t="str">
        <f>wimbledons_champions!D114</f>
        <v>GBR</v>
      </c>
      <c r="E53">
        <f>wimbledons_champions!F114</f>
        <v>4</v>
      </c>
      <c r="F53">
        <f>wimbledons_champions!G114</f>
        <v>71</v>
      </c>
      <c r="G53" t="str">
        <f>wimbledons_champions!H114</f>
        <v>3-6, 6-3, 6-2,</v>
      </c>
      <c r="H53" t="str">
        <f>wimbledons_champions!S114</f>
        <v>L.W. King</v>
      </c>
      <c r="I53" t="str">
        <f>wimbledons_champions!T114</f>
        <v>USA</v>
      </c>
      <c r="J53">
        <f>wimbledons_champions!V114</f>
        <v>2</v>
      </c>
    </row>
    <row r="54" spans="1:10" x14ac:dyDescent="0.4">
      <c r="A54">
        <f>wimbledons_champions!A116</f>
        <v>1968</v>
      </c>
      <c r="B54" t="str">
        <f>wimbledons_champions!B116</f>
        <v>Women's</v>
      </c>
      <c r="C54" t="str">
        <f>wimbledons_champions!C116</f>
        <v>L.W. King</v>
      </c>
      <c r="D54" t="str">
        <f>wimbledons_champions!D116</f>
        <v>USA</v>
      </c>
      <c r="E54">
        <f>wimbledons_champions!F116</f>
        <v>1</v>
      </c>
      <c r="F54">
        <f>wimbledons_champions!G116</f>
        <v>69</v>
      </c>
      <c r="G54" t="str">
        <f>wimbledons_champions!H116</f>
        <v>9-7, 7-5,</v>
      </c>
      <c r="H54" t="str">
        <f>wimbledons_champions!S116</f>
        <v>J.A.M. Tegart</v>
      </c>
      <c r="I54" t="str">
        <f>wimbledons_champions!T116</f>
        <v>AUS</v>
      </c>
      <c r="J54">
        <f>wimbledons_champions!V116</f>
        <v>7</v>
      </c>
    </row>
    <row r="55" spans="1:10" x14ac:dyDescent="0.4">
      <c r="A55">
        <f>wimbledons_champions!A118</f>
        <v>1967</v>
      </c>
      <c r="B55" t="str">
        <f>wimbledons_champions!B118</f>
        <v>Women's</v>
      </c>
      <c r="C55" t="str">
        <f>wimbledons_champions!C118</f>
        <v>L.W. King</v>
      </c>
      <c r="D55" t="str">
        <f>wimbledons_champions!D118</f>
        <v>USA</v>
      </c>
      <c r="E55">
        <f>wimbledons_champions!F118</f>
        <v>1</v>
      </c>
      <c r="F55">
        <f>wimbledons_champions!G118</f>
        <v>60</v>
      </c>
      <c r="G55" t="str">
        <f>wimbledons_champions!H118</f>
        <v>6-3, 6-4,</v>
      </c>
      <c r="H55" t="str">
        <f>wimbledons_champions!S118</f>
        <v>P.F. Jones</v>
      </c>
      <c r="I55" t="str">
        <f>wimbledons_champions!T118</f>
        <v>GBR</v>
      </c>
      <c r="J55">
        <f>wimbledons_champions!V118</f>
        <v>3</v>
      </c>
    </row>
    <row r="56" spans="1:10" x14ac:dyDescent="0.4">
      <c r="A56">
        <f>wimbledons_champions!A120</f>
        <v>1966</v>
      </c>
      <c r="B56" t="str">
        <f>wimbledons_champions!B120</f>
        <v>Women's</v>
      </c>
      <c r="C56" t="str">
        <f>wimbledons_champions!C120</f>
        <v>L.W. King</v>
      </c>
      <c r="D56" t="str">
        <f>wimbledons_champions!D120</f>
        <v>USA</v>
      </c>
      <c r="E56">
        <f>wimbledons_champions!F120</f>
        <v>4</v>
      </c>
      <c r="F56">
        <f>wimbledons_champions!G120</f>
        <v>68</v>
      </c>
      <c r="G56" t="str">
        <f>wimbledons_champions!H120</f>
        <v>6-3, 3-6, 6-1,</v>
      </c>
      <c r="H56" t="str">
        <f>wimbledons_champions!S120</f>
        <v>M.E.A. Bueno</v>
      </c>
      <c r="I56" t="str">
        <f>wimbledons_champions!T120</f>
        <v>BRA</v>
      </c>
      <c r="J56">
        <f>wimbledons_champions!V120</f>
        <v>2</v>
      </c>
    </row>
    <row r="57" spans="1:10" x14ac:dyDescent="0.4">
      <c r="A57">
        <f>wimbledons_champions!A122</f>
        <v>1965</v>
      </c>
      <c r="B57" t="str">
        <f>wimbledons_champions!B122</f>
        <v>Women's</v>
      </c>
      <c r="C57" t="str">
        <f>wimbledons_champions!C122</f>
        <v>B.M. Court</v>
      </c>
      <c r="D57" t="str">
        <f>wimbledons_champions!D122</f>
        <v>AUS</v>
      </c>
      <c r="E57">
        <f>wimbledons_champions!F122</f>
        <v>2</v>
      </c>
      <c r="F57">
        <f>wimbledons_champions!G122</f>
        <v>56</v>
      </c>
      <c r="G57" t="str">
        <f>wimbledons_champions!H122</f>
        <v>6-4, 7-5,</v>
      </c>
      <c r="H57" t="str">
        <f>wimbledons_champions!S122</f>
        <v>M.E.A. Bueno</v>
      </c>
      <c r="I57" t="str">
        <f>wimbledons_champions!T122</f>
        <v>BRA</v>
      </c>
      <c r="J57">
        <f>wimbledons_champions!V122</f>
        <v>1</v>
      </c>
    </row>
    <row r="58" spans="1:10" x14ac:dyDescent="0.4">
      <c r="A58">
        <f>wimbledons_champions!A124</f>
        <v>1964</v>
      </c>
      <c r="B58" t="str">
        <f>wimbledons_champions!B124</f>
        <v>Women's</v>
      </c>
      <c r="C58" t="str">
        <f>wimbledons_champions!C124</f>
        <v>M.E.A. Bueno</v>
      </c>
      <c r="D58" t="str">
        <f>wimbledons_champions!D124</f>
        <v>BRA</v>
      </c>
      <c r="E58">
        <f>wimbledons_champions!F124</f>
        <v>2</v>
      </c>
      <c r="F58">
        <f>wimbledons_champions!G124</f>
        <v>90</v>
      </c>
      <c r="G58" t="str">
        <f>wimbledons_champions!H124</f>
        <v>6-4, 7-9, 6-3,</v>
      </c>
      <c r="H58" t="str">
        <f>wimbledons_champions!S124</f>
        <v>B.M. Court</v>
      </c>
      <c r="I58" t="str">
        <f>wimbledons_champions!T124</f>
        <v>AUS</v>
      </c>
      <c r="J58">
        <f>wimbledons_champions!V124</f>
        <v>1</v>
      </c>
    </row>
    <row r="59" spans="1:10" x14ac:dyDescent="0.4">
      <c r="A59">
        <f>wimbledons_champions!A126</f>
        <v>1963</v>
      </c>
      <c r="B59" t="str">
        <f>wimbledons_champions!B126</f>
        <v>Women's</v>
      </c>
      <c r="C59" t="str">
        <f>wimbledons_champions!C126</f>
        <v>B.M. Court</v>
      </c>
      <c r="D59" t="str">
        <f>wimbledons_champions!D126</f>
        <v>AUS</v>
      </c>
      <c r="E59">
        <f>wimbledons_champions!F126</f>
        <v>1</v>
      </c>
      <c r="F59">
        <f>wimbledons_champions!G126</f>
        <v>51</v>
      </c>
      <c r="G59" t="str">
        <f>wimbledons_champions!H126</f>
        <v>6-3, 6-4,</v>
      </c>
      <c r="H59" t="str">
        <f>wimbledons_champions!S126</f>
        <v>B.J. Moffitt</v>
      </c>
      <c r="I59" t="str">
        <f>wimbledons_champions!T126</f>
        <v>USA</v>
      </c>
      <c r="J59" t="str">
        <f>wimbledons_champions!V126</f>
        <v>U</v>
      </c>
    </row>
    <row r="60" spans="1:10" x14ac:dyDescent="0.4">
      <c r="A60">
        <f>wimbledons_champions!A128</f>
        <v>1962</v>
      </c>
      <c r="B60" t="str">
        <f>wimbledons_champions!B128</f>
        <v>Women's</v>
      </c>
      <c r="C60" t="str">
        <f>wimbledons_champions!C128</f>
        <v>J.R. Susman</v>
      </c>
      <c r="D60" t="str">
        <f>wimbledons_champions!D128</f>
        <v>USA</v>
      </c>
      <c r="E60">
        <f>wimbledons_champions!F128</f>
        <v>8</v>
      </c>
      <c r="F60">
        <f>wimbledons_champions!G128</f>
        <v>57</v>
      </c>
      <c r="G60" t="str">
        <f>wimbledons_champions!H128</f>
        <v>6-4, 6-4,</v>
      </c>
      <c r="H60" t="str">
        <f>wimbledons_champions!S128</f>
        <v>C. Sukova</v>
      </c>
      <c r="I60" t="str">
        <f>wimbledons_champions!T128</f>
        <v>CZE</v>
      </c>
      <c r="J60" t="str">
        <f>wimbledons_champions!V128</f>
        <v>U</v>
      </c>
    </row>
    <row r="61" spans="1:10" x14ac:dyDescent="0.4">
      <c r="A61">
        <f>wimbledons_champions!A130</f>
        <v>1961</v>
      </c>
      <c r="B61" t="str">
        <f>wimbledons_champions!B130</f>
        <v>Women's</v>
      </c>
      <c r="C61" t="str">
        <f>wimbledons_champions!C130</f>
        <v>F.A.M. Mortimer</v>
      </c>
      <c r="D61" t="str">
        <f>wimbledons_champions!D130</f>
        <v>GBR</v>
      </c>
      <c r="E61">
        <f>wimbledons_champions!F130</f>
        <v>7</v>
      </c>
      <c r="F61">
        <f>wimbledons_champions!G130</f>
        <v>96</v>
      </c>
      <c r="G61" t="str">
        <f>wimbledons_champions!H130</f>
        <v>4-6, 6-4, 7-5,</v>
      </c>
      <c r="H61" t="str">
        <f>wimbledons_champions!S130</f>
        <v>C.C. Truman</v>
      </c>
      <c r="I61" t="str">
        <f>wimbledons_champions!T130</f>
        <v>GBR</v>
      </c>
      <c r="J61">
        <f>wimbledons_champions!V130</f>
        <v>6</v>
      </c>
    </row>
    <row r="62" spans="1:10" x14ac:dyDescent="0.4">
      <c r="A62">
        <f>wimbledons_champions!A132</f>
        <v>1960</v>
      </c>
      <c r="B62" t="str">
        <f>wimbledons_champions!B132</f>
        <v>Women's</v>
      </c>
      <c r="C62" t="str">
        <f>wimbledons_champions!C132</f>
        <v>M.E.A. Bueno</v>
      </c>
      <c r="D62" t="str">
        <f>wimbledons_champions!D132</f>
        <v>BRA</v>
      </c>
      <c r="E62">
        <f>wimbledons_champions!F132</f>
        <v>1</v>
      </c>
      <c r="F62">
        <f>wimbledons_champions!G132</f>
        <v>59</v>
      </c>
      <c r="G62" t="str">
        <f>wimbledons_champions!H132</f>
        <v>8-6, 6-0</v>
      </c>
      <c r="H62" t="str">
        <f>wimbledons_champions!S132</f>
        <v>S. Reynolds</v>
      </c>
      <c r="I62" t="str">
        <f>wimbledons_champions!T132</f>
        <v>RSA</v>
      </c>
      <c r="J62">
        <f>wimbledons_champions!V132</f>
        <v>8</v>
      </c>
    </row>
    <row r="63" spans="1:10" x14ac:dyDescent="0.4">
      <c r="A63">
        <f>wimbledons_champions!A134</f>
        <v>1959</v>
      </c>
      <c r="B63" t="str">
        <f>wimbledons_champions!B134</f>
        <v>Women's</v>
      </c>
      <c r="C63" t="str">
        <f>wimbledons_champions!C134</f>
        <v>M.E.A. Bueno</v>
      </c>
      <c r="D63" t="str">
        <f>wimbledons_champions!D134</f>
        <v>BRA</v>
      </c>
      <c r="E63">
        <f>wimbledons_champions!F134</f>
        <v>6</v>
      </c>
      <c r="F63">
        <f>wimbledons_champions!G134</f>
        <v>43</v>
      </c>
      <c r="G63" t="str">
        <f>wimbledons_champions!H134</f>
        <v>6-4, 6-3,</v>
      </c>
      <c r="H63" t="str">
        <f>wimbledons_champions!S134</f>
        <v>D.R. Hard</v>
      </c>
      <c r="I63" t="str">
        <f>wimbledons_champions!T134</f>
        <v>USA</v>
      </c>
      <c r="J63">
        <f>wimbledons_champions!V134</f>
        <v>4</v>
      </c>
    </row>
    <row r="64" spans="1:10" x14ac:dyDescent="0.4">
      <c r="A64">
        <f>wimbledons_champions!A136</f>
        <v>1958</v>
      </c>
      <c r="B64" t="str">
        <f>wimbledons_champions!B136</f>
        <v>Women's</v>
      </c>
      <c r="C64" t="str">
        <f>wimbledons_champions!C136</f>
        <v>A. Gibson</v>
      </c>
      <c r="D64" t="str">
        <f>wimbledons_champions!D136</f>
        <v>USA</v>
      </c>
      <c r="E64">
        <f>wimbledons_champions!F136</f>
        <v>1</v>
      </c>
      <c r="F64">
        <f>wimbledons_champions!G136</f>
        <v>62</v>
      </c>
      <c r="G64" t="str">
        <f>wimbledons_champions!H136</f>
        <v>8-6, 6-2,</v>
      </c>
      <c r="H64" t="str">
        <f>wimbledons_champions!S136</f>
        <v>F.A.M. Mortimer</v>
      </c>
      <c r="I64" t="str">
        <f>wimbledons_champions!T136</f>
        <v>GBR</v>
      </c>
      <c r="J64" t="str">
        <f>wimbledons_champions!V136</f>
        <v>U</v>
      </c>
    </row>
    <row r="65" spans="1:10" x14ac:dyDescent="0.4">
      <c r="A65">
        <f>wimbledons_champions!A138</f>
        <v>1957</v>
      </c>
      <c r="B65" t="str">
        <f>wimbledons_champions!B138</f>
        <v>Women's</v>
      </c>
      <c r="C65" t="str">
        <f>wimbledons_champions!C138</f>
        <v>A. Gibson</v>
      </c>
      <c r="D65" t="str">
        <f>wimbledons_champions!D138</f>
        <v>USA</v>
      </c>
      <c r="E65">
        <f>wimbledons_champions!F138</f>
        <v>1</v>
      </c>
      <c r="F65">
        <f>wimbledons_champions!G138</f>
        <v>50</v>
      </c>
      <c r="G65" t="str">
        <f>wimbledons_champions!H138</f>
        <v>6-3, 6-2,</v>
      </c>
      <c r="H65" t="str">
        <f>wimbledons_champions!S138</f>
        <v>D.R. Hard</v>
      </c>
      <c r="I65" t="str">
        <f>wimbledons_champions!T138</f>
        <v>USA</v>
      </c>
      <c r="J65">
        <f>wimbledons_champions!V138</f>
        <v>5</v>
      </c>
    </row>
    <row r="66" spans="1:10" x14ac:dyDescent="0.4">
      <c r="A66">
        <f>wimbledons_champions!A140</f>
        <v>1956</v>
      </c>
      <c r="B66" t="str">
        <f>wimbledons_champions!B140</f>
        <v>Women's</v>
      </c>
      <c r="C66" t="str">
        <f>wimbledons_champions!C140</f>
        <v>S.J. Fry</v>
      </c>
      <c r="D66" t="str">
        <f>wimbledons_champions!D140</f>
        <v>USA</v>
      </c>
      <c r="E66">
        <f>wimbledons_champions!F140</f>
        <v>5</v>
      </c>
      <c r="F66">
        <f>wimbledons_champions!G140</f>
        <v>50</v>
      </c>
      <c r="G66" t="str">
        <f>wimbledons_champions!H140</f>
        <v>6-3, 6-1,</v>
      </c>
      <c r="H66" t="str">
        <f>wimbledons_champions!S140</f>
        <v>A. Buxton</v>
      </c>
      <c r="I66" t="str">
        <f>wimbledons_champions!T140</f>
        <v>GBR</v>
      </c>
      <c r="J66">
        <f>wimbledons_champions!V140</f>
        <v>6</v>
      </c>
    </row>
    <row r="67" spans="1:10" x14ac:dyDescent="0.4">
      <c r="A67">
        <f>wimbledons_champions!A142</f>
        <v>1955</v>
      </c>
      <c r="B67" t="str">
        <f>wimbledons_champions!B142</f>
        <v>Women's</v>
      </c>
      <c r="C67" t="str">
        <f>wimbledons_champions!C142</f>
        <v>A.L. Brough</v>
      </c>
      <c r="D67" t="str">
        <f>wimbledons_champions!D142</f>
        <v>USA</v>
      </c>
      <c r="E67">
        <f>wimbledons_champions!F142</f>
        <v>2</v>
      </c>
      <c r="F67">
        <f>wimbledons_champions!G142</f>
        <v>90</v>
      </c>
      <c r="G67" t="str">
        <f>wimbledons_champions!H142</f>
        <v>7-5, 8-6,</v>
      </c>
      <c r="H67" t="str">
        <f>wimbledons_champions!S142</f>
        <v>J.G. Fleitz</v>
      </c>
      <c r="I67" t="str">
        <f>wimbledons_champions!T142</f>
        <v>USA</v>
      </c>
      <c r="J67">
        <f>wimbledons_champions!V142</f>
        <v>3</v>
      </c>
    </row>
    <row r="68" spans="1:10" x14ac:dyDescent="0.4">
      <c r="A68">
        <f>wimbledons_champions!A144</f>
        <v>1954</v>
      </c>
      <c r="B68" t="str">
        <f>wimbledons_champions!B144</f>
        <v>Women's</v>
      </c>
      <c r="C68" t="str">
        <f>wimbledons_champions!C144</f>
        <v>M.C. Connolly</v>
      </c>
      <c r="D68" t="str">
        <f>wimbledons_champions!D144</f>
        <v>USA</v>
      </c>
      <c r="E68">
        <f>wimbledons_champions!F144</f>
        <v>1</v>
      </c>
      <c r="F68">
        <f>wimbledons_champions!G144</f>
        <v>50</v>
      </c>
      <c r="G68" t="str">
        <f>wimbledons_champions!H144</f>
        <v>6-2, 7-5,</v>
      </c>
      <c r="H68" t="str">
        <f>wimbledons_champions!S144</f>
        <v>A.L. Brough</v>
      </c>
      <c r="I68" t="str">
        <f>wimbledons_champions!T144</f>
        <v>USA</v>
      </c>
      <c r="J68">
        <f>wimbledons_champions!V144</f>
        <v>4</v>
      </c>
    </row>
    <row r="69" spans="1:10" x14ac:dyDescent="0.4">
      <c r="A69">
        <f>wimbledons_champions!A146</f>
        <v>1953</v>
      </c>
      <c r="B69" t="str">
        <f>wimbledons_champions!B146</f>
        <v>Women's</v>
      </c>
      <c r="C69" t="str">
        <f>wimbledons_champions!C146</f>
        <v>M.C. Connolly</v>
      </c>
      <c r="D69" t="str">
        <f>wimbledons_champions!D146</f>
        <v>USA</v>
      </c>
      <c r="E69">
        <f>wimbledons_champions!F146</f>
        <v>1</v>
      </c>
      <c r="F69">
        <f>wimbledons_champions!G146</f>
        <v>67</v>
      </c>
      <c r="G69" t="str">
        <f>wimbledons_champions!H146</f>
        <v>8-6, 7-5,</v>
      </c>
      <c r="H69" t="str">
        <f>wimbledons_champions!S146</f>
        <v>D.J. Hart</v>
      </c>
      <c r="I69" t="str">
        <f>wimbledons_champions!T146</f>
        <v>USA</v>
      </c>
      <c r="J69">
        <f>wimbledons_champions!V146</f>
        <v>2</v>
      </c>
    </row>
    <row r="70" spans="1:10" x14ac:dyDescent="0.4">
      <c r="A70">
        <f>wimbledons_champions!A148</f>
        <v>1952</v>
      </c>
      <c r="B70" t="str">
        <f>wimbledons_champions!B148</f>
        <v>Women's</v>
      </c>
      <c r="C70" t="str">
        <f>wimbledons_champions!C148</f>
        <v>M.C. Connolly</v>
      </c>
      <c r="D70" t="str">
        <f>wimbledons_champions!D148</f>
        <v>USA</v>
      </c>
      <c r="E70">
        <f>wimbledons_champions!F148</f>
        <v>2</v>
      </c>
      <c r="F70">
        <f>wimbledons_champions!G148</f>
        <v>65</v>
      </c>
      <c r="G70" t="str">
        <f>wimbledons_champions!H148</f>
        <v>7-5, 6-3,</v>
      </c>
      <c r="H70" t="str">
        <f>wimbledons_champions!S148</f>
        <v>A.L. Brough</v>
      </c>
      <c r="I70" t="str">
        <f>wimbledons_champions!T148</f>
        <v>USA</v>
      </c>
      <c r="J70">
        <f>wimbledons_champions!V148</f>
        <v>4</v>
      </c>
    </row>
    <row r="71" spans="1:10" x14ac:dyDescent="0.4">
      <c r="A71">
        <f>wimbledons_champions!A150</f>
        <v>1951</v>
      </c>
      <c r="B71" t="str">
        <f>wimbledons_champions!B150</f>
        <v>Women's</v>
      </c>
      <c r="C71" t="str">
        <f>wimbledons_champions!C150</f>
        <v>D.J. Hart</v>
      </c>
      <c r="D71" t="str">
        <f>wimbledons_champions!D150</f>
        <v>USA</v>
      </c>
      <c r="E71">
        <f>wimbledons_champions!F150</f>
        <v>3</v>
      </c>
      <c r="F71">
        <f>wimbledons_champions!G150</f>
        <v>35</v>
      </c>
      <c r="G71" t="str">
        <f>wimbledons_champions!H150</f>
        <v>6-1, 6-0</v>
      </c>
      <c r="H71" t="str">
        <f>wimbledons_champions!S150</f>
        <v>S.J. Fry</v>
      </c>
      <c r="I71" t="str">
        <f>wimbledons_champions!T150</f>
        <v>USA</v>
      </c>
      <c r="J71">
        <f>wimbledons_champions!V150</f>
        <v>4</v>
      </c>
    </row>
    <row r="72" spans="1:10" x14ac:dyDescent="0.4">
      <c r="A72">
        <f>wimbledons_champions!A152</f>
        <v>1950</v>
      </c>
      <c r="B72" t="str">
        <f>wimbledons_champions!B152</f>
        <v>Women's</v>
      </c>
      <c r="C72" t="str">
        <f>wimbledons_champions!C152</f>
        <v>A.L. Brough</v>
      </c>
      <c r="D72" t="str">
        <f>wimbledons_champions!D152</f>
        <v>USA</v>
      </c>
      <c r="E72">
        <f>wimbledons_champions!F152</f>
        <v>1</v>
      </c>
      <c r="F72">
        <f>wimbledons_champions!G152</f>
        <v>62</v>
      </c>
      <c r="G72" t="str">
        <f>wimbledons_champions!H152</f>
        <v>6-1, 3-6, 6-1,</v>
      </c>
      <c r="H72" t="str">
        <f>wimbledons_champions!S152</f>
        <v>M. duPont</v>
      </c>
      <c r="I72" t="str">
        <f>wimbledons_champions!T152</f>
        <v>USA</v>
      </c>
      <c r="J72">
        <f>wimbledons_champions!V152</f>
        <v>2</v>
      </c>
    </row>
    <row r="73" spans="1:10" x14ac:dyDescent="0.4">
      <c r="A73">
        <f>wimbledons_champions!A154</f>
        <v>1949</v>
      </c>
      <c r="B73" t="str">
        <f>wimbledons_champions!B154</f>
        <v>Women's</v>
      </c>
      <c r="C73" t="str">
        <f>wimbledons_champions!C154</f>
        <v>A.L. Brough</v>
      </c>
      <c r="D73" t="str">
        <f>wimbledons_champions!D154</f>
        <v>USA</v>
      </c>
      <c r="E73">
        <f>wimbledons_champions!F154</f>
        <v>1</v>
      </c>
      <c r="F73">
        <f>wimbledons_champions!G154</f>
        <v>120</v>
      </c>
      <c r="G73" t="str">
        <f>wimbledons_champions!H154</f>
        <v>10-8, 1-6, 10-8,</v>
      </c>
      <c r="H73" t="str">
        <f>wimbledons_champions!S154</f>
        <v>M. duPont</v>
      </c>
      <c r="I73" t="str">
        <f>wimbledons_champions!T154</f>
        <v>USA</v>
      </c>
      <c r="J73">
        <f>wimbledons_champions!V154</f>
        <v>2</v>
      </c>
    </row>
    <row r="74" spans="1:10" x14ac:dyDescent="0.4">
      <c r="A74">
        <f>wimbledons_champions!A156</f>
        <v>1948</v>
      </c>
      <c r="B74" t="str">
        <f>wimbledons_champions!B156</f>
        <v>Women's</v>
      </c>
      <c r="C74" t="str">
        <f>wimbledons_champions!C156</f>
        <v>A.L. Brough</v>
      </c>
      <c r="D74" t="str">
        <f>wimbledons_champions!D156</f>
        <v>USA</v>
      </c>
      <c r="E74">
        <f>wimbledons_champions!F156</f>
        <v>2</v>
      </c>
      <c r="F74">
        <f>wimbledons_champions!G156</f>
        <v>76</v>
      </c>
      <c r="G74" t="str">
        <f>wimbledons_champions!H156</f>
        <v>6-3, 8-6,</v>
      </c>
      <c r="H74" t="str">
        <f>wimbledons_champions!S156</f>
        <v>D.J. Hart</v>
      </c>
      <c r="I74" t="str">
        <f>wimbledons_champions!T156</f>
        <v>USA</v>
      </c>
      <c r="J74">
        <f>wimbledons_champions!V156</f>
        <v>4</v>
      </c>
    </row>
    <row r="75" spans="1:10" x14ac:dyDescent="0.4">
      <c r="A75">
        <f>wimbledons_champions!A158</f>
        <v>1947</v>
      </c>
      <c r="B75" t="str">
        <f>wimbledons_champions!B158</f>
        <v>Women's</v>
      </c>
      <c r="C75" t="str">
        <f>wimbledons_champions!C158</f>
        <v>M.E. Osborne</v>
      </c>
      <c r="D75" t="str">
        <f>wimbledons_champions!D158</f>
        <v>USA</v>
      </c>
      <c r="E75">
        <f>wimbledons_champions!F158</f>
        <v>1</v>
      </c>
      <c r="F75">
        <f>wimbledons_champions!G158</f>
        <v>0</v>
      </c>
      <c r="G75" t="str">
        <f>wimbledons_champions!H158</f>
        <v>6-2, 6-4,</v>
      </c>
      <c r="H75" t="str">
        <f>wimbledons_champions!S158</f>
        <v>D.J. Hart</v>
      </c>
      <c r="I75" t="str">
        <f>wimbledons_champions!T158</f>
        <v>USA</v>
      </c>
      <c r="J75">
        <f>wimbledons_champions!V158</f>
        <v>3</v>
      </c>
    </row>
    <row r="76" spans="1:10" x14ac:dyDescent="0.4">
      <c r="A76">
        <f>wimbledons_champions!A160</f>
        <v>1946</v>
      </c>
      <c r="B76" t="str">
        <f>wimbledons_champions!B160</f>
        <v>Women's</v>
      </c>
      <c r="C76" t="str">
        <f>wimbledons_champions!C160</f>
        <v>P.M. Betz</v>
      </c>
      <c r="D76" t="str">
        <f>wimbledons_champions!D160</f>
        <v>USA</v>
      </c>
      <c r="E76">
        <f>wimbledons_champions!F160</f>
        <v>1</v>
      </c>
      <c r="F76">
        <f>wimbledons_champions!G160</f>
        <v>0</v>
      </c>
      <c r="G76" t="str">
        <f>wimbledons_champions!H160</f>
        <v>6-2, 6-4,</v>
      </c>
      <c r="H76" t="str">
        <f>wimbledons_champions!S160</f>
        <v>A.L. Brough</v>
      </c>
      <c r="I76" t="str">
        <f>wimbledons_champions!T160</f>
        <v>USA</v>
      </c>
      <c r="J76">
        <f>wimbledons_champions!V160</f>
        <v>3</v>
      </c>
    </row>
    <row r="77" spans="1:10" x14ac:dyDescent="0.4">
      <c r="A77">
        <f>wimbledons_champions!A162</f>
        <v>1939</v>
      </c>
      <c r="B77" t="str">
        <f>wimbledons_champions!B162</f>
        <v>Women's</v>
      </c>
      <c r="C77" t="str">
        <f>wimbledons_champions!C162</f>
        <v>A. Marble</v>
      </c>
      <c r="D77" t="str">
        <f>wimbledons_champions!D162</f>
        <v>USA</v>
      </c>
      <c r="E77">
        <f>wimbledons_champions!F162</f>
        <v>1</v>
      </c>
      <c r="F77">
        <f>wimbledons_champions!G162</f>
        <v>30</v>
      </c>
      <c r="G77" t="str">
        <f>wimbledons_champions!H162</f>
        <v>6-2, 6-0</v>
      </c>
      <c r="H77" t="str">
        <f>wimbledons_champions!S162</f>
        <v>K.E. Stammers</v>
      </c>
      <c r="I77" t="str">
        <f>wimbledons_champions!T162</f>
        <v>GBR</v>
      </c>
      <c r="J77">
        <f>wimbledons_champions!V162</f>
        <v>6</v>
      </c>
    </row>
    <row r="78" spans="1:10" x14ac:dyDescent="0.4">
      <c r="A78">
        <f>wimbledons_champions!A164</f>
        <v>1938</v>
      </c>
      <c r="B78" t="str">
        <f>wimbledons_champions!B164</f>
        <v>Women's</v>
      </c>
      <c r="C78" t="str">
        <f>wimbledons_champions!C164</f>
        <v>H.W. Moody</v>
      </c>
      <c r="D78" t="str">
        <f>wimbledons_champions!D164</f>
        <v>USA</v>
      </c>
      <c r="E78">
        <f>wimbledons_champions!F164</f>
        <v>1</v>
      </c>
      <c r="F78">
        <f>wimbledons_champions!G164</f>
        <v>0</v>
      </c>
      <c r="G78" t="str">
        <f>wimbledons_champions!H164</f>
        <v>6-4, 6-0</v>
      </c>
      <c r="H78" t="str">
        <f>wimbledons_champions!S164</f>
        <v>H.H. Jacobs</v>
      </c>
      <c r="I78" t="str">
        <f>wimbledons_champions!T164</f>
        <v>USA</v>
      </c>
      <c r="J78" t="str">
        <f>wimbledons_champions!V164</f>
        <v>U</v>
      </c>
    </row>
    <row r="79" spans="1:10" x14ac:dyDescent="0.4">
      <c r="A79">
        <f>wimbledons_champions!A166</f>
        <v>1937</v>
      </c>
      <c r="B79" t="str">
        <f>wimbledons_champions!B166</f>
        <v>Women's</v>
      </c>
      <c r="C79" t="str">
        <f>wimbledons_champions!C166</f>
        <v>D.E. Round</v>
      </c>
      <c r="D79" t="str">
        <f>wimbledons_champions!D166</f>
        <v>GBR</v>
      </c>
      <c r="E79">
        <f>wimbledons_champions!F166</f>
        <v>7</v>
      </c>
      <c r="F79">
        <f>wimbledons_champions!G166</f>
        <v>60</v>
      </c>
      <c r="G79" t="str">
        <f>wimbledons_champions!H166</f>
        <v>6-2, 2-6, 7-5</v>
      </c>
      <c r="H79" t="str">
        <f>wimbledons_champions!S166</f>
        <v>J. Jedrzejowska</v>
      </c>
      <c r="I79" t="str">
        <f>wimbledons_champions!T166</f>
        <v>POL</v>
      </c>
      <c r="J79">
        <f>wimbledons_champions!V166</f>
        <v>4</v>
      </c>
    </row>
    <row r="80" spans="1:10" x14ac:dyDescent="0.4">
      <c r="A80">
        <f>wimbledons_champions!A168</f>
        <v>1936</v>
      </c>
      <c r="B80" t="str">
        <f>wimbledons_champions!B168</f>
        <v>Women's</v>
      </c>
      <c r="C80" t="str">
        <f>wimbledons_champions!C168</f>
        <v>H.H. Jacobs</v>
      </c>
      <c r="D80" t="str">
        <f>wimbledons_champions!D168</f>
        <v>USA</v>
      </c>
      <c r="E80">
        <f>wimbledons_champions!F168</f>
        <v>2</v>
      </c>
      <c r="F80">
        <f>wimbledons_champions!G168</f>
        <v>101</v>
      </c>
      <c r="G80" t="str">
        <f>wimbledons_champions!H168</f>
        <v>6-2, 4-6, 7-5</v>
      </c>
      <c r="H80" t="str">
        <f>wimbledons_champions!S168</f>
        <v>S. Sperling</v>
      </c>
      <c r="I80" t="str">
        <f>wimbledons_champions!T168</f>
        <v>GER</v>
      </c>
      <c r="J80">
        <f>wimbledons_champions!V168</f>
        <v>5</v>
      </c>
    </row>
    <row r="81" spans="1:10" x14ac:dyDescent="0.4">
      <c r="A81">
        <f>wimbledons_champions!A170</f>
        <v>1935</v>
      </c>
      <c r="B81" t="str">
        <f>wimbledons_champions!B170</f>
        <v>Women's</v>
      </c>
      <c r="C81" t="str">
        <f>wimbledons_champions!C170</f>
        <v>H.W. Moody</v>
      </c>
      <c r="D81" t="str">
        <f>wimbledons_champions!D170</f>
        <v>USA</v>
      </c>
      <c r="E81">
        <f>wimbledons_champions!F170</f>
        <v>4</v>
      </c>
      <c r="F81">
        <f>wimbledons_champions!G170</f>
        <v>100</v>
      </c>
      <c r="G81" t="str">
        <f>wimbledons_champions!H170</f>
        <v>6-3, 3-6, 7-5</v>
      </c>
      <c r="H81" t="str">
        <f>wimbledons_champions!S170</f>
        <v>H.H. Jacobs</v>
      </c>
      <c r="I81" t="str">
        <f>wimbledons_champions!T170</f>
        <v>USA</v>
      </c>
      <c r="J81">
        <f>wimbledons_champions!V170</f>
        <v>3</v>
      </c>
    </row>
    <row r="82" spans="1:10" x14ac:dyDescent="0.4">
      <c r="A82">
        <f>wimbledons_champions!A172</f>
        <v>1934</v>
      </c>
      <c r="B82" t="str">
        <f>wimbledons_champions!B172</f>
        <v>Women's</v>
      </c>
      <c r="C82" t="str">
        <f>wimbledons_champions!C172</f>
        <v>D.E. Round</v>
      </c>
      <c r="D82" t="str">
        <f>wimbledons_champions!D172</f>
        <v>GBR</v>
      </c>
      <c r="E82">
        <f>wimbledons_champions!F172</f>
        <v>2</v>
      </c>
      <c r="F82">
        <f>wimbledons_champions!G172</f>
        <v>0</v>
      </c>
      <c r="G82" t="str">
        <f>wimbledons_champions!H172</f>
        <v>6-2, 5-7, 6-3</v>
      </c>
      <c r="H82" t="str">
        <f>wimbledons_champions!S172</f>
        <v>H.H. Jacobs</v>
      </c>
      <c r="I82" t="str">
        <f>wimbledons_champions!T172</f>
        <v>USA</v>
      </c>
      <c r="J82">
        <f>wimbledons_champions!V172</f>
        <v>1</v>
      </c>
    </row>
    <row r="83" spans="1:10" x14ac:dyDescent="0.4">
      <c r="A83">
        <f>wimbledons_champions!A174</f>
        <v>1933</v>
      </c>
      <c r="B83" t="str">
        <f>wimbledons_champions!B174</f>
        <v>Women's</v>
      </c>
      <c r="C83" t="str">
        <f>wimbledons_champions!C174</f>
        <v>H.W. Moody</v>
      </c>
      <c r="D83" t="str">
        <f>wimbledons_champions!D174</f>
        <v>USA</v>
      </c>
      <c r="E83">
        <f>wimbledons_champions!F174</f>
        <v>1</v>
      </c>
      <c r="F83">
        <f>wimbledons_champions!G174</f>
        <v>120</v>
      </c>
      <c r="G83" t="str">
        <f>wimbledons_champions!H174</f>
        <v>6-4, 6-8, 6-3</v>
      </c>
      <c r="H83" t="str">
        <f>wimbledons_champions!S174</f>
        <v>D.E. Round</v>
      </c>
      <c r="I83" t="str">
        <f>wimbledons_champions!T174</f>
        <v>GBR</v>
      </c>
      <c r="J83">
        <f>wimbledons_champions!V174</f>
        <v>2</v>
      </c>
    </row>
    <row r="84" spans="1:10" x14ac:dyDescent="0.4">
      <c r="A84">
        <f>wimbledons_champions!A176</f>
        <v>1932</v>
      </c>
      <c r="B84" t="str">
        <f>wimbledons_champions!B176</f>
        <v>Women's</v>
      </c>
      <c r="C84" t="str">
        <f>wimbledons_champions!C176</f>
        <v>H.W. Moody</v>
      </c>
      <c r="D84" t="str">
        <f>wimbledons_champions!D176</f>
        <v>USA</v>
      </c>
      <c r="E84">
        <f>wimbledons_champions!F176</f>
        <v>1</v>
      </c>
      <c r="F84">
        <f>wimbledons_champions!G176</f>
        <v>50</v>
      </c>
      <c r="G84" t="str">
        <f>wimbledons_champions!H176</f>
        <v>6-3, 6-1</v>
      </c>
      <c r="H84" t="str">
        <f>wimbledons_champions!S176</f>
        <v>H.H. Jacobs</v>
      </c>
      <c r="I84" t="str">
        <f>wimbledons_champions!T176</f>
        <v>USA</v>
      </c>
      <c r="J84">
        <f>wimbledons_champions!V176</f>
        <v>5</v>
      </c>
    </row>
    <row r="85" spans="1:10" x14ac:dyDescent="0.4">
      <c r="A85">
        <f>wimbledons_champions!A178</f>
        <v>1931</v>
      </c>
      <c r="B85" t="str">
        <f>wimbledons_champions!B178</f>
        <v>Women's</v>
      </c>
      <c r="C85" t="str">
        <f>wimbledons_champions!C178</f>
        <v>C. Aussem</v>
      </c>
      <c r="D85" t="str">
        <f>wimbledons_champions!D178</f>
        <v>GER</v>
      </c>
      <c r="E85">
        <f>wimbledons_champions!F178</f>
        <v>1</v>
      </c>
      <c r="F85">
        <f>wimbledons_champions!G178</f>
        <v>0</v>
      </c>
      <c r="G85" t="str">
        <f>wimbledons_champions!H178</f>
        <v>6-2, 7-5</v>
      </c>
      <c r="H85" t="str">
        <f>wimbledons_champions!S178</f>
        <v>H. Krahwinkel</v>
      </c>
      <c r="I85" t="str">
        <f>wimbledons_champions!T178</f>
        <v>GER</v>
      </c>
      <c r="J85">
        <f>wimbledons_champions!V178</f>
        <v>4</v>
      </c>
    </row>
    <row r="86" spans="1:10" x14ac:dyDescent="0.4">
      <c r="A86">
        <f>wimbledons_champions!A180</f>
        <v>1930</v>
      </c>
      <c r="B86" t="str">
        <f>wimbledons_champions!B180</f>
        <v>Women's</v>
      </c>
      <c r="C86" t="str">
        <f>wimbledons_champions!C180</f>
        <v>H.W. Moody</v>
      </c>
      <c r="D86" t="str">
        <f>wimbledons_champions!D180</f>
        <v>USA</v>
      </c>
      <c r="E86">
        <f>wimbledons_champions!F180</f>
        <v>1</v>
      </c>
      <c r="F86">
        <f>wimbledons_champions!G180</f>
        <v>0</v>
      </c>
      <c r="G86" t="str">
        <f>wimbledons_champions!H180</f>
        <v>6-2, 6-2</v>
      </c>
      <c r="H86" t="str">
        <f>wimbledons_champions!S180</f>
        <v>E.M. Ryan</v>
      </c>
      <c r="I86" t="str">
        <f>wimbledons_champions!T180</f>
        <v>USA</v>
      </c>
      <c r="J86">
        <f>wimbledons_champions!V180</f>
        <v>8</v>
      </c>
    </row>
    <row r="87" spans="1:10" x14ac:dyDescent="0.4">
      <c r="A87">
        <f>wimbledons_champions!A182</f>
        <v>1929</v>
      </c>
      <c r="B87" t="str">
        <f>wimbledons_champions!B182</f>
        <v>Women's</v>
      </c>
      <c r="C87" t="str">
        <f>wimbledons_champions!C182</f>
        <v>H.W. Moody</v>
      </c>
      <c r="D87" t="str">
        <f>wimbledons_champions!D182</f>
        <v>USA</v>
      </c>
      <c r="E87">
        <f>wimbledons_champions!F182</f>
        <v>1</v>
      </c>
      <c r="F87">
        <f>wimbledons_champions!G182</f>
        <v>0</v>
      </c>
      <c r="G87" t="str">
        <f>wimbledons_champions!H182</f>
        <v>6-1, 6-2</v>
      </c>
      <c r="H87" t="str">
        <f>wimbledons_champions!S182</f>
        <v>H.H. Jacobs</v>
      </c>
      <c r="I87" t="str">
        <f>wimbledons_champions!T182</f>
        <v>USA</v>
      </c>
      <c r="J87">
        <f>wimbledons_champions!V182</f>
        <v>5</v>
      </c>
    </row>
    <row r="88" spans="1:10" x14ac:dyDescent="0.4">
      <c r="A88">
        <f>wimbledons_champions!A184</f>
        <v>1928</v>
      </c>
      <c r="B88" t="str">
        <f>wimbledons_champions!B184</f>
        <v>Women's</v>
      </c>
      <c r="C88" t="str">
        <f>wimbledons_champions!C184</f>
        <v>H.W. Moody</v>
      </c>
      <c r="D88" t="str">
        <f>wimbledons_champions!D184</f>
        <v>USA</v>
      </c>
      <c r="E88">
        <f>wimbledons_champions!F184</f>
        <v>1</v>
      </c>
      <c r="F88">
        <f>wimbledons_champions!G184</f>
        <v>0</v>
      </c>
      <c r="G88" t="str">
        <f>wimbledons_champions!H184</f>
        <v>6-2, 6-3</v>
      </c>
      <c r="H88" t="str">
        <f>wimbledons_champions!S184</f>
        <v>E.M. de Alvarez</v>
      </c>
      <c r="I88" t="str">
        <f>wimbledons_champions!T184</f>
        <v>ESP</v>
      </c>
      <c r="J88">
        <f>wimbledons_champions!V184</f>
        <v>2</v>
      </c>
    </row>
    <row r="89" spans="1:10" x14ac:dyDescent="0.4">
      <c r="A89">
        <f>wimbledons_champions!A186</f>
        <v>1927</v>
      </c>
      <c r="B89" t="str">
        <f>wimbledons_champions!B186</f>
        <v>Women's</v>
      </c>
      <c r="C89" t="str">
        <f>wimbledons_champions!C186</f>
        <v>H.W. Moody</v>
      </c>
      <c r="D89" t="str">
        <f>wimbledons_champions!D186</f>
        <v>USA</v>
      </c>
      <c r="E89">
        <f>wimbledons_champions!F186</f>
        <v>1</v>
      </c>
      <c r="F89">
        <f>wimbledons_champions!G186</f>
        <v>0</v>
      </c>
      <c r="G89" t="str">
        <f>wimbledons_champions!H186</f>
        <v>6-2, 6-4</v>
      </c>
      <c r="H89" t="str">
        <f>wimbledons_champions!S186</f>
        <v>E.M. de Alvarez</v>
      </c>
      <c r="I89" t="str">
        <f>wimbledons_champions!T186</f>
        <v>ESP</v>
      </c>
      <c r="J89">
        <f>wimbledons_champions!V186</f>
        <v>4</v>
      </c>
    </row>
    <row r="90" spans="1:10" x14ac:dyDescent="0.4">
      <c r="A90">
        <f>wimbledons_champions!A188</f>
        <v>1926</v>
      </c>
      <c r="B90" t="str">
        <f>wimbledons_champions!B188</f>
        <v>Women's</v>
      </c>
      <c r="C90" t="str">
        <f>wimbledons_champions!C188</f>
        <v>L.A. Godfree</v>
      </c>
      <c r="D90" t="str">
        <f>wimbledons_champions!D188</f>
        <v>GBR</v>
      </c>
      <c r="E90">
        <f>wimbledons_champions!F188</f>
        <v>0</v>
      </c>
      <c r="F90">
        <f>wimbledons_champions!G188</f>
        <v>60</v>
      </c>
      <c r="G90" t="str">
        <f>wimbledons_champions!H188</f>
        <v>6-2, 4-6, 6-3</v>
      </c>
      <c r="H90" t="str">
        <f>wimbledons_champions!S188</f>
        <v>E.M. de Alvarez</v>
      </c>
      <c r="I90" t="str">
        <f>wimbledons_champions!T188</f>
        <v>ESP</v>
      </c>
      <c r="J90">
        <f>wimbledons_champions!V188</f>
        <v>0</v>
      </c>
    </row>
    <row r="91" spans="1:10" x14ac:dyDescent="0.4">
      <c r="A91">
        <f>wimbledons_champions!A190</f>
        <v>1925</v>
      </c>
      <c r="B91" t="str">
        <f>wimbledons_champions!B190</f>
        <v>Women's</v>
      </c>
      <c r="C91" t="str">
        <f>wimbledons_champions!C190</f>
        <v>S.R.F. Lenglen</v>
      </c>
      <c r="D91" t="str">
        <f>wimbledons_champions!D190</f>
        <v>FRA</v>
      </c>
      <c r="E91">
        <f>wimbledons_champions!F190</f>
        <v>0</v>
      </c>
      <c r="F91">
        <f>wimbledons_champions!G190</f>
        <v>25</v>
      </c>
      <c r="G91" t="str">
        <f>wimbledons_champions!H190</f>
        <v>6-2, 6-0</v>
      </c>
      <c r="H91" t="str">
        <f>wimbledons_champions!S190</f>
        <v>J.C. Fry</v>
      </c>
      <c r="I91" t="str">
        <f>wimbledons_champions!T190</f>
        <v>GBR</v>
      </c>
      <c r="J91">
        <f>wimbledons_champions!V190</f>
        <v>0</v>
      </c>
    </row>
    <row r="92" spans="1:10" x14ac:dyDescent="0.4">
      <c r="A92">
        <f>wimbledons_champions!A192</f>
        <v>1924</v>
      </c>
      <c r="B92" t="str">
        <f>wimbledons_champions!B192</f>
        <v>Women's</v>
      </c>
      <c r="C92" t="str">
        <f>wimbledons_champions!C192</f>
        <v>K. McKane</v>
      </c>
      <c r="D92" t="str">
        <f>wimbledons_champions!D192</f>
        <v>GBR</v>
      </c>
      <c r="E92">
        <f>wimbledons_champions!F192</f>
        <v>0</v>
      </c>
      <c r="F92">
        <f>wimbledons_champions!G192</f>
        <v>75</v>
      </c>
      <c r="G92" t="str">
        <f>wimbledons_champions!H192</f>
        <v>4-6, 6-4, 6-4</v>
      </c>
      <c r="H92" t="str">
        <f>wimbledons_champions!S192</f>
        <v>H.W. Moody</v>
      </c>
      <c r="I92" t="str">
        <f>wimbledons_champions!T192</f>
        <v>USA</v>
      </c>
      <c r="J92">
        <f>wimbledons_champions!V192</f>
        <v>0</v>
      </c>
    </row>
    <row r="93" spans="1:10" x14ac:dyDescent="0.4">
      <c r="A93">
        <f>wimbledons_champions!A194</f>
        <v>1923</v>
      </c>
      <c r="B93" t="str">
        <f>wimbledons_champions!B194</f>
        <v>Women's</v>
      </c>
      <c r="C93" t="str">
        <f>wimbledons_champions!C194</f>
        <v>S.R.F. Lenglen</v>
      </c>
      <c r="D93" t="str">
        <f>wimbledons_champions!D194</f>
        <v>FRA</v>
      </c>
      <c r="E93">
        <f>wimbledons_champions!F194</f>
        <v>0</v>
      </c>
      <c r="F93">
        <f>wimbledons_champions!G194</f>
        <v>0</v>
      </c>
      <c r="G93" t="str">
        <f>wimbledons_champions!H194</f>
        <v>6-2, 6-2</v>
      </c>
      <c r="H93" t="str">
        <f>wimbledons_champions!S194</f>
        <v>K. McKane</v>
      </c>
      <c r="I93" t="str">
        <f>wimbledons_champions!T194</f>
        <v>GBR</v>
      </c>
      <c r="J93">
        <f>wimbledons_champions!V194</f>
        <v>0</v>
      </c>
    </row>
    <row r="94" spans="1:10" x14ac:dyDescent="0.4">
      <c r="A94">
        <f>wimbledons_champions!A196</f>
        <v>1922</v>
      </c>
      <c r="B94" t="str">
        <f>wimbledons_champions!B196</f>
        <v>Women's</v>
      </c>
      <c r="C94" t="str">
        <f>wimbledons_champions!C196</f>
        <v>S.R.F. Lenglen</v>
      </c>
      <c r="D94" t="str">
        <f>wimbledons_champions!D196</f>
        <v>FRA</v>
      </c>
      <c r="E94">
        <f>wimbledons_champions!F196</f>
        <v>0</v>
      </c>
      <c r="F94">
        <f>wimbledons_champions!G196</f>
        <v>23</v>
      </c>
      <c r="G94" t="str">
        <f>wimbledons_champions!H196</f>
        <v>6-2, 6-0</v>
      </c>
      <c r="H94" t="str">
        <f>wimbledons_champions!S196</f>
        <v>F.I. Mallory</v>
      </c>
      <c r="I94" t="str">
        <f>wimbledons_champions!T196</f>
        <v>USA</v>
      </c>
      <c r="J94">
        <f>wimbledons_champions!V196</f>
        <v>0</v>
      </c>
    </row>
    <row r="95" spans="1:10" x14ac:dyDescent="0.4">
      <c r="A95">
        <f>wimbledons_champions!A198</f>
        <v>1921</v>
      </c>
      <c r="B95" t="str">
        <f>wimbledons_champions!B198</f>
        <v>Women's</v>
      </c>
      <c r="C95" t="str">
        <f>wimbledons_champions!C198</f>
        <v>S.R.F. Lenglen</v>
      </c>
      <c r="D95" t="str">
        <f>wimbledons_champions!D198</f>
        <v>FRA</v>
      </c>
      <c r="E95">
        <f>wimbledons_champions!F198</f>
        <v>0</v>
      </c>
      <c r="F95">
        <f>wimbledons_champions!G198</f>
        <v>0</v>
      </c>
      <c r="G95" t="str">
        <f>wimbledons_champions!H198</f>
        <v>6-2, 6-0</v>
      </c>
      <c r="H95" t="str">
        <f>wimbledons_champions!S198</f>
        <v>E.M. Ryan</v>
      </c>
      <c r="I95" t="str">
        <f>wimbledons_champions!T198</f>
        <v>USA</v>
      </c>
      <c r="J95">
        <f>wimbledons_champions!V198</f>
        <v>0</v>
      </c>
    </row>
    <row r="96" spans="1:10" x14ac:dyDescent="0.4">
      <c r="A96">
        <f>wimbledons_champions!A200</f>
        <v>1920</v>
      </c>
      <c r="B96" t="str">
        <f>wimbledons_champions!B200</f>
        <v>Women's</v>
      </c>
      <c r="C96" t="str">
        <f>wimbledons_champions!C200</f>
        <v>S.R.F. Lenglen</v>
      </c>
      <c r="D96" t="str">
        <f>wimbledons_champions!D200</f>
        <v>FRA</v>
      </c>
      <c r="E96">
        <f>wimbledons_champions!F200</f>
        <v>0</v>
      </c>
      <c r="F96">
        <f>wimbledons_champions!G200</f>
        <v>0</v>
      </c>
      <c r="G96" t="str">
        <f>wimbledons_champions!H200</f>
        <v>6-3, 6-0</v>
      </c>
      <c r="H96" t="str">
        <f>wimbledons_champions!S200</f>
        <v>D.L. Chambers</v>
      </c>
      <c r="I96" t="str">
        <f>wimbledons_champions!T200</f>
        <v>GBR</v>
      </c>
      <c r="J96">
        <f>wimbledons_champions!V200</f>
        <v>0</v>
      </c>
    </row>
    <row r="97" spans="1:10" x14ac:dyDescent="0.4">
      <c r="A97">
        <f>wimbledons_champions!A202</f>
        <v>1919</v>
      </c>
      <c r="B97" t="str">
        <f>wimbledons_champions!B202</f>
        <v>Women's</v>
      </c>
      <c r="C97" t="str">
        <f>wimbledons_champions!C202</f>
        <v>S.R.F. Lenglen</v>
      </c>
      <c r="D97" t="str">
        <f>wimbledons_champions!D202</f>
        <v>FRA</v>
      </c>
      <c r="E97">
        <f>wimbledons_champions!F202</f>
        <v>0</v>
      </c>
      <c r="F97">
        <f>wimbledons_champions!G202</f>
        <v>125</v>
      </c>
      <c r="G97" t="str">
        <f>wimbledons_champions!H202</f>
        <v>10-8, 4-6, 9-7</v>
      </c>
      <c r="H97" t="str">
        <f>wimbledons_champions!S202</f>
        <v>D.L. Chambers</v>
      </c>
      <c r="I97" t="str">
        <f>wimbledons_champions!T202</f>
        <v>GBR</v>
      </c>
      <c r="J97">
        <f>wimbledons_champions!V202</f>
        <v>0</v>
      </c>
    </row>
    <row r="98" spans="1:10" x14ac:dyDescent="0.4">
      <c r="A98">
        <f>wimbledons_champions!A204</f>
        <v>1914</v>
      </c>
      <c r="B98" t="str">
        <f>wimbledons_champions!B204</f>
        <v>Women's</v>
      </c>
      <c r="C98" t="str">
        <f>wimbledons_champions!C204</f>
        <v>D.L. Chambers</v>
      </c>
      <c r="D98" t="str">
        <f>wimbledons_champions!D204</f>
        <v>GBR</v>
      </c>
      <c r="E98">
        <f>wimbledons_champions!F204</f>
        <v>0</v>
      </c>
      <c r="F98">
        <f>wimbledons_champions!G204</f>
        <v>0</v>
      </c>
      <c r="G98" t="str">
        <f>wimbledons_champions!H204</f>
        <v>7-5, 6-4</v>
      </c>
      <c r="H98" t="str">
        <f>wimbledons_champions!S204</f>
        <v>D.T.R. Larcombe</v>
      </c>
      <c r="I98" t="str">
        <f>wimbledons_champions!T204</f>
        <v>GBR</v>
      </c>
      <c r="J98">
        <f>wimbledons_champions!V204</f>
        <v>0</v>
      </c>
    </row>
    <row r="99" spans="1:10" x14ac:dyDescent="0.4">
      <c r="A99">
        <f>wimbledons_champions!A206</f>
        <v>1913</v>
      </c>
      <c r="B99" t="str">
        <f>wimbledons_champions!B206</f>
        <v>Women's</v>
      </c>
      <c r="C99" t="str">
        <f>wimbledons_champions!C206</f>
        <v>D.L. Chambers</v>
      </c>
      <c r="D99" t="str">
        <f>wimbledons_champions!D206</f>
        <v>GBR</v>
      </c>
      <c r="E99">
        <f>wimbledons_champions!F206</f>
        <v>0</v>
      </c>
      <c r="F99">
        <f>wimbledons_champions!G206</f>
        <v>0</v>
      </c>
      <c r="G99" t="str">
        <f>wimbledons_champions!H206</f>
        <v>6-0, 6-4</v>
      </c>
      <c r="H99" t="str">
        <f>wimbledons_champions!S206</f>
        <v>R.J. McNair</v>
      </c>
      <c r="I99" t="str">
        <f>wimbledons_champions!T206</f>
        <v>GBR</v>
      </c>
      <c r="J99">
        <f>wimbledons_champions!V206</f>
        <v>0</v>
      </c>
    </row>
    <row r="100" spans="1:10" x14ac:dyDescent="0.4">
      <c r="A100">
        <f>wimbledons_champions!A208</f>
        <v>1912</v>
      </c>
      <c r="B100" t="str">
        <f>wimbledons_champions!B208</f>
        <v>Women's</v>
      </c>
      <c r="C100" t="str">
        <f>wimbledons_champions!C208</f>
        <v>D.T.R. Larcombe</v>
      </c>
      <c r="D100" t="str">
        <f>wimbledons_champions!D208</f>
        <v>GBR</v>
      </c>
      <c r="E100">
        <f>wimbledons_champions!F208</f>
        <v>0</v>
      </c>
      <c r="F100">
        <f>wimbledons_champions!G208</f>
        <v>0</v>
      </c>
      <c r="G100" t="str">
        <f>wimbledons_champions!H208</f>
        <v>6-3, 6-1</v>
      </c>
      <c r="H100" t="str">
        <f>wimbledons_champions!S208</f>
        <v>C.R. Cooper</v>
      </c>
      <c r="I100" t="str">
        <f>wimbledons_champions!T208</f>
        <v>GBR</v>
      </c>
      <c r="J100">
        <f>wimbledons_champions!V208</f>
        <v>0</v>
      </c>
    </row>
    <row r="101" spans="1:10" x14ac:dyDescent="0.4">
      <c r="A101">
        <f>wimbledons_champions!A210</f>
        <v>1911</v>
      </c>
      <c r="B101" t="str">
        <f>wimbledons_champions!B210</f>
        <v>Women's</v>
      </c>
      <c r="C101" t="str">
        <f>wimbledons_champions!C210</f>
        <v>D.L. Chambers</v>
      </c>
      <c r="D101" t="str">
        <f>wimbledons_champions!D210</f>
        <v>GBR</v>
      </c>
      <c r="E101">
        <f>wimbledons_champions!F210</f>
        <v>0</v>
      </c>
      <c r="F101">
        <f>wimbledons_champions!G210</f>
        <v>25</v>
      </c>
      <c r="G101" t="str">
        <f>wimbledons_champions!H210</f>
        <v>6-0, 6-0</v>
      </c>
      <c r="H101" t="str">
        <f>wimbledons_champions!S210</f>
        <v>P.D.H. Boothby</v>
      </c>
      <c r="I101" t="str">
        <f>wimbledons_champions!T210</f>
        <v>GBR</v>
      </c>
      <c r="J101">
        <f>wimbledons_champions!V210</f>
        <v>0</v>
      </c>
    </row>
    <row r="102" spans="1:10" x14ac:dyDescent="0.4">
      <c r="A102">
        <f>wimbledons_champions!A212</f>
        <v>1910</v>
      </c>
      <c r="B102" t="str">
        <f>wimbledons_champions!B212</f>
        <v>Women's</v>
      </c>
      <c r="C102" t="str">
        <f>wimbledons_champions!C212</f>
        <v>D.L. Chambers</v>
      </c>
      <c r="D102" t="str">
        <f>wimbledons_champions!D212</f>
        <v>GBR</v>
      </c>
      <c r="E102">
        <f>wimbledons_champions!F212</f>
        <v>0</v>
      </c>
      <c r="F102">
        <f>wimbledons_champions!G212</f>
        <v>0</v>
      </c>
      <c r="G102" t="str">
        <f>wimbledons_champions!H212</f>
        <v>6-2, 6-2</v>
      </c>
      <c r="H102" t="str">
        <f>wimbledons_champions!S212</f>
        <v>P.D.H. Boothby</v>
      </c>
      <c r="I102" t="str">
        <f>wimbledons_champions!T212</f>
        <v>GBR</v>
      </c>
      <c r="J102">
        <f>wimbledons_champions!V212</f>
        <v>0</v>
      </c>
    </row>
    <row r="103" spans="1:10" x14ac:dyDescent="0.4">
      <c r="A103">
        <f>wimbledons_champions!A214</f>
        <v>1909</v>
      </c>
      <c r="B103" t="str">
        <f>wimbledons_champions!B214</f>
        <v>Women's</v>
      </c>
      <c r="C103" t="str">
        <f>wimbledons_champions!C214</f>
        <v>P.D.H. Boothby</v>
      </c>
      <c r="D103" t="str">
        <f>wimbledons_champions!D214</f>
        <v>GBR</v>
      </c>
      <c r="E103">
        <f>wimbledons_champions!F214</f>
        <v>0</v>
      </c>
      <c r="F103">
        <f>wimbledons_champions!G214</f>
        <v>0</v>
      </c>
      <c r="G103" t="str">
        <f>wimbledons_champions!H214</f>
        <v>6-4, 4-6, 8-6</v>
      </c>
      <c r="H103" t="str">
        <f>wimbledons_champions!S214</f>
        <v>A.M. Morton</v>
      </c>
      <c r="I103" t="str">
        <f>wimbledons_champions!T214</f>
        <v>GBR</v>
      </c>
      <c r="J103">
        <f>wimbledons_champions!V214</f>
        <v>0</v>
      </c>
    </row>
    <row r="104" spans="1:10" x14ac:dyDescent="0.4">
      <c r="A104">
        <f>wimbledons_champions!A216</f>
        <v>1908</v>
      </c>
      <c r="B104" t="str">
        <f>wimbledons_champions!B216</f>
        <v>Women's</v>
      </c>
      <c r="C104" t="str">
        <f>wimbledons_champions!C216</f>
        <v>C.R. Cooper</v>
      </c>
      <c r="D104" t="str">
        <f>wimbledons_champions!D216</f>
        <v>GBR</v>
      </c>
      <c r="E104">
        <f>wimbledons_champions!F216</f>
        <v>0</v>
      </c>
      <c r="F104">
        <f>wimbledons_champions!G216</f>
        <v>0</v>
      </c>
      <c r="G104" t="str">
        <f>wimbledons_champions!H216</f>
        <v>6-4, 6-4</v>
      </c>
      <c r="H104" t="str">
        <f>wimbledons_champions!S216</f>
        <v>A.M. Morton</v>
      </c>
      <c r="I104" t="str">
        <f>wimbledons_champions!T216</f>
        <v>GBR</v>
      </c>
      <c r="J104">
        <f>wimbledons_champions!V216</f>
        <v>0</v>
      </c>
    </row>
    <row r="105" spans="1:10" x14ac:dyDescent="0.4">
      <c r="A105">
        <f>wimbledons_champions!A218</f>
        <v>1907</v>
      </c>
      <c r="B105" t="str">
        <f>wimbledons_champions!B218</f>
        <v>Women's</v>
      </c>
      <c r="C105" t="str">
        <f>wimbledons_champions!C218</f>
        <v>M.G. Sutton</v>
      </c>
      <c r="D105" t="str">
        <f>wimbledons_champions!D218</f>
        <v>USA</v>
      </c>
      <c r="E105">
        <f>wimbledons_champions!F218</f>
        <v>0</v>
      </c>
      <c r="F105">
        <f>wimbledons_champions!G218</f>
        <v>0</v>
      </c>
      <c r="G105" t="str">
        <f>wimbledons_champions!H218</f>
        <v>6-1, 6-4</v>
      </c>
      <c r="H105" t="str">
        <f>wimbledons_champions!S218</f>
        <v>D.L. Chambers</v>
      </c>
      <c r="I105" t="str">
        <f>wimbledons_champions!T218</f>
        <v>GBR</v>
      </c>
      <c r="J105">
        <f>wimbledons_champions!V218</f>
        <v>0</v>
      </c>
    </row>
    <row r="106" spans="1:10" x14ac:dyDescent="0.4">
      <c r="A106">
        <f>wimbledons_champions!A220</f>
        <v>1906</v>
      </c>
      <c r="B106" t="str">
        <f>wimbledons_champions!B220</f>
        <v>Women's</v>
      </c>
      <c r="C106" t="str">
        <f>wimbledons_champions!C220</f>
        <v>D.L. Chambers</v>
      </c>
      <c r="D106" t="str">
        <f>wimbledons_champions!D220</f>
        <v>GBR</v>
      </c>
      <c r="E106">
        <f>wimbledons_champions!F220</f>
        <v>0</v>
      </c>
      <c r="F106">
        <f>wimbledons_champions!G220</f>
        <v>57</v>
      </c>
      <c r="G106" t="str">
        <f>wimbledons_champions!H220</f>
        <v>6-3, 9-7</v>
      </c>
      <c r="H106" t="str">
        <f>wimbledons_champions!S220</f>
        <v>M.G. Sutton</v>
      </c>
      <c r="I106" t="str">
        <f>wimbledons_champions!T220</f>
        <v>USA</v>
      </c>
      <c r="J106">
        <f>wimbledons_champions!V220</f>
        <v>0</v>
      </c>
    </row>
    <row r="107" spans="1:10" x14ac:dyDescent="0.4">
      <c r="A107">
        <f>wimbledons_champions!A222</f>
        <v>1905</v>
      </c>
      <c r="B107" t="str">
        <f>wimbledons_champions!B222</f>
        <v>Women's</v>
      </c>
      <c r="C107" t="str">
        <f>wimbledons_champions!C222</f>
        <v>M.G. Sutton</v>
      </c>
      <c r="D107" t="str">
        <f>wimbledons_champions!D222</f>
        <v>USA</v>
      </c>
      <c r="E107">
        <f>wimbledons_champions!F222</f>
        <v>0</v>
      </c>
      <c r="F107">
        <f>wimbledons_champions!G222</f>
        <v>0</v>
      </c>
      <c r="G107" t="str">
        <f>wimbledons_champions!H222</f>
        <v>6-3, 6-4</v>
      </c>
      <c r="H107" t="str">
        <f>wimbledons_champions!S222</f>
        <v>D.L. Chambers</v>
      </c>
      <c r="I107" t="str">
        <f>wimbledons_champions!T222</f>
        <v>GBR</v>
      </c>
      <c r="J107">
        <f>wimbledons_champions!V222</f>
        <v>0</v>
      </c>
    </row>
    <row r="108" spans="1:10" x14ac:dyDescent="0.4">
      <c r="A108">
        <f>wimbledons_champions!A224</f>
        <v>1904</v>
      </c>
      <c r="B108" t="str">
        <f>wimbledons_champions!B224</f>
        <v>Women's</v>
      </c>
      <c r="C108" t="str">
        <f>wimbledons_champions!C224</f>
        <v>D.L. Chambers</v>
      </c>
      <c r="D108" t="str">
        <f>wimbledons_champions!D224</f>
        <v>GBR</v>
      </c>
      <c r="E108">
        <f>wimbledons_champions!F224</f>
        <v>0</v>
      </c>
      <c r="F108">
        <f>wimbledons_champions!G224</f>
        <v>0</v>
      </c>
      <c r="G108" t="str">
        <f>wimbledons_champions!H224</f>
        <v>6-0, 6-3</v>
      </c>
      <c r="H108" t="str">
        <f>wimbledons_champions!S224</f>
        <v>C.R. Cooper</v>
      </c>
      <c r="I108" t="str">
        <f>wimbledons_champions!T224</f>
        <v>GBR</v>
      </c>
      <c r="J108">
        <f>wimbledons_champions!V224</f>
        <v>0</v>
      </c>
    </row>
    <row r="109" spans="1:10" x14ac:dyDescent="0.4">
      <c r="A109">
        <f>wimbledons_champions!A226</f>
        <v>1903</v>
      </c>
      <c r="B109" t="str">
        <f>wimbledons_champions!B226</f>
        <v>Women's</v>
      </c>
      <c r="C109" t="str">
        <f>wimbledons_champions!C226</f>
        <v>D.L. Chambers</v>
      </c>
      <c r="D109" t="str">
        <f>wimbledons_champions!D226</f>
        <v>GBR</v>
      </c>
      <c r="E109">
        <f>wimbledons_champions!F226</f>
        <v>0</v>
      </c>
      <c r="F109">
        <f>wimbledons_champions!G226</f>
        <v>0</v>
      </c>
      <c r="G109" t="str">
        <f>wimbledons_champions!H226</f>
        <v>4-6, 6-4, 6-2</v>
      </c>
      <c r="H109" t="str">
        <f>wimbledons_champions!S226</f>
        <v>E.W. Thomson</v>
      </c>
      <c r="I109" t="str">
        <f>wimbledons_champions!T226</f>
        <v>GBR</v>
      </c>
      <c r="J109">
        <f>wimbledons_champions!V226</f>
        <v>0</v>
      </c>
    </row>
    <row r="110" spans="1:10" x14ac:dyDescent="0.4">
      <c r="A110">
        <f>wimbledons_champions!A228</f>
        <v>1902</v>
      </c>
      <c r="B110" t="str">
        <f>wimbledons_champions!B228</f>
        <v>Women's</v>
      </c>
      <c r="C110" t="str">
        <f>wimbledons_champions!C228</f>
        <v>M.E. Robb</v>
      </c>
      <c r="D110" t="str">
        <f>wimbledons_champions!D228</f>
        <v>GBR</v>
      </c>
      <c r="E110">
        <f>wimbledons_champions!F228</f>
        <v>0</v>
      </c>
      <c r="F110">
        <f>wimbledons_champions!G228</f>
        <v>0</v>
      </c>
      <c r="G110" t="str">
        <f>wimbledons_champions!H228</f>
        <v>7-5, 6-1</v>
      </c>
      <c r="H110" t="str">
        <f>wimbledons_champions!S228</f>
        <v>C.R. Cooper</v>
      </c>
      <c r="I110" t="str">
        <f>wimbledons_champions!T228</f>
        <v>GBR</v>
      </c>
      <c r="J110">
        <f>wimbledons_champions!V228</f>
        <v>0</v>
      </c>
    </row>
    <row r="111" spans="1:10" x14ac:dyDescent="0.4">
      <c r="A111">
        <f>wimbledons_champions!A230</f>
        <v>1901</v>
      </c>
      <c r="B111" t="str">
        <f>wimbledons_champions!B230</f>
        <v>Women's</v>
      </c>
      <c r="C111" t="str">
        <f>wimbledons_champions!C230</f>
        <v>C.R. Cooper</v>
      </c>
      <c r="D111" t="str">
        <f>wimbledons_champions!D230</f>
        <v>GBR</v>
      </c>
      <c r="E111">
        <f>wimbledons_champions!F230</f>
        <v>0</v>
      </c>
      <c r="F111">
        <f>wimbledons_champions!G230</f>
        <v>0</v>
      </c>
      <c r="G111" t="str">
        <f>wimbledons_champions!H230</f>
        <v>6-2, 6-2</v>
      </c>
      <c r="H111" t="str">
        <f>wimbledons_champions!S230</f>
        <v>G.W. Hillyard</v>
      </c>
      <c r="I111" t="str">
        <f>wimbledons_champions!T230</f>
        <v>GBR</v>
      </c>
      <c r="J111">
        <f>wimbledons_champions!V230</f>
        <v>0</v>
      </c>
    </row>
    <row r="112" spans="1:10" x14ac:dyDescent="0.4">
      <c r="A112">
        <f>wimbledons_champions!A232</f>
        <v>1900</v>
      </c>
      <c r="B112" t="str">
        <f>wimbledons_champions!B232</f>
        <v>Women's</v>
      </c>
      <c r="C112" t="str">
        <f>wimbledons_champions!C232</f>
        <v>G.W. Hillyard</v>
      </c>
      <c r="D112" t="str">
        <f>wimbledons_champions!D232</f>
        <v>GBR</v>
      </c>
      <c r="E112">
        <f>wimbledons_champions!F232</f>
        <v>0</v>
      </c>
      <c r="F112">
        <f>wimbledons_champions!G232</f>
        <v>0</v>
      </c>
      <c r="G112" t="str">
        <f>wimbledons_champions!H232</f>
        <v>4-6, 6-4, 6-4</v>
      </c>
      <c r="H112" t="str">
        <f>wimbledons_champions!S232</f>
        <v>C.R. Cooper</v>
      </c>
      <c r="I112" t="str">
        <f>wimbledons_champions!T232</f>
        <v>GBR</v>
      </c>
      <c r="J112">
        <f>wimbledons_champions!V232</f>
        <v>0</v>
      </c>
    </row>
    <row r="113" spans="1:10" x14ac:dyDescent="0.4">
      <c r="A113">
        <f>wimbledons_champions!A234</f>
        <v>1899</v>
      </c>
      <c r="B113" t="str">
        <f>wimbledons_champions!B234</f>
        <v>Women's</v>
      </c>
      <c r="C113" t="str">
        <f>wimbledons_champions!C234</f>
        <v>G.W. Hillyard</v>
      </c>
      <c r="D113" t="str">
        <f>wimbledons_champions!D234</f>
        <v>GBR</v>
      </c>
      <c r="E113">
        <f>wimbledons_champions!F234</f>
        <v>0</v>
      </c>
      <c r="F113">
        <f>wimbledons_champions!G234</f>
        <v>0</v>
      </c>
      <c r="G113" t="str">
        <f>wimbledons_champions!H234</f>
        <v>6-2, 6-3</v>
      </c>
      <c r="H113" t="str">
        <f>wimbledons_champions!S234</f>
        <v>C.R. Cooper</v>
      </c>
      <c r="I113" t="str">
        <f>wimbledons_champions!T234</f>
        <v>GBR</v>
      </c>
      <c r="J113">
        <f>wimbledons_champions!V234</f>
        <v>0</v>
      </c>
    </row>
    <row r="114" spans="1:10" x14ac:dyDescent="0.4">
      <c r="A114">
        <f>wimbledons_champions!A236</f>
        <v>1898</v>
      </c>
      <c r="B114" t="str">
        <f>wimbledons_champions!B236</f>
        <v>Women's</v>
      </c>
      <c r="C114" t="str">
        <f>wimbledons_champions!C236</f>
        <v>C.R. Cooper</v>
      </c>
      <c r="D114" t="str">
        <f>wimbledons_champions!D236</f>
        <v>GBR</v>
      </c>
      <c r="E114">
        <f>wimbledons_champions!F236</f>
        <v>0</v>
      </c>
      <c r="F114">
        <f>wimbledons_champions!G236</f>
        <v>0</v>
      </c>
      <c r="G114" t="str">
        <f>wimbledons_champions!H236</f>
        <v>6-4, 6-4</v>
      </c>
      <c r="H114" t="str">
        <f>wimbledons_champions!S236</f>
        <v>M.L.Martin</v>
      </c>
      <c r="I114" t="str">
        <f>wimbledons_champions!T236</f>
        <v>GBR</v>
      </c>
      <c r="J114">
        <f>wimbledons_champions!V236</f>
        <v>0</v>
      </c>
    </row>
    <row r="115" spans="1:10" x14ac:dyDescent="0.4">
      <c r="A115">
        <f>wimbledons_champions!A238</f>
        <v>1897</v>
      </c>
      <c r="B115" t="str">
        <f>wimbledons_champions!B238</f>
        <v>Women's</v>
      </c>
      <c r="C115" t="str">
        <f>wimbledons_champions!C238</f>
        <v>G.W. Hillyard</v>
      </c>
      <c r="D115" t="str">
        <f>wimbledons_champions!D238</f>
        <v>GBR</v>
      </c>
      <c r="E115">
        <f>wimbledons_champions!F238</f>
        <v>0</v>
      </c>
      <c r="F115">
        <f>wimbledons_champions!G238</f>
        <v>0</v>
      </c>
      <c r="G115" t="str">
        <f>wimbledons_champions!H238</f>
        <v>5-7, 7-5, 6-2</v>
      </c>
      <c r="H115" t="str">
        <f>wimbledons_champions!S238</f>
        <v>C.R. Cooper</v>
      </c>
      <c r="I115" t="str">
        <f>wimbledons_champions!T238</f>
        <v>GBR</v>
      </c>
      <c r="J115">
        <f>wimbledons_champions!V238</f>
        <v>0</v>
      </c>
    </row>
    <row r="116" spans="1:10" x14ac:dyDescent="0.4">
      <c r="A116">
        <f>wimbledons_champions!A240</f>
        <v>1896</v>
      </c>
      <c r="B116" t="str">
        <f>wimbledons_champions!B240</f>
        <v>Women's</v>
      </c>
      <c r="C116" t="str">
        <f>wimbledons_champions!C240</f>
        <v>C.R. Cooper</v>
      </c>
      <c r="D116" t="str">
        <f>wimbledons_champions!D240</f>
        <v>GBR</v>
      </c>
      <c r="E116">
        <f>wimbledons_champions!F240</f>
        <v>0</v>
      </c>
      <c r="F116">
        <f>wimbledons_champions!G240</f>
        <v>0</v>
      </c>
      <c r="G116" t="str">
        <f>wimbledons_champions!H240</f>
        <v>6-2, 6-3</v>
      </c>
      <c r="H116" t="str">
        <f>wimbledons_champions!S240</f>
        <v>W.H. Pickering</v>
      </c>
      <c r="I116" t="str">
        <f>wimbledons_champions!T240</f>
        <v>GBR</v>
      </c>
      <c r="J116">
        <f>wimbledons_champions!V240</f>
        <v>0</v>
      </c>
    </row>
    <row r="117" spans="1:10" x14ac:dyDescent="0.4">
      <c r="A117">
        <f>wimbledons_champions!A242</f>
        <v>1895</v>
      </c>
      <c r="B117" t="str">
        <f>wimbledons_champions!B242</f>
        <v>Women's</v>
      </c>
      <c r="C117" t="str">
        <f>wimbledons_champions!C242</f>
        <v>C.R. Cooper</v>
      </c>
      <c r="D117" t="str">
        <f>wimbledons_champions!D242</f>
        <v>GBR</v>
      </c>
      <c r="E117">
        <f>wimbledons_champions!F242</f>
        <v>0</v>
      </c>
      <c r="F117">
        <f>wimbledons_champions!G242</f>
        <v>0</v>
      </c>
      <c r="G117" t="str">
        <f>wimbledons_champions!H242</f>
        <v>7-5, 8-6</v>
      </c>
      <c r="H117" t="str">
        <f>wimbledons_champions!S242</f>
        <v>H. Jackson</v>
      </c>
      <c r="I117" t="str">
        <f>wimbledons_champions!T242</f>
        <v>GBR</v>
      </c>
      <c r="J117">
        <f>wimbledons_champions!V242</f>
        <v>0</v>
      </c>
    </row>
    <row r="118" spans="1:10" x14ac:dyDescent="0.4">
      <c r="A118">
        <f>wimbledons_champions!A244</f>
        <v>1894</v>
      </c>
      <c r="B118" t="str">
        <f>wimbledons_champions!B244</f>
        <v>Women's</v>
      </c>
      <c r="C118" t="str">
        <f>wimbledons_champions!C244</f>
        <v>G.W. Hillyard</v>
      </c>
      <c r="D118" t="str">
        <f>wimbledons_champions!D244</f>
        <v>GBR</v>
      </c>
      <c r="E118">
        <f>wimbledons_champions!F244</f>
        <v>0</v>
      </c>
      <c r="F118">
        <f>wimbledons_champions!G244</f>
        <v>0</v>
      </c>
      <c r="G118" t="str">
        <f>wimbledons_champions!H244</f>
        <v>6-1, 6-1</v>
      </c>
      <c r="H118" t="str">
        <f>wimbledons_champions!S244</f>
        <v>E.L. Austin</v>
      </c>
      <c r="I118" t="str">
        <f>wimbledons_champions!T244</f>
        <v>GBR</v>
      </c>
      <c r="J118">
        <f>wimbledons_champions!V244</f>
        <v>0</v>
      </c>
    </row>
    <row r="119" spans="1:10" x14ac:dyDescent="0.4">
      <c r="A119">
        <f>wimbledons_champions!A246</f>
        <v>1893</v>
      </c>
      <c r="B119" t="str">
        <f>wimbledons_champions!B246</f>
        <v>Women's</v>
      </c>
      <c r="C119" t="str">
        <f>wimbledons_champions!C246</f>
        <v>C. Dod</v>
      </c>
      <c r="D119" t="str">
        <f>wimbledons_champions!D246</f>
        <v>GBR</v>
      </c>
      <c r="E119">
        <f>wimbledons_champions!F246</f>
        <v>0</v>
      </c>
      <c r="F119">
        <f>wimbledons_champions!G246</f>
        <v>0</v>
      </c>
      <c r="G119" t="str">
        <f>wimbledons_champions!H246</f>
        <v>6-8, 6-1, 6-4</v>
      </c>
      <c r="H119" t="str">
        <f>wimbledons_champions!S246</f>
        <v>G.W. Hillyard</v>
      </c>
      <c r="I119" t="str">
        <f>wimbledons_champions!T246</f>
        <v>GBR</v>
      </c>
      <c r="J119">
        <f>wimbledons_champions!V246</f>
        <v>0</v>
      </c>
    </row>
    <row r="120" spans="1:10" x14ac:dyDescent="0.4">
      <c r="A120">
        <f>wimbledons_champions!A248</f>
        <v>1892</v>
      </c>
      <c r="B120" t="str">
        <f>wimbledons_champions!B248</f>
        <v>Women's</v>
      </c>
      <c r="C120" t="str">
        <f>wimbledons_champions!C248</f>
        <v>C. Dod</v>
      </c>
      <c r="D120" t="str">
        <f>wimbledons_champions!D248</f>
        <v>GBR</v>
      </c>
      <c r="E120">
        <f>wimbledons_champions!F248</f>
        <v>0</v>
      </c>
      <c r="F120">
        <f>wimbledons_champions!G248</f>
        <v>0</v>
      </c>
      <c r="G120" t="str">
        <f>wimbledons_champions!H248</f>
        <v>6-1, 6-1</v>
      </c>
      <c r="H120" t="str">
        <f>wimbledons_champions!S248</f>
        <v>G.W. Hillyard</v>
      </c>
      <c r="I120" t="str">
        <f>wimbledons_champions!T248</f>
        <v>GBR</v>
      </c>
      <c r="J120">
        <f>wimbledons_champions!V248</f>
        <v>0</v>
      </c>
    </row>
    <row r="121" spans="1:10" x14ac:dyDescent="0.4">
      <c r="A121">
        <f>wimbledons_champions!A250</f>
        <v>1891</v>
      </c>
      <c r="B121" t="str">
        <f>wimbledons_champions!B250</f>
        <v>Women's</v>
      </c>
      <c r="C121" t="str">
        <f>wimbledons_champions!C250</f>
        <v>C. Dod</v>
      </c>
      <c r="D121" t="str">
        <f>wimbledons_champions!D250</f>
        <v>GBR</v>
      </c>
      <c r="E121">
        <f>wimbledons_champions!F250</f>
        <v>0</v>
      </c>
      <c r="F121">
        <f>wimbledons_champions!G250</f>
        <v>0</v>
      </c>
      <c r="G121" t="str">
        <f>wimbledons_champions!H250</f>
        <v>6-2, 6-1</v>
      </c>
      <c r="H121" t="str">
        <f>wimbledons_champions!S250</f>
        <v>G.W. Hillyard</v>
      </c>
      <c r="I121" t="str">
        <f>wimbledons_champions!T250</f>
        <v>GBR</v>
      </c>
      <c r="J121">
        <f>wimbledons_champions!V250</f>
        <v>0</v>
      </c>
    </row>
    <row r="122" spans="1:10" x14ac:dyDescent="0.4">
      <c r="A122">
        <f>wimbledons_champions!A252</f>
        <v>1890</v>
      </c>
      <c r="B122" t="str">
        <f>wimbledons_champions!B252</f>
        <v>Women's</v>
      </c>
      <c r="C122" t="str">
        <f>wimbledons_champions!C252</f>
        <v>H.G.B. Rice</v>
      </c>
      <c r="D122" t="str">
        <f>wimbledons_champions!D252</f>
        <v>GBR</v>
      </c>
      <c r="E122">
        <f>wimbledons_champions!F252</f>
        <v>0</v>
      </c>
      <c r="F122">
        <f>wimbledons_champions!G252</f>
        <v>0</v>
      </c>
      <c r="G122" t="str">
        <f>wimbledons_champions!H252</f>
        <v>6-4, 6-1</v>
      </c>
      <c r="H122" t="str">
        <f>wimbledons_champions!S252</f>
        <v>M. Jacks</v>
      </c>
      <c r="I122" t="str">
        <f>wimbledons_champions!T252</f>
        <v>GBR</v>
      </c>
      <c r="J122">
        <f>wimbledons_champions!V252</f>
        <v>0</v>
      </c>
    </row>
    <row r="123" spans="1:10" x14ac:dyDescent="0.4">
      <c r="A123">
        <f>wimbledons_champions!A254</f>
        <v>1889</v>
      </c>
      <c r="B123" t="str">
        <f>wimbledons_champions!B254</f>
        <v>Women's</v>
      </c>
      <c r="C123" t="str">
        <f>wimbledons_champions!C254</f>
        <v>G.W. Hillyard</v>
      </c>
      <c r="D123" t="str">
        <f>wimbledons_champions!D254</f>
        <v>GBR</v>
      </c>
      <c r="E123">
        <f>wimbledons_champions!F254</f>
        <v>0</v>
      </c>
      <c r="F123">
        <f>wimbledons_champions!G254</f>
        <v>0</v>
      </c>
      <c r="G123" t="str">
        <f>wimbledons_champions!H254</f>
        <v>4-6, 8-6, 6-4</v>
      </c>
      <c r="H123" t="str">
        <f>wimbledons_champions!S254</f>
        <v>H.G.B. Rice</v>
      </c>
      <c r="I123" t="str">
        <f>wimbledons_champions!T254</f>
        <v>GBR</v>
      </c>
      <c r="J123">
        <f>wimbledons_champions!V254</f>
        <v>0</v>
      </c>
    </row>
    <row r="124" spans="1:10" x14ac:dyDescent="0.4">
      <c r="A124">
        <f>wimbledons_champions!A256</f>
        <v>1888</v>
      </c>
      <c r="B124" t="str">
        <f>wimbledons_champions!B256</f>
        <v>Women's</v>
      </c>
      <c r="C124" t="str">
        <f>wimbledons_champions!C256</f>
        <v>C. Dod</v>
      </c>
      <c r="D124" t="str">
        <f>wimbledons_champions!D256</f>
        <v>GBR</v>
      </c>
      <c r="E124">
        <f>wimbledons_champions!F256</f>
        <v>0</v>
      </c>
      <c r="F124">
        <f>wimbledons_champions!G256</f>
        <v>0</v>
      </c>
      <c r="G124" t="str">
        <f>wimbledons_champions!H256</f>
        <v>6-3, 6-3</v>
      </c>
      <c r="H124" t="str">
        <f>wimbledons_champions!S256</f>
        <v>G.W. Hillyard</v>
      </c>
      <c r="I124" t="str">
        <f>wimbledons_champions!T256</f>
        <v>GBR</v>
      </c>
      <c r="J124">
        <f>wimbledons_champions!V256</f>
        <v>0</v>
      </c>
    </row>
    <row r="125" spans="1:10" x14ac:dyDescent="0.4">
      <c r="A125">
        <f>wimbledons_champions!A258</f>
        <v>1887</v>
      </c>
      <c r="B125" t="str">
        <f>wimbledons_champions!B258</f>
        <v>Women's</v>
      </c>
      <c r="C125" t="str">
        <f>wimbledons_champions!C258</f>
        <v>C. Dod</v>
      </c>
      <c r="D125" t="str">
        <f>wimbledons_champions!D258</f>
        <v>GBR</v>
      </c>
      <c r="E125">
        <f>wimbledons_champions!F258</f>
        <v>0</v>
      </c>
      <c r="F125">
        <f>wimbledons_champions!G258</f>
        <v>0</v>
      </c>
      <c r="G125" t="str">
        <f>wimbledons_champions!H258</f>
        <v>6-2, 6-0</v>
      </c>
      <c r="H125" t="str">
        <f>wimbledons_champions!S258</f>
        <v>G.W. Hillyard</v>
      </c>
      <c r="I125" t="str">
        <f>wimbledons_champions!T258</f>
        <v>GBR</v>
      </c>
      <c r="J125">
        <f>wimbledons_champions!V258</f>
        <v>0</v>
      </c>
    </row>
    <row r="126" spans="1:10" x14ac:dyDescent="0.4">
      <c r="A126">
        <f>wimbledons_champions!A260</f>
        <v>1886</v>
      </c>
      <c r="B126" t="str">
        <f>wimbledons_champions!B260</f>
        <v>Women's</v>
      </c>
      <c r="C126" t="str">
        <f>wimbledons_champions!C260</f>
        <v>G.W. Hillyard</v>
      </c>
      <c r="D126" t="str">
        <f>wimbledons_champions!D260</f>
        <v>GBR</v>
      </c>
      <c r="E126">
        <f>wimbledons_champions!F260</f>
        <v>0</v>
      </c>
      <c r="F126">
        <f>wimbledons_champions!G260</f>
        <v>0</v>
      </c>
      <c r="G126" t="str">
        <f>wimbledons_champions!H260</f>
        <v>6-3, 6-3</v>
      </c>
      <c r="H126" t="str">
        <f>wimbledons_champions!S260</f>
        <v>M.E.E. Watson</v>
      </c>
      <c r="I126" t="str">
        <f>wimbledons_champions!T260</f>
        <v>GBR</v>
      </c>
      <c r="J126">
        <f>wimbledons_champions!V260</f>
        <v>0</v>
      </c>
    </row>
    <row r="127" spans="1:10" x14ac:dyDescent="0.4">
      <c r="A127">
        <f>wimbledons_champions!A262</f>
        <v>1885</v>
      </c>
      <c r="B127" t="str">
        <f>wimbledons_champions!B262</f>
        <v>Women's</v>
      </c>
      <c r="C127" t="str">
        <f>wimbledons_champions!C262</f>
        <v>M.E.E. Watson</v>
      </c>
      <c r="D127" t="str">
        <f>wimbledons_champions!D262</f>
        <v>GBR</v>
      </c>
      <c r="E127">
        <f>wimbledons_champions!F262</f>
        <v>0</v>
      </c>
      <c r="F127">
        <f>wimbledons_champions!G262</f>
        <v>0</v>
      </c>
      <c r="G127" t="str">
        <f>wimbledons_champions!H262</f>
        <v>6-1, 7-5</v>
      </c>
      <c r="H127" t="str">
        <f>wimbledons_champions!S262</f>
        <v>G.W. Hillyard</v>
      </c>
      <c r="I127" t="str">
        <f>wimbledons_champions!T262</f>
        <v>GBR</v>
      </c>
      <c r="J127">
        <f>wimbledons_champions!V262</f>
        <v>0</v>
      </c>
    </row>
    <row r="128" spans="1:10" x14ac:dyDescent="0.4">
      <c r="A128">
        <f>wimbledons_champions!A264</f>
        <v>1884</v>
      </c>
      <c r="B128" t="str">
        <f>wimbledons_champions!B264</f>
        <v>Women's</v>
      </c>
      <c r="C128" t="str">
        <f>wimbledons_champions!C264</f>
        <v>M.E.E. Watson</v>
      </c>
      <c r="D128" t="str">
        <f>wimbledons_champions!D264</f>
        <v>GBR</v>
      </c>
      <c r="E128">
        <f>wimbledons_champions!F264</f>
        <v>0</v>
      </c>
      <c r="F128">
        <f>wimbledons_champions!G264</f>
        <v>0</v>
      </c>
      <c r="G128" t="str">
        <f>wimbledons_champions!H264</f>
        <v>6-8, 6-3, 6-3</v>
      </c>
      <c r="H128" t="str">
        <f>wimbledons_champions!S264</f>
        <v>L.M. Watson</v>
      </c>
      <c r="I128" t="str">
        <f>wimbledons_champions!T264</f>
        <v>GBR</v>
      </c>
      <c r="J128">
        <f>wimbledons_champions!V264</f>
        <v>0</v>
      </c>
    </row>
    <row r="129" spans="1:12" x14ac:dyDescent="0.4">
      <c r="A129">
        <f>wimbledons_champions!A266</f>
        <v>1883</v>
      </c>
      <c r="B129" t="str">
        <f>wimbledons_champions!B266</f>
        <v>Men's</v>
      </c>
      <c r="C129" t="str">
        <f>wimbledons_champions!C266</f>
        <v>W.C. Renshaw</v>
      </c>
      <c r="D129" t="str">
        <f>wimbledons_champions!D266</f>
        <v>GBR</v>
      </c>
      <c r="E129">
        <f>wimbledons_champions!F266</f>
        <v>0</v>
      </c>
      <c r="F129">
        <f>wimbledons_champions!G266</f>
        <v>89</v>
      </c>
      <c r="G129" t="str">
        <f>wimbledons_champions!H266</f>
        <v>2-6, 6-3, 6-3, 4-6, 6-3</v>
      </c>
      <c r="H129" t="str">
        <f>wimbledons_champions!S266</f>
        <v>J.E. Renshaw</v>
      </c>
      <c r="I129" t="str">
        <f>wimbledons_champions!T266</f>
        <v>GBR</v>
      </c>
      <c r="J129">
        <f>wimbledons_champions!V266</f>
        <v>0</v>
      </c>
    </row>
    <row r="130" spans="1:12" x14ac:dyDescent="0.4">
      <c r="A130">
        <f>wimbledons_champions!A267</f>
        <v>1882</v>
      </c>
      <c r="B130" t="str">
        <f>wimbledons_champions!B267</f>
        <v>Men's</v>
      </c>
      <c r="C130" t="str">
        <f>wimbledons_champions!C267</f>
        <v>W.C. Renshaw</v>
      </c>
      <c r="D130" t="str">
        <f>wimbledons_champions!D267</f>
        <v>GBR</v>
      </c>
      <c r="E130">
        <f>wimbledons_champions!F267</f>
        <v>0</v>
      </c>
      <c r="F130">
        <f>wimbledons_champions!G267</f>
        <v>85</v>
      </c>
      <c r="G130" t="str">
        <f>wimbledons_champions!H267</f>
        <v>6-1, 2-6, 4-6, 6-2, 6-2</v>
      </c>
      <c r="H130" t="str">
        <f>wimbledons_champions!S267</f>
        <v>J.E. Renshaw</v>
      </c>
      <c r="I130" t="str">
        <f>wimbledons_champions!T267</f>
        <v>GBR</v>
      </c>
      <c r="J130">
        <f>wimbledons_champions!V267</f>
        <v>0</v>
      </c>
    </row>
    <row r="131" spans="1:12" x14ac:dyDescent="0.4">
      <c r="A131">
        <f>wimbledons_champions!A268</f>
        <v>1881</v>
      </c>
      <c r="B131" t="str">
        <f>wimbledons_champions!B268</f>
        <v>Men's</v>
      </c>
      <c r="C131" t="str">
        <f>wimbledons_champions!C268</f>
        <v>W.C. Renshaw</v>
      </c>
      <c r="D131" t="str">
        <f>wimbledons_champions!D268</f>
        <v>GBR</v>
      </c>
      <c r="E131">
        <f>wimbledons_champions!F268</f>
        <v>0</v>
      </c>
      <c r="F131">
        <f>wimbledons_champions!G268</f>
        <v>37</v>
      </c>
      <c r="G131" t="str">
        <f>wimbledons_champions!H268</f>
        <v>6-0, 6-1, 6-1</v>
      </c>
      <c r="H131" t="str">
        <f>wimbledons_champions!S268</f>
        <v>J.T. Hartley</v>
      </c>
      <c r="I131" t="str">
        <f>wimbledons_champions!T268</f>
        <v>GBR</v>
      </c>
      <c r="J131">
        <f>wimbledons_champions!V268</f>
        <v>0</v>
      </c>
    </row>
    <row r="132" spans="1:12" x14ac:dyDescent="0.4">
      <c r="A132">
        <f>wimbledons_champions!A269</f>
        <v>1880</v>
      </c>
      <c r="B132" t="str">
        <f>wimbledons_champions!B269</f>
        <v>Men's</v>
      </c>
      <c r="C132" t="str">
        <f>wimbledons_champions!C269</f>
        <v>J.T. Hartley</v>
      </c>
      <c r="D132" t="str">
        <f>wimbledons_champions!D269</f>
        <v>GBR</v>
      </c>
      <c r="E132">
        <f>wimbledons_champions!F269</f>
        <v>0</v>
      </c>
      <c r="F132">
        <f>wimbledons_champions!G269</f>
        <v>0</v>
      </c>
      <c r="G132" t="str">
        <f>wimbledons_champions!H269</f>
        <v>6-3, 6-2, 2-6, 6-3</v>
      </c>
      <c r="H132" t="str">
        <f>wimbledons_champions!S269</f>
        <v>H.F. Lawford</v>
      </c>
      <c r="I132" t="str">
        <f>wimbledons_champions!T269</f>
        <v>GBR</v>
      </c>
      <c r="J132">
        <f>wimbledons_champions!V269</f>
        <v>0</v>
      </c>
    </row>
    <row r="133" spans="1:12" x14ac:dyDescent="0.4">
      <c r="A133">
        <f>wimbledons_champions!A270</f>
        <v>1879</v>
      </c>
      <c r="B133" t="str">
        <f>wimbledons_champions!B270</f>
        <v>Men's</v>
      </c>
      <c r="C133" t="str">
        <f>wimbledons_champions!C270</f>
        <v>J.T. Hartley</v>
      </c>
      <c r="D133" t="str">
        <f>wimbledons_champions!D270</f>
        <v>GBR</v>
      </c>
      <c r="E133">
        <f>wimbledons_champions!F270</f>
        <v>0</v>
      </c>
      <c r="F133">
        <f>wimbledons_champions!G270</f>
        <v>0</v>
      </c>
      <c r="G133" t="str">
        <f>wimbledons_champions!H270</f>
        <v>6-2, 6-4, 6-2</v>
      </c>
      <c r="H133" t="str">
        <f>wimbledons_champions!S270</f>
        <v>V.T.St.L. Goold</v>
      </c>
      <c r="I133" t="str">
        <f>wimbledons_champions!T270</f>
        <v>GBR</v>
      </c>
      <c r="J133">
        <f>wimbledons_champions!V270</f>
        <v>0</v>
      </c>
    </row>
    <row r="134" spans="1:12" x14ac:dyDescent="0.4">
      <c r="A134">
        <f>wimbledons_champions!A271</f>
        <v>1878</v>
      </c>
      <c r="B134" t="str">
        <f>wimbledons_champions!B271</f>
        <v>Men's</v>
      </c>
      <c r="C134" t="str">
        <f>wimbledons_champions!C271</f>
        <v>P.F. Hadow</v>
      </c>
      <c r="D134" t="str">
        <f>wimbledons_champions!D271</f>
        <v>GBR</v>
      </c>
      <c r="E134">
        <f>wimbledons_champions!F271</f>
        <v>0</v>
      </c>
      <c r="F134">
        <f>wimbledons_champions!G271</f>
        <v>0</v>
      </c>
      <c r="G134" t="str">
        <f>wimbledons_champions!H271</f>
        <v>7-5, 6-1, 9-7</v>
      </c>
      <c r="H134" t="str">
        <f>wimbledons_champions!S271</f>
        <v>S.W. Gore</v>
      </c>
      <c r="I134" t="str">
        <f>wimbledons_champions!T271</f>
        <v>GBR</v>
      </c>
      <c r="J134">
        <f>wimbledons_champions!V271</f>
        <v>0</v>
      </c>
    </row>
    <row r="135" spans="1:12" x14ac:dyDescent="0.4">
      <c r="A135">
        <f>wimbledons_champions!A272</f>
        <v>1877</v>
      </c>
      <c r="B135" t="str">
        <f>wimbledons_champions!B272</f>
        <v>Men's</v>
      </c>
      <c r="C135" t="str">
        <f>wimbledons_champions!C272</f>
        <v>S.W. Gore</v>
      </c>
      <c r="D135" t="str">
        <f>wimbledons_champions!D272</f>
        <v>GBR</v>
      </c>
      <c r="E135">
        <f>wimbledons_champions!F272</f>
        <v>0</v>
      </c>
      <c r="F135">
        <f>wimbledons_champions!G272</f>
        <v>48</v>
      </c>
      <c r="G135" t="str">
        <f>wimbledons_champions!H272</f>
        <v>6-1, 6-2, 6-4</v>
      </c>
      <c r="H135" t="str">
        <f>wimbledons_champions!S272</f>
        <v>W.C. Marshall</v>
      </c>
      <c r="I135" t="str">
        <f>wimbledons_champions!T272</f>
        <v>GBR</v>
      </c>
      <c r="J135">
        <f>wimbledons_champions!V272</f>
        <v>0</v>
      </c>
    </row>
    <row r="136" spans="1:12" s="4" customFormat="1" x14ac:dyDescent="0.4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4">
      <c r="A137" s="4"/>
      <c r="B137" s="4"/>
      <c r="C137" s="4">
        <v>65</v>
      </c>
      <c r="D137" s="4">
        <v>14</v>
      </c>
      <c r="E137" s="4"/>
      <c r="F137" s="4"/>
      <c r="G137" s="4"/>
      <c r="H137" s="4">
        <v>85</v>
      </c>
      <c r="I137" s="4">
        <v>22</v>
      </c>
      <c r="J137" s="4"/>
      <c r="K137" s="4"/>
      <c r="L137" s="4"/>
    </row>
  </sheetData>
  <sortState xmlns:xlrd2="http://schemas.microsoft.com/office/spreadsheetml/2017/richdata2" ref="A3:J261">
    <sortCondition ref="B3:B261"/>
  </sortState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27" sqref="B327"/>
    </sheetView>
  </sheetViews>
  <sheetFormatPr defaultRowHeight="14.6" outlineLevelRow="2" x14ac:dyDescent="0.4"/>
  <cols>
    <col min="1" max="1" width="5" bestFit="1" customWidth="1"/>
    <col min="2" max="2" width="29" style="25" customWidth="1"/>
    <col min="3" max="3" width="15.69140625" style="25" bestFit="1" customWidth="1"/>
    <col min="4" max="5" width="20.53515625" style="25" bestFit="1" customWidth="1"/>
    <col min="6" max="6" width="15" style="7" bestFit="1" customWidth="1"/>
    <col min="7" max="7" width="5.3046875" style="7" bestFit="1" customWidth="1"/>
    <col min="8" max="8" width="30.4609375" style="25" bestFit="1" customWidth="1"/>
    <col min="9" max="9" width="20.69140625" style="25" bestFit="1" customWidth="1"/>
    <col min="10" max="11" width="21" style="25" bestFit="1" customWidth="1"/>
    <col min="12" max="12" width="15.4609375" style="7" bestFit="1" customWidth="1"/>
    <col min="13" max="13" width="28.4609375" bestFit="1" customWidth="1"/>
    <col min="14" max="14" width="20.69140625" bestFit="1" customWidth="1"/>
  </cols>
  <sheetData>
    <row r="1" spans="1:12" s="15" customFormat="1" x14ac:dyDescent="0.4">
      <c r="A1" s="15" t="s">
        <v>9</v>
      </c>
      <c r="B1" s="24" t="s">
        <v>0</v>
      </c>
      <c r="C1" s="24" t="s">
        <v>1</v>
      </c>
      <c r="D1" s="24" t="s">
        <v>4</v>
      </c>
      <c r="E1" s="24" t="s">
        <v>492</v>
      </c>
      <c r="F1" s="23" t="s">
        <v>8</v>
      </c>
      <c r="G1" s="23" t="s">
        <v>2</v>
      </c>
      <c r="H1" s="24" t="s">
        <v>6</v>
      </c>
      <c r="I1" s="24" t="s">
        <v>5</v>
      </c>
      <c r="J1" s="24" t="s">
        <v>3</v>
      </c>
      <c r="K1" s="24" t="s">
        <v>520</v>
      </c>
      <c r="L1" s="23" t="s">
        <v>7</v>
      </c>
    </row>
    <row r="2" spans="1:12" s="22" customFormat="1" hidden="1" outlineLevel="2" x14ac:dyDescent="0.4">
      <c r="A2" s="22">
        <v>2021</v>
      </c>
      <c r="B2" s="25" t="s">
        <v>268</v>
      </c>
      <c r="C2" s="25" t="s">
        <v>759</v>
      </c>
      <c r="D2" s="25" t="s">
        <v>760</v>
      </c>
      <c r="E2" s="25" t="s">
        <v>503</v>
      </c>
      <c r="F2" s="7">
        <v>1</v>
      </c>
      <c r="G2" s="7">
        <v>116</v>
      </c>
      <c r="H2" s="25" t="s">
        <v>761</v>
      </c>
      <c r="I2" s="25" t="s">
        <v>762</v>
      </c>
      <c r="J2" s="25" t="s">
        <v>107</v>
      </c>
      <c r="K2" s="25" t="s">
        <v>763</v>
      </c>
      <c r="L2" s="7">
        <v>8</v>
      </c>
    </row>
    <row r="3" spans="1:12" s="22" customFormat="1" outlineLevel="1" collapsed="1" x14ac:dyDescent="0.4">
      <c r="B3" s="24" t="s">
        <v>765</v>
      </c>
      <c r="C3" s="25">
        <f>SUBTOTAL(3,C2:C2)</f>
        <v>1</v>
      </c>
      <c r="D3" s="25"/>
      <c r="E3" s="25"/>
      <c r="F3" s="7"/>
      <c r="G3" s="7"/>
      <c r="H3" s="25"/>
      <c r="I3" s="25"/>
      <c r="J3" s="25"/>
      <c r="K3" s="25"/>
      <c r="L3" s="7"/>
    </row>
    <row r="4" spans="1:12" s="22" customFormat="1" hidden="1" outlineLevel="2" x14ac:dyDescent="0.4">
      <c r="A4">
        <v>1958</v>
      </c>
      <c r="B4" s="25" t="s">
        <v>268</v>
      </c>
      <c r="C4" s="25" t="s">
        <v>431</v>
      </c>
      <c r="D4" s="25" t="s">
        <v>28</v>
      </c>
      <c r="E4" s="25" t="s">
        <v>499</v>
      </c>
      <c r="F4" s="7">
        <v>1</v>
      </c>
      <c r="G4" s="7">
        <v>62</v>
      </c>
      <c r="H4" s="25" t="s">
        <v>631</v>
      </c>
      <c r="I4" s="25" t="s">
        <v>377</v>
      </c>
      <c r="J4" s="25" t="s">
        <v>15</v>
      </c>
      <c r="K4" s="25" t="s">
        <v>498</v>
      </c>
      <c r="L4" s="7"/>
    </row>
    <row r="5" spans="1:12" hidden="1" outlineLevel="2" x14ac:dyDescent="0.4">
      <c r="A5">
        <v>1957</v>
      </c>
      <c r="B5" s="25" t="s">
        <v>268</v>
      </c>
      <c r="C5" s="25" t="s">
        <v>431</v>
      </c>
      <c r="D5" s="25" t="s">
        <v>28</v>
      </c>
      <c r="E5" s="25" t="s">
        <v>499</v>
      </c>
      <c r="F5" s="7">
        <v>1</v>
      </c>
      <c r="G5" s="7">
        <v>50</v>
      </c>
      <c r="H5" s="25" t="s">
        <v>633</v>
      </c>
      <c r="I5" s="25" t="s">
        <v>287</v>
      </c>
      <c r="J5" s="25" t="s">
        <v>28</v>
      </c>
      <c r="K5" s="25" t="s">
        <v>499</v>
      </c>
      <c r="L5" s="7">
        <v>5</v>
      </c>
    </row>
    <row r="6" spans="1:12" outlineLevel="1" collapsed="1" x14ac:dyDescent="0.4">
      <c r="B6" s="24" t="s">
        <v>766</v>
      </c>
      <c r="C6" s="25">
        <f>SUBTOTAL(3,C4:C5)</f>
        <v>2</v>
      </c>
    </row>
    <row r="7" spans="1:12" hidden="1" outlineLevel="2" x14ac:dyDescent="0.4">
      <c r="A7">
        <v>1939</v>
      </c>
      <c r="B7" s="25" t="s">
        <v>268</v>
      </c>
      <c r="C7" s="25" t="s">
        <v>434</v>
      </c>
      <c r="D7" s="25" t="s">
        <v>28</v>
      </c>
      <c r="E7" s="25" t="s">
        <v>499</v>
      </c>
      <c r="F7" s="7">
        <v>1</v>
      </c>
      <c r="G7" s="7">
        <v>30</v>
      </c>
      <c r="H7" s="25" t="s">
        <v>654</v>
      </c>
      <c r="I7" s="25" t="s">
        <v>435</v>
      </c>
      <c r="J7" s="25" t="s">
        <v>15</v>
      </c>
      <c r="K7" s="25" t="s">
        <v>498</v>
      </c>
      <c r="L7" s="7">
        <v>6</v>
      </c>
    </row>
    <row r="8" spans="1:12" outlineLevel="1" collapsed="1" x14ac:dyDescent="0.4">
      <c r="B8" s="24" t="s">
        <v>767</v>
      </c>
      <c r="C8" s="25">
        <f>SUBTOTAL(3,C7:C7)</f>
        <v>1</v>
      </c>
    </row>
    <row r="9" spans="1:12" hidden="1" outlineLevel="2" x14ac:dyDescent="0.4">
      <c r="A9">
        <v>2006</v>
      </c>
      <c r="B9" s="25" t="s">
        <v>268</v>
      </c>
      <c r="C9" s="25" t="s">
        <v>310</v>
      </c>
      <c r="D9" s="25" t="s">
        <v>24</v>
      </c>
      <c r="E9" s="25" t="s">
        <v>501</v>
      </c>
      <c r="F9" s="7">
        <v>1</v>
      </c>
      <c r="G9" s="7">
        <v>122</v>
      </c>
      <c r="H9" s="25" t="s">
        <v>538</v>
      </c>
      <c r="I9" s="25" t="s">
        <v>313</v>
      </c>
      <c r="J9" s="25" t="s">
        <v>312</v>
      </c>
      <c r="K9" s="25" t="s">
        <v>513</v>
      </c>
      <c r="L9" s="7">
        <v>3</v>
      </c>
    </row>
    <row r="10" spans="1:12" outlineLevel="1" collapsed="1" x14ac:dyDescent="0.4">
      <c r="B10" s="24" t="s">
        <v>768</v>
      </c>
      <c r="C10" s="25">
        <f>SUBTOTAL(3,C9:C9)</f>
        <v>1</v>
      </c>
    </row>
    <row r="11" spans="1:12" hidden="1" outlineLevel="2" x14ac:dyDescent="0.4">
      <c r="A11">
        <v>2016</v>
      </c>
      <c r="B11" s="25" t="s">
        <v>10</v>
      </c>
      <c r="C11" s="25" t="s">
        <v>203</v>
      </c>
      <c r="D11" s="25" t="s">
        <v>15</v>
      </c>
      <c r="E11" s="25" t="s">
        <v>498</v>
      </c>
      <c r="F11" s="7">
        <v>2</v>
      </c>
      <c r="G11" s="7">
        <v>170</v>
      </c>
      <c r="H11" s="25" t="s">
        <v>521</v>
      </c>
      <c r="I11" s="25" t="s">
        <v>206</v>
      </c>
      <c r="J11" s="25" t="s">
        <v>205</v>
      </c>
      <c r="K11" s="25" t="s">
        <v>511</v>
      </c>
      <c r="L11" s="7">
        <v>6</v>
      </c>
    </row>
    <row r="12" spans="1:12" hidden="1" outlineLevel="2" x14ac:dyDescent="0.4">
      <c r="A12">
        <v>2013</v>
      </c>
      <c r="B12" s="25" t="s">
        <v>10</v>
      </c>
      <c r="C12" s="25" t="s">
        <v>203</v>
      </c>
      <c r="D12" s="25" t="s">
        <v>15</v>
      </c>
      <c r="E12" s="25" t="s">
        <v>498</v>
      </c>
      <c r="F12" s="7">
        <v>2</v>
      </c>
      <c r="G12" s="7">
        <v>134</v>
      </c>
      <c r="H12" s="25" t="s">
        <v>526</v>
      </c>
      <c r="I12" s="25" t="s">
        <v>129</v>
      </c>
      <c r="J12" s="25" t="s">
        <v>131</v>
      </c>
      <c r="K12" s="25" t="s">
        <v>494</v>
      </c>
      <c r="L12" s="7">
        <v>1</v>
      </c>
    </row>
    <row r="13" spans="1:12" outlineLevel="1" collapsed="1" x14ac:dyDescent="0.4">
      <c r="B13" s="24" t="s">
        <v>769</v>
      </c>
      <c r="C13" s="25">
        <f>SUBTOTAL(3,C11:C12)</f>
        <v>2</v>
      </c>
    </row>
    <row r="14" spans="1:12" hidden="1" outlineLevel="2" x14ac:dyDescent="0.4">
      <c r="A14">
        <v>1908</v>
      </c>
      <c r="B14" s="25" t="s">
        <v>268</v>
      </c>
      <c r="C14" s="25" t="s">
        <v>320</v>
      </c>
      <c r="D14" s="25" t="s">
        <v>15</v>
      </c>
      <c r="E14" s="25" t="s">
        <v>498</v>
      </c>
      <c r="H14" s="25" t="s">
        <v>524</v>
      </c>
      <c r="I14" s="25" t="s">
        <v>322</v>
      </c>
      <c r="J14" s="25" t="s">
        <v>15</v>
      </c>
      <c r="K14" s="25" t="s">
        <v>498</v>
      </c>
    </row>
    <row r="15" spans="1:12" hidden="1" outlineLevel="2" x14ac:dyDescent="0.4">
      <c r="A15">
        <v>1901</v>
      </c>
      <c r="B15" s="25" t="s">
        <v>268</v>
      </c>
      <c r="C15" s="25" t="s">
        <v>320</v>
      </c>
      <c r="D15" s="25" t="s">
        <v>15</v>
      </c>
      <c r="E15" s="25" t="s">
        <v>498</v>
      </c>
      <c r="H15" s="25" t="s">
        <v>473</v>
      </c>
      <c r="I15" s="25" t="s">
        <v>323</v>
      </c>
      <c r="J15" s="25" t="s">
        <v>15</v>
      </c>
      <c r="K15" s="25" t="s">
        <v>498</v>
      </c>
    </row>
    <row r="16" spans="1:12" outlineLevel="1" collapsed="1" x14ac:dyDescent="0.4">
      <c r="B16" s="24" t="s">
        <v>770</v>
      </c>
      <c r="C16" s="25">
        <f>SUBTOTAL(3,C14:C15)</f>
        <v>2</v>
      </c>
    </row>
    <row r="17" spans="1:12" hidden="1" outlineLevel="2" x14ac:dyDescent="0.4">
      <c r="A17">
        <v>1913</v>
      </c>
      <c r="B17" s="25" t="s">
        <v>10</v>
      </c>
      <c r="C17" s="25" t="s">
        <v>21</v>
      </c>
      <c r="D17" s="25" t="s">
        <v>20</v>
      </c>
      <c r="E17" s="25" t="s">
        <v>508</v>
      </c>
      <c r="H17" s="25" t="s">
        <v>686</v>
      </c>
      <c r="I17" s="25" t="s">
        <v>86</v>
      </c>
      <c r="J17" s="25" t="s">
        <v>28</v>
      </c>
      <c r="K17" s="25" t="s">
        <v>499</v>
      </c>
    </row>
    <row r="18" spans="1:12" hidden="1" outlineLevel="2" x14ac:dyDescent="0.4">
      <c r="A18">
        <v>1912</v>
      </c>
      <c r="B18" s="25" t="s">
        <v>10</v>
      </c>
      <c r="C18" s="25" t="s">
        <v>21</v>
      </c>
      <c r="D18" s="25" t="s">
        <v>20</v>
      </c>
      <c r="E18" s="25" t="s">
        <v>508</v>
      </c>
      <c r="H18" s="25" t="s">
        <v>687</v>
      </c>
      <c r="I18" s="25" t="s">
        <v>18</v>
      </c>
      <c r="J18" s="25" t="s">
        <v>15</v>
      </c>
      <c r="K18" s="25" t="s">
        <v>498</v>
      </c>
    </row>
    <row r="19" spans="1:12" hidden="1" outlineLevel="2" x14ac:dyDescent="0.4">
      <c r="A19">
        <v>1911</v>
      </c>
      <c r="B19" s="25" t="s">
        <v>10</v>
      </c>
      <c r="C19" s="25" t="s">
        <v>21</v>
      </c>
      <c r="D19" s="25" t="s">
        <v>20</v>
      </c>
      <c r="E19" s="25" t="s">
        <v>508</v>
      </c>
      <c r="H19" s="25" t="s">
        <v>689</v>
      </c>
      <c r="I19" s="25" t="s">
        <v>33</v>
      </c>
      <c r="J19" s="25" t="s">
        <v>15</v>
      </c>
      <c r="K19" s="25" t="s">
        <v>498</v>
      </c>
    </row>
    <row r="20" spans="1:12" hidden="1" outlineLevel="2" x14ac:dyDescent="0.4">
      <c r="A20">
        <v>1910</v>
      </c>
      <c r="B20" s="25" t="s">
        <v>10</v>
      </c>
      <c r="C20" s="25" t="s">
        <v>21</v>
      </c>
      <c r="D20" s="25" t="s">
        <v>20</v>
      </c>
      <c r="E20" s="25" t="s">
        <v>508</v>
      </c>
      <c r="H20" s="25" t="s">
        <v>690</v>
      </c>
      <c r="I20" s="25" t="s">
        <v>18</v>
      </c>
      <c r="J20" s="25" t="s">
        <v>15</v>
      </c>
      <c r="K20" s="25" t="s">
        <v>498</v>
      </c>
    </row>
    <row r="21" spans="1:12" outlineLevel="1" collapsed="1" x14ac:dyDescent="0.4">
      <c r="B21" s="24" t="s">
        <v>771</v>
      </c>
      <c r="C21" s="25">
        <f>SUBTOTAL(3,C17:C20)</f>
        <v>4</v>
      </c>
    </row>
    <row r="22" spans="1:12" hidden="1" outlineLevel="2" x14ac:dyDescent="0.4">
      <c r="A22">
        <v>1958</v>
      </c>
      <c r="B22" s="25" t="s">
        <v>10</v>
      </c>
      <c r="C22" s="25" t="s">
        <v>99</v>
      </c>
      <c r="D22" s="25" t="s">
        <v>12</v>
      </c>
      <c r="E22" s="25" t="s">
        <v>503</v>
      </c>
      <c r="F22" s="7">
        <v>1</v>
      </c>
      <c r="G22" s="7">
        <v>130</v>
      </c>
      <c r="H22" s="25" t="s">
        <v>630</v>
      </c>
      <c r="I22" s="25" t="s">
        <v>114</v>
      </c>
      <c r="J22" s="25" t="s">
        <v>12</v>
      </c>
      <c r="K22" s="25" t="s">
        <v>503</v>
      </c>
      <c r="L22" s="7">
        <v>4</v>
      </c>
    </row>
    <row r="23" spans="1:12" outlineLevel="1" collapsed="1" x14ac:dyDescent="0.4">
      <c r="B23" s="24" t="s">
        <v>772</v>
      </c>
      <c r="C23" s="25">
        <f>SUBTOTAL(3,C22:C22)</f>
        <v>1</v>
      </c>
    </row>
    <row r="24" spans="1:12" hidden="1" outlineLevel="2" x14ac:dyDescent="0.4">
      <c r="A24">
        <v>1992</v>
      </c>
      <c r="B24" s="25" t="s">
        <v>10</v>
      </c>
      <c r="C24" s="25" t="s">
        <v>169</v>
      </c>
      <c r="D24" s="25" t="s">
        <v>28</v>
      </c>
      <c r="E24" s="25" t="s">
        <v>499</v>
      </c>
      <c r="F24" s="7">
        <v>12</v>
      </c>
      <c r="G24" s="7">
        <v>170</v>
      </c>
      <c r="H24" s="25" t="s">
        <v>567</v>
      </c>
      <c r="I24" s="25" t="s">
        <v>154</v>
      </c>
      <c r="J24" s="25" t="s">
        <v>153</v>
      </c>
      <c r="K24" s="25" t="s">
        <v>504</v>
      </c>
      <c r="L24" s="7">
        <v>8</v>
      </c>
    </row>
    <row r="25" spans="1:12" outlineLevel="1" collapsed="1" x14ac:dyDescent="0.4">
      <c r="B25" s="24" t="s">
        <v>773</v>
      </c>
      <c r="C25" s="25">
        <f>SUBTOTAL(3,C24:C24)</f>
        <v>1</v>
      </c>
    </row>
    <row r="26" spans="1:12" hidden="1" outlineLevel="2" x14ac:dyDescent="0.4">
      <c r="A26">
        <v>2018</v>
      </c>
      <c r="B26" s="25" t="s">
        <v>268</v>
      </c>
      <c r="C26" s="25" t="s">
        <v>476</v>
      </c>
      <c r="D26" s="25" t="s">
        <v>126</v>
      </c>
      <c r="E26" s="25" t="s">
        <v>495</v>
      </c>
      <c r="F26" s="7">
        <v>11</v>
      </c>
      <c r="G26" s="7">
        <v>65</v>
      </c>
      <c r="H26" s="25" t="s">
        <v>477</v>
      </c>
      <c r="I26" s="25" t="s">
        <v>416</v>
      </c>
      <c r="J26" s="25" t="s">
        <v>28</v>
      </c>
      <c r="K26" s="25" t="s">
        <v>499</v>
      </c>
      <c r="L26" s="7">
        <v>25</v>
      </c>
    </row>
    <row r="27" spans="1:12" outlineLevel="1" collapsed="1" x14ac:dyDescent="0.4">
      <c r="B27" s="24" t="s">
        <v>774</v>
      </c>
      <c r="C27" s="25">
        <f>SUBTOTAL(3,C26:C26)</f>
        <v>1</v>
      </c>
    </row>
    <row r="28" spans="1:12" hidden="1" outlineLevel="2" x14ac:dyDescent="0.4">
      <c r="A28">
        <v>1955</v>
      </c>
      <c r="B28" s="25" t="s">
        <v>268</v>
      </c>
      <c r="C28" s="25" t="s">
        <v>406</v>
      </c>
      <c r="D28" s="25" t="s">
        <v>28</v>
      </c>
      <c r="E28" s="25" t="s">
        <v>499</v>
      </c>
      <c r="F28" s="7">
        <v>2</v>
      </c>
      <c r="G28" s="7">
        <v>90</v>
      </c>
      <c r="H28" s="25" t="s">
        <v>637</v>
      </c>
      <c r="I28" s="25" t="s">
        <v>446</v>
      </c>
      <c r="J28" s="25" t="s">
        <v>28</v>
      </c>
      <c r="K28" s="25" t="s">
        <v>499</v>
      </c>
      <c r="L28" s="7">
        <v>3</v>
      </c>
    </row>
    <row r="29" spans="1:12" hidden="1" outlineLevel="2" x14ac:dyDescent="0.4">
      <c r="A29">
        <v>1950</v>
      </c>
      <c r="B29" s="25" t="s">
        <v>268</v>
      </c>
      <c r="C29" s="25" t="s">
        <v>406</v>
      </c>
      <c r="D29" s="25" t="s">
        <v>28</v>
      </c>
      <c r="E29" s="25" t="s">
        <v>499</v>
      </c>
      <c r="F29" s="7">
        <v>1</v>
      </c>
      <c r="G29" s="7">
        <v>62</v>
      </c>
      <c r="H29" s="25" t="s">
        <v>646</v>
      </c>
      <c r="I29" s="25" t="s">
        <v>408</v>
      </c>
      <c r="J29" s="25" t="s">
        <v>28</v>
      </c>
      <c r="K29" s="25" t="s">
        <v>499</v>
      </c>
      <c r="L29" s="7">
        <v>2</v>
      </c>
    </row>
    <row r="30" spans="1:12" hidden="1" outlineLevel="2" x14ac:dyDescent="0.4">
      <c r="A30">
        <v>1949</v>
      </c>
      <c r="B30" s="25" t="s">
        <v>268</v>
      </c>
      <c r="C30" s="25" t="s">
        <v>406</v>
      </c>
      <c r="D30" s="25" t="s">
        <v>28</v>
      </c>
      <c r="E30" s="25" t="s">
        <v>499</v>
      </c>
      <c r="F30" s="7">
        <v>1</v>
      </c>
      <c r="G30" s="7">
        <v>120</v>
      </c>
      <c r="H30" s="25" t="s">
        <v>648</v>
      </c>
      <c r="I30" s="25" t="s">
        <v>408</v>
      </c>
      <c r="J30" s="25" t="s">
        <v>28</v>
      </c>
      <c r="K30" s="25" t="s">
        <v>499</v>
      </c>
      <c r="L30" s="7">
        <v>2</v>
      </c>
    </row>
    <row r="31" spans="1:12" hidden="1" outlineLevel="2" x14ac:dyDescent="0.4">
      <c r="A31">
        <v>1948</v>
      </c>
      <c r="B31" s="25" t="s">
        <v>268</v>
      </c>
      <c r="C31" s="25" t="s">
        <v>406</v>
      </c>
      <c r="D31" s="25" t="s">
        <v>28</v>
      </c>
      <c r="E31" s="25" t="s">
        <v>499</v>
      </c>
      <c r="F31" s="7">
        <v>2</v>
      </c>
      <c r="G31" s="7">
        <v>76</v>
      </c>
      <c r="H31" s="25" t="s">
        <v>650</v>
      </c>
      <c r="I31" s="25" t="s">
        <v>415</v>
      </c>
      <c r="J31" s="25" t="s">
        <v>28</v>
      </c>
      <c r="K31" s="25" t="s">
        <v>499</v>
      </c>
      <c r="L31" s="7">
        <v>4</v>
      </c>
    </row>
    <row r="32" spans="1:12" outlineLevel="1" collapsed="1" x14ac:dyDescent="0.4">
      <c r="B32" s="24" t="s">
        <v>775</v>
      </c>
      <c r="C32" s="25">
        <f>SUBTOTAL(3,C28:C31)</f>
        <v>4</v>
      </c>
    </row>
    <row r="33" spans="1:12" hidden="1" outlineLevel="2" x14ac:dyDescent="0.4">
      <c r="A33">
        <v>1975</v>
      </c>
      <c r="B33" s="25" t="s">
        <v>10</v>
      </c>
      <c r="C33" s="25" t="s">
        <v>250</v>
      </c>
      <c r="D33" s="25" t="s">
        <v>28</v>
      </c>
      <c r="E33" s="25" t="s">
        <v>499</v>
      </c>
      <c r="F33" s="7">
        <v>6</v>
      </c>
      <c r="G33" s="7">
        <v>125</v>
      </c>
      <c r="H33" s="25" t="s">
        <v>600</v>
      </c>
      <c r="I33" s="25" t="s">
        <v>146</v>
      </c>
      <c r="J33" s="25" t="s">
        <v>28</v>
      </c>
      <c r="K33" s="25" t="s">
        <v>499</v>
      </c>
      <c r="L33" s="7">
        <v>1</v>
      </c>
    </row>
    <row r="34" spans="1:12" outlineLevel="1" collapsed="1" x14ac:dyDescent="0.4">
      <c r="B34" s="24" t="s">
        <v>776</v>
      </c>
      <c r="C34" s="25">
        <f>SUBTOTAL(3,C33:C33)</f>
        <v>1</v>
      </c>
    </row>
    <row r="35" spans="1:12" hidden="1" outlineLevel="2" x14ac:dyDescent="0.4">
      <c r="A35">
        <v>1959</v>
      </c>
      <c r="B35" s="25" t="s">
        <v>10</v>
      </c>
      <c r="C35" s="25" t="s">
        <v>173</v>
      </c>
      <c r="D35" s="25" t="s">
        <v>28</v>
      </c>
      <c r="E35" s="25" t="s">
        <v>499</v>
      </c>
      <c r="F35" s="7">
        <v>1</v>
      </c>
      <c r="G35" s="7">
        <v>71</v>
      </c>
      <c r="H35" s="25" t="s">
        <v>629</v>
      </c>
      <c r="I35" s="25" t="s">
        <v>96</v>
      </c>
      <c r="J35" s="25" t="s">
        <v>12</v>
      </c>
      <c r="K35" s="25" t="s">
        <v>503</v>
      </c>
      <c r="L35" s="7" t="s">
        <v>122</v>
      </c>
    </row>
    <row r="36" spans="1:12" outlineLevel="1" collapsed="1" x14ac:dyDescent="0.4">
      <c r="B36" s="24" t="s">
        <v>777</v>
      </c>
      <c r="C36" s="25">
        <f>SUBTOTAL(3,C35:C35)</f>
        <v>1</v>
      </c>
    </row>
    <row r="37" spans="1:12" hidden="1" outlineLevel="2" x14ac:dyDescent="0.4">
      <c r="A37">
        <v>1909</v>
      </c>
      <c r="B37" s="25" t="s">
        <v>10</v>
      </c>
      <c r="C37" s="25" t="s">
        <v>18</v>
      </c>
      <c r="D37" s="25" t="s">
        <v>15</v>
      </c>
      <c r="E37" s="25" t="s">
        <v>498</v>
      </c>
      <c r="G37" s="7">
        <v>95</v>
      </c>
      <c r="H37" s="25" t="s">
        <v>691</v>
      </c>
      <c r="I37" s="25" t="s">
        <v>35</v>
      </c>
      <c r="J37" s="25" t="s">
        <v>15</v>
      </c>
      <c r="K37" s="25" t="s">
        <v>498</v>
      </c>
    </row>
    <row r="38" spans="1:12" hidden="1" outlineLevel="2" x14ac:dyDescent="0.4">
      <c r="A38">
        <v>1908</v>
      </c>
      <c r="B38" s="25" t="s">
        <v>10</v>
      </c>
      <c r="C38" s="25" t="s">
        <v>18</v>
      </c>
      <c r="D38" s="25" t="s">
        <v>15</v>
      </c>
      <c r="E38" s="25" t="s">
        <v>498</v>
      </c>
      <c r="H38" s="25" t="s">
        <v>693</v>
      </c>
      <c r="I38" s="25" t="s">
        <v>33</v>
      </c>
      <c r="J38" s="25" t="s">
        <v>15</v>
      </c>
      <c r="K38" s="25" t="s">
        <v>498</v>
      </c>
    </row>
    <row r="39" spans="1:12" hidden="1" outlineLevel="2" x14ac:dyDescent="0.4">
      <c r="A39">
        <v>1901</v>
      </c>
      <c r="B39" s="25" t="s">
        <v>10</v>
      </c>
      <c r="C39" s="25" t="s">
        <v>18</v>
      </c>
      <c r="D39" s="25" t="s">
        <v>15</v>
      </c>
      <c r="E39" s="25" t="s">
        <v>498</v>
      </c>
      <c r="G39" s="7">
        <v>95</v>
      </c>
      <c r="H39" s="25" t="s">
        <v>703</v>
      </c>
      <c r="I39" s="25" t="s">
        <v>37</v>
      </c>
      <c r="J39" s="25" t="s">
        <v>15</v>
      </c>
      <c r="K39" s="25" t="s">
        <v>498</v>
      </c>
    </row>
    <row r="40" spans="1:12" outlineLevel="1" collapsed="1" x14ac:dyDescent="0.4">
      <c r="B40" s="24" t="s">
        <v>778</v>
      </c>
      <c r="C40" s="25">
        <f>SUBTOTAL(3,C37:C39)</f>
        <v>3</v>
      </c>
    </row>
    <row r="41" spans="1:12" hidden="1" outlineLevel="2" x14ac:dyDescent="0.4">
      <c r="A41">
        <v>1886</v>
      </c>
      <c r="B41" s="25" t="s">
        <v>268</v>
      </c>
      <c r="C41" s="25" t="s">
        <v>324</v>
      </c>
      <c r="D41" s="25" t="s">
        <v>15</v>
      </c>
      <c r="E41" s="25" t="s">
        <v>498</v>
      </c>
      <c r="H41" s="25" t="s">
        <v>477</v>
      </c>
      <c r="I41" s="25" t="s">
        <v>326</v>
      </c>
      <c r="J41" s="25" t="s">
        <v>15</v>
      </c>
      <c r="K41" s="25" t="s">
        <v>498</v>
      </c>
    </row>
    <row r="42" spans="1:12" outlineLevel="1" collapsed="1" x14ac:dyDescent="0.4">
      <c r="B42" s="24" t="s">
        <v>779</v>
      </c>
      <c r="C42" s="25">
        <f>SUBTOTAL(3,C41:C41)</f>
        <v>1</v>
      </c>
    </row>
    <row r="43" spans="1:12" hidden="1" outlineLevel="2" x14ac:dyDescent="0.4">
      <c r="A43">
        <v>1989</v>
      </c>
      <c r="B43" s="25" t="s">
        <v>10</v>
      </c>
      <c r="C43" s="25" t="s">
        <v>213</v>
      </c>
      <c r="D43" s="25" t="s">
        <v>126</v>
      </c>
      <c r="E43" s="25" t="s">
        <v>495</v>
      </c>
      <c r="F43" s="7">
        <v>3</v>
      </c>
      <c r="G43" s="7">
        <v>132</v>
      </c>
      <c r="H43" s="25" t="s">
        <v>572</v>
      </c>
      <c r="I43" s="25" t="s">
        <v>228</v>
      </c>
      <c r="J43" s="25" t="s">
        <v>143</v>
      </c>
      <c r="K43" s="25" t="s">
        <v>516</v>
      </c>
      <c r="L43" s="7">
        <v>2</v>
      </c>
    </row>
    <row r="44" spans="1:12" hidden="1" outlineLevel="2" x14ac:dyDescent="0.4">
      <c r="A44">
        <v>1986</v>
      </c>
      <c r="B44" s="25" t="s">
        <v>10</v>
      </c>
      <c r="C44" s="25" t="s">
        <v>213</v>
      </c>
      <c r="D44" s="25" t="s">
        <v>126</v>
      </c>
      <c r="E44" s="25" t="s">
        <v>495</v>
      </c>
      <c r="F44" s="7">
        <v>4</v>
      </c>
      <c r="G44" s="7">
        <v>122</v>
      </c>
      <c r="H44" s="25" t="s">
        <v>578</v>
      </c>
      <c r="I44" s="25" t="s">
        <v>182</v>
      </c>
      <c r="J44" s="25" t="s">
        <v>181</v>
      </c>
      <c r="K44" s="25" t="s">
        <v>517</v>
      </c>
      <c r="L44" s="7">
        <v>1</v>
      </c>
    </row>
    <row r="45" spans="1:12" hidden="1" outlineLevel="2" x14ac:dyDescent="0.4">
      <c r="A45">
        <v>1985</v>
      </c>
      <c r="B45" s="25" t="s">
        <v>10</v>
      </c>
      <c r="C45" s="25" t="s">
        <v>213</v>
      </c>
      <c r="D45" s="25" t="s">
        <v>126</v>
      </c>
      <c r="E45" s="25" t="s">
        <v>495</v>
      </c>
      <c r="G45" s="7">
        <v>198</v>
      </c>
      <c r="H45" s="25" t="s">
        <v>580</v>
      </c>
      <c r="I45" s="25" t="s">
        <v>266</v>
      </c>
      <c r="J45" s="25" t="s">
        <v>28</v>
      </c>
      <c r="K45" s="25" t="s">
        <v>499</v>
      </c>
      <c r="L45" s="7">
        <v>8</v>
      </c>
    </row>
    <row r="46" spans="1:12" outlineLevel="1" collapsed="1" x14ac:dyDescent="0.4">
      <c r="B46" s="24" t="s">
        <v>780</v>
      </c>
      <c r="C46" s="25">
        <f>SUBTOTAL(3,C43:C45)</f>
        <v>3</v>
      </c>
    </row>
    <row r="47" spans="1:12" hidden="1" outlineLevel="2" x14ac:dyDescent="0.4">
      <c r="A47">
        <v>1970</v>
      </c>
      <c r="B47" s="25" t="s">
        <v>268</v>
      </c>
      <c r="C47" s="25" t="s">
        <v>269</v>
      </c>
      <c r="D47" s="25" t="s">
        <v>12</v>
      </c>
      <c r="E47" s="25" t="s">
        <v>503</v>
      </c>
      <c r="F47" s="7">
        <v>1</v>
      </c>
      <c r="G47" s="7">
        <v>148</v>
      </c>
      <c r="H47" s="25" t="s">
        <v>610</v>
      </c>
      <c r="I47" s="25" t="s">
        <v>271</v>
      </c>
      <c r="J47" s="25" t="s">
        <v>28</v>
      </c>
      <c r="K47" s="25" t="s">
        <v>499</v>
      </c>
      <c r="L47" s="7">
        <v>2</v>
      </c>
    </row>
    <row r="48" spans="1:12" outlineLevel="1" collapsed="1" x14ac:dyDescent="0.4">
      <c r="B48" s="24" t="s">
        <v>781</v>
      </c>
      <c r="C48" s="25">
        <f>SUBTOTAL(3,C47:C47)</f>
        <v>1</v>
      </c>
    </row>
    <row r="49" spans="1:12" hidden="1" outlineLevel="2" x14ac:dyDescent="0.4">
      <c r="A49">
        <v>1980</v>
      </c>
      <c r="B49" s="25" t="s">
        <v>10</v>
      </c>
      <c r="C49" s="25" t="s">
        <v>142</v>
      </c>
      <c r="D49" s="25" t="s">
        <v>143</v>
      </c>
      <c r="E49" s="25" t="s">
        <v>506</v>
      </c>
      <c r="F49" s="7">
        <v>1</v>
      </c>
      <c r="G49" s="7">
        <v>233</v>
      </c>
      <c r="H49" s="25" t="s">
        <v>591</v>
      </c>
      <c r="I49" s="25" t="s">
        <v>144</v>
      </c>
      <c r="J49" s="25" t="s">
        <v>28</v>
      </c>
      <c r="K49" s="25" t="s">
        <v>499</v>
      </c>
      <c r="L49" s="7">
        <v>2</v>
      </c>
    </row>
    <row r="50" spans="1:12" hidden="1" outlineLevel="2" x14ac:dyDescent="0.4">
      <c r="A50">
        <v>1979</v>
      </c>
      <c r="B50" s="25" t="s">
        <v>10</v>
      </c>
      <c r="C50" s="25" t="s">
        <v>142</v>
      </c>
      <c r="D50" s="25" t="s">
        <v>143</v>
      </c>
      <c r="E50" s="25" t="s">
        <v>506</v>
      </c>
      <c r="F50" s="7">
        <v>1</v>
      </c>
      <c r="G50" s="7">
        <v>169</v>
      </c>
      <c r="H50" s="25" t="s">
        <v>592</v>
      </c>
      <c r="I50" s="25" t="s">
        <v>148</v>
      </c>
      <c r="J50" s="25" t="s">
        <v>28</v>
      </c>
      <c r="K50" s="25" t="s">
        <v>499</v>
      </c>
      <c r="L50" s="7">
        <v>5</v>
      </c>
    </row>
    <row r="51" spans="1:12" hidden="1" outlineLevel="2" x14ac:dyDescent="0.4">
      <c r="A51">
        <v>1978</v>
      </c>
      <c r="B51" s="25" t="s">
        <v>10</v>
      </c>
      <c r="C51" s="25" t="s">
        <v>142</v>
      </c>
      <c r="D51" s="25" t="s">
        <v>143</v>
      </c>
      <c r="E51" s="25" t="s">
        <v>506</v>
      </c>
      <c r="F51" s="7">
        <v>1</v>
      </c>
      <c r="G51" s="7">
        <v>108</v>
      </c>
      <c r="H51" s="25" t="s">
        <v>594</v>
      </c>
      <c r="I51" s="25" t="s">
        <v>146</v>
      </c>
      <c r="J51" s="25" t="s">
        <v>28</v>
      </c>
      <c r="K51" s="25" t="s">
        <v>499</v>
      </c>
      <c r="L51" s="7">
        <v>2</v>
      </c>
    </row>
    <row r="52" spans="1:12" hidden="1" outlineLevel="2" x14ac:dyDescent="0.4">
      <c r="A52">
        <v>1977</v>
      </c>
      <c r="B52" s="25" t="s">
        <v>10</v>
      </c>
      <c r="C52" s="25" t="s">
        <v>142</v>
      </c>
      <c r="D52" s="25" t="s">
        <v>143</v>
      </c>
      <c r="E52" s="25" t="s">
        <v>506</v>
      </c>
      <c r="F52" s="7">
        <v>2</v>
      </c>
      <c r="G52" s="7">
        <v>194</v>
      </c>
      <c r="H52" s="25" t="s">
        <v>597</v>
      </c>
      <c r="I52" s="25" t="s">
        <v>146</v>
      </c>
      <c r="J52" s="25" t="s">
        <v>28</v>
      </c>
      <c r="K52" s="25" t="s">
        <v>499</v>
      </c>
      <c r="L52" s="7">
        <v>1</v>
      </c>
    </row>
    <row r="53" spans="1:12" hidden="1" outlineLevel="2" x14ac:dyDescent="0.4">
      <c r="A53">
        <v>1976</v>
      </c>
      <c r="B53" s="25" t="s">
        <v>10</v>
      </c>
      <c r="C53" s="25" t="s">
        <v>142</v>
      </c>
      <c r="D53" s="25" t="s">
        <v>143</v>
      </c>
      <c r="E53" s="25" t="s">
        <v>506</v>
      </c>
      <c r="F53" s="7">
        <v>4</v>
      </c>
      <c r="G53" s="7">
        <v>110</v>
      </c>
      <c r="H53" s="25" t="s">
        <v>598</v>
      </c>
      <c r="I53" s="25" t="s">
        <v>161</v>
      </c>
      <c r="J53" s="25" t="s">
        <v>160</v>
      </c>
      <c r="K53" s="25" t="s">
        <v>493</v>
      </c>
      <c r="L53" s="7">
        <v>3</v>
      </c>
    </row>
    <row r="54" spans="1:12" outlineLevel="1" collapsed="1" x14ac:dyDescent="0.4">
      <c r="B54" s="24" t="s">
        <v>782</v>
      </c>
      <c r="C54" s="25">
        <f>SUBTOTAL(3,C49:C53)</f>
        <v>5</v>
      </c>
    </row>
    <row r="55" spans="1:12" hidden="1" outlineLevel="2" x14ac:dyDescent="0.4">
      <c r="A55">
        <v>1931</v>
      </c>
      <c r="B55" s="25" t="s">
        <v>268</v>
      </c>
      <c r="C55" s="25" t="s">
        <v>388</v>
      </c>
      <c r="D55" s="25" t="s">
        <v>126</v>
      </c>
      <c r="E55" s="25" t="s">
        <v>495</v>
      </c>
      <c r="F55" s="7">
        <v>1</v>
      </c>
      <c r="H55" s="25" t="s">
        <v>667</v>
      </c>
      <c r="I55" s="25" t="s">
        <v>390</v>
      </c>
      <c r="J55" s="25" t="s">
        <v>126</v>
      </c>
      <c r="K55" s="25" t="s">
        <v>495</v>
      </c>
      <c r="L55" s="7">
        <v>4</v>
      </c>
    </row>
    <row r="56" spans="1:12" outlineLevel="1" collapsed="1" x14ac:dyDescent="0.4">
      <c r="B56" s="24" t="s">
        <v>783</v>
      </c>
      <c r="C56" s="25">
        <f>SUBTOTAL(3,C55:C55)</f>
        <v>1</v>
      </c>
    </row>
    <row r="57" spans="1:12" hidden="1" outlineLevel="2" x14ac:dyDescent="0.4">
      <c r="A57">
        <v>1893</v>
      </c>
      <c r="B57" s="25" t="s">
        <v>268</v>
      </c>
      <c r="C57" s="25" t="s">
        <v>327</v>
      </c>
      <c r="D57" s="25" t="s">
        <v>15</v>
      </c>
      <c r="E57" s="25" t="s">
        <v>498</v>
      </c>
      <c r="H57" s="25" t="s">
        <v>715</v>
      </c>
      <c r="I57" s="25" t="s">
        <v>323</v>
      </c>
      <c r="J57" s="25" t="s">
        <v>15</v>
      </c>
      <c r="K57" s="25" t="s">
        <v>498</v>
      </c>
    </row>
    <row r="58" spans="1:12" hidden="1" outlineLevel="2" x14ac:dyDescent="0.4">
      <c r="A58">
        <v>1892</v>
      </c>
      <c r="B58" s="25" t="s">
        <v>268</v>
      </c>
      <c r="C58" s="25" t="s">
        <v>327</v>
      </c>
      <c r="D58" s="25" t="s">
        <v>15</v>
      </c>
      <c r="E58" s="25" t="s">
        <v>498</v>
      </c>
      <c r="H58" s="25" t="s">
        <v>713</v>
      </c>
      <c r="I58" s="25" t="s">
        <v>323</v>
      </c>
      <c r="J58" s="25" t="s">
        <v>15</v>
      </c>
      <c r="K58" s="25" t="s">
        <v>498</v>
      </c>
    </row>
    <row r="59" spans="1:12" hidden="1" outlineLevel="2" x14ac:dyDescent="0.4">
      <c r="A59">
        <v>1891</v>
      </c>
      <c r="B59" s="25" t="s">
        <v>268</v>
      </c>
      <c r="C59" s="25" t="s">
        <v>327</v>
      </c>
      <c r="D59" s="25" t="s">
        <v>15</v>
      </c>
      <c r="E59" s="25" t="s">
        <v>498</v>
      </c>
      <c r="H59" s="25" t="s">
        <v>718</v>
      </c>
      <c r="I59" s="25" t="s">
        <v>323</v>
      </c>
      <c r="J59" s="25" t="s">
        <v>15</v>
      </c>
      <c r="K59" s="25" t="s">
        <v>498</v>
      </c>
    </row>
    <row r="60" spans="1:12" hidden="1" outlineLevel="2" x14ac:dyDescent="0.4">
      <c r="A60">
        <v>1888</v>
      </c>
      <c r="B60" s="25" t="s">
        <v>268</v>
      </c>
      <c r="C60" s="25" t="s">
        <v>327</v>
      </c>
      <c r="D60" s="25" t="s">
        <v>15</v>
      </c>
      <c r="E60" s="25" t="s">
        <v>498</v>
      </c>
      <c r="H60" s="25" t="s">
        <v>477</v>
      </c>
      <c r="I60" s="25" t="s">
        <v>323</v>
      </c>
      <c r="J60" s="25" t="s">
        <v>15</v>
      </c>
      <c r="K60" s="25" t="s">
        <v>498</v>
      </c>
    </row>
    <row r="61" spans="1:12" hidden="1" outlineLevel="2" x14ac:dyDescent="0.4">
      <c r="A61">
        <v>1887</v>
      </c>
      <c r="B61" s="25" t="s">
        <v>268</v>
      </c>
      <c r="C61" s="25" t="s">
        <v>327</v>
      </c>
      <c r="D61" s="25" t="s">
        <v>15</v>
      </c>
      <c r="E61" s="25" t="s">
        <v>498</v>
      </c>
      <c r="H61" s="25" t="s">
        <v>654</v>
      </c>
      <c r="I61" s="25" t="s">
        <v>324</v>
      </c>
      <c r="J61" s="25" t="s">
        <v>15</v>
      </c>
      <c r="K61" s="25" t="s">
        <v>498</v>
      </c>
    </row>
    <row r="62" spans="1:12" outlineLevel="1" collapsed="1" x14ac:dyDescent="0.4">
      <c r="B62" s="24" t="s">
        <v>784</v>
      </c>
      <c r="C62" s="25">
        <f>SUBTOTAL(3,C57:C61)</f>
        <v>5</v>
      </c>
    </row>
    <row r="63" spans="1:12" hidden="1" outlineLevel="2" x14ac:dyDescent="0.4">
      <c r="A63">
        <v>1976</v>
      </c>
      <c r="B63" s="25" t="s">
        <v>268</v>
      </c>
      <c r="C63" s="25" t="s">
        <v>399</v>
      </c>
      <c r="D63" s="25" t="s">
        <v>28</v>
      </c>
      <c r="E63" s="25" t="s">
        <v>499</v>
      </c>
      <c r="F63" s="7">
        <v>1</v>
      </c>
      <c r="G63" s="7">
        <v>120</v>
      </c>
      <c r="H63" s="25" t="s">
        <v>599</v>
      </c>
      <c r="I63" s="25" t="s">
        <v>280</v>
      </c>
      <c r="J63" s="25" t="s">
        <v>12</v>
      </c>
      <c r="K63" s="25" t="s">
        <v>503</v>
      </c>
      <c r="L63" s="7">
        <v>2</v>
      </c>
    </row>
    <row r="64" spans="1:12" hidden="1" outlineLevel="2" x14ac:dyDescent="0.4">
      <c r="A64">
        <v>1974</v>
      </c>
      <c r="B64" s="25" t="s">
        <v>268</v>
      </c>
      <c r="C64" s="25" t="s">
        <v>399</v>
      </c>
      <c r="D64" s="25" t="s">
        <v>28</v>
      </c>
      <c r="E64" s="25" t="s">
        <v>499</v>
      </c>
      <c r="F64" s="7">
        <v>2</v>
      </c>
      <c r="G64" s="7">
        <v>59</v>
      </c>
      <c r="H64" s="25" t="s">
        <v>603</v>
      </c>
      <c r="I64" s="25" t="s">
        <v>455</v>
      </c>
      <c r="J64" s="25" t="s">
        <v>194</v>
      </c>
      <c r="K64" s="25" t="s">
        <v>518</v>
      </c>
      <c r="L64" s="7">
        <v>8</v>
      </c>
    </row>
    <row r="65" spans="1:12" outlineLevel="1" collapsed="1" x14ac:dyDescent="0.4">
      <c r="B65" s="24" t="s">
        <v>785</v>
      </c>
      <c r="C65" s="25">
        <f>SUBTOTAL(3,C63:C64)</f>
        <v>2</v>
      </c>
    </row>
    <row r="66" spans="1:12" hidden="1" outlineLevel="2" x14ac:dyDescent="0.4">
      <c r="A66">
        <v>1898</v>
      </c>
      <c r="B66" s="25" t="s">
        <v>268</v>
      </c>
      <c r="C66" s="25" t="s">
        <v>331</v>
      </c>
      <c r="D66" s="25" t="s">
        <v>15</v>
      </c>
      <c r="E66" s="25" t="s">
        <v>498</v>
      </c>
      <c r="H66" s="25" t="s">
        <v>524</v>
      </c>
      <c r="I66" s="25" t="s">
        <v>334</v>
      </c>
      <c r="J66" s="25" t="s">
        <v>15</v>
      </c>
      <c r="K66" s="25" t="s">
        <v>498</v>
      </c>
    </row>
    <row r="67" spans="1:12" hidden="1" outlineLevel="2" x14ac:dyDescent="0.4">
      <c r="A67">
        <v>1896</v>
      </c>
      <c r="B67" s="25" t="s">
        <v>268</v>
      </c>
      <c r="C67" s="25" t="s">
        <v>331</v>
      </c>
      <c r="D67" s="25" t="s">
        <v>15</v>
      </c>
      <c r="E67" s="25" t="s">
        <v>498</v>
      </c>
      <c r="H67" s="25" t="s">
        <v>672</v>
      </c>
      <c r="I67" s="25" t="s">
        <v>336</v>
      </c>
      <c r="J67" s="25" t="s">
        <v>15</v>
      </c>
      <c r="K67" s="25" t="s">
        <v>498</v>
      </c>
    </row>
    <row r="68" spans="1:12" hidden="1" outlineLevel="2" x14ac:dyDescent="0.4">
      <c r="A68">
        <v>1895</v>
      </c>
      <c r="B68" s="25" t="s">
        <v>268</v>
      </c>
      <c r="C68" s="25" t="s">
        <v>331</v>
      </c>
      <c r="D68" s="25" t="s">
        <v>15</v>
      </c>
      <c r="E68" s="25" t="s">
        <v>498</v>
      </c>
      <c r="H68" s="25" t="s">
        <v>711</v>
      </c>
      <c r="I68" s="25" t="s">
        <v>333</v>
      </c>
      <c r="J68" s="25" t="s">
        <v>15</v>
      </c>
      <c r="K68" s="25" t="s">
        <v>498</v>
      </c>
    </row>
    <row r="69" spans="1:12" outlineLevel="1" collapsed="1" x14ac:dyDescent="0.4">
      <c r="B69" s="24" t="s">
        <v>786</v>
      </c>
      <c r="C69" s="25">
        <f>SUBTOTAL(3,C66:C68)</f>
        <v>3</v>
      </c>
    </row>
    <row r="70" spans="1:12" hidden="1" outlineLevel="2" x14ac:dyDescent="0.4">
      <c r="A70">
        <v>1963</v>
      </c>
      <c r="B70" s="25" t="s">
        <v>10</v>
      </c>
      <c r="C70" s="25" t="s">
        <v>191</v>
      </c>
      <c r="D70" s="25" t="s">
        <v>28</v>
      </c>
      <c r="E70" s="25" t="s">
        <v>499</v>
      </c>
      <c r="F70" s="7">
        <v>4</v>
      </c>
      <c r="G70" s="7">
        <v>78</v>
      </c>
      <c r="H70" s="25" t="s">
        <v>623</v>
      </c>
      <c r="I70" s="25" t="s">
        <v>104</v>
      </c>
      <c r="J70" s="25" t="s">
        <v>12</v>
      </c>
      <c r="K70" s="25" t="s">
        <v>503</v>
      </c>
      <c r="L70" s="7" t="s">
        <v>122</v>
      </c>
    </row>
    <row r="71" spans="1:12" outlineLevel="1" collapsed="1" x14ac:dyDescent="0.4">
      <c r="B71" s="24" t="s">
        <v>787</v>
      </c>
      <c r="C71" s="25">
        <f>SUBTOTAL(3,C70:C70)</f>
        <v>1</v>
      </c>
    </row>
    <row r="72" spans="1:12" hidden="1" outlineLevel="2" x14ac:dyDescent="0.4">
      <c r="A72">
        <v>1937</v>
      </c>
      <c r="B72" s="25" t="s">
        <v>268</v>
      </c>
      <c r="C72" s="25" t="s">
        <v>366</v>
      </c>
      <c r="D72" s="25" t="s">
        <v>15</v>
      </c>
      <c r="E72" s="25" t="s">
        <v>498</v>
      </c>
      <c r="F72" s="7">
        <v>7</v>
      </c>
      <c r="G72" s="7">
        <v>60</v>
      </c>
      <c r="H72" s="25" t="s">
        <v>657</v>
      </c>
      <c r="I72" s="25" t="s">
        <v>376</v>
      </c>
      <c r="J72" s="25" t="s">
        <v>375</v>
      </c>
      <c r="K72" s="25" t="s">
        <v>512</v>
      </c>
      <c r="L72" s="7">
        <v>4</v>
      </c>
    </row>
    <row r="73" spans="1:12" hidden="1" outlineLevel="2" x14ac:dyDescent="0.4">
      <c r="A73">
        <v>1934</v>
      </c>
      <c r="B73" s="25" t="s">
        <v>268</v>
      </c>
      <c r="C73" s="25" t="s">
        <v>366</v>
      </c>
      <c r="D73" s="25" t="s">
        <v>15</v>
      </c>
      <c r="E73" s="25" t="s">
        <v>498</v>
      </c>
      <c r="F73" s="7">
        <v>2</v>
      </c>
      <c r="H73" s="25" t="s">
        <v>662</v>
      </c>
      <c r="I73" s="25" t="s">
        <v>368</v>
      </c>
      <c r="J73" s="25" t="s">
        <v>28</v>
      </c>
      <c r="K73" s="25" t="s">
        <v>499</v>
      </c>
      <c r="L73" s="7">
        <v>1</v>
      </c>
    </row>
    <row r="74" spans="1:12" outlineLevel="1" collapsed="1" x14ac:dyDescent="0.4">
      <c r="B74" s="24" t="s">
        <v>788</v>
      </c>
      <c r="C74" s="25">
        <f>SUBTOTAL(3,C72:C73)</f>
        <v>2</v>
      </c>
    </row>
    <row r="75" spans="1:12" hidden="1" outlineLevel="2" x14ac:dyDescent="0.4">
      <c r="A75">
        <v>1951</v>
      </c>
      <c r="B75" s="25" t="s">
        <v>268</v>
      </c>
      <c r="C75" s="25" t="s">
        <v>415</v>
      </c>
      <c r="D75" s="25" t="s">
        <v>28</v>
      </c>
      <c r="E75" s="25" t="s">
        <v>499</v>
      </c>
      <c r="F75" s="7">
        <v>3</v>
      </c>
      <c r="G75" s="7">
        <v>35</v>
      </c>
      <c r="H75" s="25" t="s">
        <v>644</v>
      </c>
      <c r="I75" s="25" t="s">
        <v>460</v>
      </c>
      <c r="J75" s="25" t="s">
        <v>28</v>
      </c>
      <c r="K75" s="25" t="s">
        <v>499</v>
      </c>
      <c r="L75" s="7">
        <v>4</v>
      </c>
    </row>
    <row r="76" spans="1:12" outlineLevel="1" collapsed="1" x14ac:dyDescent="0.4">
      <c r="B76" s="24" t="s">
        <v>789</v>
      </c>
      <c r="C76" s="25">
        <f>SUBTOTAL(3,C75:C75)</f>
        <v>1</v>
      </c>
    </row>
    <row r="77" spans="1:12" hidden="1" outlineLevel="2" x14ac:dyDescent="0.4">
      <c r="A77">
        <v>1906</v>
      </c>
      <c r="B77" s="25" t="s">
        <v>268</v>
      </c>
      <c r="C77" s="25" t="s">
        <v>337</v>
      </c>
      <c r="D77" s="25" t="s">
        <v>15</v>
      </c>
      <c r="E77" s="25" t="s">
        <v>498</v>
      </c>
      <c r="G77" s="7">
        <v>57</v>
      </c>
      <c r="H77" s="25" t="s">
        <v>696</v>
      </c>
      <c r="I77" s="25" t="s">
        <v>364</v>
      </c>
      <c r="J77" s="25" t="s">
        <v>28</v>
      </c>
      <c r="K77" s="25" t="s">
        <v>499</v>
      </c>
    </row>
    <row r="78" spans="1:12" hidden="1" outlineLevel="2" x14ac:dyDescent="0.4">
      <c r="A78">
        <v>1904</v>
      </c>
      <c r="B78" s="25" t="s">
        <v>268</v>
      </c>
      <c r="C78" s="25" t="s">
        <v>337</v>
      </c>
      <c r="D78" s="25" t="s">
        <v>15</v>
      </c>
      <c r="E78" s="25" t="s">
        <v>498</v>
      </c>
      <c r="H78" s="25" t="s">
        <v>699</v>
      </c>
      <c r="I78" s="25" t="s">
        <v>320</v>
      </c>
      <c r="J78" s="25" t="s">
        <v>15</v>
      </c>
      <c r="K78" s="25" t="s">
        <v>498</v>
      </c>
    </row>
    <row r="79" spans="1:12" hidden="1" outlineLevel="2" x14ac:dyDescent="0.4">
      <c r="A79">
        <v>1903</v>
      </c>
      <c r="B79" s="25" t="s">
        <v>268</v>
      </c>
      <c r="C79" s="25" t="s">
        <v>337</v>
      </c>
      <c r="D79" s="25" t="s">
        <v>15</v>
      </c>
      <c r="E79" s="25" t="s">
        <v>498</v>
      </c>
      <c r="H79" s="25" t="s">
        <v>545</v>
      </c>
      <c r="I79" s="25" t="s">
        <v>340</v>
      </c>
      <c r="J79" s="25" t="s">
        <v>15</v>
      </c>
      <c r="K79" s="25" t="s">
        <v>498</v>
      </c>
    </row>
    <row r="80" spans="1:12" outlineLevel="1" collapsed="1" x14ac:dyDescent="0.4">
      <c r="B80" s="24" t="s">
        <v>790</v>
      </c>
      <c r="C80" s="25">
        <f>SUBTOTAL(3,C77:C79)</f>
        <v>3</v>
      </c>
    </row>
    <row r="81" spans="1:12" hidden="1" outlineLevel="2" x14ac:dyDescent="0.4">
      <c r="A81">
        <v>1912</v>
      </c>
      <c r="B81" s="25" t="s">
        <v>268</v>
      </c>
      <c r="C81" s="25" t="s">
        <v>341</v>
      </c>
      <c r="D81" s="25" t="s">
        <v>15</v>
      </c>
      <c r="E81" s="25" t="s">
        <v>498</v>
      </c>
      <c r="H81" s="25" t="s">
        <v>666</v>
      </c>
      <c r="I81" s="25" t="s">
        <v>320</v>
      </c>
      <c r="J81" s="25" t="s">
        <v>15</v>
      </c>
      <c r="K81" s="25" t="s">
        <v>498</v>
      </c>
    </row>
    <row r="82" spans="1:12" outlineLevel="1" collapsed="1" x14ac:dyDescent="0.4">
      <c r="B82" s="24" t="s">
        <v>791</v>
      </c>
      <c r="C82" s="25">
        <f>SUBTOTAL(3,C81:C81)</f>
        <v>1</v>
      </c>
    </row>
    <row r="83" spans="1:12" hidden="1" outlineLevel="2" x14ac:dyDescent="0.4">
      <c r="A83">
        <v>1971</v>
      </c>
      <c r="B83" s="25" t="s">
        <v>268</v>
      </c>
      <c r="C83" s="25" t="s">
        <v>278</v>
      </c>
      <c r="D83" s="25" t="s">
        <v>12</v>
      </c>
      <c r="E83" s="25" t="s">
        <v>503</v>
      </c>
      <c r="F83" s="7">
        <v>3</v>
      </c>
      <c r="G83" s="7">
        <v>62</v>
      </c>
      <c r="H83" s="25" t="s">
        <v>571</v>
      </c>
      <c r="I83" s="25" t="s">
        <v>269</v>
      </c>
      <c r="J83" s="25" t="s">
        <v>12</v>
      </c>
      <c r="K83" s="25" t="s">
        <v>503</v>
      </c>
      <c r="L83" s="7">
        <v>1</v>
      </c>
    </row>
    <row r="84" spans="1:12" outlineLevel="1" collapsed="1" x14ac:dyDescent="0.4">
      <c r="B84" s="24" t="s">
        <v>792</v>
      </c>
      <c r="C84" s="25">
        <f>SUBTOTAL(3,C83:C83)</f>
        <v>1</v>
      </c>
    </row>
    <row r="85" spans="1:12" hidden="1" outlineLevel="2" x14ac:dyDescent="0.4">
      <c r="A85">
        <v>1953</v>
      </c>
      <c r="B85" s="25" t="s">
        <v>10</v>
      </c>
      <c r="C85" s="25" t="s">
        <v>220</v>
      </c>
      <c r="D85" s="25" t="s">
        <v>28</v>
      </c>
      <c r="E85" s="25" t="s">
        <v>499</v>
      </c>
      <c r="F85" s="7">
        <v>2</v>
      </c>
      <c r="G85" s="7">
        <v>80</v>
      </c>
      <c r="H85" s="25" t="s">
        <v>640</v>
      </c>
      <c r="I85" s="25" t="s">
        <v>176</v>
      </c>
      <c r="J85" s="25" t="s">
        <v>175</v>
      </c>
      <c r="K85" s="25" t="s">
        <v>519</v>
      </c>
      <c r="L85" s="7" t="s">
        <v>122</v>
      </c>
    </row>
    <row r="86" spans="1:12" outlineLevel="1" collapsed="1" x14ac:dyDescent="0.4">
      <c r="B86" s="24" t="s">
        <v>793</v>
      </c>
      <c r="C86" s="25">
        <f>SUBTOTAL(3,C85:C85)</f>
        <v>1</v>
      </c>
    </row>
    <row r="87" spans="1:12" hidden="1" outlineLevel="2" x14ac:dyDescent="0.4">
      <c r="A87">
        <v>1952</v>
      </c>
      <c r="B87" s="25" t="s">
        <v>10</v>
      </c>
      <c r="C87" s="25" t="s">
        <v>106</v>
      </c>
      <c r="D87" s="25" t="s">
        <v>12</v>
      </c>
      <c r="E87" s="25" t="s">
        <v>503</v>
      </c>
      <c r="F87" s="7">
        <v>1</v>
      </c>
      <c r="G87" s="7">
        <v>80</v>
      </c>
      <c r="H87" s="25" t="s">
        <v>642</v>
      </c>
      <c r="I87" s="25" t="s">
        <v>108</v>
      </c>
      <c r="J87" s="25" t="s">
        <v>107</v>
      </c>
      <c r="K87" s="25" t="s">
        <v>500</v>
      </c>
      <c r="L87" s="7">
        <v>2</v>
      </c>
    </row>
    <row r="88" spans="1:12" outlineLevel="1" collapsed="1" x14ac:dyDescent="0.4">
      <c r="B88" s="24" t="s">
        <v>794</v>
      </c>
      <c r="C88" s="25">
        <f>SUBTOTAL(3,C87:C87)</f>
        <v>1</v>
      </c>
    </row>
    <row r="89" spans="1:12" hidden="1" outlineLevel="2" x14ac:dyDescent="0.4">
      <c r="A89">
        <v>1961</v>
      </c>
      <c r="B89" s="25" t="s">
        <v>268</v>
      </c>
      <c r="C89" s="25" t="s">
        <v>377</v>
      </c>
      <c r="D89" s="25" t="s">
        <v>15</v>
      </c>
      <c r="E89" s="25" t="s">
        <v>498</v>
      </c>
      <c r="F89" s="7">
        <v>7</v>
      </c>
      <c r="G89" s="7">
        <v>96</v>
      </c>
      <c r="H89" s="25" t="s">
        <v>625</v>
      </c>
      <c r="I89" s="25" t="s">
        <v>379</v>
      </c>
      <c r="J89" s="25" t="s">
        <v>15</v>
      </c>
      <c r="K89" s="25" t="s">
        <v>498</v>
      </c>
      <c r="L89" s="7">
        <v>6</v>
      </c>
    </row>
    <row r="90" spans="1:12" outlineLevel="1" collapsed="1" x14ac:dyDescent="0.4">
      <c r="B90" s="24" t="s">
        <v>795</v>
      </c>
      <c r="C90" s="25">
        <f>SUBTOTAL(3,C89:C89)</f>
        <v>1</v>
      </c>
    </row>
    <row r="91" spans="1:12" hidden="1" outlineLevel="2" x14ac:dyDescent="0.4">
      <c r="A91">
        <v>1936</v>
      </c>
      <c r="B91" s="25" t="s">
        <v>10</v>
      </c>
      <c r="C91" s="25" t="s">
        <v>125</v>
      </c>
      <c r="D91" s="25" t="s">
        <v>15</v>
      </c>
      <c r="E91" s="25" t="s">
        <v>498</v>
      </c>
      <c r="F91" s="7">
        <v>1</v>
      </c>
      <c r="G91" s="7">
        <v>40</v>
      </c>
      <c r="H91" s="25" t="s">
        <v>658</v>
      </c>
      <c r="I91" s="25" t="s">
        <v>127</v>
      </c>
      <c r="J91" s="25" t="s">
        <v>126</v>
      </c>
      <c r="K91" s="25" t="s">
        <v>495</v>
      </c>
      <c r="L91" s="7">
        <v>2</v>
      </c>
    </row>
    <row r="92" spans="1:12" hidden="1" outlineLevel="2" x14ac:dyDescent="0.4">
      <c r="A92">
        <v>1935</v>
      </c>
      <c r="B92" s="25" t="s">
        <v>10</v>
      </c>
      <c r="C92" s="25" t="s">
        <v>125</v>
      </c>
      <c r="D92" s="25" t="s">
        <v>15</v>
      </c>
      <c r="E92" s="25" t="s">
        <v>498</v>
      </c>
      <c r="F92" s="7">
        <v>1</v>
      </c>
      <c r="G92" s="7">
        <v>80</v>
      </c>
      <c r="H92" s="25" t="s">
        <v>619</v>
      </c>
      <c r="I92" s="25" t="s">
        <v>127</v>
      </c>
      <c r="J92" s="25" t="s">
        <v>126</v>
      </c>
      <c r="K92" s="25" t="s">
        <v>495</v>
      </c>
      <c r="L92" s="7">
        <v>2</v>
      </c>
    </row>
    <row r="93" spans="1:12" hidden="1" outlineLevel="2" x14ac:dyDescent="0.4">
      <c r="A93">
        <v>1934</v>
      </c>
      <c r="B93" s="25" t="s">
        <v>10</v>
      </c>
      <c r="C93" s="25" t="s">
        <v>125</v>
      </c>
      <c r="D93" s="25" t="s">
        <v>15</v>
      </c>
      <c r="E93" s="25" t="s">
        <v>498</v>
      </c>
      <c r="F93" s="7">
        <v>2</v>
      </c>
      <c r="G93" s="7">
        <v>72</v>
      </c>
      <c r="H93" s="25" t="s">
        <v>661</v>
      </c>
      <c r="I93" s="25" t="s">
        <v>186</v>
      </c>
      <c r="J93" s="25" t="s">
        <v>12</v>
      </c>
      <c r="K93" s="25" t="s">
        <v>503</v>
      </c>
      <c r="L93" s="7">
        <v>1</v>
      </c>
    </row>
    <row r="94" spans="1:12" outlineLevel="1" collapsed="1" x14ac:dyDescent="0.4">
      <c r="B94" s="24" t="s">
        <v>796</v>
      </c>
      <c r="C94" s="25">
        <f>SUBTOTAL(3,C91:C93)</f>
        <v>3</v>
      </c>
    </row>
    <row r="95" spans="1:12" hidden="1" outlineLevel="2" x14ac:dyDescent="0.4">
      <c r="A95">
        <v>1949</v>
      </c>
      <c r="B95" s="25" t="s">
        <v>10</v>
      </c>
      <c r="C95" s="25" t="s">
        <v>171</v>
      </c>
      <c r="D95" s="25" t="s">
        <v>28</v>
      </c>
      <c r="E95" s="25" t="s">
        <v>499</v>
      </c>
      <c r="F95" s="7">
        <v>1</v>
      </c>
      <c r="G95" s="7">
        <v>100</v>
      </c>
      <c r="H95" s="25" t="s">
        <v>647</v>
      </c>
      <c r="I95" s="25" t="s">
        <v>108</v>
      </c>
      <c r="J95" s="25" t="s">
        <v>107</v>
      </c>
      <c r="K95" s="25" t="s">
        <v>500</v>
      </c>
      <c r="L95" s="7">
        <v>6</v>
      </c>
    </row>
    <row r="96" spans="1:12" outlineLevel="1" collapsed="1" x14ac:dyDescent="0.4">
      <c r="B96" s="24" t="s">
        <v>797</v>
      </c>
      <c r="C96" s="25">
        <f>SUBTOTAL(3,C95:C95)</f>
        <v>1</v>
      </c>
    </row>
    <row r="97" spans="1:12" hidden="1" outlineLevel="2" x14ac:dyDescent="0.4">
      <c r="A97">
        <v>1938</v>
      </c>
      <c r="B97" s="25" t="s">
        <v>268</v>
      </c>
      <c r="C97" s="25" t="s">
        <v>401</v>
      </c>
      <c r="D97" s="25" t="s">
        <v>28</v>
      </c>
      <c r="E97" s="25" t="s">
        <v>499</v>
      </c>
      <c r="F97" s="7">
        <v>1</v>
      </c>
      <c r="H97" s="25" t="s">
        <v>656</v>
      </c>
      <c r="I97" s="25" t="s">
        <v>368</v>
      </c>
      <c r="J97" s="25" t="s">
        <v>28</v>
      </c>
      <c r="K97" s="25" t="s">
        <v>499</v>
      </c>
    </row>
    <row r="98" spans="1:12" hidden="1" outlineLevel="2" x14ac:dyDescent="0.4">
      <c r="A98">
        <v>1935</v>
      </c>
      <c r="B98" s="25" t="s">
        <v>268</v>
      </c>
      <c r="C98" s="25" t="s">
        <v>401</v>
      </c>
      <c r="D98" s="25" t="s">
        <v>28</v>
      </c>
      <c r="E98" s="25" t="s">
        <v>499</v>
      </c>
      <c r="F98" s="7">
        <v>4</v>
      </c>
      <c r="G98" s="7">
        <v>100</v>
      </c>
      <c r="H98" s="25" t="s">
        <v>660</v>
      </c>
      <c r="I98" s="25" t="s">
        <v>368</v>
      </c>
      <c r="J98" s="25" t="s">
        <v>28</v>
      </c>
      <c r="K98" s="25" t="s">
        <v>499</v>
      </c>
      <c r="L98" s="7">
        <v>3</v>
      </c>
    </row>
    <row r="99" spans="1:12" hidden="1" outlineLevel="2" x14ac:dyDescent="0.4">
      <c r="A99">
        <v>1933</v>
      </c>
      <c r="B99" s="25" t="s">
        <v>268</v>
      </c>
      <c r="C99" s="25" t="s">
        <v>401</v>
      </c>
      <c r="D99" s="25" t="s">
        <v>28</v>
      </c>
      <c r="E99" s="25" t="s">
        <v>499</v>
      </c>
      <c r="F99" s="7">
        <v>1</v>
      </c>
      <c r="G99" s="7">
        <v>120</v>
      </c>
      <c r="H99" s="25" t="s">
        <v>664</v>
      </c>
      <c r="I99" s="25" t="s">
        <v>366</v>
      </c>
      <c r="J99" s="25" t="s">
        <v>15</v>
      </c>
      <c r="K99" s="25" t="s">
        <v>498</v>
      </c>
      <c r="L99" s="7">
        <v>2</v>
      </c>
    </row>
    <row r="100" spans="1:12" hidden="1" outlineLevel="2" x14ac:dyDescent="0.4">
      <c r="A100">
        <v>1932</v>
      </c>
      <c r="B100" s="25" t="s">
        <v>268</v>
      </c>
      <c r="C100" s="25" t="s">
        <v>401</v>
      </c>
      <c r="D100" s="25" t="s">
        <v>28</v>
      </c>
      <c r="E100" s="25" t="s">
        <v>499</v>
      </c>
      <c r="F100" s="7">
        <v>1</v>
      </c>
      <c r="G100" s="7">
        <v>50</v>
      </c>
      <c r="H100" s="25" t="s">
        <v>666</v>
      </c>
      <c r="I100" s="25" t="s">
        <v>368</v>
      </c>
      <c r="J100" s="25" t="s">
        <v>28</v>
      </c>
      <c r="K100" s="25" t="s">
        <v>499</v>
      </c>
      <c r="L100" s="7">
        <v>5</v>
      </c>
    </row>
    <row r="101" spans="1:12" hidden="1" outlineLevel="2" x14ac:dyDescent="0.4">
      <c r="A101">
        <v>1930</v>
      </c>
      <c r="B101" s="25" t="s">
        <v>268</v>
      </c>
      <c r="C101" s="25" t="s">
        <v>401</v>
      </c>
      <c r="D101" s="25" t="s">
        <v>28</v>
      </c>
      <c r="E101" s="25" t="s">
        <v>499</v>
      </c>
      <c r="F101" s="7">
        <v>1</v>
      </c>
      <c r="H101" s="25" t="s">
        <v>473</v>
      </c>
      <c r="I101" s="25" t="s">
        <v>308</v>
      </c>
      <c r="J101" s="25" t="s">
        <v>28</v>
      </c>
      <c r="K101" s="25" t="s">
        <v>499</v>
      </c>
      <c r="L101" s="7">
        <v>8</v>
      </c>
    </row>
    <row r="102" spans="1:12" outlineLevel="1" collapsed="1" x14ac:dyDescent="0.4">
      <c r="B102" s="24" t="s">
        <v>798</v>
      </c>
      <c r="C102" s="25">
        <f>SUBTOTAL(3,C97:C101)</f>
        <v>5</v>
      </c>
    </row>
    <row r="103" spans="1:12" hidden="1" outlineLevel="2" x14ac:dyDescent="0.4">
      <c r="A103">
        <v>1922</v>
      </c>
      <c r="B103" s="25" t="s">
        <v>10</v>
      </c>
      <c r="C103" s="25" t="s">
        <v>11</v>
      </c>
      <c r="D103" s="25" t="s">
        <v>12</v>
      </c>
      <c r="E103" s="25" t="s">
        <v>503</v>
      </c>
      <c r="H103" s="25" t="s">
        <v>613</v>
      </c>
      <c r="I103" s="25" t="s">
        <v>16</v>
      </c>
      <c r="J103" s="25" t="s">
        <v>15</v>
      </c>
      <c r="K103" s="25" t="s">
        <v>498</v>
      </c>
    </row>
    <row r="104" spans="1:12" hidden="1" outlineLevel="2" x14ac:dyDescent="0.4">
      <c r="A104">
        <v>1919</v>
      </c>
      <c r="B104" s="25" t="s">
        <v>10</v>
      </c>
      <c r="C104" s="25" t="s">
        <v>11</v>
      </c>
      <c r="D104" s="25" t="s">
        <v>12</v>
      </c>
      <c r="E104" s="25" t="s">
        <v>503</v>
      </c>
      <c r="H104" s="25" t="s">
        <v>683</v>
      </c>
      <c r="I104" s="25" t="s">
        <v>13</v>
      </c>
      <c r="J104" s="25" t="s">
        <v>12</v>
      </c>
      <c r="K104" s="25" t="s">
        <v>503</v>
      </c>
    </row>
    <row r="105" spans="1:12" outlineLevel="1" collapsed="1" x14ac:dyDescent="0.4">
      <c r="B105" s="24" t="s">
        <v>799</v>
      </c>
      <c r="C105" s="25">
        <f>SUBTOTAL(3,C103:C104)</f>
        <v>2</v>
      </c>
    </row>
    <row r="106" spans="1:12" hidden="1" outlineLevel="2" x14ac:dyDescent="0.4">
      <c r="A106">
        <v>2017</v>
      </c>
      <c r="B106" s="25" t="s">
        <v>268</v>
      </c>
      <c r="C106" s="25" t="s">
        <v>481</v>
      </c>
      <c r="D106" s="25" t="s">
        <v>135</v>
      </c>
      <c r="E106" s="25" t="s">
        <v>496</v>
      </c>
      <c r="F106" s="7">
        <v>14</v>
      </c>
      <c r="G106" s="7">
        <v>77</v>
      </c>
      <c r="H106" s="25" t="s">
        <v>482</v>
      </c>
      <c r="I106" s="25" t="s">
        <v>755</v>
      </c>
      <c r="J106" s="25" t="s">
        <v>28</v>
      </c>
      <c r="K106" s="25" t="s">
        <v>499</v>
      </c>
      <c r="L106" s="7">
        <v>10</v>
      </c>
    </row>
    <row r="107" spans="1:12" outlineLevel="1" collapsed="1" x14ac:dyDescent="0.4">
      <c r="B107" s="24" t="s">
        <v>800</v>
      </c>
      <c r="C107" s="25">
        <f>SUBTOTAL(3,C106:C106)</f>
        <v>1</v>
      </c>
    </row>
    <row r="108" spans="1:12" hidden="1" outlineLevel="2" x14ac:dyDescent="0.4">
      <c r="A108">
        <v>2001</v>
      </c>
      <c r="B108" s="25" t="s">
        <v>10</v>
      </c>
      <c r="C108" s="25" t="s">
        <v>154</v>
      </c>
      <c r="D108" s="25" t="s">
        <v>153</v>
      </c>
      <c r="E108" s="25" t="s">
        <v>504</v>
      </c>
      <c r="G108" s="7">
        <v>182</v>
      </c>
      <c r="H108" s="25" t="s">
        <v>548</v>
      </c>
      <c r="I108" s="25" t="s">
        <v>151</v>
      </c>
      <c r="J108" s="25" t="s">
        <v>12</v>
      </c>
      <c r="K108" s="25" t="s">
        <v>503</v>
      </c>
      <c r="L108" s="7">
        <v>3</v>
      </c>
    </row>
    <row r="109" spans="1:12" outlineLevel="1" collapsed="1" x14ac:dyDescent="0.4">
      <c r="B109" s="24" t="s">
        <v>801</v>
      </c>
      <c r="C109" s="25">
        <f>SUBTOTAL(3,C108:C108)</f>
        <v>1</v>
      </c>
    </row>
    <row r="110" spans="1:12" hidden="1" outlineLevel="2" x14ac:dyDescent="0.4">
      <c r="A110">
        <v>1900</v>
      </c>
      <c r="B110" s="25" t="s">
        <v>268</v>
      </c>
      <c r="C110" s="25" t="s">
        <v>323</v>
      </c>
      <c r="D110" s="25" t="s">
        <v>15</v>
      </c>
      <c r="E110" s="25" t="s">
        <v>498</v>
      </c>
      <c r="H110" s="25" t="s">
        <v>679</v>
      </c>
      <c r="I110" s="25" t="s">
        <v>331</v>
      </c>
      <c r="J110" s="25" t="s">
        <v>15</v>
      </c>
      <c r="K110" s="25" t="s">
        <v>498</v>
      </c>
    </row>
    <row r="111" spans="1:12" hidden="1" outlineLevel="2" x14ac:dyDescent="0.4">
      <c r="A111">
        <v>1899</v>
      </c>
      <c r="B111" s="25" t="s">
        <v>268</v>
      </c>
      <c r="C111" s="25" t="s">
        <v>323</v>
      </c>
      <c r="D111" s="25" t="s">
        <v>15</v>
      </c>
      <c r="E111" s="25" t="s">
        <v>498</v>
      </c>
      <c r="H111" s="25" t="s">
        <v>672</v>
      </c>
      <c r="I111" s="25" t="s">
        <v>331</v>
      </c>
      <c r="J111" s="25" t="s">
        <v>15</v>
      </c>
      <c r="K111" s="25" t="s">
        <v>498</v>
      </c>
    </row>
    <row r="112" spans="1:12" hidden="1" outlineLevel="2" x14ac:dyDescent="0.4">
      <c r="A112">
        <v>1897</v>
      </c>
      <c r="B112" s="25" t="s">
        <v>268</v>
      </c>
      <c r="C112" s="25" t="s">
        <v>323</v>
      </c>
      <c r="D112" s="25" t="s">
        <v>15</v>
      </c>
      <c r="E112" s="25" t="s">
        <v>498</v>
      </c>
      <c r="H112" s="25" t="s">
        <v>708</v>
      </c>
      <c r="I112" s="25" t="s">
        <v>331</v>
      </c>
      <c r="J112" s="25" t="s">
        <v>15</v>
      </c>
      <c r="K112" s="25" t="s">
        <v>498</v>
      </c>
    </row>
    <row r="113" spans="1:12" hidden="1" outlineLevel="2" x14ac:dyDescent="0.4">
      <c r="A113">
        <v>1894</v>
      </c>
      <c r="B113" s="25" t="s">
        <v>268</v>
      </c>
      <c r="C113" s="25" t="s">
        <v>323</v>
      </c>
      <c r="D113" s="25" t="s">
        <v>15</v>
      </c>
      <c r="E113" s="25" t="s">
        <v>498</v>
      </c>
      <c r="H113" s="25" t="s">
        <v>713</v>
      </c>
      <c r="I113" s="25" t="s">
        <v>345</v>
      </c>
      <c r="J113" s="25" t="s">
        <v>15</v>
      </c>
      <c r="K113" s="25" t="s">
        <v>498</v>
      </c>
    </row>
    <row r="114" spans="1:12" hidden="1" outlineLevel="2" x14ac:dyDescent="0.4">
      <c r="A114">
        <v>1889</v>
      </c>
      <c r="B114" s="25" t="s">
        <v>268</v>
      </c>
      <c r="C114" s="25" t="s">
        <v>323</v>
      </c>
      <c r="D114" s="25" t="s">
        <v>15</v>
      </c>
      <c r="E114" s="25" t="s">
        <v>498</v>
      </c>
      <c r="H114" s="25" t="s">
        <v>721</v>
      </c>
      <c r="I114" s="25" t="s">
        <v>347</v>
      </c>
      <c r="J114" s="25" t="s">
        <v>15</v>
      </c>
      <c r="K114" s="25" t="s">
        <v>498</v>
      </c>
    </row>
    <row r="115" spans="1:12" outlineLevel="1" collapsed="1" x14ac:dyDescent="0.4">
      <c r="B115" s="24" t="s">
        <v>802</v>
      </c>
      <c r="C115" s="25">
        <f>SUBTOTAL(3,C110:C114)</f>
        <v>5</v>
      </c>
    </row>
    <row r="116" spans="1:12" hidden="1" outlineLevel="2" x14ac:dyDescent="0.4">
      <c r="A116">
        <v>1932</v>
      </c>
      <c r="B116" s="25" t="s">
        <v>10</v>
      </c>
      <c r="C116" s="25" t="s">
        <v>215</v>
      </c>
      <c r="D116" s="25" t="s">
        <v>28</v>
      </c>
      <c r="E116" s="25" t="s">
        <v>499</v>
      </c>
      <c r="F116" s="7">
        <v>2</v>
      </c>
      <c r="G116" s="7">
        <v>50</v>
      </c>
      <c r="H116" s="25" t="s">
        <v>665</v>
      </c>
      <c r="I116" s="25" t="s">
        <v>157</v>
      </c>
      <c r="J116" s="25" t="s">
        <v>15</v>
      </c>
      <c r="K116" s="25" t="s">
        <v>498</v>
      </c>
      <c r="L116" s="7">
        <v>6</v>
      </c>
    </row>
    <row r="117" spans="1:12" outlineLevel="1" collapsed="1" x14ac:dyDescent="0.4">
      <c r="B117" s="24" t="s">
        <v>803</v>
      </c>
      <c r="C117" s="25">
        <f>SUBTOTAL(3,C116:C116)</f>
        <v>1</v>
      </c>
    </row>
    <row r="118" spans="1:12" hidden="1" outlineLevel="2" x14ac:dyDescent="0.4">
      <c r="A118">
        <v>1887</v>
      </c>
      <c r="B118" s="25" t="s">
        <v>10</v>
      </c>
      <c r="C118" s="25" t="s">
        <v>39</v>
      </c>
      <c r="D118" s="25" t="s">
        <v>15</v>
      </c>
      <c r="E118" s="25" t="s">
        <v>498</v>
      </c>
      <c r="G118" s="7">
        <v>120</v>
      </c>
      <c r="H118" s="25" t="s">
        <v>723</v>
      </c>
      <c r="I118" s="25" t="s">
        <v>40</v>
      </c>
      <c r="J118" s="25" t="s">
        <v>15</v>
      </c>
      <c r="K118" s="25" t="s">
        <v>498</v>
      </c>
    </row>
    <row r="119" spans="1:12" outlineLevel="1" collapsed="1" x14ac:dyDescent="0.4">
      <c r="B119" s="24" t="s">
        <v>804</v>
      </c>
      <c r="C119" s="25">
        <f>SUBTOTAL(3,C118:C118)</f>
        <v>1</v>
      </c>
    </row>
    <row r="120" spans="1:12" hidden="1" outlineLevel="2" x14ac:dyDescent="0.4">
      <c r="A120">
        <v>1890</v>
      </c>
      <c r="B120" s="25" t="s">
        <v>268</v>
      </c>
      <c r="C120" s="25" t="s">
        <v>347</v>
      </c>
      <c r="D120" s="25" t="s">
        <v>15</v>
      </c>
      <c r="E120" s="25" t="s">
        <v>498</v>
      </c>
      <c r="H120" s="25" t="s">
        <v>537</v>
      </c>
      <c r="I120" s="25" t="s">
        <v>349</v>
      </c>
      <c r="J120" s="25" t="s">
        <v>15</v>
      </c>
      <c r="K120" s="25" t="s">
        <v>498</v>
      </c>
    </row>
    <row r="121" spans="1:12" outlineLevel="1" collapsed="1" x14ac:dyDescent="0.4">
      <c r="B121" s="24" t="s">
        <v>805</v>
      </c>
      <c r="C121" s="25">
        <f>SUBTOTAL(3,C120:C120)</f>
        <v>1</v>
      </c>
    </row>
    <row r="122" spans="1:12" hidden="1" outlineLevel="2" x14ac:dyDescent="0.4">
      <c r="A122">
        <v>1936</v>
      </c>
      <c r="B122" s="25" t="s">
        <v>268</v>
      </c>
      <c r="C122" s="25" t="s">
        <v>368</v>
      </c>
      <c r="D122" s="25" t="s">
        <v>28</v>
      </c>
      <c r="E122" s="25" t="s">
        <v>499</v>
      </c>
      <c r="F122" s="7">
        <v>2</v>
      </c>
      <c r="G122" s="7">
        <v>101</v>
      </c>
      <c r="H122" s="25" t="s">
        <v>659</v>
      </c>
      <c r="I122" s="25" t="s">
        <v>451</v>
      </c>
      <c r="J122" s="25" t="s">
        <v>126</v>
      </c>
      <c r="K122" s="25" t="s">
        <v>495</v>
      </c>
      <c r="L122" s="7">
        <v>5</v>
      </c>
    </row>
    <row r="123" spans="1:12" outlineLevel="1" collapsed="1" x14ac:dyDescent="0.4">
      <c r="B123" s="24" t="s">
        <v>806</v>
      </c>
      <c r="C123" s="25">
        <f>SUBTOTAL(3,C122:C122)</f>
        <v>1</v>
      </c>
    </row>
    <row r="124" spans="1:12" hidden="1" outlineLevel="2" x14ac:dyDescent="0.4">
      <c r="A124">
        <v>1929</v>
      </c>
      <c r="B124" s="25" t="s">
        <v>10</v>
      </c>
      <c r="C124" s="25" t="s">
        <v>123</v>
      </c>
      <c r="D124" s="25" t="s">
        <v>24</v>
      </c>
      <c r="E124" s="25" t="s">
        <v>501</v>
      </c>
      <c r="F124" s="7">
        <v>1</v>
      </c>
      <c r="G124" s="7">
        <v>60</v>
      </c>
      <c r="H124" s="25" t="s">
        <v>629</v>
      </c>
      <c r="I124" s="25" t="s">
        <v>23</v>
      </c>
      <c r="J124" s="25" t="s">
        <v>24</v>
      </c>
      <c r="K124" s="25" t="s">
        <v>501</v>
      </c>
      <c r="L124" s="7">
        <v>2</v>
      </c>
    </row>
    <row r="125" spans="1:12" hidden="1" outlineLevel="2" x14ac:dyDescent="0.4">
      <c r="A125">
        <v>1927</v>
      </c>
      <c r="B125" s="25" t="s">
        <v>10</v>
      </c>
      <c r="C125" s="25" t="s">
        <v>123</v>
      </c>
      <c r="D125" s="25" t="s">
        <v>24</v>
      </c>
      <c r="E125" s="25" t="s">
        <v>501</v>
      </c>
      <c r="F125" s="7">
        <v>4</v>
      </c>
      <c r="H125" s="25" t="s">
        <v>673</v>
      </c>
      <c r="I125" s="25" t="s">
        <v>23</v>
      </c>
      <c r="J125" s="25" t="s">
        <v>24</v>
      </c>
      <c r="K125" s="25" t="s">
        <v>501</v>
      </c>
      <c r="L125" s="7">
        <v>3</v>
      </c>
    </row>
    <row r="126" spans="1:12" outlineLevel="1" collapsed="1" x14ac:dyDescent="0.4">
      <c r="B126" s="24" t="s">
        <v>807</v>
      </c>
      <c r="C126" s="25">
        <f>SUBTOTAL(3,C124:C125)</f>
        <v>2</v>
      </c>
    </row>
    <row r="127" spans="1:12" hidden="1" outlineLevel="2" x14ac:dyDescent="0.4">
      <c r="A127">
        <v>1906</v>
      </c>
      <c r="B127" s="25" t="s">
        <v>10</v>
      </c>
      <c r="C127" s="25" t="s">
        <v>31</v>
      </c>
      <c r="D127" s="25" t="s">
        <v>15</v>
      </c>
      <c r="E127" s="25" t="s">
        <v>498</v>
      </c>
      <c r="G127" s="7">
        <v>74</v>
      </c>
      <c r="H127" s="25" t="s">
        <v>695</v>
      </c>
      <c r="I127" s="25" t="s">
        <v>43</v>
      </c>
      <c r="J127" s="25" t="s">
        <v>15</v>
      </c>
      <c r="K127" s="25" t="s">
        <v>498</v>
      </c>
    </row>
    <row r="128" spans="1:12" hidden="1" outlineLevel="2" x14ac:dyDescent="0.4">
      <c r="A128">
        <v>1905</v>
      </c>
      <c r="B128" s="25" t="s">
        <v>10</v>
      </c>
      <c r="C128" s="25" t="s">
        <v>31</v>
      </c>
      <c r="D128" s="25" t="s">
        <v>15</v>
      </c>
      <c r="E128" s="25" t="s">
        <v>498</v>
      </c>
      <c r="G128" s="7">
        <v>65</v>
      </c>
      <c r="H128" s="25" t="s">
        <v>697</v>
      </c>
      <c r="I128" s="25" t="s">
        <v>13</v>
      </c>
      <c r="J128" s="25" t="s">
        <v>12</v>
      </c>
      <c r="K128" s="25" t="s">
        <v>503</v>
      </c>
    </row>
    <row r="129" spans="1:12" hidden="1" outlineLevel="2" x14ac:dyDescent="0.4">
      <c r="A129">
        <v>1904</v>
      </c>
      <c r="B129" s="25" t="s">
        <v>10</v>
      </c>
      <c r="C129" s="25" t="s">
        <v>31</v>
      </c>
      <c r="D129" s="25" t="s">
        <v>15</v>
      </c>
      <c r="E129" s="25" t="s">
        <v>498</v>
      </c>
      <c r="H129" s="25" t="s">
        <v>698</v>
      </c>
      <c r="I129" s="25" t="s">
        <v>43</v>
      </c>
      <c r="J129" s="25" t="s">
        <v>15</v>
      </c>
      <c r="K129" s="25" t="s">
        <v>498</v>
      </c>
    </row>
    <row r="130" spans="1:12" hidden="1" outlineLevel="2" x14ac:dyDescent="0.4">
      <c r="A130">
        <v>1903</v>
      </c>
      <c r="B130" s="25" t="s">
        <v>10</v>
      </c>
      <c r="C130" s="25" t="s">
        <v>31</v>
      </c>
      <c r="D130" s="25" t="s">
        <v>15</v>
      </c>
      <c r="E130" s="25" t="s">
        <v>498</v>
      </c>
      <c r="H130" s="25" t="s">
        <v>700</v>
      </c>
      <c r="I130" s="25" t="s">
        <v>43</v>
      </c>
      <c r="J130" s="25" t="s">
        <v>15</v>
      </c>
      <c r="K130" s="25" t="s">
        <v>498</v>
      </c>
    </row>
    <row r="131" spans="1:12" hidden="1" outlineLevel="2" x14ac:dyDescent="0.4">
      <c r="A131">
        <v>1902</v>
      </c>
      <c r="B131" s="25" t="s">
        <v>10</v>
      </c>
      <c r="C131" s="25" t="s">
        <v>31</v>
      </c>
      <c r="D131" s="25" t="s">
        <v>15</v>
      </c>
      <c r="E131" s="25" t="s">
        <v>498</v>
      </c>
      <c r="G131" s="7">
        <v>84</v>
      </c>
      <c r="H131" s="25" t="s">
        <v>701</v>
      </c>
      <c r="I131" s="25" t="s">
        <v>18</v>
      </c>
      <c r="J131" s="25" t="s">
        <v>15</v>
      </c>
      <c r="K131" s="25" t="s">
        <v>498</v>
      </c>
    </row>
    <row r="132" spans="1:12" outlineLevel="1" collapsed="1" x14ac:dyDescent="0.4">
      <c r="B132" s="24" t="s">
        <v>808</v>
      </c>
      <c r="C132" s="25">
        <f>SUBTOTAL(3,C127:C131)</f>
        <v>5</v>
      </c>
    </row>
    <row r="133" spans="1:12" hidden="1" outlineLevel="2" x14ac:dyDescent="0.4">
      <c r="A133">
        <v>1929</v>
      </c>
      <c r="B133" s="25" t="s">
        <v>268</v>
      </c>
      <c r="C133" s="25" t="s">
        <v>365</v>
      </c>
      <c r="D133" s="25" t="s">
        <v>28</v>
      </c>
      <c r="E133" s="25" t="s">
        <v>499</v>
      </c>
      <c r="F133" s="7">
        <v>1</v>
      </c>
      <c r="H133" s="25" t="s">
        <v>670</v>
      </c>
      <c r="I133" s="25" t="s">
        <v>368</v>
      </c>
      <c r="J133" s="25" t="s">
        <v>28</v>
      </c>
      <c r="K133" s="25" t="s">
        <v>499</v>
      </c>
      <c r="L133" s="7">
        <v>5</v>
      </c>
    </row>
    <row r="134" spans="1:12" hidden="1" outlineLevel="2" x14ac:dyDescent="0.4">
      <c r="A134">
        <v>1928</v>
      </c>
      <c r="B134" s="25" t="s">
        <v>268</v>
      </c>
      <c r="C134" s="25" t="s">
        <v>365</v>
      </c>
      <c r="D134" s="25" t="s">
        <v>28</v>
      </c>
      <c r="E134" s="25" t="s">
        <v>499</v>
      </c>
      <c r="F134" s="7">
        <v>1</v>
      </c>
      <c r="H134" s="25" t="s">
        <v>672</v>
      </c>
      <c r="I134" s="25" t="s">
        <v>319</v>
      </c>
      <c r="J134" s="25" t="s">
        <v>135</v>
      </c>
      <c r="K134" s="25" t="s">
        <v>496</v>
      </c>
      <c r="L134" s="7">
        <v>2</v>
      </c>
    </row>
    <row r="135" spans="1:12" hidden="1" outlineLevel="2" x14ac:dyDescent="0.4">
      <c r="A135">
        <v>1927</v>
      </c>
      <c r="B135" s="25" t="s">
        <v>268</v>
      </c>
      <c r="C135" s="25" t="s">
        <v>365</v>
      </c>
      <c r="D135" s="25" t="s">
        <v>28</v>
      </c>
      <c r="E135" s="25" t="s">
        <v>499</v>
      </c>
      <c r="F135" s="7">
        <v>1</v>
      </c>
      <c r="H135" s="25" t="s">
        <v>674</v>
      </c>
      <c r="I135" s="25" t="s">
        <v>319</v>
      </c>
      <c r="J135" s="25" t="s">
        <v>135</v>
      </c>
      <c r="K135" s="25" t="s">
        <v>496</v>
      </c>
      <c r="L135" s="7">
        <v>4</v>
      </c>
    </row>
    <row r="136" spans="1:12" outlineLevel="1" collapsed="1" x14ac:dyDescent="0.4">
      <c r="B136" s="24" t="s">
        <v>809</v>
      </c>
      <c r="C136" s="25">
        <f>SUBTOTAL(3,C133:C135)</f>
        <v>3</v>
      </c>
    </row>
    <row r="137" spans="1:12" hidden="1" outlineLevel="2" x14ac:dyDescent="0.4">
      <c r="A137">
        <v>1896</v>
      </c>
      <c r="B137" s="25" t="s">
        <v>10</v>
      </c>
      <c r="C137" s="25" t="s">
        <v>47</v>
      </c>
      <c r="D137" s="25" t="s">
        <v>15</v>
      </c>
      <c r="E137" s="25" t="s">
        <v>498</v>
      </c>
      <c r="G137" s="7">
        <v>120</v>
      </c>
      <c r="H137" s="25" t="s">
        <v>709</v>
      </c>
      <c r="I137" s="25" t="s">
        <v>48</v>
      </c>
      <c r="J137" s="25" t="s">
        <v>15</v>
      </c>
      <c r="K137" s="25" t="s">
        <v>498</v>
      </c>
    </row>
    <row r="138" spans="1:12" outlineLevel="1" collapsed="1" x14ac:dyDescent="0.4">
      <c r="B138" s="24" t="s">
        <v>810</v>
      </c>
      <c r="C138" s="25">
        <f>SUBTOTAL(3,C137:C137)</f>
        <v>1</v>
      </c>
    </row>
    <row r="139" spans="1:12" hidden="1" outlineLevel="2" x14ac:dyDescent="0.4">
      <c r="A139">
        <v>1994</v>
      </c>
      <c r="B139" s="25" t="s">
        <v>268</v>
      </c>
      <c r="C139" s="25" t="s">
        <v>298</v>
      </c>
      <c r="D139" s="25" t="s">
        <v>135</v>
      </c>
      <c r="E139" s="25" t="s">
        <v>496</v>
      </c>
      <c r="F139" s="7">
        <v>3</v>
      </c>
      <c r="G139" s="7">
        <v>119</v>
      </c>
      <c r="H139" s="25" t="s">
        <v>562</v>
      </c>
      <c r="I139" s="25" t="s">
        <v>300</v>
      </c>
      <c r="J139" s="25" t="s">
        <v>28</v>
      </c>
      <c r="K139" s="25" t="s">
        <v>499</v>
      </c>
      <c r="L139" s="7">
        <v>4</v>
      </c>
    </row>
    <row r="140" spans="1:12" outlineLevel="1" collapsed="1" x14ac:dyDescent="0.4">
      <c r="B140" s="24" t="s">
        <v>811</v>
      </c>
      <c r="C140" s="25">
        <f>SUBTOTAL(3,C139:C139)</f>
        <v>1</v>
      </c>
    </row>
    <row r="141" spans="1:12" hidden="1" outlineLevel="2" x14ac:dyDescent="0.4">
      <c r="A141">
        <v>1954</v>
      </c>
      <c r="B141" s="25" t="s">
        <v>10</v>
      </c>
      <c r="C141" s="25" t="s">
        <v>108</v>
      </c>
      <c r="D141" s="25" t="s">
        <v>107</v>
      </c>
      <c r="E141" s="25" t="s">
        <v>500</v>
      </c>
      <c r="F141" s="7">
        <v>11</v>
      </c>
      <c r="G141" s="7">
        <v>157</v>
      </c>
      <c r="H141" s="25" t="s">
        <v>638</v>
      </c>
      <c r="I141" s="25" t="s">
        <v>101</v>
      </c>
      <c r="J141" s="25" t="s">
        <v>12</v>
      </c>
      <c r="K141" s="25" t="s">
        <v>503</v>
      </c>
      <c r="L141" s="7">
        <v>3</v>
      </c>
    </row>
    <row r="142" spans="1:12" outlineLevel="1" collapsed="1" x14ac:dyDescent="0.4">
      <c r="B142" s="24" t="s">
        <v>812</v>
      </c>
      <c r="C142" s="25">
        <f>SUBTOTAL(3,C141:C141)</f>
        <v>1</v>
      </c>
    </row>
    <row r="143" spans="1:12" hidden="1" outlineLevel="2" x14ac:dyDescent="0.4">
      <c r="A143">
        <v>1973</v>
      </c>
      <c r="B143" s="25" t="s">
        <v>10</v>
      </c>
      <c r="C143" s="25" t="s">
        <v>193</v>
      </c>
      <c r="D143" s="25" t="s">
        <v>107</v>
      </c>
      <c r="E143" s="25" t="s">
        <v>500</v>
      </c>
      <c r="F143" s="7">
        <v>2</v>
      </c>
      <c r="G143" s="7">
        <v>110</v>
      </c>
      <c r="H143" s="25" t="s">
        <v>604</v>
      </c>
      <c r="I143" s="25" t="s">
        <v>195</v>
      </c>
      <c r="J143" s="25" t="s">
        <v>194</v>
      </c>
      <c r="K143" s="25" t="s">
        <v>518</v>
      </c>
      <c r="L143" s="7">
        <v>4</v>
      </c>
    </row>
    <row r="144" spans="1:12" outlineLevel="1" collapsed="1" x14ac:dyDescent="0.4">
      <c r="B144" s="24" t="s">
        <v>813</v>
      </c>
      <c r="C144" s="25">
        <f>SUBTOTAL(3,C143:C143)</f>
        <v>1</v>
      </c>
    </row>
    <row r="145" spans="1:12" hidden="1" outlineLevel="2" x14ac:dyDescent="0.4">
      <c r="A145">
        <v>1998</v>
      </c>
      <c r="B145" s="25" t="s">
        <v>268</v>
      </c>
      <c r="C145" s="25" t="s">
        <v>288</v>
      </c>
      <c r="D145" s="25" t="s">
        <v>107</v>
      </c>
      <c r="E145" s="25" t="s">
        <v>500</v>
      </c>
      <c r="F145" s="7">
        <v>3</v>
      </c>
      <c r="G145" s="7">
        <v>94</v>
      </c>
      <c r="H145" s="25" t="s">
        <v>554</v>
      </c>
      <c r="I145" s="25" t="s">
        <v>290</v>
      </c>
      <c r="J145" s="25" t="s">
        <v>24</v>
      </c>
      <c r="K145" s="25" t="s">
        <v>501</v>
      </c>
      <c r="L145" s="7">
        <v>16</v>
      </c>
    </row>
    <row r="146" spans="1:12" outlineLevel="1" collapsed="1" x14ac:dyDescent="0.4">
      <c r="B146" s="24" t="s">
        <v>814</v>
      </c>
      <c r="C146" s="25">
        <f>SUBTOTAL(3,C145:C145)</f>
        <v>1</v>
      </c>
    </row>
    <row r="147" spans="1:12" hidden="1" outlineLevel="2" x14ac:dyDescent="0.4">
      <c r="A147">
        <v>1894</v>
      </c>
      <c r="B147" s="25" t="s">
        <v>10</v>
      </c>
      <c r="C147" s="25" t="s">
        <v>50</v>
      </c>
      <c r="D147" s="25" t="s">
        <v>15</v>
      </c>
      <c r="E147" s="25" t="s">
        <v>498</v>
      </c>
      <c r="G147" s="7">
        <v>117</v>
      </c>
      <c r="H147" s="25" t="s">
        <v>712</v>
      </c>
      <c r="I147" s="25" t="s">
        <v>48</v>
      </c>
      <c r="J147" s="25" t="s">
        <v>15</v>
      </c>
      <c r="K147" s="25" t="s">
        <v>498</v>
      </c>
    </row>
    <row r="148" spans="1:12" hidden="1" outlineLevel="2" x14ac:dyDescent="0.4">
      <c r="A148">
        <v>1893</v>
      </c>
      <c r="B148" s="25" t="s">
        <v>10</v>
      </c>
      <c r="C148" s="25" t="s">
        <v>50</v>
      </c>
      <c r="D148" s="25" t="s">
        <v>15</v>
      </c>
      <c r="E148" s="25" t="s">
        <v>498</v>
      </c>
      <c r="G148" s="7">
        <v>65</v>
      </c>
      <c r="H148" s="25" t="s">
        <v>714</v>
      </c>
      <c r="I148" s="25" t="s">
        <v>48</v>
      </c>
      <c r="J148" s="25" t="s">
        <v>15</v>
      </c>
      <c r="K148" s="25" t="s">
        <v>498</v>
      </c>
    </row>
    <row r="149" spans="1:12" outlineLevel="1" collapsed="1" x14ac:dyDescent="0.4">
      <c r="B149" s="24" t="s">
        <v>815</v>
      </c>
      <c r="C149" s="25">
        <f>SUBTOTAL(3,C147:C148)</f>
        <v>2</v>
      </c>
    </row>
    <row r="150" spans="1:12" hidden="1" outlineLevel="2" x14ac:dyDescent="0.4">
      <c r="A150">
        <v>1947</v>
      </c>
      <c r="B150" s="25" t="s">
        <v>10</v>
      </c>
      <c r="C150" s="25" t="s">
        <v>163</v>
      </c>
      <c r="D150" s="25" t="s">
        <v>28</v>
      </c>
      <c r="E150" s="25" t="s">
        <v>499</v>
      </c>
      <c r="F150" s="7">
        <v>1</v>
      </c>
      <c r="G150" s="7">
        <v>45</v>
      </c>
      <c r="H150" s="25" t="s">
        <v>546</v>
      </c>
      <c r="I150" s="25" t="s">
        <v>164</v>
      </c>
      <c r="J150" s="25" t="s">
        <v>28</v>
      </c>
      <c r="K150" s="25" t="s">
        <v>499</v>
      </c>
      <c r="L150" s="7">
        <v>3</v>
      </c>
    </row>
    <row r="151" spans="1:12" outlineLevel="1" collapsed="1" x14ac:dyDescent="0.4">
      <c r="B151" s="24" t="s">
        <v>816</v>
      </c>
      <c r="C151" s="25">
        <f>SUBTOTAL(3,C150:C150)</f>
        <v>1</v>
      </c>
    </row>
    <row r="152" spans="1:12" hidden="1" outlineLevel="2" x14ac:dyDescent="0.4">
      <c r="A152">
        <v>1938</v>
      </c>
      <c r="B152" s="25" t="s">
        <v>10</v>
      </c>
      <c r="C152" s="25" t="s">
        <v>156</v>
      </c>
      <c r="D152" s="25" t="s">
        <v>28</v>
      </c>
      <c r="E152" s="25" t="s">
        <v>499</v>
      </c>
      <c r="F152" s="7">
        <v>1</v>
      </c>
      <c r="G152" s="7">
        <v>59</v>
      </c>
      <c r="H152" s="25" t="s">
        <v>655</v>
      </c>
      <c r="I152" s="25" t="s">
        <v>157</v>
      </c>
      <c r="J152" s="25" t="s">
        <v>15</v>
      </c>
      <c r="K152" s="25" t="s">
        <v>498</v>
      </c>
      <c r="L152" s="7">
        <v>2</v>
      </c>
    </row>
    <row r="153" spans="1:12" hidden="1" outlineLevel="2" x14ac:dyDescent="0.4">
      <c r="A153">
        <v>1937</v>
      </c>
      <c r="B153" s="25" t="s">
        <v>10</v>
      </c>
      <c r="C153" s="25" t="s">
        <v>156</v>
      </c>
      <c r="D153" s="25" t="s">
        <v>28</v>
      </c>
      <c r="E153" s="25" t="s">
        <v>499</v>
      </c>
      <c r="F153" s="7">
        <v>1</v>
      </c>
      <c r="G153" s="7">
        <v>65</v>
      </c>
      <c r="H153" s="25" t="s">
        <v>613</v>
      </c>
      <c r="I153" s="25" t="s">
        <v>127</v>
      </c>
      <c r="J153" s="25" t="s">
        <v>126</v>
      </c>
      <c r="K153" s="25" t="s">
        <v>495</v>
      </c>
      <c r="L153" s="7">
        <v>2</v>
      </c>
    </row>
    <row r="154" spans="1:12" outlineLevel="1" collapsed="1" x14ac:dyDescent="0.4">
      <c r="B154" s="24" t="s">
        <v>817</v>
      </c>
      <c r="C154" s="25">
        <f>SUBTOTAL(3,C152:C153)</f>
        <v>2</v>
      </c>
    </row>
    <row r="155" spans="1:12" hidden="1" outlineLevel="2" x14ac:dyDescent="0.4">
      <c r="A155">
        <v>1971</v>
      </c>
      <c r="B155" s="25" t="s">
        <v>10</v>
      </c>
      <c r="C155" s="25" t="s">
        <v>117</v>
      </c>
      <c r="D155" s="25" t="s">
        <v>12</v>
      </c>
      <c r="E155" s="25" t="s">
        <v>503</v>
      </c>
      <c r="F155" s="7">
        <v>2</v>
      </c>
      <c r="G155" s="7">
        <v>170</v>
      </c>
      <c r="H155" s="25" t="s">
        <v>608</v>
      </c>
      <c r="I155" s="25" t="s">
        <v>159</v>
      </c>
      <c r="J155" s="25" t="s">
        <v>28</v>
      </c>
      <c r="K155" s="25" t="s">
        <v>499</v>
      </c>
      <c r="L155" s="7">
        <v>4</v>
      </c>
    </row>
    <row r="156" spans="1:12" hidden="1" outlineLevel="2" x14ac:dyDescent="0.4">
      <c r="A156">
        <v>1970</v>
      </c>
      <c r="B156" s="25" t="s">
        <v>10</v>
      </c>
      <c r="C156" s="25" t="s">
        <v>117</v>
      </c>
      <c r="D156" s="25" t="s">
        <v>12</v>
      </c>
      <c r="E156" s="25" t="s">
        <v>503</v>
      </c>
      <c r="F156" s="7">
        <v>2</v>
      </c>
      <c r="G156" s="7">
        <v>163</v>
      </c>
      <c r="H156" s="25" t="s">
        <v>609</v>
      </c>
      <c r="I156" s="25" t="s">
        <v>101</v>
      </c>
      <c r="J156" s="25" t="s">
        <v>12</v>
      </c>
      <c r="K156" s="25" t="s">
        <v>503</v>
      </c>
      <c r="L156" s="7">
        <v>5</v>
      </c>
    </row>
    <row r="157" spans="1:12" hidden="1" outlineLevel="2" x14ac:dyDescent="0.4">
      <c r="A157">
        <v>1967</v>
      </c>
      <c r="B157" s="25" t="s">
        <v>10</v>
      </c>
      <c r="C157" s="25" t="s">
        <v>117</v>
      </c>
      <c r="D157" s="25" t="s">
        <v>12</v>
      </c>
      <c r="E157" s="25" t="s">
        <v>503</v>
      </c>
      <c r="F157" s="7">
        <v>3</v>
      </c>
      <c r="G157" s="7">
        <v>71</v>
      </c>
      <c r="H157" s="25" t="s">
        <v>615</v>
      </c>
      <c r="I157" s="25" t="s">
        <v>226</v>
      </c>
      <c r="J157" s="25" t="s">
        <v>126</v>
      </c>
      <c r="K157" s="25" t="s">
        <v>495</v>
      </c>
      <c r="L157" s="7" t="s">
        <v>122</v>
      </c>
    </row>
    <row r="158" spans="1:12" outlineLevel="1" collapsed="1" x14ac:dyDescent="0.4">
      <c r="B158" s="24" t="s">
        <v>818</v>
      </c>
      <c r="C158" s="25">
        <f>SUBTOTAL(3,C155:C157)</f>
        <v>3</v>
      </c>
    </row>
    <row r="159" spans="1:12" hidden="1" outlineLevel="2" x14ac:dyDescent="0.4">
      <c r="A159">
        <v>1950</v>
      </c>
      <c r="B159" s="25" t="s">
        <v>10</v>
      </c>
      <c r="C159" s="25" t="s">
        <v>246</v>
      </c>
      <c r="D159" s="25" t="s">
        <v>28</v>
      </c>
      <c r="E159" s="25" t="s">
        <v>499</v>
      </c>
      <c r="F159" s="7">
        <v>5</v>
      </c>
      <c r="G159" s="7">
        <v>120</v>
      </c>
      <c r="H159" s="25" t="s">
        <v>645</v>
      </c>
      <c r="I159" s="25" t="s">
        <v>106</v>
      </c>
      <c r="J159" s="25" t="s">
        <v>12</v>
      </c>
      <c r="K159" s="25" t="s">
        <v>503</v>
      </c>
      <c r="L159" s="7">
        <v>1</v>
      </c>
    </row>
    <row r="160" spans="1:12" outlineLevel="1" collapsed="1" x14ac:dyDescent="0.4">
      <c r="B160" s="24" t="s">
        <v>819</v>
      </c>
      <c r="C160" s="25">
        <f>SUBTOTAL(3,C159:C159)</f>
        <v>1</v>
      </c>
    </row>
    <row r="161" spans="1:12" hidden="1" outlineLevel="2" x14ac:dyDescent="0.4">
      <c r="A161">
        <v>1888</v>
      </c>
      <c r="B161" s="25" t="s">
        <v>10</v>
      </c>
      <c r="C161" s="25" t="s">
        <v>40</v>
      </c>
      <c r="D161" s="25" t="s">
        <v>15</v>
      </c>
      <c r="E161" s="25" t="s">
        <v>498</v>
      </c>
      <c r="G161" s="7">
        <v>51</v>
      </c>
      <c r="H161" s="25" t="s">
        <v>722</v>
      </c>
      <c r="I161" s="25" t="s">
        <v>39</v>
      </c>
      <c r="J161" s="25" t="s">
        <v>15</v>
      </c>
      <c r="K161" s="25" t="s">
        <v>498</v>
      </c>
    </row>
    <row r="162" spans="1:12" outlineLevel="1" collapsed="1" x14ac:dyDescent="0.4">
      <c r="B162" s="24" t="s">
        <v>820</v>
      </c>
      <c r="C162" s="25">
        <f>SUBTOTAL(3,C161:C161)</f>
        <v>1</v>
      </c>
    </row>
    <row r="163" spans="1:12" hidden="1" outlineLevel="2" x14ac:dyDescent="0.4">
      <c r="A163">
        <v>1933</v>
      </c>
      <c r="B163" s="25" t="s">
        <v>10</v>
      </c>
      <c r="C163" s="25" t="s">
        <v>186</v>
      </c>
      <c r="D163" s="25" t="s">
        <v>12</v>
      </c>
      <c r="E163" s="25" t="s">
        <v>503</v>
      </c>
      <c r="F163" s="7">
        <v>2</v>
      </c>
      <c r="G163" s="7">
        <v>120</v>
      </c>
      <c r="H163" s="25" t="s">
        <v>663</v>
      </c>
      <c r="I163" s="25" t="s">
        <v>187</v>
      </c>
      <c r="J163" s="25" t="s">
        <v>28</v>
      </c>
      <c r="K163" s="25" t="s">
        <v>499</v>
      </c>
      <c r="L163" s="7">
        <v>1</v>
      </c>
    </row>
    <row r="164" spans="1:12" outlineLevel="1" collapsed="1" x14ac:dyDescent="0.4">
      <c r="B164" s="24" t="s">
        <v>821</v>
      </c>
      <c r="C164" s="25">
        <f>SUBTOTAL(3,C163:C163)</f>
        <v>1</v>
      </c>
    </row>
    <row r="165" spans="1:12" hidden="1" outlineLevel="2" x14ac:dyDescent="0.4">
      <c r="A165">
        <v>1981</v>
      </c>
      <c r="B165" s="25" t="s">
        <v>268</v>
      </c>
      <c r="C165" s="25" t="s">
        <v>282</v>
      </c>
      <c r="D165" s="25" t="s">
        <v>28</v>
      </c>
      <c r="E165" s="25" t="s">
        <v>499</v>
      </c>
      <c r="F165" s="7">
        <v>1</v>
      </c>
      <c r="G165" s="7">
        <v>60</v>
      </c>
      <c r="H165" s="25" t="s">
        <v>589</v>
      </c>
      <c r="I165" s="25" t="s">
        <v>405</v>
      </c>
      <c r="J165" s="25" t="s">
        <v>181</v>
      </c>
      <c r="K165" s="25" t="s">
        <v>517</v>
      </c>
      <c r="L165" s="7">
        <v>2</v>
      </c>
    </row>
    <row r="166" spans="1:12" outlineLevel="1" collapsed="1" x14ac:dyDescent="0.4">
      <c r="B166" s="24" t="s">
        <v>822</v>
      </c>
      <c r="C166" s="25">
        <f>SUBTOTAL(3,C165:C165)</f>
        <v>1</v>
      </c>
    </row>
    <row r="167" spans="1:12" hidden="1" outlineLevel="2" x14ac:dyDescent="0.4">
      <c r="A167">
        <v>1984</v>
      </c>
      <c r="B167" s="25" t="s">
        <v>10</v>
      </c>
      <c r="C167" s="25" t="s">
        <v>144</v>
      </c>
      <c r="D167" s="25" t="s">
        <v>28</v>
      </c>
      <c r="E167" s="25" t="s">
        <v>499</v>
      </c>
      <c r="F167" s="7">
        <v>1</v>
      </c>
      <c r="G167" s="7">
        <v>80</v>
      </c>
      <c r="H167" s="25" t="s">
        <v>582</v>
      </c>
      <c r="I167" s="25" t="s">
        <v>146</v>
      </c>
      <c r="J167" s="25" t="s">
        <v>28</v>
      </c>
      <c r="K167" s="25" t="s">
        <v>499</v>
      </c>
      <c r="L167" s="7">
        <v>3</v>
      </c>
    </row>
    <row r="168" spans="1:12" hidden="1" outlineLevel="2" x14ac:dyDescent="0.4">
      <c r="A168">
        <v>1983</v>
      </c>
      <c r="B168" s="25" t="s">
        <v>10</v>
      </c>
      <c r="C168" s="25" t="s">
        <v>144</v>
      </c>
      <c r="D168" s="25" t="s">
        <v>28</v>
      </c>
      <c r="E168" s="25" t="s">
        <v>499</v>
      </c>
      <c r="F168" s="7">
        <v>2</v>
      </c>
      <c r="G168" s="7">
        <v>85</v>
      </c>
      <c r="H168" s="25" t="s">
        <v>584</v>
      </c>
      <c r="I168" s="25" t="s">
        <v>222</v>
      </c>
      <c r="J168" s="25" t="s">
        <v>20</v>
      </c>
      <c r="K168" s="25" t="s">
        <v>508</v>
      </c>
      <c r="L168" s="7" t="s">
        <v>122</v>
      </c>
    </row>
    <row r="169" spans="1:12" hidden="1" outlineLevel="2" x14ac:dyDescent="0.4">
      <c r="A169">
        <v>1981</v>
      </c>
      <c r="B169" s="25" t="s">
        <v>10</v>
      </c>
      <c r="C169" s="25" t="s">
        <v>144</v>
      </c>
      <c r="D169" s="25" t="s">
        <v>28</v>
      </c>
      <c r="E169" s="25" t="s">
        <v>499</v>
      </c>
      <c r="F169" s="7">
        <v>2</v>
      </c>
      <c r="G169" s="7">
        <v>202</v>
      </c>
      <c r="H169" s="25" t="s">
        <v>588</v>
      </c>
      <c r="I169" s="25" t="s">
        <v>142</v>
      </c>
      <c r="J169" s="25" t="s">
        <v>143</v>
      </c>
      <c r="K169" s="25" t="s">
        <v>516</v>
      </c>
      <c r="L169" s="7">
        <v>1</v>
      </c>
    </row>
    <row r="170" spans="1:12" outlineLevel="1" collapsed="1" x14ac:dyDescent="0.4">
      <c r="B170" s="24" t="s">
        <v>823</v>
      </c>
      <c r="C170" s="25">
        <f>SUBTOTAL(3,C167:C169)</f>
        <v>3</v>
      </c>
    </row>
    <row r="171" spans="1:12" hidden="1" outlineLevel="2" x14ac:dyDescent="0.4">
      <c r="A171">
        <v>1926</v>
      </c>
      <c r="B171" s="25" t="s">
        <v>10</v>
      </c>
      <c r="C171" s="25" t="s">
        <v>23</v>
      </c>
      <c r="D171" s="25" t="s">
        <v>24</v>
      </c>
      <c r="E171" s="25" t="s">
        <v>501</v>
      </c>
      <c r="G171" s="7">
        <v>65</v>
      </c>
      <c r="H171" s="25" t="s">
        <v>675</v>
      </c>
      <c r="I171" s="25" t="s">
        <v>29</v>
      </c>
      <c r="J171" s="25" t="s">
        <v>28</v>
      </c>
      <c r="K171" s="25" t="s">
        <v>499</v>
      </c>
    </row>
    <row r="172" spans="1:12" hidden="1" outlineLevel="2" x14ac:dyDescent="0.4">
      <c r="A172">
        <v>1924</v>
      </c>
      <c r="B172" s="25" t="s">
        <v>10</v>
      </c>
      <c r="C172" s="25" t="s">
        <v>23</v>
      </c>
      <c r="D172" s="25" t="s">
        <v>24</v>
      </c>
      <c r="E172" s="25" t="s">
        <v>501</v>
      </c>
      <c r="G172" s="7">
        <v>80</v>
      </c>
      <c r="H172" s="25" t="s">
        <v>678</v>
      </c>
      <c r="I172" s="25" t="s">
        <v>25</v>
      </c>
      <c r="J172" s="25" t="s">
        <v>24</v>
      </c>
      <c r="K172" s="25" t="s">
        <v>501</v>
      </c>
    </row>
    <row r="173" spans="1:12" outlineLevel="1" collapsed="1" x14ac:dyDescent="0.4">
      <c r="B173" s="24" t="s">
        <v>824</v>
      </c>
      <c r="C173" s="25">
        <f>SUBTOTAL(3,C171:C172)</f>
        <v>2</v>
      </c>
    </row>
    <row r="174" spans="1:12" hidden="1" outlineLevel="2" x14ac:dyDescent="0.4">
      <c r="A174">
        <v>1928</v>
      </c>
      <c r="B174" s="25" t="s">
        <v>10</v>
      </c>
      <c r="C174" s="25" t="s">
        <v>25</v>
      </c>
      <c r="D174" s="25" t="s">
        <v>24</v>
      </c>
      <c r="E174" s="25" t="s">
        <v>501</v>
      </c>
      <c r="F174" s="7">
        <v>2</v>
      </c>
      <c r="H174" s="25" t="s">
        <v>671</v>
      </c>
      <c r="I174" s="25" t="s">
        <v>123</v>
      </c>
      <c r="J174" s="25" t="s">
        <v>24</v>
      </c>
      <c r="K174" s="25" t="s">
        <v>501</v>
      </c>
      <c r="L174" s="7">
        <v>1</v>
      </c>
    </row>
    <row r="175" spans="1:12" hidden="1" outlineLevel="2" x14ac:dyDescent="0.4">
      <c r="A175">
        <v>1925</v>
      </c>
      <c r="B175" s="25" t="s">
        <v>10</v>
      </c>
      <c r="C175" s="25" t="s">
        <v>25</v>
      </c>
      <c r="D175" s="25" t="s">
        <v>24</v>
      </c>
      <c r="E175" s="25" t="s">
        <v>501</v>
      </c>
      <c r="H175" s="25" t="s">
        <v>677</v>
      </c>
      <c r="I175" s="25" t="s">
        <v>23</v>
      </c>
      <c r="J175" s="25" t="s">
        <v>24</v>
      </c>
      <c r="K175" s="25" t="s">
        <v>501</v>
      </c>
    </row>
    <row r="176" spans="1:12" outlineLevel="1" collapsed="1" x14ac:dyDescent="0.4">
      <c r="B176" s="24" t="s">
        <v>825</v>
      </c>
      <c r="C176" s="25">
        <f>SUBTOTAL(3,C174:C175)</f>
        <v>2</v>
      </c>
    </row>
    <row r="177" spans="1:12" hidden="1" outlineLevel="2" x14ac:dyDescent="0.4">
      <c r="A177">
        <v>1962</v>
      </c>
      <c r="B177" s="25" t="s">
        <v>268</v>
      </c>
      <c r="C177" s="25" t="s">
        <v>468</v>
      </c>
      <c r="D177" s="25" t="s">
        <v>28</v>
      </c>
      <c r="E177" s="25" t="s">
        <v>499</v>
      </c>
      <c r="F177" s="7">
        <v>8</v>
      </c>
      <c r="G177" s="7">
        <v>57</v>
      </c>
      <c r="H177" s="25" t="s">
        <v>593</v>
      </c>
      <c r="I177" s="25" t="s">
        <v>469</v>
      </c>
      <c r="J177" s="25" t="s">
        <v>181</v>
      </c>
      <c r="K177" s="25" t="s">
        <v>517</v>
      </c>
    </row>
    <row r="178" spans="1:12" outlineLevel="1" collapsed="1" x14ac:dyDescent="0.4">
      <c r="B178" s="24" t="s">
        <v>826</v>
      </c>
      <c r="C178" s="25">
        <f>SUBTOTAL(3,C177:C177)</f>
        <v>1</v>
      </c>
    </row>
    <row r="179" spans="1:12" hidden="1" outlineLevel="2" x14ac:dyDescent="0.4">
      <c r="A179">
        <v>1982</v>
      </c>
      <c r="B179" s="25" t="s">
        <v>10</v>
      </c>
      <c r="C179" s="25" t="s">
        <v>146</v>
      </c>
      <c r="D179" s="25" t="s">
        <v>28</v>
      </c>
      <c r="E179" s="25" t="s">
        <v>499</v>
      </c>
      <c r="F179" s="7">
        <v>2</v>
      </c>
      <c r="G179" s="7">
        <v>256</v>
      </c>
      <c r="H179" s="25" t="s">
        <v>586</v>
      </c>
      <c r="I179" s="25" t="s">
        <v>144</v>
      </c>
      <c r="J179" s="25" t="s">
        <v>28</v>
      </c>
      <c r="K179" s="25" t="s">
        <v>499</v>
      </c>
      <c r="L179" s="7">
        <v>1</v>
      </c>
    </row>
    <row r="180" spans="1:12" hidden="1" outlineLevel="2" x14ac:dyDescent="0.4">
      <c r="A180">
        <v>1974</v>
      </c>
      <c r="B180" s="25" t="s">
        <v>10</v>
      </c>
      <c r="C180" s="25" t="s">
        <v>146</v>
      </c>
      <c r="D180" s="25" t="s">
        <v>28</v>
      </c>
      <c r="E180" s="25" t="s">
        <v>499</v>
      </c>
      <c r="F180" s="7">
        <v>3</v>
      </c>
      <c r="G180" s="7">
        <v>93</v>
      </c>
      <c r="H180" s="25" t="s">
        <v>602</v>
      </c>
      <c r="I180" s="25" t="s">
        <v>101</v>
      </c>
      <c r="J180" s="25" t="s">
        <v>12</v>
      </c>
      <c r="K180" s="25" t="s">
        <v>503</v>
      </c>
      <c r="L180" s="7">
        <v>9</v>
      </c>
    </row>
    <row r="181" spans="1:12" outlineLevel="1" collapsed="1" x14ac:dyDescent="0.4">
      <c r="B181" s="24" t="s">
        <v>827</v>
      </c>
      <c r="C181" s="25">
        <f>SUBTOTAL(3,C179:C180)</f>
        <v>2</v>
      </c>
    </row>
    <row r="182" spans="1:12" hidden="1" outlineLevel="2" x14ac:dyDescent="0.4">
      <c r="A182">
        <v>1880</v>
      </c>
      <c r="B182" s="25" t="s">
        <v>10</v>
      </c>
      <c r="C182" s="25" t="s">
        <v>54</v>
      </c>
      <c r="D182" s="25" t="s">
        <v>15</v>
      </c>
      <c r="E182" s="25" t="s">
        <v>498</v>
      </c>
      <c r="H182" s="25" t="s">
        <v>732</v>
      </c>
      <c r="I182" s="25" t="s">
        <v>39</v>
      </c>
      <c r="J182" s="25" t="s">
        <v>15</v>
      </c>
      <c r="K182" s="25" t="s">
        <v>498</v>
      </c>
    </row>
    <row r="183" spans="1:12" hidden="1" outlineLevel="2" x14ac:dyDescent="0.4">
      <c r="A183">
        <v>1879</v>
      </c>
      <c r="B183" s="25" t="s">
        <v>10</v>
      </c>
      <c r="C183" s="25" t="s">
        <v>54</v>
      </c>
      <c r="D183" s="25" t="s">
        <v>15</v>
      </c>
      <c r="E183" s="25" t="s">
        <v>498</v>
      </c>
      <c r="H183" s="25" t="s">
        <v>733</v>
      </c>
      <c r="I183" s="25" t="s">
        <v>56</v>
      </c>
      <c r="J183" s="25" t="s">
        <v>15</v>
      </c>
      <c r="K183" s="25" t="s">
        <v>498</v>
      </c>
    </row>
    <row r="184" spans="1:12" outlineLevel="1" collapsed="1" x14ac:dyDescent="0.4">
      <c r="B184" s="24" t="s">
        <v>828</v>
      </c>
      <c r="C184" s="25">
        <f>SUBTOTAL(3,C182:C183)</f>
        <v>2</v>
      </c>
    </row>
    <row r="185" spans="1:12" hidden="1" outlineLevel="2" x14ac:dyDescent="0.4">
      <c r="A185">
        <v>1924</v>
      </c>
      <c r="B185" s="25" t="s">
        <v>268</v>
      </c>
      <c r="C185" s="25" t="s">
        <v>305</v>
      </c>
      <c r="D185" s="25" t="s">
        <v>15</v>
      </c>
      <c r="E185" s="25" t="s">
        <v>498</v>
      </c>
      <c r="G185" s="7">
        <v>75</v>
      </c>
      <c r="H185" s="25" t="s">
        <v>679</v>
      </c>
      <c r="I185" s="25" t="s">
        <v>365</v>
      </c>
      <c r="J185" s="25" t="s">
        <v>28</v>
      </c>
      <c r="K185" s="25" t="s">
        <v>499</v>
      </c>
    </row>
    <row r="186" spans="1:12" outlineLevel="1" collapsed="1" x14ac:dyDescent="0.4">
      <c r="B186" s="24" t="s">
        <v>829</v>
      </c>
      <c r="C186" s="25">
        <f>SUBTOTAL(3,C185:C185)</f>
        <v>1</v>
      </c>
    </row>
    <row r="187" spans="1:12" hidden="1" outlineLevel="2" x14ac:dyDescent="0.4">
      <c r="A187">
        <v>1999</v>
      </c>
      <c r="B187" s="25" t="s">
        <v>268</v>
      </c>
      <c r="C187" s="25" t="s">
        <v>456</v>
      </c>
      <c r="D187" s="25" t="s">
        <v>28</v>
      </c>
      <c r="E187" s="25" t="s">
        <v>499</v>
      </c>
      <c r="F187" s="7">
        <v>3</v>
      </c>
      <c r="G187" s="7">
        <v>75</v>
      </c>
      <c r="H187" s="25" t="s">
        <v>553</v>
      </c>
      <c r="I187" s="25" t="s">
        <v>380</v>
      </c>
      <c r="J187" s="25" t="s">
        <v>126</v>
      </c>
      <c r="K187" s="25" t="s">
        <v>495</v>
      </c>
      <c r="L187" s="7">
        <v>2</v>
      </c>
    </row>
    <row r="188" spans="1:12" outlineLevel="1" collapsed="1" x14ac:dyDescent="0.4">
      <c r="B188" s="24" t="s">
        <v>830</v>
      </c>
      <c r="C188" s="25">
        <f>SUBTOTAL(3,C187:C187)</f>
        <v>1</v>
      </c>
    </row>
    <row r="189" spans="1:12" hidden="1" outlineLevel="2" x14ac:dyDescent="0.4">
      <c r="A189">
        <v>1926</v>
      </c>
      <c r="B189" s="25" t="s">
        <v>268</v>
      </c>
      <c r="C189" s="25" t="s">
        <v>317</v>
      </c>
      <c r="D189" s="25" t="s">
        <v>15</v>
      </c>
      <c r="E189" s="25" t="s">
        <v>498</v>
      </c>
      <c r="G189" s="7">
        <v>60</v>
      </c>
      <c r="H189" s="25" t="s">
        <v>676</v>
      </c>
      <c r="I189" s="25" t="s">
        <v>319</v>
      </c>
      <c r="J189" s="25" t="s">
        <v>135</v>
      </c>
      <c r="K189" s="25" t="s">
        <v>496</v>
      </c>
    </row>
    <row r="190" spans="1:12" outlineLevel="1" collapsed="1" x14ac:dyDescent="0.4">
      <c r="B190" s="24" t="s">
        <v>831</v>
      </c>
      <c r="C190" s="25">
        <f>SUBTOTAL(3,C189:C189)</f>
        <v>1</v>
      </c>
    </row>
    <row r="191" spans="1:12" hidden="1" outlineLevel="2" x14ac:dyDescent="0.4">
      <c r="A191">
        <v>1957</v>
      </c>
      <c r="B191" s="25" t="s">
        <v>10</v>
      </c>
      <c r="C191" s="25" t="s">
        <v>98</v>
      </c>
      <c r="D191" s="25" t="s">
        <v>12</v>
      </c>
      <c r="E191" s="25" t="s">
        <v>503</v>
      </c>
      <c r="F191" s="7">
        <v>1</v>
      </c>
      <c r="G191" s="7">
        <v>57</v>
      </c>
      <c r="H191" s="25" t="s">
        <v>632</v>
      </c>
      <c r="I191" s="25" t="s">
        <v>99</v>
      </c>
      <c r="J191" s="25" t="s">
        <v>12</v>
      </c>
      <c r="K191" s="25" t="s">
        <v>503</v>
      </c>
      <c r="L191" s="7">
        <v>2</v>
      </c>
    </row>
    <row r="192" spans="1:12" hidden="1" outlineLevel="2" x14ac:dyDescent="0.4">
      <c r="A192">
        <v>1956</v>
      </c>
      <c r="B192" s="25" t="s">
        <v>10</v>
      </c>
      <c r="C192" s="25" t="s">
        <v>98</v>
      </c>
      <c r="D192" s="25" t="s">
        <v>12</v>
      </c>
      <c r="E192" s="25" t="s">
        <v>503</v>
      </c>
      <c r="F192" s="7">
        <v>1</v>
      </c>
      <c r="G192" s="7">
        <v>117</v>
      </c>
      <c r="H192" s="25" t="s">
        <v>634</v>
      </c>
      <c r="I192" s="25" t="s">
        <v>101</v>
      </c>
      <c r="J192" s="25" t="s">
        <v>12</v>
      </c>
      <c r="K192" s="25" t="s">
        <v>503</v>
      </c>
      <c r="L192" s="7">
        <v>2</v>
      </c>
    </row>
    <row r="193" spans="1:12" outlineLevel="1" collapsed="1" x14ac:dyDescent="0.4">
      <c r="B193" s="24" t="s">
        <v>832</v>
      </c>
      <c r="C193" s="25">
        <f>SUBTOTAL(3,C191:C192)</f>
        <v>2</v>
      </c>
    </row>
    <row r="194" spans="1:12" hidden="1" outlineLevel="2" x14ac:dyDescent="0.4">
      <c r="A194">
        <v>2002</v>
      </c>
      <c r="B194" s="25" t="s">
        <v>10</v>
      </c>
      <c r="C194" s="25" t="s">
        <v>110</v>
      </c>
      <c r="D194" s="25" t="s">
        <v>12</v>
      </c>
      <c r="E194" s="25" t="s">
        <v>503</v>
      </c>
      <c r="F194" s="7">
        <v>1</v>
      </c>
      <c r="G194" s="7">
        <v>116</v>
      </c>
      <c r="H194" s="25" t="s">
        <v>546</v>
      </c>
      <c r="I194" s="25" t="s">
        <v>112</v>
      </c>
      <c r="J194" s="25" t="s">
        <v>111</v>
      </c>
      <c r="K194" s="25" t="s">
        <v>514</v>
      </c>
      <c r="L194" s="7">
        <v>28</v>
      </c>
    </row>
    <row r="195" spans="1:12" outlineLevel="1" collapsed="1" x14ac:dyDescent="0.4">
      <c r="B195" s="24" t="s">
        <v>833</v>
      </c>
      <c r="C195" s="25">
        <f>SUBTOTAL(3,C194:C194)</f>
        <v>1</v>
      </c>
    </row>
    <row r="196" spans="1:12" hidden="1" outlineLevel="2" x14ac:dyDescent="0.4">
      <c r="A196">
        <v>1975</v>
      </c>
      <c r="B196" s="25" t="s">
        <v>268</v>
      </c>
      <c r="C196" s="25" t="s">
        <v>271</v>
      </c>
      <c r="D196" s="25" t="s">
        <v>28</v>
      </c>
      <c r="E196" s="25" t="s">
        <v>499</v>
      </c>
      <c r="F196" s="7">
        <v>3</v>
      </c>
      <c r="G196" s="7">
        <v>38</v>
      </c>
      <c r="H196" s="25" t="s">
        <v>601</v>
      </c>
      <c r="I196" s="25" t="s">
        <v>280</v>
      </c>
      <c r="J196" s="25" t="s">
        <v>12</v>
      </c>
      <c r="K196" s="25" t="s">
        <v>503</v>
      </c>
      <c r="L196" s="7">
        <v>4</v>
      </c>
    </row>
    <row r="197" spans="1:12" hidden="1" outlineLevel="2" x14ac:dyDescent="0.4">
      <c r="A197">
        <v>1973</v>
      </c>
      <c r="B197" s="25" t="s">
        <v>268</v>
      </c>
      <c r="C197" s="25" t="s">
        <v>271</v>
      </c>
      <c r="D197" s="25" t="s">
        <v>28</v>
      </c>
      <c r="E197" s="25" t="s">
        <v>499</v>
      </c>
      <c r="F197" s="7">
        <v>2</v>
      </c>
      <c r="G197" s="7">
        <v>53</v>
      </c>
      <c r="H197" s="25" t="s">
        <v>605</v>
      </c>
      <c r="I197" s="25" t="s">
        <v>399</v>
      </c>
      <c r="J197" s="25" t="s">
        <v>28</v>
      </c>
      <c r="K197" s="25" t="s">
        <v>499</v>
      </c>
      <c r="L197" s="7">
        <v>4</v>
      </c>
    </row>
    <row r="198" spans="1:12" hidden="1" outlineLevel="2" x14ac:dyDescent="0.4">
      <c r="A198">
        <v>1972</v>
      </c>
      <c r="B198" s="25" t="s">
        <v>268</v>
      </c>
      <c r="C198" s="25" t="s">
        <v>271</v>
      </c>
      <c r="D198" s="25" t="s">
        <v>28</v>
      </c>
      <c r="E198" s="25" t="s">
        <v>499</v>
      </c>
      <c r="F198" s="7">
        <v>2</v>
      </c>
      <c r="G198" s="7">
        <v>50</v>
      </c>
      <c r="H198" s="25" t="s">
        <v>607</v>
      </c>
      <c r="I198" s="25" t="s">
        <v>278</v>
      </c>
      <c r="J198" s="25" t="s">
        <v>12</v>
      </c>
      <c r="K198" s="25" t="s">
        <v>503</v>
      </c>
      <c r="L198" s="7">
        <v>1</v>
      </c>
    </row>
    <row r="199" spans="1:12" hidden="1" outlineLevel="2" x14ac:dyDescent="0.4">
      <c r="A199">
        <v>1968</v>
      </c>
      <c r="B199" s="25" t="s">
        <v>268</v>
      </c>
      <c r="C199" s="25" t="s">
        <v>271</v>
      </c>
      <c r="D199" s="25" t="s">
        <v>28</v>
      </c>
      <c r="E199" s="25" t="s">
        <v>499</v>
      </c>
      <c r="F199" s="7">
        <v>1</v>
      </c>
      <c r="G199" s="7">
        <v>69</v>
      </c>
      <c r="H199" s="25" t="s">
        <v>614</v>
      </c>
      <c r="I199" s="25" t="s">
        <v>437</v>
      </c>
      <c r="J199" s="25" t="s">
        <v>12</v>
      </c>
      <c r="K199" s="25" t="s">
        <v>503</v>
      </c>
      <c r="L199" s="7">
        <v>7</v>
      </c>
    </row>
    <row r="200" spans="1:12" hidden="1" outlineLevel="2" x14ac:dyDescent="0.4">
      <c r="A200">
        <v>1967</v>
      </c>
      <c r="B200" s="25" t="s">
        <v>268</v>
      </c>
      <c r="C200" s="25" t="s">
        <v>271</v>
      </c>
      <c r="D200" s="25" t="s">
        <v>28</v>
      </c>
      <c r="E200" s="25" t="s">
        <v>499</v>
      </c>
      <c r="F200" s="7">
        <v>1</v>
      </c>
      <c r="G200" s="7">
        <v>60</v>
      </c>
      <c r="H200" s="25" t="s">
        <v>616</v>
      </c>
      <c r="I200" s="25" t="s">
        <v>372</v>
      </c>
      <c r="J200" s="25" t="s">
        <v>15</v>
      </c>
      <c r="K200" s="25" t="s">
        <v>498</v>
      </c>
      <c r="L200" s="7">
        <v>3</v>
      </c>
    </row>
    <row r="201" spans="1:12" hidden="1" outlineLevel="2" x14ac:dyDescent="0.4">
      <c r="A201">
        <v>1966</v>
      </c>
      <c r="B201" s="25" t="s">
        <v>268</v>
      </c>
      <c r="C201" s="25" t="s">
        <v>271</v>
      </c>
      <c r="D201" s="25" t="s">
        <v>28</v>
      </c>
      <c r="E201" s="25" t="s">
        <v>499</v>
      </c>
      <c r="F201" s="7">
        <v>4</v>
      </c>
      <c r="G201" s="7">
        <v>68</v>
      </c>
      <c r="H201" s="25" t="s">
        <v>618</v>
      </c>
      <c r="I201" s="25" t="s">
        <v>277</v>
      </c>
      <c r="J201" s="25" t="s">
        <v>276</v>
      </c>
      <c r="K201" s="25" t="s">
        <v>507</v>
      </c>
      <c r="L201" s="7">
        <v>2</v>
      </c>
    </row>
    <row r="202" spans="1:12" outlineLevel="1" collapsed="1" x14ac:dyDescent="0.4">
      <c r="B202" s="24" t="s">
        <v>834</v>
      </c>
      <c r="C202" s="25">
        <f>SUBTOTAL(3,C196:C201)</f>
        <v>6</v>
      </c>
    </row>
    <row r="203" spans="1:12" hidden="1" outlineLevel="2" x14ac:dyDescent="0.4">
      <c r="A203">
        <v>2013</v>
      </c>
      <c r="B203" s="25" t="s">
        <v>268</v>
      </c>
      <c r="C203" s="25" t="s">
        <v>314</v>
      </c>
      <c r="D203" s="25" t="s">
        <v>24</v>
      </c>
      <c r="E203" s="25" t="s">
        <v>501</v>
      </c>
      <c r="F203" s="7">
        <v>15</v>
      </c>
      <c r="G203" s="7">
        <v>81</v>
      </c>
      <c r="H203" s="25" t="s">
        <v>315</v>
      </c>
      <c r="I203" s="25" t="s">
        <v>316</v>
      </c>
      <c r="J203" s="25" t="s">
        <v>126</v>
      </c>
      <c r="K203" s="25" t="s">
        <v>495</v>
      </c>
      <c r="L203" s="7">
        <v>23</v>
      </c>
    </row>
    <row r="204" spans="1:12" outlineLevel="1" collapsed="1" x14ac:dyDescent="0.4">
      <c r="B204" s="24" t="s">
        <v>835</v>
      </c>
      <c r="C204" s="25">
        <f>SUBTOTAL(3,C203:C203)</f>
        <v>1</v>
      </c>
    </row>
    <row r="205" spans="1:12" hidden="1" outlineLevel="2" x14ac:dyDescent="0.4">
      <c r="A205">
        <v>1997</v>
      </c>
      <c r="B205" s="25" t="s">
        <v>268</v>
      </c>
      <c r="C205" s="25" t="s">
        <v>396</v>
      </c>
      <c r="D205" s="25" t="s">
        <v>130</v>
      </c>
      <c r="E205" s="25" t="s">
        <v>497</v>
      </c>
      <c r="F205" s="7">
        <v>1</v>
      </c>
      <c r="G205" s="7">
        <v>110</v>
      </c>
      <c r="H205" s="25" t="s">
        <v>556</v>
      </c>
      <c r="I205" s="25" t="s">
        <v>288</v>
      </c>
      <c r="J205" s="25" t="s">
        <v>107</v>
      </c>
      <c r="K205" s="25" t="s">
        <v>500</v>
      </c>
      <c r="L205" s="7">
        <v>3</v>
      </c>
    </row>
    <row r="206" spans="1:12" outlineLevel="1" collapsed="1" x14ac:dyDescent="0.4">
      <c r="B206" s="24" t="s">
        <v>836</v>
      </c>
      <c r="C206" s="25">
        <f>SUBTOTAL(3,C205:C205)</f>
        <v>1</v>
      </c>
    </row>
    <row r="207" spans="1:12" hidden="1" outlineLevel="2" x14ac:dyDescent="0.4">
      <c r="A207">
        <v>1990</v>
      </c>
      <c r="B207" s="25" t="s">
        <v>268</v>
      </c>
      <c r="C207" s="25" t="s">
        <v>300</v>
      </c>
      <c r="D207" s="25" t="s">
        <v>28</v>
      </c>
      <c r="E207" s="25" t="s">
        <v>499</v>
      </c>
      <c r="F207" s="7">
        <v>2</v>
      </c>
      <c r="G207" s="7">
        <v>75</v>
      </c>
      <c r="H207" s="25" t="s">
        <v>571</v>
      </c>
      <c r="I207" s="25" t="s">
        <v>452</v>
      </c>
      <c r="J207" s="25" t="s">
        <v>28</v>
      </c>
      <c r="K207" s="25" t="s">
        <v>499</v>
      </c>
      <c r="L207" s="7">
        <v>5</v>
      </c>
    </row>
    <row r="208" spans="1:12" hidden="1" outlineLevel="2" x14ac:dyDescent="0.4">
      <c r="A208">
        <v>1987</v>
      </c>
      <c r="B208" s="25" t="s">
        <v>268</v>
      </c>
      <c r="C208" s="25" t="s">
        <v>300</v>
      </c>
      <c r="D208" s="25" t="s">
        <v>28</v>
      </c>
      <c r="E208" s="25" t="s">
        <v>499</v>
      </c>
      <c r="F208" s="7">
        <v>1</v>
      </c>
      <c r="G208" s="7">
        <v>69</v>
      </c>
      <c r="H208" s="25" t="s">
        <v>577</v>
      </c>
      <c r="I208" s="25" t="s">
        <v>380</v>
      </c>
      <c r="J208" s="25" t="s">
        <v>126</v>
      </c>
      <c r="K208" s="25" t="s">
        <v>495</v>
      </c>
      <c r="L208" s="7">
        <v>2</v>
      </c>
    </row>
    <row r="209" spans="1:12" hidden="1" outlineLevel="2" x14ac:dyDescent="0.4">
      <c r="A209">
        <v>1986</v>
      </c>
      <c r="B209" s="25" t="s">
        <v>268</v>
      </c>
      <c r="C209" s="25" t="s">
        <v>300</v>
      </c>
      <c r="D209" s="25" t="s">
        <v>28</v>
      </c>
      <c r="E209" s="25" t="s">
        <v>499</v>
      </c>
      <c r="F209" s="7">
        <v>1</v>
      </c>
      <c r="G209" s="7">
        <v>72</v>
      </c>
      <c r="H209" s="25" t="s">
        <v>579</v>
      </c>
      <c r="I209" s="25" t="s">
        <v>405</v>
      </c>
      <c r="J209" s="25" t="s">
        <v>181</v>
      </c>
      <c r="K209" s="25" t="s">
        <v>517</v>
      </c>
      <c r="L209" s="7">
        <v>3</v>
      </c>
    </row>
    <row r="210" spans="1:12" hidden="1" outlineLevel="2" x14ac:dyDescent="0.4">
      <c r="A210">
        <v>1985</v>
      </c>
      <c r="B210" s="25" t="s">
        <v>268</v>
      </c>
      <c r="C210" s="25" t="s">
        <v>300</v>
      </c>
      <c r="D210" s="25" t="s">
        <v>28</v>
      </c>
      <c r="E210" s="25" t="s">
        <v>499</v>
      </c>
      <c r="F210" s="7">
        <v>1</v>
      </c>
      <c r="G210" s="7">
        <v>107</v>
      </c>
      <c r="H210" s="25" t="s">
        <v>581</v>
      </c>
      <c r="I210" s="25" t="s">
        <v>282</v>
      </c>
      <c r="J210" s="25" t="s">
        <v>28</v>
      </c>
      <c r="K210" s="25" t="s">
        <v>499</v>
      </c>
      <c r="L210" s="7">
        <v>1</v>
      </c>
    </row>
    <row r="211" spans="1:12" hidden="1" outlineLevel="2" x14ac:dyDescent="0.4">
      <c r="A211">
        <v>1984</v>
      </c>
      <c r="B211" s="25" t="s">
        <v>268</v>
      </c>
      <c r="C211" s="25" t="s">
        <v>300</v>
      </c>
      <c r="D211" s="25" t="s">
        <v>28</v>
      </c>
      <c r="E211" s="25" t="s">
        <v>499</v>
      </c>
      <c r="F211" s="7">
        <v>1</v>
      </c>
      <c r="G211" s="7">
        <v>84</v>
      </c>
      <c r="H211" s="25" t="s">
        <v>583</v>
      </c>
      <c r="I211" s="25" t="s">
        <v>282</v>
      </c>
      <c r="J211" s="25" t="s">
        <v>28</v>
      </c>
      <c r="K211" s="25" t="s">
        <v>499</v>
      </c>
      <c r="L211" s="7">
        <v>2</v>
      </c>
    </row>
    <row r="212" spans="1:12" hidden="1" outlineLevel="2" x14ac:dyDescent="0.4">
      <c r="A212">
        <v>1983</v>
      </c>
      <c r="B212" s="25" t="s">
        <v>268</v>
      </c>
      <c r="C212" s="25" t="s">
        <v>300</v>
      </c>
      <c r="D212" s="25" t="s">
        <v>28</v>
      </c>
      <c r="E212" s="25" t="s">
        <v>499</v>
      </c>
      <c r="F212" s="7">
        <v>1</v>
      </c>
      <c r="G212" s="7">
        <v>54</v>
      </c>
      <c r="H212" s="25" t="s">
        <v>585</v>
      </c>
      <c r="I212" s="25" t="s">
        <v>422</v>
      </c>
      <c r="J212" s="25" t="s">
        <v>28</v>
      </c>
      <c r="K212" s="25" t="s">
        <v>499</v>
      </c>
      <c r="L212" s="7">
        <v>3</v>
      </c>
    </row>
    <row r="213" spans="1:12" hidden="1" outlineLevel="2" x14ac:dyDescent="0.4">
      <c r="A213">
        <v>1982</v>
      </c>
      <c r="B213" s="25" t="s">
        <v>268</v>
      </c>
      <c r="C213" s="25" t="s">
        <v>300</v>
      </c>
      <c r="D213" s="25" t="s">
        <v>28</v>
      </c>
      <c r="E213" s="25" t="s">
        <v>499</v>
      </c>
      <c r="F213" s="7">
        <v>1</v>
      </c>
      <c r="G213" s="7">
        <v>87</v>
      </c>
      <c r="H213" s="25" t="s">
        <v>587</v>
      </c>
      <c r="I213" s="25" t="s">
        <v>282</v>
      </c>
      <c r="J213" s="25" t="s">
        <v>28</v>
      </c>
      <c r="K213" s="25" t="s">
        <v>499</v>
      </c>
      <c r="L213" s="7">
        <v>2</v>
      </c>
    </row>
    <row r="214" spans="1:12" hidden="1" outlineLevel="2" x14ac:dyDescent="0.4">
      <c r="A214">
        <v>1979</v>
      </c>
      <c r="B214" s="25" t="s">
        <v>268</v>
      </c>
      <c r="C214" s="25" t="s">
        <v>300</v>
      </c>
      <c r="D214" s="25" t="s">
        <v>28</v>
      </c>
      <c r="E214" s="25" t="s">
        <v>499</v>
      </c>
      <c r="F214" s="7">
        <v>1</v>
      </c>
      <c r="G214" s="7">
        <v>60</v>
      </c>
      <c r="H214" s="25" t="s">
        <v>593</v>
      </c>
      <c r="I214" s="25" t="s">
        <v>282</v>
      </c>
      <c r="J214" s="25" t="s">
        <v>28</v>
      </c>
      <c r="K214" s="25" t="s">
        <v>499</v>
      </c>
      <c r="L214" s="7">
        <v>2</v>
      </c>
    </row>
    <row r="215" spans="1:12" hidden="1" outlineLevel="2" x14ac:dyDescent="0.4">
      <c r="A215">
        <v>1978</v>
      </c>
      <c r="B215" s="25" t="s">
        <v>268</v>
      </c>
      <c r="C215" s="25" t="s">
        <v>300</v>
      </c>
      <c r="D215" s="25" t="s">
        <v>28</v>
      </c>
      <c r="E215" s="25" t="s">
        <v>499</v>
      </c>
      <c r="F215" s="7">
        <v>2</v>
      </c>
      <c r="G215" s="7">
        <v>102</v>
      </c>
      <c r="H215" s="25" t="s">
        <v>595</v>
      </c>
      <c r="I215" s="25" t="s">
        <v>399</v>
      </c>
      <c r="J215" s="25" t="s">
        <v>28</v>
      </c>
      <c r="K215" s="25" t="s">
        <v>499</v>
      </c>
      <c r="L215" s="7">
        <v>1</v>
      </c>
    </row>
    <row r="216" spans="1:12" outlineLevel="1" collapsed="1" x14ac:dyDescent="0.4">
      <c r="B216" s="24" t="s">
        <v>837</v>
      </c>
      <c r="C216" s="25">
        <f>SUBTOTAL(3,C207:C215)</f>
        <v>9</v>
      </c>
    </row>
    <row r="217" spans="1:12" hidden="1" outlineLevel="2" x14ac:dyDescent="0.4">
      <c r="A217">
        <v>2004</v>
      </c>
      <c r="B217" s="25" t="s">
        <v>268</v>
      </c>
      <c r="C217" s="25" t="s">
        <v>297</v>
      </c>
      <c r="D217" s="25" t="s">
        <v>296</v>
      </c>
      <c r="E217" s="25" t="s">
        <v>502</v>
      </c>
      <c r="F217" s="7">
        <v>13</v>
      </c>
      <c r="G217" s="7">
        <v>74</v>
      </c>
      <c r="H217" s="25" t="s">
        <v>542</v>
      </c>
      <c r="I217" s="25" t="s">
        <v>416</v>
      </c>
      <c r="J217" s="25" t="s">
        <v>28</v>
      </c>
      <c r="K217" s="25" t="s">
        <v>499</v>
      </c>
      <c r="L217" s="7">
        <v>1</v>
      </c>
    </row>
    <row r="218" spans="1:12" outlineLevel="1" collapsed="1" x14ac:dyDescent="0.4">
      <c r="B218" s="24" t="s">
        <v>838</v>
      </c>
      <c r="C218" s="25">
        <f>SUBTOTAL(3,C217:C217)</f>
        <v>1</v>
      </c>
    </row>
    <row r="219" spans="1:12" hidden="1" outlineLevel="2" x14ac:dyDescent="0.4">
      <c r="A219">
        <v>1965</v>
      </c>
      <c r="B219" s="25" t="s">
        <v>268</v>
      </c>
      <c r="C219" s="25" t="s">
        <v>272</v>
      </c>
      <c r="D219" s="25" t="s">
        <v>12</v>
      </c>
      <c r="E219" s="25" t="s">
        <v>503</v>
      </c>
      <c r="F219" s="7">
        <v>2</v>
      </c>
      <c r="G219" s="7">
        <v>56</v>
      </c>
      <c r="H219" s="25" t="s">
        <v>620</v>
      </c>
      <c r="I219" s="25" t="s">
        <v>277</v>
      </c>
      <c r="J219" s="25" t="s">
        <v>276</v>
      </c>
      <c r="K219" s="25" t="s">
        <v>507</v>
      </c>
      <c r="L219" s="7">
        <v>1</v>
      </c>
    </row>
    <row r="220" spans="1:12" hidden="1" outlineLevel="2" x14ac:dyDescent="0.4">
      <c r="A220">
        <v>1963</v>
      </c>
      <c r="B220" s="25" t="s">
        <v>268</v>
      </c>
      <c r="C220" s="25" t="s">
        <v>272</v>
      </c>
      <c r="D220" s="25" t="s">
        <v>12</v>
      </c>
      <c r="E220" s="25" t="s">
        <v>503</v>
      </c>
      <c r="F220" s="7">
        <v>1</v>
      </c>
      <c r="G220" s="7">
        <v>51</v>
      </c>
      <c r="H220" s="25" t="s">
        <v>616</v>
      </c>
      <c r="I220" s="25" t="s">
        <v>274</v>
      </c>
      <c r="J220" s="25" t="s">
        <v>28</v>
      </c>
      <c r="K220" s="25" t="s">
        <v>499</v>
      </c>
    </row>
    <row r="221" spans="1:12" outlineLevel="1" collapsed="1" x14ac:dyDescent="0.4">
      <c r="B221" s="24" t="s">
        <v>839</v>
      </c>
      <c r="C221" s="25">
        <f>SUBTOTAL(3,C219:C220)</f>
        <v>2</v>
      </c>
    </row>
    <row r="222" spans="1:12" hidden="1" outlineLevel="2" x14ac:dyDescent="0.4">
      <c r="A222">
        <v>1955</v>
      </c>
      <c r="B222" s="25" t="s">
        <v>10</v>
      </c>
      <c r="C222" s="25" t="s">
        <v>174</v>
      </c>
      <c r="D222" s="25" t="s">
        <v>28</v>
      </c>
      <c r="E222" s="25" t="s">
        <v>499</v>
      </c>
      <c r="F222" s="7">
        <v>1</v>
      </c>
      <c r="G222" s="7">
        <v>73</v>
      </c>
      <c r="H222" s="25" t="s">
        <v>636</v>
      </c>
      <c r="I222" s="25" t="s">
        <v>176</v>
      </c>
      <c r="J222" s="25" t="s">
        <v>175</v>
      </c>
      <c r="K222" s="25" t="s">
        <v>519</v>
      </c>
      <c r="L222" s="7" t="s">
        <v>122</v>
      </c>
    </row>
    <row r="223" spans="1:12" outlineLevel="1" collapsed="1" x14ac:dyDescent="0.4">
      <c r="B223" s="24" t="s">
        <v>840</v>
      </c>
      <c r="C223" s="25">
        <f>SUBTOTAL(3,C222:C222)</f>
        <v>1</v>
      </c>
    </row>
    <row r="224" spans="1:12" hidden="1" outlineLevel="2" x14ac:dyDescent="0.4">
      <c r="A224">
        <v>1954</v>
      </c>
      <c r="B224" s="25" t="s">
        <v>268</v>
      </c>
      <c r="C224" s="25" t="s">
        <v>413</v>
      </c>
      <c r="D224" s="25" t="s">
        <v>28</v>
      </c>
      <c r="E224" s="25" t="s">
        <v>499</v>
      </c>
      <c r="F224" s="7">
        <v>1</v>
      </c>
      <c r="G224" s="7">
        <v>50</v>
      </c>
      <c r="H224" s="25" t="s">
        <v>639</v>
      </c>
      <c r="I224" s="25" t="s">
        <v>406</v>
      </c>
      <c r="J224" s="25" t="s">
        <v>28</v>
      </c>
      <c r="K224" s="25" t="s">
        <v>499</v>
      </c>
      <c r="L224" s="7">
        <v>4</v>
      </c>
    </row>
    <row r="225" spans="1:12" hidden="1" outlineLevel="2" x14ac:dyDescent="0.4">
      <c r="A225">
        <v>1953</v>
      </c>
      <c r="B225" s="25" t="s">
        <v>268</v>
      </c>
      <c r="C225" s="25" t="s">
        <v>413</v>
      </c>
      <c r="D225" s="25" t="s">
        <v>28</v>
      </c>
      <c r="E225" s="25" t="s">
        <v>499</v>
      </c>
      <c r="F225" s="7">
        <v>1</v>
      </c>
      <c r="G225" s="7">
        <v>67</v>
      </c>
      <c r="H225" s="25" t="s">
        <v>641</v>
      </c>
      <c r="I225" s="25" t="s">
        <v>415</v>
      </c>
      <c r="J225" s="25" t="s">
        <v>28</v>
      </c>
      <c r="K225" s="25" t="s">
        <v>499</v>
      </c>
      <c r="L225" s="7">
        <v>2</v>
      </c>
    </row>
    <row r="226" spans="1:12" hidden="1" outlineLevel="2" x14ac:dyDescent="0.4">
      <c r="A226">
        <v>1952</v>
      </c>
      <c r="B226" s="25" t="s">
        <v>268</v>
      </c>
      <c r="C226" s="25" t="s">
        <v>413</v>
      </c>
      <c r="D226" s="25" t="s">
        <v>28</v>
      </c>
      <c r="E226" s="25" t="s">
        <v>499</v>
      </c>
      <c r="F226" s="7">
        <v>2</v>
      </c>
      <c r="G226" s="7">
        <v>65</v>
      </c>
      <c r="H226" s="25" t="s">
        <v>577</v>
      </c>
      <c r="I226" s="25" t="s">
        <v>406</v>
      </c>
      <c r="J226" s="25" t="s">
        <v>28</v>
      </c>
      <c r="K226" s="25" t="s">
        <v>499</v>
      </c>
      <c r="L226" s="7">
        <v>4</v>
      </c>
    </row>
    <row r="227" spans="1:12" outlineLevel="1" collapsed="1" x14ac:dyDescent="0.4">
      <c r="B227" s="24" t="s">
        <v>841</v>
      </c>
      <c r="C227" s="25">
        <f>SUBTOTAL(3,C224:C226)</f>
        <v>3</v>
      </c>
    </row>
    <row r="228" spans="1:12" hidden="1" outlineLevel="2" x14ac:dyDescent="0.4">
      <c r="A228">
        <v>1991</v>
      </c>
      <c r="B228" s="25" t="s">
        <v>10</v>
      </c>
      <c r="C228" s="25" t="s">
        <v>248</v>
      </c>
      <c r="D228" s="25" t="s">
        <v>126</v>
      </c>
      <c r="E228" s="25" t="s">
        <v>495</v>
      </c>
      <c r="F228" s="7">
        <v>6</v>
      </c>
      <c r="G228" s="7">
        <v>153</v>
      </c>
      <c r="H228" s="25" t="s">
        <v>568</v>
      </c>
      <c r="I228" s="25" t="s">
        <v>213</v>
      </c>
      <c r="J228" s="25" t="s">
        <v>126</v>
      </c>
      <c r="K228" s="25" t="s">
        <v>495</v>
      </c>
      <c r="L228" s="7">
        <v>2</v>
      </c>
    </row>
    <row r="229" spans="1:12" outlineLevel="1" collapsed="1" x14ac:dyDescent="0.4">
      <c r="B229" s="24" t="s">
        <v>842</v>
      </c>
      <c r="C229" s="25">
        <f>SUBTOTAL(3,C228:C228)</f>
        <v>1</v>
      </c>
    </row>
    <row r="230" spans="1:12" hidden="1" outlineLevel="2" x14ac:dyDescent="0.4">
      <c r="A230">
        <v>1947</v>
      </c>
      <c r="B230" s="25" t="s">
        <v>268</v>
      </c>
      <c r="C230" s="25" t="s">
        <v>423</v>
      </c>
      <c r="D230" s="25" t="s">
        <v>28</v>
      </c>
      <c r="E230" s="25" t="s">
        <v>499</v>
      </c>
      <c r="F230" s="7">
        <v>1</v>
      </c>
      <c r="H230" s="25" t="s">
        <v>651</v>
      </c>
      <c r="I230" s="25" t="s">
        <v>415</v>
      </c>
      <c r="J230" s="25" t="s">
        <v>28</v>
      </c>
      <c r="K230" s="25" t="s">
        <v>499</v>
      </c>
      <c r="L230" s="7">
        <v>3</v>
      </c>
    </row>
    <row r="231" spans="1:12" outlineLevel="1" collapsed="1" x14ac:dyDescent="0.4">
      <c r="B231" s="24" t="s">
        <v>843</v>
      </c>
      <c r="C231" s="25">
        <f>SUBTOTAL(3,C230:C230)</f>
        <v>1</v>
      </c>
    </row>
    <row r="232" spans="1:12" hidden="1" outlineLevel="2" x14ac:dyDescent="0.4">
      <c r="A232">
        <v>1902</v>
      </c>
      <c r="B232" s="25" t="s">
        <v>268</v>
      </c>
      <c r="C232" s="25" t="s">
        <v>350</v>
      </c>
      <c r="D232" s="25" t="s">
        <v>15</v>
      </c>
      <c r="E232" s="25" t="s">
        <v>498</v>
      </c>
      <c r="H232" s="25" t="s">
        <v>702</v>
      </c>
      <c r="I232" s="25" t="s">
        <v>320</v>
      </c>
      <c r="J232" s="25" t="s">
        <v>15</v>
      </c>
      <c r="K232" s="25" t="s">
        <v>498</v>
      </c>
    </row>
    <row r="233" spans="1:12" outlineLevel="1" collapsed="1" x14ac:dyDescent="0.4">
      <c r="B233" s="24" t="s">
        <v>844</v>
      </c>
      <c r="C233" s="25">
        <f>SUBTOTAL(3,C232:C232)</f>
        <v>1</v>
      </c>
    </row>
    <row r="234" spans="1:12" hidden="1" outlineLevel="2" x14ac:dyDescent="0.4">
      <c r="A234">
        <v>1964</v>
      </c>
      <c r="B234" s="25" t="s">
        <v>268</v>
      </c>
      <c r="C234" s="25" t="s">
        <v>277</v>
      </c>
      <c r="D234" s="25" t="s">
        <v>276</v>
      </c>
      <c r="E234" s="25" t="s">
        <v>507</v>
      </c>
      <c r="F234" s="7">
        <v>2</v>
      </c>
      <c r="G234" s="7">
        <v>90</v>
      </c>
      <c r="H234" s="25" t="s">
        <v>622</v>
      </c>
      <c r="I234" s="25" t="s">
        <v>272</v>
      </c>
      <c r="J234" s="25" t="s">
        <v>12</v>
      </c>
      <c r="K234" s="25" t="s">
        <v>503</v>
      </c>
      <c r="L234" s="7">
        <v>1</v>
      </c>
    </row>
    <row r="235" spans="1:12" hidden="1" outlineLevel="2" x14ac:dyDescent="0.4">
      <c r="A235">
        <v>1960</v>
      </c>
      <c r="B235" s="25" t="s">
        <v>268</v>
      </c>
      <c r="C235" s="25" t="s">
        <v>277</v>
      </c>
      <c r="D235" s="25" t="s">
        <v>276</v>
      </c>
      <c r="E235" s="25" t="s">
        <v>507</v>
      </c>
      <c r="F235" s="7">
        <v>1</v>
      </c>
      <c r="G235" s="7">
        <v>59</v>
      </c>
      <c r="H235" s="25" t="s">
        <v>627</v>
      </c>
      <c r="I235" s="25" t="s">
        <v>284</v>
      </c>
      <c r="J235" s="25" t="s">
        <v>90</v>
      </c>
      <c r="K235" s="25" t="s">
        <v>509</v>
      </c>
      <c r="L235" s="7">
        <v>8</v>
      </c>
    </row>
    <row r="236" spans="1:12" hidden="1" outlineLevel="2" x14ac:dyDescent="0.4">
      <c r="A236">
        <v>1959</v>
      </c>
      <c r="B236" s="25" t="s">
        <v>268</v>
      </c>
      <c r="C236" s="25" t="s">
        <v>277</v>
      </c>
      <c r="D236" s="25" t="s">
        <v>276</v>
      </c>
      <c r="E236" s="25" t="s">
        <v>507</v>
      </c>
      <c r="F236" s="7">
        <v>6</v>
      </c>
      <c r="G236" s="7">
        <v>43</v>
      </c>
      <c r="H236" s="25" t="s">
        <v>628</v>
      </c>
      <c r="I236" s="25" t="s">
        <v>287</v>
      </c>
      <c r="J236" s="25" t="s">
        <v>28</v>
      </c>
      <c r="K236" s="25" t="s">
        <v>499</v>
      </c>
      <c r="L236" s="7">
        <v>4</v>
      </c>
    </row>
    <row r="237" spans="1:12" outlineLevel="1" collapsed="1" x14ac:dyDescent="0.4">
      <c r="B237" s="24" t="s">
        <v>845</v>
      </c>
      <c r="C237" s="25">
        <f>SUBTOTAL(3,C234:C236)</f>
        <v>3</v>
      </c>
    </row>
    <row r="238" spans="1:12" hidden="1" outlineLevel="2" x14ac:dyDescent="0.4">
      <c r="A238">
        <v>1885</v>
      </c>
      <c r="B238" s="25" t="s">
        <v>268</v>
      </c>
      <c r="C238" s="25" t="s">
        <v>352</v>
      </c>
      <c r="D238" s="25" t="s">
        <v>15</v>
      </c>
      <c r="E238" s="25" t="s">
        <v>498</v>
      </c>
      <c r="H238" s="25" t="s">
        <v>726</v>
      </c>
      <c r="I238" s="25" t="s">
        <v>354</v>
      </c>
      <c r="J238" s="25" t="s">
        <v>15</v>
      </c>
      <c r="K238" s="25" t="s">
        <v>498</v>
      </c>
    </row>
    <row r="239" spans="1:12" hidden="1" outlineLevel="2" x14ac:dyDescent="0.4">
      <c r="A239">
        <v>1884</v>
      </c>
      <c r="B239" s="25" t="s">
        <v>268</v>
      </c>
      <c r="C239" s="25" t="s">
        <v>352</v>
      </c>
      <c r="D239" s="25" t="s">
        <v>15</v>
      </c>
      <c r="E239" s="25" t="s">
        <v>498</v>
      </c>
      <c r="H239" s="25" t="s">
        <v>728</v>
      </c>
      <c r="I239" s="25" t="s">
        <v>356</v>
      </c>
      <c r="J239" s="25" t="s">
        <v>15</v>
      </c>
      <c r="K239" s="25" t="s">
        <v>498</v>
      </c>
    </row>
    <row r="240" spans="1:12" outlineLevel="1" collapsed="1" x14ac:dyDescent="0.4">
      <c r="B240" s="24" t="s">
        <v>846</v>
      </c>
      <c r="C240" s="25">
        <f>SUBTOTAL(3,C238:C239)</f>
        <v>2</v>
      </c>
    </row>
    <row r="241" spans="1:12" hidden="1" outlineLevel="2" x14ac:dyDescent="0.4">
      <c r="A241">
        <v>1907</v>
      </c>
      <c r="B241" s="25" t="s">
        <v>268</v>
      </c>
      <c r="C241" s="25" t="s">
        <v>364</v>
      </c>
      <c r="D241" s="25" t="s">
        <v>28</v>
      </c>
      <c r="E241" s="25" t="s">
        <v>499</v>
      </c>
      <c r="H241" s="25" t="s">
        <v>542</v>
      </c>
      <c r="I241" s="25" t="s">
        <v>307</v>
      </c>
      <c r="J241" s="25" t="s">
        <v>15</v>
      </c>
      <c r="K241" s="25" t="s">
        <v>498</v>
      </c>
    </row>
    <row r="242" spans="1:12" hidden="1" outlineLevel="2" x14ac:dyDescent="0.4">
      <c r="A242">
        <v>1905</v>
      </c>
      <c r="B242" s="25" t="s">
        <v>268</v>
      </c>
      <c r="C242" s="25" t="s">
        <v>364</v>
      </c>
      <c r="D242" s="25" t="s">
        <v>28</v>
      </c>
      <c r="E242" s="25" t="s">
        <v>499</v>
      </c>
      <c r="H242" s="25" t="s">
        <v>529</v>
      </c>
      <c r="I242" s="25" t="s">
        <v>337</v>
      </c>
      <c r="J242" s="25" t="s">
        <v>15</v>
      </c>
      <c r="K242" s="25" t="s">
        <v>498</v>
      </c>
    </row>
    <row r="243" spans="1:12" outlineLevel="1" collapsed="1" x14ac:dyDescent="0.4">
      <c r="B243" s="24" t="s">
        <v>847</v>
      </c>
      <c r="C243" s="25">
        <f>SUBTOTAL(3,C241:C242)</f>
        <v>2</v>
      </c>
    </row>
    <row r="244" spans="1:12" hidden="1" outlineLevel="2" x14ac:dyDescent="0.4">
      <c r="A244">
        <v>1966</v>
      </c>
      <c r="B244" s="25" t="s">
        <v>10</v>
      </c>
      <c r="C244" s="25" t="s">
        <v>234</v>
      </c>
      <c r="D244" s="25" t="s">
        <v>135</v>
      </c>
      <c r="E244" s="25" t="s">
        <v>496</v>
      </c>
      <c r="F244" s="7">
        <v>4</v>
      </c>
      <c r="G244" s="7">
        <v>104</v>
      </c>
      <c r="H244" s="25" t="s">
        <v>617</v>
      </c>
      <c r="I244" s="25" t="s">
        <v>235</v>
      </c>
      <c r="J244" s="25" t="s">
        <v>28</v>
      </c>
      <c r="K244" s="25" t="s">
        <v>499</v>
      </c>
      <c r="L244" s="7">
        <v>6</v>
      </c>
    </row>
    <row r="245" spans="1:12" outlineLevel="1" collapsed="1" x14ac:dyDescent="0.4">
      <c r="B245" s="24" t="s">
        <v>848</v>
      </c>
      <c r="C245" s="25">
        <f>SUBTOTAL(3,C244:C244)</f>
        <v>1</v>
      </c>
    </row>
    <row r="246" spans="1:12" hidden="1" outlineLevel="2" x14ac:dyDescent="0.4">
      <c r="A246" s="22">
        <v>2021</v>
      </c>
      <c r="B246" s="25" t="s">
        <v>10</v>
      </c>
      <c r="C246" s="25" t="s">
        <v>129</v>
      </c>
      <c r="D246" s="25" t="s">
        <v>131</v>
      </c>
      <c r="E246" s="25" t="s">
        <v>494</v>
      </c>
      <c r="F246" s="7">
        <v>1</v>
      </c>
      <c r="G246" s="7">
        <v>204</v>
      </c>
      <c r="H246" s="25" t="s">
        <v>756</v>
      </c>
      <c r="I246" s="25" t="s">
        <v>757</v>
      </c>
      <c r="J246" s="25" t="s">
        <v>764</v>
      </c>
      <c r="K246" s="25" t="s">
        <v>758</v>
      </c>
      <c r="L246" s="7">
        <v>7</v>
      </c>
    </row>
    <row r="247" spans="1:12" hidden="1" outlineLevel="2" x14ac:dyDescent="0.4">
      <c r="A247">
        <v>2019</v>
      </c>
      <c r="B247" s="25" t="s">
        <v>10</v>
      </c>
      <c r="C247" s="25" t="s">
        <v>129</v>
      </c>
      <c r="D247" s="25" t="s">
        <v>131</v>
      </c>
      <c r="E247" s="25" t="s">
        <v>494</v>
      </c>
      <c r="F247" s="7">
        <v>1</v>
      </c>
      <c r="G247" s="7">
        <v>297</v>
      </c>
      <c r="H247" s="25" t="s">
        <v>470</v>
      </c>
      <c r="I247" s="25" t="s">
        <v>132</v>
      </c>
      <c r="J247" s="25" t="s">
        <v>130</v>
      </c>
      <c r="K247" s="25" t="s">
        <v>497</v>
      </c>
      <c r="L247" s="7">
        <v>2</v>
      </c>
    </row>
    <row r="248" spans="1:12" hidden="1" outlineLevel="2" x14ac:dyDescent="0.4">
      <c r="A248">
        <v>2018</v>
      </c>
      <c r="B248" s="25" t="s">
        <v>10</v>
      </c>
      <c r="C248" s="25" t="s">
        <v>129</v>
      </c>
      <c r="D248" s="25" t="s">
        <v>131</v>
      </c>
      <c r="E248" s="25" t="s">
        <v>494</v>
      </c>
      <c r="F248" s="7">
        <v>12</v>
      </c>
      <c r="G248" s="7">
        <v>170</v>
      </c>
      <c r="H248" s="25" t="s">
        <v>475</v>
      </c>
      <c r="I248" s="25" t="s">
        <v>474</v>
      </c>
      <c r="J248" s="25" t="s">
        <v>90</v>
      </c>
      <c r="K248" s="25" t="s">
        <v>509</v>
      </c>
      <c r="L248" s="7">
        <v>8</v>
      </c>
    </row>
    <row r="249" spans="1:12" hidden="1" outlineLevel="2" x14ac:dyDescent="0.4">
      <c r="A249">
        <v>2015</v>
      </c>
      <c r="B249" s="25" t="s">
        <v>10</v>
      </c>
      <c r="C249" s="25" t="s">
        <v>129</v>
      </c>
      <c r="D249" s="25" t="s">
        <v>131</v>
      </c>
      <c r="E249" s="25" t="s">
        <v>494</v>
      </c>
      <c r="F249" s="7">
        <v>1</v>
      </c>
      <c r="G249" s="7">
        <v>176</v>
      </c>
      <c r="H249" s="25" t="s">
        <v>523</v>
      </c>
      <c r="I249" s="25" t="s">
        <v>132</v>
      </c>
      <c r="J249" s="25" t="s">
        <v>130</v>
      </c>
      <c r="K249" s="25" t="s">
        <v>497</v>
      </c>
      <c r="L249" s="7">
        <v>2</v>
      </c>
    </row>
    <row r="250" spans="1:12" hidden="1" outlineLevel="2" x14ac:dyDescent="0.4">
      <c r="A250">
        <v>2014</v>
      </c>
      <c r="B250" s="25" t="s">
        <v>10</v>
      </c>
      <c r="C250" s="25" t="s">
        <v>129</v>
      </c>
      <c r="D250" s="25" t="s">
        <v>131</v>
      </c>
      <c r="E250" s="25" t="s">
        <v>494</v>
      </c>
      <c r="F250" s="7">
        <v>1</v>
      </c>
      <c r="G250" s="7">
        <v>236</v>
      </c>
      <c r="H250" s="25" t="s">
        <v>736</v>
      </c>
      <c r="I250" s="25" t="s">
        <v>132</v>
      </c>
      <c r="J250" s="25" t="s">
        <v>130</v>
      </c>
      <c r="K250" s="25" t="s">
        <v>497</v>
      </c>
      <c r="L250" s="7">
        <v>4</v>
      </c>
    </row>
    <row r="251" spans="1:12" hidden="1" outlineLevel="2" x14ac:dyDescent="0.4">
      <c r="A251">
        <v>2011</v>
      </c>
      <c r="B251" s="25" t="s">
        <v>10</v>
      </c>
      <c r="C251" s="25" t="s">
        <v>129</v>
      </c>
      <c r="D251" s="25" t="s">
        <v>131</v>
      </c>
      <c r="E251" s="25" t="s">
        <v>494</v>
      </c>
      <c r="F251" s="7">
        <v>2</v>
      </c>
      <c r="G251" s="7">
        <v>148</v>
      </c>
      <c r="H251" s="25" t="s">
        <v>737</v>
      </c>
      <c r="I251" s="25" t="s">
        <v>136</v>
      </c>
      <c r="J251" s="25" t="s">
        <v>135</v>
      </c>
      <c r="K251" s="25" t="s">
        <v>496</v>
      </c>
      <c r="L251" s="7">
        <v>1</v>
      </c>
    </row>
    <row r="252" spans="1:12" outlineLevel="1" collapsed="1" x14ac:dyDescent="0.4">
      <c r="B252" s="24" t="s">
        <v>849</v>
      </c>
      <c r="C252" s="25">
        <f>SUBTOTAL(3,C246:C251)</f>
        <v>6</v>
      </c>
    </row>
    <row r="253" spans="1:12" hidden="1" outlineLevel="2" x14ac:dyDescent="0.4">
      <c r="A253">
        <v>1960</v>
      </c>
      <c r="B253" s="25" t="s">
        <v>10</v>
      </c>
      <c r="C253" s="25" t="s">
        <v>114</v>
      </c>
      <c r="D253" s="25" t="s">
        <v>12</v>
      </c>
      <c r="E253" s="25" t="s">
        <v>503</v>
      </c>
      <c r="F253" s="7">
        <v>1</v>
      </c>
      <c r="G253" s="7">
        <v>130</v>
      </c>
      <c r="H253" s="25" t="s">
        <v>626</v>
      </c>
      <c r="I253" s="25" t="s">
        <v>96</v>
      </c>
      <c r="J253" s="25" t="s">
        <v>12</v>
      </c>
      <c r="K253" s="25" t="s">
        <v>503</v>
      </c>
      <c r="L253" s="7">
        <v>3</v>
      </c>
    </row>
    <row r="254" spans="1:12" outlineLevel="1" collapsed="1" x14ac:dyDescent="0.4">
      <c r="B254" s="24" t="s">
        <v>850</v>
      </c>
      <c r="C254" s="25">
        <f>SUBTOTAL(3,C253:C253)</f>
        <v>1</v>
      </c>
    </row>
    <row r="255" spans="1:12" hidden="1" outlineLevel="2" x14ac:dyDescent="0.4">
      <c r="A255">
        <v>1914</v>
      </c>
      <c r="B255" s="25" t="s">
        <v>10</v>
      </c>
      <c r="C255" s="25" t="s">
        <v>13</v>
      </c>
      <c r="D255" s="25" t="s">
        <v>12</v>
      </c>
      <c r="E255" s="25" t="s">
        <v>503</v>
      </c>
      <c r="H255" s="25" t="s">
        <v>685</v>
      </c>
      <c r="I255" s="25" t="s">
        <v>21</v>
      </c>
      <c r="J255" s="25" t="s">
        <v>20</v>
      </c>
      <c r="K255" s="25" t="s">
        <v>508</v>
      </c>
    </row>
    <row r="256" spans="1:12" hidden="1" outlineLevel="2" x14ac:dyDescent="0.4">
      <c r="A256">
        <v>1907</v>
      </c>
      <c r="B256" s="25" t="s">
        <v>10</v>
      </c>
      <c r="C256" s="25" t="s">
        <v>13</v>
      </c>
      <c r="D256" s="25" t="s">
        <v>12</v>
      </c>
      <c r="E256" s="25" t="s">
        <v>503</v>
      </c>
      <c r="H256" s="25" t="s">
        <v>694</v>
      </c>
      <c r="I256" s="25" t="s">
        <v>18</v>
      </c>
      <c r="J256" s="25" t="s">
        <v>15</v>
      </c>
      <c r="K256" s="25" t="s">
        <v>498</v>
      </c>
    </row>
    <row r="257" spans="1:12" outlineLevel="1" collapsed="1" x14ac:dyDescent="0.4">
      <c r="B257" s="24" t="s">
        <v>851</v>
      </c>
      <c r="C257" s="25">
        <f>SUBTOTAL(3,C255:C256)</f>
        <v>2</v>
      </c>
    </row>
    <row r="258" spans="1:12" hidden="1" outlineLevel="2" x14ac:dyDescent="0.4">
      <c r="A258">
        <v>2014</v>
      </c>
      <c r="B258" s="25" t="s">
        <v>268</v>
      </c>
      <c r="C258" s="25" t="s">
        <v>291</v>
      </c>
      <c r="D258" s="25" t="s">
        <v>107</v>
      </c>
      <c r="E258" s="25" t="s">
        <v>500</v>
      </c>
      <c r="F258" s="7">
        <v>6</v>
      </c>
      <c r="G258" s="7">
        <v>55</v>
      </c>
      <c r="H258" s="25" t="s">
        <v>525</v>
      </c>
      <c r="I258" s="25" t="s">
        <v>293</v>
      </c>
      <c r="J258" s="25" t="s">
        <v>205</v>
      </c>
      <c r="K258" s="25" t="s">
        <v>511</v>
      </c>
      <c r="L258" s="7">
        <v>13</v>
      </c>
    </row>
    <row r="259" spans="1:12" outlineLevel="1" collapsed="1" x14ac:dyDescent="0.4">
      <c r="B259" s="24" t="s">
        <v>852</v>
      </c>
      <c r="C259" s="25">
        <f>SUBTOTAL(3,C258:C258)</f>
        <v>1</v>
      </c>
    </row>
    <row r="260" spans="1:12" hidden="1" outlineLevel="2" x14ac:dyDescent="0.4">
      <c r="A260">
        <v>2000</v>
      </c>
      <c r="B260" s="25" t="s">
        <v>10</v>
      </c>
      <c r="C260" s="25" t="s">
        <v>150</v>
      </c>
      <c r="D260" s="25" t="s">
        <v>28</v>
      </c>
      <c r="E260" s="25" t="s">
        <v>499</v>
      </c>
      <c r="F260" s="7">
        <v>1</v>
      </c>
      <c r="G260" s="7">
        <v>182</v>
      </c>
      <c r="H260" s="25" t="s">
        <v>550</v>
      </c>
      <c r="I260" s="25" t="s">
        <v>151</v>
      </c>
      <c r="J260" s="25" t="s">
        <v>12</v>
      </c>
      <c r="K260" s="25" t="s">
        <v>503</v>
      </c>
      <c r="L260" s="7">
        <v>12</v>
      </c>
    </row>
    <row r="261" spans="1:12" hidden="1" outlineLevel="2" x14ac:dyDescent="0.4">
      <c r="A261">
        <v>1999</v>
      </c>
      <c r="B261" s="25" t="s">
        <v>10</v>
      </c>
      <c r="C261" s="25" t="s">
        <v>150</v>
      </c>
      <c r="D261" s="25" t="s">
        <v>28</v>
      </c>
      <c r="E261" s="25" t="s">
        <v>499</v>
      </c>
      <c r="F261" s="7">
        <v>1</v>
      </c>
      <c r="G261" s="7">
        <v>115</v>
      </c>
      <c r="H261" s="25" t="s">
        <v>552</v>
      </c>
      <c r="I261" s="25" t="s">
        <v>169</v>
      </c>
      <c r="J261" s="25" t="s">
        <v>28</v>
      </c>
      <c r="K261" s="25" t="s">
        <v>499</v>
      </c>
      <c r="L261" s="7">
        <v>4</v>
      </c>
    </row>
    <row r="262" spans="1:12" hidden="1" outlineLevel="2" x14ac:dyDescent="0.4">
      <c r="A262">
        <v>1998</v>
      </c>
      <c r="B262" s="25" t="s">
        <v>10</v>
      </c>
      <c r="C262" s="25" t="s">
        <v>150</v>
      </c>
      <c r="D262" s="25" t="s">
        <v>28</v>
      </c>
      <c r="E262" s="25" t="s">
        <v>499</v>
      </c>
      <c r="F262" s="7">
        <v>1</v>
      </c>
      <c r="G262" s="7">
        <v>172</v>
      </c>
      <c r="H262" s="25" t="s">
        <v>555</v>
      </c>
      <c r="I262" s="25" t="s">
        <v>154</v>
      </c>
      <c r="J262" s="25" t="s">
        <v>153</v>
      </c>
      <c r="K262" s="25" t="s">
        <v>504</v>
      </c>
      <c r="L262" s="7">
        <v>14</v>
      </c>
    </row>
    <row r="263" spans="1:12" hidden="1" outlineLevel="2" x14ac:dyDescent="0.4">
      <c r="A263">
        <v>1997</v>
      </c>
      <c r="B263" s="25" t="s">
        <v>10</v>
      </c>
      <c r="C263" s="25" t="s">
        <v>150</v>
      </c>
      <c r="D263" s="25" t="s">
        <v>28</v>
      </c>
      <c r="E263" s="25" t="s">
        <v>499</v>
      </c>
      <c r="F263" s="7">
        <v>1</v>
      </c>
      <c r="G263" s="7">
        <v>94</v>
      </c>
      <c r="H263" s="25" t="s">
        <v>557</v>
      </c>
      <c r="I263" s="25" t="s">
        <v>178</v>
      </c>
      <c r="J263" s="25" t="s">
        <v>24</v>
      </c>
      <c r="K263" s="25" t="s">
        <v>501</v>
      </c>
      <c r="L263" s="7" t="s">
        <v>122</v>
      </c>
    </row>
    <row r="264" spans="1:12" hidden="1" outlineLevel="2" x14ac:dyDescent="0.4">
      <c r="A264">
        <v>1995</v>
      </c>
      <c r="B264" s="25" t="s">
        <v>10</v>
      </c>
      <c r="C264" s="25" t="s">
        <v>150</v>
      </c>
      <c r="D264" s="25" t="s">
        <v>28</v>
      </c>
      <c r="E264" s="25" t="s">
        <v>499</v>
      </c>
      <c r="F264" s="7">
        <v>2</v>
      </c>
      <c r="G264" s="7">
        <v>149</v>
      </c>
      <c r="H264" s="25" t="s">
        <v>561</v>
      </c>
      <c r="I264" s="25" t="s">
        <v>213</v>
      </c>
      <c r="J264" s="25" t="s">
        <v>126</v>
      </c>
      <c r="K264" s="25" t="s">
        <v>495</v>
      </c>
      <c r="L264" s="7">
        <v>3</v>
      </c>
    </row>
    <row r="265" spans="1:12" hidden="1" outlineLevel="2" x14ac:dyDescent="0.4">
      <c r="A265">
        <v>1994</v>
      </c>
      <c r="B265" s="25" t="s">
        <v>10</v>
      </c>
      <c r="C265" s="25" t="s">
        <v>150</v>
      </c>
      <c r="D265" s="25" t="s">
        <v>28</v>
      </c>
      <c r="E265" s="25" t="s">
        <v>499</v>
      </c>
      <c r="F265" s="7">
        <v>1</v>
      </c>
      <c r="G265" s="7">
        <v>115</v>
      </c>
      <c r="H265" s="25" t="s">
        <v>563</v>
      </c>
      <c r="I265" s="25" t="s">
        <v>154</v>
      </c>
      <c r="J265" s="25" t="s">
        <v>153</v>
      </c>
      <c r="K265" s="25" t="s">
        <v>504</v>
      </c>
      <c r="L265" s="7">
        <v>4</v>
      </c>
    </row>
    <row r="266" spans="1:12" hidden="1" outlineLevel="2" x14ac:dyDescent="0.4">
      <c r="A266">
        <v>1993</v>
      </c>
      <c r="B266" s="25" t="s">
        <v>10</v>
      </c>
      <c r="C266" s="25" t="s">
        <v>150</v>
      </c>
      <c r="D266" s="25" t="s">
        <v>28</v>
      </c>
      <c r="E266" s="25" t="s">
        <v>499</v>
      </c>
      <c r="F266" s="7">
        <v>1</v>
      </c>
      <c r="G266" s="7">
        <v>178</v>
      </c>
      <c r="H266" s="25" t="s">
        <v>565</v>
      </c>
      <c r="I266" s="25" t="s">
        <v>166</v>
      </c>
      <c r="J266" s="25" t="s">
        <v>28</v>
      </c>
      <c r="K266" s="25" t="s">
        <v>499</v>
      </c>
      <c r="L266" s="7">
        <v>3</v>
      </c>
    </row>
    <row r="267" spans="1:12" outlineLevel="1" collapsed="1" x14ac:dyDescent="0.4">
      <c r="B267" s="24" t="s">
        <v>853</v>
      </c>
      <c r="C267" s="25">
        <f>SUBTOTAL(3,C260:C266)</f>
        <v>7</v>
      </c>
    </row>
    <row r="268" spans="1:12" hidden="1" outlineLevel="2" x14ac:dyDescent="0.4">
      <c r="A268">
        <v>1909</v>
      </c>
      <c r="B268" s="25" t="s">
        <v>268</v>
      </c>
      <c r="C268" s="25" t="s">
        <v>357</v>
      </c>
      <c r="D268" s="25" t="s">
        <v>15</v>
      </c>
      <c r="E268" s="25" t="s">
        <v>498</v>
      </c>
      <c r="H268" s="25" t="s">
        <v>692</v>
      </c>
      <c r="I268" s="25" t="s">
        <v>322</v>
      </c>
      <c r="J268" s="25" t="s">
        <v>15</v>
      </c>
      <c r="K268" s="25" t="s">
        <v>498</v>
      </c>
    </row>
    <row r="269" spans="1:12" outlineLevel="1" collapsed="1" x14ac:dyDescent="0.4">
      <c r="B269" s="24" t="s">
        <v>854</v>
      </c>
      <c r="C269" s="25">
        <f>SUBTOTAL(3,C268:C268)</f>
        <v>1</v>
      </c>
    </row>
    <row r="270" spans="1:12" hidden="1" outlineLevel="2" x14ac:dyDescent="0.4">
      <c r="A270">
        <v>1878</v>
      </c>
      <c r="B270" s="25" t="s">
        <v>10</v>
      </c>
      <c r="C270" s="25" t="s">
        <v>58</v>
      </c>
      <c r="D270" s="25" t="s">
        <v>15</v>
      </c>
      <c r="E270" s="25" t="s">
        <v>498</v>
      </c>
      <c r="H270" s="25" t="s">
        <v>734</v>
      </c>
      <c r="I270" s="25" t="s">
        <v>59</v>
      </c>
      <c r="J270" s="25" t="s">
        <v>15</v>
      </c>
      <c r="K270" s="25" t="s">
        <v>498</v>
      </c>
    </row>
    <row r="271" spans="1:12" outlineLevel="1" collapsed="1" x14ac:dyDescent="0.4">
      <c r="B271" s="24" t="s">
        <v>855</v>
      </c>
      <c r="C271" s="25">
        <f>SUBTOTAL(3,C270:C270)</f>
        <v>1</v>
      </c>
    </row>
    <row r="272" spans="1:12" hidden="1" outlineLevel="2" x14ac:dyDescent="0.4">
      <c r="A272">
        <v>1969</v>
      </c>
      <c r="B272" s="25" t="s">
        <v>268</v>
      </c>
      <c r="C272" s="25" t="s">
        <v>372</v>
      </c>
      <c r="D272" s="25" t="s">
        <v>15</v>
      </c>
      <c r="E272" s="25" t="s">
        <v>498</v>
      </c>
      <c r="F272" s="7">
        <v>4</v>
      </c>
      <c r="G272" s="7">
        <v>71</v>
      </c>
      <c r="H272" s="25" t="s">
        <v>612</v>
      </c>
      <c r="I272" s="25" t="s">
        <v>271</v>
      </c>
      <c r="J272" s="25" t="s">
        <v>28</v>
      </c>
      <c r="K272" s="25" t="s">
        <v>499</v>
      </c>
      <c r="L272" s="7">
        <v>2</v>
      </c>
    </row>
    <row r="273" spans="1:12" outlineLevel="1" collapsed="1" x14ac:dyDescent="0.4">
      <c r="B273" s="24" t="s">
        <v>856</v>
      </c>
      <c r="C273" s="25">
        <f>SUBTOTAL(3,C272:C272)</f>
        <v>1</v>
      </c>
    </row>
    <row r="274" spans="1:12" hidden="1" outlineLevel="2" x14ac:dyDescent="0.4">
      <c r="A274">
        <v>1987</v>
      </c>
      <c r="B274" s="25" t="s">
        <v>10</v>
      </c>
      <c r="C274" s="25" t="s">
        <v>180</v>
      </c>
      <c r="D274" s="25" t="s">
        <v>12</v>
      </c>
      <c r="E274" s="25" t="s">
        <v>503</v>
      </c>
      <c r="F274" s="7">
        <v>11</v>
      </c>
      <c r="G274" s="7">
        <v>165</v>
      </c>
      <c r="H274" s="25" t="s">
        <v>576</v>
      </c>
      <c r="I274" s="25" t="s">
        <v>182</v>
      </c>
      <c r="J274" s="25" t="s">
        <v>181</v>
      </c>
      <c r="K274" s="25" t="s">
        <v>517</v>
      </c>
      <c r="L274" s="7">
        <v>2</v>
      </c>
    </row>
    <row r="275" spans="1:12" outlineLevel="1" collapsed="1" x14ac:dyDescent="0.4">
      <c r="B275" s="24" t="s">
        <v>857</v>
      </c>
      <c r="C275" s="25">
        <f>SUBTOTAL(3,C274:C274)</f>
        <v>1</v>
      </c>
    </row>
    <row r="276" spans="1:12" hidden="1" outlineLevel="2" x14ac:dyDescent="0.4">
      <c r="A276">
        <v>2011</v>
      </c>
      <c r="B276" s="25" t="s">
        <v>268</v>
      </c>
      <c r="C276" s="25" t="s">
        <v>294</v>
      </c>
      <c r="D276" s="25" t="s">
        <v>107</v>
      </c>
      <c r="E276" s="25" t="s">
        <v>500</v>
      </c>
      <c r="F276" s="7">
        <v>8</v>
      </c>
      <c r="G276" s="7">
        <v>85</v>
      </c>
      <c r="H276" s="25" t="s">
        <v>529</v>
      </c>
      <c r="I276" s="25" t="s">
        <v>297</v>
      </c>
      <c r="J276" s="25" t="s">
        <v>296</v>
      </c>
      <c r="K276" s="25" t="s">
        <v>502</v>
      </c>
      <c r="L276" s="7">
        <v>5</v>
      </c>
    </row>
    <row r="277" spans="1:12" outlineLevel="1" collapsed="1" x14ac:dyDescent="0.4">
      <c r="B277" s="24" t="s">
        <v>858</v>
      </c>
      <c r="C277" s="25">
        <f>SUBTOTAL(3,C276:C276)</f>
        <v>1</v>
      </c>
    </row>
    <row r="278" spans="1:12" hidden="1" outlineLevel="2" x14ac:dyDescent="0.4">
      <c r="A278">
        <v>1946</v>
      </c>
      <c r="B278" s="25" t="s">
        <v>268</v>
      </c>
      <c r="C278" s="25" t="s">
        <v>425</v>
      </c>
      <c r="D278" s="25" t="s">
        <v>28</v>
      </c>
      <c r="E278" s="25" t="s">
        <v>499</v>
      </c>
      <c r="F278" s="7">
        <v>1</v>
      </c>
      <c r="H278" s="25" t="s">
        <v>651</v>
      </c>
      <c r="I278" s="25" t="s">
        <v>406</v>
      </c>
      <c r="J278" s="25" t="s">
        <v>28</v>
      </c>
      <c r="K278" s="25" t="s">
        <v>499</v>
      </c>
      <c r="L278" s="7">
        <v>3</v>
      </c>
    </row>
    <row r="279" spans="1:12" outlineLevel="1" collapsed="1" x14ac:dyDescent="0.4">
      <c r="B279" s="24" t="s">
        <v>859</v>
      </c>
      <c r="C279" s="25">
        <f>SUBTOTAL(3,C278:C278)</f>
        <v>1</v>
      </c>
    </row>
    <row r="280" spans="1:12" hidden="1" outlineLevel="2" x14ac:dyDescent="0.4">
      <c r="A280">
        <v>1948</v>
      </c>
      <c r="B280" s="25" t="s">
        <v>10</v>
      </c>
      <c r="C280" s="25" t="s">
        <v>255</v>
      </c>
      <c r="D280" s="25" t="s">
        <v>28</v>
      </c>
      <c r="E280" s="25" t="s">
        <v>499</v>
      </c>
      <c r="F280" s="7">
        <v>7</v>
      </c>
      <c r="G280" s="7">
        <v>125</v>
      </c>
      <c r="H280" s="25" t="s">
        <v>649</v>
      </c>
      <c r="I280" s="25" t="s">
        <v>256</v>
      </c>
      <c r="J280" s="25" t="s">
        <v>12</v>
      </c>
      <c r="K280" s="25" t="s">
        <v>503</v>
      </c>
      <c r="L280" s="7">
        <v>2</v>
      </c>
    </row>
    <row r="281" spans="1:12" outlineLevel="1" collapsed="1" x14ac:dyDescent="0.4">
      <c r="B281" s="24" t="s">
        <v>860</v>
      </c>
      <c r="C281" s="25">
        <f>SUBTOTAL(3,C280:C280)</f>
        <v>1</v>
      </c>
    </row>
    <row r="282" spans="1:12" hidden="1" outlineLevel="2" x14ac:dyDescent="0.4">
      <c r="A282">
        <v>2017</v>
      </c>
      <c r="B282" s="25" t="s">
        <v>10</v>
      </c>
      <c r="C282" s="25" t="s">
        <v>132</v>
      </c>
      <c r="D282" s="25" t="s">
        <v>130</v>
      </c>
      <c r="E282" s="25" t="s">
        <v>497</v>
      </c>
      <c r="F282" s="7">
        <v>3</v>
      </c>
      <c r="G282" s="7">
        <v>101</v>
      </c>
      <c r="H282" s="25" t="s">
        <v>478</v>
      </c>
      <c r="I282" s="25" t="s">
        <v>479</v>
      </c>
      <c r="J282" s="25" t="s">
        <v>480</v>
      </c>
      <c r="K282" s="25" t="s">
        <v>510</v>
      </c>
      <c r="L282" s="7">
        <v>7</v>
      </c>
    </row>
    <row r="283" spans="1:12" hidden="1" outlineLevel="2" x14ac:dyDescent="0.4">
      <c r="A283">
        <v>2012</v>
      </c>
      <c r="B283" s="25" t="s">
        <v>10</v>
      </c>
      <c r="C283" s="25" t="s">
        <v>132</v>
      </c>
      <c r="D283" s="25" t="s">
        <v>130</v>
      </c>
      <c r="E283" s="25" t="s">
        <v>497</v>
      </c>
      <c r="F283" s="7">
        <v>3</v>
      </c>
      <c r="G283" s="7">
        <v>204</v>
      </c>
      <c r="H283" s="25" t="s">
        <v>527</v>
      </c>
      <c r="I283" s="25" t="s">
        <v>203</v>
      </c>
      <c r="J283" s="25" t="s">
        <v>15</v>
      </c>
      <c r="K283" s="25" t="s">
        <v>498</v>
      </c>
      <c r="L283" s="7">
        <v>4</v>
      </c>
    </row>
    <row r="284" spans="1:12" hidden="1" outlineLevel="2" x14ac:dyDescent="0.4">
      <c r="A284">
        <v>2009</v>
      </c>
      <c r="B284" s="25" t="s">
        <v>10</v>
      </c>
      <c r="C284" s="25" t="s">
        <v>132</v>
      </c>
      <c r="D284" s="25" t="s">
        <v>130</v>
      </c>
      <c r="E284" s="25" t="s">
        <v>497</v>
      </c>
      <c r="F284" s="7">
        <v>2</v>
      </c>
      <c r="G284" s="7">
        <v>256</v>
      </c>
      <c r="H284" s="25" t="s">
        <v>532</v>
      </c>
      <c r="I284" s="25" t="s">
        <v>139</v>
      </c>
      <c r="J284" s="25" t="s">
        <v>28</v>
      </c>
      <c r="K284" s="25" t="s">
        <v>499</v>
      </c>
      <c r="L284" s="7">
        <v>6</v>
      </c>
    </row>
    <row r="285" spans="1:12" hidden="1" outlineLevel="2" x14ac:dyDescent="0.4">
      <c r="A285">
        <v>2007</v>
      </c>
      <c r="B285" s="25" t="s">
        <v>10</v>
      </c>
      <c r="C285" s="25" t="s">
        <v>132</v>
      </c>
      <c r="D285" s="25" t="s">
        <v>130</v>
      </c>
      <c r="E285" s="25" t="s">
        <v>497</v>
      </c>
      <c r="F285" s="7">
        <v>1</v>
      </c>
      <c r="G285" s="7">
        <v>225</v>
      </c>
      <c r="H285" s="25" t="s">
        <v>536</v>
      </c>
      <c r="I285" s="25" t="s">
        <v>136</v>
      </c>
      <c r="J285" s="25" t="s">
        <v>135</v>
      </c>
      <c r="K285" s="25" t="s">
        <v>496</v>
      </c>
      <c r="L285" s="7">
        <v>2</v>
      </c>
    </row>
    <row r="286" spans="1:12" hidden="1" outlineLevel="2" x14ac:dyDescent="0.4">
      <c r="A286">
        <v>2006</v>
      </c>
      <c r="B286" s="25" t="s">
        <v>10</v>
      </c>
      <c r="C286" s="25" t="s">
        <v>132</v>
      </c>
      <c r="D286" s="25" t="s">
        <v>130</v>
      </c>
      <c r="E286" s="25" t="s">
        <v>497</v>
      </c>
      <c r="F286" s="7">
        <v>1</v>
      </c>
      <c r="G286" s="7">
        <v>170</v>
      </c>
      <c r="H286" s="25" t="s">
        <v>539</v>
      </c>
      <c r="I286" s="25" t="s">
        <v>136</v>
      </c>
      <c r="J286" s="25" t="s">
        <v>135</v>
      </c>
      <c r="K286" s="25" t="s">
        <v>496</v>
      </c>
      <c r="L286" s="7">
        <v>2</v>
      </c>
    </row>
    <row r="287" spans="1:12" hidden="1" outlineLevel="2" x14ac:dyDescent="0.4">
      <c r="A287">
        <v>2005</v>
      </c>
      <c r="B287" s="25" t="s">
        <v>10</v>
      </c>
      <c r="C287" s="25" t="s">
        <v>132</v>
      </c>
      <c r="D287" s="25" t="s">
        <v>130</v>
      </c>
      <c r="E287" s="25" t="s">
        <v>497</v>
      </c>
      <c r="F287" s="7">
        <v>1</v>
      </c>
      <c r="G287" s="7">
        <v>101</v>
      </c>
      <c r="H287" s="25" t="s">
        <v>540</v>
      </c>
      <c r="I287" s="25" t="s">
        <v>139</v>
      </c>
      <c r="J287" s="25" t="s">
        <v>28</v>
      </c>
      <c r="K287" s="25" t="s">
        <v>499</v>
      </c>
      <c r="L287" s="7">
        <v>2</v>
      </c>
    </row>
    <row r="288" spans="1:12" hidden="1" outlineLevel="2" x14ac:dyDescent="0.4">
      <c r="A288">
        <v>2004</v>
      </c>
      <c r="B288" s="25" t="s">
        <v>10</v>
      </c>
      <c r="C288" s="25" t="s">
        <v>132</v>
      </c>
      <c r="D288" s="25" t="s">
        <v>130</v>
      </c>
      <c r="E288" s="25" t="s">
        <v>497</v>
      </c>
      <c r="F288" s="7">
        <v>1</v>
      </c>
      <c r="G288" s="7">
        <v>151</v>
      </c>
      <c r="H288" s="25" t="s">
        <v>543</v>
      </c>
      <c r="I288" s="25" t="s">
        <v>139</v>
      </c>
      <c r="J288" s="25" t="s">
        <v>28</v>
      </c>
      <c r="K288" s="25" t="s">
        <v>499</v>
      </c>
      <c r="L288" s="7">
        <v>2</v>
      </c>
    </row>
    <row r="289" spans="1:12" s="7" customFormat="1" hidden="1" outlineLevel="2" x14ac:dyDescent="0.4">
      <c r="A289">
        <v>2003</v>
      </c>
      <c r="B289" s="25" t="s">
        <v>10</v>
      </c>
      <c r="C289" s="25" t="s">
        <v>132</v>
      </c>
      <c r="D289" s="25" t="s">
        <v>130</v>
      </c>
      <c r="E289" s="25" t="s">
        <v>497</v>
      </c>
      <c r="F289" s="7">
        <v>4</v>
      </c>
      <c r="G289" s="7">
        <v>119</v>
      </c>
      <c r="H289" s="25" t="s">
        <v>544</v>
      </c>
      <c r="I289" s="25" t="s">
        <v>239</v>
      </c>
      <c r="J289" s="25" t="s">
        <v>12</v>
      </c>
      <c r="K289" s="25" t="s">
        <v>503</v>
      </c>
      <c r="L289" s="7" t="s">
        <v>122</v>
      </c>
    </row>
    <row r="290" spans="1:12" s="7" customFormat="1" outlineLevel="1" collapsed="1" x14ac:dyDescent="0.4">
      <c r="A290"/>
      <c r="B290" s="24" t="s">
        <v>861</v>
      </c>
      <c r="C290" s="25">
        <f>SUBTOTAL(3,C282:C289)</f>
        <v>8</v>
      </c>
      <c r="D290" s="25"/>
      <c r="E290" s="25"/>
      <c r="H290" s="25"/>
      <c r="I290" s="25"/>
      <c r="J290" s="25"/>
      <c r="K290" s="25"/>
    </row>
    <row r="291" spans="1:12" s="7" customFormat="1" hidden="1" outlineLevel="2" x14ac:dyDescent="0.4">
      <c r="A291">
        <v>2010</v>
      </c>
      <c r="B291" s="25" t="s">
        <v>10</v>
      </c>
      <c r="C291" s="25" t="s">
        <v>136</v>
      </c>
      <c r="D291" s="25" t="s">
        <v>135</v>
      </c>
      <c r="E291" s="25" t="s">
        <v>496</v>
      </c>
      <c r="F291" s="7">
        <v>2</v>
      </c>
      <c r="G291" s="7">
        <v>133</v>
      </c>
      <c r="H291" s="25" t="s">
        <v>530</v>
      </c>
      <c r="I291" s="25" t="s">
        <v>199</v>
      </c>
      <c r="J291" s="25" t="s">
        <v>198</v>
      </c>
      <c r="K291" s="25" t="s">
        <v>500</v>
      </c>
      <c r="L291" s="7">
        <v>12</v>
      </c>
    </row>
    <row r="292" spans="1:12" s="7" customFormat="1" hidden="1" outlineLevel="2" x14ac:dyDescent="0.4">
      <c r="A292">
        <v>2008</v>
      </c>
      <c r="B292" s="25" t="s">
        <v>10</v>
      </c>
      <c r="C292" s="25" t="s">
        <v>136</v>
      </c>
      <c r="D292" s="25" t="s">
        <v>135</v>
      </c>
      <c r="E292" s="25" t="s">
        <v>496</v>
      </c>
      <c r="F292" s="7">
        <v>2</v>
      </c>
      <c r="G292" s="7">
        <v>288</v>
      </c>
      <c r="H292" s="25" t="s">
        <v>534</v>
      </c>
      <c r="I292" s="25" t="s">
        <v>132</v>
      </c>
      <c r="J292" s="25" t="s">
        <v>130</v>
      </c>
      <c r="K292" s="25" t="s">
        <v>497</v>
      </c>
      <c r="L292" s="7">
        <v>1</v>
      </c>
    </row>
    <row r="293" spans="1:12" s="7" customFormat="1" outlineLevel="1" collapsed="1" x14ac:dyDescent="0.4">
      <c r="A293"/>
      <c r="B293" s="24" t="s">
        <v>862</v>
      </c>
      <c r="C293" s="25">
        <f>SUBTOTAL(3,C291:C292)</f>
        <v>2</v>
      </c>
      <c r="D293" s="25"/>
      <c r="E293" s="25"/>
      <c r="H293" s="25"/>
      <c r="I293" s="25"/>
      <c r="J293" s="25"/>
      <c r="K293" s="25"/>
    </row>
    <row r="294" spans="1:12" s="7" customFormat="1" hidden="1" outlineLevel="2" x14ac:dyDescent="0.4">
      <c r="A294">
        <v>1951</v>
      </c>
      <c r="B294" s="25" t="s">
        <v>10</v>
      </c>
      <c r="C294" s="25" t="s">
        <v>252</v>
      </c>
      <c r="D294" s="25" t="s">
        <v>28</v>
      </c>
      <c r="E294" s="25" t="s">
        <v>499</v>
      </c>
      <c r="F294" s="7">
        <v>6</v>
      </c>
      <c r="G294" s="7">
        <v>62</v>
      </c>
      <c r="H294" s="25" t="s">
        <v>643</v>
      </c>
      <c r="I294" s="25" t="s">
        <v>253</v>
      </c>
      <c r="J294" s="25" t="s">
        <v>12</v>
      </c>
      <c r="K294" s="25" t="s">
        <v>503</v>
      </c>
      <c r="L294" s="7">
        <v>7</v>
      </c>
    </row>
    <row r="295" spans="1:12" s="7" customFormat="1" outlineLevel="1" collapsed="1" x14ac:dyDescent="0.4">
      <c r="A295"/>
      <c r="B295" s="24" t="s">
        <v>863</v>
      </c>
      <c r="C295" s="25">
        <f>SUBTOTAL(3,C294:C294)</f>
        <v>1</v>
      </c>
      <c r="D295" s="25"/>
      <c r="E295" s="25"/>
      <c r="H295" s="25"/>
      <c r="I295" s="25"/>
      <c r="J295" s="25"/>
      <c r="K295" s="25"/>
    </row>
    <row r="296" spans="1:12" s="7" customFormat="1" hidden="1" outlineLevel="2" x14ac:dyDescent="0.4">
      <c r="A296">
        <v>1980</v>
      </c>
      <c r="B296" s="25" t="s">
        <v>268</v>
      </c>
      <c r="C296" s="25" t="s">
        <v>280</v>
      </c>
      <c r="D296" s="25" t="s">
        <v>12</v>
      </c>
      <c r="E296" s="25" t="s">
        <v>503</v>
      </c>
      <c r="F296" s="7">
        <v>4</v>
      </c>
      <c r="G296" s="7">
        <v>93</v>
      </c>
      <c r="H296" s="25" t="s">
        <v>590</v>
      </c>
      <c r="I296" s="25" t="s">
        <v>282</v>
      </c>
      <c r="J296" s="25" t="s">
        <v>28</v>
      </c>
      <c r="K296" s="25" t="s">
        <v>499</v>
      </c>
      <c r="L296" s="7">
        <v>3</v>
      </c>
    </row>
    <row r="297" spans="1:12" s="7" customFormat="1" outlineLevel="1" collapsed="1" x14ac:dyDescent="0.4">
      <c r="A297"/>
      <c r="B297" s="24" t="s">
        <v>864</v>
      </c>
      <c r="C297" s="25">
        <f>SUBTOTAL(3,C296:C296)</f>
        <v>1</v>
      </c>
      <c r="D297" s="25"/>
      <c r="E297" s="25"/>
      <c r="H297" s="25"/>
      <c r="I297" s="25"/>
      <c r="J297" s="25"/>
      <c r="K297" s="25"/>
    </row>
    <row r="298" spans="1:12" s="7" customFormat="1" hidden="1" outlineLevel="2" x14ac:dyDescent="0.4">
      <c r="A298">
        <v>1900</v>
      </c>
      <c r="B298" s="25" t="s">
        <v>10</v>
      </c>
      <c r="C298" s="25" t="s">
        <v>37</v>
      </c>
      <c r="D298" s="25" t="s">
        <v>15</v>
      </c>
      <c r="E298" s="25" t="s">
        <v>498</v>
      </c>
      <c r="H298" s="25" t="s">
        <v>704</v>
      </c>
      <c r="I298" s="25" t="s">
        <v>64</v>
      </c>
      <c r="J298" s="25" t="s">
        <v>15</v>
      </c>
      <c r="K298" s="25" t="s">
        <v>498</v>
      </c>
    </row>
    <row r="299" spans="1:12" s="7" customFormat="1" hidden="1" outlineLevel="2" x14ac:dyDescent="0.4">
      <c r="A299">
        <v>1899</v>
      </c>
      <c r="B299" s="25" t="s">
        <v>10</v>
      </c>
      <c r="C299" s="25" t="s">
        <v>37</v>
      </c>
      <c r="D299" s="25" t="s">
        <v>15</v>
      </c>
      <c r="E299" s="25" t="s">
        <v>498</v>
      </c>
      <c r="H299" s="25" t="s">
        <v>705</v>
      </c>
      <c r="I299" s="25" t="s">
        <v>18</v>
      </c>
      <c r="J299" s="25" t="s">
        <v>15</v>
      </c>
      <c r="K299" s="25" t="s">
        <v>498</v>
      </c>
    </row>
    <row r="300" spans="1:12" s="7" customFormat="1" hidden="1" outlineLevel="2" x14ac:dyDescent="0.4">
      <c r="A300">
        <v>1898</v>
      </c>
      <c r="B300" s="25" t="s">
        <v>10</v>
      </c>
      <c r="C300" s="25" t="s">
        <v>37</v>
      </c>
      <c r="D300" s="25" t="s">
        <v>15</v>
      </c>
      <c r="E300" s="25" t="s">
        <v>498</v>
      </c>
      <c r="G300" s="7">
        <v>55</v>
      </c>
      <c r="H300" s="25" t="s">
        <v>706</v>
      </c>
      <c r="I300" s="25" t="s">
        <v>31</v>
      </c>
      <c r="J300" s="25" t="s">
        <v>15</v>
      </c>
      <c r="K300" s="25" t="s">
        <v>498</v>
      </c>
    </row>
    <row r="301" spans="1:12" s="7" customFormat="1" hidden="1" outlineLevel="2" x14ac:dyDescent="0.4">
      <c r="A301">
        <v>1897</v>
      </c>
      <c r="B301" s="25" t="s">
        <v>10</v>
      </c>
      <c r="C301" s="25" t="s">
        <v>37</v>
      </c>
      <c r="D301" s="25" t="s">
        <v>15</v>
      </c>
      <c r="E301" s="25" t="s">
        <v>498</v>
      </c>
      <c r="G301" s="7">
        <v>67</v>
      </c>
      <c r="H301" s="25" t="s">
        <v>707</v>
      </c>
      <c r="I301" s="25" t="s">
        <v>47</v>
      </c>
      <c r="J301" s="25" t="s">
        <v>15</v>
      </c>
      <c r="K301" s="25" t="s">
        <v>498</v>
      </c>
    </row>
    <row r="302" spans="1:12" s="7" customFormat="1" outlineLevel="1" collapsed="1" x14ac:dyDescent="0.4">
      <c r="A302"/>
      <c r="B302" s="24" t="s">
        <v>865</v>
      </c>
      <c r="C302" s="25">
        <f>SUBTOTAL(3,C298:C301)</f>
        <v>4</v>
      </c>
      <c r="D302" s="25"/>
      <c r="E302" s="25"/>
      <c r="H302" s="25"/>
      <c r="I302" s="25"/>
      <c r="J302" s="25"/>
      <c r="K302" s="25"/>
    </row>
    <row r="303" spans="1:12" s="7" customFormat="1" hidden="1" outlineLevel="2" x14ac:dyDescent="0.4">
      <c r="A303">
        <v>1969</v>
      </c>
      <c r="B303" s="25" t="s">
        <v>10</v>
      </c>
      <c r="C303" s="25" t="s">
        <v>96</v>
      </c>
      <c r="D303" s="25" t="s">
        <v>12</v>
      </c>
      <c r="E303" s="25" t="s">
        <v>503</v>
      </c>
      <c r="F303" s="7">
        <v>1</v>
      </c>
      <c r="G303" s="7">
        <v>136</v>
      </c>
      <c r="H303" s="25" t="s">
        <v>611</v>
      </c>
      <c r="I303" s="25" t="s">
        <v>117</v>
      </c>
      <c r="J303" s="25" t="s">
        <v>12</v>
      </c>
      <c r="K303" s="25" t="s">
        <v>503</v>
      </c>
      <c r="L303" s="7">
        <v>6</v>
      </c>
    </row>
    <row r="304" spans="1:12" s="7" customFormat="1" hidden="1" outlineLevel="2" x14ac:dyDescent="0.4">
      <c r="A304">
        <v>1968</v>
      </c>
      <c r="B304" s="25" t="s">
        <v>10</v>
      </c>
      <c r="C304" s="25" t="s">
        <v>96</v>
      </c>
      <c r="D304" s="25" t="s">
        <v>12</v>
      </c>
      <c r="E304" s="25" t="s">
        <v>503</v>
      </c>
      <c r="F304" s="7">
        <v>1</v>
      </c>
      <c r="G304" s="7">
        <v>60</v>
      </c>
      <c r="H304" s="25" t="s">
        <v>613</v>
      </c>
      <c r="I304" s="25" t="s">
        <v>97</v>
      </c>
      <c r="J304" s="25" t="s">
        <v>12</v>
      </c>
      <c r="K304" s="25" t="s">
        <v>503</v>
      </c>
      <c r="L304" s="7">
        <v>15</v>
      </c>
    </row>
    <row r="305" spans="1:12" s="7" customFormat="1" hidden="1" outlineLevel="2" x14ac:dyDescent="0.4">
      <c r="A305">
        <v>1962</v>
      </c>
      <c r="B305" s="25" t="s">
        <v>10</v>
      </c>
      <c r="C305" s="25" t="s">
        <v>96</v>
      </c>
      <c r="D305" s="25" t="s">
        <v>12</v>
      </c>
      <c r="E305" s="25" t="s">
        <v>503</v>
      </c>
      <c r="F305" s="7">
        <v>1</v>
      </c>
      <c r="G305" s="7">
        <v>51</v>
      </c>
      <c r="H305" s="25" t="s">
        <v>624</v>
      </c>
      <c r="I305" s="25" t="s">
        <v>120</v>
      </c>
      <c r="J305" s="25" t="s">
        <v>12</v>
      </c>
      <c r="K305" s="25" t="s">
        <v>503</v>
      </c>
      <c r="L305" s="7" t="s">
        <v>122</v>
      </c>
    </row>
    <row r="306" spans="1:12" s="7" customFormat="1" hidden="1" outlineLevel="2" x14ac:dyDescent="0.4">
      <c r="A306">
        <v>1961</v>
      </c>
      <c r="B306" s="25" t="s">
        <v>10</v>
      </c>
      <c r="C306" s="25" t="s">
        <v>96</v>
      </c>
      <c r="D306" s="25" t="s">
        <v>12</v>
      </c>
      <c r="E306" s="25" t="s">
        <v>503</v>
      </c>
      <c r="F306" s="7">
        <v>2</v>
      </c>
      <c r="G306" s="7">
        <v>55</v>
      </c>
      <c r="H306" s="25" t="s">
        <v>478</v>
      </c>
      <c r="I306" s="25" t="s">
        <v>191</v>
      </c>
      <c r="J306" s="25" t="s">
        <v>28</v>
      </c>
      <c r="K306" s="25" t="s">
        <v>499</v>
      </c>
      <c r="L306" s="7">
        <v>8</v>
      </c>
    </row>
    <row r="307" spans="1:12" s="7" customFormat="1" outlineLevel="1" collapsed="1" x14ac:dyDescent="0.4">
      <c r="A307"/>
      <c r="B307" s="24" t="s">
        <v>866</v>
      </c>
      <c r="C307" s="25">
        <f>SUBTOTAL(3,C303:C306)</f>
        <v>4</v>
      </c>
      <c r="D307" s="25"/>
      <c r="E307" s="25"/>
      <c r="H307" s="25"/>
      <c r="I307" s="25"/>
      <c r="J307" s="25"/>
      <c r="K307" s="25"/>
    </row>
    <row r="308" spans="1:12" s="7" customFormat="1" hidden="1" outlineLevel="2" x14ac:dyDescent="0.4">
      <c r="A308">
        <v>1914</v>
      </c>
      <c r="B308" s="25" t="s">
        <v>268</v>
      </c>
      <c r="C308" s="25" t="s">
        <v>307</v>
      </c>
      <c r="D308" s="25" t="s">
        <v>15</v>
      </c>
      <c r="E308" s="25" t="s">
        <v>498</v>
      </c>
      <c r="H308" s="25" t="s">
        <v>535</v>
      </c>
      <c r="I308" s="25" t="s">
        <v>341</v>
      </c>
      <c r="J308" s="25" t="s">
        <v>15</v>
      </c>
      <c r="K308" s="25" t="s">
        <v>498</v>
      </c>
    </row>
    <row r="309" spans="1:12" s="7" customFormat="1" hidden="1" outlineLevel="2" x14ac:dyDescent="0.4">
      <c r="A309">
        <v>1913</v>
      </c>
      <c r="B309" s="25" t="s">
        <v>268</v>
      </c>
      <c r="C309" s="25" t="s">
        <v>307</v>
      </c>
      <c r="D309" s="25" t="s">
        <v>15</v>
      </c>
      <c r="E309" s="25" t="s">
        <v>498</v>
      </c>
      <c r="H309" s="25" t="s">
        <v>603</v>
      </c>
      <c r="I309" s="25" t="s">
        <v>362</v>
      </c>
      <c r="J309" s="25" t="s">
        <v>15</v>
      </c>
      <c r="K309" s="25" t="s">
        <v>498</v>
      </c>
    </row>
    <row r="310" spans="1:12" s="7" customFormat="1" hidden="1" outlineLevel="2" x14ac:dyDescent="0.4">
      <c r="A310">
        <v>1911</v>
      </c>
      <c r="B310" s="25" t="s">
        <v>268</v>
      </c>
      <c r="C310" s="25" t="s">
        <v>307</v>
      </c>
      <c r="D310" s="25" t="s">
        <v>15</v>
      </c>
      <c r="E310" s="25" t="s">
        <v>498</v>
      </c>
      <c r="G310" s="7">
        <v>25</v>
      </c>
      <c r="H310" s="25" t="s">
        <v>688</v>
      </c>
      <c r="I310" s="25" t="s">
        <v>357</v>
      </c>
      <c r="J310" s="25" t="s">
        <v>15</v>
      </c>
      <c r="K310" s="25" t="s">
        <v>498</v>
      </c>
    </row>
    <row r="311" spans="1:12" s="7" customFormat="1" hidden="1" outlineLevel="2" x14ac:dyDescent="0.4">
      <c r="A311">
        <v>1910</v>
      </c>
      <c r="B311" s="25" t="s">
        <v>268</v>
      </c>
      <c r="C311" s="25" t="s">
        <v>307</v>
      </c>
      <c r="D311" s="25" t="s">
        <v>15</v>
      </c>
      <c r="E311" s="25" t="s">
        <v>498</v>
      </c>
      <c r="H311" s="25" t="s">
        <v>473</v>
      </c>
      <c r="I311" s="25" t="s">
        <v>357</v>
      </c>
      <c r="J311" s="25" t="s">
        <v>15</v>
      </c>
      <c r="K311" s="25" t="s">
        <v>498</v>
      </c>
    </row>
    <row r="312" spans="1:12" s="7" customFormat="1" outlineLevel="1" collapsed="1" x14ac:dyDescent="0.4">
      <c r="A312"/>
      <c r="B312" s="24" t="s">
        <v>867</v>
      </c>
      <c r="C312" s="25">
        <f>SUBTOTAL(3,C308:C311)</f>
        <v>4</v>
      </c>
      <c r="D312" s="25"/>
      <c r="E312" s="25"/>
      <c r="H312" s="25"/>
      <c r="I312" s="25"/>
      <c r="J312" s="25"/>
      <c r="K312" s="25"/>
    </row>
    <row r="313" spans="1:12" s="7" customFormat="1" hidden="1" outlineLevel="2" x14ac:dyDescent="0.4">
      <c r="A313">
        <v>1939</v>
      </c>
      <c r="B313" s="25" t="s">
        <v>10</v>
      </c>
      <c r="C313" s="25" t="s">
        <v>217</v>
      </c>
      <c r="D313" s="25" t="s">
        <v>28</v>
      </c>
      <c r="E313" s="25" t="s">
        <v>499</v>
      </c>
      <c r="F313" s="7">
        <v>2</v>
      </c>
      <c r="G313" s="7">
        <v>135</v>
      </c>
      <c r="H313" s="25" t="s">
        <v>653</v>
      </c>
      <c r="I313" s="25" t="s">
        <v>218</v>
      </c>
      <c r="J313" s="25" t="s">
        <v>28</v>
      </c>
      <c r="K313" s="25" t="s">
        <v>499</v>
      </c>
      <c r="L313" s="7">
        <v>6</v>
      </c>
    </row>
    <row r="314" spans="1:12" s="7" customFormat="1" outlineLevel="1" collapsed="1" x14ac:dyDescent="0.4">
      <c r="A314"/>
      <c r="B314" s="24" t="s">
        <v>868</v>
      </c>
      <c r="C314" s="25">
        <f>SUBTOTAL(3,C313:C313)</f>
        <v>1</v>
      </c>
      <c r="D314" s="25"/>
      <c r="E314" s="25"/>
      <c r="H314" s="25"/>
      <c r="I314" s="25"/>
      <c r="J314" s="25"/>
      <c r="K314" s="25"/>
    </row>
    <row r="315" spans="1:12" s="7" customFormat="1" hidden="1" outlineLevel="2" x14ac:dyDescent="0.4">
      <c r="A315">
        <v>1996</v>
      </c>
      <c r="B315" s="25" t="s">
        <v>10</v>
      </c>
      <c r="C315" s="25" t="s">
        <v>261</v>
      </c>
      <c r="D315" s="25" t="s">
        <v>262</v>
      </c>
      <c r="E315" s="25" t="s">
        <v>505</v>
      </c>
      <c r="G315" s="7">
        <v>94</v>
      </c>
      <c r="H315" s="25" t="s">
        <v>559</v>
      </c>
      <c r="I315" s="25" t="s">
        <v>263</v>
      </c>
      <c r="J315" s="25" t="s">
        <v>28</v>
      </c>
      <c r="K315" s="25" t="s">
        <v>499</v>
      </c>
      <c r="L315" s="7" t="s">
        <v>122</v>
      </c>
    </row>
    <row r="316" spans="1:12" s="7" customFormat="1" outlineLevel="1" collapsed="1" x14ac:dyDescent="0.4">
      <c r="A316"/>
      <c r="B316" s="24" t="s">
        <v>869</v>
      </c>
      <c r="C316" s="25">
        <f>SUBTOTAL(3,C315:C315)</f>
        <v>1</v>
      </c>
      <c r="D316" s="25"/>
      <c r="E316" s="25"/>
      <c r="H316" s="25"/>
      <c r="I316" s="25"/>
      <c r="J316" s="25"/>
      <c r="K316" s="25"/>
    </row>
    <row r="317" spans="1:12" s="7" customFormat="1" hidden="1" outlineLevel="2" x14ac:dyDescent="0.4">
      <c r="A317">
        <v>1965</v>
      </c>
      <c r="B317" s="25" t="s">
        <v>10</v>
      </c>
      <c r="C317" s="25" t="s">
        <v>103</v>
      </c>
      <c r="D317" s="25" t="s">
        <v>12</v>
      </c>
      <c r="E317" s="25" t="s">
        <v>503</v>
      </c>
      <c r="F317" s="7">
        <v>1</v>
      </c>
      <c r="G317" s="7">
        <v>67</v>
      </c>
      <c r="H317" s="25" t="s">
        <v>619</v>
      </c>
      <c r="I317" s="25" t="s">
        <v>104</v>
      </c>
      <c r="J317" s="25" t="s">
        <v>12</v>
      </c>
      <c r="K317" s="25" t="s">
        <v>503</v>
      </c>
      <c r="L317" s="7">
        <v>2</v>
      </c>
    </row>
    <row r="318" spans="1:12" s="7" customFormat="1" hidden="1" outlineLevel="2" x14ac:dyDescent="0.4">
      <c r="A318">
        <v>1964</v>
      </c>
      <c r="B318" s="25" t="s">
        <v>10</v>
      </c>
      <c r="C318" s="25" t="s">
        <v>103</v>
      </c>
      <c r="D318" s="25" t="s">
        <v>12</v>
      </c>
      <c r="E318" s="25" t="s">
        <v>503</v>
      </c>
      <c r="F318" s="7">
        <v>1</v>
      </c>
      <c r="G318" s="7">
        <v>127</v>
      </c>
      <c r="H318" s="25" t="s">
        <v>621</v>
      </c>
      <c r="I318" s="25" t="s">
        <v>104</v>
      </c>
      <c r="J318" s="25" t="s">
        <v>12</v>
      </c>
      <c r="K318" s="25" t="s">
        <v>503</v>
      </c>
      <c r="L318" s="7">
        <v>6</v>
      </c>
    </row>
    <row r="319" spans="1:12" s="7" customFormat="1" outlineLevel="1" collapsed="1" x14ac:dyDescent="0.4">
      <c r="A319"/>
      <c r="B319" s="24" t="s">
        <v>870</v>
      </c>
      <c r="C319" s="25">
        <f>SUBTOTAL(3,C317:C318)</f>
        <v>2</v>
      </c>
      <c r="D319" s="25"/>
      <c r="E319" s="25"/>
      <c r="H319" s="25"/>
      <c r="I319" s="25"/>
      <c r="J319" s="25"/>
      <c r="K319" s="25"/>
    </row>
    <row r="320" spans="1:12" s="7" customFormat="1" hidden="1" outlineLevel="2" x14ac:dyDescent="0.4">
      <c r="A320">
        <v>2016</v>
      </c>
      <c r="B320" s="25" t="s">
        <v>268</v>
      </c>
      <c r="C320" s="25" t="s">
        <v>416</v>
      </c>
      <c r="D320" s="25" t="s">
        <v>28</v>
      </c>
      <c r="E320" s="25" t="s">
        <v>499</v>
      </c>
      <c r="F320" s="7">
        <v>1</v>
      </c>
      <c r="G320" s="7">
        <v>83</v>
      </c>
      <c r="H320" s="25" t="s">
        <v>522</v>
      </c>
      <c r="I320" s="25" t="s">
        <v>428</v>
      </c>
      <c r="J320" s="25" t="s">
        <v>126</v>
      </c>
      <c r="K320" s="25" t="s">
        <v>495</v>
      </c>
      <c r="L320" s="7">
        <v>4</v>
      </c>
    </row>
    <row r="321" spans="1:12" s="7" customFormat="1" hidden="1" outlineLevel="2" x14ac:dyDescent="0.4">
      <c r="A321">
        <v>2015</v>
      </c>
      <c r="B321" s="25" t="s">
        <v>268</v>
      </c>
      <c r="C321" s="25" t="s">
        <v>416</v>
      </c>
      <c r="D321" s="25" t="s">
        <v>28</v>
      </c>
      <c r="E321" s="25" t="s">
        <v>499</v>
      </c>
      <c r="F321" s="7">
        <v>1</v>
      </c>
      <c r="G321" s="7">
        <v>83</v>
      </c>
      <c r="H321" s="25" t="s">
        <v>524</v>
      </c>
      <c r="I321" s="25" t="s">
        <v>417</v>
      </c>
      <c r="J321" s="25" t="s">
        <v>135</v>
      </c>
      <c r="K321" s="25" t="s">
        <v>496</v>
      </c>
      <c r="L321" s="7">
        <v>20</v>
      </c>
    </row>
    <row r="322" spans="1:12" s="7" customFormat="1" hidden="1" outlineLevel="2" x14ac:dyDescent="0.4">
      <c r="A322">
        <v>2012</v>
      </c>
      <c r="B322" s="25" t="s">
        <v>268</v>
      </c>
      <c r="C322" s="25" t="s">
        <v>416</v>
      </c>
      <c r="D322" s="25" t="s">
        <v>28</v>
      </c>
      <c r="E322" s="25" t="s">
        <v>499</v>
      </c>
      <c r="F322" s="7">
        <v>6</v>
      </c>
      <c r="G322" s="7">
        <v>122</v>
      </c>
      <c r="H322" s="25" t="s">
        <v>528</v>
      </c>
      <c r="I322" s="25" t="s">
        <v>467</v>
      </c>
      <c r="J322" s="25" t="s">
        <v>375</v>
      </c>
      <c r="K322" s="25" t="s">
        <v>512</v>
      </c>
      <c r="L322" s="7">
        <v>3</v>
      </c>
    </row>
    <row r="323" spans="1:12" s="7" customFormat="1" hidden="1" outlineLevel="2" x14ac:dyDescent="0.4">
      <c r="A323">
        <v>2010</v>
      </c>
      <c r="B323" s="25" t="s">
        <v>268</v>
      </c>
      <c r="C323" s="25" t="s">
        <v>416</v>
      </c>
      <c r="D323" s="25" t="s">
        <v>28</v>
      </c>
      <c r="E323" s="25" t="s">
        <v>499</v>
      </c>
      <c r="F323" s="7">
        <v>1</v>
      </c>
      <c r="G323" s="7">
        <v>66</v>
      </c>
      <c r="H323" s="25" t="s">
        <v>531</v>
      </c>
      <c r="I323" s="25" t="s">
        <v>419</v>
      </c>
      <c r="J323" s="25" t="s">
        <v>296</v>
      </c>
      <c r="K323" s="25" t="s">
        <v>502</v>
      </c>
      <c r="L323" s="7">
        <v>21</v>
      </c>
    </row>
    <row r="324" spans="1:12" s="7" customFormat="1" hidden="1" outlineLevel="2" x14ac:dyDescent="0.4">
      <c r="A324">
        <v>2009</v>
      </c>
      <c r="B324" s="25" t="s">
        <v>268</v>
      </c>
      <c r="C324" s="25" t="s">
        <v>416</v>
      </c>
      <c r="D324" s="25" t="s">
        <v>28</v>
      </c>
      <c r="E324" s="25" t="s">
        <v>499</v>
      </c>
      <c r="F324" s="7">
        <v>2</v>
      </c>
      <c r="G324" s="7">
        <v>87</v>
      </c>
      <c r="H324" s="25" t="s">
        <v>533</v>
      </c>
      <c r="I324" s="25" t="s">
        <v>430</v>
      </c>
      <c r="J324" s="25" t="s">
        <v>28</v>
      </c>
      <c r="K324" s="25" t="s">
        <v>499</v>
      </c>
      <c r="L324" s="7">
        <v>3</v>
      </c>
    </row>
    <row r="325" spans="1:12" s="7" customFormat="1" hidden="1" outlineLevel="2" x14ac:dyDescent="0.4">
      <c r="A325">
        <v>2003</v>
      </c>
      <c r="B325" s="25" t="s">
        <v>268</v>
      </c>
      <c r="C325" s="25" t="s">
        <v>416</v>
      </c>
      <c r="D325" s="25" t="s">
        <v>28</v>
      </c>
      <c r="E325" s="25" t="s">
        <v>499</v>
      </c>
      <c r="F325" s="7">
        <v>1</v>
      </c>
      <c r="G325" s="7">
        <v>123</v>
      </c>
      <c r="H325" s="25" t="s">
        <v>545</v>
      </c>
      <c r="I325" s="25" t="s">
        <v>430</v>
      </c>
      <c r="J325" s="25" t="s">
        <v>28</v>
      </c>
      <c r="K325" s="25" t="s">
        <v>499</v>
      </c>
      <c r="L325" s="7">
        <v>4</v>
      </c>
    </row>
    <row r="326" spans="1:12" s="7" customFormat="1" hidden="1" outlineLevel="2" x14ac:dyDescent="0.4">
      <c r="A326">
        <v>2002</v>
      </c>
      <c r="B326" s="25" t="s">
        <v>268</v>
      </c>
      <c r="C326" s="25" t="s">
        <v>416</v>
      </c>
      <c r="D326" s="25" t="s">
        <v>28</v>
      </c>
      <c r="E326" s="25" t="s">
        <v>499</v>
      </c>
      <c r="F326" s="7">
        <v>2</v>
      </c>
      <c r="G326" s="7">
        <v>78</v>
      </c>
      <c r="H326" s="25" t="s">
        <v>547</v>
      </c>
      <c r="I326" s="25" t="s">
        <v>430</v>
      </c>
      <c r="J326" s="25" t="s">
        <v>28</v>
      </c>
      <c r="K326" s="25" t="s">
        <v>499</v>
      </c>
      <c r="L326" s="7">
        <v>1</v>
      </c>
    </row>
    <row r="327" spans="1:12" s="7" customFormat="1" outlineLevel="1" collapsed="1" x14ac:dyDescent="0.4">
      <c r="A327"/>
      <c r="B327" s="24" t="s">
        <v>871</v>
      </c>
      <c r="C327" s="25">
        <f>SUBTOTAL(3,C320:C326)</f>
        <v>7</v>
      </c>
      <c r="D327" s="25"/>
      <c r="E327" s="25"/>
      <c r="H327" s="25"/>
      <c r="I327" s="25"/>
      <c r="J327" s="25"/>
      <c r="K327" s="25"/>
    </row>
    <row r="328" spans="1:12" s="7" customFormat="1" hidden="1" outlineLevel="2" x14ac:dyDescent="0.4">
      <c r="A328">
        <v>1990</v>
      </c>
      <c r="B328" s="25" t="s">
        <v>10</v>
      </c>
      <c r="C328" s="25" t="s">
        <v>228</v>
      </c>
      <c r="D328" s="25" t="s">
        <v>143</v>
      </c>
      <c r="E328" s="25" t="s">
        <v>506</v>
      </c>
      <c r="F328" s="7">
        <v>3</v>
      </c>
      <c r="G328" s="7">
        <v>178</v>
      </c>
      <c r="H328" s="25" t="s">
        <v>570</v>
      </c>
      <c r="I328" s="25" t="s">
        <v>213</v>
      </c>
      <c r="J328" s="25" t="s">
        <v>126</v>
      </c>
      <c r="K328" s="25" t="s">
        <v>495</v>
      </c>
      <c r="L328" s="7">
        <v>2</v>
      </c>
    </row>
    <row r="329" spans="1:12" s="7" customFormat="1" hidden="1" outlineLevel="2" x14ac:dyDescent="0.4">
      <c r="A329">
        <v>1988</v>
      </c>
      <c r="B329" s="25" t="s">
        <v>10</v>
      </c>
      <c r="C329" s="25" t="s">
        <v>228</v>
      </c>
      <c r="D329" s="25" t="s">
        <v>143</v>
      </c>
      <c r="E329" s="25" t="s">
        <v>506</v>
      </c>
      <c r="F329" s="7">
        <v>3</v>
      </c>
      <c r="G329" s="7">
        <v>170</v>
      </c>
      <c r="H329" s="25" t="s">
        <v>575</v>
      </c>
      <c r="I329" s="25" t="s">
        <v>213</v>
      </c>
      <c r="J329" s="25" t="s">
        <v>126</v>
      </c>
      <c r="K329" s="25" t="s">
        <v>495</v>
      </c>
      <c r="L329" s="7">
        <v>6</v>
      </c>
    </row>
    <row r="330" spans="1:12" s="7" customFormat="1" outlineLevel="1" collapsed="1" x14ac:dyDescent="0.4">
      <c r="A330"/>
      <c r="B330" s="24" t="s">
        <v>872</v>
      </c>
      <c r="C330" s="25">
        <f>SUBTOTAL(3,C328:C329)</f>
        <v>2</v>
      </c>
      <c r="D330" s="25"/>
      <c r="E330" s="25"/>
      <c r="H330" s="25"/>
      <c r="I330" s="25"/>
      <c r="J330" s="25"/>
      <c r="K330" s="25"/>
    </row>
    <row r="331" spans="1:12" s="7" customFormat="1" hidden="1" outlineLevel="2" x14ac:dyDescent="0.4">
      <c r="A331">
        <v>1931</v>
      </c>
      <c r="B331" s="25" t="s">
        <v>10</v>
      </c>
      <c r="C331" s="25" t="s">
        <v>258</v>
      </c>
      <c r="D331" s="25" t="s">
        <v>28</v>
      </c>
      <c r="E331" s="25" t="s">
        <v>499</v>
      </c>
      <c r="F331" s="7">
        <v>7</v>
      </c>
      <c r="H331" s="25" t="s">
        <v>668</v>
      </c>
      <c r="I331" s="25" t="s">
        <v>259</v>
      </c>
      <c r="J331" s="25" t="s">
        <v>28</v>
      </c>
      <c r="K331" s="25" t="s">
        <v>499</v>
      </c>
      <c r="L331" s="7">
        <v>3</v>
      </c>
    </row>
    <row r="332" spans="1:12" s="7" customFormat="1" outlineLevel="1" collapsed="1" x14ac:dyDescent="0.4">
      <c r="A332"/>
      <c r="B332" s="24" t="s">
        <v>873</v>
      </c>
      <c r="C332" s="25">
        <f>SUBTOTAL(3,C331:C331)</f>
        <v>1</v>
      </c>
      <c r="D332" s="25"/>
      <c r="E332" s="25"/>
      <c r="H332" s="25"/>
      <c r="I332" s="25"/>
      <c r="J332" s="25"/>
      <c r="K332" s="25"/>
    </row>
    <row r="333" spans="1:12" s="7" customFormat="1" hidden="1" outlineLevel="2" x14ac:dyDescent="0.4">
      <c r="A333">
        <v>2019</v>
      </c>
      <c r="B333" s="25" t="s">
        <v>268</v>
      </c>
      <c r="C333" s="25" t="s">
        <v>471</v>
      </c>
      <c r="D333" s="25" t="s">
        <v>472</v>
      </c>
      <c r="E333" s="25" t="s">
        <v>493</v>
      </c>
      <c r="F333" s="7">
        <v>7</v>
      </c>
      <c r="G333" s="7">
        <v>56</v>
      </c>
      <c r="H333" s="25" t="s">
        <v>473</v>
      </c>
      <c r="I333" s="25" t="s">
        <v>416</v>
      </c>
      <c r="J333" s="25" t="s">
        <v>28</v>
      </c>
      <c r="K333" s="25" t="s">
        <v>499</v>
      </c>
      <c r="L333" s="7">
        <v>11</v>
      </c>
    </row>
    <row r="334" spans="1:12" s="7" customFormat="1" outlineLevel="1" collapsed="1" x14ac:dyDescent="0.4">
      <c r="A334"/>
      <c r="B334" s="24" t="s">
        <v>874</v>
      </c>
      <c r="C334" s="25">
        <f>SUBTOTAL(3,C333:C333)</f>
        <v>1</v>
      </c>
      <c r="D334" s="25"/>
      <c r="E334" s="25"/>
      <c r="H334" s="25"/>
      <c r="I334" s="25"/>
      <c r="J334" s="25"/>
      <c r="K334" s="25"/>
    </row>
    <row r="335" spans="1:12" s="7" customFormat="1" hidden="1" outlineLevel="2" x14ac:dyDescent="0.4">
      <c r="A335">
        <v>1956</v>
      </c>
      <c r="B335" s="25" t="s">
        <v>268</v>
      </c>
      <c r="C335" s="25" t="s">
        <v>460</v>
      </c>
      <c r="D335" s="25" t="s">
        <v>28</v>
      </c>
      <c r="E335" s="25" t="s">
        <v>499</v>
      </c>
      <c r="F335" s="7">
        <v>5</v>
      </c>
      <c r="G335" s="7">
        <v>50</v>
      </c>
      <c r="H335" s="25" t="s">
        <v>635</v>
      </c>
      <c r="I335" s="25" t="s">
        <v>465</v>
      </c>
      <c r="J335" s="25" t="s">
        <v>15</v>
      </c>
      <c r="K335" s="25" t="s">
        <v>498</v>
      </c>
      <c r="L335" s="7">
        <v>6</v>
      </c>
    </row>
    <row r="336" spans="1:12" s="7" customFormat="1" outlineLevel="1" collapsed="1" x14ac:dyDescent="0.4">
      <c r="A336"/>
      <c r="B336" s="24" t="s">
        <v>875</v>
      </c>
      <c r="C336" s="25">
        <f>SUBTOTAL(3,C335:C335)</f>
        <v>1</v>
      </c>
      <c r="D336" s="25"/>
      <c r="E336" s="25"/>
      <c r="H336" s="25"/>
      <c r="I336" s="25"/>
      <c r="J336" s="25"/>
      <c r="K336" s="25"/>
    </row>
    <row r="337" spans="1:12" s="7" customFormat="1" hidden="1" outlineLevel="2" x14ac:dyDescent="0.4">
      <c r="A337">
        <v>1996</v>
      </c>
      <c r="B337" s="25" t="s">
        <v>268</v>
      </c>
      <c r="C337" s="25" t="s">
        <v>380</v>
      </c>
      <c r="D337" s="25" t="s">
        <v>126</v>
      </c>
      <c r="E337" s="25" t="s">
        <v>495</v>
      </c>
      <c r="F337" s="7">
        <v>1</v>
      </c>
      <c r="G337" s="7">
        <v>88</v>
      </c>
      <c r="H337" s="25" t="s">
        <v>558</v>
      </c>
      <c r="I337" s="25" t="s">
        <v>384</v>
      </c>
      <c r="J337" s="25" t="s">
        <v>135</v>
      </c>
      <c r="K337" s="25" t="s">
        <v>496</v>
      </c>
      <c r="L337" s="7">
        <v>4</v>
      </c>
    </row>
    <row r="338" spans="1:12" s="7" customFormat="1" hidden="1" outlineLevel="2" x14ac:dyDescent="0.4">
      <c r="A338">
        <v>1995</v>
      </c>
      <c r="B338" s="25" t="s">
        <v>268</v>
      </c>
      <c r="C338" s="25" t="s">
        <v>380</v>
      </c>
      <c r="D338" s="25" t="s">
        <v>126</v>
      </c>
      <c r="E338" s="25" t="s">
        <v>495</v>
      </c>
      <c r="F338" s="7">
        <v>1</v>
      </c>
      <c r="G338" s="7">
        <v>122</v>
      </c>
      <c r="H338" s="25" t="s">
        <v>560</v>
      </c>
      <c r="I338" s="25" t="s">
        <v>384</v>
      </c>
      <c r="J338" s="25" t="s">
        <v>135</v>
      </c>
      <c r="K338" s="25" t="s">
        <v>496</v>
      </c>
      <c r="L338" s="7">
        <v>2</v>
      </c>
    </row>
    <row r="339" spans="1:12" s="7" customFormat="1" hidden="1" outlineLevel="2" x14ac:dyDescent="0.4">
      <c r="A339">
        <v>1993</v>
      </c>
      <c r="B339" s="25" t="s">
        <v>268</v>
      </c>
      <c r="C339" s="25" t="s">
        <v>380</v>
      </c>
      <c r="D339" s="25" t="s">
        <v>126</v>
      </c>
      <c r="E339" s="25" t="s">
        <v>495</v>
      </c>
      <c r="F339" s="7">
        <v>1</v>
      </c>
      <c r="G339" s="7">
        <v>134</v>
      </c>
      <c r="H339" s="25" t="s">
        <v>564</v>
      </c>
      <c r="I339" s="25" t="s">
        <v>288</v>
      </c>
      <c r="J339" s="25" t="s">
        <v>107</v>
      </c>
      <c r="K339" s="25" t="s">
        <v>500</v>
      </c>
      <c r="L339" s="7">
        <v>8</v>
      </c>
    </row>
    <row r="340" spans="1:12" s="7" customFormat="1" hidden="1" outlineLevel="2" x14ac:dyDescent="0.4">
      <c r="A340">
        <v>1992</v>
      </c>
      <c r="B340" s="25" t="s">
        <v>268</v>
      </c>
      <c r="C340" s="25" t="s">
        <v>380</v>
      </c>
      <c r="D340" s="25" t="s">
        <v>126</v>
      </c>
      <c r="E340" s="25" t="s">
        <v>495</v>
      </c>
      <c r="F340" s="7">
        <v>2</v>
      </c>
      <c r="G340" s="7">
        <v>58</v>
      </c>
      <c r="H340" s="25" t="s">
        <v>566</v>
      </c>
      <c r="I340" s="25" t="s">
        <v>394</v>
      </c>
      <c r="J340" s="25" t="s">
        <v>393</v>
      </c>
      <c r="K340" s="25" t="s">
        <v>515</v>
      </c>
      <c r="L340" s="7">
        <v>1</v>
      </c>
    </row>
    <row r="341" spans="1:12" s="7" customFormat="1" hidden="1" outlineLevel="2" x14ac:dyDescent="0.4">
      <c r="A341">
        <v>1991</v>
      </c>
      <c r="B341" s="25" t="s">
        <v>268</v>
      </c>
      <c r="C341" s="25" t="s">
        <v>380</v>
      </c>
      <c r="D341" s="25" t="s">
        <v>126</v>
      </c>
      <c r="E341" s="25" t="s">
        <v>495</v>
      </c>
      <c r="F341" s="7">
        <v>1</v>
      </c>
      <c r="G341" s="7">
        <v>127</v>
      </c>
      <c r="H341" s="25" t="s">
        <v>569</v>
      </c>
      <c r="I341" s="25" t="s">
        <v>382</v>
      </c>
      <c r="J341" s="25" t="s">
        <v>111</v>
      </c>
      <c r="K341" s="25" t="s">
        <v>514</v>
      </c>
      <c r="L341" s="7">
        <v>2</v>
      </c>
    </row>
    <row r="342" spans="1:12" s="7" customFormat="1" hidden="1" outlineLevel="2" x14ac:dyDescent="0.4">
      <c r="A342">
        <v>1989</v>
      </c>
      <c r="B342" s="25" t="s">
        <v>268</v>
      </c>
      <c r="C342" s="25" t="s">
        <v>380</v>
      </c>
      <c r="D342" s="25" t="s">
        <v>126</v>
      </c>
      <c r="E342" s="25" t="s">
        <v>495</v>
      </c>
      <c r="F342" s="7">
        <v>1</v>
      </c>
      <c r="G342" s="7">
        <v>92</v>
      </c>
      <c r="H342" s="25" t="s">
        <v>573</v>
      </c>
      <c r="I342" s="25" t="s">
        <v>300</v>
      </c>
      <c r="J342" s="25" t="s">
        <v>28</v>
      </c>
      <c r="K342" s="25" t="s">
        <v>499</v>
      </c>
      <c r="L342" s="7">
        <v>2</v>
      </c>
    </row>
    <row r="343" spans="1:12" s="7" customFormat="1" hidden="1" outlineLevel="2" x14ac:dyDescent="0.4">
      <c r="A343">
        <v>1988</v>
      </c>
      <c r="B343" s="25" t="s">
        <v>268</v>
      </c>
      <c r="C343" s="25" t="s">
        <v>380</v>
      </c>
      <c r="D343" s="25" t="s">
        <v>126</v>
      </c>
      <c r="E343" s="25" t="s">
        <v>495</v>
      </c>
      <c r="F343" s="7">
        <v>1</v>
      </c>
      <c r="G343" s="7">
        <v>93</v>
      </c>
      <c r="H343" s="25" t="s">
        <v>574</v>
      </c>
      <c r="I343" s="25" t="s">
        <v>300</v>
      </c>
      <c r="J343" s="25" t="s">
        <v>28</v>
      </c>
      <c r="K343" s="25" t="s">
        <v>499</v>
      </c>
      <c r="L343" s="7">
        <v>2</v>
      </c>
    </row>
    <row r="344" spans="1:12" s="7" customFormat="1" outlineLevel="1" collapsed="1" x14ac:dyDescent="0.4">
      <c r="A344"/>
      <c r="B344" s="24" t="s">
        <v>876</v>
      </c>
      <c r="C344" s="25">
        <f>SUBTOTAL(3,C337:C343)</f>
        <v>7</v>
      </c>
      <c r="D344" s="25"/>
      <c r="E344" s="25"/>
      <c r="H344" s="25"/>
      <c r="I344" s="25"/>
      <c r="J344" s="25"/>
      <c r="K344" s="25"/>
    </row>
    <row r="345" spans="1:12" s="7" customFormat="1" hidden="1" outlineLevel="2" x14ac:dyDescent="0.4">
      <c r="A345">
        <v>1972</v>
      </c>
      <c r="B345" s="25" t="s">
        <v>10</v>
      </c>
      <c r="C345" s="25" t="s">
        <v>159</v>
      </c>
      <c r="D345" s="25" t="s">
        <v>28</v>
      </c>
      <c r="E345" s="25" t="s">
        <v>499</v>
      </c>
      <c r="F345" s="7">
        <v>1</v>
      </c>
      <c r="G345" s="7">
        <v>161</v>
      </c>
      <c r="H345" s="25" t="s">
        <v>606</v>
      </c>
      <c r="I345" s="25" t="s">
        <v>161</v>
      </c>
      <c r="J345" s="25" t="s">
        <v>160</v>
      </c>
      <c r="K345" s="25" t="s">
        <v>493</v>
      </c>
      <c r="L345" s="7">
        <v>2</v>
      </c>
    </row>
    <row r="346" spans="1:12" s="7" customFormat="1" outlineLevel="1" collapsed="1" x14ac:dyDescent="0.4">
      <c r="A346"/>
      <c r="B346" s="24" t="s">
        <v>877</v>
      </c>
      <c r="C346" s="25">
        <f>SUBTOTAL(3,C345:C345)</f>
        <v>1</v>
      </c>
      <c r="D346" s="25"/>
      <c r="E346" s="25"/>
      <c r="H346" s="25"/>
      <c r="I346" s="25"/>
      <c r="J346" s="25"/>
      <c r="K346" s="25"/>
    </row>
    <row r="347" spans="1:12" s="7" customFormat="1" hidden="1" outlineLevel="2" x14ac:dyDescent="0.4">
      <c r="A347">
        <v>1925</v>
      </c>
      <c r="B347" s="25" t="s">
        <v>268</v>
      </c>
      <c r="C347" s="25" t="s">
        <v>301</v>
      </c>
      <c r="D347" s="25" t="s">
        <v>24</v>
      </c>
      <c r="E347" s="25" t="s">
        <v>501</v>
      </c>
      <c r="G347" s="7">
        <v>25</v>
      </c>
      <c r="H347" s="25" t="s">
        <v>654</v>
      </c>
      <c r="I347" s="25" t="s">
        <v>303</v>
      </c>
      <c r="J347" s="25" t="s">
        <v>15</v>
      </c>
      <c r="K347" s="25" t="s">
        <v>498</v>
      </c>
    </row>
    <row r="348" spans="1:12" s="7" customFormat="1" hidden="1" outlineLevel="2" x14ac:dyDescent="0.4">
      <c r="A348">
        <v>1923</v>
      </c>
      <c r="B348" s="25" t="s">
        <v>268</v>
      </c>
      <c r="C348" s="25" t="s">
        <v>301</v>
      </c>
      <c r="D348" s="25" t="s">
        <v>24</v>
      </c>
      <c r="E348" s="25" t="s">
        <v>501</v>
      </c>
      <c r="H348" s="25" t="s">
        <v>473</v>
      </c>
      <c r="I348" s="25" t="s">
        <v>305</v>
      </c>
      <c r="J348" s="25" t="s">
        <v>15</v>
      </c>
      <c r="K348" s="25" t="s">
        <v>498</v>
      </c>
    </row>
    <row r="349" spans="1:12" s="7" customFormat="1" hidden="1" outlineLevel="2" x14ac:dyDescent="0.4">
      <c r="A349">
        <v>1922</v>
      </c>
      <c r="B349" s="25" t="s">
        <v>268</v>
      </c>
      <c r="C349" s="25" t="s">
        <v>301</v>
      </c>
      <c r="D349" s="25" t="s">
        <v>24</v>
      </c>
      <c r="E349" s="25" t="s">
        <v>501</v>
      </c>
      <c r="G349" s="7">
        <v>23</v>
      </c>
      <c r="H349" s="25" t="s">
        <v>654</v>
      </c>
      <c r="I349" s="25" t="s">
        <v>309</v>
      </c>
      <c r="J349" s="25" t="s">
        <v>28</v>
      </c>
      <c r="K349" s="25" t="s">
        <v>499</v>
      </c>
    </row>
    <row r="350" spans="1:12" s="7" customFormat="1" hidden="1" outlineLevel="2" x14ac:dyDescent="0.4">
      <c r="A350">
        <v>1921</v>
      </c>
      <c r="B350" s="25" t="s">
        <v>268</v>
      </c>
      <c r="C350" s="25" t="s">
        <v>301</v>
      </c>
      <c r="D350" s="25" t="s">
        <v>24</v>
      </c>
      <c r="E350" s="25" t="s">
        <v>501</v>
      </c>
      <c r="H350" s="25" t="s">
        <v>654</v>
      </c>
      <c r="I350" s="25" t="s">
        <v>308</v>
      </c>
      <c r="J350" s="25" t="s">
        <v>28</v>
      </c>
      <c r="K350" s="25" t="s">
        <v>499</v>
      </c>
    </row>
    <row r="351" spans="1:12" s="7" customFormat="1" hidden="1" outlineLevel="2" x14ac:dyDescent="0.4">
      <c r="A351">
        <v>1920</v>
      </c>
      <c r="B351" s="25" t="s">
        <v>268</v>
      </c>
      <c r="C351" s="25" t="s">
        <v>301</v>
      </c>
      <c r="D351" s="25" t="s">
        <v>24</v>
      </c>
      <c r="E351" s="25" t="s">
        <v>501</v>
      </c>
      <c r="H351" s="25" t="s">
        <v>525</v>
      </c>
      <c r="I351" s="25" t="s">
        <v>307</v>
      </c>
      <c r="J351" s="25" t="s">
        <v>15</v>
      </c>
      <c r="K351" s="25" t="s">
        <v>498</v>
      </c>
    </row>
    <row r="352" spans="1:12" s="7" customFormat="1" hidden="1" outlineLevel="2" x14ac:dyDescent="0.4">
      <c r="A352">
        <v>1919</v>
      </c>
      <c r="B352" s="25" t="s">
        <v>268</v>
      </c>
      <c r="C352" s="25" t="s">
        <v>301</v>
      </c>
      <c r="D352" s="25" t="s">
        <v>24</v>
      </c>
      <c r="E352" s="25" t="s">
        <v>501</v>
      </c>
      <c r="G352" s="7">
        <v>125</v>
      </c>
      <c r="H352" s="25" t="s">
        <v>684</v>
      </c>
      <c r="I352" s="25" t="s">
        <v>307</v>
      </c>
      <c r="J352" s="25" t="s">
        <v>15</v>
      </c>
      <c r="K352" s="25" t="s">
        <v>498</v>
      </c>
    </row>
    <row r="353" spans="1:12" s="7" customFormat="1" outlineLevel="1" collapsed="1" x14ac:dyDescent="0.4">
      <c r="A353"/>
      <c r="B353" s="24" t="s">
        <v>878</v>
      </c>
      <c r="C353" s="25">
        <f>SUBTOTAL(3,C347:C352)</f>
        <v>6</v>
      </c>
      <c r="D353" s="25"/>
      <c r="E353" s="25"/>
      <c r="H353" s="25"/>
      <c r="I353" s="25"/>
      <c r="J353" s="25"/>
      <c r="K353" s="25"/>
    </row>
    <row r="354" spans="1:12" s="7" customFormat="1" hidden="1" outlineLevel="2" x14ac:dyDescent="0.4">
      <c r="A354">
        <v>1977</v>
      </c>
      <c r="B354" s="25" t="s">
        <v>268</v>
      </c>
      <c r="C354" s="25" t="s">
        <v>369</v>
      </c>
      <c r="D354" s="25" t="s">
        <v>15</v>
      </c>
      <c r="E354" s="25" t="s">
        <v>498</v>
      </c>
      <c r="F354" s="7">
        <v>3</v>
      </c>
      <c r="G354" s="7">
        <v>98</v>
      </c>
      <c r="H354" s="25" t="s">
        <v>596</v>
      </c>
      <c r="I354" s="25" t="s">
        <v>371</v>
      </c>
      <c r="J354" s="25" t="s">
        <v>262</v>
      </c>
      <c r="K354" s="25" t="s">
        <v>505</v>
      </c>
      <c r="L354" s="7">
        <v>7</v>
      </c>
    </row>
    <row r="355" spans="1:12" s="7" customFormat="1" outlineLevel="1" collapsed="1" x14ac:dyDescent="0.4">
      <c r="A355"/>
      <c r="B355" s="24" t="s">
        <v>879</v>
      </c>
      <c r="C355" s="25">
        <f>SUBTOTAL(3,C354:C354)</f>
        <v>1</v>
      </c>
      <c r="D355" s="25"/>
      <c r="E355" s="25"/>
      <c r="H355" s="25"/>
      <c r="I355" s="25"/>
      <c r="J355" s="25"/>
      <c r="K355" s="25"/>
    </row>
    <row r="356" spans="1:12" s="7" customFormat="1" hidden="1" outlineLevel="2" x14ac:dyDescent="0.4">
      <c r="A356">
        <v>1877</v>
      </c>
      <c r="B356" s="25" t="s">
        <v>10</v>
      </c>
      <c r="C356" s="25" t="s">
        <v>59</v>
      </c>
      <c r="D356" s="25" t="s">
        <v>15</v>
      </c>
      <c r="E356" s="25" t="s">
        <v>498</v>
      </c>
      <c r="G356" s="7">
        <v>48</v>
      </c>
      <c r="H356" s="25" t="s">
        <v>735</v>
      </c>
      <c r="I356" s="25" t="s">
        <v>66</v>
      </c>
      <c r="J356" s="25" t="s">
        <v>15</v>
      </c>
      <c r="K356" s="25" t="s">
        <v>498</v>
      </c>
    </row>
    <row r="357" spans="1:12" s="7" customFormat="1" outlineLevel="1" collapsed="1" x14ac:dyDescent="0.4">
      <c r="A357"/>
      <c r="B357" s="24" t="s">
        <v>880</v>
      </c>
      <c r="C357" s="25">
        <f>SUBTOTAL(3,C356:C356)</f>
        <v>1</v>
      </c>
      <c r="D357" s="25"/>
      <c r="E357" s="25"/>
      <c r="H357" s="25"/>
      <c r="I357" s="25"/>
      <c r="J357" s="25"/>
      <c r="K357" s="25"/>
    </row>
    <row r="358" spans="1:12" s="7" customFormat="1" hidden="1" outlineLevel="2" x14ac:dyDescent="0.4">
      <c r="A358">
        <v>2008</v>
      </c>
      <c r="B358" s="25" t="s">
        <v>268</v>
      </c>
      <c r="C358" s="25" t="s">
        <v>430</v>
      </c>
      <c r="D358" s="25" t="s">
        <v>28</v>
      </c>
      <c r="E358" s="25" t="s">
        <v>499</v>
      </c>
      <c r="F358" s="7">
        <v>7</v>
      </c>
      <c r="G358" s="7">
        <v>111</v>
      </c>
      <c r="H358" s="25" t="s">
        <v>535</v>
      </c>
      <c r="I358" s="25" t="s">
        <v>416</v>
      </c>
      <c r="J358" s="25" t="s">
        <v>28</v>
      </c>
      <c r="K358" s="25" t="s">
        <v>499</v>
      </c>
      <c r="L358" s="7">
        <v>6</v>
      </c>
    </row>
    <row r="359" spans="1:12" s="7" customFormat="1" hidden="1" outlineLevel="2" x14ac:dyDescent="0.4">
      <c r="A359">
        <v>2007</v>
      </c>
      <c r="B359" s="25" t="s">
        <v>268</v>
      </c>
      <c r="C359" s="25" t="s">
        <v>430</v>
      </c>
      <c r="D359" s="25" t="s">
        <v>28</v>
      </c>
      <c r="E359" s="25" t="s">
        <v>499</v>
      </c>
      <c r="F359" s="7">
        <v>23</v>
      </c>
      <c r="G359" s="7">
        <v>90</v>
      </c>
      <c r="H359" s="25" t="s">
        <v>537</v>
      </c>
      <c r="I359" s="25" t="s">
        <v>314</v>
      </c>
      <c r="J359" s="25" t="s">
        <v>24</v>
      </c>
      <c r="K359" s="25" t="s">
        <v>501</v>
      </c>
      <c r="L359" s="7">
        <v>18</v>
      </c>
    </row>
    <row r="360" spans="1:12" s="7" customFormat="1" hidden="1" outlineLevel="2" x14ac:dyDescent="0.4">
      <c r="A360">
        <v>2005</v>
      </c>
      <c r="B360" s="25" t="s">
        <v>268</v>
      </c>
      <c r="C360" s="25" t="s">
        <v>430</v>
      </c>
      <c r="D360" s="25" t="s">
        <v>28</v>
      </c>
      <c r="E360" s="25" t="s">
        <v>499</v>
      </c>
      <c r="F360" s="7">
        <v>14</v>
      </c>
      <c r="G360" s="7">
        <v>166</v>
      </c>
      <c r="H360" s="25" t="s">
        <v>541</v>
      </c>
      <c r="I360" s="25" t="s">
        <v>441</v>
      </c>
      <c r="J360" s="25" t="s">
        <v>28</v>
      </c>
      <c r="K360" s="25" t="s">
        <v>499</v>
      </c>
      <c r="L360" s="7">
        <v>1</v>
      </c>
    </row>
    <row r="361" spans="1:12" s="7" customFormat="1" hidden="1" outlineLevel="2" x14ac:dyDescent="0.4">
      <c r="A361">
        <v>2001</v>
      </c>
      <c r="B361" s="25" t="s">
        <v>268</v>
      </c>
      <c r="C361" s="25" t="s">
        <v>430</v>
      </c>
      <c r="D361" s="25" t="s">
        <v>28</v>
      </c>
      <c r="E361" s="25" t="s">
        <v>499</v>
      </c>
      <c r="F361" s="7">
        <v>2</v>
      </c>
      <c r="G361" s="7">
        <v>69</v>
      </c>
      <c r="H361" s="25" t="s">
        <v>549</v>
      </c>
      <c r="I361" s="25" t="s">
        <v>454</v>
      </c>
      <c r="J361" s="25" t="s">
        <v>312</v>
      </c>
      <c r="K361" s="25" t="s">
        <v>513</v>
      </c>
      <c r="L361" s="7">
        <v>8</v>
      </c>
    </row>
    <row r="362" spans="1:12" s="7" customFormat="1" hidden="1" outlineLevel="2" x14ac:dyDescent="0.4">
      <c r="A362">
        <v>2000</v>
      </c>
      <c r="B362" s="25" t="s">
        <v>268</v>
      </c>
      <c r="C362" s="25" t="s">
        <v>430</v>
      </c>
      <c r="D362" s="25" t="s">
        <v>28</v>
      </c>
      <c r="E362" s="25" t="s">
        <v>499</v>
      </c>
      <c r="F362" s="7">
        <v>5</v>
      </c>
      <c r="G362" s="7">
        <v>84</v>
      </c>
      <c r="H362" s="25" t="s">
        <v>551</v>
      </c>
      <c r="I362" s="25" t="s">
        <v>456</v>
      </c>
      <c r="J362" s="25" t="s">
        <v>28</v>
      </c>
      <c r="K362" s="25" t="s">
        <v>499</v>
      </c>
      <c r="L362" s="7">
        <v>2</v>
      </c>
    </row>
    <row r="363" spans="1:12" s="7" customFormat="1" outlineLevel="1" collapsed="1" x14ac:dyDescent="0.4">
      <c r="A363"/>
      <c r="B363" s="24" t="s">
        <v>881</v>
      </c>
      <c r="C363" s="25">
        <f>SUBTOTAL(3,C358:C362)</f>
        <v>5</v>
      </c>
      <c r="D363" s="25"/>
      <c r="E363" s="25"/>
      <c r="H363" s="25"/>
      <c r="I363" s="25"/>
      <c r="J363" s="25"/>
      <c r="K363" s="25"/>
    </row>
    <row r="364" spans="1:12" s="7" customFormat="1" hidden="1" outlineLevel="2" x14ac:dyDescent="0.4">
      <c r="A364">
        <v>1895</v>
      </c>
      <c r="B364" s="25" t="s">
        <v>10</v>
      </c>
      <c r="C364" s="25" t="s">
        <v>48</v>
      </c>
      <c r="D364" s="25" t="s">
        <v>15</v>
      </c>
      <c r="E364" s="25" t="s">
        <v>498</v>
      </c>
      <c r="G364" s="7">
        <v>95</v>
      </c>
      <c r="H364" s="25" t="s">
        <v>710</v>
      </c>
      <c r="I364" s="25" t="s">
        <v>71</v>
      </c>
      <c r="J364" s="25" t="s">
        <v>15</v>
      </c>
      <c r="K364" s="25" t="s">
        <v>498</v>
      </c>
    </row>
    <row r="365" spans="1:12" s="7" customFormat="1" hidden="1" outlineLevel="2" x14ac:dyDescent="0.4">
      <c r="A365">
        <v>1892</v>
      </c>
      <c r="B365" s="25" t="s">
        <v>10</v>
      </c>
      <c r="C365" s="25" t="s">
        <v>48</v>
      </c>
      <c r="D365" s="25" t="s">
        <v>15</v>
      </c>
      <c r="E365" s="25" t="s">
        <v>498</v>
      </c>
      <c r="G365" s="7">
        <v>75</v>
      </c>
      <c r="H365" s="25" t="s">
        <v>716</v>
      </c>
      <c r="I365" s="25" t="s">
        <v>50</v>
      </c>
      <c r="J365" s="25" t="s">
        <v>15</v>
      </c>
      <c r="K365" s="25" t="s">
        <v>498</v>
      </c>
    </row>
    <row r="366" spans="1:12" s="7" customFormat="1" hidden="1" outlineLevel="2" x14ac:dyDescent="0.4">
      <c r="A366">
        <v>1891</v>
      </c>
      <c r="B366" s="25" t="s">
        <v>10</v>
      </c>
      <c r="C366" s="25" t="s">
        <v>48</v>
      </c>
      <c r="D366" s="25" t="s">
        <v>15</v>
      </c>
      <c r="E366" s="25" t="s">
        <v>498</v>
      </c>
      <c r="H366" s="25" t="s">
        <v>717</v>
      </c>
      <c r="I366" s="25" t="s">
        <v>69</v>
      </c>
      <c r="J366" s="25" t="s">
        <v>15</v>
      </c>
      <c r="K366" s="25" t="s">
        <v>498</v>
      </c>
    </row>
    <row r="367" spans="1:12" s="7" customFormat="1" outlineLevel="1" collapsed="1" x14ac:dyDescent="0.4">
      <c r="A367"/>
      <c r="B367" s="24" t="s">
        <v>882</v>
      </c>
      <c r="C367" s="25">
        <f>SUBTOTAL(3,C364:C366)</f>
        <v>3</v>
      </c>
      <c r="D367" s="25"/>
      <c r="E367" s="25"/>
      <c r="H367" s="25"/>
      <c r="I367" s="25"/>
      <c r="J367" s="25"/>
      <c r="K367" s="25"/>
    </row>
    <row r="368" spans="1:12" s="7" customFormat="1" hidden="1" outlineLevel="2" x14ac:dyDescent="0.4">
      <c r="A368">
        <v>1923</v>
      </c>
      <c r="B368" s="25" t="s">
        <v>10</v>
      </c>
      <c r="C368" s="25" t="s">
        <v>93</v>
      </c>
      <c r="D368" s="25" t="s">
        <v>28</v>
      </c>
      <c r="E368" s="25" t="s">
        <v>499</v>
      </c>
      <c r="G368" s="7">
        <v>46</v>
      </c>
      <c r="H368" s="25" t="s">
        <v>680</v>
      </c>
      <c r="I368" s="25" t="s">
        <v>94</v>
      </c>
      <c r="J368" s="25" t="s">
        <v>28</v>
      </c>
      <c r="K368" s="25" t="s">
        <v>499</v>
      </c>
    </row>
    <row r="369" spans="1:12" s="7" customFormat="1" outlineLevel="1" collapsed="1" x14ac:dyDescent="0.4">
      <c r="A369"/>
      <c r="B369" s="24" t="s">
        <v>883</v>
      </c>
      <c r="C369" s="25">
        <f>SUBTOTAL(3,C368:C368)</f>
        <v>1</v>
      </c>
      <c r="D369" s="25"/>
      <c r="E369" s="25"/>
      <c r="H369" s="25"/>
      <c r="I369" s="25"/>
      <c r="J369" s="25"/>
      <c r="K369" s="25"/>
    </row>
    <row r="370" spans="1:12" s="7" customFormat="1" hidden="1" outlineLevel="2" x14ac:dyDescent="0.4">
      <c r="A370">
        <v>1889</v>
      </c>
      <c r="B370" s="25" t="s">
        <v>10</v>
      </c>
      <c r="C370" s="25" t="s">
        <v>73</v>
      </c>
      <c r="D370" s="25" t="s">
        <v>15</v>
      </c>
      <c r="E370" s="25" t="s">
        <v>498</v>
      </c>
      <c r="G370" s="7">
        <v>63</v>
      </c>
      <c r="H370" s="25" t="s">
        <v>720</v>
      </c>
      <c r="I370" s="25" t="s">
        <v>40</v>
      </c>
      <c r="J370" s="25" t="s">
        <v>15</v>
      </c>
      <c r="K370" s="25" t="s">
        <v>498</v>
      </c>
    </row>
    <row r="371" spans="1:12" s="7" customFormat="1" hidden="1" outlineLevel="2" x14ac:dyDescent="0.4">
      <c r="A371">
        <v>1886</v>
      </c>
      <c r="B371" s="25" t="s">
        <v>10</v>
      </c>
      <c r="C371" s="25" t="s">
        <v>73</v>
      </c>
      <c r="D371" s="25" t="s">
        <v>15</v>
      </c>
      <c r="E371" s="25" t="s">
        <v>498</v>
      </c>
      <c r="G371" s="7">
        <v>96</v>
      </c>
      <c r="H371" s="25" t="s">
        <v>724</v>
      </c>
      <c r="I371" s="25" t="s">
        <v>39</v>
      </c>
      <c r="J371" s="25" t="s">
        <v>15</v>
      </c>
      <c r="K371" s="25" t="s">
        <v>498</v>
      </c>
    </row>
    <row r="372" spans="1:12" s="7" customFormat="1" hidden="1" outlineLevel="2" x14ac:dyDescent="0.4">
      <c r="A372">
        <v>1885</v>
      </c>
      <c r="B372" s="25" t="s">
        <v>10</v>
      </c>
      <c r="C372" s="25" t="s">
        <v>73</v>
      </c>
      <c r="D372" s="25" t="s">
        <v>15</v>
      </c>
      <c r="E372" s="25" t="s">
        <v>498</v>
      </c>
      <c r="G372" s="7">
        <v>122</v>
      </c>
      <c r="H372" s="25" t="s">
        <v>725</v>
      </c>
      <c r="I372" s="25" t="s">
        <v>39</v>
      </c>
      <c r="J372" s="25" t="s">
        <v>15</v>
      </c>
      <c r="K372" s="25" t="s">
        <v>498</v>
      </c>
    </row>
    <row r="373" spans="1:12" s="7" customFormat="1" hidden="1" outlineLevel="2" x14ac:dyDescent="0.4">
      <c r="A373">
        <v>1884</v>
      </c>
      <c r="B373" s="25" t="s">
        <v>10</v>
      </c>
      <c r="C373" s="25" t="s">
        <v>73</v>
      </c>
      <c r="D373" s="25" t="s">
        <v>15</v>
      </c>
      <c r="E373" s="25" t="s">
        <v>498</v>
      </c>
      <c r="G373" s="7">
        <v>69</v>
      </c>
      <c r="H373" s="25" t="s">
        <v>727</v>
      </c>
      <c r="I373" s="25" t="s">
        <v>39</v>
      </c>
      <c r="J373" s="25" t="s">
        <v>15</v>
      </c>
      <c r="K373" s="25" t="s">
        <v>498</v>
      </c>
    </row>
    <row r="374" spans="1:12" s="7" customFormat="1" hidden="1" outlineLevel="2" x14ac:dyDescent="0.4">
      <c r="A374">
        <v>1883</v>
      </c>
      <c r="B374" s="25" t="s">
        <v>10</v>
      </c>
      <c r="C374" s="25" t="s">
        <v>73</v>
      </c>
      <c r="D374" s="25" t="s">
        <v>15</v>
      </c>
      <c r="E374" s="25" t="s">
        <v>498</v>
      </c>
      <c r="G374" s="7">
        <v>89</v>
      </c>
      <c r="H374" s="25" t="s">
        <v>729</v>
      </c>
      <c r="I374" s="25" t="s">
        <v>40</v>
      </c>
      <c r="J374" s="25" t="s">
        <v>15</v>
      </c>
      <c r="K374" s="25" t="s">
        <v>498</v>
      </c>
    </row>
    <row r="375" spans="1:12" s="7" customFormat="1" hidden="1" outlineLevel="2" x14ac:dyDescent="0.4">
      <c r="A375">
        <v>1882</v>
      </c>
      <c r="B375" s="25" t="s">
        <v>10</v>
      </c>
      <c r="C375" s="25" t="s">
        <v>73</v>
      </c>
      <c r="D375" s="25" t="s">
        <v>15</v>
      </c>
      <c r="E375" s="25" t="s">
        <v>498</v>
      </c>
      <c r="G375" s="7">
        <v>85</v>
      </c>
      <c r="H375" s="25" t="s">
        <v>730</v>
      </c>
      <c r="I375" s="25" t="s">
        <v>40</v>
      </c>
      <c r="J375" s="25" t="s">
        <v>15</v>
      </c>
      <c r="K375" s="25" t="s">
        <v>498</v>
      </c>
    </row>
    <row r="376" spans="1:12" s="7" customFormat="1" hidden="1" outlineLevel="2" x14ac:dyDescent="0.4">
      <c r="A376">
        <v>1881</v>
      </c>
      <c r="B376" s="25" t="s">
        <v>10</v>
      </c>
      <c r="C376" s="25" t="s">
        <v>73</v>
      </c>
      <c r="D376" s="25" t="s">
        <v>15</v>
      </c>
      <c r="E376" s="25" t="s">
        <v>498</v>
      </c>
      <c r="G376" s="7">
        <v>37</v>
      </c>
      <c r="H376" s="25" t="s">
        <v>731</v>
      </c>
      <c r="I376" s="25" t="s">
        <v>54</v>
      </c>
      <c r="J376" s="25" t="s">
        <v>15</v>
      </c>
      <c r="K376" s="25" t="s">
        <v>498</v>
      </c>
    </row>
    <row r="377" spans="1:12" s="7" customFormat="1" outlineLevel="1" collapsed="1" x14ac:dyDescent="0.4">
      <c r="A377"/>
      <c r="B377" s="24" t="s">
        <v>884</v>
      </c>
      <c r="C377" s="25">
        <f>SUBTOTAL(3,C370:C376)</f>
        <v>7</v>
      </c>
      <c r="D377" s="25"/>
      <c r="E377" s="25"/>
      <c r="H377" s="25"/>
      <c r="I377" s="25"/>
      <c r="J377" s="25"/>
      <c r="K377" s="25"/>
    </row>
    <row r="378" spans="1:12" s="7" customFormat="1" hidden="1" outlineLevel="2" x14ac:dyDescent="0.4">
      <c r="A378">
        <v>1890</v>
      </c>
      <c r="B378" s="25" t="s">
        <v>10</v>
      </c>
      <c r="C378" s="25" t="s">
        <v>81</v>
      </c>
      <c r="D378" s="25" t="s">
        <v>15</v>
      </c>
      <c r="E378" s="25" t="s">
        <v>498</v>
      </c>
      <c r="G378" s="7">
        <v>96</v>
      </c>
      <c r="H378" s="25" t="s">
        <v>719</v>
      </c>
      <c r="I378" s="25" t="s">
        <v>73</v>
      </c>
      <c r="J378" s="25" t="s">
        <v>15</v>
      </c>
      <c r="K378" s="25" t="s">
        <v>498</v>
      </c>
    </row>
    <row r="379" spans="1:12" s="7" customFormat="1" outlineLevel="1" collapsed="1" x14ac:dyDescent="0.4">
      <c r="A379"/>
      <c r="B379" s="24" t="s">
        <v>885</v>
      </c>
      <c r="C379" s="25">
        <f>SUBTOTAL(3,C378:C378)</f>
        <v>1</v>
      </c>
      <c r="D379" s="25"/>
      <c r="E379" s="25"/>
      <c r="H379" s="25"/>
      <c r="I379" s="25"/>
      <c r="J379" s="25"/>
      <c r="K379" s="25"/>
    </row>
    <row r="380" spans="1:12" s="7" customFormat="1" hidden="1" outlineLevel="2" x14ac:dyDescent="0.4">
      <c r="A380">
        <v>1930</v>
      </c>
      <c r="B380" s="25" t="s">
        <v>10</v>
      </c>
      <c r="C380" s="25" t="s">
        <v>88</v>
      </c>
      <c r="D380" s="25" t="s">
        <v>28</v>
      </c>
      <c r="E380" s="25" t="s">
        <v>499</v>
      </c>
      <c r="F380" s="7">
        <v>2</v>
      </c>
      <c r="G380" s="7">
        <v>70</v>
      </c>
      <c r="H380" s="25" t="s">
        <v>669</v>
      </c>
      <c r="I380" s="25" t="s">
        <v>224</v>
      </c>
      <c r="J380" s="25" t="s">
        <v>28</v>
      </c>
      <c r="K380" s="25" t="s">
        <v>499</v>
      </c>
      <c r="L380" s="7" t="s">
        <v>122</v>
      </c>
    </row>
    <row r="381" spans="1:12" s="7" customFormat="1" hidden="1" outlineLevel="2" x14ac:dyDescent="0.4">
      <c r="A381">
        <v>1921</v>
      </c>
      <c r="B381" s="25" t="s">
        <v>10</v>
      </c>
      <c r="C381" s="25" t="s">
        <v>88</v>
      </c>
      <c r="D381" s="25" t="s">
        <v>28</v>
      </c>
      <c r="E381" s="25" t="s">
        <v>499</v>
      </c>
      <c r="H381" s="25" t="s">
        <v>681</v>
      </c>
      <c r="I381" s="25" t="s">
        <v>91</v>
      </c>
      <c r="J381" s="25" t="s">
        <v>90</v>
      </c>
      <c r="K381" s="25" t="s">
        <v>509</v>
      </c>
    </row>
    <row r="382" spans="1:12" s="7" customFormat="1" hidden="1" outlineLevel="2" x14ac:dyDescent="0.4">
      <c r="A382">
        <v>1920</v>
      </c>
      <c r="B382" s="25" t="s">
        <v>10</v>
      </c>
      <c r="C382" s="25" t="s">
        <v>88</v>
      </c>
      <c r="D382" s="25" t="s">
        <v>28</v>
      </c>
      <c r="E382" s="25" t="s">
        <v>499</v>
      </c>
      <c r="H382" s="25" t="s">
        <v>682</v>
      </c>
      <c r="I382" s="25" t="s">
        <v>11</v>
      </c>
      <c r="J382" s="25" t="s">
        <v>12</v>
      </c>
      <c r="K382" s="25" t="s">
        <v>503</v>
      </c>
    </row>
    <row r="383" spans="1:12" s="7" customFormat="1" outlineLevel="1" collapsed="1" x14ac:dyDescent="0.4">
      <c r="A383"/>
      <c r="B383" s="24" t="s">
        <v>886</v>
      </c>
      <c r="C383" s="25">
        <f>SUBTOTAL(3,C380:C382)</f>
        <v>3</v>
      </c>
      <c r="D383" s="25"/>
      <c r="E383" s="25"/>
      <c r="H383" s="25"/>
      <c r="I383" s="25"/>
      <c r="J383" s="25"/>
      <c r="K383" s="25"/>
    </row>
    <row r="384" spans="1:12" s="7" customFormat="1" hidden="1" outlineLevel="2" x14ac:dyDescent="0.4">
      <c r="A384">
        <v>1946</v>
      </c>
      <c r="B384" s="25" t="s">
        <v>10</v>
      </c>
      <c r="C384" s="25" t="s">
        <v>243</v>
      </c>
      <c r="D384" s="25" t="s">
        <v>24</v>
      </c>
      <c r="E384" s="25" t="s">
        <v>501</v>
      </c>
      <c r="F384" s="7">
        <v>5</v>
      </c>
      <c r="H384" s="25" t="s">
        <v>652</v>
      </c>
      <c r="I384" s="25" t="s">
        <v>244</v>
      </c>
      <c r="J384" s="25" t="s">
        <v>12</v>
      </c>
      <c r="K384" s="25" t="s">
        <v>503</v>
      </c>
      <c r="L384" s="7">
        <v>3</v>
      </c>
    </row>
    <row r="385" spans="1:11" s="7" customFormat="1" outlineLevel="1" collapsed="1" x14ac:dyDescent="0.4">
      <c r="A385"/>
      <c r="B385" s="24" t="s">
        <v>887</v>
      </c>
      <c r="C385" s="25">
        <f>SUBTOTAL(3,C384:C384)</f>
        <v>1</v>
      </c>
      <c r="D385" s="25"/>
      <c r="E385" s="25"/>
      <c r="H385" s="25"/>
      <c r="I385" s="25"/>
      <c r="J385" s="25"/>
      <c r="K385" s="25"/>
    </row>
    <row r="386" spans="1:11" s="7" customFormat="1" x14ac:dyDescent="0.4">
      <c r="A386"/>
      <c r="B386" s="24" t="s">
        <v>888</v>
      </c>
      <c r="C386" s="25">
        <f>SUBTOTAL(3,C2:C384)</f>
        <v>261</v>
      </c>
      <c r="D386" s="25"/>
      <c r="E386" s="25"/>
      <c r="H386" s="25"/>
      <c r="I386" s="25"/>
      <c r="J386" s="25"/>
      <c r="K386" s="25"/>
    </row>
  </sheetData>
  <sortState xmlns:xlrd2="http://schemas.microsoft.com/office/spreadsheetml/2017/richdata2" ref="A2:L384">
    <sortCondition ref="C2:C384"/>
  </sortState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7" ma:contentTypeDescription="Create a new document." ma:contentTypeScope="" ma:versionID="f026dd95d27908e71be13c0324d5d1ff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147c2ede45407ba0807213f073c97030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Props1.xml><?xml version="1.0" encoding="utf-8"?>
<ds:datastoreItem xmlns:ds="http://schemas.openxmlformats.org/officeDocument/2006/customXml" ds:itemID="{2BB88D42-CB18-411E-8AE0-C968A4EF4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ABF15A-52BB-4357-94D4-2DD6244578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6A36DF-7390-4AE3-AA8D-B65FE203CB99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83f28f4c-1e3d-431a-898d-1dab18d2f25b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cf8a5a8-0301-4954-884c-1f222cf097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wimbledons_champions</vt:lpstr>
      <vt:lpstr>Top5</vt:lpstr>
      <vt:lpstr>Win Rate</vt:lpstr>
      <vt:lpstr>Map</vt:lpstr>
      <vt:lpstr>visual pattern</vt:lpstr>
      <vt:lpstr>Math</vt:lpstr>
      <vt:lpstr>treemap</vt:lpstr>
      <vt:lpstr>Text Cloud</vt:lpstr>
      <vt:lpstr>Match-country</vt:lpstr>
      <vt:lpstr>Men-1</vt:lpstr>
      <vt:lpstr>Women-1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Jinson Zhang</cp:lastModifiedBy>
  <dcterms:created xsi:type="dcterms:W3CDTF">2020-11-28T06:08:54Z</dcterms:created>
  <dcterms:modified xsi:type="dcterms:W3CDTF">2026-07-13T03:55:00Z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2021-04-25T04:22:22Z</vt:lpwstr>
  </property>
  <property fmtid="{D5CDD505-2E9C-101B-9397-08002B2CF9AE}" pid="4" name="MSIP_Label_51a6c3db-1667-4f49-995a-8b9973972958_Method">
    <vt:lpwstr>Privileged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0af5dcab-bf93-4e91-944c-3c78397e3988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