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EDA" sheetId="4" state="visible" r:id="rId4"/>
    <sheet xmlns:r="http://schemas.openxmlformats.org/officeDocument/2006/relationships" name="Calculations" sheetId="5" state="visible" r:id="rId5"/>
    <sheet xmlns:r="http://schemas.openxmlformats.org/officeDocument/2006/relationships" name="Charts" sheetId="6" state="visible" r:id="rId6"/>
    <sheet xmlns:r="http://schemas.openxmlformats.org/officeDocument/2006/relationships" name="Sources" sheetId="7" state="visible" r:id="rId7"/>
    <sheet xmlns:r="http://schemas.openxmlformats.org/officeDocument/2006/relationships" name="Summary" sheetId="8" state="visible" r:id="rId8"/>
  </sheets>
  <definedNames>
    <definedName name="_xlnm._FilterDatabase" localSheetId="0" hidden="1">'README'!$A$1:$B$13</definedName>
    <definedName name="_xlnm._FilterDatabase" localSheetId="1" hidden="1">'Raw_Data'!$A$1:$K$93</definedName>
    <definedName name="_xlnm._FilterDatabase" localSheetId="2" hidden="1">'Clean_Data'!$A$1:$X$93</definedName>
    <definedName name="_xlnm._FilterDatabase" localSheetId="3" hidden="1">'EDA'!$A$1:$C$12</definedName>
    <definedName name="_xlnm._FilterDatabase" localSheetId="4" hidden="1">'Calculations'!$A$2:$M$94</definedName>
    <definedName name="_xlnm._FilterDatabase" localSheetId="5" hidden="1">'Charts'!$A$1:$A$2</definedName>
    <definedName name="_xlnm._FilterDatabase" localSheetId="6" hidden="1">'Sources'!$A$1:$A$2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0.000"/>
    <numFmt numFmtId="167" formatCode="$#,##0"/>
    <numFmt numFmtId="168" formatCode="$0.000"/>
    <numFmt numFmtId="169" formatCode="$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169" fontId="0" fillId="0" borderId="0" pivotButton="0" quotePrefix="0" xfId="0"/>
    <xf numFmtId="168" fontId="0" fillId="0" borderId="0" applyAlignment="1" pivotButton="0" quotePrefix="0" xfId="0">
      <alignment vertical="top" wrapText="1"/>
    </xf>
    <xf numFmtId="169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 ht="32" customHeight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Company</t>
        </is>
      </c>
      <c r="B2" s="3" t="inlineStr">
        <is>
          <t>Pacific Smiles Group Ltd</t>
        </is>
      </c>
    </row>
    <row r="3">
      <c r="A3" s="2" t="inlineStr">
        <is>
          <t>ASX Code</t>
        </is>
      </c>
      <c r="B3" s="3" t="inlineStr">
        <is>
          <t>PSQ</t>
        </is>
      </c>
    </row>
    <row r="4">
      <c r="A4" s="2" t="inlineStr">
        <is>
          <t>Assessment</t>
        </is>
      </c>
      <c r="B4" s="3" t="inlineStr">
        <is>
          <t>32146 Data Visualisation Foundations - AT1</t>
        </is>
      </c>
    </row>
    <row r="5">
      <c r="A5" s="2" t="inlineStr">
        <is>
          <t>Requested period</t>
        </is>
      </c>
      <c r="B5" s="3" t="inlineStr">
        <is>
          <t>2025-07-01 to 2026-06-30</t>
        </is>
      </c>
    </row>
    <row r="6">
      <c r="A6" s="2" t="inlineStr">
        <is>
          <t>Available price period</t>
        </is>
      </c>
      <c r="B6" s="3" t="inlineStr">
        <is>
          <t>2025-07-01 to 2025-11-05</t>
        </is>
      </c>
    </row>
    <row r="7">
      <c r="A7" s="2" t="inlineStr">
        <is>
          <t>Data source</t>
        </is>
      </c>
      <c r="B7" s="3" t="inlineStr">
        <is>
          <t>DatAnalysis export: pricehistory-dailyadj.csv and dividendhistory.csv</t>
        </is>
      </c>
    </row>
    <row r="8">
      <c r="A8" s="2" t="inlineStr">
        <is>
          <t>Coverage note</t>
        </is>
      </c>
      <c r="B8" s="3" t="inlineStr">
        <is>
          <t>The supplied price file ends on 05/11/2025; FY2025-26 is incomplete.</t>
        </is>
      </c>
    </row>
    <row r="9">
      <c r="A9" s="2" t="inlineStr">
        <is>
          <t>Dividend records in requested period</t>
        </is>
      </c>
      <c r="B9" s="3" t="n">
        <v>0</v>
      </c>
    </row>
    <row r="10">
      <c r="A10" s="2" t="inlineStr">
        <is>
          <t>Dividend treatment</t>
        </is>
      </c>
      <c r="B10" s="3" t="inlineStr">
        <is>
          <t>Blank where no FY2025-26 dividend record is supplied.</t>
        </is>
      </c>
    </row>
    <row r="11">
      <c r="A11" s="2" t="inlineStr">
        <is>
          <t>PE treatment</t>
        </is>
      </c>
      <c r="B11" s="3" t="inlineStr">
        <is>
          <t>Blank because no PE field is supplied in the source data.</t>
        </is>
      </c>
    </row>
    <row r="12">
      <c r="A12" s="2" t="inlineStr">
        <is>
          <t>Zero-volume treatment</t>
        </is>
      </c>
      <c r="B12" s="3" t="inlineStr">
        <is>
          <t>Zero-volume rows are retained and flagged; raw OHLC values are not overwritten.</t>
        </is>
      </c>
    </row>
    <row r="13">
      <c r="A13" s="2" t="inlineStr">
        <is>
          <t>Workbook structure</t>
        </is>
      </c>
      <c r="B13" s="3" t="inlineStr">
        <is>
          <t>Raw_Data is unchanged source data; Clean_Data adds analysis flags; later sheets contain EDA, calculations and charts.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14" customWidth="1" min="8" max="8"/>
    <col width="14" customWidth="1" min="9" max="9"/>
    <col width="10" customWidth="1" min="10" max="10"/>
    <col width="4" customWidth="1" min="11" max="11"/>
  </cols>
  <sheetData>
    <row r="1" ht="32" customHeight="1">
      <c r="A1" s="1" t="inlineStr">
        <is>
          <t>Time Series</t>
        </is>
      </c>
      <c r="B1" s="1" t="inlineStr">
        <is>
          <t>ASX Code</t>
        </is>
      </c>
      <c r="C1" s="1" t="inlineStr">
        <is>
          <t>Company 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Daily Volume</t>
        </is>
      </c>
      <c r="I1" s="1" t="inlineStr">
        <is>
          <t>Stock Issued</t>
        </is>
      </c>
      <c r="J1" s="1" t="inlineStr">
        <is>
          <t>Dividend</t>
        </is>
      </c>
      <c r="K1" s="1" t="inlineStr">
        <is>
          <t>PE</t>
        </is>
      </c>
    </row>
    <row r="2">
      <c r="A2" s="4" t="n">
        <v>45839</v>
      </c>
      <c r="B2" t="inlineStr">
        <is>
          <t>PSQ</t>
        </is>
      </c>
      <c r="C2" t="inlineStr">
        <is>
          <t>Pacific Smiles Group Limited</t>
        </is>
      </c>
      <c r="D2" s="5" t="n">
        <v>1.535</v>
      </c>
      <c r="E2" s="5" t="n">
        <v>1.535</v>
      </c>
      <c r="F2" s="5" t="n">
        <v>1.45</v>
      </c>
      <c r="G2" s="5" t="n">
        <v>1.48</v>
      </c>
      <c r="H2" s="6" t="n">
        <v>727</v>
      </c>
      <c r="I2" s="6" t="n">
        <v>161623972</v>
      </c>
      <c r="J2" s="7" t="n"/>
      <c r="K2" s="7" t="n"/>
    </row>
    <row r="3">
      <c r="A3" s="4" t="n">
        <v>45840</v>
      </c>
      <c r="B3" t="inlineStr">
        <is>
          <t>PSQ</t>
        </is>
      </c>
      <c r="C3" t="inlineStr">
        <is>
          <t>Pacific Smiles Group Limited</t>
        </is>
      </c>
      <c r="D3" s="5" t="n">
        <v>1.47</v>
      </c>
      <c r="E3" s="5" t="n">
        <v>1.63</v>
      </c>
      <c r="F3" s="5" t="n">
        <v>1.46</v>
      </c>
      <c r="G3" s="5" t="n">
        <v>1.63</v>
      </c>
      <c r="H3" s="6" t="n">
        <v>5059</v>
      </c>
      <c r="I3" s="6" t="n">
        <v>161623972</v>
      </c>
      <c r="J3" s="7" t="n"/>
      <c r="K3" s="7" t="n"/>
    </row>
    <row r="4">
      <c r="A4" s="4" t="n">
        <v>45841</v>
      </c>
      <c r="B4" t="inlineStr">
        <is>
          <t>PSQ</t>
        </is>
      </c>
      <c r="C4" t="inlineStr">
        <is>
          <t>Pacific Smiles Group Limited</t>
        </is>
      </c>
      <c r="D4" s="5" t="n">
        <v>1.625</v>
      </c>
      <c r="E4" s="5" t="n">
        <v>1.7</v>
      </c>
      <c r="F4" s="5" t="n">
        <v>1.625</v>
      </c>
      <c r="G4" s="5" t="n">
        <v>1.68</v>
      </c>
      <c r="H4" s="6" t="n">
        <v>72</v>
      </c>
      <c r="I4" s="6" t="n">
        <v>161623972</v>
      </c>
      <c r="J4" s="7" t="n"/>
      <c r="K4" s="7" t="n"/>
    </row>
    <row r="5">
      <c r="A5" s="4" t="n">
        <v>45842</v>
      </c>
      <c r="B5" t="inlineStr">
        <is>
          <t>PSQ</t>
        </is>
      </c>
      <c r="C5" t="inlineStr">
        <is>
          <t>Pacific Smiles Group Limited</t>
        </is>
      </c>
      <c r="D5" s="5" t="n">
        <v>1.7</v>
      </c>
      <c r="E5" s="5" t="n">
        <v>1.77</v>
      </c>
      <c r="F5" s="5" t="n">
        <v>1.7</v>
      </c>
      <c r="G5" s="5" t="n">
        <v>1.7</v>
      </c>
      <c r="H5" s="6" t="n">
        <v>8431</v>
      </c>
      <c r="I5" s="6" t="n">
        <v>161623972</v>
      </c>
      <c r="J5" s="7" t="n"/>
      <c r="K5" s="7" t="n"/>
    </row>
    <row r="6">
      <c r="A6" s="4" t="n">
        <v>45845</v>
      </c>
      <c r="B6" t="inlineStr">
        <is>
          <t>PSQ</t>
        </is>
      </c>
      <c r="C6" t="inlineStr">
        <is>
          <t>Pacific Smiles Group Limited</t>
        </is>
      </c>
      <c r="D6" s="5" t="n">
        <v>1.7</v>
      </c>
      <c r="E6" s="5" t="n">
        <v>1.77</v>
      </c>
      <c r="F6" s="5" t="n">
        <v>1.7</v>
      </c>
      <c r="G6" s="5" t="n">
        <v>1.765</v>
      </c>
      <c r="H6" s="6" t="n">
        <v>4914</v>
      </c>
      <c r="I6" s="6" t="n">
        <v>161623972</v>
      </c>
      <c r="J6" s="7" t="n"/>
      <c r="K6" s="7" t="n"/>
    </row>
    <row r="7">
      <c r="A7" s="4" t="n">
        <v>45846</v>
      </c>
      <c r="B7" t="inlineStr">
        <is>
          <t>PSQ</t>
        </is>
      </c>
      <c r="C7" t="inlineStr">
        <is>
          <t>Pacific Smiles Group Limited</t>
        </is>
      </c>
      <c r="D7" s="5" t="n">
        <v>0</v>
      </c>
      <c r="E7" s="5" t="n">
        <v>0</v>
      </c>
      <c r="F7" s="5" t="n">
        <v>0</v>
      </c>
      <c r="G7" s="5" t="n">
        <v>1.765</v>
      </c>
      <c r="H7" s="6" t="n">
        <v>0</v>
      </c>
      <c r="I7" s="6" t="n">
        <v>161623972</v>
      </c>
      <c r="J7" s="7" t="n"/>
      <c r="K7" s="7" t="n"/>
    </row>
    <row r="8">
      <c r="A8" s="4" t="n">
        <v>45847</v>
      </c>
      <c r="B8" t="inlineStr">
        <is>
          <t>PSQ</t>
        </is>
      </c>
      <c r="C8" t="inlineStr">
        <is>
          <t>Pacific Smiles Group Limited</t>
        </is>
      </c>
      <c r="D8" s="5" t="n">
        <v>0</v>
      </c>
      <c r="E8" s="5" t="n">
        <v>0</v>
      </c>
      <c r="F8" s="5" t="n">
        <v>0</v>
      </c>
      <c r="G8" s="5" t="n">
        <v>1.765</v>
      </c>
      <c r="H8" s="6" t="n">
        <v>0</v>
      </c>
      <c r="I8" s="6" t="n">
        <v>161623972</v>
      </c>
      <c r="J8" s="7" t="n"/>
      <c r="K8" s="7" t="n"/>
    </row>
    <row r="9">
      <c r="A9" s="4" t="n">
        <v>45848</v>
      </c>
      <c r="B9" t="inlineStr">
        <is>
          <t>PSQ</t>
        </is>
      </c>
      <c r="C9" t="inlineStr">
        <is>
          <t>Pacific Smiles Group Limited</t>
        </is>
      </c>
      <c r="D9" s="5" t="n">
        <v>0</v>
      </c>
      <c r="E9" s="5" t="n">
        <v>0</v>
      </c>
      <c r="F9" s="5" t="n">
        <v>0</v>
      </c>
      <c r="G9" s="5" t="n">
        <v>1.765</v>
      </c>
      <c r="H9" s="6" t="n">
        <v>0</v>
      </c>
      <c r="I9" s="6" t="n">
        <v>161623972</v>
      </c>
      <c r="J9" s="7" t="n"/>
      <c r="K9" s="7" t="n"/>
    </row>
    <row r="10">
      <c r="A10" s="4" t="n">
        <v>45849</v>
      </c>
      <c r="B10" t="inlineStr">
        <is>
          <t>PSQ</t>
        </is>
      </c>
      <c r="C10" t="inlineStr">
        <is>
          <t>Pacific Smiles Group Limited</t>
        </is>
      </c>
      <c r="D10" s="5" t="n">
        <v>0</v>
      </c>
      <c r="E10" s="5" t="n">
        <v>0</v>
      </c>
      <c r="F10" s="5" t="n">
        <v>0</v>
      </c>
      <c r="G10" s="5" t="n">
        <v>1.765</v>
      </c>
      <c r="H10" s="6" t="n">
        <v>0</v>
      </c>
      <c r="I10" s="6" t="n">
        <v>161623972</v>
      </c>
      <c r="J10" s="7" t="n"/>
      <c r="K10" s="7" t="n"/>
    </row>
    <row r="11">
      <c r="A11" s="4" t="n">
        <v>45852</v>
      </c>
      <c r="B11" t="inlineStr">
        <is>
          <t>PSQ</t>
        </is>
      </c>
      <c r="C11" t="inlineStr">
        <is>
          <t>Pacific Smiles Group Limited</t>
        </is>
      </c>
      <c r="D11" s="5" t="n">
        <v>1.75</v>
      </c>
      <c r="E11" s="5" t="n">
        <v>1.765</v>
      </c>
      <c r="F11" s="5" t="n">
        <v>1.73</v>
      </c>
      <c r="G11" s="5" t="n">
        <v>1.765</v>
      </c>
      <c r="H11" s="6" t="n">
        <v>1161</v>
      </c>
      <c r="I11" s="6" t="n">
        <v>161623972</v>
      </c>
      <c r="J11" s="7" t="n"/>
      <c r="K11" s="7" t="n"/>
    </row>
    <row r="12">
      <c r="A12" s="4" t="n">
        <v>45853</v>
      </c>
      <c r="B12" t="inlineStr">
        <is>
          <t>PSQ</t>
        </is>
      </c>
      <c r="C12" t="inlineStr">
        <is>
          <t>Pacific Smiles Group Limited</t>
        </is>
      </c>
      <c r="D12" s="5" t="n">
        <v>0</v>
      </c>
      <c r="E12" s="5" t="n">
        <v>0</v>
      </c>
      <c r="F12" s="5" t="n">
        <v>0</v>
      </c>
      <c r="G12" s="5" t="n">
        <v>1.765</v>
      </c>
      <c r="H12" s="6" t="n">
        <v>0</v>
      </c>
      <c r="I12" s="6" t="n">
        <v>161623972</v>
      </c>
      <c r="J12" s="7" t="n"/>
      <c r="K12" s="7" t="n"/>
    </row>
    <row r="13">
      <c r="A13" s="4" t="n">
        <v>45854</v>
      </c>
      <c r="B13" t="inlineStr">
        <is>
          <t>PSQ</t>
        </is>
      </c>
      <c r="C13" t="inlineStr">
        <is>
          <t>Pacific Smiles Group Limited</t>
        </is>
      </c>
      <c r="D13" s="5" t="n">
        <v>1.63</v>
      </c>
      <c r="E13" s="5" t="n">
        <v>1.63</v>
      </c>
      <c r="F13" s="5" t="n">
        <v>1.63</v>
      </c>
      <c r="G13" s="5" t="n">
        <v>1.63</v>
      </c>
      <c r="H13" s="6" t="n">
        <v>100</v>
      </c>
      <c r="I13" s="6" t="n">
        <v>161623972</v>
      </c>
      <c r="J13" s="7" t="n"/>
      <c r="K13" s="7" t="n"/>
    </row>
    <row r="14">
      <c r="A14" s="4" t="n">
        <v>45855</v>
      </c>
      <c r="B14" t="inlineStr">
        <is>
          <t>PSQ</t>
        </is>
      </c>
      <c r="C14" t="inlineStr">
        <is>
          <t>Pacific Smiles Group Limited</t>
        </is>
      </c>
      <c r="D14" s="5" t="n">
        <v>1.645</v>
      </c>
      <c r="E14" s="5" t="n">
        <v>1.645</v>
      </c>
      <c r="F14" s="5" t="n">
        <v>1.645</v>
      </c>
      <c r="G14" s="5" t="n">
        <v>1.645</v>
      </c>
      <c r="H14" s="6" t="n">
        <v>70</v>
      </c>
      <c r="I14" s="6" t="n">
        <v>161623972</v>
      </c>
      <c r="J14" s="7" t="n"/>
      <c r="K14" s="7" t="n"/>
    </row>
    <row r="15">
      <c r="A15" s="4" t="n">
        <v>45856</v>
      </c>
      <c r="B15" t="inlineStr">
        <is>
          <t>PSQ</t>
        </is>
      </c>
      <c r="C15" t="inlineStr">
        <is>
          <t>Pacific Smiles Group Limited</t>
        </is>
      </c>
      <c r="D15" s="5" t="n">
        <v>0</v>
      </c>
      <c r="E15" s="5" t="n">
        <v>0</v>
      </c>
      <c r="F15" s="5" t="n">
        <v>0</v>
      </c>
      <c r="G15" s="5" t="n">
        <v>1.645</v>
      </c>
      <c r="H15" s="6" t="n">
        <v>0</v>
      </c>
      <c r="I15" s="6" t="n">
        <v>161623972</v>
      </c>
      <c r="J15" s="7" t="n"/>
      <c r="K15" s="7" t="n"/>
    </row>
    <row r="16">
      <c r="A16" s="4" t="n">
        <v>45859</v>
      </c>
      <c r="B16" t="inlineStr">
        <is>
          <t>PSQ</t>
        </is>
      </c>
      <c r="C16" t="inlineStr">
        <is>
          <t>Pacific Smiles Group Limited</t>
        </is>
      </c>
      <c r="D16" s="5" t="n">
        <v>1.67</v>
      </c>
      <c r="E16" s="5" t="n">
        <v>1.67</v>
      </c>
      <c r="F16" s="5" t="n">
        <v>1.67</v>
      </c>
      <c r="G16" s="5" t="n">
        <v>1.67</v>
      </c>
      <c r="H16" s="6" t="n">
        <v>318</v>
      </c>
      <c r="I16" s="6" t="n">
        <v>161623972</v>
      </c>
      <c r="J16" s="7" t="n"/>
      <c r="K16" s="7" t="n"/>
    </row>
    <row r="17">
      <c r="A17" s="4" t="n">
        <v>45860</v>
      </c>
      <c r="B17" t="inlineStr">
        <is>
          <t>PSQ</t>
        </is>
      </c>
      <c r="C17" t="inlineStr">
        <is>
          <t>Pacific Smiles Group Limited</t>
        </is>
      </c>
      <c r="D17" s="5" t="n">
        <v>0</v>
      </c>
      <c r="E17" s="5" t="n">
        <v>0</v>
      </c>
      <c r="F17" s="5" t="n">
        <v>0</v>
      </c>
      <c r="G17" s="5" t="n">
        <v>1.67</v>
      </c>
      <c r="H17" s="6" t="n">
        <v>0</v>
      </c>
      <c r="I17" s="6" t="n">
        <v>161623972</v>
      </c>
      <c r="J17" s="7" t="n"/>
      <c r="K17" s="7" t="n"/>
    </row>
    <row r="18">
      <c r="A18" s="4" t="n">
        <v>45861</v>
      </c>
      <c r="B18" t="inlineStr">
        <is>
          <t>PSQ</t>
        </is>
      </c>
      <c r="C18" t="inlineStr">
        <is>
          <t>Pacific Smiles Group Limited</t>
        </is>
      </c>
      <c r="D18" s="5" t="n">
        <v>0</v>
      </c>
      <c r="E18" s="5" t="n">
        <v>0</v>
      </c>
      <c r="F18" s="5" t="n">
        <v>0</v>
      </c>
      <c r="G18" s="5" t="n">
        <v>1.67</v>
      </c>
      <c r="H18" s="6" t="n">
        <v>0</v>
      </c>
      <c r="I18" s="6" t="n">
        <v>161623972</v>
      </c>
      <c r="J18" s="7" t="n"/>
      <c r="K18" s="7" t="n"/>
    </row>
    <row r="19">
      <c r="A19" s="4" t="n">
        <v>45862</v>
      </c>
      <c r="B19" t="inlineStr">
        <is>
          <t>PSQ</t>
        </is>
      </c>
      <c r="C19" t="inlineStr">
        <is>
          <t>Pacific Smiles Group Limited</t>
        </is>
      </c>
      <c r="D19" s="5" t="n">
        <v>0</v>
      </c>
      <c r="E19" s="5" t="n">
        <v>0</v>
      </c>
      <c r="F19" s="5" t="n">
        <v>0</v>
      </c>
      <c r="G19" s="5" t="n">
        <v>1.67</v>
      </c>
      <c r="H19" s="6" t="n">
        <v>0</v>
      </c>
      <c r="I19" s="6" t="n">
        <v>161623972</v>
      </c>
      <c r="J19" s="7" t="n"/>
      <c r="K19" s="7" t="n"/>
    </row>
    <row r="20">
      <c r="A20" s="4" t="n">
        <v>45863</v>
      </c>
      <c r="B20" t="inlineStr">
        <is>
          <t>PSQ</t>
        </is>
      </c>
      <c r="C20" t="inlineStr">
        <is>
          <t>Pacific Smiles Group Limited</t>
        </is>
      </c>
      <c r="D20" s="5" t="n">
        <v>0</v>
      </c>
      <c r="E20" s="5" t="n">
        <v>0</v>
      </c>
      <c r="F20" s="5" t="n">
        <v>0</v>
      </c>
      <c r="G20" s="5" t="n">
        <v>1.67</v>
      </c>
      <c r="H20" s="6" t="n">
        <v>0</v>
      </c>
      <c r="I20" s="6" t="n">
        <v>161623972</v>
      </c>
      <c r="J20" s="7" t="n"/>
      <c r="K20" s="7" t="n"/>
    </row>
    <row r="21">
      <c r="A21" s="4" t="n">
        <v>45866</v>
      </c>
      <c r="B21" t="inlineStr">
        <is>
          <t>PSQ</t>
        </is>
      </c>
      <c r="C21" t="inlineStr">
        <is>
          <t>Pacific Smiles Group Limited</t>
        </is>
      </c>
      <c r="D21" s="5" t="n">
        <v>1.685</v>
      </c>
      <c r="E21" s="5" t="n">
        <v>1.685</v>
      </c>
      <c r="F21" s="5" t="n">
        <v>1.67</v>
      </c>
      <c r="G21" s="5" t="n">
        <v>1.67</v>
      </c>
      <c r="H21" s="6" t="n">
        <v>7</v>
      </c>
      <c r="I21" s="6" t="n">
        <v>161623972</v>
      </c>
      <c r="J21" s="7" t="n"/>
      <c r="K21" s="7" t="n"/>
    </row>
    <row r="22">
      <c r="A22" s="4" t="n">
        <v>45867</v>
      </c>
      <c r="B22" t="inlineStr">
        <is>
          <t>PSQ</t>
        </is>
      </c>
      <c r="C22" t="inlineStr">
        <is>
          <t>Pacific Smiles Group Limited</t>
        </is>
      </c>
      <c r="D22" s="5" t="n">
        <v>0</v>
      </c>
      <c r="E22" s="5" t="n">
        <v>0</v>
      </c>
      <c r="F22" s="5" t="n">
        <v>0</v>
      </c>
      <c r="G22" s="5" t="n">
        <v>1.67</v>
      </c>
      <c r="H22" s="6" t="n">
        <v>0</v>
      </c>
      <c r="I22" s="6" t="n">
        <v>161623972</v>
      </c>
      <c r="J22" s="7" t="n"/>
      <c r="K22" s="7" t="n"/>
    </row>
    <row r="23">
      <c r="A23" s="4" t="n">
        <v>45868</v>
      </c>
      <c r="B23" t="inlineStr">
        <is>
          <t>PSQ</t>
        </is>
      </c>
      <c r="C23" t="inlineStr">
        <is>
          <t>Pacific Smiles Group Limited</t>
        </is>
      </c>
      <c r="D23" s="5" t="n">
        <v>1.67</v>
      </c>
      <c r="E23" s="5" t="n">
        <v>1.67</v>
      </c>
      <c r="F23" s="5" t="n">
        <v>1.67</v>
      </c>
      <c r="G23" s="5" t="n">
        <v>1.67</v>
      </c>
      <c r="H23" s="6" t="n">
        <v>6</v>
      </c>
      <c r="I23" s="6" t="n">
        <v>161623972</v>
      </c>
      <c r="J23" s="7" t="n"/>
      <c r="K23" s="7" t="n"/>
    </row>
    <row r="24">
      <c r="A24" s="4" t="n">
        <v>45869</v>
      </c>
      <c r="B24" t="inlineStr">
        <is>
          <t>PSQ</t>
        </is>
      </c>
      <c r="C24" t="inlineStr">
        <is>
          <t>Pacific Smiles Group Limited</t>
        </is>
      </c>
      <c r="D24" s="5" t="n">
        <v>0</v>
      </c>
      <c r="E24" s="5" t="n">
        <v>0</v>
      </c>
      <c r="F24" s="5" t="n">
        <v>0</v>
      </c>
      <c r="G24" s="5" t="n">
        <v>1.67</v>
      </c>
      <c r="H24" s="6" t="n">
        <v>0</v>
      </c>
      <c r="I24" s="6" t="n">
        <v>161623972</v>
      </c>
      <c r="J24" s="7" t="n"/>
      <c r="K24" s="7" t="n"/>
    </row>
    <row r="25">
      <c r="A25" s="4" t="n">
        <v>45870</v>
      </c>
      <c r="B25" t="inlineStr">
        <is>
          <t>PSQ</t>
        </is>
      </c>
      <c r="C25" t="inlineStr">
        <is>
          <t>Pacific Smiles Group Limited</t>
        </is>
      </c>
      <c r="D25" s="5" t="n">
        <v>0</v>
      </c>
      <c r="E25" s="5" t="n">
        <v>0</v>
      </c>
      <c r="F25" s="5" t="n">
        <v>0</v>
      </c>
      <c r="G25" s="5" t="n">
        <v>1.67</v>
      </c>
      <c r="H25" s="6" t="n">
        <v>0</v>
      </c>
      <c r="I25" s="6" t="n">
        <v>161623972</v>
      </c>
      <c r="J25" s="7" t="n"/>
      <c r="K25" s="7" t="n"/>
    </row>
    <row r="26">
      <c r="A26" s="4" t="n">
        <v>45873</v>
      </c>
      <c r="B26" t="inlineStr">
        <is>
          <t>PSQ</t>
        </is>
      </c>
      <c r="C26" t="inlineStr">
        <is>
          <t>Pacific Smiles Group Limited</t>
        </is>
      </c>
      <c r="D26" s="5" t="n">
        <v>1.67</v>
      </c>
      <c r="E26" s="5" t="n">
        <v>1.67</v>
      </c>
      <c r="F26" s="5" t="n">
        <v>1.67</v>
      </c>
      <c r="G26" s="5" t="n">
        <v>1.67</v>
      </c>
      <c r="H26" s="6" t="n">
        <v>1</v>
      </c>
      <c r="I26" s="6" t="n">
        <v>161623972</v>
      </c>
      <c r="J26" s="7" t="n"/>
      <c r="K26" s="7" t="n"/>
    </row>
    <row r="27">
      <c r="A27" s="4" t="n">
        <v>45874</v>
      </c>
      <c r="B27" t="inlineStr">
        <is>
          <t>PSQ</t>
        </is>
      </c>
      <c r="C27" t="inlineStr">
        <is>
          <t>Pacific Smiles Group Limited</t>
        </is>
      </c>
      <c r="D27" s="5" t="n">
        <v>1.505</v>
      </c>
      <c r="E27" s="5" t="n">
        <v>1.505</v>
      </c>
      <c r="F27" s="5" t="n">
        <v>1.5</v>
      </c>
      <c r="G27" s="5" t="n">
        <v>1.5</v>
      </c>
      <c r="H27" s="6" t="n">
        <v>11926</v>
      </c>
      <c r="I27" s="6" t="n">
        <v>161623972</v>
      </c>
      <c r="J27" s="7" t="n"/>
      <c r="K27" s="7" t="n"/>
    </row>
    <row r="28">
      <c r="A28" s="4" t="n">
        <v>45875</v>
      </c>
      <c r="B28" t="inlineStr">
        <is>
          <t>PSQ</t>
        </is>
      </c>
      <c r="C28" t="inlineStr">
        <is>
          <t>Pacific Smiles Group Limited</t>
        </is>
      </c>
      <c r="D28" s="5" t="n">
        <v>1.51</v>
      </c>
      <c r="E28" s="5" t="n">
        <v>1.51</v>
      </c>
      <c r="F28" s="5" t="n">
        <v>1.51</v>
      </c>
      <c r="G28" s="5" t="n">
        <v>1.51</v>
      </c>
      <c r="H28" s="6" t="n">
        <v>502</v>
      </c>
      <c r="I28" s="6" t="n">
        <v>161623972</v>
      </c>
      <c r="J28" s="7" t="n"/>
      <c r="K28" s="7" t="n"/>
    </row>
    <row r="29">
      <c r="A29" s="4" t="n">
        <v>45876</v>
      </c>
      <c r="B29" t="inlineStr">
        <is>
          <t>PSQ</t>
        </is>
      </c>
      <c r="C29" t="inlineStr">
        <is>
          <t>Pacific Smiles Group Limited</t>
        </is>
      </c>
      <c r="D29" s="5" t="n">
        <v>0</v>
      </c>
      <c r="E29" s="5" t="n">
        <v>0</v>
      </c>
      <c r="F29" s="5" t="n">
        <v>0</v>
      </c>
      <c r="G29" s="5" t="n">
        <v>1.51</v>
      </c>
      <c r="H29" s="6" t="n">
        <v>0</v>
      </c>
      <c r="I29" s="6" t="n">
        <v>161623972</v>
      </c>
      <c r="J29" s="7" t="n"/>
      <c r="K29" s="7" t="n"/>
    </row>
    <row r="30">
      <c r="A30" s="4" t="n">
        <v>45877</v>
      </c>
      <c r="B30" t="inlineStr">
        <is>
          <t>PSQ</t>
        </is>
      </c>
      <c r="C30" t="inlineStr">
        <is>
          <t>Pacific Smiles Group Limited</t>
        </is>
      </c>
      <c r="D30" s="5" t="n">
        <v>1.51</v>
      </c>
      <c r="E30" s="5" t="n">
        <v>1.51</v>
      </c>
      <c r="F30" s="5" t="n">
        <v>1.5</v>
      </c>
      <c r="G30" s="5" t="n">
        <v>1.5</v>
      </c>
      <c r="H30" s="6" t="n">
        <v>4876</v>
      </c>
      <c r="I30" s="6" t="n">
        <v>161623972</v>
      </c>
      <c r="J30" s="7" t="n"/>
      <c r="K30" s="7" t="n"/>
    </row>
    <row r="31">
      <c r="A31" s="4" t="n">
        <v>45880</v>
      </c>
      <c r="B31" t="inlineStr">
        <is>
          <t>PSQ</t>
        </is>
      </c>
      <c r="C31" t="inlineStr">
        <is>
          <t>Pacific Smiles Group Limited</t>
        </is>
      </c>
      <c r="D31" s="5" t="n">
        <v>1.51</v>
      </c>
      <c r="E31" s="5" t="n">
        <v>1.51</v>
      </c>
      <c r="F31" s="5" t="n">
        <v>1.51</v>
      </c>
      <c r="G31" s="5" t="n">
        <v>1.51</v>
      </c>
      <c r="H31" s="6" t="n">
        <v>1</v>
      </c>
      <c r="I31" s="6" t="n">
        <v>161623972</v>
      </c>
      <c r="J31" s="7" t="n"/>
      <c r="K31" s="7" t="n"/>
    </row>
    <row r="32">
      <c r="A32" s="4" t="n">
        <v>45881</v>
      </c>
      <c r="B32" t="inlineStr">
        <is>
          <t>PSQ</t>
        </is>
      </c>
      <c r="C32" t="inlineStr">
        <is>
          <t>Pacific Smiles Group Limited</t>
        </is>
      </c>
      <c r="D32" s="5" t="n">
        <v>0</v>
      </c>
      <c r="E32" s="5" t="n">
        <v>0</v>
      </c>
      <c r="F32" s="5" t="n">
        <v>0</v>
      </c>
      <c r="G32" s="5" t="n">
        <v>1.51</v>
      </c>
      <c r="H32" s="6" t="n">
        <v>0</v>
      </c>
      <c r="I32" s="6" t="n">
        <v>161623972</v>
      </c>
      <c r="J32" s="7" t="n"/>
      <c r="K32" s="7" t="n"/>
    </row>
    <row r="33">
      <c r="A33" s="4" t="n">
        <v>45882</v>
      </c>
      <c r="B33" t="inlineStr">
        <is>
          <t>PSQ</t>
        </is>
      </c>
      <c r="C33" t="inlineStr">
        <is>
          <t>Pacific Smiles Group Limited</t>
        </is>
      </c>
      <c r="D33" s="5" t="n">
        <v>1.55</v>
      </c>
      <c r="E33" s="5" t="n">
        <v>1.55</v>
      </c>
      <c r="F33" s="5" t="n">
        <v>1.55</v>
      </c>
      <c r="G33" s="5" t="n">
        <v>1.55</v>
      </c>
      <c r="H33" s="6" t="n">
        <v>652</v>
      </c>
      <c r="I33" s="6" t="n">
        <v>161623972</v>
      </c>
      <c r="J33" s="7" t="n"/>
      <c r="K33" s="7" t="n"/>
    </row>
    <row r="34">
      <c r="A34" s="4" t="n">
        <v>45883</v>
      </c>
      <c r="B34" t="inlineStr">
        <is>
          <t>PSQ</t>
        </is>
      </c>
      <c r="C34" t="inlineStr">
        <is>
          <t>Pacific Smiles Group Limited</t>
        </is>
      </c>
      <c r="D34" s="5" t="n">
        <v>1.555</v>
      </c>
      <c r="E34" s="5" t="n">
        <v>1.555</v>
      </c>
      <c r="F34" s="5" t="n">
        <v>1.555</v>
      </c>
      <c r="G34" s="5" t="n">
        <v>1.555</v>
      </c>
      <c r="H34" s="6" t="n">
        <v>3935</v>
      </c>
      <c r="I34" s="6" t="n">
        <v>161623972</v>
      </c>
      <c r="J34" s="7" t="n"/>
      <c r="K34" s="7" t="n"/>
    </row>
    <row r="35">
      <c r="A35" s="4" t="n">
        <v>45884</v>
      </c>
      <c r="B35" t="inlineStr">
        <is>
          <t>PSQ</t>
        </is>
      </c>
      <c r="C35" t="inlineStr">
        <is>
          <t>Pacific Smiles Group Limited</t>
        </is>
      </c>
      <c r="D35" s="5" t="n">
        <v>1.575</v>
      </c>
      <c r="E35" s="5" t="n">
        <v>1.575</v>
      </c>
      <c r="F35" s="5" t="n">
        <v>1.575</v>
      </c>
      <c r="G35" s="5" t="n">
        <v>1.575</v>
      </c>
      <c r="H35" s="6" t="n">
        <v>2</v>
      </c>
      <c r="I35" s="6" t="n">
        <v>161623972</v>
      </c>
      <c r="J35" s="7" t="n"/>
      <c r="K35" s="7" t="n"/>
    </row>
    <row r="36">
      <c r="A36" s="4" t="n">
        <v>45887</v>
      </c>
      <c r="B36" t="inlineStr">
        <is>
          <t>PSQ</t>
        </is>
      </c>
      <c r="C36" t="inlineStr">
        <is>
          <t>Pacific Smiles Group Limited</t>
        </is>
      </c>
      <c r="D36" s="5" t="n">
        <v>0</v>
      </c>
      <c r="E36" s="5" t="n">
        <v>0</v>
      </c>
      <c r="F36" s="5" t="n">
        <v>0</v>
      </c>
      <c r="G36" s="5" t="n">
        <v>1.575</v>
      </c>
      <c r="H36" s="6" t="n">
        <v>0</v>
      </c>
      <c r="I36" s="6" t="n">
        <v>161615445</v>
      </c>
      <c r="J36" s="7" t="n"/>
      <c r="K36" s="7" t="n"/>
    </row>
    <row r="37">
      <c r="A37" s="4" t="n">
        <v>45888</v>
      </c>
      <c r="B37" t="inlineStr">
        <is>
          <t>PSQ</t>
        </is>
      </c>
      <c r="C37" t="inlineStr">
        <is>
          <t>Pacific Smiles Group Limited</t>
        </is>
      </c>
      <c r="D37" s="5" t="n">
        <v>0</v>
      </c>
      <c r="E37" s="5" t="n">
        <v>0</v>
      </c>
      <c r="F37" s="5" t="n">
        <v>0</v>
      </c>
      <c r="G37" s="5" t="n">
        <v>1.575</v>
      </c>
      <c r="H37" s="6" t="n">
        <v>0</v>
      </c>
      <c r="I37" s="6" t="n">
        <v>161615445</v>
      </c>
      <c r="J37" s="7" t="n"/>
      <c r="K37" s="7" t="n"/>
    </row>
    <row r="38">
      <c r="A38" s="4" t="n">
        <v>45889</v>
      </c>
      <c r="B38" t="inlineStr">
        <is>
          <t>PSQ</t>
        </is>
      </c>
      <c r="C38" t="inlineStr">
        <is>
          <t>Pacific Smiles Group Limited</t>
        </is>
      </c>
      <c r="D38" s="5" t="n">
        <v>0</v>
      </c>
      <c r="E38" s="5" t="n">
        <v>0</v>
      </c>
      <c r="F38" s="5" t="n">
        <v>0</v>
      </c>
      <c r="G38" s="5" t="n">
        <v>1.575</v>
      </c>
      <c r="H38" s="6" t="n">
        <v>0</v>
      </c>
      <c r="I38" s="6" t="n">
        <v>161615445</v>
      </c>
      <c r="J38" s="7" t="n"/>
      <c r="K38" s="7" t="n"/>
    </row>
    <row r="39">
      <c r="A39" s="4" t="n">
        <v>45890</v>
      </c>
      <c r="B39" t="inlineStr">
        <is>
          <t>PSQ</t>
        </is>
      </c>
      <c r="C39" t="inlineStr">
        <is>
          <t>Pacific Smiles Group Limited</t>
        </is>
      </c>
      <c r="D39" s="5" t="n">
        <v>0</v>
      </c>
      <c r="E39" s="5" t="n">
        <v>0</v>
      </c>
      <c r="F39" s="5" t="n">
        <v>0</v>
      </c>
      <c r="G39" s="5" t="n">
        <v>1.575</v>
      </c>
      <c r="H39" s="6" t="n">
        <v>0</v>
      </c>
      <c r="I39" s="6" t="n">
        <v>161615445</v>
      </c>
      <c r="J39" s="7" t="n"/>
      <c r="K39" s="7" t="n"/>
    </row>
    <row r="40">
      <c r="A40" s="4" t="n">
        <v>45891</v>
      </c>
      <c r="B40" t="inlineStr">
        <is>
          <t>PSQ</t>
        </is>
      </c>
      <c r="C40" t="inlineStr">
        <is>
          <t>Pacific Smiles Group Limited</t>
        </is>
      </c>
      <c r="D40" s="5" t="n">
        <v>1.615</v>
      </c>
      <c r="E40" s="5" t="n">
        <v>1.615</v>
      </c>
      <c r="F40" s="5" t="n">
        <v>1.615</v>
      </c>
      <c r="G40" s="5" t="n">
        <v>1.615</v>
      </c>
      <c r="H40" s="6" t="n">
        <v>6</v>
      </c>
      <c r="I40" s="6" t="n">
        <v>161615445</v>
      </c>
      <c r="J40" s="7" t="n"/>
      <c r="K40" s="7" t="n"/>
    </row>
    <row r="41">
      <c r="A41" s="4" t="n">
        <v>45894</v>
      </c>
      <c r="B41" t="inlineStr">
        <is>
          <t>PSQ</t>
        </is>
      </c>
      <c r="C41" t="inlineStr">
        <is>
          <t>Pacific Smiles Group Limited</t>
        </is>
      </c>
      <c r="D41" s="5" t="n">
        <v>0</v>
      </c>
      <c r="E41" s="5" t="n">
        <v>0</v>
      </c>
      <c r="F41" s="5" t="n">
        <v>0</v>
      </c>
      <c r="G41" s="5" t="n">
        <v>1.615</v>
      </c>
      <c r="H41" s="6" t="n">
        <v>0</v>
      </c>
      <c r="I41" s="6" t="n">
        <v>161615445</v>
      </c>
      <c r="J41" s="7" t="n"/>
      <c r="K41" s="7" t="n"/>
    </row>
    <row r="42">
      <c r="A42" s="4" t="n">
        <v>45895</v>
      </c>
      <c r="B42" t="inlineStr">
        <is>
          <t>PSQ</t>
        </is>
      </c>
      <c r="C42" t="inlineStr">
        <is>
          <t>Pacific Smiles Group Limited</t>
        </is>
      </c>
      <c r="D42" s="5" t="n">
        <v>0</v>
      </c>
      <c r="E42" s="5" t="n">
        <v>0</v>
      </c>
      <c r="F42" s="5" t="n">
        <v>0</v>
      </c>
      <c r="G42" s="5" t="n">
        <v>1.615</v>
      </c>
      <c r="H42" s="6" t="n">
        <v>0</v>
      </c>
      <c r="I42" s="6" t="n">
        <v>161615445</v>
      </c>
      <c r="J42" s="7" t="n"/>
      <c r="K42" s="7" t="n"/>
    </row>
    <row r="43">
      <c r="A43" s="4" t="n">
        <v>45896</v>
      </c>
      <c r="B43" t="inlineStr">
        <is>
          <t>PSQ</t>
        </is>
      </c>
      <c r="C43" t="inlineStr">
        <is>
          <t>Pacific Smiles Group Limited</t>
        </is>
      </c>
      <c r="D43" s="5" t="n">
        <v>0</v>
      </c>
      <c r="E43" s="5" t="n">
        <v>0</v>
      </c>
      <c r="F43" s="5" t="n">
        <v>0</v>
      </c>
      <c r="G43" s="5" t="n">
        <v>1.615</v>
      </c>
      <c r="H43" s="6" t="n">
        <v>0</v>
      </c>
      <c r="I43" s="6" t="n">
        <v>161615445</v>
      </c>
      <c r="J43" s="7" t="n"/>
      <c r="K43" s="7" t="n"/>
    </row>
    <row r="44">
      <c r="A44" s="4" t="n">
        <v>45897</v>
      </c>
      <c r="B44" t="inlineStr">
        <is>
          <t>PSQ</t>
        </is>
      </c>
      <c r="C44" t="inlineStr">
        <is>
          <t>Pacific Smiles Group Limited</t>
        </is>
      </c>
      <c r="D44" s="5" t="n">
        <v>0</v>
      </c>
      <c r="E44" s="5" t="n">
        <v>0</v>
      </c>
      <c r="F44" s="5" t="n">
        <v>0</v>
      </c>
      <c r="G44" s="5" t="n">
        <v>1.615</v>
      </c>
      <c r="H44" s="6" t="n">
        <v>0</v>
      </c>
      <c r="I44" s="6" t="n">
        <v>161615445</v>
      </c>
      <c r="J44" s="7" t="n"/>
      <c r="K44" s="7" t="n"/>
    </row>
    <row r="45">
      <c r="A45" s="4" t="n">
        <v>45898</v>
      </c>
      <c r="B45" t="inlineStr">
        <is>
          <t>PSQ</t>
        </is>
      </c>
      <c r="C45" t="inlineStr">
        <is>
          <t>Pacific Smiles Group Limited</t>
        </is>
      </c>
      <c r="D45" s="5" t="n">
        <v>1.615</v>
      </c>
      <c r="E45" s="5" t="n">
        <v>1.615</v>
      </c>
      <c r="F45" s="5" t="n">
        <v>1.575</v>
      </c>
      <c r="G45" s="5" t="n">
        <v>1.575</v>
      </c>
      <c r="H45" s="6" t="n">
        <v>2226</v>
      </c>
      <c r="I45" s="6" t="n">
        <v>161615445</v>
      </c>
      <c r="J45" s="7" t="n"/>
      <c r="K45" s="7" t="n"/>
    </row>
    <row r="46">
      <c r="A46" s="4" t="n">
        <v>45901</v>
      </c>
      <c r="B46" t="inlineStr">
        <is>
          <t>PSQ</t>
        </is>
      </c>
      <c r="C46" t="inlineStr">
        <is>
          <t>Pacific Smiles Group Limited</t>
        </is>
      </c>
      <c r="D46" s="5" t="n">
        <v>0</v>
      </c>
      <c r="E46" s="5" t="n">
        <v>0</v>
      </c>
      <c r="F46" s="5" t="n">
        <v>0</v>
      </c>
      <c r="G46" s="5" t="n">
        <v>1.575</v>
      </c>
      <c r="H46" s="6" t="n">
        <v>0</v>
      </c>
      <c r="I46" s="6" t="n">
        <v>161615445</v>
      </c>
      <c r="J46" s="7" t="n"/>
      <c r="K46" s="7" t="n"/>
    </row>
    <row r="47">
      <c r="A47" s="4" t="n">
        <v>45902</v>
      </c>
      <c r="B47" t="inlineStr">
        <is>
          <t>PSQ</t>
        </is>
      </c>
      <c r="C47" t="inlineStr">
        <is>
          <t>Pacific Smiles Group Limited</t>
        </is>
      </c>
      <c r="D47" s="5" t="n">
        <v>0</v>
      </c>
      <c r="E47" s="5" t="n">
        <v>0</v>
      </c>
      <c r="F47" s="5" t="n">
        <v>0</v>
      </c>
      <c r="G47" s="5" t="n">
        <v>1.575</v>
      </c>
      <c r="H47" s="6" t="n">
        <v>0</v>
      </c>
      <c r="I47" s="6" t="n">
        <v>161615445</v>
      </c>
      <c r="J47" s="7" t="n"/>
      <c r="K47" s="7" t="n"/>
    </row>
    <row r="48">
      <c r="A48" s="4" t="n">
        <v>45903</v>
      </c>
      <c r="B48" t="inlineStr">
        <is>
          <t>PSQ</t>
        </is>
      </c>
      <c r="C48" t="inlineStr">
        <is>
          <t>Pacific Smiles Group Limited</t>
        </is>
      </c>
      <c r="D48" s="5" t="n">
        <v>0</v>
      </c>
      <c r="E48" s="5" t="n">
        <v>0</v>
      </c>
      <c r="F48" s="5" t="n">
        <v>0</v>
      </c>
      <c r="G48" s="5" t="n">
        <v>1.575</v>
      </c>
      <c r="H48" s="6" t="n">
        <v>0</v>
      </c>
      <c r="I48" s="6" t="n">
        <v>161615445</v>
      </c>
      <c r="J48" s="7" t="n"/>
      <c r="K48" s="7" t="n"/>
    </row>
    <row r="49">
      <c r="A49" s="4" t="n">
        <v>45904</v>
      </c>
      <c r="B49" t="inlineStr">
        <is>
          <t>PSQ</t>
        </is>
      </c>
      <c r="C49" t="inlineStr">
        <is>
          <t>Pacific Smiles Group Limited</t>
        </is>
      </c>
      <c r="D49" s="5" t="n">
        <v>0</v>
      </c>
      <c r="E49" s="5" t="n">
        <v>0</v>
      </c>
      <c r="F49" s="5" t="n">
        <v>0</v>
      </c>
      <c r="G49" s="5" t="n">
        <v>1.575</v>
      </c>
      <c r="H49" s="6" t="n">
        <v>0</v>
      </c>
      <c r="I49" s="6" t="n">
        <v>161615445</v>
      </c>
      <c r="J49" s="7" t="n"/>
      <c r="K49" s="7" t="n"/>
    </row>
    <row r="50">
      <c r="A50" s="4" t="n">
        <v>45905</v>
      </c>
      <c r="B50" t="inlineStr">
        <is>
          <t>PSQ</t>
        </is>
      </c>
      <c r="C50" t="inlineStr">
        <is>
          <t>Pacific Smiles Group Limited</t>
        </is>
      </c>
      <c r="D50" s="5" t="n">
        <v>0</v>
      </c>
      <c r="E50" s="5" t="n">
        <v>0</v>
      </c>
      <c r="F50" s="5" t="n">
        <v>0</v>
      </c>
      <c r="G50" s="5" t="n">
        <v>1.575</v>
      </c>
      <c r="H50" s="6" t="n">
        <v>0</v>
      </c>
      <c r="I50" s="6" t="n">
        <v>161615445</v>
      </c>
      <c r="J50" s="7" t="n"/>
      <c r="K50" s="7" t="n"/>
    </row>
    <row r="51">
      <c r="A51" s="4" t="n">
        <v>45908</v>
      </c>
      <c r="B51" t="inlineStr">
        <is>
          <t>PSQ</t>
        </is>
      </c>
      <c r="C51" t="inlineStr">
        <is>
          <t>Pacific Smiles Group Limited</t>
        </is>
      </c>
      <c r="D51" s="5" t="n">
        <v>0</v>
      </c>
      <c r="E51" s="5" t="n">
        <v>0</v>
      </c>
      <c r="F51" s="5" t="n">
        <v>0</v>
      </c>
      <c r="G51" s="5" t="n">
        <v>1.575</v>
      </c>
      <c r="H51" s="6" t="n">
        <v>0</v>
      </c>
      <c r="I51" s="6" t="n">
        <v>161615445</v>
      </c>
      <c r="J51" s="7" t="n"/>
      <c r="K51" s="7" t="n"/>
    </row>
    <row r="52">
      <c r="A52" s="4" t="n">
        <v>45909</v>
      </c>
      <c r="B52" t="inlineStr">
        <is>
          <t>PSQ</t>
        </is>
      </c>
      <c r="C52" t="inlineStr">
        <is>
          <t>Pacific Smiles Group Limited</t>
        </is>
      </c>
      <c r="D52" s="5" t="n">
        <v>0</v>
      </c>
      <c r="E52" s="5" t="n">
        <v>0</v>
      </c>
      <c r="F52" s="5" t="n">
        <v>0</v>
      </c>
      <c r="G52" s="5" t="n">
        <v>1.575</v>
      </c>
      <c r="H52" s="6" t="n">
        <v>0</v>
      </c>
      <c r="I52" s="6" t="n">
        <v>161615445</v>
      </c>
      <c r="J52" s="7" t="n"/>
      <c r="K52" s="7" t="n"/>
    </row>
    <row r="53">
      <c r="A53" s="4" t="n">
        <v>45910</v>
      </c>
      <c r="B53" t="inlineStr">
        <is>
          <t>PSQ</t>
        </is>
      </c>
      <c r="C53" t="inlineStr">
        <is>
          <t>Pacific Smiles Group Limited</t>
        </is>
      </c>
      <c r="D53" s="5" t="n">
        <v>1.58</v>
      </c>
      <c r="E53" s="5" t="n">
        <v>1.58</v>
      </c>
      <c r="F53" s="5" t="n">
        <v>1.58</v>
      </c>
      <c r="G53" s="5" t="n">
        <v>1.58</v>
      </c>
      <c r="H53" s="6" t="n">
        <v>34</v>
      </c>
      <c r="I53" s="6" t="n">
        <v>161615445</v>
      </c>
      <c r="J53" s="7" t="n"/>
      <c r="K53" s="7" t="n"/>
    </row>
    <row r="54">
      <c r="A54" s="4" t="n">
        <v>45911</v>
      </c>
      <c r="B54" t="inlineStr">
        <is>
          <t>PSQ</t>
        </is>
      </c>
      <c r="C54" t="inlineStr">
        <is>
          <t>Pacific Smiles Group Limited</t>
        </is>
      </c>
      <c r="D54" s="5" t="n">
        <v>1.58</v>
      </c>
      <c r="E54" s="5" t="n">
        <v>1.58</v>
      </c>
      <c r="F54" s="5" t="n">
        <v>1.58</v>
      </c>
      <c r="G54" s="5" t="n">
        <v>1.58</v>
      </c>
      <c r="H54" s="6" t="n">
        <v>32</v>
      </c>
      <c r="I54" s="6" t="n">
        <v>161615445</v>
      </c>
      <c r="J54" s="7" t="n"/>
      <c r="K54" s="7" t="n"/>
    </row>
    <row r="55">
      <c r="A55" s="4" t="n">
        <v>45912</v>
      </c>
      <c r="B55" t="inlineStr">
        <is>
          <t>PSQ</t>
        </is>
      </c>
      <c r="C55" t="inlineStr">
        <is>
          <t>Pacific Smiles Group Limited</t>
        </is>
      </c>
      <c r="D55" s="5" t="n">
        <v>0</v>
      </c>
      <c r="E55" s="5" t="n">
        <v>0</v>
      </c>
      <c r="F55" s="5" t="n">
        <v>0</v>
      </c>
      <c r="G55" s="5" t="n">
        <v>1.58</v>
      </c>
      <c r="H55" s="6" t="n">
        <v>0</v>
      </c>
      <c r="I55" s="6" t="n">
        <v>161615445</v>
      </c>
      <c r="J55" s="7" t="n"/>
      <c r="K55" s="7" t="n"/>
    </row>
    <row r="56">
      <c r="A56" s="4" t="n">
        <v>45915</v>
      </c>
      <c r="B56" t="inlineStr">
        <is>
          <t>PSQ</t>
        </is>
      </c>
      <c r="C56" t="inlineStr">
        <is>
          <t>Pacific Smiles Group Limited</t>
        </is>
      </c>
      <c r="D56" s="5" t="n">
        <v>0</v>
      </c>
      <c r="E56" s="5" t="n">
        <v>0</v>
      </c>
      <c r="F56" s="5" t="n">
        <v>0</v>
      </c>
      <c r="G56" s="5" t="n">
        <v>1.58</v>
      </c>
      <c r="H56" s="6" t="n">
        <v>0</v>
      </c>
      <c r="I56" s="6" t="n">
        <v>161615445</v>
      </c>
      <c r="J56" s="7" t="n"/>
      <c r="K56" s="7" t="n"/>
    </row>
    <row r="57">
      <c r="A57" s="4" t="n">
        <v>45916</v>
      </c>
      <c r="B57" t="inlineStr">
        <is>
          <t>PSQ</t>
        </is>
      </c>
      <c r="C57" t="inlineStr">
        <is>
          <t>Pacific Smiles Group Limited</t>
        </is>
      </c>
      <c r="D57" s="5" t="n">
        <v>0</v>
      </c>
      <c r="E57" s="5" t="n">
        <v>0</v>
      </c>
      <c r="F57" s="5" t="n">
        <v>0</v>
      </c>
      <c r="G57" s="5" t="n">
        <v>1.58</v>
      </c>
      <c r="H57" s="6" t="n">
        <v>0</v>
      </c>
      <c r="I57" s="6" t="n">
        <v>161615445</v>
      </c>
      <c r="J57" s="7" t="n"/>
      <c r="K57" s="7" t="n"/>
    </row>
    <row r="58">
      <c r="A58" s="4" t="n">
        <v>45917</v>
      </c>
      <c r="B58" t="inlineStr">
        <is>
          <t>PSQ</t>
        </is>
      </c>
      <c r="C58" t="inlineStr">
        <is>
          <t>Pacific Smiles Group Limited</t>
        </is>
      </c>
      <c r="D58" s="5" t="n">
        <v>0</v>
      </c>
      <c r="E58" s="5" t="n">
        <v>0</v>
      </c>
      <c r="F58" s="5" t="n">
        <v>0</v>
      </c>
      <c r="G58" s="5" t="n">
        <v>1.58</v>
      </c>
      <c r="H58" s="6" t="n">
        <v>0</v>
      </c>
      <c r="I58" s="6" t="n">
        <v>161615445</v>
      </c>
      <c r="J58" s="7" t="n"/>
      <c r="K58" s="7" t="n"/>
    </row>
    <row r="59">
      <c r="A59" s="4" t="n">
        <v>45918</v>
      </c>
      <c r="B59" t="inlineStr">
        <is>
          <t>PSQ</t>
        </is>
      </c>
      <c r="C59" t="inlineStr">
        <is>
          <t>Pacific Smiles Group Limited</t>
        </is>
      </c>
      <c r="D59" s="5" t="n">
        <v>0</v>
      </c>
      <c r="E59" s="5" t="n">
        <v>0</v>
      </c>
      <c r="F59" s="5" t="n">
        <v>0</v>
      </c>
      <c r="G59" s="5" t="n">
        <v>1.58</v>
      </c>
      <c r="H59" s="6" t="n">
        <v>0</v>
      </c>
      <c r="I59" s="6" t="n">
        <v>161615445</v>
      </c>
      <c r="J59" s="7" t="n"/>
      <c r="K59" s="7" t="n"/>
    </row>
    <row r="60">
      <c r="A60" s="4" t="n">
        <v>45919</v>
      </c>
      <c r="B60" t="inlineStr">
        <is>
          <t>PSQ</t>
        </is>
      </c>
      <c r="C60" t="inlineStr">
        <is>
          <t>Pacific Smiles Group Limited</t>
        </is>
      </c>
      <c r="D60" s="5" t="n">
        <v>0</v>
      </c>
      <c r="E60" s="5" t="n">
        <v>0</v>
      </c>
      <c r="F60" s="5" t="n">
        <v>0</v>
      </c>
      <c r="G60" s="5" t="n">
        <v>1.58</v>
      </c>
      <c r="H60" s="6" t="n">
        <v>0</v>
      </c>
      <c r="I60" s="6" t="n">
        <v>161615445</v>
      </c>
      <c r="J60" s="7" t="n"/>
      <c r="K60" s="7" t="n"/>
    </row>
    <row r="61">
      <c r="A61" s="4" t="n">
        <v>45922</v>
      </c>
      <c r="B61" t="inlineStr">
        <is>
          <t>PSQ</t>
        </is>
      </c>
      <c r="C61" t="inlineStr">
        <is>
          <t>Pacific Smiles Group Limited</t>
        </is>
      </c>
      <c r="D61" s="5" t="n">
        <v>0</v>
      </c>
      <c r="E61" s="5" t="n">
        <v>0</v>
      </c>
      <c r="F61" s="5" t="n">
        <v>0</v>
      </c>
      <c r="G61" s="5" t="n">
        <v>1.58</v>
      </c>
      <c r="H61" s="6" t="n">
        <v>0</v>
      </c>
      <c r="I61" s="6" t="n">
        <v>161615445</v>
      </c>
      <c r="J61" s="7" t="n"/>
      <c r="K61" s="7" t="n"/>
    </row>
    <row r="62">
      <c r="A62" s="4" t="n">
        <v>45923</v>
      </c>
      <c r="B62" t="inlineStr">
        <is>
          <t>PSQ</t>
        </is>
      </c>
      <c r="C62" t="inlineStr">
        <is>
          <t>Pacific Smiles Group Limited</t>
        </is>
      </c>
      <c r="D62" s="5" t="n">
        <v>0</v>
      </c>
      <c r="E62" s="5" t="n">
        <v>0</v>
      </c>
      <c r="F62" s="5" t="n">
        <v>0</v>
      </c>
      <c r="G62" s="5" t="n">
        <v>1.58</v>
      </c>
      <c r="H62" s="6" t="n">
        <v>0</v>
      </c>
      <c r="I62" s="6" t="n">
        <v>161615445</v>
      </c>
      <c r="J62" s="7" t="n"/>
      <c r="K62" s="7" t="n"/>
    </row>
    <row r="63">
      <c r="A63" s="4" t="n">
        <v>45924</v>
      </c>
      <c r="B63" t="inlineStr">
        <is>
          <t>PSQ</t>
        </is>
      </c>
      <c r="C63" t="inlineStr">
        <is>
          <t>Pacific Smiles Group Limited</t>
        </is>
      </c>
      <c r="D63" s="5" t="n">
        <v>0</v>
      </c>
      <c r="E63" s="5" t="n">
        <v>0</v>
      </c>
      <c r="F63" s="5" t="n">
        <v>0</v>
      </c>
      <c r="G63" s="5" t="n">
        <v>1.58</v>
      </c>
      <c r="H63" s="6" t="n">
        <v>0</v>
      </c>
      <c r="I63" s="6" t="n">
        <v>161615445</v>
      </c>
      <c r="J63" s="7" t="n"/>
      <c r="K63" s="7" t="n"/>
    </row>
    <row r="64">
      <c r="A64" s="4" t="n">
        <v>45925</v>
      </c>
      <c r="B64" t="inlineStr">
        <is>
          <t>PSQ</t>
        </is>
      </c>
      <c r="C64" t="inlineStr">
        <is>
          <t>Pacific Smiles Group Limited</t>
        </is>
      </c>
      <c r="D64" s="5" t="n">
        <v>1.625</v>
      </c>
      <c r="E64" s="5" t="n">
        <v>1.625</v>
      </c>
      <c r="F64" s="5" t="n">
        <v>1.525</v>
      </c>
      <c r="G64" s="5" t="n">
        <v>1.525</v>
      </c>
      <c r="H64" s="6" t="n">
        <v>980</v>
      </c>
      <c r="I64" s="6" t="n">
        <v>161615445</v>
      </c>
      <c r="J64" s="7" t="n"/>
      <c r="K64" s="7" t="n"/>
    </row>
    <row r="65">
      <c r="A65" s="4" t="n">
        <v>45926</v>
      </c>
      <c r="B65" t="inlineStr">
        <is>
          <t>PSQ</t>
        </is>
      </c>
      <c r="C65" t="inlineStr">
        <is>
          <t>Pacific Smiles Group Limited</t>
        </is>
      </c>
      <c r="D65" s="5" t="n">
        <v>0</v>
      </c>
      <c r="E65" s="5" t="n">
        <v>0</v>
      </c>
      <c r="F65" s="5" t="n">
        <v>0</v>
      </c>
      <c r="G65" s="5" t="n">
        <v>1.525</v>
      </c>
      <c r="H65" s="6" t="n">
        <v>0</v>
      </c>
      <c r="I65" s="6" t="n">
        <v>161615445</v>
      </c>
      <c r="J65" s="7" t="n"/>
      <c r="K65" s="7" t="n"/>
    </row>
    <row r="66">
      <c r="A66" s="4" t="n">
        <v>45929</v>
      </c>
      <c r="B66" t="inlineStr">
        <is>
          <t>PSQ</t>
        </is>
      </c>
      <c r="C66" t="inlineStr">
        <is>
          <t>Pacific Smiles Group Limited</t>
        </is>
      </c>
      <c r="D66" s="5" t="n">
        <v>0</v>
      </c>
      <c r="E66" s="5" t="n">
        <v>0</v>
      </c>
      <c r="F66" s="5" t="n">
        <v>0</v>
      </c>
      <c r="G66" s="5" t="n">
        <v>1.525</v>
      </c>
      <c r="H66" s="6" t="n">
        <v>0</v>
      </c>
      <c r="I66" s="6" t="n">
        <v>161615445</v>
      </c>
      <c r="J66" s="7" t="n"/>
      <c r="K66" s="7" t="n"/>
    </row>
    <row r="67">
      <c r="A67" s="4" t="n">
        <v>45930</v>
      </c>
      <c r="B67" t="inlineStr">
        <is>
          <t>PSQ</t>
        </is>
      </c>
      <c r="C67" t="inlineStr">
        <is>
          <t>Pacific Smiles Group Limited</t>
        </is>
      </c>
      <c r="D67" s="5" t="n">
        <v>0</v>
      </c>
      <c r="E67" s="5" t="n">
        <v>0</v>
      </c>
      <c r="F67" s="5" t="n">
        <v>0</v>
      </c>
      <c r="G67" s="5" t="n">
        <v>1.525</v>
      </c>
      <c r="H67" s="6" t="n">
        <v>0</v>
      </c>
      <c r="I67" s="6" t="n">
        <v>161615445</v>
      </c>
      <c r="J67" s="7" t="n"/>
      <c r="K67" s="7" t="n"/>
    </row>
    <row r="68">
      <c r="A68" s="4" t="n">
        <v>45931</v>
      </c>
      <c r="B68" t="inlineStr">
        <is>
          <t>PSQ</t>
        </is>
      </c>
      <c r="C68" t="inlineStr">
        <is>
          <t>Pacific Smiles Group Limited</t>
        </is>
      </c>
      <c r="D68" s="5" t="n">
        <v>0</v>
      </c>
      <c r="E68" s="5" t="n">
        <v>0</v>
      </c>
      <c r="F68" s="5" t="n">
        <v>0</v>
      </c>
      <c r="G68" s="5" t="n">
        <v>1.525</v>
      </c>
      <c r="H68" s="6" t="n">
        <v>0</v>
      </c>
      <c r="I68" s="6" t="n">
        <v>161615445</v>
      </c>
      <c r="J68" s="7" t="n"/>
      <c r="K68" s="7" t="n"/>
    </row>
    <row r="69">
      <c r="A69" s="4" t="n">
        <v>45932</v>
      </c>
      <c r="B69" t="inlineStr">
        <is>
          <t>PSQ</t>
        </is>
      </c>
      <c r="C69" t="inlineStr">
        <is>
          <t>Pacific Smiles Group Limited</t>
        </is>
      </c>
      <c r="D69" s="5" t="n">
        <v>0</v>
      </c>
      <c r="E69" s="5" t="n">
        <v>0</v>
      </c>
      <c r="F69" s="5" t="n">
        <v>0</v>
      </c>
      <c r="G69" s="5" t="n">
        <v>1.525</v>
      </c>
      <c r="H69" s="6" t="n">
        <v>0</v>
      </c>
      <c r="I69" s="6" t="n">
        <v>161615445</v>
      </c>
      <c r="J69" s="7" t="n"/>
      <c r="K69" s="7" t="n"/>
    </row>
    <row r="70">
      <c r="A70" s="4" t="n">
        <v>45933</v>
      </c>
      <c r="B70" t="inlineStr">
        <is>
          <t>PSQ</t>
        </is>
      </c>
      <c r="C70" t="inlineStr">
        <is>
          <t>Pacific Smiles Group Limited</t>
        </is>
      </c>
      <c r="D70" s="5" t="n">
        <v>1.6</v>
      </c>
      <c r="E70" s="5" t="n">
        <v>1.6</v>
      </c>
      <c r="F70" s="5" t="n">
        <v>1.6</v>
      </c>
      <c r="G70" s="5" t="n">
        <v>1.6</v>
      </c>
      <c r="H70" s="6" t="n">
        <v>8</v>
      </c>
      <c r="I70" s="6" t="n">
        <v>161615445</v>
      </c>
      <c r="J70" s="7" t="n"/>
      <c r="K70" s="7" t="n"/>
    </row>
    <row r="71">
      <c r="A71" s="4" t="n">
        <v>45936</v>
      </c>
      <c r="B71" t="inlineStr">
        <is>
          <t>PSQ</t>
        </is>
      </c>
      <c r="C71" t="inlineStr">
        <is>
          <t>Pacific Smiles Group Limited</t>
        </is>
      </c>
      <c r="D71" s="5" t="n">
        <v>1.6</v>
      </c>
      <c r="E71" s="5" t="n">
        <v>1.6</v>
      </c>
      <c r="F71" s="5" t="n">
        <v>1.6</v>
      </c>
      <c r="G71" s="5" t="n">
        <v>1.6</v>
      </c>
      <c r="H71" s="6" t="n">
        <v>350</v>
      </c>
      <c r="I71" s="6" t="n">
        <v>161615445</v>
      </c>
      <c r="J71" s="7" t="n"/>
      <c r="K71" s="7" t="n"/>
    </row>
    <row r="72">
      <c r="A72" s="4" t="n">
        <v>45937</v>
      </c>
      <c r="B72" t="inlineStr">
        <is>
          <t>PSQ</t>
        </is>
      </c>
      <c r="C72" t="inlineStr">
        <is>
          <t>Pacific Smiles Group Limited</t>
        </is>
      </c>
      <c r="D72" s="5" t="n">
        <v>0</v>
      </c>
      <c r="E72" s="5" t="n">
        <v>0</v>
      </c>
      <c r="F72" s="5" t="n">
        <v>0</v>
      </c>
      <c r="G72" s="5" t="n">
        <v>1.6</v>
      </c>
      <c r="H72" s="6" t="n">
        <v>0</v>
      </c>
      <c r="I72" s="6" t="n">
        <v>161615445</v>
      </c>
      <c r="J72" s="7" t="n"/>
      <c r="K72" s="7" t="n"/>
    </row>
    <row r="73">
      <c r="A73" s="4" t="n">
        <v>45938</v>
      </c>
      <c r="B73" t="inlineStr">
        <is>
          <t>PSQ</t>
        </is>
      </c>
      <c r="C73" t="inlineStr">
        <is>
          <t>Pacific Smiles Group Limited</t>
        </is>
      </c>
      <c r="D73" s="5" t="n">
        <v>0</v>
      </c>
      <c r="E73" s="5" t="n">
        <v>0</v>
      </c>
      <c r="F73" s="5" t="n">
        <v>0</v>
      </c>
      <c r="G73" s="5" t="n">
        <v>1.6</v>
      </c>
      <c r="H73" s="6" t="n">
        <v>0</v>
      </c>
      <c r="I73" s="6" t="n">
        <v>161615445</v>
      </c>
      <c r="J73" s="7" t="n"/>
      <c r="K73" s="7" t="n"/>
    </row>
    <row r="74">
      <c r="A74" s="4" t="n">
        <v>45939</v>
      </c>
      <c r="B74" t="inlineStr">
        <is>
          <t>PSQ</t>
        </is>
      </c>
      <c r="C74" t="inlineStr">
        <is>
          <t>Pacific Smiles Group Limited</t>
        </is>
      </c>
      <c r="D74" s="5" t="n">
        <v>0</v>
      </c>
      <c r="E74" s="5" t="n">
        <v>0</v>
      </c>
      <c r="F74" s="5" t="n">
        <v>0</v>
      </c>
      <c r="G74" s="5" t="n">
        <v>1.6</v>
      </c>
      <c r="H74" s="6" t="n">
        <v>0</v>
      </c>
      <c r="I74" s="6" t="n">
        <v>161615445</v>
      </c>
      <c r="J74" s="7" t="n"/>
      <c r="K74" s="7" t="n"/>
    </row>
    <row r="75">
      <c r="A75" s="4" t="n">
        <v>45940</v>
      </c>
      <c r="B75" t="inlineStr">
        <is>
          <t>PSQ</t>
        </is>
      </c>
      <c r="C75" t="inlineStr">
        <is>
          <t>Pacific Smiles Group Limited</t>
        </is>
      </c>
      <c r="D75" s="5" t="n">
        <v>0</v>
      </c>
      <c r="E75" s="5" t="n">
        <v>0</v>
      </c>
      <c r="F75" s="5" t="n">
        <v>0</v>
      </c>
      <c r="G75" s="5" t="n">
        <v>1.6</v>
      </c>
      <c r="H75" s="6" t="n">
        <v>0</v>
      </c>
      <c r="I75" s="6" t="n">
        <v>161615445</v>
      </c>
      <c r="J75" s="7" t="n"/>
      <c r="K75" s="7" t="n"/>
    </row>
    <row r="76">
      <c r="A76" s="4" t="n">
        <v>45943</v>
      </c>
      <c r="B76" t="inlineStr">
        <is>
          <t>PSQ</t>
        </is>
      </c>
      <c r="C76" t="inlineStr">
        <is>
          <t>Pacific Smiles Group Limited</t>
        </is>
      </c>
      <c r="D76" s="5" t="n">
        <v>2.185</v>
      </c>
      <c r="E76" s="5" t="n">
        <v>2.19</v>
      </c>
      <c r="F76" s="5" t="n">
        <v>2.18</v>
      </c>
      <c r="G76" s="5" t="n">
        <v>2.18</v>
      </c>
      <c r="H76" s="6" t="n">
        <v>23082</v>
      </c>
      <c r="I76" s="6" t="n">
        <v>161615445</v>
      </c>
      <c r="J76" s="7" t="n"/>
      <c r="K76" s="7" t="n"/>
    </row>
    <row r="77">
      <c r="A77" s="4" t="n">
        <v>45944</v>
      </c>
      <c r="B77" t="inlineStr">
        <is>
          <t>PSQ</t>
        </is>
      </c>
      <c r="C77" t="inlineStr">
        <is>
          <t>Pacific Smiles Group Limited</t>
        </is>
      </c>
      <c r="D77" s="5" t="n">
        <v>2.18</v>
      </c>
      <c r="E77" s="5" t="n">
        <v>2.19</v>
      </c>
      <c r="F77" s="5" t="n">
        <v>2.18</v>
      </c>
      <c r="G77" s="5" t="n">
        <v>2.18</v>
      </c>
      <c r="H77" s="6" t="n">
        <v>2881</v>
      </c>
      <c r="I77" s="6" t="n">
        <v>161615445</v>
      </c>
      <c r="J77" s="7" t="n"/>
      <c r="K77" s="7" t="n"/>
    </row>
    <row r="78">
      <c r="A78" s="4" t="n">
        <v>45945</v>
      </c>
      <c r="B78" t="inlineStr">
        <is>
          <t>PSQ</t>
        </is>
      </c>
      <c r="C78" t="inlineStr">
        <is>
          <t>Pacific Smiles Group Limited</t>
        </is>
      </c>
      <c r="D78" s="5" t="n">
        <v>2.19</v>
      </c>
      <c r="E78" s="5" t="n">
        <v>2.19</v>
      </c>
      <c r="F78" s="5" t="n">
        <v>2.19</v>
      </c>
      <c r="G78" s="5" t="n">
        <v>2.19</v>
      </c>
      <c r="H78" s="6" t="n">
        <v>8</v>
      </c>
      <c r="I78" s="6" t="n">
        <v>161615445</v>
      </c>
      <c r="J78" s="7" t="n"/>
      <c r="K78" s="7" t="n"/>
    </row>
    <row r="79">
      <c r="A79" s="4" t="n">
        <v>45946</v>
      </c>
      <c r="B79" t="inlineStr">
        <is>
          <t>PSQ</t>
        </is>
      </c>
      <c r="C79" t="inlineStr">
        <is>
          <t>Pacific Smiles Group Limited</t>
        </is>
      </c>
      <c r="D79" s="5" t="n">
        <v>0</v>
      </c>
      <c r="E79" s="5" t="n">
        <v>0</v>
      </c>
      <c r="F79" s="5" t="n">
        <v>0</v>
      </c>
      <c r="G79" s="5" t="n">
        <v>2.19</v>
      </c>
      <c r="H79" s="6" t="n">
        <v>0</v>
      </c>
      <c r="I79" s="6" t="n">
        <v>161615445</v>
      </c>
      <c r="J79" s="7" t="n"/>
      <c r="K79" s="7" t="n"/>
    </row>
    <row r="80">
      <c r="A80" s="4" t="n">
        <v>45947</v>
      </c>
      <c r="B80" t="inlineStr">
        <is>
          <t>PSQ</t>
        </is>
      </c>
      <c r="C80" t="inlineStr">
        <is>
          <t>Pacific Smiles Group Limited</t>
        </is>
      </c>
      <c r="D80" s="5" t="n">
        <v>2.19</v>
      </c>
      <c r="E80" s="5" t="n">
        <v>2.19</v>
      </c>
      <c r="F80" s="5" t="n">
        <v>2.18</v>
      </c>
      <c r="G80" s="5" t="n">
        <v>2.18</v>
      </c>
      <c r="H80" s="6" t="n">
        <v>17</v>
      </c>
      <c r="I80" s="6" t="n">
        <v>161615445</v>
      </c>
      <c r="J80" s="7" t="n"/>
      <c r="K80" s="7" t="n"/>
    </row>
    <row r="81">
      <c r="A81" s="4" t="n">
        <v>45950</v>
      </c>
      <c r="B81" t="inlineStr">
        <is>
          <t>PSQ</t>
        </is>
      </c>
      <c r="C81" t="inlineStr">
        <is>
          <t>Pacific Smiles Group Limited</t>
        </is>
      </c>
      <c r="D81" s="5" t="n">
        <v>2.19</v>
      </c>
      <c r="E81" s="5" t="n">
        <v>2.19</v>
      </c>
      <c r="F81" s="5" t="n">
        <v>2.18</v>
      </c>
      <c r="G81" s="5" t="n">
        <v>2.18</v>
      </c>
      <c r="H81" s="6" t="n">
        <v>2</v>
      </c>
      <c r="I81" s="6" t="n">
        <v>161615445</v>
      </c>
      <c r="J81" s="7" t="n"/>
      <c r="K81" s="7" t="n"/>
    </row>
    <row r="82">
      <c r="A82" s="4" t="n">
        <v>45951</v>
      </c>
      <c r="B82" t="inlineStr">
        <is>
          <t>PSQ</t>
        </is>
      </c>
      <c r="C82" t="inlineStr">
        <is>
          <t>Pacific Smiles Group Limited</t>
        </is>
      </c>
      <c r="D82" s="5" t="n">
        <v>2.18</v>
      </c>
      <c r="E82" s="5" t="n">
        <v>2.18</v>
      </c>
      <c r="F82" s="5" t="n">
        <v>2.18</v>
      </c>
      <c r="G82" s="5" t="n">
        <v>2.18</v>
      </c>
      <c r="H82" s="6" t="n">
        <v>37</v>
      </c>
      <c r="I82" s="6" t="n">
        <v>161615445</v>
      </c>
      <c r="J82" s="7" t="n"/>
      <c r="K82" s="7" t="n"/>
    </row>
    <row r="83">
      <c r="A83" s="4" t="n">
        <v>45952</v>
      </c>
      <c r="B83" t="inlineStr">
        <is>
          <t>PSQ</t>
        </is>
      </c>
      <c r="C83" t="inlineStr">
        <is>
          <t>Pacific Smiles Group Limited</t>
        </is>
      </c>
      <c r="D83" s="5" t="n">
        <v>2.19</v>
      </c>
      <c r="E83" s="5" t="n">
        <v>2.19</v>
      </c>
      <c r="F83" s="5" t="n">
        <v>2.19</v>
      </c>
      <c r="G83" s="5" t="n">
        <v>2.19</v>
      </c>
      <c r="H83" s="6" t="n">
        <v>5</v>
      </c>
      <c r="I83" s="6" t="n">
        <v>161615445</v>
      </c>
      <c r="J83" s="7" t="n"/>
      <c r="K83" s="7" t="n"/>
    </row>
    <row r="84">
      <c r="A84" s="4" t="n">
        <v>45953</v>
      </c>
      <c r="B84" t="inlineStr">
        <is>
          <t>PSQ</t>
        </is>
      </c>
      <c r="C84" t="inlineStr">
        <is>
          <t>Pacific Smiles Group Limited</t>
        </is>
      </c>
      <c r="D84" s="5" t="n">
        <v>0</v>
      </c>
      <c r="E84" s="5" t="n">
        <v>0</v>
      </c>
      <c r="F84" s="5" t="n">
        <v>0</v>
      </c>
      <c r="G84" s="5" t="n">
        <v>2.19</v>
      </c>
      <c r="H84" s="6" t="n">
        <v>0</v>
      </c>
      <c r="I84" s="6" t="n">
        <v>161615445</v>
      </c>
      <c r="J84" s="7" t="n"/>
      <c r="K84" s="7" t="n"/>
    </row>
    <row r="85">
      <c r="A85" s="4" t="n">
        <v>45954</v>
      </c>
      <c r="B85" t="inlineStr">
        <is>
          <t>PSQ</t>
        </is>
      </c>
      <c r="C85" t="inlineStr">
        <is>
          <t>Pacific Smiles Group Limited</t>
        </is>
      </c>
      <c r="D85" s="5" t="n">
        <v>2.19</v>
      </c>
      <c r="E85" s="5" t="n">
        <v>2.19</v>
      </c>
      <c r="F85" s="5" t="n">
        <v>2.18</v>
      </c>
      <c r="G85" s="5" t="n">
        <v>2.18</v>
      </c>
      <c r="H85" s="6" t="n">
        <v>5</v>
      </c>
      <c r="I85" s="6" t="n">
        <v>161615445</v>
      </c>
      <c r="J85" s="7" t="n"/>
      <c r="K85" s="7" t="n"/>
    </row>
    <row r="86">
      <c r="A86" s="4" t="n">
        <v>45957</v>
      </c>
      <c r="B86" t="inlineStr">
        <is>
          <t>PSQ</t>
        </is>
      </c>
      <c r="C86" t="inlineStr">
        <is>
          <t>Pacific Smiles Group Limited</t>
        </is>
      </c>
      <c r="D86" s="5" t="n">
        <v>2.19</v>
      </c>
      <c r="E86" s="5" t="n">
        <v>2.19</v>
      </c>
      <c r="F86" s="5" t="n">
        <v>2.18</v>
      </c>
      <c r="G86" s="5" t="n">
        <v>2.18</v>
      </c>
      <c r="H86" s="6" t="n">
        <v>2</v>
      </c>
      <c r="I86" s="6" t="n">
        <v>161615445</v>
      </c>
      <c r="J86" s="7" t="n"/>
      <c r="K86" s="7" t="n"/>
    </row>
    <row r="87">
      <c r="A87" s="4" t="n">
        <v>45958</v>
      </c>
      <c r="B87" t="inlineStr">
        <is>
          <t>PSQ</t>
        </is>
      </c>
      <c r="C87" t="inlineStr">
        <is>
          <t>Pacific Smiles Group Limited</t>
        </is>
      </c>
      <c r="D87" s="5" t="n">
        <v>2.19</v>
      </c>
      <c r="E87" s="5" t="n">
        <v>2.19</v>
      </c>
      <c r="F87" s="5" t="n">
        <v>2.18</v>
      </c>
      <c r="G87" s="5" t="n">
        <v>2.18</v>
      </c>
      <c r="H87" s="6" t="n">
        <v>920</v>
      </c>
      <c r="I87" s="6" t="n">
        <v>161615445</v>
      </c>
      <c r="J87" s="7" t="n"/>
      <c r="K87" s="7" t="n"/>
    </row>
    <row r="88">
      <c r="A88" s="4" t="n">
        <v>45959</v>
      </c>
      <c r="B88" t="inlineStr">
        <is>
          <t>PSQ</t>
        </is>
      </c>
      <c r="C88" t="inlineStr">
        <is>
          <t>Pacific Smiles Group Limited</t>
        </is>
      </c>
      <c r="D88" s="5" t="n">
        <v>2.18</v>
      </c>
      <c r="E88" s="5" t="n">
        <v>2.18</v>
      </c>
      <c r="F88" s="5" t="n">
        <v>2.18</v>
      </c>
      <c r="G88" s="5" t="n">
        <v>2.18</v>
      </c>
      <c r="H88" s="6" t="n">
        <v>56</v>
      </c>
      <c r="I88" s="6" t="n">
        <v>161615445</v>
      </c>
      <c r="J88" s="7" t="n"/>
      <c r="K88" s="7" t="n"/>
    </row>
    <row r="89">
      <c r="A89" s="4" t="n">
        <v>45960</v>
      </c>
      <c r="B89" t="inlineStr">
        <is>
          <t>PSQ</t>
        </is>
      </c>
      <c r="C89" t="inlineStr">
        <is>
          <t>Pacific Smiles Group Limited</t>
        </is>
      </c>
      <c r="D89" s="5" t="n">
        <v>2.19</v>
      </c>
      <c r="E89" s="5" t="n">
        <v>2.19</v>
      </c>
      <c r="F89" s="5" t="n">
        <v>2.19</v>
      </c>
      <c r="G89" s="5" t="n">
        <v>2.19</v>
      </c>
      <c r="H89" s="6" t="n">
        <v>2396</v>
      </c>
      <c r="I89" s="6" t="n">
        <v>161615445</v>
      </c>
      <c r="J89" s="7" t="n"/>
      <c r="K89" s="7" t="n"/>
    </row>
    <row r="90">
      <c r="A90" s="4" t="n">
        <v>45961</v>
      </c>
      <c r="B90" t="inlineStr">
        <is>
          <t>PSQ</t>
        </is>
      </c>
      <c r="C90" t="inlineStr">
        <is>
          <t>Pacific Smiles Group Limited</t>
        </is>
      </c>
      <c r="D90" s="5" t="n">
        <v>2.18</v>
      </c>
      <c r="E90" s="5" t="n">
        <v>2.18</v>
      </c>
      <c r="F90" s="5" t="n">
        <v>2.18</v>
      </c>
      <c r="G90" s="5" t="n">
        <v>2.18</v>
      </c>
      <c r="H90" s="6" t="n">
        <v>745</v>
      </c>
      <c r="I90" s="6" t="n">
        <v>161615445</v>
      </c>
      <c r="J90" s="7" t="n"/>
      <c r="K90" s="7" t="n"/>
    </row>
    <row r="91">
      <c r="A91" s="4" t="n">
        <v>45964</v>
      </c>
      <c r="B91" t="inlineStr">
        <is>
          <t>PSQ</t>
        </is>
      </c>
      <c r="C91" t="inlineStr">
        <is>
          <t>Pacific Smiles Group Limited</t>
        </is>
      </c>
      <c r="D91" s="5" t="n">
        <v>0</v>
      </c>
      <c r="E91" s="5" t="n">
        <v>0</v>
      </c>
      <c r="F91" s="5" t="n">
        <v>0</v>
      </c>
      <c r="G91" s="5" t="n">
        <v>2.18</v>
      </c>
      <c r="H91" s="6" t="n">
        <v>0</v>
      </c>
      <c r="I91" s="6" t="n">
        <v>161615445</v>
      </c>
      <c r="J91" s="7" t="n"/>
      <c r="K91" s="7" t="n"/>
    </row>
    <row r="92">
      <c r="A92" s="4" t="n">
        <v>45965</v>
      </c>
      <c r="B92" t="inlineStr">
        <is>
          <t>PSQ</t>
        </is>
      </c>
      <c r="C92" t="inlineStr">
        <is>
          <t>Pacific Smiles Group Limited</t>
        </is>
      </c>
      <c r="D92" s="5" t="n">
        <v>0</v>
      </c>
      <c r="E92" s="5" t="n">
        <v>0</v>
      </c>
      <c r="F92" s="5" t="n">
        <v>0</v>
      </c>
      <c r="G92" s="5" t="n">
        <v>2.18</v>
      </c>
      <c r="H92" s="6" t="n">
        <v>0</v>
      </c>
      <c r="I92" s="6" t="n">
        <v>161615445</v>
      </c>
      <c r="J92" s="7" t="n"/>
      <c r="K92" s="7" t="n"/>
    </row>
    <row r="93">
      <c r="A93" s="4" t="n">
        <v>45966</v>
      </c>
      <c r="B93" t="inlineStr">
        <is>
          <t>PSQ</t>
        </is>
      </c>
      <c r="C93" t="inlineStr">
        <is>
          <t>Pacific Smiles Group Limited</t>
        </is>
      </c>
      <c r="D93" s="5" t="n">
        <v>0</v>
      </c>
      <c r="E93" s="5" t="n">
        <v>0</v>
      </c>
      <c r="F93" s="5" t="n">
        <v>0</v>
      </c>
      <c r="G93" s="5" t="n">
        <v>2.18</v>
      </c>
      <c r="H93" s="6" t="n">
        <v>0</v>
      </c>
      <c r="I93" s="6" t="n">
        <v>161615445</v>
      </c>
      <c r="J93" s="7" t="n"/>
      <c r="K93" s="7" t="n"/>
    </row>
  </sheetData>
  <autoFilter ref="A1:K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8" customWidth="1" min="3" max="3"/>
    <col width="15" customWidth="1" min="4" max="4"/>
    <col width="15" customWidth="1" min="5" max="5"/>
    <col width="14" customWidth="1" min="6" max="6"/>
    <col width="7" customWidth="1" min="7" max="7"/>
    <col width="14" customWidth="1" min="8" max="8"/>
    <col width="14" customWidth="1" min="9" max="9"/>
    <col width="10" customWidth="1" min="10" max="10"/>
    <col width="4" customWidth="1" min="11" max="11"/>
    <col width="7" customWidth="1" min="12" max="12"/>
    <col width="7" customWidth="1" min="13" max="13"/>
    <col width="7" customWidth="1" min="14" max="14"/>
    <col width="18" customWidth="1" min="15" max="15"/>
    <col width="21" customWidth="1" min="16" max="16"/>
    <col width="28" customWidth="1" min="17" max="17"/>
    <col width="16" customWidth="1" min="18" max="18"/>
    <col width="24" customWidth="1" min="19" max="19"/>
    <col width="23" customWidth="1" min="20" max="20"/>
    <col width="23" customWidth="1" min="21" max="21"/>
    <col width="16" customWidth="1" min="22" max="22"/>
    <col width="22" customWidth="1" min="23" max="23"/>
    <col width="22" customWidth="1" min="24" max="24"/>
  </cols>
  <sheetData>
    <row r="1" ht="32" customHeight="1">
      <c r="A1" s="1" t="inlineStr">
        <is>
          <t>Time Series</t>
        </is>
      </c>
      <c r="B1" s="1" t="inlineStr">
        <is>
          <t>ASX Code</t>
        </is>
      </c>
      <c r="C1" s="1" t="inlineStr">
        <is>
          <t>Company Name</t>
        </is>
      </c>
      <c r="D1" s="1" t="inlineStr">
        <is>
          <t>Original Open</t>
        </is>
      </c>
      <c r="E1" s="1" t="inlineStr">
        <is>
          <t>Original High</t>
        </is>
      </c>
      <c r="F1" s="1" t="inlineStr">
        <is>
          <t>Original Low</t>
        </is>
      </c>
      <c r="G1" s="1" t="inlineStr">
        <is>
          <t>Close</t>
        </is>
      </c>
      <c r="H1" s="1" t="inlineStr">
        <is>
          <t>Daily Volume</t>
        </is>
      </c>
      <c r="I1" s="1" t="inlineStr">
        <is>
          <t>Stock Issued</t>
        </is>
      </c>
      <c r="J1" s="1" t="inlineStr">
        <is>
          <t>Dividend</t>
        </is>
      </c>
      <c r="K1" s="1" t="inlineStr">
        <is>
          <t>PE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Zero Volume Flag</t>
        </is>
      </c>
      <c r="P1" s="1" t="inlineStr">
        <is>
          <t>Price Adjusted Flag</t>
        </is>
      </c>
      <c r="Q1" s="1" t="inlineStr">
        <is>
          <t>Price Adjustment Rule</t>
        </is>
      </c>
      <c r="R1" s="1" t="inlineStr">
        <is>
          <t>Previous Close</t>
        </is>
      </c>
      <c r="S1" s="1" t="inlineStr">
        <is>
          <t>Daily Return</t>
        </is>
      </c>
      <c r="T1" s="1" t="inlineStr">
        <is>
          <t>Price Change</t>
        </is>
      </c>
      <c r="U1" s="1" t="inlineStr">
        <is>
          <t>Market Capitalisation</t>
        </is>
      </c>
      <c r="V1" s="1" t="inlineStr">
        <is>
          <t>Dividend Yield</t>
        </is>
      </c>
      <c r="W1" s="1" t="inlineStr">
        <is>
          <t>5-Day Moving Average</t>
        </is>
      </c>
      <c r="X1" s="1" t="inlineStr">
        <is>
          <t>Cumulative Return</t>
        </is>
      </c>
    </row>
    <row r="2">
      <c r="A2" s="4" t="n">
        <v>45839</v>
      </c>
      <c r="B2" t="inlineStr">
        <is>
          <t>PSQ</t>
        </is>
      </c>
      <c r="C2" t="inlineStr">
        <is>
          <t>Pacific Smiles Group Limited</t>
        </is>
      </c>
      <c r="D2" s="5" t="n">
        <v>1.535</v>
      </c>
      <c r="E2" s="5" t="n">
        <v>1.535</v>
      </c>
      <c r="F2" s="5" t="n">
        <v>1.45</v>
      </c>
      <c r="G2" s="5" t="n">
        <v>1.48</v>
      </c>
      <c r="H2" s="5" t="n">
        <v>727</v>
      </c>
      <c r="I2" s="6" t="n">
        <v>161623972</v>
      </c>
      <c r="J2" s="6" t="n"/>
      <c r="K2" s="7" t="n"/>
      <c r="L2" s="5" t="n">
        <v>1.535</v>
      </c>
      <c r="M2" s="5" t="n">
        <v>1.535</v>
      </c>
      <c r="N2" s="5" t="n">
        <v>1.45</v>
      </c>
      <c r="O2" t="inlineStr">
        <is>
          <t>No</t>
        </is>
      </c>
      <c r="P2" t="inlineStr">
        <is>
          <t>No</t>
        </is>
      </c>
      <c r="Q2" t="inlineStr">
        <is>
          <t>For each of Open, High and Low: if the raw value equals 0, replace it with the same-day Close; otherwise retain the raw value.</t>
        </is>
      </c>
      <c r="R2" s="5" t="n"/>
      <c r="S2" s="8" t="n"/>
      <c r="T2" s="5" t="n"/>
      <c r="U2" s="9" t="n">
        <v>239203478.56</v>
      </c>
      <c r="V2" s="8" t="n"/>
      <c r="W2" s="5" t="n">
        <v>1.48</v>
      </c>
      <c r="X2" s="8" t="n">
        <v>0</v>
      </c>
    </row>
    <row r="3">
      <c r="A3" s="4" t="n">
        <v>45840</v>
      </c>
      <c r="B3" t="inlineStr">
        <is>
          <t>PSQ</t>
        </is>
      </c>
      <c r="C3" t="inlineStr">
        <is>
          <t>Pacific Smiles Group Limited</t>
        </is>
      </c>
      <c r="D3" s="5" t="n">
        <v>1.47</v>
      </c>
      <c r="E3" s="5" t="n">
        <v>1.63</v>
      </c>
      <c r="F3" s="5" t="n">
        <v>1.46</v>
      </c>
      <c r="G3" s="5" t="n">
        <v>1.63</v>
      </c>
      <c r="H3" s="5" t="n">
        <v>5059</v>
      </c>
      <c r="I3" s="6" t="n">
        <v>161623972</v>
      </c>
      <c r="J3" s="6" t="n"/>
      <c r="K3" s="7" t="n"/>
      <c r="L3" s="5" t="n">
        <v>1.47</v>
      </c>
      <c r="M3" s="5" t="n">
        <v>1.63</v>
      </c>
      <c r="N3" s="5" t="n">
        <v>1.46</v>
      </c>
      <c r="O3" t="inlineStr">
        <is>
          <t>No</t>
        </is>
      </c>
      <c r="P3" t="inlineStr">
        <is>
          <t>No</t>
        </is>
      </c>
      <c r="Q3" t="inlineStr">
        <is>
          <t>For each of Open, High and Low: if the raw value equals 0, replace it with the same-day Close; otherwise retain the raw value.</t>
        </is>
      </c>
      <c r="R3" s="5" t="n">
        <v>1.48</v>
      </c>
      <c r="S3" s="8" t="n">
        <v>0.1013513513513513</v>
      </c>
      <c r="T3" s="5" t="n">
        <v>0.1499999999999999</v>
      </c>
      <c r="U3" s="9" t="n">
        <v>263447074.36</v>
      </c>
      <c r="V3" s="8" t="n"/>
      <c r="W3" s="5" t="n">
        <v>1.555</v>
      </c>
      <c r="X3" s="8" t="n">
        <v>0.1013513513513513</v>
      </c>
    </row>
    <row r="4">
      <c r="A4" s="4" t="n">
        <v>45841</v>
      </c>
      <c r="B4" t="inlineStr">
        <is>
          <t>PSQ</t>
        </is>
      </c>
      <c r="C4" t="inlineStr">
        <is>
          <t>Pacific Smiles Group Limited</t>
        </is>
      </c>
      <c r="D4" s="5" t="n">
        <v>1.625</v>
      </c>
      <c r="E4" s="5" t="n">
        <v>1.7</v>
      </c>
      <c r="F4" s="5" t="n">
        <v>1.625</v>
      </c>
      <c r="G4" s="5" t="n">
        <v>1.68</v>
      </c>
      <c r="H4" s="5" t="n">
        <v>72</v>
      </c>
      <c r="I4" s="6" t="n">
        <v>161623972</v>
      </c>
      <c r="J4" s="6" t="n"/>
      <c r="K4" s="7" t="n"/>
      <c r="L4" s="5" t="n">
        <v>1.625</v>
      </c>
      <c r="M4" s="5" t="n">
        <v>1.7</v>
      </c>
      <c r="N4" s="5" t="n">
        <v>1.625</v>
      </c>
      <c r="O4" t="inlineStr">
        <is>
          <t>No</t>
        </is>
      </c>
      <c r="P4" t="inlineStr">
        <is>
          <t>No</t>
        </is>
      </c>
      <c r="Q4" t="inlineStr">
        <is>
          <t>For each of Open, High and Low: if the raw value equals 0, replace it with the same-day Close; otherwise retain the raw value.</t>
        </is>
      </c>
      <c r="R4" s="5" t="n">
        <v>1.63</v>
      </c>
      <c r="S4" s="8" t="n">
        <v>0.03067484662576692</v>
      </c>
      <c r="T4" s="5" t="n">
        <v>0.05000000000000004</v>
      </c>
      <c r="U4" s="9" t="n">
        <v>271528272.96</v>
      </c>
      <c r="V4" s="8" t="n"/>
      <c r="W4" s="5" t="n">
        <v>1.596666666666667</v>
      </c>
      <c r="X4" s="8" t="n">
        <v>0.1351351351351351</v>
      </c>
    </row>
    <row r="5">
      <c r="A5" s="4" t="n">
        <v>45842</v>
      </c>
      <c r="B5" t="inlineStr">
        <is>
          <t>PSQ</t>
        </is>
      </c>
      <c r="C5" t="inlineStr">
        <is>
          <t>Pacific Smiles Group Limited</t>
        </is>
      </c>
      <c r="D5" s="5" t="n">
        <v>1.7</v>
      </c>
      <c r="E5" s="5" t="n">
        <v>1.77</v>
      </c>
      <c r="F5" s="5" t="n">
        <v>1.7</v>
      </c>
      <c r="G5" s="5" t="n">
        <v>1.7</v>
      </c>
      <c r="H5" s="5" t="n">
        <v>8431</v>
      </c>
      <c r="I5" s="6" t="n">
        <v>161623972</v>
      </c>
      <c r="J5" s="6" t="n"/>
      <c r="K5" s="7" t="n"/>
      <c r="L5" s="5" t="n">
        <v>1.7</v>
      </c>
      <c r="M5" s="5" t="n">
        <v>1.77</v>
      </c>
      <c r="N5" s="5" t="n">
        <v>1.7</v>
      </c>
      <c r="O5" t="inlineStr">
        <is>
          <t>No</t>
        </is>
      </c>
      <c r="P5" t="inlineStr">
        <is>
          <t>No</t>
        </is>
      </c>
      <c r="Q5" t="inlineStr">
        <is>
          <t>For each of Open, High and Low: if the raw value equals 0, replace it with the same-day Close; otherwise retain the raw value.</t>
        </is>
      </c>
      <c r="R5" s="5" t="n">
        <v>1.68</v>
      </c>
      <c r="S5" s="8" t="n">
        <v>0.01190476190476186</v>
      </c>
      <c r="T5" s="5" t="n">
        <v>0.02000000000000002</v>
      </c>
      <c r="U5" s="9" t="n">
        <v>274760752.4</v>
      </c>
      <c r="V5" s="8" t="n"/>
      <c r="W5" s="5" t="n">
        <v>1.6225</v>
      </c>
      <c r="X5" s="8" t="n">
        <v>0.1486486486486487</v>
      </c>
    </row>
    <row r="6">
      <c r="A6" s="4" t="n">
        <v>45845</v>
      </c>
      <c r="B6" t="inlineStr">
        <is>
          <t>PSQ</t>
        </is>
      </c>
      <c r="C6" t="inlineStr">
        <is>
          <t>Pacific Smiles Group Limited</t>
        </is>
      </c>
      <c r="D6" s="5" t="n">
        <v>1.7</v>
      </c>
      <c r="E6" s="5" t="n">
        <v>1.77</v>
      </c>
      <c r="F6" s="5" t="n">
        <v>1.7</v>
      </c>
      <c r="G6" s="5" t="n">
        <v>1.765</v>
      </c>
      <c r="H6" s="5" t="n">
        <v>4914</v>
      </c>
      <c r="I6" s="6" t="n">
        <v>161623972</v>
      </c>
      <c r="J6" s="6" t="n"/>
      <c r="K6" s="7" t="n"/>
      <c r="L6" s="5" t="n">
        <v>1.7</v>
      </c>
      <c r="M6" s="5" t="n">
        <v>1.77</v>
      </c>
      <c r="N6" s="5" t="n">
        <v>1.7</v>
      </c>
      <c r="O6" t="inlineStr">
        <is>
          <t>No</t>
        </is>
      </c>
      <c r="P6" t="inlineStr">
        <is>
          <t>No</t>
        </is>
      </c>
      <c r="Q6" t="inlineStr">
        <is>
          <t>For each of Open, High and Low: if the raw value equals 0, replace it with the same-day Close; otherwise retain the raw value.</t>
        </is>
      </c>
      <c r="R6" s="5" t="n">
        <v>1.7</v>
      </c>
      <c r="S6" s="8" t="n">
        <v>0.03823529411764692</v>
      </c>
      <c r="T6" s="5" t="n">
        <v>0.06499999999999995</v>
      </c>
      <c r="U6" s="9" t="n">
        <v>285266310.58</v>
      </c>
      <c r="V6" s="8" t="n"/>
      <c r="W6" s="5" t="n">
        <v>1.651</v>
      </c>
      <c r="X6" s="8" t="n">
        <v>0.1925675675675675</v>
      </c>
    </row>
    <row r="7">
      <c r="A7" s="4" t="n">
        <v>45846</v>
      </c>
      <c r="B7" t="inlineStr">
        <is>
          <t>PSQ</t>
        </is>
      </c>
      <c r="C7" t="inlineStr">
        <is>
          <t>Pacific Smiles Group Limited</t>
        </is>
      </c>
      <c r="D7" s="5" t="n">
        <v>0</v>
      </c>
      <c r="E7" s="5" t="n">
        <v>0</v>
      </c>
      <c r="F7" s="5" t="n">
        <v>0</v>
      </c>
      <c r="G7" s="5" t="n">
        <v>1.765</v>
      </c>
      <c r="H7" s="5" t="n">
        <v>0</v>
      </c>
      <c r="I7" s="6" t="n">
        <v>161623972</v>
      </c>
      <c r="J7" s="6" t="n"/>
      <c r="K7" s="7" t="n"/>
      <c r="L7" s="5" t="n">
        <v>1.765</v>
      </c>
      <c r="M7" s="5" t="n">
        <v>1.765</v>
      </c>
      <c r="N7" s="5" t="n">
        <v>1.765</v>
      </c>
      <c r="O7" t="inlineStr">
        <is>
          <t>Yes</t>
        </is>
      </c>
      <c r="P7" t="inlineStr">
        <is>
          <t>Yes</t>
        </is>
      </c>
      <c r="Q7" t="inlineStr">
        <is>
          <t>For each of Open, High and Low: if the raw value equals 0, replace it with the same-day Close; otherwise retain the raw value.</t>
        </is>
      </c>
      <c r="R7" s="5" t="n">
        <v>1.765</v>
      </c>
      <c r="S7" s="8" t="n">
        <v>0</v>
      </c>
      <c r="T7" s="5" t="n">
        <v>0</v>
      </c>
      <c r="U7" s="9" t="n">
        <v>285266310.58</v>
      </c>
      <c r="V7" s="8" t="n"/>
      <c r="W7" s="5" t="n">
        <v>1.708</v>
      </c>
      <c r="X7" s="8" t="n">
        <v>0.1925675675675675</v>
      </c>
    </row>
    <row r="8">
      <c r="A8" s="4" t="n">
        <v>45847</v>
      </c>
      <c r="B8" t="inlineStr">
        <is>
          <t>PSQ</t>
        </is>
      </c>
      <c r="C8" t="inlineStr">
        <is>
          <t>Pacific Smiles Group Limited</t>
        </is>
      </c>
      <c r="D8" s="5" t="n">
        <v>0</v>
      </c>
      <c r="E8" s="5" t="n">
        <v>0</v>
      </c>
      <c r="F8" s="5" t="n">
        <v>0</v>
      </c>
      <c r="G8" s="5" t="n">
        <v>1.765</v>
      </c>
      <c r="H8" s="5" t="n">
        <v>0</v>
      </c>
      <c r="I8" s="6" t="n">
        <v>161623972</v>
      </c>
      <c r="J8" s="6" t="n"/>
      <c r="K8" s="7" t="n"/>
      <c r="L8" s="5" t="n">
        <v>1.765</v>
      </c>
      <c r="M8" s="5" t="n">
        <v>1.765</v>
      </c>
      <c r="N8" s="5" t="n">
        <v>1.765</v>
      </c>
      <c r="O8" t="inlineStr">
        <is>
          <t>Yes</t>
        </is>
      </c>
      <c r="P8" t="inlineStr">
        <is>
          <t>Yes</t>
        </is>
      </c>
      <c r="Q8" t="inlineStr">
        <is>
          <t>For each of Open, High and Low: if the raw value equals 0, replace it with the same-day Close; otherwise retain the raw value.</t>
        </is>
      </c>
      <c r="R8" s="5" t="n">
        <v>1.765</v>
      </c>
      <c r="S8" s="8" t="n">
        <v>0</v>
      </c>
      <c r="T8" s="5" t="n">
        <v>0</v>
      </c>
      <c r="U8" s="9" t="n">
        <v>285266310.58</v>
      </c>
      <c r="V8" s="8" t="n"/>
      <c r="W8" s="5" t="n">
        <v>1.735</v>
      </c>
      <c r="X8" s="8" t="n">
        <v>0.1925675675675675</v>
      </c>
    </row>
    <row r="9">
      <c r="A9" s="4" t="n">
        <v>45848</v>
      </c>
      <c r="B9" t="inlineStr">
        <is>
          <t>PSQ</t>
        </is>
      </c>
      <c r="C9" t="inlineStr">
        <is>
          <t>Pacific Smiles Group Limited</t>
        </is>
      </c>
      <c r="D9" s="5" t="n">
        <v>0</v>
      </c>
      <c r="E9" s="5" t="n">
        <v>0</v>
      </c>
      <c r="F9" s="5" t="n">
        <v>0</v>
      </c>
      <c r="G9" s="5" t="n">
        <v>1.765</v>
      </c>
      <c r="H9" s="5" t="n">
        <v>0</v>
      </c>
      <c r="I9" s="6" t="n">
        <v>161623972</v>
      </c>
      <c r="J9" s="6" t="n"/>
      <c r="K9" s="7" t="n"/>
      <c r="L9" s="5" t="n">
        <v>1.765</v>
      </c>
      <c r="M9" s="5" t="n">
        <v>1.765</v>
      </c>
      <c r="N9" s="5" t="n">
        <v>1.765</v>
      </c>
      <c r="O9" t="inlineStr">
        <is>
          <t>Yes</t>
        </is>
      </c>
      <c r="P9" t="inlineStr">
        <is>
          <t>Yes</t>
        </is>
      </c>
      <c r="Q9" t="inlineStr">
        <is>
          <t>For each of Open, High and Low: if the raw value equals 0, replace it with the same-day Close; otherwise retain the raw value.</t>
        </is>
      </c>
      <c r="R9" s="5" t="n">
        <v>1.765</v>
      </c>
      <c r="S9" s="8" t="n">
        <v>0</v>
      </c>
      <c r="T9" s="5" t="n">
        <v>0</v>
      </c>
      <c r="U9" s="9" t="n">
        <v>285266310.58</v>
      </c>
      <c r="V9" s="8" t="n"/>
      <c r="W9" s="5" t="n">
        <v>1.752</v>
      </c>
      <c r="X9" s="8" t="n">
        <v>0.1925675675675675</v>
      </c>
    </row>
    <row r="10">
      <c r="A10" s="4" t="n">
        <v>45849</v>
      </c>
      <c r="B10" t="inlineStr">
        <is>
          <t>PSQ</t>
        </is>
      </c>
      <c r="C10" t="inlineStr">
        <is>
          <t>Pacific Smiles Group Limited</t>
        </is>
      </c>
      <c r="D10" s="5" t="n">
        <v>0</v>
      </c>
      <c r="E10" s="5" t="n">
        <v>0</v>
      </c>
      <c r="F10" s="5" t="n">
        <v>0</v>
      </c>
      <c r="G10" s="5" t="n">
        <v>1.765</v>
      </c>
      <c r="H10" s="5" t="n">
        <v>0</v>
      </c>
      <c r="I10" s="6" t="n">
        <v>161623972</v>
      </c>
      <c r="J10" s="6" t="n"/>
      <c r="K10" s="7" t="n"/>
      <c r="L10" s="5" t="n">
        <v>1.765</v>
      </c>
      <c r="M10" s="5" t="n">
        <v>1.765</v>
      </c>
      <c r="N10" s="5" t="n">
        <v>1.765</v>
      </c>
      <c r="O10" t="inlineStr">
        <is>
          <t>Yes</t>
        </is>
      </c>
      <c r="P10" t="inlineStr">
        <is>
          <t>Yes</t>
        </is>
      </c>
      <c r="Q10" t="inlineStr">
        <is>
          <t>For each of Open, High and Low: if the raw value equals 0, replace it with the same-day Close; otherwise retain the raw value.</t>
        </is>
      </c>
      <c r="R10" s="5" t="n">
        <v>1.765</v>
      </c>
      <c r="S10" s="8" t="n">
        <v>0</v>
      </c>
      <c r="T10" s="5" t="n">
        <v>0</v>
      </c>
      <c r="U10" s="9" t="n">
        <v>285266310.58</v>
      </c>
      <c r="V10" s="8" t="n"/>
      <c r="W10" s="5" t="n">
        <v>1.765</v>
      </c>
      <c r="X10" s="8" t="n">
        <v>0.1925675675675675</v>
      </c>
    </row>
    <row r="11">
      <c r="A11" s="4" t="n">
        <v>45852</v>
      </c>
      <c r="B11" t="inlineStr">
        <is>
          <t>PSQ</t>
        </is>
      </c>
      <c r="C11" t="inlineStr">
        <is>
          <t>Pacific Smiles Group Limited</t>
        </is>
      </c>
      <c r="D11" s="5" t="n">
        <v>1.75</v>
      </c>
      <c r="E11" s="5" t="n">
        <v>1.765</v>
      </c>
      <c r="F11" s="5" t="n">
        <v>1.73</v>
      </c>
      <c r="G11" s="5" t="n">
        <v>1.765</v>
      </c>
      <c r="H11" s="5" t="n">
        <v>1161</v>
      </c>
      <c r="I11" s="6" t="n">
        <v>161623972</v>
      </c>
      <c r="J11" s="6" t="n"/>
      <c r="K11" s="7" t="n"/>
      <c r="L11" s="5" t="n">
        <v>1.75</v>
      </c>
      <c r="M11" s="5" t="n">
        <v>1.765</v>
      </c>
      <c r="N11" s="5" t="n">
        <v>1.73</v>
      </c>
      <c r="O11" t="inlineStr">
        <is>
          <t>No</t>
        </is>
      </c>
      <c r="P11" t="inlineStr">
        <is>
          <t>No</t>
        </is>
      </c>
      <c r="Q11" t="inlineStr">
        <is>
          <t>For each of Open, High and Low: if the raw value equals 0, replace it with the same-day Close; otherwise retain the raw value.</t>
        </is>
      </c>
      <c r="R11" s="5" t="n">
        <v>1.765</v>
      </c>
      <c r="S11" s="8" t="n">
        <v>0</v>
      </c>
      <c r="T11" s="5" t="n">
        <v>0</v>
      </c>
      <c r="U11" s="9" t="n">
        <v>285266310.58</v>
      </c>
      <c r="V11" s="8" t="n"/>
      <c r="W11" s="5" t="n">
        <v>1.765</v>
      </c>
      <c r="X11" s="8" t="n">
        <v>0.1925675675675675</v>
      </c>
    </row>
    <row r="12">
      <c r="A12" s="4" t="n">
        <v>45853</v>
      </c>
      <c r="B12" t="inlineStr">
        <is>
          <t>PSQ</t>
        </is>
      </c>
      <c r="C12" t="inlineStr">
        <is>
          <t>Pacific Smiles Group Limited</t>
        </is>
      </c>
      <c r="D12" s="5" t="n">
        <v>0</v>
      </c>
      <c r="E12" s="5" t="n">
        <v>0</v>
      </c>
      <c r="F12" s="5" t="n">
        <v>0</v>
      </c>
      <c r="G12" s="5" t="n">
        <v>1.765</v>
      </c>
      <c r="H12" s="5" t="n">
        <v>0</v>
      </c>
      <c r="I12" s="6" t="n">
        <v>161623972</v>
      </c>
      <c r="J12" s="6" t="n"/>
      <c r="K12" s="7" t="n"/>
      <c r="L12" s="5" t="n">
        <v>1.765</v>
      </c>
      <c r="M12" s="5" t="n">
        <v>1.765</v>
      </c>
      <c r="N12" s="5" t="n">
        <v>1.765</v>
      </c>
      <c r="O12" t="inlineStr">
        <is>
          <t>Yes</t>
        </is>
      </c>
      <c r="P12" t="inlineStr">
        <is>
          <t>Yes</t>
        </is>
      </c>
      <c r="Q12" t="inlineStr">
        <is>
          <t>For each of Open, High and Low: if the raw value equals 0, replace it with the same-day Close; otherwise retain the raw value.</t>
        </is>
      </c>
      <c r="R12" s="5" t="n">
        <v>1.765</v>
      </c>
      <c r="S12" s="8" t="n">
        <v>0</v>
      </c>
      <c r="T12" s="5" t="n">
        <v>0</v>
      </c>
      <c r="U12" s="9" t="n">
        <v>285266310.58</v>
      </c>
      <c r="V12" s="8" t="n"/>
      <c r="W12" s="5" t="n">
        <v>1.765</v>
      </c>
      <c r="X12" s="8" t="n">
        <v>0.1925675675675675</v>
      </c>
    </row>
    <row r="13">
      <c r="A13" s="4" t="n">
        <v>45854</v>
      </c>
      <c r="B13" t="inlineStr">
        <is>
          <t>PSQ</t>
        </is>
      </c>
      <c r="C13" t="inlineStr">
        <is>
          <t>Pacific Smiles Group Limited</t>
        </is>
      </c>
      <c r="D13" s="5" t="n">
        <v>1.63</v>
      </c>
      <c r="E13" s="5" t="n">
        <v>1.63</v>
      </c>
      <c r="F13" s="5" t="n">
        <v>1.63</v>
      </c>
      <c r="G13" s="5" t="n">
        <v>1.63</v>
      </c>
      <c r="H13" s="5" t="n">
        <v>100</v>
      </c>
      <c r="I13" s="6" t="n">
        <v>161623972</v>
      </c>
      <c r="J13" s="6" t="n"/>
      <c r="K13" s="7" t="n"/>
      <c r="L13" s="5" t="n">
        <v>1.63</v>
      </c>
      <c r="M13" s="5" t="n">
        <v>1.63</v>
      </c>
      <c r="N13" s="5" t="n">
        <v>1.63</v>
      </c>
      <c r="O13" t="inlineStr">
        <is>
          <t>No</t>
        </is>
      </c>
      <c r="P13" t="inlineStr">
        <is>
          <t>No</t>
        </is>
      </c>
      <c r="Q13" t="inlineStr">
        <is>
          <t>For each of Open, High and Low: if the raw value equals 0, replace it with the same-day Close; otherwise retain the raw value.</t>
        </is>
      </c>
      <c r="R13" s="5" t="n">
        <v>1.765</v>
      </c>
      <c r="S13" s="8" t="n">
        <v>-0.07648725212464591</v>
      </c>
      <c r="T13" s="5" t="n">
        <v>-0.135</v>
      </c>
      <c r="U13" s="9" t="n">
        <v>263447074.36</v>
      </c>
      <c r="V13" s="8" t="n"/>
      <c r="W13" s="5" t="n">
        <v>1.738</v>
      </c>
      <c r="X13" s="8" t="n">
        <v>0.1013513513513513</v>
      </c>
    </row>
    <row r="14">
      <c r="A14" s="4" t="n">
        <v>45855</v>
      </c>
      <c r="B14" t="inlineStr">
        <is>
          <t>PSQ</t>
        </is>
      </c>
      <c r="C14" t="inlineStr">
        <is>
          <t>Pacific Smiles Group Limited</t>
        </is>
      </c>
      <c r="D14" s="5" t="n">
        <v>1.645</v>
      </c>
      <c r="E14" s="5" t="n">
        <v>1.645</v>
      </c>
      <c r="F14" s="5" t="n">
        <v>1.645</v>
      </c>
      <c r="G14" s="5" t="n">
        <v>1.645</v>
      </c>
      <c r="H14" s="5" t="n">
        <v>70</v>
      </c>
      <c r="I14" s="6" t="n">
        <v>161623972</v>
      </c>
      <c r="J14" s="6" t="n"/>
      <c r="K14" s="7" t="n"/>
      <c r="L14" s="5" t="n">
        <v>1.645</v>
      </c>
      <c r="M14" s="5" t="n">
        <v>1.645</v>
      </c>
      <c r="N14" s="5" t="n">
        <v>1.645</v>
      </c>
      <c r="O14" t="inlineStr">
        <is>
          <t>No</t>
        </is>
      </c>
      <c r="P14" t="inlineStr">
        <is>
          <t>No</t>
        </is>
      </c>
      <c r="Q14" t="inlineStr">
        <is>
          <t>For each of Open, High and Low: if the raw value equals 0, replace it with the same-day Close; otherwise retain the raw value.</t>
        </is>
      </c>
      <c r="R14" s="5" t="n">
        <v>1.63</v>
      </c>
      <c r="S14" s="8" t="n">
        <v>0.00920245398773023</v>
      </c>
      <c r="T14" s="5" t="n">
        <v>0.01500000000000012</v>
      </c>
      <c r="U14" s="9" t="n">
        <v>265871433.94</v>
      </c>
      <c r="V14" s="8" t="n"/>
      <c r="W14" s="5" t="n">
        <v>1.714</v>
      </c>
      <c r="X14" s="8" t="n">
        <v>0.1114864864864864</v>
      </c>
    </row>
    <row r="15">
      <c r="A15" s="4" t="n">
        <v>45856</v>
      </c>
      <c r="B15" t="inlineStr">
        <is>
          <t>PSQ</t>
        </is>
      </c>
      <c r="C15" t="inlineStr">
        <is>
          <t>Pacific Smiles Group Limited</t>
        </is>
      </c>
      <c r="D15" s="5" t="n">
        <v>0</v>
      </c>
      <c r="E15" s="5" t="n">
        <v>0</v>
      </c>
      <c r="F15" s="5" t="n">
        <v>0</v>
      </c>
      <c r="G15" s="5" t="n">
        <v>1.645</v>
      </c>
      <c r="H15" s="5" t="n">
        <v>0</v>
      </c>
      <c r="I15" s="6" t="n">
        <v>161623972</v>
      </c>
      <c r="J15" s="6" t="n"/>
      <c r="K15" s="7" t="n"/>
      <c r="L15" s="5" t="n">
        <v>1.645</v>
      </c>
      <c r="M15" s="5" t="n">
        <v>1.645</v>
      </c>
      <c r="N15" s="5" t="n">
        <v>1.645</v>
      </c>
      <c r="O15" t="inlineStr">
        <is>
          <t>Yes</t>
        </is>
      </c>
      <c r="P15" t="inlineStr">
        <is>
          <t>Yes</t>
        </is>
      </c>
      <c r="Q15" t="inlineStr">
        <is>
          <t>For each of Open, High and Low: if the raw value equals 0, replace it with the same-day Close; otherwise retain the raw value.</t>
        </is>
      </c>
      <c r="R15" s="5" t="n">
        <v>1.645</v>
      </c>
      <c r="S15" s="8" t="n">
        <v>0</v>
      </c>
      <c r="T15" s="5" t="n">
        <v>0</v>
      </c>
      <c r="U15" s="9" t="n">
        <v>265871433.94</v>
      </c>
      <c r="V15" s="8" t="n"/>
      <c r="W15" s="5" t="n">
        <v>1.69</v>
      </c>
      <c r="X15" s="8" t="n">
        <v>0.1114864864864864</v>
      </c>
    </row>
    <row r="16">
      <c r="A16" s="4" t="n">
        <v>45859</v>
      </c>
      <c r="B16" t="inlineStr">
        <is>
          <t>PSQ</t>
        </is>
      </c>
      <c r="C16" t="inlineStr">
        <is>
          <t>Pacific Smiles Group Limited</t>
        </is>
      </c>
      <c r="D16" s="5" t="n">
        <v>1.67</v>
      </c>
      <c r="E16" s="5" t="n">
        <v>1.67</v>
      </c>
      <c r="F16" s="5" t="n">
        <v>1.67</v>
      </c>
      <c r="G16" s="5" t="n">
        <v>1.67</v>
      </c>
      <c r="H16" s="5" t="n">
        <v>318</v>
      </c>
      <c r="I16" s="6" t="n">
        <v>161623972</v>
      </c>
      <c r="J16" s="6" t="n"/>
      <c r="K16" s="7" t="n"/>
      <c r="L16" s="5" t="n">
        <v>1.67</v>
      </c>
      <c r="M16" s="5" t="n">
        <v>1.67</v>
      </c>
      <c r="N16" s="5" t="n">
        <v>1.67</v>
      </c>
      <c r="O16" t="inlineStr">
        <is>
          <t>No</t>
        </is>
      </c>
      <c r="P16" t="inlineStr">
        <is>
          <t>No</t>
        </is>
      </c>
      <c r="Q16" t="inlineStr">
        <is>
          <t>For each of Open, High and Low: if the raw value equals 0, replace it with the same-day Close; otherwise retain the raw value.</t>
        </is>
      </c>
      <c r="R16" s="5" t="n">
        <v>1.645</v>
      </c>
      <c r="S16" s="8" t="n">
        <v>0.01519756838905773</v>
      </c>
      <c r="T16" s="5" t="n">
        <v>0.02499999999999991</v>
      </c>
      <c r="U16" s="9" t="n">
        <v>269912033.24</v>
      </c>
      <c r="V16" s="8" t="n"/>
      <c r="W16" s="5" t="n">
        <v>1.671</v>
      </c>
      <c r="X16" s="8" t="n">
        <v>0.1283783783783783</v>
      </c>
    </row>
    <row r="17">
      <c r="A17" s="4" t="n">
        <v>45860</v>
      </c>
      <c r="B17" t="inlineStr">
        <is>
          <t>PSQ</t>
        </is>
      </c>
      <c r="C17" t="inlineStr">
        <is>
          <t>Pacific Smiles Group Limited</t>
        </is>
      </c>
      <c r="D17" s="5" t="n">
        <v>0</v>
      </c>
      <c r="E17" s="5" t="n">
        <v>0</v>
      </c>
      <c r="F17" s="5" t="n">
        <v>0</v>
      </c>
      <c r="G17" s="5" t="n">
        <v>1.67</v>
      </c>
      <c r="H17" s="5" t="n">
        <v>0</v>
      </c>
      <c r="I17" s="6" t="n">
        <v>161623972</v>
      </c>
      <c r="J17" s="6" t="n"/>
      <c r="K17" s="7" t="n"/>
      <c r="L17" s="5" t="n">
        <v>1.67</v>
      </c>
      <c r="M17" s="5" t="n">
        <v>1.67</v>
      </c>
      <c r="N17" s="5" t="n">
        <v>1.67</v>
      </c>
      <c r="O17" t="inlineStr">
        <is>
          <t>Yes</t>
        </is>
      </c>
      <c r="P17" t="inlineStr">
        <is>
          <t>Yes</t>
        </is>
      </c>
      <c r="Q17" t="inlineStr">
        <is>
          <t>For each of Open, High and Low: if the raw value equals 0, replace it with the same-day Close; otherwise retain the raw value.</t>
        </is>
      </c>
      <c r="R17" s="5" t="n">
        <v>1.67</v>
      </c>
      <c r="S17" s="8" t="n">
        <v>0</v>
      </c>
      <c r="T17" s="5" t="n">
        <v>0</v>
      </c>
      <c r="U17" s="9" t="n">
        <v>269912033.24</v>
      </c>
      <c r="V17" s="8" t="n"/>
      <c r="W17" s="5" t="n">
        <v>1.652</v>
      </c>
      <c r="X17" s="8" t="n">
        <v>0.1283783783783783</v>
      </c>
    </row>
    <row r="18">
      <c r="A18" s="4" t="n">
        <v>45861</v>
      </c>
      <c r="B18" t="inlineStr">
        <is>
          <t>PSQ</t>
        </is>
      </c>
      <c r="C18" t="inlineStr">
        <is>
          <t>Pacific Smiles Group Limited</t>
        </is>
      </c>
      <c r="D18" s="5" t="n">
        <v>0</v>
      </c>
      <c r="E18" s="5" t="n">
        <v>0</v>
      </c>
      <c r="F18" s="5" t="n">
        <v>0</v>
      </c>
      <c r="G18" s="5" t="n">
        <v>1.67</v>
      </c>
      <c r="H18" s="5" t="n">
        <v>0</v>
      </c>
      <c r="I18" s="6" t="n">
        <v>161623972</v>
      </c>
      <c r="J18" s="6" t="n"/>
      <c r="K18" s="7" t="n"/>
      <c r="L18" s="5" t="n">
        <v>1.67</v>
      </c>
      <c r="M18" s="5" t="n">
        <v>1.67</v>
      </c>
      <c r="N18" s="5" t="n">
        <v>1.67</v>
      </c>
      <c r="O18" t="inlineStr">
        <is>
          <t>Yes</t>
        </is>
      </c>
      <c r="P18" t="inlineStr">
        <is>
          <t>Yes</t>
        </is>
      </c>
      <c r="Q18" t="inlineStr">
        <is>
          <t>For each of Open, High and Low: if the raw value equals 0, replace it with the same-day Close; otherwise retain the raw value.</t>
        </is>
      </c>
      <c r="R18" s="5" t="n">
        <v>1.67</v>
      </c>
      <c r="S18" s="8" t="n">
        <v>0</v>
      </c>
      <c r="T18" s="5" t="n">
        <v>0</v>
      </c>
      <c r="U18" s="9" t="n">
        <v>269912033.24</v>
      </c>
      <c r="V18" s="8" t="n"/>
      <c r="W18" s="5" t="n">
        <v>1.66</v>
      </c>
      <c r="X18" s="8" t="n">
        <v>0.1283783783783783</v>
      </c>
    </row>
    <row r="19">
      <c r="A19" s="4" t="n">
        <v>45862</v>
      </c>
      <c r="B19" t="inlineStr">
        <is>
          <t>PSQ</t>
        </is>
      </c>
      <c r="C19" t="inlineStr">
        <is>
          <t>Pacific Smiles Group Limited</t>
        </is>
      </c>
      <c r="D19" s="5" t="n">
        <v>0</v>
      </c>
      <c r="E19" s="5" t="n">
        <v>0</v>
      </c>
      <c r="F19" s="5" t="n">
        <v>0</v>
      </c>
      <c r="G19" s="5" t="n">
        <v>1.67</v>
      </c>
      <c r="H19" s="5" t="n">
        <v>0</v>
      </c>
      <c r="I19" s="6" t="n">
        <v>161623972</v>
      </c>
      <c r="J19" s="6" t="n"/>
      <c r="K19" s="7" t="n"/>
      <c r="L19" s="5" t="n">
        <v>1.67</v>
      </c>
      <c r="M19" s="5" t="n">
        <v>1.67</v>
      </c>
      <c r="N19" s="5" t="n">
        <v>1.67</v>
      </c>
      <c r="O19" t="inlineStr">
        <is>
          <t>Yes</t>
        </is>
      </c>
      <c r="P19" t="inlineStr">
        <is>
          <t>Yes</t>
        </is>
      </c>
      <c r="Q19" t="inlineStr">
        <is>
          <t>For each of Open, High and Low: if the raw value equals 0, replace it with the same-day Close; otherwise retain the raw value.</t>
        </is>
      </c>
      <c r="R19" s="5" t="n">
        <v>1.67</v>
      </c>
      <c r="S19" s="8" t="n">
        <v>0</v>
      </c>
      <c r="T19" s="5" t="n">
        <v>0</v>
      </c>
      <c r="U19" s="9" t="n">
        <v>269912033.24</v>
      </c>
      <c r="V19" s="8" t="n"/>
      <c r="W19" s="5" t="n">
        <v>1.665</v>
      </c>
      <c r="X19" s="8" t="n">
        <v>0.1283783783783783</v>
      </c>
    </row>
    <row r="20">
      <c r="A20" s="4" t="n">
        <v>45863</v>
      </c>
      <c r="B20" t="inlineStr">
        <is>
          <t>PSQ</t>
        </is>
      </c>
      <c r="C20" t="inlineStr">
        <is>
          <t>Pacific Smiles Group Limited</t>
        </is>
      </c>
      <c r="D20" s="5" t="n">
        <v>0</v>
      </c>
      <c r="E20" s="5" t="n">
        <v>0</v>
      </c>
      <c r="F20" s="5" t="n">
        <v>0</v>
      </c>
      <c r="G20" s="5" t="n">
        <v>1.67</v>
      </c>
      <c r="H20" s="5" t="n">
        <v>0</v>
      </c>
      <c r="I20" s="6" t="n">
        <v>161623972</v>
      </c>
      <c r="J20" s="6" t="n"/>
      <c r="K20" s="7" t="n"/>
      <c r="L20" s="5" t="n">
        <v>1.67</v>
      </c>
      <c r="M20" s="5" t="n">
        <v>1.67</v>
      </c>
      <c r="N20" s="5" t="n">
        <v>1.67</v>
      </c>
      <c r="O20" t="inlineStr">
        <is>
          <t>Yes</t>
        </is>
      </c>
      <c r="P20" t="inlineStr">
        <is>
          <t>Yes</t>
        </is>
      </c>
      <c r="Q20" t="inlineStr">
        <is>
          <t>For each of Open, High and Low: if the raw value equals 0, replace it with the same-day Close; otherwise retain the raw value.</t>
        </is>
      </c>
      <c r="R20" s="5" t="n">
        <v>1.67</v>
      </c>
      <c r="S20" s="8" t="n">
        <v>0</v>
      </c>
      <c r="T20" s="5" t="n">
        <v>0</v>
      </c>
      <c r="U20" s="9" t="n">
        <v>269912033.24</v>
      </c>
      <c r="V20" s="8" t="n"/>
      <c r="W20" s="5" t="n">
        <v>1.67</v>
      </c>
      <c r="X20" s="8" t="n">
        <v>0.1283783783783783</v>
      </c>
    </row>
    <row r="21">
      <c r="A21" s="4" t="n">
        <v>45866</v>
      </c>
      <c r="B21" t="inlineStr">
        <is>
          <t>PSQ</t>
        </is>
      </c>
      <c r="C21" t="inlineStr">
        <is>
          <t>Pacific Smiles Group Limited</t>
        </is>
      </c>
      <c r="D21" s="5" t="n">
        <v>1.685</v>
      </c>
      <c r="E21" s="5" t="n">
        <v>1.685</v>
      </c>
      <c r="F21" s="5" t="n">
        <v>1.67</v>
      </c>
      <c r="G21" s="5" t="n">
        <v>1.67</v>
      </c>
      <c r="H21" s="5" t="n">
        <v>7</v>
      </c>
      <c r="I21" s="6" t="n">
        <v>161623972</v>
      </c>
      <c r="J21" s="6" t="n"/>
      <c r="K21" s="7" t="n"/>
      <c r="L21" s="5" t="n">
        <v>1.685</v>
      </c>
      <c r="M21" s="5" t="n">
        <v>1.685</v>
      </c>
      <c r="N21" s="5" t="n">
        <v>1.67</v>
      </c>
      <c r="O21" t="inlineStr">
        <is>
          <t>No</t>
        </is>
      </c>
      <c r="P21" t="inlineStr">
        <is>
          <t>No</t>
        </is>
      </c>
      <c r="Q21" t="inlineStr">
        <is>
          <t>For each of Open, High and Low: if the raw value equals 0, replace it with the same-day Close; otherwise retain the raw value.</t>
        </is>
      </c>
      <c r="R21" s="5" t="n">
        <v>1.67</v>
      </c>
      <c r="S21" s="8" t="n">
        <v>0</v>
      </c>
      <c r="T21" s="5" t="n">
        <v>0</v>
      </c>
      <c r="U21" s="9" t="n">
        <v>269912033.24</v>
      </c>
      <c r="V21" s="8" t="n"/>
      <c r="W21" s="5" t="n">
        <v>1.67</v>
      </c>
      <c r="X21" s="8" t="n">
        <v>0.1283783783783783</v>
      </c>
    </row>
    <row r="22">
      <c r="A22" s="4" t="n">
        <v>45867</v>
      </c>
      <c r="B22" t="inlineStr">
        <is>
          <t>PSQ</t>
        </is>
      </c>
      <c r="C22" t="inlineStr">
        <is>
          <t>Pacific Smiles Group Limited</t>
        </is>
      </c>
      <c r="D22" s="5" t="n">
        <v>0</v>
      </c>
      <c r="E22" s="5" t="n">
        <v>0</v>
      </c>
      <c r="F22" s="5" t="n">
        <v>0</v>
      </c>
      <c r="G22" s="5" t="n">
        <v>1.67</v>
      </c>
      <c r="H22" s="5" t="n">
        <v>0</v>
      </c>
      <c r="I22" s="6" t="n">
        <v>161623972</v>
      </c>
      <c r="J22" s="6" t="n"/>
      <c r="K22" s="7" t="n"/>
      <c r="L22" s="5" t="n">
        <v>1.67</v>
      </c>
      <c r="M22" s="5" t="n">
        <v>1.67</v>
      </c>
      <c r="N22" s="5" t="n">
        <v>1.67</v>
      </c>
      <c r="O22" t="inlineStr">
        <is>
          <t>Yes</t>
        </is>
      </c>
      <c r="P22" t="inlineStr">
        <is>
          <t>Yes</t>
        </is>
      </c>
      <c r="Q22" t="inlineStr">
        <is>
          <t>For each of Open, High and Low: if the raw value equals 0, replace it with the same-day Close; otherwise retain the raw value.</t>
        </is>
      </c>
      <c r="R22" s="5" t="n">
        <v>1.67</v>
      </c>
      <c r="S22" s="8" t="n">
        <v>0</v>
      </c>
      <c r="T22" s="5" t="n">
        <v>0</v>
      </c>
      <c r="U22" s="9" t="n">
        <v>269912033.24</v>
      </c>
      <c r="V22" s="8" t="n"/>
      <c r="W22" s="5" t="n">
        <v>1.67</v>
      </c>
      <c r="X22" s="8" t="n">
        <v>0.1283783783783783</v>
      </c>
    </row>
    <row r="23">
      <c r="A23" s="4" t="n">
        <v>45868</v>
      </c>
      <c r="B23" t="inlineStr">
        <is>
          <t>PSQ</t>
        </is>
      </c>
      <c r="C23" t="inlineStr">
        <is>
          <t>Pacific Smiles Group Limited</t>
        </is>
      </c>
      <c r="D23" s="5" t="n">
        <v>1.67</v>
      </c>
      <c r="E23" s="5" t="n">
        <v>1.67</v>
      </c>
      <c r="F23" s="5" t="n">
        <v>1.67</v>
      </c>
      <c r="G23" s="5" t="n">
        <v>1.67</v>
      </c>
      <c r="H23" s="5" t="n">
        <v>6</v>
      </c>
      <c r="I23" s="6" t="n">
        <v>161623972</v>
      </c>
      <c r="J23" s="6" t="n"/>
      <c r="K23" s="7" t="n"/>
      <c r="L23" s="5" t="n">
        <v>1.67</v>
      </c>
      <c r="M23" s="5" t="n">
        <v>1.67</v>
      </c>
      <c r="N23" s="5" t="n">
        <v>1.67</v>
      </c>
      <c r="O23" t="inlineStr">
        <is>
          <t>No</t>
        </is>
      </c>
      <c r="P23" t="inlineStr">
        <is>
          <t>No</t>
        </is>
      </c>
      <c r="Q23" t="inlineStr">
        <is>
          <t>For each of Open, High and Low: if the raw value equals 0, replace it with the same-day Close; otherwise retain the raw value.</t>
        </is>
      </c>
      <c r="R23" s="5" t="n">
        <v>1.67</v>
      </c>
      <c r="S23" s="8" t="n">
        <v>0</v>
      </c>
      <c r="T23" s="5" t="n">
        <v>0</v>
      </c>
      <c r="U23" s="9" t="n">
        <v>269912033.24</v>
      </c>
      <c r="V23" s="8" t="n"/>
      <c r="W23" s="5" t="n">
        <v>1.67</v>
      </c>
      <c r="X23" s="8" t="n">
        <v>0.1283783783783783</v>
      </c>
    </row>
    <row r="24">
      <c r="A24" s="4" t="n">
        <v>45869</v>
      </c>
      <c r="B24" t="inlineStr">
        <is>
          <t>PSQ</t>
        </is>
      </c>
      <c r="C24" t="inlineStr">
        <is>
          <t>Pacific Smiles Group Limited</t>
        </is>
      </c>
      <c r="D24" s="5" t="n">
        <v>0</v>
      </c>
      <c r="E24" s="5" t="n">
        <v>0</v>
      </c>
      <c r="F24" s="5" t="n">
        <v>0</v>
      </c>
      <c r="G24" s="5" t="n">
        <v>1.67</v>
      </c>
      <c r="H24" s="5" t="n">
        <v>0</v>
      </c>
      <c r="I24" s="6" t="n">
        <v>161623972</v>
      </c>
      <c r="J24" s="6" t="n"/>
      <c r="K24" s="7" t="n"/>
      <c r="L24" s="5" t="n">
        <v>1.67</v>
      </c>
      <c r="M24" s="5" t="n">
        <v>1.67</v>
      </c>
      <c r="N24" s="5" t="n">
        <v>1.67</v>
      </c>
      <c r="O24" t="inlineStr">
        <is>
          <t>Yes</t>
        </is>
      </c>
      <c r="P24" t="inlineStr">
        <is>
          <t>Yes</t>
        </is>
      </c>
      <c r="Q24" t="inlineStr">
        <is>
          <t>For each of Open, High and Low: if the raw value equals 0, replace it with the same-day Close; otherwise retain the raw value.</t>
        </is>
      </c>
      <c r="R24" s="5" t="n">
        <v>1.67</v>
      </c>
      <c r="S24" s="8" t="n">
        <v>0</v>
      </c>
      <c r="T24" s="5" t="n">
        <v>0</v>
      </c>
      <c r="U24" s="9" t="n">
        <v>269912033.24</v>
      </c>
      <c r="V24" s="8" t="n"/>
      <c r="W24" s="5" t="n">
        <v>1.67</v>
      </c>
      <c r="X24" s="8" t="n">
        <v>0.1283783783783783</v>
      </c>
    </row>
    <row r="25">
      <c r="A25" s="4" t="n">
        <v>45870</v>
      </c>
      <c r="B25" t="inlineStr">
        <is>
          <t>PSQ</t>
        </is>
      </c>
      <c r="C25" t="inlineStr">
        <is>
          <t>Pacific Smiles Group Limited</t>
        </is>
      </c>
      <c r="D25" s="5" t="n">
        <v>0</v>
      </c>
      <c r="E25" s="5" t="n">
        <v>0</v>
      </c>
      <c r="F25" s="5" t="n">
        <v>0</v>
      </c>
      <c r="G25" s="5" t="n">
        <v>1.67</v>
      </c>
      <c r="H25" s="5" t="n">
        <v>0</v>
      </c>
      <c r="I25" s="6" t="n">
        <v>161623972</v>
      </c>
      <c r="J25" s="6" t="n"/>
      <c r="K25" s="7" t="n"/>
      <c r="L25" s="5" t="n">
        <v>1.67</v>
      </c>
      <c r="M25" s="5" t="n">
        <v>1.67</v>
      </c>
      <c r="N25" s="5" t="n">
        <v>1.67</v>
      </c>
      <c r="O25" t="inlineStr">
        <is>
          <t>Yes</t>
        </is>
      </c>
      <c r="P25" t="inlineStr">
        <is>
          <t>Yes</t>
        </is>
      </c>
      <c r="Q25" t="inlineStr">
        <is>
          <t>For each of Open, High and Low: if the raw value equals 0, replace it with the same-day Close; otherwise retain the raw value.</t>
        </is>
      </c>
      <c r="R25" s="5" t="n">
        <v>1.67</v>
      </c>
      <c r="S25" s="8" t="n">
        <v>0</v>
      </c>
      <c r="T25" s="5" t="n">
        <v>0</v>
      </c>
      <c r="U25" s="9" t="n">
        <v>269912033.24</v>
      </c>
      <c r="V25" s="8" t="n"/>
      <c r="W25" s="5" t="n">
        <v>1.67</v>
      </c>
      <c r="X25" s="8" t="n">
        <v>0.1283783783783783</v>
      </c>
    </row>
    <row r="26">
      <c r="A26" s="4" t="n">
        <v>45873</v>
      </c>
      <c r="B26" t="inlineStr">
        <is>
          <t>PSQ</t>
        </is>
      </c>
      <c r="C26" t="inlineStr">
        <is>
          <t>Pacific Smiles Group Limited</t>
        </is>
      </c>
      <c r="D26" s="5" t="n">
        <v>1.67</v>
      </c>
      <c r="E26" s="5" t="n">
        <v>1.67</v>
      </c>
      <c r="F26" s="5" t="n">
        <v>1.67</v>
      </c>
      <c r="G26" s="5" t="n">
        <v>1.67</v>
      </c>
      <c r="H26" s="5" t="n">
        <v>1</v>
      </c>
      <c r="I26" s="6" t="n">
        <v>161623972</v>
      </c>
      <c r="J26" s="6" t="n"/>
      <c r="K26" s="7" t="n"/>
      <c r="L26" s="5" t="n">
        <v>1.67</v>
      </c>
      <c r="M26" s="5" t="n">
        <v>1.67</v>
      </c>
      <c r="N26" s="5" t="n">
        <v>1.67</v>
      </c>
      <c r="O26" t="inlineStr">
        <is>
          <t>No</t>
        </is>
      </c>
      <c r="P26" t="inlineStr">
        <is>
          <t>No</t>
        </is>
      </c>
      <c r="Q26" t="inlineStr">
        <is>
          <t>For each of Open, High and Low: if the raw value equals 0, replace it with the same-day Close; otherwise retain the raw value.</t>
        </is>
      </c>
      <c r="R26" s="5" t="n">
        <v>1.67</v>
      </c>
      <c r="S26" s="8" t="n">
        <v>0</v>
      </c>
      <c r="T26" s="5" t="n">
        <v>0</v>
      </c>
      <c r="U26" s="9" t="n">
        <v>269912033.24</v>
      </c>
      <c r="V26" s="8" t="n"/>
      <c r="W26" s="5" t="n">
        <v>1.67</v>
      </c>
      <c r="X26" s="8" t="n">
        <v>0.1283783783783783</v>
      </c>
    </row>
    <row r="27">
      <c r="A27" s="4" t="n">
        <v>45874</v>
      </c>
      <c r="B27" t="inlineStr">
        <is>
          <t>PSQ</t>
        </is>
      </c>
      <c r="C27" t="inlineStr">
        <is>
          <t>Pacific Smiles Group Limited</t>
        </is>
      </c>
      <c r="D27" s="5" t="n">
        <v>1.505</v>
      </c>
      <c r="E27" s="5" t="n">
        <v>1.505</v>
      </c>
      <c r="F27" s="5" t="n">
        <v>1.5</v>
      </c>
      <c r="G27" s="5" t="n">
        <v>1.5</v>
      </c>
      <c r="H27" s="5" t="n">
        <v>11926</v>
      </c>
      <c r="I27" s="6" t="n">
        <v>161623972</v>
      </c>
      <c r="J27" s="6" t="n"/>
      <c r="K27" s="7" t="n"/>
      <c r="L27" s="5" t="n">
        <v>1.505</v>
      </c>
      <c r="M27" s="5" t="n">
        <v>1.505</v>
      </c>
      <c r="N27" s="5" t="n">
        <v>1.5</v>
      </c>
      <c r="O27" t="inlineStr">
        <is>
          <t>No</t>
        </is>
      </c>
      <c r="P27" t="inlineStr">
        <is>
          <t>No</t>
        </is>
      </c>
      <c r="Q27" t="inlineStr">
        <is>
          <t>For each of Open, High and Low: if the raw value equals 0, replace it with the same-day Close; otherwise retain the raw value.</t>
        </is>
      </c>
      <c r="R27" s="5" t="n">
        <v>1.67</v>
      </c>
      <c r="S27" s="8" t="n">
        <v>-0.1017964071856287</v>
      </c>
      <c r="T27" s="5" t="n">
        <v>-0.1699999999999999</v>
      </c>
      <c r="U27" s="9" t="n">
        <v>242435958</v>
      </c>
      <c r="V27" s="8" t="n"/>
      <c r="W27" s="5" t="n">
        <v>1.636</v>
      </c>
      <c r="X27" s="8" t="n">
        <v>0.0135135135135136</v>
      </c>
    </row>
    <row r="28">
      <c r="A28" s="4" t="n">
        <v>45875</v>
      </c>
      <c r="B28" t="inlineStr">
        <is>
          <t>PSQ</t>
        </is>
      </c>
      <c r="C28" t="inlineStr">
        <is>
          <t>Pacific Smiles Group Limited</t>
        </is>
      </c>
      <c r="D28" s="5" t="n">
        <v>1.51</v>
      </c>
      <c r="E28" s="5" t="n">
        <v>1.51</v>
      </c>
      <c r="F28" s="5" t="n">
        <v>1.51</v>
      </c>
      <c r="G28" s="5" t="n">
        <v>1.51</v>
      </c>
      <c r="H28" s="5" t="n">
        <v>502</v>
      </c>
      <c r="I28" s="6" t="n">
        <v>161623972</v>
      </c>
      <c r="J28" s="6" t="n"/>
      <c r="K28" s="7" t="n"/>
      <c r="L28" s="5" t="n">
        <v>1.51</v>
      </c>
      <c r="M28" s="5" t="n">
        <v>1.51</v>
      </c>
      <c r="N28" s="5" t="n">
        <v>1.51</v>
      </c>
      <c r="O28" t="inlineStr">
        <is>
          <t>No</t>
        </is>
      </c>
      <c r="P28" t="inlineStr">
        <is>
          <t>No</t>
        </is>
      </c>
      <c r="Q28" t="inlineStr">
        <is>
          <t>For each of Open, High and Low: if the raw value equals 0, replace it with the same-day Close; otherwise retain the raw value.</t>
        </is>
      </c>
      <c r="R28" s="5" t="n">
        <v>1.5</v>
      </c>
      <c r="S28" s="8" t="n">
        <v>0.006666666666666599</v>
      </c>
      <c r="T28" s="5" t="n">
        <v>0.01000000000000001</v>
      </c>
      <c r="U28" s="9" t="n">
        <v>244052197.72</v>
      </c>
      <c r="V28" s="8" t="n"/>
      <c r="W28" s="5" t="n">
        <v>1.604</v>
      </c>
      <c r="X28" s="8" t="n">
        <v>0.0202702702702704</v>
      </c>
    </row>
    <row r="29">
      <c r="A29" s="4" t="n">
        <v>45876</v>
      </c>
      <c r="B29" t="inlineStr">
        <is>
          <t>PSQ</t>
        </is>
      </c>
      <c r="C29" t="inlineStr">
        <is>
          <t>Pacific Smiles Group Limited</t>
        </is>
      </c>
      <c r="D29" s="5" t="n">
        <v>0</v>
      </c>
      <c r="E29" s="5" t="n">
        <v>0</v>
      </c>
      <c r="F29" s="5" t="n">
        <v>0</v>
      </c>
      <c r="G29" s="5" t="n">
        <v>1.51</v>
      </c>
      <c r="H29" s="5" t="n">
        <v>0</v>
      </c>
      <c r="I29" s="6" t="n">
        <v>161623972</v>
      </c>
      <c r="J29" s="6" t="n"/>
      <c r="K29" s="7" t="n"/>
      <c r="L29" s="5" t="n">
        <v>1.51</v>
      </c>
      <c r="M29" s="5" t="n">
        <v>1.51</v>
      </c>
      <c r="N29" s="5" t="n">
        <v>1.51</v>
      </c>
      <c r="O29" t="inlineStr">
        <is>
          <t>Yes</t>
        </is>
      </c>
      <c r="P29" t="inlineStr">
        <is>
          <t>Yes</t>
        </is>
      </c>
      <c r="Q29" t="inlineStr">
        <is>
          <t>For each of Open, High and Low: if the raw value equals 0, replace it with the same-day Close; otherwise retain the raw value.</t>
        </is>
      </c>
      <c r="R29" s="5" t="n">
        <v>1.51</v>
      </c>
      <c r="S29" s="8" t="n">
        <v>0</v>
      </c>
      <c r="T29" s="5" t="n">
        <v>0</v>
      </c>
      <c r="U29" s="9" t="n">
        <v>244052197.72</v>
      </c>
      <c r="V29" s="8" t="n"/>
      <c r="W29" s="5" t="n">
        <v>1.572</v>
      </c>
      <c r="X29" s="8" t="n">
        <v>0.0202702702702704</v>
      </c>
    </row>
    <row r="30">
      <c r="A30" s="4" t="n">
        <v>45877</v>
      </c>
      <c r="B30" t="inlineStr">
        <is>
          <t>PSQ</t>
        </is>
      </c>
      <c r="C30" t="inlineStr">
        <is>
          <t>Pacific Smiles Group Limited</t>
        </is>
      </c>
      <c r="D30" s="5" t="n">
        <v>1.51</v>
      </c>
      <c r="E30" s="5" t="n">
        <v>1.51</v>
      </c>
      <c r="F30" s="5" t="n">
        <v>1.5</v>
      </c>
      <c r="G30" s="5" t="n">
        <v>1.5</v>
      </c>
      <c r="H30" s="5" t="n">
        <v>4876</v>
      </c>
      <c r="I30" s="6" t="n">
        <v>161623972</v>
      </c>
      <c r="J30" s="6" t="n"/>
      <c r="K30" s="7" t="n"/>
      <c r="L30" s="5" t="n">
        <v>1.51</v>
      </c>
      <c r="M30" s="5" t="n">
        <v>1.51</v>
      </c>
      <c r="N30" s="5" t="n">
        <v>1.5</v>
      </c>
      <c r="O30" t="inlineStr">
        <is>
          <t>No</t>
        </is>
      </c>
      <c r="P30" t="inlineStr">
        <is>
          <t>No</t>
        </is>
      </c>
      <c r="Q30" t="inlineStr">
        <is>
          <t>For each of Open, High and Low: if the raw value equals 0, replace it with the same-day Close; otherwise retain the raw value.</t>
        </is>
      </c>
      <c r="R30" s="5" t="n">
        <v>1.51</v>
      </c>
      <c r="S30" s="8" t="n">
        <v>-0.006622516556291425</v>
      </c>
      <c r="T30" s="5" t="n">
        <v>-0.01000000000000001</v>
      </c>
      <c r="U30" s="9" t="n">
        <v>242435958</v>
      </c>
      <c r="V30" s="8" t="n"/>
      <c r="W30" s="5" t="n">
        <v>1.538</v>
      </c>
      <c r="X30" s="8" t="n">
        <v>0.0135135135135136</v>
      </c>
    </row>
    <row r="31">
      <c r="A31" s="4" t="n">
        <v>45880</v>
      </c>
      <c r="B31" t="inlineStr">
        <is>
          <t>PSQ</t>
        </is>
      </c>
      <c r="C31" t="inlineStr">
        <is>
          <t>Pacific Smiles Group Limited</t>
        </is>
      </c>
      <c r="D31" s="5" t="n">
        <v>1.51</v>
      </c>
      <c r="E31" s="5" t="n">
        <v>1.51</v>
      </c>
      <c r="F31" s="5" t="n">
        <v>1.51</v>
      </c>
      <c r="G31" s="5" t="n">
        <v>1.51</v>
      </c>
      <c r="H31" s="5" t="n">
        <v>1</v>
      </c>
      <c r="I31" s="6" t="n">
        <v>161623972</v>
      </c>
      <c r="J31" s="6" t="n"/>
      <c r="K31" s="7" t="n"/>
      <c r="L31" s="5" t="n">
        <v>1.51</v>
      </c>
      <c r="M31" s="5" t="n">
        <v>1.51</v>
      </c>
      <c r="N31" s="5" t="n">
        <v>1.51</v>
      </c>
      <c r="O31" t="inlineStr">
        <is>
          <t>No</t>
        </is>
      </c>
      <c r="P31" t="inlineStr">
        <is>
          <t>No</t>
        </is>
      </c>
      <c r="Q31" t="inlineStr">
        <is>
          <t>For each of Open, High and Low: if the raw value equals 0, replace it with the same-day Close; otherwise retain the raw value.</t>
        </is>
      </c>
      <c r="R31" s="5" t="n">
        <v>1.5</v>
      </c>
      <c r="S31" s="8" t="n">
        <v>0.006666666666666599</v>
      </c>
      <c r="T31" s="5" t="n">
        <v>0.01000000000000001</v>
      </c>
      <c r="U31" s="9" t="n">
        <v>244052197.72</v>
      </c>
      <c r="V31" s="8" t="n"/>
      <c r="W31" s="5" t="n">
        <v>1.506</v>
      </c>
      <c r="X31" s="8" t="n">
        <v>0.0202702702702704</v>
      </c>
    </row>
    <row r="32">
      <c r="A32" s="4" t="n">
        <v>45881</v>
      </c>
      <c r="B32" t="inlineStr">
        <is>
          <t>PSQ</t>
        </is>
      </c>
      <c r="C32" t="inlineStr">
        <is>
          <t>Pacific Smiles Group Limited</t>
        </is>
      </c>
      <c r="D32" s="5" t="n">
        <v>0</v>
      </c>
      <c r="E32" s="5" t="n">
        <v>0</v>
      </c>
      <c r="F32" s="5" t="n">
        <v>0</v>
      </c>
      <c r="G32" s="5" t="n">
        <v>1.51</v>
      </c>
      <c r="H32" s="5" t="n">
        <v>0</v>
      </c>
      <c r="I32" s="6" t="n">
        <v>161623972</v>
      </c>
      <c r="J32" s="6" t="n"/>
      <c r="K32" s="7" t="n"/>
      <c r="L32" s="5" t="n">
        <v>1.51</v>
      </c>
      <c r="M32" s="5" t="n">
        <v>1.51</v>
      </c>
      <c r="N32" s="5" t="n">
        <v>1.51</v>
      </c>
      <c r="O32" t="inlineStr">
        <is>
          <t>Yes</t>
        </is>
      </c>
      <c r="P32" t="inlineStr">
        <is>
          <t>Yes</t>
        </is>
      </c>
      <c r="Q32" t="inlineStr">
        <is>
          <t>For each of Open, High and Low: if the raw value equals 0, replace it with the same-day Close; otherwise retain the raw value.</t>
        </is>
      </c>
      <c r="R32" s="5" t="n">
        <v>1.51</v>
      </c>
      <c r="S32" s="8" t="n">
        <v>0</v>
      </c>
      <c r="T32" s="5" t="n">
        <v>0</v>
      </c>
      <c r="U32" s="9" t="n">
        <v>244052197.72</v>
      </c>
      <c r="V32" s="8" t="n"/>
      <c r="W32" s="5" t="n">
        <v>1.508</v>
      </c>
      <c r="X32" s="8" t="n">
        <v>0.0202702702702704</v>
      </c>
    </row>
    <row r="33">
      <c r="A33" s="4" t="n">
        <v>45882</v>
      </c>
      <c r="B33" t="inlineStr">
        <is>
          <t>PSQ</t>
        </is>
      </c>
      <c r="C33" t="inlineStr">
        <is>
          <t>Pacific Smiles Group Limited</t>
        </is>
      </c>
      <c r="D33" s="5" t="n">
        <v>1.55</v>
      </c>
      <c r="E33" s="5" t="n">
        <v>1.55</v>
      </c>
      <c r="F33" s="5" t="n">
        <v>1.55</v>
      </c>
      <c r="G33" s="5" t="n">
        <v>1.55</v>
      </c>
      <c r="H33" s="5" t="n">
        <v>652</v>
      </c>
      <c r="I33" s="6" t="n">
        <v>161623972</v>
      </c>
      <c r="J33" s="6" t="n"/>
      <c r="K33" s="7" t="n"/>
      <c r="L33" s="5" t="n">
        <v>1.55</v>
      </c>
      <c r="M33" s="5" t="n">
        <v>1.55</v>
      </c>
      <c r="N33" s="5" t="n">
        <v>1.55</v>
      </c>
      <c r="O33" t="inlineStr">
        <is>
          <t>No</t>
        </is>
      </c>
      <c r="P33" t="inlineStr">
        <is>
          <t>No</t>
        </is>
      </c>
      <c r="Q33" t="inlineStr">
        <is>
          <t>For each of Open, High and Low: if the raw value equals 0, replace it with the same-day Close; otherwise retain the raw value.</t>
        </is>
      </c>
      <c r="R33" s="5" t="n">
        <v>1.51</v>
      </c>
      <c r="S33" s="8" t="n">
        <v>0.02649006622516548</v>
      </c>
      <c r="T33" s="5" t="n">
        <v>0.04000000000000004</v>
      </c>
      <c r="U33" s="9" t="n">
        <v>250517156.6</v>
      </c>
      <c r="V33" s="8" t="n"/>
      <c r="W33" s="5" t="n">
        <v>1.516</v>
      </c>
      <c r="X33" s="8" t="n">
        <v>0.04729729729729737</v>
      </c>
    </row>
    <row r="34">
      <c r="A34" s="4" t="n">
        <v>45883</v>
      </c>
      <c r="B34" t="inlineStr">
        <is>
          <t>PSQ</t>
        </is>
      </c>
      <c r="C34" t="inlineStr">
        <is>
          <t>Pacific Smiles Group Limited</t>
        </is>
      </c>
      <c r="D34" s="5" t="n">
        <v>1.555</v>
      </c>
      <c r="E34" s="5" t="n">
        <v>1.555</v>
      </c>
      <c r="F34" s="5" t="n">
        <v>1.555</v>
      </c>
      <c r="G34" s="5" t="n">
        <v>1.555</v>
      </c>
      <c r="H34" s="5" t="n">
        <v>3935</v>
      </c>
      <c r="I34" s="6" t="n">
        <v>161623972</v>
      </c>
      <c r="J34" s="6" t="n"/>
      <c r="K34" s="7" t="n"/>
      <c r="L34" s="5" t="n">
        <v>1.555</v>
      </c>
      <c r="M34" s="5" t="n">
        <v>1.555</v>
      </c>
      <c r="N34" s="5" t="n">
        <v>1.555</v>
      </c>
      <c r="O34" t="inlineStr">
        <is>
          <t>No</t>
        </is>
      </c>
      <c r="P34" t="inlineStr">
        <is>
          <t>No</t>
        </is>
      </c>
      <c r="Q34" t="inlineStr">
        <is>
          <t>For each of Open, High and Low: if the raw value equals 0, replace it with the same-day Close; otherwise retain the raw value.</t>
        </is>
      </c>
      <c r="R34" s="5" t="n">
        <v>1.55</v>
      </c>
      <c r="S34" s="8" t="n">
        <v>0.003225806451612856</v>
      </c>
      <c r="T34" s="5" t="n">
        <v>0.004999999999999893</v>
      </c>
      <c r="U34" s="9" t="n">
        <v>251325276.46</v>
      </c>
      <c r="V34" s="8" t="n"/>
      <c r="W34" s="5" t="n">
        <v>1.525</v>
      </c>
      <c r="X34" s="8" t="n">
        <v>0.05067567567567566</v>
      </c>
    </row>
    <row r="35">
      <c r="A35" s="4" t="n">
        <v>45884</v>
      </c>
      <c r="B35" t="inlineStr">
        <is>
          <t>PSQ</t>
        </is>
      </c>
      <c r="C35" t="inlineStr">
        <is>
          <t>Pacific Smiles Group Limited</t>
        </is>
      </c>
      <c r="D35" s="5" t="n">
        <v>1.575</v>
      </c>
      <c r="E35" s="5" t="n">
        <v>1.575</v>
      </c>
      <c r="F35" s="5" t="n">
        <v>1.575</v>
      </c>
      <c r="G35" s="5" t="n">
        <v>1.575</v>
      </c>
      <c r="H35" s="5" t="n">
        <v>2</v>
      </c>
      <c r="I35" s="6" t="n">
        <v>161623972</v>
      </c>
      <c r="J35" s="6" t="n"/>
      <c r="K35" s="7" t="n"/>
      <c r="L35" s="5" t="n">
        <v>1.575</v>
      </c>
      <c r="M35" s="5" t="n">
        <v>1.575</v>
      </c>
      <c r="N35" s="5" t="n">
        <v>1.575</v>
      </c>
      <c r="O35" t="inlineStr">
        <is>
          <t>No</t>
        </is>
      </c>
      <c r="P35" t="inlineStr">
        <is>
          <t>No</t>
        </is>
      </c>
      <c r="Q35" t="inlineStr">
        <is>
          <t>For each of Open, High and Low: if the raw value equals 0, replace it with the same-day Close; otherwise retain the raw value.</t>
        </is>
      </c>
      <c r="R35" s="5" t="n">
        <v>1.555</v>
      </c>
      <c r="S35" s="8" t="n">
        <v>0.01286173633440524</v>
      </c>
      <c r="T35" s="5" t="n">
        <v>0.02000000000000002</v>
      </c>
      <c r="U35" s="9" t="n">
        <v>254557755.9</v>
      </c>
      <c r="V35" s="8" t="n"/>
      <c r="W35" s="5" t="n">
        <v>1.54</v>
      </c>
      <c r="X35" s="8" t="n">
        <v>0.06418918918918926</v>
      </c>
    </row>
    <row r="36">
      <c r="A36" s="4" t="n">
        <v>45887</v>
      </c>
      <c r="B36" t="inlineStr">
        <is>
          <t>PSQ</t>
        </is>
      </c>
      <c r="C36" t="inlineStr">
        <is>
          <t>Pacific Smiles Group Limited</t>
        </is>
      </c>
      <c r="D36" s="5" t="n">
        <v>0</v>
      </c>
      <c r="E36" s="5" t="n">
        <v>0</v>
      </c>
      <c r="F36" s="5" t="n">
        <v>0</v>
      </c>
      <c r="G36" s="5" t="n">
        <v>1.575</v>
      </c>
      <c r="H36" s="5" t="n">
        <v>0</v>
      </c>
      <c r="I36" s="6" t="n">
        <v>161615445</v>
      </c>
      <c r="J36" s="6" t="n"/>
      <c r="K36" s="7" t="n"/>
      <c r="L36" s="5" t="n">
        <v>1.575</v>
      </c>
      <c r="M36" s="5" t="n">
        <v>1.575</v>
      </c>
      <c r="N36" s="5" t="n">
        <v>1.575</v>
      </c>
      <c r="O36" t="inlineStr">
        <is>
          <t>Yes</t>
        </is>
      </c>
      <c r="P36" t="inlineStr">
        <is>
          <t>Yes</t>
        </is>
      </c>
      <c r="Q36" t="inlineStr">
        <is>
          <t>For each of Open, High and Low: if the raw value equals 0, replace it with the same-day Close; otherwise retain the raw value.</t>
        </is>
      </c>
      <c r="R36" s="5" t="n">
        <v>1.575</v>
      </c>
      <c r="S36" s="8" t="n">
        <v>0</v>
      </c>
      <c r="T36" s="5" t="n">
        <v>0</v>
      </c>
      <c r="U36" s="9" t="n">
        <v>254544325.875</v>
      </c>
      <c r="V36" s="8" t="n"/>
      <c r="W36" s="5" t="n">
        <v>1.553</v>
      </c>
      <c r="X36" s="8" t="n">
        <v>0.06418918918918926</v>
      </c>
    </row>
    <row r="37">
      <c r="A37" s="4" t="n">
        <v>45888</v>
      </c>
      <c r="B37" t="inlineStr">
        <is>
          <t>PSQ</t>
        </is>
      </c>
      <c r="C37" t="inlineStr">
        <is>
          <t>Pacific Smiles Group Limited</t>
        </is>
      </c>
      <c r="D37" s="5" t="n">
        <v>0</v>
      </c>
      <c r="E37" s="5" t="n">
        <v>0</v>
      </c>
      <c r="F37" s="5" t="n">
        <v>0</v>
      </c>
      <c r="G37" s="5" t="n">
        <v>1.575</v>
      </c>
      <c r="H37" s="5" t="n">
        <v>0</v>
      </c>
      <c r="I37" s="6" t="n">
        <v>161615445</v>
      </c>
      <c r="J37" s="6" t="n"/>
      <c r="K37" s="7" t="n"/>
      <c r="L37" s="5" t="n">
        <v>1.575</v>
      </c>
      <c r="M37" s="5" t="n">
        <v>1.575</v>
      </c>
      <c r="N37" s="5" t="n">
        <v>1.575</v>
      </c>
      <c r="O37" t="inlineStr">
        <is>
          <t>Yes</t>
        </is>
      </c>
      <c r="P37" t="inlineStr">
        <is>
          <t>Yes</t>
        </is>
      </c>
      <c r="Q37" t="inlineStr">
        <is>
          <t>For each of Open, High and Low: if the raw value equals 0, replace it with the same-day Close; otherwise retain the raw value.</t>
        </is>
      </c>
      <c r="R37" s="5" t="n">
        <v>1.575</v>
      </c>
      <c r="S37" s="8" t="n">
        <v>0</v>
      </c>
      <c r="T37" s="5" t="n">
        <v>0</v>
      </c>
      <c r="U37" s="9" t="n">
        <v>254544325.875</v>
      </c>
      <c r="V37" s="8" t="n"/>
      <c r="W37" s="5" t="n">
        <v>1.566</v>
      </c>
      <c r="X37" s="8" t="n">
        <v>0.06418918918918926</v>
      </c>
    </row>
    <row r="38">
      <c r="A38" s="4" t="n">
        <v>45889</v>
      </c>
      <c r="B38" t="inlineStr">
        <is>
          <t>PSQ</t>
        </is>
      </c>
      <c r="C38" t="inlineStr">
        <is>
          <t>Pacific Smiles Group Limited</t>
        </is>
      </c>
      <c r="D38" s="5" t="n">
        <v>0</v>
      </c>
      <c r="E38" s="5" t="n">
        <v>0</v>
      </c>
      <c r="F38" s="5" t="n">
        <v>0</v>
      </c>
      <c r="G38" s="5" t="n">
        <v>1.575</v>
      </c>
      <c r="H38" s="5" t="n">
        <v>0</v>
      </c>
      <c r="I38" s="6" t="n">
        <v>161615445</v>
      </c>
      <c r="J38" s="6" t="n"/>
      <c r="K38" s="7" t="n"/>
      <c r="L38" s="5" t="n">
        <v>1.575</v>
      </c>
      <c r="M38" s="5" t="n">
        <v>1.575</v>
      </c>
      <c r="N38" s="5" t="n">
        <v>1.575</v>
      </c>
      <c r="O38" t="inlineStr">
        <is>
          <t>Yes</t>
        </is>
      </c>
      <c r="P38" t="inlineStr">
        <is>
          <t>Yes</t>
        </is>
      </c>
      <c r="Q38" t="inlineStr">
        <is>
          <t>For each of Open, High and Low: if the raw value equals 0, replace it with the same-day Close; otherwise retain the raw value.</t>
        </is>
      </c>
      <c r="R38" s="5" t="n">
        <v>1.575</v>
      </c>
      <c r="S38" s="8" t="n">
        <v>0</v>
      </c>
      <c r="T38" s="5" t="n">
        <v>0</v>
      </c>
      <c r="U38" s="9" t="n">
        <v>254544325.875</v>
      </c>
      <c r="V38" s="8" t="n"/>
      <c r="W38" s="5" t="n">
        <v>1.571</v>
      </c>
      <c r="X38" s="8" t="n">
        <v>0.06418918918918926</v>
      </c>
    </row>
    <row r="39">
      <c r="A39" s="4" t="n">
        <v>45890</v>
      </c>
      <c r="B39" t="inlineStr">
        <is>
          <t>PSQ</t>
        </is>
      </c>
      <c r="C39" t="inlineStr">
        <is>
          <t>Pacific Smiles Group Limited</t>
        </is>
      </c>
      <c r="D39" s="5" t="n">
        <v>0</v>
      </c>
      <c r="E39" s="5" t="n">
        <v>0</v>
      </c>
      <c r="F39" s="5" t="n">
        <v>0</v>
      </c>
      <c r="G39" s="5" t="n">
        <v>1.575</v>
      </c>
      <c r="H39" s="5" t="n">
        <v>0</v>
      </c>
      <c r="I39" s="6" t="n">
        <v>161615445</v>
      </c>
      <c r="J39" s="6" t="n"/>
      <c r="K39" s="7" t="n"/>
      <c r="L39" s="5" t="n">
        <v>1.575</v>
      </c>
      <c r="M39" s="5" t="n">
        <v>1.575</v>
      </c>
      <c r="N39" s="5" t="n">
        <v>1.575</v>
      </c>
      <c r="O39" t="inlineStr">
        <is>
          <t>Yes</t>
        </is>
      </c>
      <c r="P39" t="inlineStr">
        <is>
          <t>Yes</t>
        </is>
      </c>
      <c r="Q39" t="inlineStr">
        <is>
          <t>For each of Open, High and Low: if the raw value equals 0, replace it with the same-day Close; otherwise retain the raw value.</t>
        </is>
      </c>
      <c r="R39" s="5" t="n">
        <v>1.575</v>
      </c>
      <c r="S39" s="8" t="n">
        <v>0</v>
      </c>
      <c r="T39" s="5" t="n">
        <v>0</v>
      </c>
      <c r="U39" s="9" t="n">
        <v>254544325.875</v>
      </c>
      <c r="V39" s="8" t="n"/>
      <c r="W39" s="5" t="n">
        <v>1.575</v>
      </c>
      <c r="X39" s="8" t="n">
        <v>0.06418918918918926</v>
      </c>
    </row>
    <row r="40">
      <c r="A40" s="4" t="n">
        <v>45891</v>
      </c>
      <c r="B40" t="inlineStr">
        <is>
          <t>PSQ</t>
        </is>
      </c>
      <c r="C40" t="inlineStr">
        <is>
          <t>Pacific Smiles Group Limited</t>
        </is>
      </c>
      <c r="D40" s="5" t="n">
        <v>1.615</v>
      </c>
      <c r="E40" s="5" t="n">
        <v>1.615</v>
      </c>
      <c r="F40" s="5" t="n">
        <v>1.615</v>
      </c>
      <c r="G40" s="5" t="n">
        <v>1.615</v>
      </c>
      <c r="H40" s="5" t="n">
        <v>6</v>
      </c>
      <c r="I40" s="6" t="n">
        <v>161615445</v>
      </c>
      <c r="J40" s="6" t="n"/>
      <c r="K40" s="7" t="n"/>
      <c r="L40" s="5" t="n">
        <v>1.615</v>
      </c>
      <c r="M40" s="5" t="n">
        <v>1.615</v>
      </c>
      <c r="N40" s="5" t="n">
        <v>1.615</v>
      </c>
      <c r="O40" t="inlineStr">
        <is>
          <t>No</t>
        </is>
      </c>
      <c r="P40" t="inlineStr">
        <is>
          <t>No</t>
        </is>
      </c>
      <c r="Q40" t="inlineStr">
        <is>
          <t>For each of Open, High and Low: if the raw value equals 0, replace it with the same-day Close; otherwise retain the raw value.</t>
        </is>
      </c>
      <c r="R40" s="5" t="n">
        <v>1.575</v>
      </c>
      <c r="S40" s="8" t="n">
        <v>0.02539682539682553</v>
      </c>
      <c r="T40" s="5" t="n">
        <v>0.04000000000000004</v>
      </c>
      <c r="U40" s="9" t="n">
        <v>261008943.675</v>
      </c>
      <c r="V40" s="8" t="n"/>
      <c r="W40" s="5" t="n">
        <v>1.583</v>
      </c>
      <c r="X40" s="8" t="n">
        <v>0.09121621621621623</v>
      </c>
    </row>
    <row r="41">
      <c r="A41" s="4" t="n">
        <v>45894</v>
      </c>
      <c r="B41" t="inlineStr">
        <is>
          <t>PSQ</t>
        </is>
      </c>
      <c r="C41" t="inlineStr">
        <is>
          <t>Pacific Smiles Group Limited</t>
        </is>
      </c>
      <c r="D41" s="5" t="n">
        <v>0</v>
      </c>
      <c r="E41" s="5" t="n">
        <v>0</v>
      </c>
      <c r="F41" s="5" t="n">
        <v>0</v>
      </c>
      <c r="G41" s="5" t="n">
        <v>1.615</v>
      </c>
      <c r="H41" s="5" t="n">
        <v>0</v>
      </c>
      <c r="I41" s="6" t="n">
        <v>161615445</v>
      </c>
      <c r="J41" s="6" t="n"/>
      <c r="K41" s="7" t="n"/>
      <c r="L41" s="5" t="n">
        <v>1.615</v>
      </c>
      <c r="M41" s="5" t="n">
        <v>1.615</v>
      </c>
      <c r="N41" s="5" t="n">
        <v>1.615</v>
      </c>
      <c r="O41" t="inlineStr">
        <is>
          <t>Yes</t>
        </is>
      </c>
      <c r="P41" t="inlineStr">
        <is>
          <t>Yes</t>
        </is>
      </c>
      <c r="Q41" t="inlineStr">
        <is>
          <t>For each of Open, High and Low: if the raw value equals 0, replace it with the same-day Close; otherwise retain the raw value.</t>
        </is>
      </c>
      <c r="R41" s="5" t="n">
        <v>1.615</v>
      </c>
      <c r="S41" s="8" t="n">
        <v>0</v>
      </c>
      <c r="T41" s="5" t="n">
        <v>0</v>
      </c>
      <c r="U41" s="9" t="n">
        <v>261008943.675</v>
      </c>
      <c r="V41" s="8" t="n"/>
      <c r="W41" s="5" t="n">
        <v>1.591</v>
      </c>
      <c r="X41" s="8" t="n">
        <v>0.09121621621621623</v>
      </c>
    </row>
    <row r="42">
      <c r="A42" s="4" t="n">
        <v>45895</v>
      </c>
      <c r="B42" t="inlineStr">
        <is>
          <t>PSQ</t>
        </is>
      </c>
      <c r="C42" t="inlineStr">
        <is>
          <t>Pacific Smiles Group Limited</t>
        </is>
      </c>
      <c r="D42" s="5" t="n">
        <v>0</v>
      </c>
      <c r="E42" s="5" t="n">
        <v>0</v>
      </c>
      <c r="F42" s="5" t="n">
        <v>0</v>
      </c>
      <c r="G42" s="5" t="n">
        <v>1.615</v>
      </c>
      <c r="H42" s="5" t="n">
        <v>0</v>
      </c>
      <c r="I42" s="6" t="n">
        <v>161615445</v>
      </c>
      <c r="J42" s="6" t="n"/>
      <c r="K42" s="7" t="n"/>
      <c r="L42" s="5" t="n">
        <v>1.615</v>
      </c>
      <c r="M42" s="5" t="n">
        <v>1.615</v>
      </c>
      <c r="N42" s="5" t="n">
        <v>1.615</v>
      </c>
      <c r="O42" t="inlineStr">
        <is>
          <t>Yes</t>
        </is>
      </c>
      <c r="P42" t="inlineStr">
        <is>
          <t>Yes</t>
        </is>
      </c>
      <c r="Q42" t="inlineStr">
        <is>
          <t>For each of Open, High and Low: if the raw value equals 0, replace it with the same-day Close; otherwise retain the raw value.</t>
        </is>
      </c>
      <c r="R42" s="5" t="n">
        <v>1.615</v>
      </c>
      <c r="S42" s="8" t="n">
        <v>0</v>
      </c>
      <c r="T42" s="5" t="n">
        <v>0</v>
      </c>
      <c r="U42" s="9" t="n">
        <v>261008943.675</v>
      </c>
      <c r="V42" s="8" t="n"/>
      <c r="W42" s="5" t="n">
        <v>1.599</v>
      </c>
      <c r="X42" s="8" t="n">
        <v>0.09121621621621623</v>
      </c>
    </row>
    <row r="43">
      <c r="A43" s="4" t="n">
        <v>45896</v>
      </c>
      <c r="B43" t="inlineStr">
        <is>
          <t>PSQ</t>
        </is>
      </c>
      <c r="C43" t="inlineStr">
        <is>
          <t>Pacific Smiles Group Limited</t>
        </is>
      </c>
      <c r="D43" s="5" t="n">
        <v>0</v>
      </c>
      <c r="E43" s="5" t="n">
        <v>0</v>
      </c>
      <c r="F43" s="5" t="n">
        <v>0</v>
      </c>
      <c r="G43" s="5" t="n">
        <v>1.615</v>
      </c>
      <c r="H43" s="5" t="n">
        <v>0</v>
      </c>
      <c r="I43" s="6" t="n">
        <v>161615445</v>
      </c>
      <c r="J43" s="6" t="n"/>
      <c r="K43" s="7" t="n"/>
      <c r="L43" s="5" t="n">
        <v>1.615</v>
      </c>
      <c r="M43" s="5" t="n">
        <v>1.615</v>
      </c>
      <c r="N43" s="5" t="n">
        <v>1.615</v>
      </c>
      <c r="O43" t="inlineStr">
        <is>
          <t>Yes</t>
        </is>
      </c>
      <c r="P43" t="inlineStr">
        <is>
          <t>Yes</t>
        </is>
      </c>
      <c r="Q43" t="inlineStr">
        <is>
          <t>For each of Open, High and Low: if the raw value equals 0, replace it with the same-day Close; otherwise retain the raw value.</t>
        </is>
      </c>
      <c r="R43" s="5" t="n">
        <v>1.615</v>
      </c>
      <c r="S43" s="8" t="n">
        <v>0</v>
      </c>
      <c r="T43" s="5" t="n">
        <v>0</v>
      </c>
      <c r="U43" s="9" t="n">
        <v>261008943.675</v>
      </c>
      <c r="V43" s="8" t="n"/>
      <c r="W43" s="5" t="n">
        <v>1.607</v>
      </c>
      <c r="X43" s="8" t="n">
        <v>0.09121621621621623</v>
      </c>
    </row>
    <row r="44">
      <c r="A44" s="4" t="n">
        <v>45897</v>
      </c>
      <c r="B44" t="inlineStr">
        <is>
          <t>PSQ</t>
        </is>
      </c>
      <c r="C44" t="inlineStr">
        <is>
          <t>Pacific Smiles Group Limited</t>
        </is>
      </c>
      <c r="D44" s="5" t="n">
        <v>0</v>
      </c>
      <c r="E44" s="5" t="n">
        <v>0</v>
      </c>
      <c r="F44" s="5" t="n">
        <v>0</v>
      </c>
      <c r="G44" s="5" t="n">
        <v>1.615</v>
      </c>
      <c r="H44" s="5" t="n">
        <v>0</v>
      </c>
      <c r="I44" s="6" t="n">
        <v>161615445</v>
      </c>
      <c r="J44" s="6" t="n"/>
      <c r="K44" s="7" t="n"/>
      <c r="L44" s="5" t="n">
        <v>1.615</v>
      </c>
      <c r="M44" s="5" t="n">
        <v>1.615</v>
      </c>
      <c r="N44" s="5" t="n">
        <v>1.615</v>
      </c>
      <c r="O44" t="inlineStr">
        <is>
          <t>Yes</t>
        </is>
      </c>
      <c r="P44" t="inlineStr">
        <is>
          <t>Yes</t>
        </is>
      </c>
      <c r="Q44" t="inlineStr">
        <is>
          <t>For each of Open, High and Low: if the raw value equals 0, replace it with the same-day Close; otherwise retain the raw value.</t>
        </is>
      </c>
      <c r="R44" s="5" t="n">
        <v>1.615</v>
      </c>
      <c r="S44" s="8" t="n">
        <v>0</v>
      </c>
      <c r="T44" s="5" t="n">
        <v>0</v>
      </c>
      <c r="U44" s="9" t="n">
        <v>261008943.675</v>
      </c>
      <c r="V44" s="8" t="n"/>
      <c r="W44" s="5" t="n">
        <v>1.615</v>
      </c>
      <c r="X44" s="8" t="n">
        <v>0.09121621621621623</v>
      </c>
    </row>
    <row r="45">
      <c r="A45" s="4" t="n">
        <v>45898</v>
      </c>
      <c r="B45" t="inlineStr">
        <is>
          <t>PSQ</t>
        </is>
      </c>
      <c r="C45" t="inlineStr">
        <is>
          <t>Pacific Smiles Group Limited</t>
        </is>
      </c>
      <c r="D45" s="5" t="n">
        <v>1.615</v>
      </c>
      <c r="E45" s="5" t="n">
        <v>1.615</v>
      </c>
      <c r="F45" s="5" t="n">
        <v>1.575</v>
      </c>
      <c r="G45" s="5" t="n">
        <v>1.575</v>
      </c>
      <c r="H45" s="5" t="n">
        <v>2226</v>
      </c>
      <c r="I45" s="6" t="n">
        <v>161615445</v>
      </c>
      <c r="J45" s="6" t="n"/>
      <c r="K45" s="7" t="n"/>
      <c r="L45" s="5" t="n">
        <v>1.615</v>
      </c>
      <c r="M45" s="5" t="n">
        <v>1.615</v>
      </c>
      <c r="N45" s="5" t="n">
        <v>1.575</v>
      </c>
      <c r="O45" t="inlineStr">
        <is>
          <t>No</t>
        </is>
      </c>
      <c r="P45" t="inlineStr">
        <is>
          <t>No</t>
        </is>
      </c>
      <c r="Q45" t="inlineStr">
        <is>
          <t>For each of Open, High and Low: if the raw value equals 0, replace it with the same-day Close; otherwise retain the raw value.</t>
        </is>
      </c>
      <c r="R45" s="5" t="n">
        <v>1.615</v>
      </c>
      <c r="S45" s="8" t="n">
        <v>-0.0247678018575852</v>
      </c>
      <c r="T45" s="5" t="n">
        <v>-0.04000000000000004</v>
      </c>
      <c r="U45" s="9" t="n">
        <v>254544325.875</v>
      </c>
      <c r="V45" s="8" t="n"/>
      <c r="W45" s="5" t="n">
        <v>1.607</v>
      </c>
      <c r="X45" s="8" t="n">
        <v>0.06418918918918926</v>
      </c>
    </row>
    <row r="46">
      <c r="A46" s="4" t="n">
        <v>45901</v>
      </c>
      <c r="B46" t="inlineStr">
        <is>
          <t>PSQ</t>
        </is>
      </c>
      <c r="C46" t="inlineStr">
        <is>
          <t>Pacific Smiles Group Limited</t>
        </is>
      </c>
      <c r="D46" s="5" t="n">
        <v>0</v>
      </c>
      <c r="E46" s="5" t="n">
        <v>0</v>
      </c>
      <c r="F46" s="5" t="n">
        <v>0</v>
      </c>
      <c r="G46" s="5" t="n">
        <v>1.575</v>
      </c>
      <c r="H46" s="5" t="n">
        <v>0</v>
      </c>
      <c r="I46" s="6" t="n">
        <v>161615445</v>
      </c>
      <c r="J46" s="6" t="n"/>
      <c r="K46" s="7" t="n"/>
      <c r="L46" s="5" t="n">
        <v>1.575</v>
      </c>
      <c r="M46" s="5" t="n">
        <v>1.575</v>
      </c>
      <c r="N46" s="5" t="n">
        <v>1.575</v>
      </c>
      <c r="O46" t="inlineStr">
        <is>
          <t>Yes</t>
        </is>
      </c>
      <c r="P46" t="inlineStr">
        <is>
          <t>Yes</t>
        </is>
      </c>
      <c r="Q46" t="inlineStr">
        <is>
          <t>For each of Open, High and Low: if the raw value equals 0, replace it with the same-day Close; otherwise retain the raw value.</t>
        </is>
      </c>
      <c r="R46" s="5" t="n">
        <v>1.575</v>
      </c>
      <c r="S46" s="8" t="n">
        <v>0</v>
      </c>
      <c r="T46" s="5" t="n">
        <v>0</v>
      </c>
      <c r="U46" s="9" t="n">
        <v>254544325.875</v>
      </c>
      <c r="V46" s="8" t="n"/>
      <c r="W46" s="5" t="n">
        <v>1.599</v>
      </c>
      <c r="X46" s="8" t="n">
        <v>0.06418918918918926</v>
      </c>
    </row>
    <row r="47">
      <c r="A47" s="4" t="n">
        <v>45902</v>
      </c>
      <c r="B47" t="inlineStr">
        <is>
          <t>PSQ</t>
        </is>
      </c>
      <c r="C47" t="inlineStr">
        <is>
          <t>Pacific Smiles Group Limited</t>
        </is>
      </c>
      <c r="D47" s="5" t="n">
        <v>0</v>
      </c>
      <c r="E47" s="5" t="n">
        <v>0</v>
      </c>
      <c r="F47" s="5" t="n">
        <v>0</v>
      </c>
      <c r="G47" s="5" t="n">
        <v>1.575</v>
      </c>
      <c r="H47" s="5" t="n">
        <v>0</v>
      </c>
      <c r="I47" s="6" t="n">
        <v>161615445</v>
      </c>
      <c r="J47" s="6" t="n"/>
      <c r="K47" s="7" t="n"/>
      <c r="L47" s="5" t="n">
        <v>1.575</v>
      </c>
      <c r="M47" s="5" t="n">
        <v>1.575</v>
      </c>
      <c r="N47" s="5" t="n">
        <v>1.575</v>
      </c>
      <c r="O47" t="inlineStr">
        <is>
          <t>Yes</t>
        </is>
      </c>
      <c r="P47" t="inlineStr">
        <is>
          <t>Yes</t>
        </is>
      </c>
      <c r="Q47" t="inlineStr">
        <is>
          <t>For each of Open, High and Low: if the raw value equals 0, replace it with the same-day Close; otherwise retain the raw value.</t>
        </is>
      </c>
      <c r="R47" s="5" t="n">
        <v>1.575</v>
      </c>
      <c r="S47" s="8" t="n">
        <v>0</v>
      </c>
      <c r="T47" s="5" t="n">
        <v>0</v>
      </c>
      <c r="U47" s="9" t="n">
        <v>254544325.875</v>
      </c>
      <c r="V47" s="8" t="n"/>
      <c r="W47" s="5" t="n">
        <v>1.591</v>
      </c>
      <c r="X47" s="8" t="n">
        <v>0.06418918918918926</v>
      </c>
    </row>
    <row r="48">
      <c r="A48" s="4" t="n">
        <v>45903</v>
      </c>
      <c r="B48" t="inlineStr">
        <is>
          <t>PSQ</t>
        </is>
      </c>
      <c r="C48" t="inlineStr">
        <is>
          <t>Pacific Smiles Group Limited</t>
        </is>
      </c>
      <c r="D48" s="5" t="n">
        <v>0</v>
      </c>
      <c r="E48" s="5" t="n">
        <v>0</v>
      </c>
      <c r="F48" s="5" t="n">
        <v>0</v>
      </c>
      <c r="G48" s="5" t="n">
        <v>1.575</v>
      </c>
      <c r="H48" s="5" t="n">
        <v>0</v>
      </c>
      <c r="I48" s="6" t="n">
        <v>161615445</v>
      </c>
      <c r="J48" s="6" t="n"/>
      <c r="K48" s="7" t="n"/>
      <c r="L48" s="5" t="n">
        <v>1.575</v>
      </c>
      <c r="M48" s="5" t="n">
        <v>1.575</v>
      </c>
      <c r="N48" s="5" t="n">
        <v>1.575</v>
      </c>
      <c r="O48" t="inlineStr">
        <is>
          <t>Yes</t>
        </is>
      </c>
      <c r="P48" t="inlineStr">
        <is>
          <t>Yes</t>
        </is>
      </c>
      <c r="Q48" t="inlineStr">
        <is>
          <t>For each of Open, High and Low: if the raw value equals 0, replace it with the same-day Close; otherwise retain the raw value.</t>
        </is>
      </c>
      <c r="R48" s="5" t="n">
        <v>1.575</v>
      </c>
      <c r="S48" s="8" t="n">
        <v>0</v>
      </c>
      <c r="T48" s="5" t="n">
        <v>0</v>
      </c>
      <c r="U48" s="9" t="n">
        <v>254544325.875</v>
      </c>
      <c r="V48" s="8" t="n"/>
      <c r="W48" s="5" t="n">
        <v>1.583</v>
      </c>
      <c r="X48" s="8" t="n">
        <v>0.06418918918918926</v>
      </c>
    </row>
    <row r="49">
      <c r="A49" s="4" t="n">
        <v>45904</v>
      </c>
      <c r="B49" t="inlineStr">
        <is>
          <t>PSQ</t>
        </is>
      </c>
      <c r="C49" t="inlineStr">
        <is>
          <t>Pacific Smiles Group Limited</t>
        </is>
      </c>
      <c r="D49" s="5" t="n">
        <v>0</v>
      </c>
      <c r="E49" s="5" t="n">
        <v>0</v>
      </c>
      <c r="F49" s="5" t="n">
        <v>0</v>
      </c>
      <c r="G49" s="5" t="n">
        <v>1.575</v>
      </c>
      <c r="H49" s="5" t="n">
        <v>0</v>
      </c>
      <c r="I49" s="6" t="n">
        <v>161615445</v>
      </c>
      <c r="J49" s="6" t="n"/>
      <c r="K49" s="7" t="n"/>
      <c r="L49" s="5" t="n">
        <v>1.575</v>
      </c>
      <c r="M49" s="5" t="n">
        <v>1.575</v>
      </c>
      <c r="N49" s="5" t="n">
        <v>1.575</v>
      </c>
      <c r="O49" t="inlineStr">
        <is>
          <t>Yes</t>
        </is>
      </c>
      <c r="P49" t="inlineStr">
        <is>
          <t>Yes</t>
        </is>
      </c>
      <c r="Q49" t="inlineStr">
        <is>
          <t>For each of Open, High and Low: if the raw value equals 0, replace it with the same-day Close; otherwise retain the raw value.</t>
        </is>
      </c>
      <c r="R49" s="5" t="n">
        <v>1.575</v>
      </c>
      <c r="S49" s="8" t="n">
        <v>0</v>
      </c>
      <c r="T49" s="5" t="n">
        <v>0</v>
      </c>
      <c r="U49" s="9" t="n">
        <v>254544325.875</v>
      </c>
      <c r="V49" s="8" t="n"/>
      <c r="W49" s="5" t="n">
        <v>1.575</v>
      </c>
      <c r="X49" s="8" t="n">
        <v>0.06418918918918926</v>
      </c>
    </row>
    <row r="50">
      <c r="A50" s="4" t="n">
        <v>45905</v>
      </c>
      <c r="B50" t="inlineStr">
        <is>
          <t>PSQ</t>
        </is>
      </c>
      <c r="C50" t="inlineStr">
        <is>
          <t>Pacific Smiles Group Limited</t>
        </is>
      </c>
      <c r="D50" s="5" t="n">
        <v>0</v>
      </c>
      <c r="E50" s="5" t="n">
        <v>0</v>
      </c>
      <c r="F50" s="5" t="n">
        <v>0</v>
      </c>
      <c r="G50" s="5" t="n">
        <v>1.575</v>
      </c>
      <c r="H50" s="5" t="n">
        <v>0</v>
      </c>
      <c r="I50" s="6" t="n">
        <v>161615445</v>
      </c>
      <c r="J50" s="6" t="n"/>
      <c r="K50" s="7" t="n"/>
      <c r="L50" s="5" t="n">
        <v>1.575</v>
      </c>
      <c r="M50" s="5" t="n">
        <v>1.575</v>
      </c>
      <c r="N50" s="5" t="n">
        <v>1.575</v>
      </c>
      <c r="O50" t="inlineStr">
        <is>
          <t>Yes</t>
        </is>
      </c>
      <c r="P50" t="inlineStr">
        <is>
          <t>Yes</t>
        </is>
      </c>
      <c r="Q50" t="inlineStr">
        <is>
          <t>For each of Open, High and Low: if the raw value equals 0, replace it with the same-day Close; otherwise retain the raw value.</t>
        </is>
      </c>
      <c r="R50" s="5" t="n">
        <v>1.575</v>
      </c>
      <c r="S50" s="8" t="n">
        <v>0</v>
      </c>
      <c r="T50" s="5" t="n">
        <v>0</v>
      </c>
      <c r="U50" s="9" t="n">
        <v>254544325.875</v>
      </c>
      <c r="V50" s="8" t="n"/>
      <c r="W50" s="5" t="n">
        <v>1.575</v>
      </c>
      <c r="X50" s="8" t="n">
        <v>0.06418918918918926</v>
      </c>
    </row>
    <row r="51">
      <c r="A51" s="4" t="n">
        <v>45908</v>
      </c>
      <c r="B51" t="inlineStr">
        <is>
          <t>PSQ</t>
        </is>
      </c>
      <c r="C51" t="inlineStr">
        <is>
          <t>Pacific Smiles Group Limited</t>
        </is>
      </c>
      <c r="D51" s="5" t="n">
        <v>0</v>
      </c>
      <c r="E51" s="5" t="n">
        <v>0</v>
      </c>
      <c r="F51" s="5" t="n">
        <v>0</v>
      </c>
      <c r="G51" s="5" t="n">
        <v>1.575</v>
      </c>
      <c r="H51" s="5" t="n">
        <v>0</v>
      </c>
      <c r="I51" s="6" t="n">
        <v>161615445</v>
      </c>
      <c r="J51" s="6" t="n"/>
      <c r="K51" s="7" t="n"/>
      <c r="L51" s="5" t="n">
        <v>1.575</v>
      </c>
      <c r="M51" s="5" t="n">
        <v>1.575</v>
      </c>
      <c r="N51" s="5" t="n">
        <v>1.575</v>
      </c>
      <c r="O51" t="inlineStr">
        <is>
          <t>Yes</t>
        </is>
      </c>
      <c r="P51" t="inlineStr">
        <is>
          <t>Yes</t>
        </is>
      </c>
      <c r="Q51" t="inlineStr">
        <is>
          <t>For each of Open, High and Low: if the raw value equals 0, replace it with the same-day Close; otherwise retain the raw value.</t>
        </is>
      </c>
      <c r="R51" s="5" t="n">
        <v>1.575</v>
      </c>
      <c r="S51" s="8" t="n">
        <v>0</v>
      </c>
      <c r="T51" s="5" t="n">
        <v>0</v>
      </c>
      <c r="U51" s="9" t="n">
        <v>254544325.875</v>
      </c>
      <c r="V51" s="8" t="n"/>
      <c r="W51" s="5" t="n">
        <v>1.575</v>
      </c>
      <c r="X51" s="8" t="n">
        <v>0.06418918918918926</v>
      </c>
    </row>
    <row r="52">
      <c r="A52" s="4" t="n">
        <v>45909</v>
      </c>
      <c r="B52" t="inlineStr">
        <is>
          <t>PSQ</t>
        </is>
      </c>
      <c r="C52" t="inlineStr">
        <is>
          <t>Pacific Smiles Group Limited</t>
        </is>
      </c>
      <c r="D52" s="5" t="n">
        <v>0</v>
      </c>
      <c r="E52" s="5" t="n">
        <v>0</v>
      </c>
      <c r="F52" s="5" t="n">
        <v>0</v>
      </c>
      <c r="G52" s="5" t="n">
        <v>1.575</v>
      </c>
      <c r="H52" s="5" t="n">
        <v>0</v>
      </c>
      <c r="I52" s="6" t="n">
        <v>161615445</v>
      </c>
      <c r="J52" s="6" t="n"/>
      <c r="K52" s="7" t="n"/>
      <c r="L52" s="5" t="n">
        <v>1.575</v>
      </c>
      <c r="M52" s="5" t="n">
        <v>1.575</v>
      </c>
      <c r="N52" s="5" t="n">
        <v>1.575</v>
      </c>
      <c r="O52" t="inlineStr">
        <is>
          <t>Yes</t>
        </is>
      </c>
      <c r="P52" t="inlineStr">
        <is>
          <t>Yes</t>
        </is>
      </c>
      <c r="Q52" t="inlineStr">
        <is>
          <t>For each of Open, High and Low: if the raw value equals 0, replace it with the same-day Close; otherwise retain the raw value.</t>
        </is>
      </c>
      <c r="R52" s="5" t="n">
        <v>1.575</v>
      </c>
      <c r="S52" s="8" t="n">
        <v>0</v>
      </c>
      <c r="T52" s="5" t="n">
        <v>0</v>
      </c>
      <c r="U52" s="9" t="n">
        <v>254544325.875</v>
      </c>
      <c r="V52" s="8" t="n"/>
      <c r="W52" s="5" t="n">
        <v>1.575</v>
      </c>
      <c r="X52" s="8" t="n">
        <v>0.06418918918918926</v>
      </c>
    </row>
    <row r="53">
      <c r="A53" s="4" t="n">
        <v>45910</v>
      </c>
      <c r="B53" t="inlineStr">
        <is>
          <t>PSQ</t>
        </is>
      </c>
      <c r="C53" t="inlineStr">
        <is>
          <t>Pacific Smiles Group Limited</t>
        </is>
      </c>
      <c r="D53" s="5" t="n">
        <v>1.58</v>
      </c>
      <c r="E53" s="5" t="n">
        <v>1.58</v>
      </c>
      <c r="F53" s="5" t="n">
        <v>1.58</v>
      </c>
      <c r="G53" s="5" t="n">
        <v>1.58</v>
      </c>
      <c r="H53" s="5" t="n">
        <v>34</v>
      </c>
      <c r="I53" s="6" t="n">
        <v>161615445</v>
      </c>
      <c r="J53" s="6" t="n"/>
      <c r="K53" s="7" t="n"/>
      <c r="L53" s="5" t="n">
        <v>1.58</v>
      </c>
      <c r="M53" s="5" t="n">
        <v>1.58</v>
      </c>
      <c r="N53" s="5" t="n">
        <v>1.58</v>
      </c>
      <c r="O53" t="inlineStr">
        <is>
          <t>No</t>
        </is>
      </c>
      <c r="P53" t="inlineStr">
        <is>
          <t>No</t>
        </is>
      </c>
      <c r="Q53" t="inlineStr">
        <is>
          <t>For each of Open, High and Low: if the raw value equals 0, replace it with the same-day Close; otherwise retain the raw value.</t>
        </is>
      </c>
      <c r="R53" s="5" t="n">
        <v>1.575</v>
      </c>
      <c r="S53" s="8" t="n">
        <v>0.003174603174603163</v>
      </c>
      <c r="T53" s="5" t="n">
        <v>0.005000000000000115</v>
      </c>
      <c r="U53" s="9" t="n">
        <v>255352403.1</v>
      </c>
      <c r="V53" s="8" t="n"/>
      <c r="W53" s="5" t="n">
        <v>1.576</v>
      </c>
      <c r="X53" s="8" t="n">
        <v>0.06756756756756754</v>
      </c>
    </row>
    <row r="54">
      <c r="A54" s="4" t="n">
        <v>45911</v>
      </c>
      <c r="B54" t="inlineStr">
        <is>
          <t>PSQ</t>
        </is>
      </c>
      <c r="C54" t="inlineStr">
        <is>
          <t>Pacific Smiles Group Limited</t>
        </is>
      </c>
      <c r="D54" s="5" t="n">
        <v>1.58</v>
      </c>
      <c r="E54" s="5" t="n">
        <v>1.58</v>
      </c>
      <c r="F54" s="5" t="n">
        <v>1.58</v>
      </c>
      <c r="G54" s="5" t="n">
        <v>1.58</v>
      </c>
      <c r="H54" s="5" t="n">
        <v>32</v>
      </c>
      <c r="I54" s="6" t="n">
        <v>161615445</v>
      </c>
      <c r="J54" s="6" t="n"/>
      <c r="K54" s="7" t="n"/>
      <c r="L54" s="5" t="n">
        <v>1.58</v>
      </c>
      <c r="M54" s="5" t="n">
        <v>1.58</v>
      </c>
      <c r="N54" s="5" t="n">
        <v>1.58</v>
      </c>
      <c r="O54" t="inlineStr">
        <is>
          <t>No</t>
        </is>
      </c>
      <c r="P54" t="inlineStr">
        <is>
          <t>No</t>
        </is>
      </c>
      <c r="Q54" t="inlineStr">
        <is>
          <t>For each of Open, High and Low: if the raw value equals 0, replace it with the same-day Close; otherwise retain the raw value.</t>
        </is>
      </c>
      <c r="R54" s="5" t="n">
        <v>1.58</v>
      </c>
      <c r="S54" s="8" t="n">
        <v>0</v>
      </c>
      <c r="T54" s="5" t="n">
        <v>0</v>
      </c>
      <c r="U54" s="9" t="n">
        <v>255352403.1</v>
      </c>
      <c r="V54" s="8" t="n"/>
      <c r="W54" s="5" t="n">
        <v>1.577</v>
      </c>
      <c r="X54" s="8" t="n">
        <v>0.06756756756756754</v>
      </c>
    </row>
    <row r="55">
      <c r="A55" s="4" t="n">
        <v>45912</v>
      </c>
      <c r="B55" t="inlineStr">
        <is>
          <t>PSQ</t>
        </is>
      </c>
      <c r="C55" t="inlineStr">
        <is>
          <t>Pacific Smiles Group Limited</t>
        </is>
      </c>
      <c r="D55" s="5" t="n">
        <v>0</v>
      </c>
      <c r="E55" s="5" t="n">
        <v>0</v>
      </c>
      <c r="F55" s="5" t="n">
        <v>0</v>
      </c>
      <c r="G55" s="5" t="n">
        <v>1.58</v>
      </c>
      <c r="H55" s="5" t="n">
        <v>0</v>
      </c>
      <c r="I55" s="6" t="n">
        <v>161615445</v>
      </c>
      <c r="J55" s="6" t="n"/>
      <c r="K55" s="7" t="n"/>
      <c r="L55" s="5" t="n">
        <v>1.58</v>
      </c>
      <c r="M55" s="5" t="n">
        <v>1.58</v>
      </c>
      <c r="N55" s="5" t="n">
        <v>1.58</v>
      </c>
      <c r="O55" t="inlineStr">
        <is>
          <t>Yes</t>
        </is>
      </c>
      <c r="P55" t="inlineStr">
        <is>
          <t>Yes</t>
        </is>
      </c>
      <c r="Q55" t="inlineStr">
        <is>
          <t>For each of Open, High and Low: if the raw value equals 0, replace it with the same-day Close; otherwise retain the raw value.</t>
        </is>
      </c>
      <c r="R55" s="5" t="n">
        <v>1.58</v>
      </c>
      <c r="S55" s="8" t="n">
        <v>0</v>
      </c>
      <c r="T55" s="5" t="n">
        <v>0</v>
      </c>
      <c r="U55" s="9" t="n">
        <v>255352403.1</v>
      </c>
      <c r="V55" s="8" t="n"/>
      <c r="W55" s="5" t="n">
        <v>1.578</v>
      </c>
      <c r="X55" s="8" t="n">
        <v>0.06756756756756754</v>
      </c>
    </row>
    <row r="56">
      <c r="A56" s="4" t="n">
        <v>45915</v>
      </c>
      <c r="B56" t="inlineStr">
        <is>
          <t>PSQ</t>
        </is>
      </c>
      <c r="C56" t="inlineStr">
        <is>
          <t>Pacific Smiles Group Limited</t>
        </is>
      </c>
      <c r="D56" s="5" t="n">
        <v>0</v>
      </c>
      <c r="E56" s="5" t="n">
        <v>0</v>
      </c>
      <c r="F56" s="5" t="n">
        <v>0</v>
      </c>
      <c r="G56" s="5" t="n">
        <v>1.58</v>
      </c>
      <c r="H56" s="5" t="n">
        <v>0</v>
      </c>
      <c r="I56" s="6" t="n">
        <v>161615445</v>
      </c>
      <c r="J56" s="6" t="n"/>
      <c r="K56" s="7" t="n"/>
      <c r="L56" s="5" t="n">
        <v>1.58</v>
      </c>
      <c r="M56" s="5" t="n">
        <v>1.58</v>
      </c>
      <c r="N56" s="5" t="n">
        <v>1.58</v>
      </c>
      <c r="O56" t="inlineStr">
        <is>
          <t>Yes</t>
        </is>
      </c>
      <c r="P56" t="inlineStr">
        <is>
          <t>Yes</t>
        </is>
      </c>
      <c r="Q56" t="inlineStr">
        <is>
          <t>For each of Open, High and Low: if the raw value equals 0, replace it with the same-day Close; otherwise retain the raw value.</t>
        </is>
      </c>
      <c r="R56" s="5" t="n">
        <v>1.58</v>
      </c>
      <c r="S56" s="8" t="n">
        <v>0</v>
      </c>
      <c r="T56" s="5" t="n">
        <v>0</v>
      </c>
      <c r="U56" s="9" t="n">
        <v>255352403.1</v>
      </c>
      <c r="V56" s="8" t="n"/>
      <c r="W56" s="5" t="n">
        <v>1.579</v>
      </c>
      <c r="X56" s="8" t="n">
        <v>0.06756756756756754</v>
      </c>
    </row>
    <row r="57">
      <c r="A57" s="4" t="n">
        <v>45916</v>
      </c>
      <c r="B57" t="inlineStr">
        <is>
          <t>PSQ</t>
        </is>
      </c>
      <c r="C57" t="inlineStr">
        <is>
          <t>Pacific Smiles Group Limited</t>
        </is>
      </c>
      <c r="D57" s="5" t="n">
        <v>0</v>
      </c>
      <c r="E57" s="5" t="n">
        <v>0</v>
      </c>
      <c r="F57" s="5" t="n">
        <v>0</v>
      </c>
      <c r="G57" s="5" t="n">
        <v>1.58</v>
      </c>
      <c r="H57" s="5" t="n">
        <v>0</v>
      </c>
      <c r="I57" s="6" t="n">
        <v>161615445</v>
      </c>
      <c r="J57" s="6" t="n"/>
      <c r="K57" s="7" t="n"/>
      <c r="L57" s="5" t="n">
        <v>1.58</v>
      </c>
      <c r="M57" s="5" t="n">
        <v>1.58</v>
      </c>
      <c r="N57" s="5" t="n">
        <v>1.58</v>
      </c>
      <c r="O57" t="inlineStr">
        <is>
          <t>Yes</t>
        </is>
      </c>
      <c r="P57" t="inlineStr">
        <is>
          <t>Yes</t>
        </is>
      </c>
      <c r="Q57" t="inlineStr">
        <is>
          <t>For each of Open, High and Low: if the raw value equals 0, replace it with the same-day Close; otherwise retain the raw value.</t>
        </is>
      </c>
      <c r="R57" s="5" t="n">
        <v>1.58</v>
      </c>
      <c r="S57" s="8" t="n">
        <v>0</v>
      </c>
      <c r="T57" s="5" t="n">
        <v>0</v>
      </c>
      <c r="U57" s="9" t="n">
        <v>255352403.1</v>
      </c>
      <c r="V57" s="8" t="n"/>
      <c r="W57" s="5" t="n">
        <v>1.58</v>
      </c>
      <c r="X57" s="8" t="n">
        <v>0.06756756756756754</v>
      </c>
    </row>
    <row r="58">
      <c r="A58" s="4" t="n">
        <v>45917</v>
      </c>
      <c r="B58" t="inlineStr">
        <is>
          <t>PSQ</t>
        </is>
      </c>
      <c r="C58" t="inlineStr">
        <is>
          <t>Pacific Smiles Group Limited</t>
        </is>
      </c>
      <c r="D58" s="5" t="n">
        <v>0</v>
      </c>
      <c r="E58" s="5" t="n">
        <v>0</v>
      </c>
      <c r="F58" s="5" t="n">
        <v>0</v>
      </c>
      <c r="G58" s="5" t="n">
        <v>1.58</v>
      </c>
      <c r="H58" s="5" t="n">
        <v>0</v>
      </c>
      <c r="I58" s="6" t="n">
        <v>161615445</v>
      </c>
      <c r="J58" s="6" t="n"/>
      <c r="K58" s="7" t="n"/>
      <c r="L58" s="5" t="n">
        <v>1.58</v>
      </c>
      <c r="M58" s="5" t="n">
        <v>1.58</v>
      </c>
      <c r="N58" s="5" t="n">
        <v>1.58</v>
      </c>
      <c r="O58" t="inlineStr">
        <is>
          <t>Yes</t>
        </is>
      </c>
      <c r="P58" t="inlineStr">
        <is>
          <t>Yes</t>
        </is>
      </c>
      <c r="Q58" t="inlineStr">
        <is>
          <t>For each of Open, High and Low: if the raw value equals 0, replace it with the same-day Close; otherwise retain the raw value.</t>
        </is>
      </c>
      <c r="R58" s="5" t="n">
        <v>1.58</v>
      </c>
      <c r="S58" s="8" t="n">
        <v>0</v>
      </c>
      <c r="T58" s="5" t="n">
        <v>0</v>
      </c>
      <c r="U58" s="9" t="n">
        <v>255352403.1</v>
      </c>
      <c r="V58" s="8" t="n"/>
      <c r="W58" s="5" t="n">
        <v>1.58</v>
      </c>
      <c r="X58" s="8" t="n">
        <v>0.06756756756756754</v>
      </c>
    </row>
    <row r="59">
      <c r="A59" s="4" t="n">
        <v>45918</v>
      </c>
      <c r="B59" t="inlineStr">
        <is>
          <t>PSQ</t>
        </is>
      </c>
      <c r="C59" t="inlineStr">
        <is>
          <t>Pacific Smiles Group Limited</t>
        </is>
      </c>
      <c r="D59" s="5" t="n">
        <v>0</v>
      </c>
      <c r="E59" s="5" t="n">
        <v>0</v>
      </c>
      <c r="F59" s="5" t="n">
        <v>0</v>
      </c>
      <c r="G59" s="5" t="n">
        <v>1.58</v>
      </c>
      <c r="H59" s="5" t="n">
        <v>0</v>
      </c>
      <c r="I59" s="6" t="n">
        <v>161615445</v>
      </c>
      <c r="J59" s="6" t="n"/>
      <c r="K59" s="7" t="n"/>
      <c r="L59" s="5" t="n">
        <v>1.58</v>
      </c>
      <c r="M59" s="5" t="n">
        <v>1.58</v>
      </c>
      <c r="N59" s="5" t="n">
        <v>1.58</v>
      </c>
      <c r="O59" t="inlineStr">
        <is>
          <t>Yes</t>
        </is>
      </c>
      <c r="P59" t="inlineStr">
        <is>
          <t>Yes</t>
        </is>
      </c>
      <c r="Q59" t="inlineStr">
        <is>
          <t>For each of Open, High and Low: if the raw value equals 0, replace it with the same-day Close; otherwise retain the raw value.</t>
        </is>
      </c>
      <c r="R59" s="5" t="n">
        <v>1.58</v>
      </c>
      <c r="S59" s="8" t="n">
        <v>0</v>
      </c>
      <c r="T59" s="5" t="n">
        <v>0</v>
      </c>
      <c r="U59" s="9" t="n">
        <v>255352403.1</v>
      </c>
      <c r="V59" s="8" t="n"/>
      <c r="W59" s="5" t="n">
        <v>1.58</v>
      </c>
      <c r="X59" s="8" t="n">
        <v>0.06756756756756754</v>
      </c>
    </row>
    <row r="60">
      <c r="A60" s="4" t="n">
        <v>45919</v>
      </c>
      <c r="B60" t="inlineStr">
        <is>
          <t>PSQ</t>
        </is>
      </c>
      <c r="C60" t="inlineStr">
        <is>
          <t>Pacific Smiles Group Limited</t>
        </is>
      </c>
      <c r="D60" s="5" t="n">
        <v>0</v>
      </c>
      <c r="E60" s="5" t="n">
        <v>0</v>
      </c>
      <c r="F60" s="5" t="n">
        <v>0</v>
      </c>
      <c r="G60" s="5" t="n">
        <v>1.58</v>
      </c>
      <c r="H60" s="5" t="n">
        <v>0</v>
      </c>
      <c r="I60" s="6" t="n">
        <v>161615445</v>
      </c>
      <c r="J60" s="6" t="n"/>
      <c r="K60" s="7" t="n"/>
      <c r="L60" s="5" t="n">
        <v>1.58</v>
      </c>
      <c r="M60" s="5" t="n">
        <v>1.58</v>
      </c>
      <c r="N60" s="5" t="n">
        <v>1.58</v>
      </c>
      <c r="O60" t="inlineStr">
        <is>
          <t>Yes</t>
        </is>
      </c>
      <c r="P60" t="inlineStr">
        <is>
          <t>Yes</t>
        </is>
      </c>
      <c r="Q60" t="inlineStr">
        <is>
          <t>For each of Open, High and Low: if the raw value equals 0, replace it with the same-day Close; otherwise retain the raw value.</t>
        </is>
      </c>
      <c r="R60" s="5" t="n">
        <v>1.58</v>
      </c>
      <c r="S60" s="8" t="n">
        <v>0</v>
      </c>
      <c r="T60" s="5" t="n">
        <v>0</v>
      </c>
      <c r="U60" s="9" t="n">
        <v>255352403.1</v>
      </c>
      <c r="V60" s="8" t="n"/>
      <c r="W60" s="5" t="n">
        <v>1.58</v>
      </c>
      <c r="X60" s="8" t="n">
        <v>0.06756756756756754</v>
      </c>
    </row>
    <row r="61">
      <c r="A61" s="4" t="n">
        <v>45922</v>
      </c>
      <c r="B61" t="inlineStr">
        <is>
          <t>PSQ</t>
        </is>
      </c>
      <c r="C61" t="inlineStr">
        <is>
          <t>Pacific Smiles Group Limited</t>
        </is>
      </c>
      <c r="D61" s="5" t="n">
        <v>0</v>
      </c>
      <c r="E61" s="5" t="n">
        <v>0</v>
      </c>
      <c r="F61" s="5" t="n">
        <v>0</v>
      </c>
      <c r="G61" s="5" t="n">
        <v>1.58</v>
      </c>
      <c r="H61" s="5" t="n">
        <v>0</v>
      </c>
      <c r="I61" s="6" t="n">
        <v>161615445</v>
      </c>
      <c r="J61" s="6" t="n"/>
      <c r="K61" s="7" t="n"/>
      <c r="L61" s="5" t="n">
        <v>1.58</v>
      </c>
      <c r="M61" s="5" t="n">
        <v>1.58</v>
      </c>
      <c r="N61" s="5" t="n">
        <v>1.58</v>
      </c>
      <c r="O61" t="inlineStr">
        <is>
          <t>Yes</t>
        </is>
      </c>
      <c r="P61" t="inlineStr">
        <is>
          <t>Yes</t>
        </is>
      </c>
      <c r="Q61" t="inlineStr">
        <is>
          <t>For each of Open, High and Low: if the raw value equals 0, replace it with the same-day Close; otherwise retain the raw value.</t>
        </is>
      </c>
      <c r="R61" s="5" t="n">
        <v>1.58</v>
      </c>
      <c r="S61" s="8" t="n">
        <v>0</v>
      </c>
      <c r="T61" s="5" t="n">
        <v>0</v>
      </c>
      <c r="U61" s="9" t="n">
        <v>255352403.1</v>
      </c>
      <c r="V61" s="8" t="n"/>
      <c r="W61" s="5" t="n">
        <v>1.58</v>
      </c>
      <c r="X61" s="8" t="n">
        <v>0.06756756756756754</v>
      </c>
    </row>
    <row r="62">
      <c r="A62" s="4" t="n">
        <v>45923</v>
      </c>
      <c r="B62" t="inlineStr">
        <is>
          <t>PSQ</t>
        </is>
      </c>
      <c r="C62" t="inlineStr">
        <is>
          <t>Pacific Smiles Group Limited</t>
        </is>
      </c>
      <c r="D62" s="5" t="n">
        <v>0</v>
      </c>
      <c r="E62" s="5" t="n">
        <v>0</v>
      </c>
      <c r="F62" s="5" t="n">
        <v>0</v>
      </c>
      <c r="G62" s="5" t="n">
        <v>1.58</v>
      </c>
      <c r="H62" s="5" t="n">
        <v>0</v>
      </c>
      <c r="I62" s="6" t="n">
        <v>161615445</v>
      </c>
      <c r="J62" s="6" t="n"/>
      <c r="K62" s="7" t="n"/>
      <c r="L62" s="5" t="n">
        <v>1.58</v>
      </c>
      <c r="M62" s="5" t="n">
        <v>1.58</v>
      </c>
      <c r="N62" s="5" t="n">
        <v>1.58</v>
      </c>
      <c r="O62" t="inlineStr">
        <is>
          <t>Yes</t>
        </is>
      </c>
      <c r="P62" t="inlineStr">
        <is>
          <t>Yes</t>
        </is>
      </c>
      <c r="Q62" t="inlineStr">
        <is>
          <t>For each of Open, High and Low: if the raw value equals 0, replace it with the same-day Close; otherwise retain the raw value.</t>
        </is>
      </c>
      <c r="R62" s="5" t="n">
        <v>1.58</v>
      </c>
      <c r="S62" s="8" t="n">
        <v>0</v>
      </c>
      <c r="T62" s="5" t="n">
        <v>0</v>
      </c>
      <c r="U62" s="9" t="n">
        <v>255352403.1</v>
      </c>
      <c r="V62" s="8" t="n"/>
      <c r="W62" s="5" t="n">
        <v>1.58</v>
      </c>
      <c r="X62" s="8" t="n">
        <v>0.06756756756756754</v>
      </c>
    </row>
    <row r="63">
      <c r="A63" s="4" t="n">
        <v>45924</v>
      </c>
      <c r="B63" t="inlineStr">
        <is>
          <t>PSQ</t>
        </is>
      </c>
      <c r="C63" t="inlineStr">
        <is>
          <t>Pacific Smiles Group Limited</t>
        </is>
      </c>
      <c r="D63" s="5" t="n">
        <v>0</v>
      </c>
      <c r="E63" s="5" t="n">
        <v>0</v>
      </c>
      <c r="F63" s="5" t="n">
        <v>0</v>
      </c>
      <c r="G63" s="5" t="n">
        <v>1.58</v>
      </c>
      <c r="H63" s="5" t="n">
        <v>0</v>
      </c>
      <c r="I63" s="6" t="n">
        <v>161615445</v>
      </c>
      <c r="J63" s="6" t="n"/>
      <c r="K63" s="7" t="n"/>
      <c r="L63" s="5" t="n">
        <v>1.58</v>
      </c>
      <c r="M63" s="5" t="n">
        <v>1.58</v>
      </c>
      <c r="N63" s="5" t="n">
        <v>1.58</v>
      </c>
      <c r="O63" t="inlineStr">
        <is>
          <t>Yes</t>
        </is>
      </c>
      <c r="P63" t="inlineStr">
        <is>
          <t>Yes</t>
        </is>
      </c>
      <c r="Q63" t="inlineStr">
        <is>
          <t>For each of Open, High and Low: if the raw value equals 0, replace it with the same-day Close; otherwise retain the raw value.</t>
        </is>
      </c>
      <c r="R63" s="5" t="n">
        <v>1.58</v>
      </c>
      <c r="S63" s="8" t="n">
        <v>0</v>
      </c>
      <c r="T63" s="5" t="n">
        <v>0</v>
      </c>
      <c r="U63" s="9" t="n">
        <v>255352403.1</v>
      </c>
      <c r="V63" s="8" t="n"/>
      <c r="W63" s="5" t="n">
        <v>1.58</v>
      </c>
      <c r="X63" s="8" t="n">
        <v>0.06756756756756754</v>
      </c>
    </row>
    <row r="64">
      <c r="A64" s="4" t="n">
        <v>45925</v>
      </c>
      <c r="B64" t="inlineStr">
        <is>
          <t>PSQ</t>
        </is>
      </c>
      <c r="C64" t="inlineStr">
        <is>
          <t>Pacific Smiles Group Limited</t>
        </is>
      </c>
      <c r="D64" s="5" t="n">
        <v>1.625</v>
      </c>
      <c r="E64" s="5" t="n">
        <v>1.625</v>
      </c>
      <c r="F64" s="5" t="n">
        <v>1.525</v>
      </c>
      <c r="G64" s="5" t="n">
        <v>1.525</v>
      </c>
      <c r="H64" s="5" t="n">
        <v>980</v>
      </c>
      <c r="I64" s="6" t="n">
        <v>161615445</v>
      </c>
      <c r="J64" s="6" t="n"/>
      <c r="K64" s="7" t="n"/>
      <c r="L64" s="5" t="n">
        <v>1.625</v>
      </c>
      <c r="M64" s="5" t="n">
        <v>1.625</v>
      </c>
      <c r="N64" s="5" t="n">
        <v>1.525</v>
      </c>
      <c r="O64" t="inlineStr">
        <is>
          <t>No</t>
        </is>
      </c>
      <c r="P64" t="inlineStr">
        <is>
          <t>No</t>
        </is>
      </c>
      <c r="Q64" t="inlineStr">
        <is>
          <t>For each of Open, High and Low: if the raw value equals 0, replace it with the same-day Close; otherwise retain the raw value.</t>
        </is>
      </c>
      <c r="R64" s="5" t="n">
        <v>1.58</v>
      </c>
      <c r="S64" s="8" t="n">
        <v>-0.03481012658227856</v>
      </c>
      <c r="T64" s="5" t="n">
        <v>-0.05500000000000016</v>
      </c>
      <c r="U64" s="9" t="n">
        <v>246463553.625</v>
      </c>
      <c r="V64" s="8" t="n"/>
      <c r="W64" s="5" t="n">
        <v>1.569</v>
      </c>
      <c r="X64" s="8" t="n">
        <v>0.03040540540540526</v>
      </c>
    </row>
    <row r="65">
      <c r="A65" s="4" t="n">
        <v>45926</v>
      </c>
      <c r="B65" t="inlineStr">
        <is>
          <t>PSQ</t>
        </is>
      </c>
      <c r="C65" t="inlineStr">
        <is>
          <t>Pacific Smiles Group Limited</t>
        </is>
      </c>
      <c r="D65" s="5" t="n">
        <v>0</v>
      </c>
      <c r="E65" s="5" t="n">
        <v>0</v>
      </c>
      <c r="F65" s="5" t="n">
        <v>0</v>
      </c>
      <c r="G65" s="5" t="n">
        <v>1.525</v>
      </c>
      <c r="H65" s="5" t="n">
        <v>0</v>
      </c>
      <c r="I65" s="6" t="n">
        <v>161615445</v>
      </c>
      <c r="J65" s="6" t="n"/>
      <c r="K65" s="7" t="n"/>
      <c r="L65" s="5" t="n">
        <v>1.525</v>
      </c>
      <c r="M65" s="5" t="n">
        <v>1.525</v>
      </c>
      <c r="N65" s="5" t="n">
        <v>1.525</v>
      </c>
      <c r="O65" t="inlineStr">
        <is>
          <t>Yes</t>
        </is>
      </c>
      <c r="P65" t="inlineStr">
        <is>
          <t>Yes</t>
        </is>
      </c>
      <c r="Q65" t="inlineStr">
        <is>
          <t>For each of Open, High and Low: if the raw value equals 0, replace it with the same-day Close; otherwise retain the raw value.</t>
        </is>
      </c>
      <c r="R65" s="5" t="n">
        <v>1.525</v>
      </c>
      <c r="S65" s="8" t="n">
        <v>0</v>
      </c>
      <c r="T65" s="5" t="n">
        <v>0</v>
      </c>
      <c r="U65" s="9" t="n">
        <v>246463553.625</v>
      </c>
      <c r="V65" s="8" t="n"/>
      <c r="W65" s="5" t="n">
        <v>1.558</v>
      </c>
      <c r="X65" s="8" t="n">
        <v>0.03040540540540526</v>
      </c>
    </row>
    <row r="66">
      <c r="A66" s="4" t="n">
        <v>45929</v>
      </c>
      <c r="B66" t="inlineStr">
        <is>
          <t>PSQ</t>
        </is>
      </c>
      <c r="C66" t="inlineStr">
        <is>
          <t>Pacific Smiles Group Limited</t>
        </is>
      </c>
      <c r="D66" s="5" t="n">
        <v>0</v>
      </c>
      <c r="E66" s="5" t="n">
        <v>0</v>
      </c>
      <c r="F66" s="5" t="n">
        <v>0</v>
      </c>
      <c r="G66" s="5" t="n">
        <v>1.525</v>
      </c>
      <c r="H66" s="5" t="n">
        <v>0</v>
      </c>
      <c r="I66" s="6" t="n">
        <v>161615445</v>
      </c>
      <c r="J66" s="6" t="n"/>
      <c r="K66" s="7" t="n"/>
      <c r="L66" s="5" t="n">
        <v>1.525</v>
      </c>
      <c r="M66" s="5" t="n">
        <v>1.525</v>
      </c>
      <c r="N66" s="5" t="n">
        <v>1.525</v>
      </c>
      <c r="O66" t="inlineStr">
        <is>
          <t>Yes</t>
        </is>
      </c>
      <c r="P66" t="inlineStr">
        <is>
          <t>Yes</t>
        </is>
      </c>
      <c r="Q66" t="inlineStr">
        <is>
          <t>For each of Open, High and Low: if the raw value equals 0, replace it with the same-day Close; otherwise retain the raw value.</t>
        </is>
      </c>
      <c r="R66" s="5" t="n">
        <v>1.525</v>
      </c>
      <c r="S66" s="8" t="n">
        <v>0</v>
      </c>
      <c r="T66" s="5" t="n">
        <v>0</v>
      </c>
      <c r="U66" s="9" t="n">
        <v>246463553.625</v>
      </c>
      <c r="V66" s="8" t="n"/>
      <c r="W66" s="5" t="n">
        <v>1.547</v>
      </c>
      <c r="X66" s="8" t="n">
        <v>0.03040540540540526</v>
      </c>
    </row>
    <row r="67">
      <c r="A67" s="4" t="n">
        <v>45930</v>
      </c>
      <c r="B67" t="inlineStr">
        <is>
          <t>PSQ</t>
        </is>
      </c>
      <c r="C67" t="inlineStr">
        <is>
          <t>Pacific Smiles Group Limited</t>
        </is>
      </c>
      <c r="D67" s="5" t="n">
        <v>0</v>
      </c>
      <c r="E67" s="5" t="n">
        <v>0</v>
      </c>
      <c r="F67" s="5" t="n">
        <v>0</v>
      </c>
      <c r="G67" s="5" t="n">
        <v>1.525</v>
      </c>
      <c r="H67" s="5" t="n">
        <v>0</v>
      </c>
      <c r="I67" s="6" t="n">
        <v>161615445</v>
      </c>
      <c r="J67" s="6" t="n"/>
      <c r="K67" s="7" t="n"/>
      <c r="L67" s="5" t="n">
        <v>1.525</v>
      </c>
      <c r="M67" s="5" t="n">
        <v>1.525</v>
      </c>
      <c r="N67" s="5" t="n">
        <v>1.525</v>
      </c>
      <c r="O67" t="inlineStr">
        <is>
          <t>Yes</t>
        </is>
      </c>
      <c r="P67" t="inlineStr">
        <is>
          <t>Yes</t>
        </is>
      </c>
      <c r="Q67" t="inlineStr">
        <is>
          <t>For each of Open, High and Low: if the raw value equals 0, replace it with the same-day Close; otherwise retain the raw value.</t>
        </is>
      </c>
      <c r="R67" s="5" t="n">
        <v>1.525</v>
      </c>
      <c r="S67" s="8" t="n">
        <v>0</v>
      </c>
      <c r="T67" s="5" t="n">
        <v>0</v>
      </c>
      <c r="U67" s="9" t="n">
        <v>246463553.625</v>
      </c>
      <c r="V67" s="8" t="n"/>
      <c r="W67" s="5" t="n">
        <v>1.536</v>
      </c>
      <c r="X67" s="8" t="n">
        <v>0.03040540540540526</v>
      </c>
    </row>
    <row r="68">
      <c r="A68" s="4" t="n">
        <v>45931</v>
      </c>
      <c r="B68" t="inlineStr">
        <is>
          <t>PSQ</t>
        </is>
      </c>
      <c r="C68" t="inlineStr">
        <is>
          <t>Pacific Smiles Group Limited</t>
        </is>
      </c>
      <c r="D68" s="5" t="n">
        <v>0</v>
      </c>
      <c r="E68" s="5" t="n">
        <v>0</v>
      </c>
      <c r="F68" s="5" t="n">
        <v>0</v>
      </c>
      <c r="G68" s="5" t="n">
        <v>1.525</v>
      </c>
      <c r="H68" s="5" t="n">
        <v>0</v>
      </c>
      <c r="I68" s="6" t="n">
        <v>161615445</v>
      </c>
      <c r="J68" s="6" t="n"/>
      <c r="K68" s="7" t="n"/>
      <c r="L68" s="5" t="n">
        <v>1.525</v>
      </c>
      <c r="M68" s="5" t="n">
        <v>1.525</v>
      </c>
      <c r="N68" s="5" t="n">
        <v>1.525</v>
      </c>
      <c r="O68" t="inlineStr">
        <is>
          <t>Yes</t>
        </is>
      </c>
      <c r="P68" t="inlineStr">
        <is>
          <t>Yes</t>
        </is>
      </c>
      <c r="Q68" t="inlineStr">
        <is>
          <t>For each of Open, High and Low: if the raw value equals 0, replace it with the same-day Close; otherwise retain the raw value.</t>
        </is>
      </c>
      <c r="R68" s="5" t="n">
        <v>1.525</v>
      </c>
      <c r="S68" s="8" t="n">
        <v>0</v>
      </c>
      <c r="T68" s="5" t="n">
        <v>0</v>
      </c>
      <c r="U68" s="9" t="n">
        <v>246463553.625</v>
      </c>
      <c r="V68" s="8" t="n"/>
      <c r="W68" s="5" t="n">
        <v>1.525</v>
      </c>
      <c r="X68" s="8" t="n">
        <v>0.03040540540540526</v>
      </c>
    </row>
    <row r="69">
      <c r="A69" s="4" t="n">
        <v>45932</v>
      </c>
      <c r="B69" t="inlineStr">
        <is>
          <t>PSQ</t>
        </is>
      </c>
      <c r="C69" t="inlineStr">
        <is>
          <t>Pacific Smiles Group Limited</t>
        </is>
      </c>
      <c r="D69" s="5" t="n">
        <v>0</v>
      </c>
      <c r="E69" s="5" t="n">
        <v>0</v>
      </c>
      <c r="F69" s="5" t="n">
        <v>0</v>
      </c>
      <c r="G69" s="5" t="n">
        <v>1.525</v>
      </c>
      <c r="H69" s="5" t="n">
        <v>0</v>
      </c>
      <c r="I69" s="6" t="n">
        <v>161615445</v>
      </c>
      <c r="J69" s="6" t="n"/>
      <c r="K69" s="7" t="n"/>
      <c r="L69" s="5" t="n">
        <v>1.525</v>
      </c>
      <c r="M69" s="5" t="n">
        <v>1.525</v>
      </c>
      <c r="N69" s="5" t="n">
        <v>1.525</v>
      </c>
      <c r="O69" t="inlineStr">
        <is>
          <t>Yes</t>
        </is>
      </c>
      <c r="P69" t="inlineStr">
        <is>
          <t>Yes</t>
        </is>
      </c>
      <c r="Q69" t="inlineStr">
        <is>
          <t>For each of Open, High and Low: if the raw value equals 0, replace it with the same-day Close; otherwise retain the raw value.</t>
        </is>
      </c>
      <c r="R69" s="5" t="n">
        <v>1.525</v>
      </c>
      <c r="S69" s="8" t="n">
        <v>0</v>
      </c>
      <c r="T69" s="5" t="n">
        <v>0</v>
      </c>
      <c r="U69" s="9" t="n">
        <v>246463553.625</v>
      </c>
      <c r="V69" s="8" t="n"/>
      <c r="W69" s="5" t="n">
        <v>1.525</v>
      </c>
      <c r="X69" s="8" t="n">
        <v>0.03040540540540526</v>
      </c>
    </row>
    <row r="70">
      <c r="A70" s="4" t="n">
        <v>45933</v>
      </c>
      <c r="B70" t="inlineStr">
        <is>
          <t>PSQ</t>
        </is>
      </c>
      <c r="C70" t="inlineStr">
        <is>
          <t>Pacific Smiles Group Limited</t>
        </is>
      </c>
      <c r="D70" s="5" t="n">
        <v>1.6</v>
      </c>
      <c r="E70" s="5" t="n">
        <v>1.6</v>
      </c>
      <c r="F70" s="5" t="n">
        <v>1.6</v>
      </c>
      <c r="G70" s="5" t="n">
        <v>1.6</v>
      </c>
      <c r="H70" s="5" t="n">
        <v>8</v>
      </c>
      <c r="I70" s="6" t="n">
        <v>161615445</v>
      </c>
      <c r="J70" s="6" t="n"/>
      <c r="K70" s="7" t="n"/>
      <c r="L70" s="5" t="n">
        <v>1.6</v>
      </c>
      <c r="M70" s="5" t="n">
        <v>1.6</v>
      </c>
      <c r="N70" s="5" t="n">
        <v>1.6</v>
      </c>
      <c r="O70" t="inlineStr">
        <is>
          <t>No</t>
        </is>
      </c>
      <c r="P70" t="inlineStr">
        <is>
          <t>No</t>
        </is>
      </c>
      <c r="Q70" t="inlineStr">
        <is>
          <t>For each of Open, High and Low: if the raw value equals 0, replace it with the same-day Close; otherwise retain the raw value.</t>
        </is>
      </c>
      <c r="R70" s="5" t="n">
        <v>1.525</v>
      </c>
      <c r="S70" s="8" t="n">
        <v>0.04918032786885251</v>
      </c>
      <c r="T70" s="5" t="n">
        <v>0.07500000000000018</v>
      </c>
      <c r="U70" s="9" t="n">
        <v>258584712</v>
      </c>
      <c r="V70" s="8" t="n"/>
      <c r="W70" s="5" t="n">
        <v>1.54</v>
      </c>
      <c r="X70" s="8" t="n">
        <v>0.08108108108108114</v>
      </c>
    </row>
    <row r="71">
      <c r="A71" s="4" t="n">
        <v>45936</v>
      </c>
      <c r="B71" t="inlineStr">
        <is>
          <t>PSQ</t>
        </is>
      </c>
      <c r="C71" t="inlineStr">
        <is>
          <t>Pacific Smiles Group Limited</t>
        </is>
      </c>
      <c r="D71" s="5" t="n">
        <v>1.6</v>
      </c>
      <c r="E71" s="5" t="n">
        <v>1.6</v>
      </c>
      <c r="F71" s="5" t="n">
        <v>1.6</v>
      </c>
      <c r="G71" s="5" t="n">
        <v>1.6</v>
      </c>
      <c r="H71" s="5" t="n">
        <v>350</v>
      </c>
      <c r="I71" s="6" t="n">
        <v>161615445</v>
      </c>
      <c r="J71" s="6" t="n"/>
      <c r="K71" s="7" t="n"/>
      <c r="L71" s="5" t="n">
        <v>1.6</v>
      </c>
      <c r="M71" s="5" t="n">
        <v>1.6</v>
      </c>
      <c r="N71" s="5" t="n">
        <v>1.6</v>
      </c>
      <c r="O71" t="inlineStr">
        <is>
          <t>No</t>
        </is>
      </c>
      <c r="P71" t="inlineStr">
        <is>
          <t>No</t>
        </is>
      </c>
      <c r="Q71" t="inlineStr">
        <is>
          <t>For each of Open, High and Low: if the raw value equals 0, replace it with the same-day Close; otherwise retain the raw value.</t>
        </is>
      </c>
      <c r="R71" s="5" t="n">
        <v>1.6</v>
      </c>
      <c r="S71" s="8" t="n">
        <v>0</v>
      </c>
      <c r="T71" s="5" t="n">
        <v>0</v>
      </c>
      <c r="U71" s="9" t="n">
        <v>258584712</v>
      </c>
      <c r="V71" s="8" t="n"/>
      <c r="W71" s="5" t="n">
        <v>1.555</v>
      </c>
      <c r="X71" s="8" t="n">
        <v>0.08108108108108114</v>
      </c>
    </row>
    <row r="72">
      <c r="A72" s="4" t="n">
        <v>45937</v>
      </c>
      <c r="B72" t="inlineStr">
        <is>
          <t>PSQ</t>
        </is>
      </c>
      <c r="C72" t="inlineStr">
        <is>
          <t>Pacific Smiles Group Limited</t>
        </is>
      </c>
      <c r="D72" s="5" t="n">
        <v>0</v>
      </c>
      <c r="E72" s="5" t="n">
        <v>0</v>
      </c>
      <c r="F72" s="5" t="n">
        <v>0</v>
      </c>
      <c r="G72" s="5" t="n">
        <v>1.6</v>
      </c>
      <c r="H72" s="5" t="n">
        <v>0</v>
      </c>
      <c r="I72" s="6" t="n">
        <v>161615445</v>
      </c>
      <c r="J72" s="6" t="n"/>
      <c r="K72" s="7" t="n"/>
      <c r="L72" s="5" t="n">
        <v>1.6</v>
      </c>
      <c r="M72" s="5" t="n">
        <v>1.6</v>
      </c>
      <c r="N72" s="5" t="n">
        <v>1.6</v>
      </c>
      <c r="O72" t="inlineStr">
        <is>
          <t>Yes</t>
        </is>
      </c>
      <c r="P72" t="inlineStr">
        <is>
          <t>Yes</t>
        </is>
      </c>
      <c r="Q72" t="inlineStr">
        <is>
          <t>For each of Open, High and Low: if the raw value equals 0, replace it with the same-day Close; otherwise retain the raw value.</t>
        </is>
      </c>
      <c r="R72" s="5" t="n">
        <v>1.6</v>
      </c>
      <c r="S72" s="8" t="n">
        <v>0</v>
      </c>
      <c r="T72" s="5" t="n">
        <v>0</v>
      </c>
      <c r="U72" s="9" t="n">
        <v>258584712</v>
      </c>
      <c r="V72" s="8" t="n"/>
      <c r="W72" s="5" t="n">
        <v>1.57</v>
      </c>
      <c r="X72" s="8" t="n">
        <v>0.08108108108108114</v>
      </c>
    </row>
    <row r="73">
      <c r="A73" s="4" t="n">
        <v>45938</v>
      </c>
      <c r="B73" t="inlineStr">
        <is>
          <t>PSQ</t>
        </is>
      </c>
      <c r="C73" t="inlineStr">
        <is>
          <t>Pacific Smiles Group Limited</t>
        </is>
      </c>
      <c r="D73" s="5" t="n">
        <v>0</v>
      </c>
      <c r="E73" s="5" t="n">
        <v>0</v>
      </c>
      <c r="F73" s="5" t="n">
        <v>0</v>
      </c>
      <c r="G73" s="5" t="n">
        <v>1.6</v>
      </c>
      <c r="H73" s="5" t="n">
        <v>0</v>
      </c>
      <c r="I73" s="6" t="n">
        <v>161615445</v>
      </c>
      <c r="J73" s="6" t="n"/>
      <c r="K73" s="7" t="n"/>
      <c r="L73" s="5" t="n">
        <v>1.6</v>
      </c>
      <c r="M73" s="5" t="n">
        <v>1.6</v>
      </c>
      <c r="N73" s="5" t="n">
        <v>1.6</v>
      </c>
      <c r="O73" t="inlineStr">
        <is>
          <t>Yes</t>
        </is>
      </c>
      <c r="P73" t="inlineStr">
        <is>
          <t>Yes</t>
        </is>
      </c>
      <c r="Q73" t="inlineStr">
        <is>
          <t>For each of Open, High and Low: if the raw value equals 0, replace it with the same-day Close; otherwise retain the raw value.</t>
        </is>
      </c>
      <c r="R73" s="5" t="n">
        <v>1.6</v>
      </c>
      <c r="S73" s="8" t="n">
        <v>0</v>
      </c>
      <c r="T73" s="5" t="n">
        <v>0</v>
      </c>
      <c r="U73" s="9" t="n">
        <v>258584712</v>
      </c>
      <c r="V73" s="8" t="n"/>
      <c r="W73" s="5" t="n">
        <v>1.585</v>
      </c>
      <c r="X73" s="8" t="n">
        <v>0.08108108108108114</v>
      </c>
    </row>
    <row r="74">
      <c r="A74" s="4" t="n">
        <v>45939</v>
      </c>
      <c r="B74" t="inlineStr">
        <is>
          <t>PSQ</t>
        </is>
      </c>
      <c r="C74" t="inlineStr">
        <is>
          <t>Pacific Smiles Group Limited</t>
        </is>
      </c>
      <c r="D74" s="5" t="n">
        <v>0</v>
      </c>
      <c r="E74" s="5" t="n">
        <v>0</v>
      </c>
      <c r="F74" s="5" t="n">
        <v>0</v>
      </c>
      <c r="G74" s="5" t="n">
        <v>1.6</v>
      </c>
      <c r="H74" s="5" t="n">
        <v>0</v>
      </c>
      <c r="I74" s="6" t="n">
        <v>161615445</v>
      </c>
      <c r="J74" s="6" t="n"/>
      <c r="K74" s="7" t="n"/>
      <c r="L74" s="5" t="n">
        <v>1.6</v>
      </c>
      <c r="M74" s="5" t="n">
        <v>1.6</v>
      </c>
      <c r="N74" s="5" t="n">
        <v>1.6</v>
      </c>
      <c r="O74" t="inlineStr">
        <is>
          <t>Yes</t>
        </is>
      </c>
      <c r="P74" t="inlineStr">
        <is>
          <t>Yes</t>
        </is>
      </c>
      <c r="Q74" t="inlineStr">
        <is>
          <t>For each of Open, High and Low: if the raw value equals 0, replace it with the same-day Close; otherwise retain the raw value.</t>
        </is>
      </c>
      <c r="R74" s="5" t="n">
        <v>1.6</v>
      </c>
      <c r="S74" s="8" t="n">
        <v>0</v>
      </c>
      <c r="T74" s="5" t="n">
        <v>0</v>
      </c>
      <c r="U74" s="9" t="n">
        <v>258584712</v>
      </c>
      <c r="V74" s="8" t="n"/>
      <c r="W74" s="5" t="n">
        <v>1.6</v>
      </c>
      <c r="X74" s="8" t="n">
        <v>0.08108108108108114</v>
      </c>
    </row>
    <row r="75">
      <c r="A75" s="4" t="n">
        <v>45940</v>
      </c>
      <c r="B75" t="inlineStr">
        <is>
          <t>PSQ</t>
        </is>
      </c>
      <c r="C75" t="inlineStr">
        <is>
          <t>Pacific Smiles Group Limited</t>
        </is>
      </c>
      <c r="D75" s="5" t="n">
        <v>0</v>
      </c>
      <c r="E75" s="5" t="n">
        <v>0</v>
      </c>
      <c r="F75" s="5" t="n">
        <v>0</v>
      </c>
      <c r="G75" s="5" t="n">
        <v>1.6</v>
      </c>
      <c r="H75" s="5" t="n">
        <v>0</v>
      </c>
      <c r="I75" s="6" t="n">
        <v>161615445</v>
      </c>
      <c r="J75" s="6" t="n"/>
      <c r="K75" s="7" t="n"/>
      <c r="L75" s="5" t="n">
        <v>1.6</v>
      </c>
      <c r="M75" s="5" t="n">
        <v>1.6</v>
      </c>
      <c r="N75" s="5" t="n">
        <v>1.6</v>
      </c>
      <c r="O75" t="inlineStr">
        <is>
          <t>Yes</t>
        </is>
      </c>
      <c r="P75" t="inlineStr">
        <is>
          <t>Yes</t>
        </is>
      </c>
      <c r="Q75" t="inlineStr">
        <is>
          <t>For each of Open, High and Low: if the raw value equals 0, replace it with the same-day Close; otherwise retain the raw value.</t>
        </is>
      </c>
      <c r="R75" s="5" t="n">
        <v>1.6</v>
      </c>
      <c r="S75" s="8" t="n">
        <v>0</v>
      </c>
      <c r="T75" s="5" t="n">
        <v>0</v>
      </c>
      <c r="U75" s="9" t="n">
        <v>258584712</v>
      </c>
      <c r="V75" s="8" t="n"/>
      <c r="W75" s="5" t="n">
        <v>1.6</v>
      </c>
      <c r="X75" s="8" t="n">
        <v>0.08108108108108114</v>
      </c>
    </row>
    <row r="76">
      <c r="A76" s="4" t="n">
        <v>45943</v>
      </c>
      <c r="B76" t="inlineStr">
        <is>
          <t>PSQ</t>
        </is>
      </c>
      <c r="C76" t="inlineStr">
        <is>
          <t>Pacific Smiles Group Limited</t>
        </is>
      </c>
      <c r="D76" s="5" t="n">
        <v>2.185</v>
      </c>
      <c r="E76" s="5" t="n">
        <v>2.19</v>
      </c>
      <c r="F76" s="5" t="n">
        <v>2.18</v>
      </c>
      <c r="G76" s="5" t="n">
        <v>2.18</v>
      </c>
      <c r="H76" s="5" t="n">
        <v>23082</v>
      </c>
      <c r="I76" s="6" t="n">
        <v>161615445</v>
      </c>
      <c r="J76" s="6" t="n"/>
      <c r="K76" s="7" t="n"/>
      <c r="L76" s="5" t="n">
        <v>2.185</v>
      </c>
      <c r="M76" s="5" t="n">
        <v>2.19</v>
      </c>
      <c r="N76" s="5" t="n">
        <v>2.18</v>
      </c>
      <c r="O76" t="inlineStr">
        <is>
          <t>No</t>
        </is>
      </c>
      <c r="P76" t="inlineStr">
        <is>
          <t>No</t>
        </is>
      </c>
      <c r="Q76" t="inlineStr">
        <is>
          <t>For each of Open, High and Low: if the raw value equals 0, replace it with the same-day Close; otherwise retain the raw value.</t>
        </is>
      </c>
      <c r="R76" s="5" t="n">
        <v>1.6</v>
      </c>
      <c r="S76" s="8" t="n">
        <v>0.3625</v>
      </c>
      <c r="T76" s="5" t="n">
        <v>0.5800000000000001</v>
      </c>
      <c r="U76" s="9" t="n">
        <v>352321670.1</v>
      </c>
      <c r="V76" s="8" t="n"/>
      <c r="W76" s="5" t="n">
        <v>1.716</v>
      </c>
      <c r="X76" s="8" t="n">
        <v>0.472972972972973</v>
      </c>
    </row>
    <row r="77">
      <c r="A77" s="4" t="n">
        <v>45944</v>
      </c>
      <c r="B77" t="inlineStr">
        <is>
          <t>PSQ</t>
        </is>
      </c>
      <c r="C77" t="inlineStr">
        <is>
          <t>Pacific Smiles Group Limited</t>
        </is>
      </c>
      <c r="D77" s="5" t="n">
        <v>2.18</v>
      </c>
      <c r="E77" s="5" t="n">
        <v>2.19</v>
      </c>
      <c r="F77" s="5" t="n">
        <v>2.18</v>
      </c>
      <c r="G77" s="5" t="n">
        <v>2.18</v>
      </c>
      <c r="H77" s="5" t="n">
        <v>2881</v>
      </c>
      <c r="I77" s="6" t="n">
        <v>161615445</v>
      </c>
      <c r="J77" s="6" t="n"/>
      <c r="K77" s="7" t="n"/>
      <c r="L77" s="5" t="n">
        <v>2.18</v>
      </c>
      <c r="M77" s="5" t="n">
        <v>2.19</v>
      </c>
      <c r="N77" s="5" t="n">
        <v>2.18</v>
      </c>
      <c r="O77" t="inlineStr">
        <is>
          <t>No</t>
        </is>
      </c>
      <c r="P77" t="inlineStr">
        <is>
          <t>No</t>
        </is>
      </c>
      <c r="Q77" t="inlineStr">
        <is>
          <t>For each of Open, High and Low: if the raw value equals 0, replace it with the same-day Close; otherwise retain the raw value.</t>
        </is>
      </c>
      <c r="R77" s="5" t="n">
        <v>2.18</v>
      </c>
      <c r="S77" s="8" t="n">
        <v>0</v>
      </c>
      <c r="T77" s="5" t="n">
        <v>0</v>
      </c>
      <c r="U77" s="9" t="n">
        <v>352321670.1</v>
      </c>
      <c r="V77" s="8" t="n"/>
      <c r="W77" s="5" t="n">
        <v>1.832</v>
      </c>
      <c r="X77" s="8" t="n">
        <v>0.472972972972973</v>
      </c>
    </row>
    <row r="78">
      <c r="A78" s="4" t="n">
        <v>45945</v>
      </c>
      <c r="B78" t="inlineStr">
        <is>
          <t>PSQ</t>
        </is>
      </c>
      <c r="C78" t="inlineStr">
        <is>
          <t>Pacific Smiles Group Limited</t>
        </is>
      </c>
      <c r="D78" s="5" t="n">
        <v>2.19</v>
      </c>
      <c r="E78" s="5" t="n">
        <v>2.19</v>
      </c>
      <c r="F78" s="5" t="n">
        <v>2.19</v>
      </c>
      <c r="G78" s="5" t="n">
        <v>2.19</v>
      </c>
      <c r="H78" s="5" t="n">
        <v>8</v>
      </c>
      <c r="I78" s="6" t="n">
        <v>161615445</v>
      </c>
      <c r="J78" s="6" t="n"/>
      <c r="K78" s="7" t="n"/>
      <c r="L78" s="5" t="n">
        <v>2.19</v>
      </c>
      <c r="M78" s="5" t="n">
        <v>2.19</v>
      </c>
      <c r="N78" s="5" t="n">
        <v>2.19</v>
      </c>
      <c r="O78" t="inlineStr">
        <is>
          <t>No</t>
        </is>
      </c>
      <c r="P78" t="inlineStr">
        <is>
          <t>No</t>
        </is>
      </c>
      <c r="Q78" t="inlineStr">
        <is>
          <t>For each of Open, High and Low: if the raw value equals 0, replace it with the same-day Close; otherwise retain the raw value.</t>
        </is>
      </c>
      <c r="R78" s="5" t="n">
        <v>2.18</v>
      </c>
      <c r="S78" s="8" t="n">
        <v>0.004587155963302614</v>
      </c>
      <c r="T78" s="5" t="n">
        <v>0.009999999999999787</v>
      </c>
      <c r="U78" s="9" t="n">
        <v>353937824.55</v>
      </c>
      <c r="V78" s="8" t="n"/>
      <c r="W78" s="5" t="n">
        <v>1.95</v>
      </c>
      <c r="X78" s="8" t="n">
        <v>0.4797297297297296</v>
      </c>
    </row>
    <row r="79">
      <c r="A79" s="4" t="n">
        <v>45946</v>
      </c>
      <c r="B79" t="inlineStr">
        <is>
          <t>PSQ</t>
        </is>
      </c>
      <c r="C79" t="inlineStr">
        <is>
          <t>Pacific Smiles Group Limited</t>
        </is>
      </c>
      <c r="D79" s="5" t="n">
        <v>0</v>
      </c>
      <c r="E79" s="5" t="n">
        <v>0</v>
      </c>
      <c r="F79" s="5" t="n">
        <v>0</v>
      </c>
      <c r="G79" s="5" t="n">
        <v>2.19</v>
      </c>
      <c r="H79" s="5" t="n">
        <v>0</v>
      </c>
      <c r="I79" s="6" t="n">
        <v>161615445</v>
      </c>
      <c r="J79" s="6" t="n"/>
      <c r="K79" s="7" t="n"/>
      <c r="L79" s="5" t="n">
        <v>2.19</v>
      </c>
      <c r="M79" s="5" t="n">
        <v>2.19</v>
      </c>
      <c r="N79" s="5" t="n">
        <v>2.19</v>
      </c>
      <c r="O79" t="inlineStr">
        <is>
          <t>Yes</t>
        </is>
      </c>
      <c r="P79" t="inlineStr">
        <is>
          <t>Yes</t>
        </is>
      </c>
      <c r="Q79" t="inlineStr">
        <is>
          <t>For each of Open, High and Low: if the raw value equals 0, replace it with the same-day Close; otherwise retain the raw value.</t>
        </is>
      </c>
      <c r="R79" s="5" t="n">
        <v>2.19</v>
      </c>
      <c r="S79" s="8" t="n">
        <v>0</v>
      </c>
      <c r="T79" s="5" t="n">
        <v>0</v>
      </c>
      <c r="U79" s="9" t="n">
        <v>353937824.55</v>
      </c>
      <c r="V79" s="8" t="n"/>
      <c r="W79" s="5" t="n">
        <v>2.068</v>
      </c>
      <c r="X79" s="8" t="n">
        <v>0.4797297297297296</v>
      </c>
    </row>
    <row r="80">
      <c r="A80" s="4" t="n">
        <v>45947</v>
      </c>
      <c r="B80" t="inlineStr">
        <is>
          <t>PSQ</t>
        </is>
      </c>
      <c r="C80" t="inlineStr">
        <is>
          <t>Pacific Smiles Group Limited</t>
        </is>
      </c>
      <c r="D80" s="5" t="n">
        <v>2.19</v>
      </c>
      <c r="E80" s="5" t="n">
        <v>2.19</v>
      </c>
      <c r="F80" s="5" t="n">
        <v>2.18</v>
      </c>
      <c r="G80" s="5" t="n">
        <v>2.18</v>
      </c>
      <c r="H80" s="5" t="n">
        <v>17</v>
      </c>
      <c r="I80" s="6" t="n">
        <v>161615445</v>
      </c>
      <c r="J80" s="6" t="n"/>
      <c r="K80" s="7" t="n"/>
      <c r="L80" s="5" t="n">
        <v>2.19</v>
      </c>
      <c r="M80" s="5" t="n">
        <v>2.19</v>
      </c>
      <c r="N80" s="5" t="n">
        <v>2.18</v>
      </c>
      <c r="O80" t="inlineStr">
        <is>
          <t>No</t>
        </is>
      </c>
      <c r="P80" t="inlineStr">
        <is>
          <t>No</t>
        </is>
      </c>
      <c r="Q80" t="inlineStr">
        <is>
          <t>For each of Open, High and Low: if the raw value equals 0, replace it with the same-day Close; otherwise retain the raw value.</t>
        </is>
      </c>
      <c r="R80" s="5" t="n">
        <v>2.19</v>
      </c>
      <c r="S80" s="8" t="n">
        <v>-0.004566210045662045</v>
      </c>
      <c r="T80" s="5" t="n">
        <v>-0.009999999999999787</v>
      </c>
      <c r="U80" s="9" t="n">
        <v>352321670.1</v>
      </c>
      <c r="V80" s="8" t="n"/>
      <c r="W80" s="5" t="n">
        <v>2.184</v>
      </c>
      <c r="X80" s="8" t="n">
        <v>0.472972972972973</v>
      </c>
    </row>
    <row r="81">
      <c r="A81" s="4" t="n">
        <v>45950</v>
      </c>
      <c r="B81" t="inlineStr">
        <is>
          <t>PSQ</t>
        </is>
      </c>
      <c r="C81" t="inlineStr">
        <is>
          <t>Pacific Smiles Group Limited</t>
        </is>
      </c>
      <c r="D81" s="5" t="n">
        <v>2.19</v>
      </c>
      <c r="E81" s="5" t="n">
        <v>2.19</v>
      </c>
      <c r="F81" s="5" t="n">
        <v>2.18</v>
      </c>
      <c r="G81" s="5" t="n">
        <v>2.18</v>
      </c>
      <c r="H81" s="5" t="n">
        <v>2</v>
      </c>
      <c r="I81" s="6" t="n">
        <v>161615445</v>
      </c>
      <c r="J81" s="6" t="n"/>
      <c r="K81" s="7" t="n"/>
      <c r="L81" s="5" t="n">
        <v>2.19</v>
      </c>
      <c r="M81" s="5" t="n">
        <v>2.19</v>
      </c>
      <c r="N81" s="5" t="n">
        <v>2.18</v>
      </c>
      <c r="O81" t="inlineStr">
        <is>
          <t>No</t>
        </is>
      </c>
      <c r="P81" t="inlineStr">
        <is>
          <t>No</t>
        </is>
      </c>
      <c r="Q81" t="inlineStr">
        <is>
          <t>For each of Open, High and Low: if the raw value equals 0, replace it with the same-day Close; otherwise retain the raw value.</t>
        </is>
      </c>
      <c r="R81" s="5" t="n">
        <v>2.18</v>
      </c>
      <c r="S81" s="8" t="n">
        <v>0</v>
      </c>
      <c r="T81" s="5" t="n">
        <v>0</v>
      </c>
      <c r="U81" s="9" t="n">
        <v>352321670.1</v>
      </c>
      <c r="V81" s="8" t="n"/>
      <c r="W81" s="5" t="n">
        <v>2.184</v>
      </c>
      <c r="X81" s="8" t="n">
        <v>0.472972972972973</v>
      </c>
    </row>
    <row r="82">
      <c r="A82" s="4" t="n">
        <v>45951</v>
      </c>
      <c r="B82" t="inlineStr">
        <is>
          <t>PSQ</t>
        </is>
      </c>
      <c r="C82" t="inlineStr">
        <is>
          <t>Pacific Smiles Group Limited</t>
        </is>
      </c>
      <c r="D82" s="5" t="n">
        <v>2.18</v>
      </c>
      <c r="E82" s="5" t="n">
        <v>2.18</v>
      </c>
      <c r="F82" s="5" t="n">
        <v>2.18</v>
      </c>
      <c r="G82" s="5" t="n">
        <v>2.18</v>
      </c>
      <c r="H82" s="5" t="n">
        <v>37</v>
      </c>
      <c r="I82" s="6" t="n">
        <v>161615445</v>
      </c>
      <c r="J82" s="6" t="n"/>
      <c r="K82" s="7" t="n"/>
      <c r="L82" s="5" t="n">
        <v>2.18</v>
      </c>
      <c r="M82" s="5" t="n">
        <v>2.18</v>
      </c>
      <c r="N82" s="5" t="n">
        <v>2.18</v>
      </c>
      <c r="O82" t="inlineStr">
        <is>
          <t>No</t>
        </is>
      </c>
      <c r="P82" t="inlineStr">
        <is>
          <t>No</t>
        </is>
      </c>
      <c r="Q82" t="inlineStr">
        <is>
          <t>For each of Open, High and Low: if the raw value equals 0, replace it with the same-day Close; otherwise retain the raw value.</t>
        </is>
      </c>
      <c r="R82" s="5" t="n">
        <v>2.18</v>
      </c>
      <c r="S82" s="8" t="n">
        <v>0</v>
      </c>
      <c r="T82" s="5" t="n">
        <v>0</v>
      </c>
      <c r="U82" s="9" t="n">
        <v>352321670.1</v>
      </c>
      <c r="V82" s="8" t="n"/>
      <c r="W82" s="5" t="n">
        <v>2.184</v>
      </c>
      <c r="X82" s="8" t="n">
        <v>0.472972972972973</v>
      </c>
    </row>
    <row r="83">
      <c r="A83" s="4" t="n">
        <v>45952</v>
      </c>
      <c r="B83" t="inlineStr">
        <is>
          <t>PSQ</t>
        </is>
      </c>
      <c r="C83" t="inlineStr">
        <is>
          <t>Pacific Smiles Group Limited</t>
        </is>
      </c>
      <c r="D83" s="5" t="n">
        <v>2.19</v>
      </c>
      <c r="E83" s="5" t="n">
        <v>2.19</v>
      </c>
      <c r="F83" s="5" t="n">
        <v>2.19</v>
      </c>
      <c r="G83" s="5" t="n">
        <v>2.19</v>
      </c>
      <c r="H83" s="5" t="n">
        <v>5</v>
      </c>
      <c r="I83" s="6" t="n">
        <v>161615445</v>
      </c>
      <c r="J83" s="6" t="n"/>
      <c r="K83" s="7" t="n"/>
      <c r="L83" s="5" t="n">
        <v>2.19</v>
      </c>
      <c r="M83" s="5" t="n">
        <v>2.19</v>
      </c>
      <c r="N83" s="5" t="n">
        <v>2.19</v>
      </c>
      <c r="O83" t="inlineStr">
        <is>
          <t>No</t>
        </is>
      </c>
      <c r="P83" t="inlineStr">
        <is>
          <t>No</t>
        </is>
      </c>
      <c r="Q83" t="inlineStr">
        <is>
          <t>For each of Open, High and Low: if the raw value equals 0, replace it with the same-day Close; otherwise retain the raw value.</t>
        </is>
      </c>
      <c r="R83" s="5" t="n">
        <v>2.18</v>
      </c>
      <c r="S83" s="8" t="n">
        <v>0.004587155963302614</v>
      </c>
      <c r="T83" s="5" t="n">
        <v>0.009999999999999787</v>
      </c>
      <c r="U83" s="9" t="n">
        <v>353937824.55</v>
      </c>
      <c r="V83" s="8" t="n"/>
      <c r="W83" s="5" t="n">
        <v>2.184</v>
      </c>
      <c r="X83" s="8" t="n">
        <v>0.4797297297297296</v>
      </c>
    </row>
    <row r="84">
      <c r="A84" s="4" t="n">
        <v>45953</v>
      </c>
      <c r="B84" t="inlineStr">
        <is>
          <t>PSQ</t>
        </is>
      </c>
      <c r="C84" t="inlineStr">
        <is>
          <t>Pacific Smiles Group Limited</t>
        </is>
      </c>
      <c r="D84" s="5" t="n">
        <v>0</v>
      </c>
      <c r="E84" s="5" t="n">
        <v>0</v>
      </c>
      <c r="F84" s="5" t="n">
        <v>0</v>
      </c>
      <c r="G84" s="5" t="n">
        <v>2.19</v>
      </c>
      <c r="H84" s="5" t="n">
        <v>0</v>
      </c>
      <c r="I84" s="6" t="n">
        <v>161615445</v>
      </c>
      <c r="J84" s="6" t="n"/>
      <c r="K84" s="7" t="n"/>
      <c r="L84" s="5" t="n">
        <v>2.19</v>
      </c>
      <c r="M84" s="5" t="n">
        <v>2.19</v>
      </c>
      <c r="N84" s="5" t="n">
        <v>2.19</v>
      </c>
      <c r="O84" t="inlineStr">
        <is>
          <t>Yes</t>
        </is>
      </c>
      <c r="P84" t="inlineStr">
        <is>
          <t>Yes</t>
        </is>
      </c>
      <c r="Q84" t="inlineStr">
        <is>
          <t>For each of Open, High and Low: if the raw value equals 0, replace it with the same-day Close; otherwise retain the raw value.</t>
        </is>
      </c>
      <c r="R84" s="5" t="n">
        <v>2.19</v>
      </c>
      <c r="S84" s="8" t="n">
        <v>0</v>
      </c>
      <c r="T84" s="5" t="n">
        <v>0</v>
      </c>
      <c r="U84" s="9" t="n">
        <v>353937824.55</v>
      </c>
      <c r="V84" s="8" t="n"/>
      <c r="W84" s="5" t="n">
        <v>2.184</v>
      </c>
      <c r="X84" s="8" t="n">
        <v>0.4797297297297296</v>
      </c>
    </row>
    <row r="85">
      <c r="A85" s="4" t="n">
        <v>45954</v>
      </c>
      <c r="B85" t="inlineStr">
        <is>
          <t>PSQ</t>
        </is>
      </c>
      <c r="C85" t="inlineStr">
        <is>
          <t>Pacific Smiles Group Limited</t>
        </is>
      </c>
      <c r="D85" s="5" t="n">
        <v>2.19</v>
      </c>
      <c r="E85" s="5" t="n">
        <v>2.19</v>
      </c>
      <c r="F85" s="5" t="n">
        <v>2.18</v>
      </c>
      <c r="G85" s="5" t="n">
        <v>2.18</v>
      </c>
      <c r="H85" s="5" t="n">
        <v>5</v>
      </c>
      <c r="I85" s="6" t="n">
        <v>161615445</v>
      </c>
      <c r="J85" s="6" t="n"/>
      <c r="K85" s="7" t="n"/>
      <c r="L85" s="5" t="n">
        <v>2.19</v>
      </c>
      <c r="M85" s="5" t="n">
        <v>2.19</v>
      </c>
      <c r="N85" s="5" t="n">
        <v>2.18</v>
      </c>
      <c r="O85" t="inlineStr">
        <is>
          <t>No</t>
        </is>
      </c>
      <c r="P85" t="inlineStr">
        <is>
          <t>No</t>
        </is>
      </c>
      <c r="Q85" t="inlineStr">
        <is>
          <t>For each of Open, High and Low: if the raw value equals 0, replace it with the same-day Close; otherwise retain the raw value.</t>
        </is>
      </c>
      <c r="R85" s="5" t="n">
        <v>2.19</v>
      </c>
      <c r="S85" s="8" t="n">
        <v>-0.004566210045662045</v>
      </c>
      <c r="T85" s="5" t="n">
        <v>-0.009999999999999787</v>
      </c>
      <c r="U85" s="9" t="n">
        <v>352321670.1</v>
      </c>
      <c r="V85" s="8" t="n"/>
      <c r="W85" s="5" t="n">
        <v>2.184</v>
      </c>
      <c r="X85" s="8" t="n">
        <v>0.472972972972973</v>
      </c>
    </row>
    <row r="86">
      <c r="A86" s="4" t="n">
        <v>45957</v>
      </c>
      <c r="B86" t="inlineStr">
        <is>
          <t>PSQ</t>
        </is>
      </c>
      <c r="C86" t="inlineStr">
        <is>
          <t>Pacific Smiles Group Limited</t>
        </is>
      </c>
      <c r="D86" s="5" t="n">
        <v>2.19</v>
      </c>
      <c r="E86" s="5" t="n">
        <v>2.19</v>
      </c>
      <c r="F86" s="5" t="n">
        <v>2.18</v>
      </c>
      <c r="G86" s="5" t="n">
        <v>2.18</v>
      </c>
      <c r="H86" s="5" t="n">
        <v>2</v>
      </c>
      <c r="I86" s="6" t="n">
        <v>161615445</v>
      </c>
      <c r="J86" s="6" t="n"/>
      <c r="K86" s="7" t="n"/>
      <c r="L86" s="5" t="n">
        <v>2.19</v>
      </c>
      <c r="M86" s="5" t="n">
        <v>2.19</v>
      </c>
      <c r="N86" s="5" t="n">
        <v>2.18</v>
      </c>
      <c r="O86" t="inlineStr">
        <is>
          <t>No</t>
        </is>
      </c>
      <c r="P86" t="inlineStr">
        <is>
          <t>No</t>
        </is>
      </c>
      <c r="Q86" t="inlineStr">
        <is>
          <t>For each of Open, High and Low: if the raw value equals 0, replace it with the same-day Close; otherwise retain the raw value.</t>
        </is>
      </c>
      <c r="R86" s="5" t="n">
        <v>2.18</v>
      </c>
      <c r="S86" s="8" t="n">
        <v>0</v>
      </c>
      <c r="T86" s="5" t="n">
        <v>0</v>
      </c>
      <c r="U86" s="9" t="n">
        <v>352321670.1</v>
      </c>
      <c r="V86" s="8" t="n"/>
      <c r="W86" s="5" t="n">
        <v>2.184</v>
      </c>
      <c r="X86" s="8" t="n">
        <v>0.472972972972973</v>
      </c>
    </row>
    <row r="87">
      <c r="A87" s="4" t="n">
        <v>45958</v>
      </c>
      <c r="B87" t="inlineStr">
        <is>
          <t>PSQ</t>
        </is>
      </c>
      <c r="C87" t="inlineStr">
        <is>
          <t>Pacific Smiles Group Limited</t>
        </is>
      </c>
      <c r="D87" s="5" t="n">
        <v>2.19</v>
      </c>
      <c r="E87" s="5" t="n">
        <v>2.19</v>
      </c>
      <c r="F87" s="5" t="n">
        <v>2.18</v>
      </c>
      <c r="G87" s="5" t="n">
        <v>2.18</v>
      </c>
      <c r="H87" s="5" t="n">
        <v>920</v>
      </c>
      <c r="I87" s="6" t="n">
        <v>161615445</v>
      </c>
      <c r="J87" s="6" t="n"/>
      <c r="K87" s="7" t="n"/>
      <c r="L87" s="5" t="n">
        <v>2.19</v>
      </c>
      <c r="M87" s="5" t="n">
        <v>2.19</v>
      </c>
      <c r="N87" s="5" t="n">
        <v>2.18</v>
      </c>
      <c r="O87" t="inlineStr">
        <is>
          <t>No</t>
        </is>
      </c>
      <c r="P87" t="inlineStr">
        <is>
          <t>No</t>
        </is>
      </c>
      <c r="Q87" t="inlineStr">
        <is>
          <t>For each of Open, High and Low: if the raw value equals 0, replace it with the same-day Close; otherwise retain the raw value.</t>
        </is>
      </c>
      <c r="R87" s="5" t="n">
        <v>2.18</v>
      </c>
      <c r="S87" s="8" t="n">
        <v>0</v>
      </c>
      <c r="T87" s="5" t="n">
        <v>0</v>
      </c>
      <c r="U87" s="9" t="n">
        <v>352321670.1</v>
      </c>
      <c r="V87" s="8" t="n"/>
      <c r="W87" s="5" t="n">
        <v>2.184</v>
      </c>
      <c r="X87" s="8" t="n">
        <v>0.472972972972973</v>
      </c>
    </row>
    <row r="88">
      <c r="A88" s="4" t="n">
        <v>45959</v>
      </c>
      <c r="B88" t="inlineStr">
        <is>
          <t>PSQ</t>
        </is>
      </c>
      <c r="C88" t="inlineStr">
        <is>
          <t>Pacific Smiles Group Limited</t>
        </is>
      </c>
      <c r="D88" s="5" t="n">
        <v>2.18</v>
      </c>
      <c r="E88" s="5" t="n">
        <v>2.18</v>
      </c>
      <c r="F88" s="5" t="n">
        <v>2.18</v>
      </c>
      <c r="G88" s="5" t="n">
        <v>2.18</v>
      </c>
      <c r="H88" s="5" t="n">
        <v>56</v>
      </c>
      <c r="I88" s="6" t="n">
        <v>161615445</v>
      </c>
      <c r="J88" s="6" t="n"/>
      <c r="K88" s="7" t="n"/>
      <c r="L88" s="5" t="n">
        <v>2.18</v>
      </c>
      <c r="M88" s="5" t="n">
        <v>2.18</v>
      </c>
      <c r="N88" s="5" t="n">
        <v>2.18</v>
      </c>
      <c r="O88" t="inlineStr">
        <is>
          <t>No</t>
        </is>
      </c>
      <c r="P88" t="inlineStr">
        <is>
          <t>No</t>
        </is>
      </c>
      <c r="Q88" t="inlineStr">
        <is>
          <t>For each of Open, High and Low: if the raw value equals 0, replace it with the same-day Close; otherwise retain the raw value.</t>
        </is>
      </c>
      <c r="R88" s="5" t="n">
        <v>2.18</v>
      </c>
      <c r="S88" s="8" t="n">
        <v>0</v>
      </c>
      <c r="T88" s="5" t="n">
        <v>0</v>
      </c>
      <c r="U88" s="9" t="n">
        <v>352321670.1</v>
      </c>
      <c r="V88" s="8" t="n"/>
      <c r="W88" s="5" t="n">
        <v>2.182</v>
      </c>
      <c r="X88" s="8" t="n">
        <v>0.472972972972973</v>
      </c>
    </row>
    <row r="89">
      <c r="A89" s="4" t="n">
        <v>45960</v>
      </c>
      <c r="B89" t="inlineStr">
        <is>
          <t>PSQ</t>
        </is>
      </c>
      <c r="C89" t="inlineStr">
        <is>
          <t>Pacific Smiles Group Limited</t>
        </is>
      </c>
      <c r="D89" s="5" t="n">
        <v>2.19</v>
      </c>
      <c r="E89" s="5" t="n">
        <v>2.19</v>
      </c>
      <c r="F89" s="5" t="n">
        <v>2.19</v>
      </c>
      <c r="G89" s="5" t="n">
        <v>2.19</v>
      </c>
      <c r="H89" s="5" t="n">
        <v>2396</v>
      </c>
      <c r="I89" s="6" t="n">
        <v>161615445</v>
      </c>
      <c r="J89" s="6" t="n"/>
      <c r="K89" s="7" t="n"/>
      <c r="L89" s="5" t="n">
        <v>2.19</v>
      </c>
      <c r="M89" s="5" t="n">
        <v>2.19</v>
      </c>
      <c r="N89" s="5" t="n">
        <v>2.19</v>
      </c>
      <c r="O89" t="inlineStr">
        <is>
          <t>No</t>
        </is>
      </c>
      <c r="P89" t="inlineStr">
        <is>
          <t>No</t>
        </is>
      </c>
      <c r="Q89" t="inlineStr">
        <is>
          <t>For each of Open, High and Low: if the raw value equals 0, replace it with the same-day Close; otherwise retain the raw value.</t>
        </is>
      </c>
      <c r="R89" s="5" t="n">
        <v>2.18</v>
      </c>
      <c r="S89" s="8" t="n">
        <v>0.004587155963302614</v>
      </c>
      <c r="T89" s="5" t="n">
        <v>0.009999999999999787</v>
      </c>
      <c r="U89" s="9" t="n">
        <v>353937824.55</v>
      </c>
      <c r="V89" s="8" t="n"/>
      <c r="W89" s="5" t="n">
        <v>2.182</v>
      </c>
      <c r="X89" s="8" t="n">
        <v>0.4797297297297296</v>
      </c>
    </row>
    <row r="90">
      <c r="A90" s="4" t="n">
        <v>45961</v>
      </c>
      <c r="B90" t="inlineStr">
        <is>
          <t>PSQ</t>
        </is>
      </c>
      <c r="C90" t="inlineStr">
        <is>
          <t>Pacific Smiles Group Limited</t>
        </is>
      </c>
      <c r="D90" s="5" t="n">
        <v>2.18</v>
      </c>
      <c r="E90" s="5" t="n">
        <v>2.18</v>
      </c>
      <c r="F90" s="5" t="n">
        <v>2.18</v>
      </c>
      <c r="G90" s="5" t="n">
        <v>2.18</v>
      </c>
      <c r="H90" s="5" t="n">
        <v>745</v>
      </c>
      <c r="I90" s="6" t="n">
        <v>161615445</v>
      </c>
      <c r="J90" s="6" t="n"/>
      <c r="K90" s="7" t="n"/>
      <c r="L90" s="5" t="n">
        <v>2.18</v>
      </c>
      <c r="M90" s="5" t="n">
        <v>2.18</v>
      </c>
      <c r="N90" s="5" t="n">
        <v>2.18</v>
      </c>
      <c r="O90" t="inlineStr">
        <is>
          <t>No</t>
        </is>
      </c>
      <c r="P90" t="inlineStr">
        <is>
          <t>No</t>
        </is>
      </c>
      <c r="Q90" t="inlineStr">
        <is>
          <t>For each of Open, High and Low: if the raw value equals 0, replace it with the same-day Close; otherwise retain the raw value.</t>
        </is>
      </c>
      <c r="R90" s="5" t="n">
        <v>2.19</v>
      </c>
      <c r="S90" s="8" t="n">
        <v>-0.004566210045662045</v>
      </c>
      <c r="T90" s="5" t="n">
        <v>-0.009999999999999787</v>
      </c>
      <c r="U90" s="9" t="n">
        <v>352321670.1</v>
      </c>
      <c r="V90" s="8" t="n"/>
      <c r="W90" s="5" t="n">
        <v>2.182</v>
      </c>
      <c r="X90" s="8" t="n">
        <v>0.472972972972973</v>
      </c>
    </row>
    <row r="91">
      <c r="A91" s="4" t="n">
        <v>45964</v>
      </c>
      <c r="B91" t="inlineStr">
        <is>
          <t>PSQ</t>
        </is>
      </c>
      <c r="C91" t="inlineStr">
        <is>
          <t>Pacific Smiles Group Limited</t>
        </is>
      </c>
      <c r="D91" s="5" t="n">
        <v>0</v>
      </c>
      <c r="E91" s="5" t="n">
        <v>0</v>
      </c>
      <c r="F91" s="5" t="n">
        <v>0</v>
      </c>
      <c r="G91" s="5" t="n">
        <v>2.18</v>
      </c>
      <c r="H91" s="5" t="n">
        <v>0</v>
      </c>
      <c r="I91" s="6" t="n">
        <v>161615445</v>
      </c>
      <c r="J91" s="6" t="n"/>
      <c r="K91" s="7" t="n"/>
      <c r="L91" s="5" t="n">
        <v>2.18</v>
      </c>
      <c r="M91" s="5" t="n">
        <v>2.18</v>
      </c>
      <c r="N91" s="5" t="n">
        <v>2.18</v>
      </c>
      <c r="O91" t="inlineStr">
        <is>
          <t>Yes</t>
        </is>
      </c>
      <c r="P91" t="inlineStr">
        <is>
          <t>Yes</t>
        </is>
      </c>
      <c r="Q91" t="inlineStr">
        <is>
          <t>For each of Open, High and Low: if the raw value equals 0, replace it with the same-day Close; otherwise retain the raw value.</t>
        </is>
      </c>
      <c r="R91" s="5" t="n">
        <v>2.18</v>
      </c>
      <c r="S91" s="8" t="n">
        <v>0</v>
      </c>
      <c r="T91" s="5" t="n">
        <v>0</v>
      </c>
      <c r="U91" s="9" t="n">
        <v>352321670.1</v>
      </c>
      <c r="V91" s="8" t="n"/>
      <c r="W91" s="5" t="n">
        <v>2.182</v>
      </c>
      <c r="X91" s="8" t="n">
        <v>0.472972972972973</v>
      </c>
    </row>
    <row r="92">
      <c r="A92" s="4" t="n">
        <v>45965</v>
      </c>
      <c r="B92" t="inlineStr">
        <is>
          <t>PSQ</t>
        </is>
      </c>
      <c r="C92" t="inlineStr">
        <is>
          <t>Pacific Smiles Group Limited</t>
        </is>
      </c>
      <c r="D92" s="5" t="n">
        <v>0</v>
      </c>
      <c r="E92" s="5" t="n">
        <v>0</v>
      </c>
      <c r="F92" s="5" t="n">
        <v>0</v>
      </c>
      <c r="G92" s="5" t="n">
        <v>2.18</v>
      </c>
      <c r="H92" s="5" t="n">
        <v>0</v>
      </c>
      <c r="I92" s="6" t="n">
        <v>161615445</v>
      </c>
      <c r="J92" s="6" t="n"/>
      <c r="K92" s="7" t="n"/>
      <c r="L92" s="5" t="n">
        <v>2.18</v>
      </c>
      <c r="M92" s="5" t="n">
        <v>2.18</v>
      </c>
      <c r="N92" s="5" t="n">
        <v>2.18</v>
      </c>
      <c r="O92" t="inlineStr">
        <is>
          <t>Yes</t>
        </is>
      </c>
      <c r="P92" t="inlineStr">
        <is>
          <t>Yes</t>
        </is>
      </c>
      <c r="Q92" t="inlineStr">
        <is>
          <t>For each of Open, High and Low: if the raw value equals 0, replace it with the same-day Close; otherwise retain the raw value.</t>
        </is>
      </c>
      <c r="R92" s="5" t="n">
        <v>2.18</v>
      </c>
      <c r="S92" s="8" t="n">
        <v>0</v>
      </c>
      <c r="T92" s="5" t="n">
        <v>0</v>
      </c>
      <c r="U92" s="9" t="n">
        <v>352321670.1</v>
      </c>
      <c r="V92" s="8" t="n"/>
      <c r="W92" s="5" t="n">
        <v>2.182</v>
      </c>
      <c r="X92" s="8" t="n">
        <v>0.472972972972973</v>
      </c>
    </row>
    <row r="93">
      <c r="A93" s="4" t="n">
        <v>45966</v>
      </c>
      <c r="B93" t="inlineStr">
        <is>
          <t>PSQ</t>
        </is>
      </c>
      <c r="C93" t="inlineStr">
        <is>
          <t>Pacific Smiles Group Limited</t>
        </is>
      </c>
      <c r="D93" s="5" t="n">
        <v>0</v>
      </c>
      <c r="E93" s="5" t="n">
        <v>0</v>
      </c>
      <c r="F93" s="5" t="n">
        <v>0</v>
      </c>
      <c r="G93" s="5" t="n">
        <v>2.18</v>
      </c>
      <c r="H93" s="5" t="n">
        <v>0</v>
      </c>
      <c r="I93" s="6" t="n">
        <v>161615445</v>
      </c>
      <c r="J93" s="6" t="n"/>
      <c r="K93" s="7" t="n"/>
      <c r="L93" s="5" t="n">
        <v>2.18</v>
      </c>
      <c r="M93" s="5" t="n">
        <v>2.18</v>
      </c>
      <c r="N93" s="5" t="n">
        <v>2.18</v>
      </c>
      <c r="O93" t="inlineStr">
        <is>
          <t>Yes</t>
        </is>
      </c>
      <c r="P93" t="inlineStr">
        <is>
          <t>Yes</t>
        </is>
      </c>
      <c r="Q93" t="inlineStr">
        <is>
          <t>For each of Open, High and Low: if the raw value equals 0, replace it with the same-day Close; otherwise retain the raw value.</t>
        </is>
      </c>
      <c r="R93" s="5" t="n">
        <v>2.18</v>
      </c>
      <c r="S93" s="8" t="n">
        <v>0</v>
      </c>
      <c r="T93" s="5" t="n">
        <v>0</v>
      </c>
      <c r="U93" s="9" t="n">
        <v>352321670.1</v>
      </c>
      <c r="V93" s="8" t="n"/>
      <c r="W93" s="5" t="n">
        <v>2.182</v>
      </c>
      <c r="X93" s="8" t="n">
        <v>0.472972972972973</v>
      </c>
    </row>
  </sheetData>
  <autoFilter ref="A1:X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65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Price records</t>
        </is>
      </c>
      <c r="B2" t="n">
        <v>92</v>
      </c>
      <c r="C2" s="3" t="inlineStr">
        <is>
          <t>Rows within the requested date range</t>
        </is>
      </c>
    </row>
    <row r="3">
      <c r="A3" t="inlineStr">
        <is>
          <t>First available date</t>
        </is>
      </c>
      <c r="B3" s="10" t="n">
        <v>45839</v>
      </c>
      <c r="C3" s="3" t="inlineStr">
        <is>
          <t>From supplied price file</t>
        </is>
      </c>
    </row>
    <row r="4">
      <c r="A4" t="inlineStr">
        <is>
          <t>Last available date</t>
        </is>
      </c>
      <c r="B4" s="10" t="n">
        <v>45966</v>
      </c>
      <c r="C4" s="3" t="inlineStr">
        <is>
          <t>From supplied price file</t>
        </is>
      </c>
    </row>
    <row r="5">
      <c r="A5" t="inlineStr">
        <is>
          <t>Minimum close</t>
        </is>
      </c>
      <c r="B5" t="n">
        <v>1.48</v>
      </c>
      <c r="C5" s="3" t="inlineStr">
        <is>
          <t>Currency per share</t>
        </is>
      </c>
    </row>
    <row r="6">
      <c r="A6" t="inlineStr">
        <is>
          <t>Maximum close</t>
        </is>
      </c>
      <c r="B6" t="n">
        <v>2.19</v>
      </c>
      <c r="C6" s="3" t="inlineStr">
        <is>
          <t>Currency per share</t>
        </is>
      </c>
    </row>
    <row r="7">
      <c r="A7" t="inlineStr">
        <is>
          <t>Average close</t>
        </is>
      </c>
      <c r="B7" t="n">
        <v>1.720108695652174</v>
      </c>
      <c r="C7" s="3" t="inlineStr">
        <is>
          <t>Currency per share</t>
        </is>
      </c>
    </row>
    <row r="8">
      <c r="A8" t="inlineStr">
        <is>
          <t>Total volume</t>
        </is>
      </c>
      <c r="B8" t="n">
        <v>76552</v>
      </c>
      <c r="C8" s="3" t="inlineStr">
        <is>
          <t>Shares traded in supplied records</t>
        </is>
      </c>
    </row>
    <row r="9">
      <c r="A9" t="inlineStr">
        <is>
          <t>Average daily volume</t>
        </is>
      </c>
      <c r="B9" t="n">
        <v>832.0869565217391</v>
      </c>
      <c r="C9" s="3" t="inlineStr">
        <is>
          <t>Includes zero-volume records</t>
        </is>
      </c>
    </row>
    <row r="10">
      <c r="A10" t="inlineStr">
        <is>
          <t>Zero-volume records</t>
        </is>
      </c>
      <c r="B10" t="n">
        <v>53</v>
      </c>
      <c r="C10" s="3" t="inlineStr">
        <is>
          <t>Retained and flagged in Clean_Data</t>
        </is>
      </c>
    </row>
    <row r="11">
      <c r="A11" t="inlineStr">
        <is>
          <t>Dividend missing values</t>
        </is>
      </c>
      <c r="B11" t="n">
        <v>92</v>
      </c>
      <c r="C11" s="3" t="inlineStr">
        <is>
          <t>No dividend field supplied in price source</t>
        </is>
      </c>
    </row>
    <row r="12">
      <c r="A12" t="inlineStr">
        <is>
          <t>PE missing values</t>
        </is>
      </c>
      <c r="B12" t="n">
        <v>92</v>
      </c>
      <c r="C12" s="3" t="inlineStr">
        <is>
          <t>No PE field supplied in price source</t>
        </is>
      </c>
    </row>
  </sheetData>
  <autoFilter ref="A1:C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9" customWidth="1" min="11" max="11"/>
    <col width="17" customWidth="1" min="12" max="12"/>
    <col width="2" customWidth="1" min="13" max="13"/>
  </cols>
  <sheetData>
    <row r="1" ht="32" customHeight="1">
      <c r="A1" s="1" t="inlineStr">
        <is>
          <t>Daily analysis uses Clean_Data. Return and market capitalisation are formula fields; trade rows exclude zero-volume records.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Date</t>
        </is>
      </c>
      <c r="B2" t="inlineStr">
        <is>
          <t>Close</t>
        </is>
      </c>
      <c r="C2" t="inlineStr">
        <is>
          <t>Daily Volume</t>
        </is>
      </c>
      <c r="D2" t="inlineStr">
        <is>
          <t>Shares Issued</t>
        </is>
      </c>
      <c r="E2" t="inlineStr">
        <is>
          <t>Previous Close</t>
        </is>
      </c>
      <c r="F2" t="inlineStr">
        <is>
          <t>Daily Return</t>
        </is>
      </c>
      <c r="G2" t="inlineStr">
        <is>
          <t>Price Change</t>
        </is>
      </c>
      <c r="H2" t="inlineStr">
        <is>
          <t>Market Capitalisation</t>
        </is>
      </c>
      <c r="I2" t="inlineStr">
        <is>
          <t>Dividend Yield</t>
        </is>
      </c>
      <c r="J2" t="inlineStr">
        <is>
          <t>5-Day Moving Average</t>
        </is>
      </c>
      <c r="K2" t="inlineStr">
        <is>
          <t>Cumulative Return</t>
        </is>
      </c>
      <c r="L2" t="inlineStr">
        <is>
          <t>Tradable Record</t>
        </is>
      </c>
    </row>
    <row r="3">
      <c r="A3" s="4" t="n">
        <v>45839</v>
      </c>
      <c r="B3" s="11" t="n">
        <v>1.48</v>
      </c>
      <c r="C3" s="6" t="n">
        <v>727</v>
      </c>
      <c r="D3" s="6" t="n">
        <v>161623972</v>
      </c>
      <c r="E3" s="11" t="n"/>
      <c r="F3" s="8" t="n"/>
      <c r="G3" s="11" t="n"/>
      <c r="H3" s="9">
        <f>B3*D3</f>
        <v/>
      </c>
      <c r="I3" s="8" t="n"/>
      <c r="J3" s="11">
        <f>AVERAGE(B3:B3)</f>
        <v/>
      </c>
      <c r="K3" s="8">
        <f>B3/$B$3-1</f>
        <v/>
      </c>
      <c r="L3" s="8" t="inlineStr">
        <is>
          <t>Yes</t>
        </is>
      </c>
    </row>
    <row r="4">
      <c r="A4" s="4" t="n">
        <v>45840</v>
      </c>
      <c r="B4" s="11" t="n">
        <v>1.63</v>
      </c>
      <c r="C4" s="6" t="n">
        <v>5059</v>
      </c>
      <c r="D4" s="6" t="n">
        <v>161623972</v>
      </c>
      <c r="E4" s="11" t="n">
        <v>1.63</v>
      </c>
      <c r="F4" s="8">
        <f>B4/B3-1</f>
        <v/>
      </c>
      <c r="G4" s="11">
        <f>B4-B3</f>
        <v/>
      </c>
      <c r="H4" s="9">
        <f>B4*D4</f>
        <v/>
      </c>
      <c r="I4" s="8" t="n"/>
      <c r="J4" s="11">
        <f>AVERAGE(B3:B4)</f>
        <v/>
      </c>
      <c r="K4" s="8">
        <f>B4/$B$3-1</f>
        <v/>
      </c>
      <c r="L4" s="8" t="inlineStr">
        <is>
          <t>Yes</t>
        </is>
      </c>
    </row>
    <row r="5">
      <c r="A5" s="4" t="n">
        <v>45841</v>
      </c>
      <c r="B5" s="11" t="n">
        <v>1.68</v>
      </c>
      <c r="C5" s="6" t="n">
        <v>72</v>
      </c>
      <c r="D5" s="6" t="n">
        <v>161623972</v>
      </c>
      <c r="E5" s="11" t="n">
        <v>1.68</v>
      </c>
      <c r="F5" s="8">
        <f>B5/B4-1</f>
        <v/>
      </c>
      <c r="G5" s="11">
        <f>B5-B4</f>
        <v/>
      </c>
      <c r="H5" s="9">
        <f>B5*D5</f>
        <v/>
      </c>
      <c r="I5" s="8" t="n"/>
      <c r="J5" s="11">
        <f>AVERAGE(B3:B5)</f>
        <v/>
      </c>
      <c r="K5" s="8">
        <f>B5/$B$3-1</f>
        <v/>
      </c>
      <c r="L5" s="8" t="inlineStr">
        <is>
          <t>Yes</t>
        </is>
      </c>
    </row>
    <row r="6">
      <c r="A6" s="4" t="n">
        <v>45842</v>
      </c>
      <c r="B6" s="11" t="n">
        <v>1.7</v>
      </c>
      <c r="C6" s="6" t="n">
        <v>8431</v>
      </c>
      <c r="D6" s="6" t="n">
        <v>161623972</v>
      </c>
      <c r="E6" s="11" t="n">
        <v>1.7</v>
      </c>
      <c r="F6" s="8">
        <f>B6/B5-1</f>
        <v/>
      </c>
      <c r="G6" s="11">
        <f>B6-B5</f>
        <v/>
      </c>
      <c r="H6" s="9">
        <f>B6*D6</f>
        <v/>
      </c>
      <c r="I6" s="8" t="n"/>
      <c r="J6" s="11">
        <f>AVERAGE(B3:B6)</f>
        <v/>
      </c>
      <c r="K6" s="8">
        <f>B6/$B$3-1</f>
        <v/>
      </c>
      <c r="L6" s="8" t="inlineStr">
        <is>
          <t>Yes</t>
        </is>
      </c>
    </row>
    <row r="7">
      <c r="A7" s="4" t="n">
        <v>45845</v>
      </c>
      <c r="B7" s="11" t="n">
        <v>1.765</v>
      </c>
      <c r="C7" s="6" t="n">
        <v>4914</v>
      </c>
      <c r="D7" s="6" t="n">
        <v>161623972</v>
      </c>
      <c r="E7" s="11" t="n">
        <v>1.765</v>
      </c>
      <c r="F7" s="8">
        <f>B7/B6-1</f>
        <v/>
      </c>
      <c r="G7" s="11">
        <f>B7-B6</f>
        <v/>
      </c>
      <c r="H7" s="9">
        <f>B7*D7</f>
        <v/>
      </c>
      <c r="I7" s="8" t="n"/>
      <c r="J7" s="11">
        <f>AVERAGE(B3:B7)</f>
        <v/>
      </c>
      <c r="K7" s="8">
        <f>B7/$B$3-1</f>
        <v/>
      </c>
      <c r="L7" s="8" t="inlineStr">
        <is>
          <t>Yes</t>
        </is>
      </c>
    </row>
    <row r="8">
      <c r="A8" s="4" t="n">
        <v>45846</v>
      </c>
      <c r="B8" s="11" t="n">
        <v>1.765</v>
      </c>
      <c r="C8" s="6" t="n">
        <v>0</v>
      </c>
      <c r="D8" s="6" t="n">
        <v>161623972</v>
      </c>
      <c r="E8" s="11" t="n">
        <v>1.765</v>
      </c>
      <c r="F8" s="8">
        <f>B8/B7-1</f>
        <v/>
      </c>
      <c r="G8" s="11">
        <f>B8-B7</f>
        <v/>
      </c>
      <c r="H8" s="9">
        <f>B8*D8</f>
        <v/>
      </c>
      <c r="I8" s="8" t="n"/>
      <c r="J8" s="11">
        <f>AVERAGE(B4:B8)</f>
        <v/>
      </c>
      <c r="K8" s="8">
        <f>B8/$B$3-1</f>
        <v/>
      </c>
      <c r="L8" s="8" t="inlineStr">
        <is>
          <t>No</t>
        </is>
      </c>
    </row>
    <row r="9">
      <c r="A9" s="4" t="n">
        <v>45847</v>
      </c>
      <c r="B9" s="11" t="n">
        <v>1.765</v>
      </c>
      <c r="C9" s="6" t="n">
        <v>0</v>
      </c>
      <c r="D9" s="6" t="n">
        <v>161623972</v>
      </c>
      <c r="E9" s="11" t="n">
        <v>1.765</v>
      </c>
      <c r="F9" s="8">
        <f>B9/B8-1</f>
        <v/>
      </c>
      <c r="G9" s="11">
        <f>B9-B8</f>
        <v/>
      </c>
      <c r="H9" s="9">
        <f>B9*D9</f>
        <v/>
      </c>
      <c r="I9" s="8" t="n"/>
      <c r="J9" s="11">
        <f>AVERAGE(B5:B9)</f>
        <v/>
      </c>
      <c r="K9" s="8">
        <f>B9/$B$3-1</f>
        <v/>
      </c>
      <c r="L9" s="8" t="inlineStr">
        <is>
          <t>No</t>
        </is>
      </c>
    </row>
    <row r="10">
      <c r="A10" s="4" t="n">
        <v>45848</v>
      </c>
      <c r="B10" s="11" t="n">
        <v>1.765</v>
      </c>
      <c r="C10" s="6" t="n">
        <v>0</v>
      </c>
      <c r="D10" s="6" t="n">
        <v>161623972</v>
      </c>
      <c r="E10" s="11" t="n">
        <v>1.765</v>
      </c>
      <c r="F10" s="8">
        <f>B10/B9-1</f>
        <v/>
      </c>
      <c r="G10" s="11">
        <f>B10-B9</f>
        <v/>
      </c>
      <c r="H10" s="9">
        <f>B10*D10</f>
        <v/>
      </c>
      <c r="I10" s="8" t="n"/>
      <c r="J10" s="11">
        <f>AVERAGE(B6:B10)</f>
        <v/>
      </c>
      <c r="K10" s="8">
        <f>B10/$B$3-1</f>
        <v/>
      </c>
      <c r="L10" s="8" t="inlineStr">
        <is>
          <t>No</t>
        </is>
      </c>
    </row>
    <row r="11">
      <c r="A11" s="4" t="n">
        <v>45849</v>
      </c>
      <c r="B11" s="11" t="n">
        <v>1.765</v>
      </c>
      <c r="C11" s="6" t="n">
        <v>0</v>
      </c>
      <c r="D11" s="6" t="n">
        <v>161623972</v>
      </c>
      <c r="E11" s="11" t="n">
        <v>1.765</v>
      </c>
      <c r="F11" s="8">
        <f>B11/B10-1</f>
        <v/>
      </c>
      <c r="G11" s="11">
        <f>B11-B10</f>
        <v/>
      </c>
      <c r="H11" s="9">
        <f>B11*D11</f>
        <v/>
      </c>
      <c r="I11" s="8" t="n"/>
      <c r="J11" s="11">
        <f>AVERAGE(B7:B11)</f>
        <v/>
      </c>
      <c r="K11" s="8">
        <f>B11/$B$3-1</f>
        <v/>
      </c>
      <c r="L11" s="8" t="inlineStr">
        <is>
          <t>No</t>
        </is>
      </c>
    </row>
    <row r="12">
      <c r="A12" s="4" t="n">
        <v>45852</v>
      </c>
      <c r="B12" s="11" t="n">
        <v>1.765</v>
      </c>
      <c r="C12" s="6" t="n">
        <v>1161</v>
      </c>
      <c r="D12" s="6" t="n">
        <v>161623972</v>
      </c>
      <c r="E12" s="11" t="n">
        <v>1.765</v>
      </c>
      <c r="F12" s="8">
        <f>B12/B11-1</f>
        <v/>
      </c>
      <c r="G12" s="11">
        <f>B12-B11</f>
        <v/>
      </c>
      <c r="H12" s="9">
        <f>B12*D12</f>
        <v/>
      </c>
      <c r="I12" s="8" t="n"/>
      <c r="J12" s="11">
        <f>AVERAGE(B8:B12)</f>
        <v/>
      </c>
      <c r="K12" s="8">
        <f>B12/$B$3-1</f>
        <v/>
      </c>
      <c r="L12" s="8" t="inlineStr">
        <is>
          <t>Yes</t>
        </is>
      </c>
    </row>
    <row r="13">
      <c r="A13" s="4" t="n">
        <v>45853</v>
      </c>
      <c r="B13" s="11" t="n">
        <v>1.765</v>
      </c>
      <c r="C13" s="6" t="n">
        <v>0</v>
      </c>
      <c r="D13" s="6" t="n">
        <v>161623972</v>
      </c>
      <c r="E13" s="11" t="n">
        <v>1.765</v>
      </c>
      <c r="F13" s="8">
        <f>B13/B12-1</f>
        <v/>
      </c>
      <c r="G13" s="11">
        <f>B13-B12</f>
        <v/>
      </c>
      <c r="H13" s="9">
        <f>B13*D13</f>
        <v/>
      </c>
      <c r="I13" s="8" t="n"/>
      <c r="J13" s="11">
        <f>AVERAGE(B9:B13)</f>
        <v/>
      </c>
      <c r="K13" s="8">
        <f>B13/$B$3-1</f>
        <v/>
      </c>
      <c r="L13" s="8" t="inlineStr">
        <is>
          <t>No</t>
        </is>
      </c>
    </row>
    <row r="14">
      <c r="A14" s="4" t="n">
        <v>45854</v>
      </c>
      <c r="B14" s="11" t="n">
        <v>1.63</v>
      </c>
      <c r="C14" s="6" t="n">
        <v>100</v>
      </c>
      <c r="D14" s="6" t="n">
        <v>161623972</v>
      </c>
      <c r="E14" s="11" t="n">
        <v>1.63</v>
      </c>
      <c r="F14" s="8">
        <f>B14/B13-1</f>
        <v/>
      </c>
      <c r="G14" s="11">
        <f>B14-B13</f>
        <v/>
      </c>
      <c r="H14" s="9">
        <f>B14*D14</f>
        <v/>
      </c>
      <c r="I14" s="8" t="n"/>
      <c r="J14" s="11">
        <f>AVERAGE(B10:B14)</f>
        <v/>
      </c>
      <c r="K14" s="8">
        <f>B14/$B$3-1</f>
        <v/>
      </c>
      <c r="L14" s="8" t="inlineStr">
        <is>
          <t>Yes</t>
        </is>
      </c>
    </row>
    <row r="15">
      <c r="A15" s="4" t="n">
        <v>45855</v>
      </c>
      <c r="B15" s="11" t="n">
        <v>1.645</v>
      </c>
      <c r="C15" s="6" t="n">
        <v>70</v>
      </c>
      <c r="D15" s="6" t="n">
        <v>161623972</v>
      </c>
      <c r="E15" s="11" t="n">
        <v>1.645</v>
      </c>
      <c r="F15" s="8">
        <f>B15/B14-1</f>
        <v/>
      </c>
      <c r="G15" s="11">
        <f>B15-B14</f>
        <v/>
      </c>
      <c r="H15" s="9">
        <f>B15*D15</f>
        <v/>
      </c>
      <c r="I15" s="8" t="n"/>
      <c r="J15" s="11">
        <f>AVERAGE(B11:B15)</f>
        <v/>
      </c>
      <c r="K15" s="8">
        <f>B15/$B$3-1</f>
        <v/>
      </c>
      <c r="L15" s="8" t="inlineStr">
        <is>
          <t>Yes</t>
        </is>
      </c>
    </row>
    <row r="16">
      <c r="A16" s="4" t="n">
        <v>45856</v>
      </c>
      <c r="B16" s="11" t="n">
        <v>1.645</v>
      </c>
      <c r="C16" s="6" t="n">
        <v>0</v>
      </c>
      <c r="D16" s="6" t="n">
        <v>161623972</v>
      </c>
      <c r="E16" s="11" t="n">
        <v>1.645</v>
      </c>
      <c r="F16" s="8">
        <f>B16/B15-1</f>
        <v/>
      </c>
      <c r="G16" s="11">
        <f>B16-B15</f>
        <v/>
      </c>
      <c r="H16" s="9">
        <f>B16*D16</f>
        <v/>
      </c>
      <c r="I16" s="8" t="n"/>
      <c r="J16" s="11">
        <f>AVERAGE(B12:B16)</f>
        <v/>
      </c>
      <c r="K16" s="8">
        <f>B16/$B$3-1</f>
        <v/>
      </c>
      <c r="L16" s="8" t="inlineStr">
        <is>
          <t>No</t>
        </is>
      </c>
    </row>
    <row r="17">
      <c r="A17" s="4" t="n">
        <v>45859</v>
      </c>
      <c r="B17" s="11" t="n">
        <v>1.67</v>
      </c>
      <c r="C17" s="6" t="n">
        <v>318</v>
      </c>
      <c r="D17" s="6" t="n">
        <v>161623972</v>
      </c>
      <c r="E17" s="11" t="n">
        <v>1.67</v>
      </c>
      <c r="F17" s="8">
        <f>B17/B16-1</f>
        <v/>
      </c>
      <c r="G17" s="11">
        <f>B17-B16</f>
        <v/>
      </c>
      <c r="H17" s="9">
        <f>B17*D17</f>
        <v/>
      </c>
      <c r="I17" s="8" t="n"/>
      <c r="J17" s="11">
        <f>AVERAGE(B13:B17)</f>
        <v/>
      </c>
      <c r="K17" s="8">
        <f>B17/$B$3-1</f>
        <v/>
      </c>
      <c r="L17" s="8" t="inlineStr">
        <is>
          <t>Yes</t>
        </is>
      </c>
    </row>
    <row r="18">
      <c r="A18" s="4" t="n">
        <v>45860</v>
      </c>
      <c r="B18" s="11" t="n">
        <v>1.67</v>
      </c>
      <c r="C18" s="6" t="n">
        <v>0</v>
      </c>
      <c r="D18" s="6" t="n">
        <v>161623972</v>
      </c>
      <c r="E18" s="11" t="n">
        <v>1.67</v>
      </c>
      <c r="F18" s="8">
        <f>B18/B17-1</f>
        <v/>
      </c>
      <c r="G18" s="11">
        <f>B18-B17</f>
        <v/>
      </c>
      <c r="H18" s="9">
        <f>B18*D18</f>
        <v/>
      </c>
      <c r="I18" s="8" t="n"/>
      <c r="J18" s="11">
        <f>AVERAGE(B14:B18)</f>
        <v/>
      </c>
      <c r="K18" s="8">
        <f>B18/$B$3-1</f>
        <v/>
      </c>
      <c r="L18" s="8" t="inlineStr">
        <is>
          <t>No</t>
        </is>
      </c>
    </row>
    <row r="19">
      <c r="A19" s="4" t="n">
        <v>45861</v>
      </c>
      <c r="B19" s="11" t="n">
        <v>1.67</v>
      </c>
      <c r="C19" s="6" t="n">
        <v>0</v>
      </c>
      <c r="D19" s="6" t="n">
        <v>161623972</v>
      </c>
      <c r="E19" s="11" t="n">
        <v>1.67</v>
      </c>
      <c r="F19" s="8">
        <f>B19/B18-1</f>
        <v/>
      </c>
      <c r="G19" s="11">
        <f>B19-B18</f>
        <v/>
      </c>
      <c r="H19" s="9">
        <f>B19*D19</f>
        <v/>
      </c>
      <c r="I19" s="8" t="n"/>
      <c r="J19" s="11">
        <f>AVERAGE(B15:B19)</f>
        <v/>
      </c>
      <c r="K19" s="8">
        <f>B19/$B$3-1</f>
        <v/>
      </c>
      <c r="L19" s="8" t="inlineStr">
        <is>
          <t>No</t>
        </is>
      </c>
    </row>
    <row r="20">
      <c r="A20" s="4" t="n">
        <v>45862</v>
      </c>
      <c r="B20" s="11" t="n">
        <v>1.67</v>
      </c>
      <c r="C20" s="6" t="n">
        <v>0</v>
      </c>
      <c r="D20" s="6" t="n">
        <v>161623972</v>
      </c>
      <c r="E20" s="11" t="n">
        <v>1.67</v>
      </c>
      <c r="F20" s="8">
        <f>B20/B19-1</f>
        <v/>
      </c>
      <c r="G20" s="11">
        <f>B20-B19</f>
        <v/>
      </c>
      <c r="H20" s="9">
        <f>B20*D20</f>
        <v/>
      </c>
      <c r="I20" s="8" t="n"/>
      <c r="J20" s="11">
        <f>AVERAGE(B16:B20)</f>
        <v/>
      </c>
      <c r="K20" s="8">
        <f>B20/$B$3-1</f>
        <v/>
      </c>
      <c r="L20" s="8" t="inlineStr">
        <is>
          <t>No</t>
        </is>
      </c>
    </row>
    <row r="21">
      <c r="A21" s="4" t="n">
        <v>45863</v>
      </c>
      <c r="B21" s="11" t="n">
        <v>1.67</v>
      </c>
      <c r="C21" s="6" t="n">
        <v>0</v>
      </c>
      <c r="D21" s="6" t="n">
        <v>161623972</v>
      </c>
      <c r="E21" s="11" t="n">
        <v>1.67</v>
      </c>
      <c r="F21" s="8">
        <f>B21/B20-1</f>
        <v/>
      </c>
      <c r="G21" s="11">
        <f>B21-B20</f>
        <v/>
      </c>
      <c r="H21" s="9">
        <f>B21*D21</f>
        <v/>
      </c>
      <c r="I21" s="8" t="n"/>
      <c r="J21" s="11">
        <f>AVERAGE(B17:B21)</f>
        <v/>
      </c>
      <c r="K21" s="8">
        <f>B21/$B$3-1</f>
        <v/>
      </c>
      <c r="L21" s="8" t="inlineStr">
        <is>
          <t>No</t>
        </is>
      </c>
    </row>
    <row r="22">
      <c r="A22" s="4" t="n">
        <v>45866</v>
      </c>
      <c r="B22" s="11" t="n">
        <v>1.67</v>
      </c>
      <c r="C22" s="6" t="n">
        <v>7</v>
      </c>
      <c r="D22" s="6" t="n">
        <v>161623972</v>
      </c>
      <c r="E22" s="11" t="n">
        <v>1.67</v>
      </c>
      <c r="F22" s="8">
        <f>B22/B21-1</f>
        <v/>
      </c>
      <c r="G22" s="11">
        <f>B22-B21</f>
        <v/>
      </c>
      <c r="H22" s="9">
        <f>B22*D22</f>
        <v/>
      </c>
      <c r="I22" s="8" t="n"/>
      <c r="J22" s="11">
        <f>AVERAGE(B18:B22)</f>
        <v/>
      </c>
      <c r="K22" s="8">
        <f>B22/$B$3-1</f>
        <v/>
      </c>
      <c r="L22" s="8" t="inlineStr">
        <is>
          <t>Yes</t>
        </is>
      </c>
    </row>
    <row r="23">
      <c r="A23" s="4" t="n">
        <v>45867</v>
      </c>
      <c r="B23" s="11" t="n">
        <v>1.67</v>
      </c>
      <c r="C23" s="6" t="n">
        <v>0</v>
      </c>
      <c r="D23" s="6" t="n">
        <v>161623972</v>
      </c>
      <c r="E23" s="11" t="n">
        <v>1.67</v>
      </c>
      <c r="F23" s="8">
        <f>B23/B22-1</f>
        <v/>
      </c>
      <c r="G23" s="11">
        <f>B23-B22</f>
        <v/>
      </c>
      <c r="H23" s="9">
        <f>B23*D23</f>
        <v/>
      </c>
      <c r="I23" s="8" t="n"/>
      <c r="J23" s="11">
        <f>AVERAGE(B19:B23)</f>
        <v/>
      </c>
      <c r="K23" s="8">
        <f>B23/$B$3-1</f>
        <v/>
      </c>
      <c r="L23" s="8" t="inlineStr">
        <is>
          <t>No</t>
        </is>
      </c>
    </row>
    <row r="24">
      <c r="A24" s="4" t="n">
        <v>45868</v>
      </c>
      <c r="B24" s="11" t="n">
        <v>1.67</v>
      </c>
      <c r="C24" s="6" t="n">
        <v>6</v>
      </c>
      <c r="D24" s="6" t="n">
        <v>161623972</v>
      </c>
      <c r="E24" s="11" t="n">
        <v>1.67</v>
      </c>
      <c r="F24" s="8">
        <f>B24/B23-1</f>
        <v/>
      </c>
      <c r="G24" s="11">
        <f>B24-B23</f>
        <v/>
      </c>
      <c r="H24" s="9">
        <f>B24*D24</f>
        <v/>
      </c>
      <c r="I24" s="8" t="n"/>
      <c r="J24" s="11">
        <f>AVERAGE(B20:B24)</f>
        <v/>
      </c>
      <c r="K24" s="8">
        <f>B24/$B$3-1</f>
        <v/>
      </c>
      <c r="L24" s="8" t="inlineStr">
        <is>
          <t>Yes</t>
        </is>
      </c>
    </row>
    <row r="25">
      <c r="A25" s="4" t="n">
        <v>45869</v>
      </c>
      <c r="B25" s="11" t="n">
        <v>1.67</v>
      </c>
      <c r="C25" s="6" t="n">
        <v>0</v>
      </c>
      <c r="D25" s="6" t="n">
        <v>161623972</v>
      </c>
      <c r="E25" s="11" t="n">
        <v>1.67</v>
      </c>
      <c r="F25" s="8">
        <f>B25/B24-1</f>
        <v/>
      </c>
      <c r="G25" s="11">
        <f>B25-B24</f>
        <v/>
      </c>
      <c r="H25" s="9">
        <f>B25*D25</f>
        <v/>
      </c>
      <c r="I25" s="8" t="n"/>
      <c r="J25" s="11">
        <f>AVERAGE(B21:B25)</f>
        <v/>
      </c>
      <c r="K25" s="8">
        <f>B25/$B$3-1</f>
        <v/>
      </c>
      <c r="L25" s="8" t="inlineStr">
        <is>
          <t>No</t>
        </is>
      </c>
    </row>
    <row r="26">
      <c r="A26" s="4" t="n">
        <v>45870</v>
      </c>
      <c r="B26" s="11" t="n">
        <v>1.67</v>
      </c>
      <c r="C26" s="6" t="n">
        <v>0</v>
      </c>
      <c r="D26" s="6" t="n">
        <v>161623972</v>
      </c>
      <c r="E26" s="11" t="n">
        <v>1.67</v>
      </c>
      <c r="F26" s="8">
        <f>B26/B25-1</f>
        <v/>
      </c>
      <c r="G26" s="11">
        <f>B26-B25</f>
        <v/>
      </c>
      <c r="H26" s="9">
        <f>B26*D26</f>
        <v/>
      </c>
      <c r="I26" s="8" t="n"/>
      <c r="J26" s="11">
        <f>AVERAGE(B22:B26)</f>
        <v/>
      </c>
      <c r="K26" s="8">
        <f>B26/$B$3-1</f>
        <v/>
      </c>
      <c r="L26" s="8" t="inlineStr">
        <is>
          <t>No</t>
        </is>
      </c>
    </row>
    <row r="27">
      <c r="A27" s="4" t="n">
        <v>45873</v>
      </c>
      <c r="B27" s="11" t="n">
        <v>1.67</v>
      </c>
      <c r="C27" s="6" t="n">
        <v>1</v>
      </c>
      <c r="D27" s="6" t="n">
        <v>161623972</v>
      </c>
      <c r="E27" s="11" t="n">
        <v>1.67</v>
      </c>
      <c r="F27" s="8">
        <f>B27/B26-1</f>
        <v/>
      </c>
      <c r="G27" s="11">
        <f>B27-B26</f>
        <v/>
      </c>
      <c r="H27" s="9">
        <f>B27*D27</f>
        <v/>
      </c>
      <c r="I27" s="8" t="n"/>
      <c r="J27" s="11">
        <f>AVERAGE(B23:B27)</f>
        <v/>
      </c>
      <c r="K27" s="8">
        <f>B27/$B$3-1</f>
        <v/>
      </c>
      <c r="L27" s="8" t="inlineStr">
        <is>
          <t>Yes</t>
        </is>
      </c>
    </row>
    <row r="28">
      <c r="A28" s="4" t="n">
        <v>45874</v>
      </c>
      <c r="B28" s="11" t="n">
        <v>1.5</v>
      </c>
      <c r="C28" s="6" t="n">
        <v>11926</v>
      </c>
      <c r="D28" s="6" t="n">
        <v>161623972</v>
      </c>
      <c r="E28" s="11" t="n">
        <v>1.5</v>
      </c>
      <c r="F28" s="8">
        <f>B28/B27-1</f>
        <v/>
      </c>
      <c r="G28" s="11">
        <f>B28-B27</f>
        <v/>
      </c>
      <c r="H28" s="9">
        <f>B28*D28</f>
        <v/>
      </c>
      <c r="I28" s="8" t="n"/>
      <c r="J28" s="11">
        <f>AVERAGE(B24:B28)</f>
        <v/>
      </c>
      <c r="K28" s="8">
        <f>B28/$B$3-1</f>
        <v/>
      </c>
      <c r="L28" s="8" t="inlineStr">
        <is>
          <t>Yes</t>
        </is>
      </c>
    </row>
    <row r="29">
      <c r="A29" s="4" t="n">
        <v>45875</v>
      </c>
      <c r="B29" s="11" t="n">
        <v>1.51</v>
      </c>
      <c r="C29" s="6" t="n">
        <v>502</v>
      </c>
      <c r="D29" s="6" t="n">
        <v>161623972</v>
      </c>
      <c r="E29" s="11" t="n">
        <v>1.51</v>
      </c>
      <c r="F29" s="8">
        <f>B29/B28-1</f>
        <v/>
      </c>
      <c r="G29" s="11">
        <f>B29-B28</f>
        <v/>
      </c>
      <c r="H29" s="9">
        <f>B29*D29</f>
        <v/>
      </c>
      <c r="I29" s="8" t="n"/>
      <c r="J29" s="11">
        <f>AVERAGE(B25:B29)</f>
        <v/>
      </c>
      <c r="K29" s="8">
        <f>B29/$B$3-1</f>
        <v/>
      </c>
      <c r="L29" s="8" t="inlineStr">
        <is>
          <t>Yes</t>
        </is>
      </c>
    </row>
    <row r="30">
      <c r="A30" s="4" t="n">
        <v>45876</v>
      </c>
      <c r="B30" s="11" t="n">
        <v>1.51</v>
      </c>
      <c r="C30" s="6" t="n">
        <v>0</v>
      </c>
      <c r="D30" s="6" t="n">
        <v>161623972</v>
      </c>
      <c r="E30" s="11" t="n">
        <v>1.51</v>
      </c>
      <c r="F30" s="8">
        <f>B30/B29-1</f>
        <v/>
      </c>
      <c r="G30" s="11">
        <f>B30-B29</f>
        <v/>
      </c>
      <c r="H30" s="9">
        <f>B30*D30</f>
        <v/>
      </c>
      <c r="I30" s="8" t="n"/>
      <c r="J30" s="11">
        <f>AVERAGE(B26:B30)</f>
        <v/>
      </c>
      <c r="K30" s="8">
        <f>B30/$B$3-1</f>
        <v/>
      </c>
      <c r="L30" s="8" t="inlineStr">
        <is>
          <t>No</t>
        </is>
      </c>
    </row>
    <row r="31">
      <c r="A31" s="4" t="n">
        <v>45877</v>
      </c>
      <c r="B31" s="11" t="n">
        <v>1.5</v>
      </c>
      <c r="C31" s="6" t="n">
        <v>4876</v>
      </c>
      <c r="D31" s="6" t="n">
        <v>161623972</v>
      </c>
      <c r="E31" s="11" t="n">
        <v>1.5</v>
      </c>
      <c r="F31" s="8">
        <f>B31/B30-1</f>
        <v/>
      </c>
      <c r="G31" s="11">
        <f>B31-B30</f>
        <v/>
      </c>
      <c r="H31" s="9">
        <f>B31*D31</f>
        <v/>
      </c>
      <c r="I31" s="8" t="n"/>
      <c r="J31" s="11">
        <f>AVERAGE(B27:B31)</f>
        <v/>
      </c>
      <c r="K31" s="8">
        <f>B31/$B$3-1</f>
        <v/>
      </c>
      <c r="L31" s="8" t="inlineStr">
        <is>
          <t>Yes</t>
        </is>
      </c>
    </row>
    <row r="32">
      <c r="A32" s="4" t="n">
        <v>45880</v>
      </c>
      <c r="B32" s="11" t="n">
        <v>1.51</v>
      </c>
      <c r="C32" s="6" t="n">
        <v>1</v>
      </c>
      <c r="D32" s="6" t="n">
        <v>161623972</v>
      </c>
      <c r="E32" s="11" t="n">
        <v>1.51</v>
      </c>
      <c r="F32" s="8">
        <f>B32/B31-1</f>
        <v/>
      </c>
      <c r="G32" s="11">
        <f>B32-B31</f>
        <v/>
      </c>
      <c r="H32" s="9">
        <f>B32*D32</f>
        <v/>
      </c>
      <c r="I32" s="8" t="n"/>
      <c r="J32" s="11">
        <f>AVERAGE(B28:B32)</f>
        <v/>
      </c>
      <c r="K32" s="8">
        <f>B32/$B$3-1</f>
        <v/>
      </c>
      <c r="L32" s="8" t="inlineStr">
        <is>
          <t>Yes</t>
        </is>
      </c>
    </row>
    <row r="33">
      <c r="A33" s="4" t="n">
        <v>45881</v>
      </c>
      <c r="B33" s="11" t="n">
        <v>1.51</v>
      </c>
      <c r="C33" s="6" t="n">
        <v>0</v>
      </c>
      <c r="D33" s="6" t="n">
        <v>161623972</v>
      </c>
      <c r="E33" s="11" t="n">
        <v>1.51</v>
      </c>
      <c r="F33" s="8">
        <f>B33/B32-1</f>
        <v/>
      </c>
      <c r="G33" s="11">
        <f>B33-B32</f>
        <v/>
      </c>
      <c r="H33" s="9">
        <f>B33*D33</f>
        <v/>
      </c>
      <c r="I33" s="8" t="n"/>
      <c r="J33" s="11">
        <f>AVERAGE(B29:B33)</f>
        <v/>
      </c>
      <c r="K33" s="8">
        <f>B33/$B$3-1</f>
        <v/>
      </c>
      <c r="L33" s="8" t="inlineStr">
        <is>
          <t>No</t>
        </is>
      </c>
    </row>
    <row r="34">
      <c r="A34" s="4" t="n">
        <v>45882</v>
      </c>
      <c r="B34" s="11" t="n">
        <v>1.55</v>
      </c>
      <c r="C34" s="6" t="n">
        <v>652</v>
      </c>
      <c r="D34" s="6" t="n">
        <v>161623972</v>
      </c>
      <c r="E34" s="11" t="n">
        <v>1.55</v>
      </c>
      <c r="F34" s="8">
        <f>B34/B33-1</f>
        <v/>
      </c>
      <c r="G34" s="11">
        <f>B34-B33</f>
        <v/>
      </c>
      <c r="H34" s="9">
        <f>B34*D34</f>
        <v/>
      </c>
      <c r="I34" s="8" t="n"/>
      <c r="J34" s="11">
        <f>AVERAGE(B30:B34)</f>
        <v/>
      </c>
      <c r="K34" s="8">
        <f>B34/$B$3-1</f>
        <v/>
      </c>
      <c r="L34" s="8" t="inlineStr">
        <is>
          <t>Yes</t>
        </is>
      </c>
    </row>
    <row r="35">
      <c r="A35" s="4" t="n">
        <v>45883</v>
      </c>
      <c r="B35" s="11" t="n">
        <v>1.555</v>
      </c>
      <c r="C35" s="6" t="n">
        <v>3935</v>
      </c>
      <c r="D35" s="6" t="n">
        <v>161623972</v>
      </c>
      <c r="E35" s="11" t="n">
        <v>1.555</v>
      </c>
      <c r="F35" s="8">
        <f>B35/B34-1</f>
        <v/>
      </c>
      <c r="G35" s="11">
        <f>B35-B34</f>
        <v/>
      </c>
      <c r="H35" s="9">
        <f>B35*D35</f>
        <v/>
      </c>
      <c r="I35" s="8" t="n"/>
      <c r="J35" s="11">
        <f>AVERAGE(B31:B35)</f>
        <v/>
      </c>
      <c r="K35" s="8">
        <f>B35/$B$3-1</f>
        <v/>
      </c>
      <c r="L35" s="8" t="inlineStr">
        <is>
          <t>Yes</t>
        </is>
      </c>
    </row>
    <row r="36">
      <c r="A36" s="4" t="n">
        <v>45884</v>
      </c>
      <c r="B36" s="11" t="n">
        <v>1.575</v>
      </c>
      <c r="C36" s="6" t="n">
        <v>2</v>
      </c>
      <c r="D36" s="6" t="n">
        <v>161623972</v>
      </c>
      <c r="E36" s="11" t="n">
        <v>1.575</v>
      </c>
      <c r="F36" s="8">
        <f>B36/B35-1</f>
        <v/>
      </c>
      <c r="G36" s="11">
        <f>B36-B35</f>
        <v/>
      </c>
      <c r="H36" s="9">
        <f>B36*D36</f>
        <v/>
      </c>
      <c r="I36" s="8" t="n"/>
      <c r="J36" s="11">
        <f>AVERAGE(B32:B36)</f>
        <v/>
      </c>
      <c r="K36" s="8">
        <f>B36/$B$3-1</f>
        <v/>
      </c>
      <c r="L36" s="8" t="inlineStr">
        <is>
          <t>Yes</t>
        </is>
      </c>
    </row>
    <row r="37">
      <c r="A37" s="4" t="n">
        <v>45887</v>
      </c>
      <c r="B37" s="11" t="n">
        <v>1.575</v>
      </c>
      <c r="C37" s="6" t="n">
        <v>0</v>
      </c>
      <c r="D37" s="6" t="n">
        <v>161615445</v>
      </c>
      <c r="E37" s="11" t="n">
        <v>1.575</v>
      </c>
      <c r="F37" s="8">
        <f>B37/B36-1</f>
        <v/>
      </c>
      <c r="G37" s="11">
        <f>B37-B36</f>
        <v/>
      </c>
      <c r="H37" s="9">
        <f>B37*D37</f>
        <v/>
      </c>
      <c r="I37" s="8" t="n"/>
      <c r="J37" s="11">
        <f>AVERAGE(B33:B37)</f>
        <v/>
      </c>
      <c r="K37" s="8">
        <f>B37/$B$3-1</f>
        <v/>
      </c>
      <c r="L37" s="8" t="inlineStr">
        <is>
          <t>No</t>
        </is>
      </c>
    </row>
    <row r="38">
      <c r="A38" s="4" t="n">
        <v>45888</v>
      </c>
      <c r="B38" s="11" t="n">
        <v>1.575</v>
      </c>
      <c r="C38" s="6" t="n">
        <v>0</v>
      </c>
      <c r="D38" s="6" t="n">
        <v>161615445</v>
      </c>
      <c r="E38" s="11" t="n">
        <v>1.575</v>
      </c>
      <c r="F38" s="8">
        <f>B38/B37-1</f>
        <v/>
      </c>
      <c r="G38" s="11">
        <f>B38-B37</f>
        <v/>
      </c>
      <c r="H38" s="9">
        <f>B38*D38</f>
        <v/>
      </c>
      <c r="I38" s="8" t="n"/>
      <c r="J38" s="11">
        <f>AVERAGE(B34:B38)</f>
        <v/>
      </c>
      <c r="K38" s="8">
        <f>B38/$B$3-1</f>
        <v/>
      </c>
      <c r="L38" s="8" t="inlineStr">
        <is>
          <t>No</t>
        </is>
      </c>
    </row>
    <row r="39">
      <c r="A39" s="4" t="n">
        <v>45889</v>
      </c>
      <c r="B39" s="11" t="n">
        <v>1.575</v>
      </c>
      <c r="C39" s="6" t="n">
        <v>0</v>
      </c>
      <c r="D39" s="6" t="n">
        <v>161615445</v>
      </c>
      <c r="E39" s="11" t="n">
        <v>1.575</v>
      </c>
      <c r="F39" s="8">
        <f>B39/B38-1</f>
        <v/>
      </c>
      <c r="G39" s="11">
        <f>B39-B38</f>
        <v/>
      </c>
      <c r="H39" s="9">
        <f>B39*D39</f>
        <v/>
      </c>
      <c r="I39" s="8" t="n"/>
      <c r="J39" s="11">
        <f>AVERAGE(B35:B39)</f>
        <v/>
      </c>
      <c r="K39" s="8">
        <f>B39/$B$3-1</f>
        <v/>
      </c>
      <c r="L39" s="8" t="inlineStr">
        <is>
          <t>No</t>
        </is>
      </c>
    </row>
    <row r="40">
      <c r="A40" s="4" t="n">
        <v>45890</v>
      </c>
      <c r="B40" s="11" t="n">
        <v>1.575</v>
      </c>
      <c r="C40" s="6" t="n">
        <v>0</v>
      </c>
      <c r="D40" s="6" t="n">
        <v>161615445</v>
      </c>
      <c r="E40" s="11" t="n">
        <v>1.575</v>
      </c>
      <c r="F40" s="8">
        <f>B40/B39-1</f>
        <v/>
      </c>
      <c r="G40" s="11">
        <f>B40-B39</f>
        <v/>
      </c>
      <c r="H40" s="9">
        <f>B40*D40</f>
        <v/>
      </c>
      <c r="I40" s="8" t="n"/>
      <c r="J40" s="11">
        <f>AVERAGE(B36:B40)</f>
        <v/>
      </c>
      <c r="K40" s="8">
        <f>B40/$B$3-1</f>
        <v/>
      </c>
      <c r="L40" s="8" t="inlineStr">
        <is>
          <t>No</t>
        </is>
      </c>
    </row>
    <row r="41">
      <c r="A41" s="4" t="n">
        <v>45891</v>
      </c>
      <c r="B41" s="11" t="n">
        <v>1.615</v>
      </c>
      <c r="C41" s="6" t="n">
        <v>6</v>
      </c>
      <c r="D41" s="6" t="n">
        <v>161615445</v>
      </c>
      <c r="E41" s="11" t="n">
        <v>1.615</v>
      </c>
      <c r="F41" s="8">
        <f>B41/B40-1</f>
        <v/>
      </c>
      <c r="G41" s="11">
        <f>B41-B40</f>
        <v/>
      </c>
      <c r="H41" s="9">
        <f>B41*D41</f>
        <v/>
      </c>
      <c r="I41" s="8" t="n"/>
      <c r="J41" s="11">
        <f>AVERAGE(B37:B41)</f>
        <v/>
      </c>
      <c r="K41" s="8">
        <f>B41/$B$3-1</f>
        <v/>
      </c>
      <c r="L41" s="8" t="inlineStr">
        <is>
          <t>Yes</t>
        </is>
      </c>
    </row>
    <row r="42">
      <c r="A42" s="4" t="n">
        <v>45894</v>
      </c>
      <c r="B42" s="11" t="n">
        <v>1.615</v>
      </c>
      <c r="C42" s="6" t="n">
        <v>0</v>
      </c>
      <c r="D42" s="6" t="n">
        <v>161615445</v>
      </c>
      <c r="E42" s="11" t="n">
        <v>1.615</v>
      </c>
      <c r="F42" s="8">
        <f>B42/B41-1</f>
        <v/>
      </c>
      <c r="G42" s="11">
        <f>B42-B41</f>
        <v/>
      </c>
      <c r="H42" s="9">
        <f>B42*D42</f>
        <v/>
      </c>
      <c r="I42" s="8" t="n"/>
      <c r="J42" s="11">
        <f>AVERAGE(B38:B42)</f>
        <v/>
      </c>
      <c r="K42" s="8">
        <f>B42/$B$3-1</f>
        <v/>
      </c>
      <c r="L42" s="8" t="inlineStr">
        <is>
          <t>No</t>
        </is>
      </c>
    </row>
    <row r="43">
      <c r="A43" s="4" t="n">
        <v>45895</v>
      </c>
      <c r="B43" s="11" t="n">
        <v>1.615</v>
      </c>
      <c r="C43" s="6" t="n">
        <v>0</v>
      </c>
      <c r="D43" s="6" t="n">
        <v>161615445</v>
      </c>
      <c r="E43" s="11" t="n">
        <v>1.615</v>
      </c>
      <c r="F43" s="8">
        <f>B43/B42-1</f>
        <v/>
      </c>
      <c r="G43" s="11">
        <f>B43-B42</f>
        <v/>
      </c>
      <c r="H43" s="9">
        <f>B43*D43</f>
        <v/>
      </c>
      <c r="I43" s="8" t="n"/>
      <c r="J43" s="11">
        <f>AVERAGE(B39:B43)</f>
        <v/>
      </c>
      <c r="K43" s="8">
        <f>B43/$B$3-1</f>
        <v/>
      </c>
      <c r="L43" s="8" t="inlineStr">
        <is>
          <t>No</t>
        </is>
      </c>
    </row>
    <row r="44">
      <c r="A44" s="4" t="n">
        <v>45896</v>
      </c>
      <c r="B44" s="11" t="n">
        <v>1.615</v>
      </c>
      <c r="C44" s="6" t="n">
        <v>0</v>
      </c>
      <c r="D44" s="6" t="n">
        <v>161615445</v>
      </c>
      <c r="E44" s="11" t="n">
        <v>1.615</v>
      </c>
      <c r="F44" s="8">
        <f>B44/B43-1</f>
        <v/>
      </c>
      <c r="G44" s="11">
        <f>B44-B43</f>
        <v/>
      </c>
      <c r="H44" s="9">
        <f>B44*D44</f>
        <v/>
      </c>
      <c r="I44" s="8" t="n"/>
      <c r="J44" s="11">
        <f>AVERAGE(B40:B44)</f>
        <v/>
      </c>
      <c r="K44" s="8">
        <f>B44/$B$3-1</f>
        <v/>
      </c>
      <c r="L44" s="8" t="inlineStr">
        <is>
          <t>No</t>
        </is>
      </c>
    </row>
    <row r="45">
      <c r="A45" s="4" t="n">
        <v>45897</v>
      </c>
      <c r="B45" s="11" t="n">
        <v>1.615</v>
      </c>
      <c r="C45" s="6" t="n">
        <v>0</v>
      </c>
      <c r="D45" s="6" t="n">
        <v>161615445</v>
      </c>
      <c r="E45" s="11" t="n">
        <v>1.615</v>
      </c>
      <c r="F45" s="8">
        <f>B45/B44-1</f>
        <v/>
      </c>
      <c r="G45" s="11">
        <f>B45-B44</f>
        <v/>
      </c>
      <c r="H45" s="9">
        <f>B45*D45</f>
        <v/>
      </c>
      <c r="I45" s="8" t="n"/>
      <c r="J45" s="11">
        <f>AVERAGE(B41:B45)</f>
        <v/>
      </c>
      <c r="K45" s="8">
        <f>B45/$B$3-1</f>
        <v/>
      </c>
      <c r="L45" s="8" t="inlineStr">
        <is>
          <t>No</t>
        </is>
      </c>
    </row>
    <row r="46">
      <c r="A46" s="4" t="n">
        <v>45898</v>
      </c>
      <c r="B46" s="11" t="n">
        <v>1.575</v>
      </c>
      <c r="C46" s="6" t="n">
        <v>2226</v>
      </c>
      <c r="D46" s="6" t="n">
        <v>161615445</v>
      </c>
      <c r="E46" s="11" t="n">
        <v>1.575</v>
      </c>
      <c r="F46" s="8">
        <f>B46/B45-1</f>
        <v/>
      </c>
      <c r="G46" s="11">
        <f>B46-B45</f>
        <v/>
      </c>
      <c r="H46" s="9">
        <f>B46*D46</f>
        <v/>
      </c>
      <c r="I46" s="8" t="n"/>
      <c r="J46" s="11">
        <f>AVERAGE(B42:B46)</f>
        <v/>
      </c>
      <c r="K46" s="8">
        <f>B46/$B$3-1</f>
        <v/>
      </c>
      <c r="L46" s="8" t="inlineStr">
        <is>
          <t>Yes</t>
        </is>
      </c>
    </row>
    <row r="47">
      <c r="A47" s="4" t="n">
        <v>45901</v>
      </c>
      <c r="B47" s="11" t="n">
        <v>1.575</v>
      </c>
      <c r="C47" s="6" t="n">
        <v>0</v>
      </c>
      <c r="D47" s="6" t="n">
        <v>161615445</v>
      </c>
      <c r="E47" s="11" t="n">
        <v>1.575</v>
      </c>
      <c r="F47" s="8">
        <f>B47/B46-1</f>
        <v/>
      </c>
      <c r="G47" s="11">
        <f>B47-B46</f>
        <v/>
      </c>
      <c r="H47" s="9">
        <f>B47*D47</f>
        <v/>
      </c>
      <c r="I47" s="8" t="n"/>
      <c r="J47" s="11">
        <f>AVERAGE(B43:B47)</f>
        <v/>
      </c>
      <c r="K47" s="8">
        <f>B47/$B$3-1</f>
        <v/>
      </c>
      <c r="L47" s="8" t="inlineStr">
        <is>
          <t>No</t>
        </is>
      </c>
    </row>
    <row r="48">
      <c r="A48" s="4" t="n">
        <v>45902</v>
      </c>
      <c r="B48" s="11" t="n">
        <v>1.575</v>
      </c>
      <c r="C48" s="6" t="n">
        <v>0</v>
      </c>
      <c r="D48" s="6" t="n">
        <v>161615445</v>
      </c>
      <c r="E48" s="11" t="n">
        <v>1.575</v>
      </c>
      <c r="F48" s="8">
        <f>B48/B47-1</f>
        <v/>
      </c>
      <c r="G48" s="11">
        <f>B48-B47</f>
        <v/>
      </c>
      <c r="H48" s="9">
        <f>B48*D48</f>
        <v/>
      </c>
      <c r="I48" s="8" t="n"/>
      <c r="J48" s="11">
        <f>AVERAGE(B44:B48)</f>
        <v/>
      </c>
      <c r="K48" s="8">
        <f>B48/$B$3-1</f>
        <v/>
      </c>
      <c r="L48" s="8" t="inlineStr">
        <is>
          <t>No</t>
        </is>
      </c>
    </row>
    <row r="49">
      <c r="A49" s="4" t="n">
        <v>45903</v>
      </c>
      <c r="B49" s="11" t="n">
        <v>1.575</v>
      </c>
      <c r="C49" s="6" t="n">
        <v>0</v>
      </c>
      <c r="D49" s="6" t="n">
        <v>161615445</v>
      </c>
      <c r="E49" s="11" t="n">
        <v>1.575</v>
      </c>
      <c r="F49" s="8">
        <f>B49/B48-1</f>
        <v/>
      </c>
      <c r="G49" s="11">
        <f>B49-B48</f>
        <v/>
      </c>
      <c r="H49" s="9">
        <f>B49*D49</f>
        <v/>
      </c>
      <c r="I49" s="8" t="n"/>
      <c r="J49" s="11">
        <f>AVERAGE(B45:B49)</f>
        <v/>
      </c>
      <c r="K49" s="8">
        <f>B49/$B$3-1</f>
        <v/>
      </c>
      <c r="L49" s="8" t="inlineStr">
        <is>
          <t>No</t>
        </is>
      </c>
    </row>
    <row r="50">
      <c r="A50" s="4" t="n">
        <v>45904</v>
      </c>
      <c r="B50" s="11" t="n">
        <v>1.575</v>
      </c>
      <c r="C50" s="6" t="n">
        <v>0</v>
      </c>
      <c r="D50" s="6" t="n">
        <v>161615445</v>
      </c>
      <c r="E50" s="11" t="n">
        <v>1.575</v>
      </c>
      <c r="F50" s="8">
        <f>B50/B49-1</f>
        <v/>
      </c>
      <c r="G50" s="11">
        <f>B50-B49</f>
        <v/>
      </c>
      <c r="H50" s="9">
        <f>B50*D50</f>
        <v/>
      </c>
      <c r="I50" s="8" t="n"/>
      <c r="J50" s="11">
        <f>AVERAGE(B46:B50)</f>
        <v/>
      </c>
      <c r="K50" s="8">
        <f>B50/$B$3-1</f>
        <v/>
      </c>
      <c r="L50" s="8" t="inlineStr">
        <is>
          <t>No</t>
        </is>
      </c>
    </row>
    <row r="51">
      <c r="A51" s="4" t="n">
        <v>45905</v>
      </c>
      <c r="B51" s="11" t="n">
        <v>1.575</v>
      </c>
      <c r="C51" s="6" t="n">
        <v>0</v>
      </c>
      <c r="D51" s="6" t="n">
        <v>161615445</v>
      </c>
      <c r="E51" s="11" t="n">
        <v>1.575</v>
      </c>
      <c r="F51" s="8">
        <f>B51/B50-1</f>
        <v/>
      </c>
      <c r="G51" s="11">
        <f>B51-B50</f>
        <v/>
      </c>
      <c r="H51" s="9">
        <f>B51*D51</f>
        <v/>
      </c>
      <c r="I51" s="8" t="n"/>
      <c r="J51" s="11">
        <f>AVERAGE(B47:B51)</f>
        <v/>
      </c>
      <c r="K51" s="8">
        <f>B51/$B$3-1</f>
        <v/>
      </c>
      <c r="L51" s="8" t="inlineStr">
        <is>
          <t>No</t>
        </is>
      </c>
    </row>
    <row r="52">
      <c r="A52" s="4" t="n">
        <v>45908</v>
      </c>
      <c r="B52" s="11" t="n">
        <v>1.575</v>
      </c>
      <c r="C52" s="6" t="n">
        <v>0</v>
      </c>
      <c r="D52" s="6" t="n">
        <v>161615445</v>
      </c>
      <c r="E52" s="11" t="n">
        <v>1.575</v>
      </c>
      <c r="F52" s="8">
        <f>B52/B51-1</f>
        <v/>
      </c>
      <c r="G52" s="11">
        <f>B52-B51</f>
        <v/>
      </c>
      <c r="H52" s="9">
        <f>B52*D52</f>
        <v/>
      </c>
      <c r="I52" s="8" t="n"/>
      <c r="J52" s="11">
        <f>AVERAGE(B48:B52)</f>
        <v/>
      </c>
      <c r="K52" s="8">
        <f>B52/$B$3-1</f>
        <v/>
      </c>
      <c r="L52" s="8" t="inlineStr">
        <is>
          <t>No</t>
        </is>
      </c>
    </row>
    <row r="53">
      <c r="A53" s="4" t="n">
        <v>45909</v>
      </c>
      <c r="B53" s="11" t="n">
        <v>1.575</v>
      </c>
      <c r="C53" s="6" t="n">
        <v>0</v>
      </c>
      <c r="D53" s="6" t="n">
        <v>161615445</v>
      </c>
      <c r="E53" s="11" t="n">
        <v>1.575</v>
      </c>
      <c r="F53" s="8">
        <f>B53/B52-1</f>
        <v/>
      </c>
      <c r="G53" s="11">
        <f>B53-B52</f>
        <v/>
      </c>
      <c r="H53" s="9">
        <f>B53*D53</f>
        <v/>
      </c>
      <c r="I53" s="8" t="n"/>
      <c r="J53" s="11">
        <f>AVERAGE(B49:B53)</f>
        <v/>
      </c>
      <c r="K53" s="8">
        <f>B53/$B$3-1</f>
        <v/>
      </c>
      <c r="L53" s="8" t="inlineStr">
        <is>
          <t>No</t>
        </is>
      </c>
    </row>
    <row r="54">
      <c r="A54" s="4" t="n">
        <v>45910</v>
      </c>
      <c r="B54" s="11" t="n">
        <v>1.58</v>
      </c>
      <c r="C54" s="6" t="n">
        <v>34</v>
      </c>
      <c r="D54" s="6" t="n">
        <v>161615445</v>
      </c>
      <c r="E54" s="11" t="n">
        <v>1.58</v>
      </c>
      <c r="F54" s="8">
        <f>B54/B53-1</f>
        <v/>
      </c>
      <c r="G54" s="11">
        <f>B54-B53</f>
        <v/>
      </c>
      <c r="H54" s="9">
        <f>B54*D54</f>
        <v/>
      </c>
      <c r="I54" s="8" t="n"/>
      <c r="J54" s="11">
        <f>AVERAGE(B50:B54)</f>
        <v/>
      </c>
      <c r="K54" s="8">
        <f>B54/$B$3-1</f>
        <v/>
      </c>
      <c r="L54" s="8" t="inlineStr">
        <is>
          <t>Yes</t>
        </is>
      </c>
    </row>
    <row r="55">
      <c r="A55" s="4" t="n">
        <v>45911</v>
      </c>
      <c r="B55" s="11" t="n">
        <v>1.58</v>
      </c>
      <c r="C55" s="6" t="n">
        <v>32</v>
      </c>
      <c r="D55" s="6" t="n">
        <v>161615445</v>
      </c>
      <c r="E55" s="11" t="n">
        <v>1.58</v>
      </c>
      <c r="F55" s="8">
        <f>B55/B54-1</f>
        <v/>
      </c>
      <c r="G55" s="11">
        <f>B55-B54</f>
        <v/>
      </c>
      <c r="H55" s="9">
        <f>B55*D55</f>
        <v/>
      </c>
      <c r="I55" s="8" t="n"/>
      <c r="J55" s="11">
        <f>AVERAGE(B51:B55)</f>
        <v/>
      </c>
      <c r="K55" s="8">
        <f>B55/$B$3-1</f>
        <v/>
      </c>
      <c r="L55" s="8" t="inlineStr">
        <is>
          <t>Yes</t>
        </is>
      </c>
    </row>
    <row r="56">
      <c r="A56" s="4" t="n">
        <v>45912</v>
      </c>
      <c r="B56" s="11" t="n">
        <v>1.58</v>
      </c>
      <c r="C56" s="6" t="n">
        <v>0</v>
      </c>
      <c r="D56" s="6" t="n">
        <v>161615445</v>
      </c>
      <c r="E56" s="11" t="n">
        <v>1.58</v>
      </c>
      <c r="F56" s="8">
        <f>B56/B55-1</f>
        <v/>
      </c>
      <c r="G56" s="11">
        <f>B56-B55</f>
        <v/>
      </c>
      <c r="H56" s="9">
        <f>B56*D56</f>
        <v/>
      </c>
      <c r="I56" s="8" t="n"/>
      <c r="J56" s="11">
        <f>AVERAGE(B52:B56)</f>
        <v/>
      </c>
      <c r="K56" s="8">
        <f>B56/$B$3-1</f>
        <v/>
      </c>
      <c r="L56" s="8" t="inlineStr">
        <is>
          <t>No</t>
        </is>
      </c>
    </row>
    <row r="57">
      <c r="A57" s="4" t="n">
        <v>45915</v>
      </c>
      <c r="B57" s="11" t="n">
        <v>1.58</v>
      </c>
      <c r="C57" s="6" t="n">
        <v>0</v>
      </c>
      <c r="D57" s="6" t="n">
        <v>161615445</v>
      </c>
      <c r="E57" s="11" t="n">
        <v>1.58</v>
      </c>
      <c r="F57" s="8">
        <f>B57/B56-1</f>
        <v/>
      </c>
      <c r="G57" s="11">
        <f>B57-B56</f>
        <v/>
      </c>
      <c r="H57" s="9">
        <f>B57*D57</f>
        <v/>
      </c>
      <c r="I57" s="8" t="n"/>
      <c r="J57" s="11">
        <f>AVERAGE(B53:B57)</f>
        <v/>
      </c>
      <c r="K57" s="8">
        <f>B57/$B$3-1</f>
        <v/>
      </c>
      <c r="L57" s="8" t="inlineStr">
        <is>
          <t>No</t>
        </is>
      </c>
    </row>
    <row r="58">
      <c r="A58" s="4" t="n">
        <v>45916</v>
      </c>
      <c r="B58" s="11" t="n">
        <v>1.58</v>
      </c>
      <c r="C58" s="6" t="n">
        <v>0</v>
      </c>
      <c r="D58" s="6" t="n">
        <v>161615445</v>
      </c>
      <c r="E58" s="11" t="n">
        <v>1.58</v>
      </c>
      <c r="F58" s="8">
        <f>B58/B57-1</f>
        <v/>
      </c>
      <c r="G58" s="11">
        <f>B58-B57</f>
        <v/>
      </c>
      <c r="H58" s="9">
        <f>B58*D58</f>
        <v/>
      </c>
      <c r="I58" s="8" t="n"/>
      <c r="J58" s="11">
        <f>AVERAGE(B54:B58)</f>
        <v/>
      </c>
      <c r="K58" s="8">
        <f>B58/$B$3-1</f>
        <v/>
      </c>
      <c r="L58" s="8" t="inlineStr">
        <is>
          <t>No</t>
        </is>
      </c>
    </row>
    <row r="59">
      <c r="A59" s="4" t="n">
        <v>45917</v>
      </c>
      <c r="B59" s="11" t="n">
        <v>1.58</v>
      </c>
      <c r="C59" s="6" t="n">
        <v>0</v>
      </c>
      <c r="D59" s="6" t="n">
        <v>161615445</v>
      </c>
      <c r="E59" s="11" t="n">
        <v>1.58</v>
      </c>
      <c r="F59" s="8">
        <f>B59/B58-1</f>
        <v/>
      </c>
      <c r="G59" s="11">
        <f>B59-B58</f>
        <v/>
      </c>
      <c r="H59" s="9">
        <f>B59*D59</f>
        <v/>
      </c>
      <c r="I59" s="8" t="n"/>
      <c r="J59" s="11">
        <f>AVERAGE(B55:B59)</f>
        <v/>
      </c>
      <c r="K59" s="8">
        <f>B59/$B$3-1</f>
        <v/>
      </c>
      <c r="L59" s="8" t="inlineStr">
        <is>
          <t>No</t>
        </is>
      </c>
    </row>
    <row r="60">
      <c r="A60" s="4" t="n">
        <v>45918</v>
      </c>
      <c r="B60" s="11" t="n">
        <v>1.58</v>
      </c>
      <c r="C60" s="6" t="n">
        <v>0</v>
      </c>
      <c r="D60" s="6" t="n">
        <v>161615445</v>
      </c>
      <c r="E60" s="11" t="n">
        <v>1.58</v>
      </c>
      <c r="F60" s="8">
        <f>B60/B59-1</f>
        <v/>
      </c>
      <c r="G60" s="11">
        <f>B60-B59</f>
        <v/>
      </c>
      <c r="H60" s="9">
        <f>B60*D60</f>
        <v/>
      </c>
      <c r="I60" s="8" t="n"/>
      <c r="J60" s="11">
        <f>AVERAGE(B56:B60)</f>
        <v/>
      </c>
      <c r="K60" s="8">
        <f>B60/$B$3-1</f>
        <v/>
      </c>
      <c r="L60" s="8" t="inlineStr">
        <is>
          <t>No</t>
        </is>
      </c>
    </row>
    <row r="61">
      <c r="A61" s="4" t="n">
        <v>45919</v>
      </c>
      <c r="B61" s="11" t="n">
        <v>1.58</v>
      </c>
      <c r="C61" s="6" t="n">
        <v>0</v>
      </c>
      <c r="D61" s="6" t="n">
        <v>161615445</v>
      </c>
      <c r="E61" s="11" t="n">
        <v>1.58</v>
      </c>
      <c r="F61" s="8">
        <f>B61/B60-1</f>
        <v/>
      </c>
      <c r="G61" s="11">
        <f>B61-B60</f>
        <v/>
      </c>
      <c r="H61" s="9">
        <f>B61*D61</f>
        <v/>
      </c>
      <c r="I61" s="8" t="n"/>
      <c r="J61" s="11">
        <f>AVERAGE(B57:B61)</f>
        <v/>
      </c>
      <c r="K61" s="8">
        <f>B61/$B$3-1</f>
        <v/>
      </c>
      <c r="L61" s="8" t="inlineStr">
        <is>
          <t>No</t>
        </is>
      </c>
    </row>
    <row r="62">
      <c r="A62" s="4" t="n">
        <v>45922</v>
      </c>
      <c r="B62" s="11" t="n">
        <v>1.58</v>
      </c>
      <c r="C62" s="6" t="n">
        <v>0</v>
      </c>
      <c r="D62" s="6" t="n">
        <v>161615445</v>
      </c>
      <c r="E62" s="11" t="n">
        <v>1.58</v>
      </c>
      <c r="F62" s="8">
        <f>B62/B61-1</f>
        <v/>
      </c>
      <c r="G62" s="11">
        <f>B62-B61</f>
        <v/>
      </c>
      <c r="H62" s="9">
        <f>B62*D62</f>
        <v/>
      </c>
      <c r="I62" s="8" t="n"/>
      <c r="J62" s="11">
        <f>AVERAGE(B58:B62)</f>
        <v/>
      </c>
      <c r="K62" s="8">
        <f>B62/$B$3-1</f>
        <v/>
      </c>
      <c r="L62" s="8" t="inlineStr">
        <is>
          <t>No</t>
        </is>
      </c>
    </row>
    <row r="63">
      <c r="A63" s="4" t="n">
        <v>45923</v>
      </c>
      <c r="B63" s="11" t="n">
        <v>1.58</v>
      </c>
      <c r="C63" s="6" t="n">
        <v>0</v>
      </c>
      <c r="D63" s="6" t="n">
        <v>161615445</v>
      </c>
      <c r="E63" s="11" t="n">
        <v>1.58</v>
      </c>
      <c r="F63" s="8">
        <f>B63/B62-1</f>
        <v/>
      </c>
      <c r="G63" s="11">
        <f>B63-B62</f>
        <v/>
      </c>
      <c r="H63" s="9">
        <f>B63*D63</f>
        <v/>
      </c>
      <c r="I63" s="8" t="n"/>
      <c r="J63" s="11">
        <f>AVERAGE(B59:B63)</f>
        <v/>
      </c>
      <c r="K63" s="8">
        <f>B63/$B$3-1</f>
        <v/>
      </c>
      <c r="L63" s="8" t="inlineStr">
        <is>
          <t>No</t>
        </is>
      </c>
    </row>
    <row r="64">
      <c r="A64" s="4" t="n">
        <v>45924</v>
      </c>
      <c r="B64" s="11" t="n">
        <v>1.58</v>
      </c>
      <c r="C64" s="6" t="n">
        <v>0</v>
      </c>
      <c r="D64" s="6" t="n">
        <v>161615445</v>
      </c>
      <c r="E64" s="11" t="n">
        <v>1.58</v>
      </c>
      <c r="F64" s="8">
        <f>B64/B63-1</f>
        <v/>
      </c>
      <c r="G64" s="11">
        <f>B64-B63</f>
        <v/>
      </c>
      <c r="H64" s="9">
        <f>B64*D64</f>
        <v/>
      </c>
      <c r="I64" s="8" t="n"/>
      <c r="J64" s="11">
        <f>AVERAGE(B60:B64)</f>
        <v/>
      </c>
      <c r="K64" s="8">
        <f>B64/$B$3-1</f>
        <v/>
      </c>
      <c r="L64" s="8" t="inlineStr">
        <is>
          <t>No</t>
        </is>
      </c>
    </row>
    <row r="65">
      <c r="A65" s="4" t="n">
        <v>45925</v>
      </c>
      <c r="B65" s="11" t="n">
        <v>1.525</v>
      </c>
      <c r="C65" s="6" t="n">
        <v>980</v>
      </c>
      <c r="D65" s="6" t="n">
        <v>161615445</v>
      </c>
      <c r="E65" s="11" t="n">
        <v>1.525</v>
      </c>
      <c r="F65" s="8">
        <f>B65/B64-1</f>
        <v/>
      </c>
      <c r="G65" s="11">
        <f>B65-B64</f>
        <v/>
      </c>
      <c r="H65" s="9">
        <f>B65*D65</f>
        <v/>
      </c>
      <c r="I65" s="8" t="n"/>
      <c r="J65" s="11">
        <f>AVERAGE(B61:B65)</f>
        <v/>
      </c>
      <c r="K65" s="8">
        <f>B65/$B$3-1</f>
        <v/>
      </c>
      <c r="L65" s="8" t="inlineStr">
        <is>
          <t>Yes</t>
        </is>
      </c>
    </row>
    <row r="66">
      <c r="A66" s="4" t="n">
        <v>45926</v>
      </c>
      <c r="B66" s="11" t="n">
        <v>1.525</v>
      </c>
      <c r="C66" s="6" t="n">
        <v>0</v>
      </c>
      <c r="D66" s="6" t="n">
        <v>161615445</v>
      </c>
      <c r="E66" s="11" t="n">
        <v>1.525</v>
      </c>
      <c r="F66" s="8">
        <f>B66/B65-1</f>
        <v/>
      </c>
      <c r="G66" s="11">
        <f>B66-B65</f>
        <v/>
      </c>
      <c r="H66" s="9">
        <f>B66*D66</f>
        <v/>
      </c>
      <c r="I66" s="8" t="n"/>
      <c r="J66" s="11">
        <f>AVERAGE(B62:B66)</f>
        <v/>
      </c>
      <c r="K66" s="8">
        <f>B66/$B$3-1</f>
        <v/>
      </c>
      <c r="L66" s="8" t="inlineStr">
        <is>
          <t>No</t>
        </is>
      </c>
    </row>
    <row r="67">
      <c r="A67" s="4" t="n">
        <v>45929</v>
      </c>
      <c r="B67" s="11" t="n">
        <v>1.525</v>
      </c>
      <c r="C67" s="6" t="n">
        <v>0</v>
      </c>
      <c r="D67" s="6" t="n">
        <v>161615445</v>
      </c>
      <c r="E67" s="11" t="n">
        <v>1.525</v>
      </c>
      <c r="F67" s="8">
        <f>B67/B66-1</f>
        <v/>
      </c>
      <c r="G67" s="11">
        <f>B67-B66</f>
        <v/>
      </c>
      <c r="H67" s="9">
        <f>B67*D67</f>
        <v/>
      </c>
      <c r="I67" s="8" t="n"/>
      <c r="J67" s="11">
        <f>AVERAGE(B63:B67)</f>
        <v/>
      </c>
      <c r="K67" s="8">
        <f>B67/$B$3-1</f>
        <v/>
      </c>
      <c r="L67" s="8" t="inlineStr">
        <is>
          <t>No</t>
        </is>
      </c>
    </row>
    <row r="68">
      <c r="A68" s="4" t="n">
        <v>45930</v>
      </c>
      <c r="B68" s="11" t="n">
        <v>1.525</v>
      </c>
      <c r="C68" s="6" t="n">
        <v>0</v>
      </c>
      <c r="D68" s="6" t="n">
        <v>161615445</v>
      </c>
      <c r="E68" s="11" t="n">
        <v>1.525</v>
      </c>
      <c r="F68" s="8">
        <f>B68/B67-1</f>
        <v/>
      </c>
      <c r="G68" s="11">
        <f>B68-B67</f>
        <v/>
      </c>
      <c r="H68" s="9">
        <f>B68*D68</f>
        <v/>
      </c>
      <c r="I68" s="8" t="n"/>
      <c r="J68" s="11">
        <f>AVERAGE(B64:B68)</f>
        <v/>
      </c>
      <c r="K68" s="8">
        <f>B68/$B$3-1</f>
        <v/>
      </c>
      <c r="L68" s="8" t="inlineStr">
        <is>
          <t>No</t>
        </is>
      </c>
    </row>
    <row r="69">
      <c r="A69" s="4" t="n">
        <v>45931</v>
      </c>
      <c r="B69" s="11" t="n">
        <v>1.525</v>
      </c>
      <c r="C69" s="6" t="n">
        <v>0</v>
      </c>
      <c r="D69" s="6" t="n">
        <v>161615445</v>
      </c>
      <c r="E69" s="11" t="n">
        <v>1.525</v>
      </c>
      <c r="F69" s="8">
        <f>B69/B68-1</f>
        <v/>
      </c>
      <c r="G69" s="11">
        <f>B69-B68</f>
        <v/>
      </c>
      <c r="H69" s="9">
        <f>B69*D69</f>
        <v/>
      </c>
      <c r="I69" s="8" t="n"/>
      <c r="J69" s="11">
        <f>AVERAGE(B65:B69)</f>
        <v/>
      </c>
      <c r="K69" s="8">
        <f>B69/$B$3-1</f>
        <v/>
      </c>
      <c r="L69" s="8" t="inlineStr">
        <is>
          <t>No</t>
        </is>
      </c>
    </row>
    <row r="70">
      <c r="A70" s="4" t="n">
        <v>45932</v>
      </c>
      <c r="B70" s="11" t="n">
        <v>1.525</v>
      </c>
      <c r="C70" s="6" t="n">
        <v>0</v>
      </c>
      <c r="D70" s="6" t="n">
        <v>161615445</v>
      </c>
      <c r="E70" s="11" t="n">
        <v>1.525</v>
      </c>
      <c r="F70" s="8">
        <f>B70/B69-1</f>
        <v/>
      </c>
      <c r="G70" s="11">
        <f>B70-B69</f>
        <v/>
      </c>
      <c r="H70" s="9">
        <f>B70*D70</f>
        <v/>
      </c>
      <c r="I70" s="8" t="n"/>
      <c r="J70" s="11">
        <f>AVERAGE(B66:B70)</f>
        <v/>
      </c>
      <c r="K70" s="8">
        <f>B70/$B$3-1</f>
        <v/>
      </c>
      <c r="L70" s="8" t="inlineStr">
        <is>
          <t>No</t>
        </is>
      </c>
    </row>
    <row r="71">
      <c r="A71" s="4" t="n">
        <v>45933</v>
      </c>
      <c r="B71" s="11" t="n">
        <v>1.6</v>
      </c>
      <c r="C71" s="6" t="n">
        <v>8</v>
      </c>
      <c r="D71" s="6" t="n">
        <v>161615445</v>
      </c>
      <c r="E71" s="11" t="n">
        <v>1.6</v>
      </c>
      <c r="F71" s="8">
        <f>B71/B70-1</f>
        <v/>
      </c>
      <c r="G71" s="11">
        <f>B71-B70</f>
        <v/>
      </c>
      <c r="H71" s="9">
        <f>B71*D71</f>
        <v/>
      </c>
      <c r="I71" s="8" t="n"/>
      <c r="J71" s="11">
        <f>AVERAGE(B67:B71)</f>
        <v/>
      </c>
      <c r="K71" s="8">
        <f>B71/$B$3-1</f>
        <v/>
      </c>
      <c r="L71" s="8" t="inlineStr">
        <is>
          <t>Yes</t>
        </is>
      </c>
    </row>
    <row r="72">
      <c r="A72" s="4" t="n">
        <v>45936</v>
      </c>
      <c r="B72" s="11" t="n">
        <v>1.6</v>
      </c>
      <c r="C72" s="6" t="n">
        <v>350</v>
      </c>
      <c r="D72" s="6" t="n">
        <v>161615445</v>
      </c>
      <c r="E72" s="11" t="n">
        <v>1.6</v>
      </c>
      <c r="F72" s="8">
        <f>B72/B71-1</f>
        <v/>
      </c>
      <c r="G72" s="11">
        <f>B72-B71</f>
        <v/>
      </c>
      <c r="H72" s="9">
        <f>B72*D72</f>
        <v/>
      </c>
      <c r="I72" s="8" t="n"/>
      <c r="J72" s="11">
        <f>AVERAGE(B68:B72)</f>
        <v/>
      </c>
      <c r="K72" s="8">
        <f>B72/$B$3-1</f>
        <v/>
      </c>
      <c r="L72" s="8" t="inlineStr">
        <is>
          <t>Yes</t>
        </is>
      </c>
    </row>
    <row r="73">
      <c r="A73" s="4" t="n">
        <v>45937</v>
      </c>
      <c r="B73" s="11" t="n">
        <v>1.6</v>
      </c>
      <c r="C73" s="6" t="n">
        <v>0</v>
      </c>
      <c r="D73" s="6" t="n">
        <v>161615445</v>
      </c>
      <c r="E73" s="11" t="n">
        <v>1.6</v>
      </c>
      <c r="F73" s="8">
        <f>B73/B72-1</f>
        <v/>
      </c>
      <c r="G73" s="11">
        <f>B73-B72</f>
        <v/>
      </c>
      <c r="H73" s="9">
        <f>B73*D73</f>
        <v/>
      </c>
      <c r="I73" s="8" t="n"/>
      <c r="J73" s="11">
        <f>AVERAGE(B69:B73)</f>
        <v/>
      </c>
      <c r="K73" s="8">
        <f>B73/$B$3-1</f>
        <v/>
      </c>
      <c r="L73" s="8" t="inlineStr">
        <is>
          <t>No</t>
        </is>
      </c>
    </row>
    <row r="74">
      <c r="A74" s="4" t="n">
        <v>45938</v>
      </c>
      <c r="B74" s="11" t="n">
        <v>1.6</v>
      </c>
      <c r="C74" s="6" t="n">
        <v>0</v>
      </c>
      <c r="D74" s="6" t="n">
        <v>161615445</v>
      </c>
      <c r="E74" s="11" t="n">
        <v>1.6</v>
      </c>
      <c r="F74" s="8">
        <f>B74/B73-1</f>
        <v/>
      </c>
      <c r="G74" s="11">
        <f>B74-B73</f>
        <v/>
      </c>
      <c r="H74" s="9">
        <f>B74*D74</f>
        <v/>
      </c>
      <c r="I74" s="8" t="n"/>
      <c r="J74" s="11">
        <f>AVERAGE(B70:B74)</f>
        <v/>
      </c>
      <c r="K74" s="8">
        <f>B74/$B$3-1</f>
        <v/>
      </c>
      <c r="L74" s="8" t="inlineStr">
        <is>
          <t>No</t>
        </is>
      </c>
    </row>
    <row r="75">
      <c r="A75" s="4" t="n">
        <v>45939</v>
      </c>
      <c r="B75" s="11" t="n">
        <v>1.6</v>
      </c>
      <c r="C75" s="6" t="n">
        <v>0</v>
      </c>
      <c r="D75" s="6" t="n">
        <v>161615445</v>
      </c>
      <c r="E75" s="11" t="n">
        <v>1.6</v>
      </c>
      <c r="F75" s="8">
        <f>B75/B74-1</f>
        <v/>
      </c>
      <c r="G75" s="11">
        <f>B75-B74</f>
        <v/>
      </c>
      <c r="H75" s="9">
        <f>B75*D75</f>
        <v/>
      </c>
      <c r="I75" s="8" t="n"/>
      <c r="J75" s="11">
        <f>AVERAGE(B71:B75)</f>
        <v/>
      </c>
      <c r="K75" s="8">
        <f>B75/$B$3-1</f>
        <v/>
      </c>
      <c r="L75" s="8" t="inlineStr">
        <is>
          <t>No</t>
        </is>
      </c>
    </row>
    <row r="76">
      <c r="A76" s="4" t="n">
        <v>45940</v>
      </c>
      <c r="B76" s="11" t="n">
        <v>1.6</v>
      </c>
      <c r="C76" s="6" t="n">
        <v>0</v>
      </c>
      <c r="D76" s="6" t="n">
        <v>161615445</v>
      </c>
      <c r="E76" s="11" t="n">
        <v>1.6</v>
      </c>
      <c r="F76" s="8">
        <f>B76/B75-1</f>
        <v/>
      </c>
      <c r="G76" s="11">
        <f>B76-B75</f>
        <v/>
      </c>
      <c r="H76" s="9">
        <f>B76*D76</f>
        <v/>
      </c>
      <c r="I76" s="8" t="n"/>
      <c r="J76" s="11">
        <f>AVERAGE(B72:B76)</f>
        <v/>
      </c>
      <c r="K76" s="8">
        <f>B76/$B$3-1</f>
        <v/>
      </c>
      <c r="L76" s="8" t="inlineStr">
        <is>
          <t>No</t>
        </is>
      </c>
    </row>
    <row r="77">
      <c r="A77" s="4" t="n">
        <v>45943</v>
      </c>
      <c r="B77" s="11" t="n">
        <v>2.18</v>
      </c>
      <c r="C77" s="6" t="n">
        <v>23082</v>
      </c>
      <c r="D77" s="6" t="n">
        <v>161615445</v>
      </c>
      <c r="E77" s="11" t="n">
        <v>2.18</v>
      </c>
      <c r="F77" s="8">
        <f>B77/B76-1</f>
        <v/>
      </c>
      <c r="G77" s="11">
        <f>B77-B76</f>
        <v/>
      </c>
      <c r="H77" s="9">
        <f>B77*D77</f>
        <v/>
      </c>
      <c r="I77" s="8" t="n"/>
      <c r="J77" s="11">
        <f>AVERAGE(B73:B77)</f>
        <v/>
      </c>
      <c r="K77" s="8">
        <f>B77/$B$3-1</f>
        <v/>
      </c>
      <c r="L77" s="8" t="inlineStr">
        <is>
          <t>Yes</t>
        </is>
      </c>
    </row>
    <row r="78">
      <c r="A78" s="4" t="n">
        <v>45944</v>
      </c>
      <c r="B78" s="11" t="n">
        <v>2.18</v>
      </c>
      <c r="C78" s="6" t="n">
        <v>2881</v>
      </c>
      <c r="D78" s="6" t="n">
        <v>161615445</v>
      </c>
      <c r="E78" s="11" t="n">
        <v>2.18</v>
      </c>
      <c r="F78" s="8">
        <f>B78/B77-1</f>
        <v/>
      </c>
      <c r="G78" s="11">
        <f>B78-B77</f>
        <v/>
      </c>
      <c r="H78" s="9">
        <f>B78*D78</f>
        <v/>
      </c>
      <c r="I78" s="8" t="n"/>
      <c r="J78" s="11">
        <f>AVERAGE(B74:B78)</f>
        <v/>
      </c>
      <c r="K78" s="8">
        <f>B78/$B$3-1</f>
        <v/>
      </c>
      <c r="L78" s="8" t="inlineStr">
        <is>
          <t>Yes</t>
        </is>
      </c>
    </row>
    <row r="79">
      <c r="A79" s="4" t="n">
        <v>45945</v>
      </c>
      <c r="B79" s="11" t="n">
        <v>2.19</v>
      </c>
      <c r="C79" s="6" t="n">
        <v>8</v>
      </c>
      <c r="D79" s="6" t="n">
        <v>161615445</v>
      </c>
      <c r="E79" s="11" t="n">
        <v>2.19</v>
      </c>
      <c r="F79" s="8">
        <f>B79/B78-1</f>
        <v/>
      </c>
      <c r="G79" s="11">
        <f>B79-B78</f>
        <v/>
      </c>
      <c r="H79" s="9">
        <f>B79*D79</f>
        <v/>
      </c>
      <c r="I79" s="8" t="n"/>
      <c r="J79" s="11">
        <f>AVERAGE(B75:B79)</f>
        <v/>
      </c>
      <c r="K79" s="8">
        <f>B79/$B$3-1</f>
        <v/>
      </c>
      <c r="L79" s="8" t="inlineStr">
        <is>
          <t>Yes</t>
        </is>
      </c>
    </row>
    <row r="80">
      <c r="A80" s="4" t="n">
        <v>45946</v>
      </c>
      <c r="B80" s="11" t="n">
        <v>2.19</v>
      </c>
      <c r="C80" s="6" t="n">
        <v>0</v>
      </c>
      <c r="D80" s="6" t="n">
        <v>161615445</v>
      </c>
      <c r="E80" s="11" t="n">
        <v>2.19</v>
      </c>
      <c r="F80" s="8">
        <f>B80/B79-1</f>
        <v/>
      </c>
      <c r="G80" s="11">
        <f>B80-B79</f>
        <v/>
      </c>
      <c r="H80" s="9">
        <f>B80*D80</f>
        <v/>
      </c>
      <c r="I80" s="8" t="n"/>
      <c r="J80" s="11">
        <f>AVERAGE(B76:B80)</f>
        <v/>
      </c>
      <c r="K80" s="8">
        <f>B80/$B$3-1</f>
        <v/>
      </c>
      <c r="L80" s="8" t="inlineStr">
        <is>
          <t>No</t>
        </is>
      </c>
    </row>
    <row r="81">
      <c r="A81" s="4" t="n">
        <v>45947</v>
      </c>
      <c r="B81" s="11" t="n">
        <v>2.18</v>
      </c>
      <c r="C81" s="6" t="n">
        <v>17</v>
      </c>
      <c r="D81" s="6" t="n">
        <v>161615445</v>
      </c>
      <c r="E81" s="11" t="n">
        <v>2.18</v>
      </c>
      <c r="F81" s="8">
        <f>B81/B80-1</f>
        <v/>
      </c>
      <c r="G81" s="11">
        <f>B81-B80</f>
        <v/>
      </c>
      <c r="H81" s="9">
        <f>B81*D81</f>
        <v/>
      </c>
      <c r="I81" s="8" t="n"/>
      <c r="J81" s="11">
        <f>AVERAGE(B77:B81)</f>
        <v/>
      </c>
      <c r="K81" s="8">
        <f>B81/$B$3-1</f>
        <v/>
      </c>
      <c r="L81" s="8" t="inlineStr">
        <is>
          <t>Yes</t>
        </is>
      </c>
    </row>
    <row r="82">
      <c r="A82" s="4" t="n">
        <v>45950</v>
      </c>
      <c r="B82" s="11" t="n">
        <v>2.18</v>
      </c>
      <c r="C82" s="6" t="n">
        <v>2</v>
      </c>
      <c r="D82" s="6" t="n">
        <v>161615445</v>
      </c>
      <c r="E82" s="11" t="n">
        <v>2.18</v>
      </c>
      <c r="F82" s="8">
        <f>B82/B81-1</f>
        <v/>
      </c>
      <c r="G82" s="11">
        <f>B82-B81</f>
        <v/>
      </c>
      <c r="H82" s="9">
        <f>B82*D82</f>
        <v/>
      </c>
      <c r="I82" s="8" t="n"/>
      <c r="J82" s="11">
        <f>AVERAGE(B78:B82)</f>
        <v/>
      </c>
      <c r="K82" s="8">
        <f>B82/$B$3-1</f>
        <v/>
      </c>
      <c r="L82" s="8" t="inlineStr">
        <is>
          <t>Yes</t>
        </is>
      </c>
    </row>
    <row r="83">
      <c r="A83" s="4" t="n">
        <v>45951</v>
      </c>
      <c r="B83" s="11" t="n">
        <v>2.18</v>
      </c>
      <c r="C83" s="6" t="n">
        <v>37</v>
      </c>
      <c r="D83" s="6" t="n">
        <v>161615445</v>
      </c>
      <c r="E83" s="11" t="n">
        <v>2.18</v>
      </c>
      <c r="F83" s="8">
        <f>B83/B82-1</f>
        <v/>
      </c>
      <c r="G83" s="11">
        <f>B83-B82</f>
        <v/>
      </c>
      <c r="H83" s="9">
        <f>B83*D83</f>
        <v/>
      </c>
      <c r="I83" s="8" t="n"/>
      <c r="J83" s="11">
        <f>AVERAGE(B79:B83)</f>
        <v/>
      </c>
      <c r="K83" s="8">
        <f>B83/$B$3-1</f>
        <v/>
      </c>
      <c r="L83" s="8" t="inlineStr">
        <is>
          <t>Yes</t>
        </is>
      </c>
    </row>
    <row r="84">
      <c r="A84" s="4" t="n">
        <v>45952</v>
      </c>
      <c r="B84" s="11" t="n">
        <v>2.19</v>
      </c>
      <c r="C84" s="6" t="n">
        <v>5</v>
      </c>
      <c r="D84" s="6" t="n">
        <v>161615445</v>
      </c>
      <c r="E84" s="11" t="n">
        <v>2.19</v>
      </c>
      <c r="F84" s="8">
        <f>B84/B83-1</f>
        <v/>
      </c>
      <c r="G84" s="11">
        <f>B84-B83</f>
        <v/>
      </c>
      <c r="H84" s="9">
        <f>B84*D84</f>
        <v/>
      </c>
      <c r="I84" s="8" t="n"/>
      <c r="J84" s="11">
        <f>AVERAGE(B80:B84)</f>
        <v/>
      </c>
      <c r="K84" s="8">
        <f>B84/$B$3-1</f>
        <v/>
      </c>
      <c r="L84" s="8" t="inlineStr">
        <is>
          <t>Yes</t>
        </is>
      </c>
    </row>
    <row r="85">
      <c r="A85" s="4" t="n">
        <v>45953</v>
      </c>
      <c r="B85" s="11" t="n">
        <v>2.19</v>
      </c>
      <c r="C85" s="6" t="n">
        <v>0</v>
      </c>
      <c r="D85" s="6" t="n">
        <v>161615445</v>
      </c>
      <c r="E85" s="11" t="n">
        <v>2.19</v>
      </c>
      <c r="F85" s="8">
        <f>B85/B84-1</f>
        <v/>
      </c>
      <c r="G85" s="11">
        <f>B85-B84</f>
        <v/>
      </c>
      <c r="H85" s="9">
        <f>B85*D85</f>
        <v/>
      </c>
      <c r="I85" s="8" t="n"/>
      <c r="J85" s="11">
        <f>AVERAGE(B81:B85)</f>
        <v/>
      </c>
      <c r="K85" s="8">
        <f>B85/$B$3-1</f>
        <v/>
      </c>
      <c r="L85" s="8" t="inlineStr">
        <is>
          <t>No</t>
        </is>
      </c>
    </row>
    <row r="86">
      <c r="A86" s="4" t="n">
        <v>45954</v>
      </c>
      <c r="B86" s="11" t="n">
        <v>2.18</v>
      </c>
      <c r="C86" s="6" t="n">
        <v>5</v>
      </c>
      <c r="D86" s="6" t="n">
        <v>161615445</v>
      </c>
      <c r="E86" s="11" t="n">
        <v>2.18</v>
      </c>
      <c r="F86" s="8">
        <f>B86/B85-1</f>
        <v/>
      </c>
      <c r="G86" s="11">
        <f>B86-B85</f>
        <v/>
      </c>
      <c r="H86" s="9">
        <f>B86*D86</f>
        <v/>
      </c>
      <c r="I86" s="8" t="n"/>
      <c r="J86" s="11">
        <f>AVERAGE(B82:B86)</f>
        <v/>
      </c>
      <c r="K86" s="8">
        <f>B86/$B$3-1</f>
        <v/>
      </c>
      <c r="L86" s="8" t="inlineStr">
        <is>
          <t>Yes</t>
        </is>
      </c>
    </row>
    <row r="87">
      <c r="A87" s="4" t="n">
        <v>45957</v>
      </c>
      <c r="B87" s="11" t="n">
        <v>2.18</v>
      </c>
      <c r="C87" s="6" t="n">
        <v>2</v>
      </c>
      <c r="D87" s="6" t="n">
        <v>161615445</v>
      </c>
      <c r="E87" s="11" t="n">
        <v>2.18</v>
      </c>
      <c r="F87" s="8">
        <f>B87/B86-1</f>
        <v/>
      </c>
      <c r="G87" s="11">
        <f>B87-B86</f>
        <v/>
      </c>
      <c r="H87" s="9">
        <f>B87*D87</f>
        <v/>
      </c>
      <c r="I87" s="8" t="n"/>
      <c r="J87" s="11">
        <f>AVERAGE(B83:B87)</f>
        <v/>
      </c>
      <c r="K87" s="8">
        <f>B87/$B$3-1</f>
        <v/>
      </c>
      <c r="L87" s="8" t="inlineStr">
        <is>
          <t>Yes</t>
        </is>
      </c>
    </row>
    <row r="88">
      <c r="A88" s="4" t="n">
        <v>45958</v>
      </c>
      <c r="B88" s="11" t="n">
        <v>2.18</v>
      </c>
      <c r="C88" s="6" t="n">
        <v>920</v>
      </c>
      <c r="D88" s="6" t="n">
        <v>161615445</v>
      </c>
      <c r="E88" s="11" t="n">
        <v>2.18</v>
      </c>
      <c r="F88" s="8">
        <f>B88/B87-1</f>
        <v/>
      </c>
      <c r="G88" s="11">
        <f>B88-B87</f>
        <v/>
      </c>
      <c r="H88" s="9">
        <f>B88*D88</f>
        <v/>
      </c>
      <c r="I88" s="8" t="n"/>
      <c r="J88" s="11">
        <f>AVERAGE(B84:B88)</f>
        <v/>
      </c>
      <c r="K88" s="8">
        <f>B88/$B$3-1</f>
        <v/>
      </c>
      <c r="L88" s="8" t="inlineStr">
        <is>
          <t>Yes</t>
        </is>
      </c>
    </row>
    <row r="89">
      <c r="A89" s="4" t="n">
        <v>45959</v>
      </c>
      <c r="B89" s="11" t="n">
        <v>2.18</v>
      </c>
      <c r="C89" s="6" t="n">
        <v>56</v>
      </c>
      <c r="D89" s="6" t="n">
        <v>161615445</v>
      </c>
      <c r="E89" s="11" t="n">
        <v>2.18</v>
      </c>
      <c r="F89" s="8">
        <f>B89/B88-1</f>
        <v/>
      </c>
      <c r="G89" s="11">
        <f>B89-B88</f>
        <v/>
      </c>
      <c r="H89" s="9">
        <f>B89*D89</f>
        <v/>
      </c>
      <c r="I89" s="8" t="n"/>
      <c r="J89" s="11">
        <f>AVERAGE(B85:B89)</f>
        <v/>
      </c>
      <c r="K89" s="8">
        <f>B89/$B$3-1</f>
        <v/>
      </c>
      <c r="L89" s="8" t="inlineStr">
        <is>
          <t>Yes</t>
        </is>
      </c>
    </row>
    <row r="90">
      <c r="A90" s="4" t="n">
        <v>45960</v>
      </c>
      <c r="B90" s="11" t="n">
        <v>2.19</v>
      </c>
      <c r="C90" s="6" t="n">
        <v>2396</v>
      </c>
      <c r="D90" s="6" t="n">
        <v>161615445</v>
      </c>
      <c r="E90" s="11" t="n">
        <v>2.19</v>
      </c>
      <c r="F90" s="8">
        <f>B90/B89-1</f>
        <v/>
      </c>
      <c r="G90" s="11">
        <f>B90-B89</f>
        <v/>
      </c>
      <c r="H90" s="9">
        <f>B90*D90</f>
        <v/>
      </c>
      <c r="I90" s="8" t="n"/>
      <c r="J90" s="11">
        <f>AVERAGE(B86:B90)</f>
        <v/>
      </c>
      <c r="K90" s="8">
        <f>B90/$B$3-1</f>
        <v/>
      </c>
      <c r="L90" s="8" t="inlineStr">
        <is>
          <t>Yes</t>
        </is>
      </c>
    </row>
    <row r="91">
      <c r="A91" s="4" t="n">
        <v>45961</v>
      </c>
      <c r="B91" s="11" t="n">
        <v>2.18</v>
      </c>
      <c r="C91" s="6" t="n">
        <v>745</v>
      </c>
      <c r="D91" s="6" t="n">
        <v>161615445</v>
      </c>
      <c r="E91" s="11" t="n">
        <v>2.18</v>
      </c>
      <c r="F91" s="8">
        <f>B91/B90-1</f>
        <v/>
      </c>
      <c r="G91" s="11">
        <f>B91-B90</f>
        <v/>
      </c>
      <c r="H91" s="9">
        <f>B91*D91</f>
        <v/>
      </c>
      <c r="I91" s="8" t="n"/>
      <c r="J91" s="11">
        <f>AVERAGE(B87:B91)</f>
        <v/>
      </c>
      <c r="K91" s="8">
        <f>B91/$B$3-1</f>
        <v/>
      </c>
      <c r="L91" s="8" t="inlineStr">
        <is>
          <t>Yes</t>
        </is>
      </c>
    </row>
    <row r="92">
      <c r="A92" s="4" t="n">
        <v>45964</v>
      </c>
      <c r="B92" s="11" t="n">
        <v>2.18</v>
      </c>
      <c r="C92" s="6" t="n">
        <v>0</v>
      </c>
      <c r="D92" s="6" t="n">
        <v>161615445</v>
      </c>
      <c r="E92" s="11" t="n">
        <v>2.18</v>
      </c>
      <c r="F92" s="8">
        <f>B92/B91-1</f>
        <v/>
      </c>
      <c r="G92" s="11">
        <f>B92-B91</f>
        <v/>
      </c>
      <c r="H92" s="9">
        <f>B92*D92</f>
        <v/>
      </c>
      <c r="I92" s="8" t="n"/>
      <c r="J92" s="11">
        <f>AVERAGE(B88:B92)</f>
        <v/>
      </c>
      <c r="K92" s="8">
        <f>B92/$B$3-1</f>
        <v/>
      </c>
      <c r="L92" s="8" t="inlineStr">
        <is>
          <t>No</t>
        </is>
      </c>
    </row>
    <row r="93">
      <c r="A93" s="4" t="n">
        <v>45965</v>
      </c>
      <c r="B93" s="11" t="n">
        <v>2.18</v>
      </c>
      <c r="C93" s="6" t="n">
        <v>0</v>
      </c>
      <c r="D93" s="6" t="n">
        <v>161615445</v>
      </c>
      <c r="E93" s="11" t="n">
        <v>2.18</v>
      </c>
      <c r="F93" s="8">
        <f>B93/B92-1</f>
        <v/>
      </c>
      <c r="G93" s="11">
        <f>B93-B92</f>
        <v/>
      </c>
      <c r="H93" s="9">
        <f>B93*D93</f>
        <v/>
      </c>
      <c r="I93" s="8" t="n"/>
      <c r="J93" s="11">
        <f>AVERAGE(B89:B93)</f>
        <v/>
      </c>
      <c r="K93" s="8">
        <f>B93/$B$3-1</f>
        <v/>
      </c>
      <c r="L93" s="8" t="inlineStr">
        <is>
          <t>No</t>
        </is>
      </c>
    </row>
    <row r="94">
      <c r="A94" s="4" t="n">
        <v>45966</v>
      </c>
      <c r="B94" s="11" t="n">
        <v>2.18</v>
      </c>
      <c r="C94" s="6" t="n">
        <v>0</v>
      </c>
      <c r="D94" s="6" t="n">
        <v>161615445</v>
      </c>
      <c r="E94" s="11" t="n">
        <v>2.18</v>
      </c>
      <c r="F94" s="8">
        <f>B94/B93-1</f>
        <v/>
      </c>
      <c r="G94" s="11">
        <f>B94-B93</f>
        <v/>
      </c>
      <c r="H94" s="9">
        <f>B94*D94</f>
        <v/>
      </c>
      <c r="I94" s="8" t="n"/>
      <c r="J94" s="11">
        <f>AVERAGE(B90:B94)</f>
        <v/>
      </c>
      <c r="K94" s="8">
        <f>B94/$B$3-1</f>
        <v/>
      </c>
      <c r="L94" s="8" t="inlineStr">
        <is>
          <t>No</t>
        </is>
      </c>
    </row>
    <row r="97">
      <c r="A97" s="12" t="inlineStr">
        <is>
          <t>$1,000 Buy-and-Hold Portfolio</t>
        </is>
      </c>
    </row>
    <row r="98">
      <c r="A98" s="2" t="inlineStr">
        <is>
          <t>Initial capital</t>
        </is>
      </c>
      <c r="B98" t="n">
        <v>1000</v>
      </c>
      <c r="C98" s="13" t="inlineStr">
        <is>
          <t>Assumption</t>
        </is>
      </c>
    </row>
    <row r="99">
      <c r="A99" s="2" t="inlineStr">
        <is>
          <t>Buy date</t>
        </is>
      </c>
      <c r="B99" s="10" t="n">
        <v>45839</v>
      </c>
      <c r="C99" s="13" t="inlineStr">
        <is>
          <t>First tradable record</t>
        </is>
      </c>
    </row>
    <row r="100">
      <c r="A100" s="2" t="inlineStr">
        <is>
          <t>Buy price</t>
        </is>
      </c>
      <c r="B100" s="11" t="n">
        <v>1.48</v>
      </c>
      <c r="C100" s="13" t="inlineStr">
        <is>
          <t>Close price</t>
        </is>
      </c>
    </row>
    <row r="101">
      <c r="A101" s="2" t="inlineStr">
        <is>
          <t>Shares purchased</t>
        </is>
      </c>
      <c r="B101" s="6" t="n">
        <v>675</v>
      </c>
      <c r="C101" s="13" t="inlineStr">
        <is>
          <t>INT(Initial capital / Buy price)</t>
        </is>
      </c>
    </row>
    <row r="102">
      <c r="A102" s="2" t="inlineStr">
        <is>
          <t>Remaining cash</t>
        </is>
      </c>
      <c r="B102" s="14" t="n">
        <v>1</v>
      </c>
      <c r="C102" s="13" t="inlineStr">
        <is>
          <t>Initial capital - Shares x Buy price</t>
        </is>
      </c>
    </row>
    <row r="103">
      <c r="A103" s="2" t="inlineStr">
        <is>
          <t>Valuation date</t>
        </is>
      </c>
      <c r="B103" s="10" t="n">
        <v>45961</v>
      </c>
      <c r="C103" s="13" t="inlineStr">
        <is>
          <t>Last tradable record available</t>
        </is>
      </c>
    </row>
    <row r="104">
      <c r="A104" s="2" t="inlineStr">
        <is>
          <t>Ending close</t>
        </is>
      </c>
      <c r="B104" s="14" t="n">
        <v>2.18</v>
      </c>
      <c r="C104" s="13" t="inlineStr">
        <is>
          <t>Close price</t>
        </is>
      </c>
    </row>
    <row r="105">
      <c r="A105" s="2" t="inlineStr">
        <is>
          <t>Ending portfolio value</t>
        </is>
      </c>
      <c r="B105" s="14" t="n">
        <v>1472.5</v>
      </c>
      <c r="C105" s="13" t="inlineStr">
        <is>
          <t>Shares x Ending close + Remaining cash</t>
        </is>
      </c>
    </row>
    <row r="106">
      <c r="A106" s="2" t="inlineStr">
        <is>
          <t>Portfolio profit</t>
        </is>
      </c>
      <c r="B106" s="14" t="n">
        <v>472.5</v>
      </c>
      <c r="C106" s="13" t="inlineStr">
        <is>
          <t>Ending value - Initial capital</t>
        </is>
      </c>
    </row>
    <row r="107">
      <c r="A107" s="2" t="inlineStr">
        <is>
          <t>Portfolio return</t>
        </is>
      </c>
      <c r="B107" s="8" t="n">
        <v>0.4724999999999999</v>
      </c>
      <c r="C107" s="13" t="inlineStr">
        <is>
          <t>Ending value / Initial capital - 1</t>
        </is>
      </c>
    </row>
    <row r="108">
      <c r="A108" s="2" t="inlineStr">
        <is>
          <t>Dividend treatment</t>
        </is>
      </c>
      <c r="B108" t="inlineStr">
        <is>
          <t>No dividend added</t>
        </is>
      </c>
      <c r="C108" s="13" t="inlineStr">
        <is>
          <t>No FY2025-26 dividend record supplied</t>
        </is>
      </c>
    </row>
    <row r="111">
      <c r="A111" s="12" t="inlineStr">
        <is>
          <t>Single Trade Maximum Profit</t>
        </is>
      </c>
    </row>
    <row r="112">
      <c r="A112" s="2" t="inlineStr">
        <is>
          <t>Buy Date</t>
        </is>
      </c>
      <c r="B112" s="10" t="n">
        <v>45839</v>
      </c>
      <c r="C112" s="13" t="inlineStr">
        <is>
          <t>Uses close prices, $1,000 limit, no fees or slippage</t>
        </is>
      </c>
    </row>
    <row r="113">
      <c r="A113" s="2" t="inlineStr">
        <is>
          <t>Buy Price</t>
        </is>
      </c>
      <c r="B113" s="11" t="n">
        <v>1.48</v>
      </c>
      <c r="C113" s="13" t="inlineStr">
        <is>
          <t>Uses close prices, $1,000 limit, no fees or slippage</t>
        </is>
      </c>
    </row>
    <row r="114">
      <c r="A114" s="2" t="inlineStr">
        <is>
          <t>Sell Date</t>
        </is>
      </c>
      <c r="B114" s="10" t="n">
        <v>45945</v>
      </c>
      <c r="C114" s="13" t="inlineStr">
        <is>
          <t>Uses close prices, $1,000 limit, no fees or slippage</t>
        </is>
      </c>
    </row>
    <row r="115">
      <c r="A115" s="2" t="inlineStr">
        <is>
          <t>Sell Price</t>
        </is>
      </c>
      <c r="B115" s="11" t="n">
        <v>2.19</v>
      </c>
      <c r="C115" s="13" t="inlineStr">
        <is>
          <t>Uses close prices, $1,000 limit, no fees or slippage</t>
        </is>
      </c>
    </row>
    <row r="116">
      <c r="A116" s="2" t="inlineStr">
        <is>
          <t>Shares</t>
        </is>
      </c>
      <c r="B116" t="n">
        <v>675</v>
      </c>
      <c r="C116" s="13" t="inlineStr">
        <is>
          <t>Uses close prices, $1,000 limit, no fees or slippage</t>
        </is>
      </c>
    </row>
    <row r="117">
      <c r="A117" s="2" t="inlineStr">
        <is>
          <t>Initial Cash</t>
        </is>
      </c>
      <c r="B117" s="11" t="n">
        <v>1</v>
      </c>
      <c r="C117" s="13" t="inlineStr">
        <is>
          <t>Uses close prices, $1,000 limit, no fees or slippage</t>
        </is>
      </c>
    </row>
    <row r="118">
      <c r="A118" s="2" t="inlineStr">
        <is>
          <t>Profit</t>
        </is>
      </c>
      <c r="B118" s="11" t="n">
        <v>479.25</v>
      </c>
      <c r="C118" s="13" t="inlineStr">
        <is>
          <t>Uses close prices, $1,000 limit, no fees or slippage</t>
        </is>
      </c>
    </row>
    <row r="119">
      <c r="A119" s="2" t="inlineStr">
        <is>
          <t>Return</t>
        </is>
      </c>
      <c r="B119" s="8" t="n">
        <v>0.47925</v>
      </c>
      <c r="C119" s="13" t="inlineStr">
        <is>
          <t>Uses close prices, $1,000 limit, no fees or slippage</t>
        </is>
      </c>
    </row>
    <row r="122">
      <c r="A122" s="12" t="inlineStr">
        <is>
          <t>Multiple Trades</t>
        </is>
      </c>
    </row>
    <row r="123">
      <c r="A123" s="3" t="inlineStr">
        <is>
          <t>Trade</t>
        </is>
      </c>
      <c r="B123" s="3" t="inlineStr">
        <is>
          <t>Buy Date</t>
        </is>
      </c>
      <c r="C123" s="15" t="inlineStr">
        <is>
          <t>Buy Price</t>
        </is>
      </c>
      <c r="D123" s="3" t="inlineStr">
        <is>
          <t>Sell Date</t>
        </is>
      </c>
      <c r="E123" s="15" t="inlineStr">
        <is>
          <t>Sell Price</t>
        </is>
      </c>
      <c r="F123" s="3" t="inlineStr">
        <is>
          <t>Shares</t>
        </is>
      </c>
      <c r="G123" s="16" t="inlineStr">
        <is>
          <t>Starting Cash</t>
        </is>
      </c>
      <c r="H123" s="16" t="inlineStr">
        <is>
          <t>Ending Cash</t>
        </is>
      </c>
      <c r="I123" s="16" t="inlineStr">
        <is>
          <t>Profit</t>
        </is>
      </c>
      <c r="J123" s="17" t="inlineStr">
        <is>
          <t>Return</t>
        </is>
      </c>
      <c r="K123" s="3" t="n"/>
      <c r="L123" s="3" t="n"/>
      <c r="M123" s="3" t="n"/>
    </row>
    <row r="124">
      <c r="A124" s="3" t="n">
        <v>1</v>
      </c>
      <c r="B124" s="18" t="n">
        <v>45839</v>
      </c>
      <c r="C124" s="15" t="n">
        <v>1.48</v>
      </c>
      <c r="D124" s="18" t="n">
        <v>45852</v>
      </c>
      <c r="E124" s="15" t="n">
        <v>1.765</v>
      </c>
      <c r="F124" s="3" t="n">
        <v>675</v>
      </c>
      <c r="G124" s="16" t="n">
        <v>1000</v>
      </c>
      <c r="H124" s="16" t="n">
        <v>1192.375</v>
      </c>
      <c r="I124" s="16" t="n">
        <v>192.375</v>
      </c>
      <c r="J124" s="17" t="n">
        <v>0.192375</v>
      </c>
      <c r="K124" s="3" t="n"/>
      <c r="L124" s="3" t="n"/>
      <c r="M124" s="3" t="n"/>
    </row>
    <row r="125">
      <c r="A125" s="3" t="n">
        <v>2</v>
      </c>
      <c r="B125" s="18" t="n">
        <v>45854</v>
      </c>
      <c r="C125" s="15" t="n">
        <v>1.63</v>
      </c>
      <c r="D125" s="18" t="n">
        <v>45873</v>
      </c>
      <c r="E125" s="15" t="n">
        <v>1.67</v>
      </c>
      <c r="F125" s="3" t="n">
        <v>731</v>
      </c>
      <c r="G125" s="16" t="n">
        <v>1192.375</v>
      </c>
      <c r="H125" s="16" t="n">
        <v>1221.615</v>
      </c>
      <c r="I125" s="16" t="n">
        <v>29.24000000000001</v>
      </c>
      <c r="J125" s="17" t="n">
        <v>0.02452248663381907</v>
      </c>
      <c r="K125" s="3" t="n"/>
      <c r="L125" s="3" t="n"/>
      <c r="M125" s="3" t="n"/>
    </row>
    <row r="126">
      <c r="A126" s="3" t="n">
        <v>3</v>
      </c>
      <c r="B126" s="18" t="n">
        <v>45874</v>
      </c>
      <c r="C126" s="15" t="n">
        <v>1.5</v>
      </c>
      <c r="D126" s="18" t="n">
        <v>45875</v>
      </c>
      <c r="E126" s="15" t="n">
        <v>1.51</v>
      </c>
      <c r="F126" s="3" t="n">
        <v>814</v>
      </c>
      <c r="G126" s="16" t="n">
        <v>1221.615</v>
      </c>
      <c r="H126" s="16" t="n">
        <v>1229.755</v>
      </c>
      <c r="I126" s="16" t="n">
        <v>8.1400000000001</v>
      </c>
      <c r="J126" s="17" t="n">
        <v>0.006663310453784621</v>
      </c>
      <c r="K126" s="3" t="n"/>
      <c r="L126" s="3" t="n"/>
      <c r="M126" s="3" t="n"/>
    </row>
    <row r="127">
      <c r="A127" s="3" t="n">
        <v>4</v>
      </c>
      <c r="B127" s="18" t="n">
        <v>45877</v>
      </c>
      <c r="C127" s="15" t="n">
        <v>1.5</v>
      </c>
      <c r="D127" s="18" t="n">
        <v>45891</v>
      </c>
      <c r="E127" s="15" t="n">
        <v>1.615</v>
      </c>
      <c r="F127" s="3" t="n">
        <v>819</v>
      </c>
      <c r="G127" s="16" t="n">
        <v>1229.755</v>
      </c>
      <c r="H127" s="16" t="n">
        <v>1323.94</v>
      </c>
      <c r="I127" s="16" t="n">
        <v>94.18499999999995</v>
      </c>
      <c r="J127" s="17" t="n">
        <v>0.07658842614992412</v>
      </c>
      <c r="K127" s="3" t="n"/>
      <c r="L127" s="3" t="n"/>
      <c r="M127" s="3" t="n"/>
    </row>
    <row r="128">
      <c r="A128" s="3" t="n">
        <v>5</v>
      </c>
      <c r="B128" s="18" t="n">
        <v>45898</v>
      </c>
      <c r="C128" s="15" t="n">
        <v>1.575</v>
      </c>
      <c r="D128" s="18" t="n">
        <v>45911</v>
      </c>
      <c r="E128" s="15" t="n">
        <v>1.58</v>
      </c>
      <c r="F128" s="3" t="n">
        <v>840</v>
      </c>
      <c r="G128" s="16" t="n">
        <v>1323.94</v>
      </c>
      <c r="H128" s="16" t="n">
        <v>1328.14</v>
      </c>
      <c r="I128" s="16" t="n">
        <v>4.200000000000045</v>
      </c>
      <c r="J128" s="17" t="n">
        <v>0.003172349200114843</v>
      </c>
      <c r="K128" s="3" t="n"/>
      <c r="L128" s="3" t="n"/>
      <c r="M128" s="3" t="n"/>
    </row>
    <row r="129">
      <c r="A129" s="3" t="n">
        <v>6</v>
      </c>
      <c r="B129" s="18" t="n">
        <v>45925</v>
      </c>
      <c r="C129" s="15" t="n">
        <v>1.525</v>
      </c>
      <c r="D129" s="18" t="n">
        <v>45945</v>
      </c>
      <c r="E129" s="15" t="n">
        <v>2.19</v>
      </c>
      <c r="F129" s="3" t="n">
        <v>870</v>
      </c>
      <c r="G129" s="16" t="n">
        <v>1328.14</v>
      </c>
      <c r="H129" s="16" t="n">
        <v>1906.69</v>
      </c>
      <c r="I129" s="16" t="n">
        <v>578.55</v>
      </c>
      <c r="J129" s="17" t="n">
        <v>0.4356091978255304</v>
      </c>
      <c r="K129" s="3" t="n"/>
      <c r="L129" s="3" t="n"/>
      <c r="M129" s="3" t="n"/>
    </row>
    <row r="130">
      <c r="A130" s="3" t="n">
        <v>7</v>
      </c>
      <c r="B130" s="18" t="n">
        <v>45951</v>
      </c>
      <c r="C130" s="15" t="n">
        <v>2.18</v>
      </c>
      <c r="D130" s="18" t="n">
        <v>45952</v>
      </c>
      <c r="E130" s="15" t="n">
        <v>2.19</v>
      </c>
      <c r="F130" s="3" t="n">
        <v>874</v>
      </c>
      <c r="G130" s="16" t="n">
        <v>1906.69</v>
      </c>
      <c r="H130" s="16" t="n">
        <v>1915.43</v>
      </c>
      <c r="I130" s="16" t="n">
        <v>8.739999999999782</v>
      </c>
      <c r="J130" s="17" t="n">
        <v>0.004583859987727308</v>
      </c>
      <c r="K130" s="3" t="n"/>
      <c r="L130" s="3" t="n"/>
      <c r="M130" s="3" t="n"/>
    </row>
    <row r="131">
      <c r="A131" s="3" t="n">
        <v>8</v>
      </c>
      <c r="B131" s="18" t="n">
        <v>45959</v>
      </c>
      <c r="C131" s="15" t="n">
        <v>2.18</v>
      </c>
      <c r="D131" s="18" t="n">
        <v>45960</v>
      </c>
      <c r="E131" s="15" t="n">
        <v>2.19</v>
      </c>
      <c r="F131" s="3" t="n">
        <v>878</v>
      </c>
      <c r="G131" s="16" t="n">
        <v>1915.43</v>
      </c>
      <c r="H131" s="16" t="n">
        <v>1924.21</v>
      </c>
      <c r="I131" s="16" t="n">
        <v>8.779999999999745</v>
      </c>
      <c r="J131" s="17" t="n">
        <v>0.004583827130200397</v>
      </c>
      <c r="K131" s="3" t="n"/>
      <c r="L131" s="3" t="n"/>
      <c r="M131" s="3" t="n"/>
    </row>
  </sheetData>
  <autoFilter ref="A2:M94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32" customHeight="1">
      <c r="A1" s="1" t="inlineStr">
        <is>
          <t>Purpose</t>
        </is>
      </c>
    </row>
    <row r="2">
      <c r="A2" s="3" t="inlineStr">
        <is>
          <t>Reserved for the eight required visualisations. Charts should be created from Clean_Data and Calculations.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32" customHeight="1">
      <c r="A1" s="1" t="inlineStr">
        <is>
          <t>Purpose</t>
        </is>
      </c>
    </row>
    <row r="2">
      <c r="A2" s="3" t="inlineStr">
        <is>
          <t>Record the DatAnalysis export name, access date, source screenshots and any data verification notes here.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9" t="inlineStr">
        <is>
          <t>PSQ Pacific Smiles Group - 32146 AT1 first draft</t>
        </is>
      </c>
    </row>
    <row r="2">
      <c r="A2" s="20" t="inlineStr">
        <is>
          <t>Data source</t>
        </is>
      </c>
      <c r="B2" s="3" t="inlineStr">
        <is>
          <t>DatAnalysis export: pricehistory-dailyadj.csv and dividendhistory.csv</t>
        </is>
      </c>
    </row>
    <row r="3">
      <c r="A3" s="20" t="inlineStr">
        <is>
          <t>Requested period</t>
        </is>
      </c>
      <c r="B3" s="3" t="inlineStr">
        <is>
          <t>2025-07-01 to 2026-06-30</t>
        </is>
      </c>
    </row>
    <row r="4">
      <c r="A4" s="20" t="inlineStr">
        <is>
          <t>Available period</t>
        </is>
      </c>
      <c r="B4" s="3" t="inlineStr">
        <is>
          <t>2025-07-01 to 2025-11-05</t>
        </is>
      </c>
    </row>
    <row r="5">
      <c r="A5" s="20" t="inlineStr">
        <is>
          <t>Coverage note</t>
        </is>
      </c>
      <c r="B5" s="3" t="inlineStr">
        <is>
          <t>The supplied price file ends on 05/11/2025; FY2025-26 is incomplete.</t>
        </is>
      </c>
    </row>
    <row r="6">
      <c r="A6" s="20" t="inlineStr">
        <is>
          <t>Rows</t>
        </is>
      </c>
      <c r="B6" s="3" t="n">
        <v>92</v>
      </c>
    </row>
    <row r="7">
      <c r="A7" s="20" t="inlineStr">
        <is>
          <t>Starting close</t>
        </is>
      </c>
      <c r="B7" s="21" t="n">
        <v>1.48</v>
      </c>
    </row>
    <row r="8">
      <c r="A8" s="20" t="inlineStr">
        <is>
          <t>Ending close</t>
        </is>
      </c>
      <c r="B8" s="21" t="n">
        <v>2.18</v>
      </c>
    </row>
    <row r="9">
      <c r="A9" s="20" t="inlineStr">
        <is>
          <t>Price return</t>
        </is>
      </c>
      <c r="B9" s="17" t="n">
        <v>0.472972972972973</v>
      </c>
    </row>
    <row r="10">
      <c r="A10" s="20" t="inlineStr">
        <is>
          <t>Zero-volume / suspension rows</t>
        </is>
      </c>
      <c r="B10" s="3" t="n">
        <v>53</v>
      </c>
    </row>
    <row r="11">
      <c r="A11" s="20" t="inlineStr">
        <is>
          <t>FY dividend records</t>
        </is>
      </c>
      <c r="B11" s="3" t="n">
        <v>0</v>
      </c>
    </row>
    <row r="12">
      <c r="A12" s="20" t="inlineStr">
        <is>
          <t>Dividend treatment</t>
        </is>
      </c>
      <c r="B12" s="3" t="inlineStr">
        <is>
          <t>Blank: no FY2025-26 dividend record was supplied.</t>
        </is>
      </c>
    </row>
    <row r="13">
      <c r="A13" s="20" t="inlineStr">
        <is>
          <t>PE treatment</t>
        </is>
      </c>
      <c r="B13" s="3" t="inlineStr">
        <is>
          <t>Blank: no PE field was supplied in the source data.</t>
        </is>
      </c>
    </row>
    <row r="14">
      <c r="A14" s="20" t="inlineStr">
        <is>
          <t>OHLC treatment</t>
        </is>
      </c>
      <c r="B14" s="3" t="inlineStr">
        <is>
          <t>Raw Open/High/Low values are preserved. Zero-volume rows are marked separately and must not be interpreted as trades.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2026-08-19T07:22:18Z</dcterms:created>
  <dcterms:modified xmlns:dcterms="http://purl.org/dc/terms/" xmlns:xsi="http://www.w3.org/2001/XMLSchema-instance" xsi:type="dcterms:W3CDTF">2026-08-19T07:22:18Z</dcterms:modified>
</cp:coreProperties>
</file>