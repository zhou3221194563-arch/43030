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tables/table7.xml" ContentType="application/vnd.openxmlformats-officedocument.spreadsheetml.table+xml"/>
  <Override PartName="/xl/worksheets/sheet19.xml" ContentType="application/vnd.openxmlformats-officedocument.spreadsheetml.worksheet+xml"/>
  <Override PartName="/xl/tables/table8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9248df13a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mbledons_champions" sheetId="1" r:id="R83d08ffdf2954b51"/>
    <x:sheet xmlns:r="http://schemas.openxmlformats.org/officeDocument/2006/relationships" name="Top5" sheetId="2" r:id="Re95da0966c2443e2"/>
    <x:sheet xmlns:r="http://schemas.openxmlformats.org/officeDocument/2006/relationships" name="Win Rate" sheetId="3" r:id="R6c077e0d2c0e4377"/>
    <x:sheet xmlns:r="http://schemas.openxmlformats.org/officeDocument/2006/relationships" name="Map" sheetId="4" r:id="R48b713a39ccf491f"/>
    <x:sheet xmlns:r="http://schemas.openxmlformats.org/officeDocument/2006/relationships" name="visual pattern" sheetId="5" r:id="R9ae8df5a72034b8e"/>
    <x:sheet xmlns:r="http://schemas.openxmlformats.org/officeDocument/2006/relationships" name="Math" sheetId="6" r:id="R3220c2bb05294239"/>
    <x:sheet xmlns:r="http://schemas.openxmlformats.org/officeDocument/2006/relationships" name="treemap" sheetId="7" r:id="R276e1863d79f48f8"/>
    <x:sheet xmlns:r="http://schemas.openxmlformats.org/officeDocument/2006/relationships" name="Text Cloud" sheetId="8" r:id="R2390324f0a074f28"/>
    <x:sheet xmlns:r="http://schemas.openxmlformats.org/officeDocument/2006/relationships" name="Match-country" sheetId="9" r:id="R3adfc210a4144b1e"/>
    <x:sheet xmlns:r="http://schemas.openxmlformats.org/officeDocument/2006/relationships" name="Men-1" sheetId="10" r:id="R44fd84116955416e"/>
    <x:sheet xmlns:r="http://schemas.openxmlformats.org/officeDocument/2006/relationships" name="Women-1" sheetId="11" r:id="Recdb1e659fd84082"/>
    <x:sheet xmlns:r="http://schemas.openxmlformats.org/officeDocument/2006/relationships" name="calculate" sheetId="12" r:id="R33484f70af4346fe"/>
    <x:sheet xmlns:r="http://schemas.openxmlformats.org/officeDocument/2006/relationships" name="Data_Analysis" sheetId="13" r:id="R591c5a98e7344da0"/>
    <x:sheet xmlns:r="http://schemas.openxmlformats.org/officeDocument/2006/relationships" name="Mins_Research_Log" sheetId="14" r:id="R0b40d421aa6f4031"/>
    <x:sheet xmlns:r="http://schemas.openxmlformats.org/officeDocument/2006/relationships" name="Top_Players_5Plus" sheetId="15" r:id="R7ab3ae07dfc44ff5"/>
    <x:sheet xmlns:r="http://schemas.openxmlformats.org/officeDocument/2006/relationships" name="Country_Gender_Summary" sheetId="16" r:id="Rde624a61dfcf4cf2"/>
    <x:sheet xmlns:r="http://schemas.openxmlformats.org/officeDocument/2006/relationships" name="Decade_Gender_Summary" sheetId="17" r:id="Re16c2502cadb4d92"/>
    <x:sheet xmlns:r="http://schemas.openxmlformats.org/officeDocument/2006/relationships" name="Data_Quality" sheetId="18" r:id="Rd74703e223404f8c"/>
    <x:sheet xmlns:r="http://schemas.openxmlformats.org/officeDocument/2006/relationships" name="Tableau_Field_Guide" sheetId="19" r:id="R69136873839d420d"/>
    <x:sheet xmlns:r="http://schemas.openxmlformats.org/officeDocument/2006/relationships" name="Tableau_Data" sheetId="20" r:id="R784228d402104f94"/>
  </x:sheets>
  <x:definedNames>
    <x:definedName name="win_rate_assessment" localSheetId="2" hidden="1">'Win Rate'!$O$1:$X$264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"/>
  </x:numFmts>
  <x:fonts count="26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1"/>
      <x:color rgb="FFFF0000"/>
      <x:name val="Calibri"/>
    </x:font>
    <x:font>
      <x:b/>
      <x:sz val="11"/>
      <x:name val="Calibri"/>
    </x:font>
    <x:font>
      <x:sz val="11"/>
      <x:name val="Calibri"/>
    </x:font>
    <x:font>
      <x:sz val="9"/>
      <x:color rgb="FF000000"/>
      <x:name val="Arial"/>
    </x:font>
    <x:font>
      <x:b/>
      <x:sz val="16"/>
      <x:color rgb="FFFFFFFF"/>
    </x:font>
    <x:font>
      <x:i/>
      <x:color rgb="FF555555"/>
    </x:font>
    <x:font>
      <x:b/>
      <x:color rgb="FFFFFFFF"/>
    </x:font>
    <x:font>
      <x:b/>
      <x:sz val="11"/>
      <x:color rgb="FFFFFFFF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theme="7" tint="0.79998"/>
      </x:patternFill>
    </x:fill>
    <x:fill>
      <x:patternFill patternType="solid">
        <x:fgColor theme="5" tint="0.79998"/>
      </x:patternFill>
    </x:fill>
    <x:fill>
      <x:patternFill patternType="solid">
        <x:fgColor theme="9" tint="0.7999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bottom style="medium">
        <x:color rgb="FF17365D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62">
    <x:xf numFmtId="0" fontId="0" fillId="0" borderId="0" xfId="0"/>
    <x:xf numFmtId="0" fontId="16" fillId="0" borderId="0" xfId="0" applyAlignment="1">
      <x:alignment horizontal="center" vertical="center"/>
    </x:xf>
    <x:xf numFmtId="0" fontId="0" fillId="33" borderId="0" xfId="0"/>
    <x:xf numFmtId="0" fontId="16" fillId="33" borderId="0" xfId="0"/>
    <x:xf numFmtId="0" fontId="18" fillId="0" borderId="0" xfId="0"/>
    <x:xf numFmtId="2" fontId="16" fillId="33" borderId="0" xfId="0"/>
    <x:xf numFmtId="9" fontId="0" fillId="33" borderId="0" xfId="0"/>
    <x:xf numFmtId="0" fontId="0" fillId="0" borderId="0" xfId="0" applyAlignment="1">
      <x:alignment horizontal="right"/>
    </x:xf>
    <x:xf numFmtId="0" fontId="19" fillId="0" borderId="0" xfId="0" applyAlignment="1">
      <x:alignment horizontal="center" vertical="center"/>
    </x:xf>
    <x:xf numFmtId="0" fontId="20" fillId="0" borderId="0" xfId="0"/>
    <x:xf numFmtId="0" fontId="20" fillId="33" borderId="0" xfId="0"/>
    <x:xf numFmtId="0" fontId="19" fillId="33" borderId="0" xfId="0"/>
    <x:xf numFmtId="0" fontId="20" fillId="34" borderId="0" xfId="0"/>
    <x:xf numFmtId="0" fontId="20" fillId="35" borderId="0" xfId="0"/>
    <x:xf numFmtId="0" fontId="20" fillId="36" borderId="0" xfId="0"/>
    <x:xf numFmtId="0" fontId="16" fillId="0" borderId="0" xfId="0" applyAlignment="1">
      <x:alignment horizontal="center"/>
    </x:xf>
    <x:xf numFmtId="10" fontId="16" fillId="0" borderId="0" xfId="0" applyAlignment="1">
      <x:alignment horizontal="center"/>
    </x:xf>
    <x:xf numFmtId="0" fontId="18" fillId="33" borderId="0" xfId="0" applyAlignment="1">
      <x:alignment horizontal="center"/>
    </x:xf>
    <x:xf numFmtId="10" fontId="0" fillId="0" borderId="0" xfId="0"/>
    <x:xf numFmtId="1" fontId="0" fillId="0" borderId="0" xfId="0" applyAlignment="1">
      <x:alignment horizontal="left"/>
    </x:xf>
    <x:xf numFmtId="1" fontId="0" fillId="0" borderId="0" xfId="0"/>
    <x:xf numFmtId="10" fontId="19" fillId="0" borderId="0" xfId="0"/>
    <x:xf numFmtId="0" fontId="0" fillId="0" borderId="0" xfId="0" applyAlignment="1">
      <x:alignment horizontal="center"/>
    </x:xf>
    <x:xf numFmtId="0" fontId="16" fillId="0" borderId="0" xfId="0" applyAlignment="1">
      <x:alignment horizontal="right"/>
    </x:xf>
    <x:xf numFmtId="0" fontId="16" fillId="0" borderId="0" xfId="0" applyAlignment="1">
      <x:alignment horizontal="left"/>
    </x:xf>
    <x:xf numFmtId="0" fontId="0" fillId="0" borderId="0" xfId="0" applyAlignment="1">
      <x:alignment horizontal="left"/>
    </x:xf>
    <x:xf numFmtId="10" fontId="0" fillId="0" borderId="0" xfId="0" applyAlignment="1">
      <x:alignment horizontal="right"/>
    </x:xf>
    <x:xf numFmtId="0" fontId="18" fillId="0" borderId="0" xfId="0" applyAlignment="1">
      <x:alignment horizontal="center"/>
    </x:xf>
    <x:xf numFmtId="1" fontId="18" fillId="0" borderId="0" xfId="0" applyAlignment="1">
      <x:alignment horizontal="center"/>
    </x:xf>
    <x:xf numFmtId="1" fontId="0" fillId="0" borderId="0" xfId="0" applyAlignment="1">
      <x:alignment horizontal="center"/>
    </x:xf>
    <x:xf numFmtId="0" fontId="21" fillId="0" borderId="0" xfId="0"/>
    <x:xf numFmtId="1" fontId="14" fillId="0" borderId="0" xfId="0" applyAlignment="1">
      <x:alignment horizontal="center"/>
    </x:xf>
    <x:xf numFmtId="0" fontId="22" fillId="37" borderId="0" xfId="0" applyAlignment="1">
      <x:alignment horizontal="left" vertical="center"/>
    </x:xf>
    <x:xf numFmtId="0" fontId="23" fillId="0" borderId="0" xfId="0" applyAlignment="1">
      <x:alignment vertical="center" wrapText="1"/>
    </x:xf>
    <x:xf numFmtId="0" fontId="24" fillId="37" borderId="10" xfId="0" applyAlignment="1">
      <x:alignment horizontal="center" vertical="center" wrapText="1"/>
    </x:xf>
    <x:xf numFmtId="0" fontId="0" fillId="38" borderId="0" xfId="0"/>
    <x:xf numFmtId="0" fontId="0" fillId="0" borderId="0" xfId="0" applyAlignment="1">
      <x:alignment vertical="top" wrapText="1"/>
    </x:xf>
    <x:xf numFmtId="164" fontId="0" fillId="0" borderId="0" xfId="0"/>
    <x:xf numFmtId="165" fontId="0" fillId="0" borderId="0" xfId="0"/>
    <x:xf numFmtId="0" fontId="0" fillId="39" borderId="0" xfId="0" applyNumberFormat="1" applyFont="1" applyFill="1" applyBorder="1"/>
    <x:xf numFmtId="0" fontId="25" fillId="39" borderId="0" xfId="0" applyNumberFormat="1" applyFont="1" applyFill="1" applyBorder="1"/>
    <x:xf numFmtId="0" fontId="25" fillId="39" borderId="0" xfId="0" applyNumberFormat="1" applyFont="1" applyFill="1" applyBorder="1" applyAlignment="1">
      <x:alignment wrapText="1"/>
    </x:xf>
    <x:xf numFmtId="0" fontId="25" fillId="39" borderId="0" xfId="0" applyNumberFormat="1" applyFont="1" applyFill="1" applyBorder="1" applyAlignment="1">
      <x:alignment horizontal="center" wrapText="1"/>
    </x:xf>
    <x:xf numFmtId="0" fontId="25" fillId="39" borderId="0" xfId="0" applyNumberFormat="1" applyFont="1" applyFill="1" applyBorder="1" applyAlignment="1">
      <x:alignment horizontal="center" vertical="center" wrapText="1"/>
    </x:xf>
    <x:xf numFmtId="0" fontId="25" fillId="39" borderId="11" xfId="0" applyNumberFormat="1" applyFont="1" applyFill="1" applyBorder="1" applyAlignment="1">
      <x:alignment horizontal="center" vertical="center" wrapText="1"/>
    </x:xf>
    <x:xf numFmtId="0" fontId="25" fillId="39" borderId="12" xfId="0" applyNumberFormat="1" applyFont="1" applyFill="1" applyBorder="1" applyAlignment="1">
      <x:alignment horizontal="center" vertical="center" wrapText="1"/>
    </x:xf>
    <x:xf numFmtId="0" fontId="25" fillId="39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25" fillId="39" borderId="11" xfId="0" applyNumberFormat="1" applyFont="1" applyFill="1" applyBorder="1" applyAlignment="1">
      <x:alignment horizontal="center" vertical="center" wrapText="0"/>
    </x:xf>
    <x:xf numFmtId="0" fontId="25" fillId="39" borderId="12" xfId="0" applyNumberFormat="1" applyFont="1" applyFill="1" applyBorder="1" applyAlignment="1">
      <x:alignment horizontal="center" vertical="center" wrapText="0"/>
    </x:xf>
    <x:xf numFmtId="0" fontId="25" fillId="39" borderId="13" xfId="0" applyNumberFormat="1" applyFont="1" applyFill="1" applyBorder="1" applyAlignment="1">
      <x:alignment horizontal="center" vertical="center" wrapText="0"/>
    </x:xf>
    <x:xf numFmtId="0" fontId="0" fillId="0" borderId="14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15" xfId="0" applyNumberFormat="1" applyFont="1" applyFill="1" applyBorder="1" applyAlignment="1">
      <x:alignment wrapText="0"/>
    </x:xf>
    <x:xf numFmtId="0" fontId="0" fillId="0" borderId="16" xfId="0" applyNumberFormat="1" applyFont="1" applyFill="1" applyBorder="1" applyAlignment="1">
      <x:alignment wrapText="0"/>
    </x:xf>
    <x:xf numFmtId="0" fontId="0" fillId="0" borderId="17" xfId="0" applyNumberFormat="1" applyFont="1" applyFill="1" applyBorder="1" applyAlignment="1">
      <x:alignment wrapText="0"/>
    </x:xf>
    <x:xf numFmtId="0" fontId="0" fillId="0" borderId="18" xfId="0" applyNumberFormat="1" applyFont="1" applyFill="1" applyBorder="1" applyAlignment="1">
      <x:alignment wrapText="0"/>
    </x:xf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dxfs count="12">
    <x:dxf>
      <x:numFmt numFmtId="1" formatCode="0"/>
    </x:dxf>
    <x:dxf>
      <x:numFmt numFmtId="1" formatCode="0"/>
    </x:dxf>
    <x:dxf>
      <x:numFmt numFmtId="1" formatCode="0"/>
    </x:dxf>
    <x:dxf>
      <x:numFmt numFmtId="1" formatCode="0"/>
    </x:dxf>
    <x:dxf>
      <x:numFmt numFmtId="1" formatCode="0"/>
    </x:dxf>
    <x:dxf>
      <x:numFmt numFmtId="1" formatCode="0"/>
    </x:dxf>
    <x:dxf>
      <x:numFmt numFmtId="1" formatCode="0"/>
    </x:dxf>
    <x:dxf>
      <x:numFmt numFmtId="1" formatCode="0"/>
    </x:dxf>
    <x:dxf>
      <x:numFmt numFmtId="1" formatCode="0"/>
    </x:dxf>
    <x:dxf>
      <x:numFmt numFmtId="1" formatCode="0"/>
    </x:dxf>
    <x:dxf/>
    <x:dxf>
      <x:font>
        <x:sz val="11"/>
        <x:color theme="1"/>
        <x:name val="Calibri"/>
        <x:family val="2"/>
        <x:scheme val="minor"/>
      </x:font>
      <x:fill>
        <x:patternFill patternType="solid">
          <x:bgColor auto="1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69584e57d4447" /><Relationship Type="http://schemas.openxmlformats.org/officeDocument/2006/relationships/theme" Target="/xl/theme/theme1.xml" Id="Ra9cb5ebed79c4533" /><Relationship Type="http://schemas.openxmlformats.org/officeDocument/2006/relationships/sharedStrings" Target="/xl/sharedStrings.xml" Id="Rd9f8c8553fed48d0" /><Relationship Type="http://schemas.openxmlformats.org/officeDocument/2006/relationships/worksheet" Target="/xl/worksheets/sheet1.xml" Id="R83d08ffdf2954b51" /><Relationship Type="http://schemas.openxmlformats.org/officeDocument/2006/relationships/worksheet" Target="/xl/worksheets/sheet2.xml" Id="Re95da0966c2443e2" /><Relationship Type="http://schemas.openxmlformats.org/officeDocument/2006/relationships/worksheet" Target="/xl/worksheets/sheet3.xml" Id="R6c077e0d2c0e4377" /><Relationship Type="http://schemas.openxmlformats.org/officeDocument/2006/relationships/worksheet" Target="/xl/worksheets/sheet4.xml" Id="R48b713a39ccf491f" /><Relationship Type="http://schemas.openxmlformats.org/officeDocument/2006/relationships/worksheet" Target="/xl/worksheets/sheet5.xml" Id="R9ae8df5a72034b8e" /><Relationship Type="http://schemas.openxmlformats.org/officeDocument/2006/relationships/worksheet" Target="/xl/worksheets/sheet6.xml" Id="R3220c2bb05294239" /><Relationship Type="http://schemas.openxmlformats.org/officeDocument/2006/relationships/worksheet" Target="/xl/worksheets/sheet7.xml" Id="R276e1863d79f48f8" /><Relationship Type="http://schemas.openxmlformats.org/officeDocument/2006/relationships/worksheet" Target="/xl/worksheets/sheet8.xml" Id="R2390324f0a074f28" /><Relationship Type="http://schemas.openxmlformats.org/officeDocument/2006/relationships/worksheet" Target="/xl/worksheets/sheet9.xml" Id="R3adfc210a4144b1e" /><Relationship Type="http://schemas.openxmlformats.org/officeDocument/2006/relationships/worksheet" Target="/xl/worksheets/sheet10.xml" Id="R44fd84116955416e" /><Relationship Type="http://schemas.openxmlformats.org/officeDocument/2006/relationships/worksheet" Target="/xl/worksheets/sheet11.xml" Id="Recdb1e659fd84082" /><Relationship Type="http://schemas.openxmlformats.org/officeDocument/2006/relationships/worksheet" Target="/xl/worksheets/sheet12.xml" Id="R33484f70af4346fe" /><Relationship Type="http://schemas.openxmlformats.org/officeDocument/2006/relationships/worksheet" Target="/xl/worksheets/sheet13.xml" Id="R591c5a98e7344da0" /><Relationship Type="http://schemas.openxmlformats.org/officeDocument/2006/relationships/worksheet" Target="/xl/worksheets/sheet14.xml" Id="R0b40d421aa6f4031" /><Relationship Type="http://schemas.openxmlformats.org/officeDocument/2006/relationships/worksheet" Target="/xl/worksheets/sheet15.xml" Id="R7ab3ae07dfc44ff5" /><Relationship Type="http://schemas.openxmlformats.org/officeDocument/2006/relationships/worksheet" Target="/xl/worksheets/sheet16.xml" Id="Rde624a61dfcf4cf2" /><Relationship Type="http://schemas.openxmlformats.org/officeDocument/2006/relationships/worksheet" Target="/xl/worksheets/sheet17.xml" Id="Re16c2502cadb4d92" /><Relationship Type="http://schemas.openxmlformats.org/officeDocument/2006/relationships/worksheet" Target="/xl/worksheets/sheet18.xml" Id="Rd74703e223404f8c" /><Relationship Type="http://schemas.openxmlformats.org/officeDocument/2006/relationships/worksheet" Target="/xl/worksheets/sheet19.xml" Id="R69136873839d420d" /><Relationship Type="http://schemas.openxmlformats.org/officeDocument/2006/relationships/worksheet" Target="/xl/worksheets/sheet20.xml" Id="R784228d402104f94" /></Relationships>
</file>

<file path=xl/tables/table1.xml><?xml version="1.0" encoding="utf-8"?>
<x:table xmlns:x="http://schemas.openxmlformats.org/spreadsheetml/2006/main" id="1" name="Table_win_rate_assessment" displayName="Table_win_rate_assessment" ref="O1:X264" headerRowCount="1" totalsRowShown="0" dataDxfId="10">
  <x:autoFilter ref="O1:X264"/>
  <x:tableColumns count="10">
    <x:tableColumn id="1" name="1st-won" dataDxfId="9"/>
    <x:tableColumn id="2" name="1st-loss" dataDxfId="8"/>
    <x:tableColumn id="3" name="2nd-won" dataDxfId="7"/>
    <x:tableColumn id="4" name="2nd-loss" dataDxfId="6"/>
    <x:tableColumn id="5" name="3rd-won" dataDxfId="5"/>
    <x:tableColumn id="6" name="3rd-loss" dataDxfId="4"/>
    <x:tableColumn id="7" name="4th-won" dataDxfId="3"/>
    <x:tableColumn id="8" name="4th-loss" dataDxfId="2"/>
    <x:tableColumn id="9" name="5th-won" dataDxfId="1"/>
    <x:tableColumn id="10" name="5th-loss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mpionshipAnalysis" displayName="ChampionshipAnalysis" ref="A4:AE275" headerRowCount="1">
  <x:autoFilter ref="A4:AE275"/>
  <x:tableColumns count="31">
    <x:tableColumn id="1" name="Year"/>
    <x:tableColumn id="2" name="Gender"/>
    <x:tableColumn id="3" name="Champion"/>
    <x:tableColumn id="4" name="Champion Nationality"/>
    <x:tableColumn id="5" name="Champion Country"/>
    <x:tableColumn id="6" name="Champion Seed"/>
    <x:tableColumn id="7" name="Mins"/>
    <x:tableColumn id="8" name="Score"/>
    <x:tableColumn id="9" name="1st-won"/>
    <x:tableColumn id="10" name="1st-loss"/>
    <x:tableColumn id="11" name="2nd-won"/>
    <x:tableColumn id="12" name="2nd-loss"/>
    <x:tableColumn id="13" name="3rd-won"/>
    <x:tableColumn id="14" name="3rd-loss"/>
    <x:tableColumn id="15" name="4th-won"/>
    <x:tableColumn id="16" name="4th-loss"/>
    <x:tableColumn id="17" name="5th-won"/>
    <x:tableColumn id="18" name="5th-loss"/>
    <x:tableColumn id="19" name="Runner-up"/>
    <x:tableColumn id="20" name="Runner-up Nationality"/>
    <x:tableColumn id="21" name="Runner-up Country"/>
    <x:tableColumn id="22" name="Runner-up Seed"/>
    <x:tableColumn id="23" name="Total Sets Played"/>
    <x:tableColumn id="24" name="Total Games Played"/>
    <x:tableColumn id="25" name="Match Completion Status"/>
    <x:tableColumn id="26" name="Duration Availability"/>
    <x:tableColumn id="27" name="Champion Win Count"/>
    <x:tableColumn id="28" name="Top Player (5+ titles)"/>
    <x:tableColumn id="29" name="Decade"/>
    <x:tableColumn id="30" name="Champion Seed Status"/>
    <x:tableColumn id="31" name="Runner-up Seed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DurationResearch" displayName="MissingDurationResearch" ref="A4:K69" headerRowCount="1">
  <x:autoFilter ref="A4:K69"/>
  <x:tableColumns count="11">
    <x:tableColumn id="1" name="Year"/>
    <x:tableColumn id="2" name="Gender"/>
    <x:tableColumn id="3" name="Champion"/>
    <x:tableColumn id="4" name="Runner-up"/>
    <x:tableColumn id="5" name="Score"/>
    <x:tableColumn id="6" name="Match Status"/>
    <x:tableColumn id="7" name="Mins Before"/>
    <x:tableColumn id="8" name="Mins After"/>
    <x:tableColumn id="9" name="Outcome"/>
    <x:tableColumn id="10" name="Research Note"/>
    <x:tableColumn id="11" name="Source Review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Players5Plus" displayName="TopPlayers5Plus" ref="A4:M21" headerRowCount="1">
  <x:autoFilter ref="A4:M21"/>
  <x:tableColumns count="13">
    <x:tableColumn id="1" name="Player"/>
    <x:tableColumn id="2" name="Gender"/>
    <x:tableColumn id="3" name="Country"/>
    <x:tableColumn id="4" name="Wimbledon Titles"/>
    <x:tableColumn id="5" name="Runner-up Appearances"/>
    <x:tableColumn id="6" name="Final Appearances"/>
    <x:tableColumn id="7" name="Final Win Rate"/>
    <x:tableColumn id="8" name="Average Champion Seed"/>
    <x:tableColumn id="9" name="Average Mins (known)"/>
    <x:tableColumn id="10" name="Matches with Mins"/>
    <x:tableColumn id="11" name="Average Games"/>
    <x:tableColumn id="12" name="First Title Year"/>
    <x:tableColumn id="13" name="Last Title Ye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untryGenderSummary" displayName="CountryGenderSummary" ref="A4:F46" headerRowCount="1">
  <x:autoFilter ref="A4:F46"/>
  <x:tableColumns count="6">
    <x:tableColumn id="1" name="Country"/>
    <x:tableColumn id="2" name="Gender"/>
    <x:tableColumn id="3" name="Championships"/>
    <x:tableColumn id="4" name="Runner-up Appearances"/>
    <x:tableColumn id="5" name="Final Appearances"/>
    <x:tableColumn id="6" name="Final Conversion R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cadeGenderSummary" displayName="DecadeGenderSummary" ref="A4:I35" headerRowCount="1">
  <x:autoFilter ref="A4:I35"/>
  <x:tableColumns count="9">
    <x:tableColumn id="1" name="Decade"/>
    <x:tableColumn id="2" name="Gender"/>
    <x:tableColumn id="3" name="Finals"/>
    <x:tableColumn id="4" name="Finals with Mins"/>
    <x:tableColumn id="5" name="Average Mins (known)"/>
    <x:tableColumn id="6" name="Average Games"/>
    <x:tableColumn id="7" name="Average Sets"/>
    <x:tableColumn id="8" name="Seeded Champions"/>
    <x:tableColumn id="9" name="Share See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QualityAudit" displayName="DataQualityAudit" ref="A4:C15" headerRowCount="1">
  <x:autoFilter ref="A4:C15"/>
  <x:tableColumns count="3">
    <x:tableColumn id="1" name="Measure"/>
    <x:tableColumn id="2" name="Value"/>
    <x:tableColumn id="3" name="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auFieldGuide" displayName="TableauFieldGuide" ref="A4:C14" headerRowCount="1">
  <x:autoFilter ref="A4:C14"/>
  <x:tableColumns count="3">
    <x:tableColumn id="1" name="Field / Table"/>
    <x:tableColumn id="2" name="Definition / Calculation"/>
    <x:tableColumn id="3" name="Recommended Tableau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7ab2ba60b4d4f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.xml" Id="R3cb5b193844948b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.xml" Id="R5bc6f438b32e442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.xml" Id="Re2b4fdaafd4e497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5.xml" Id="Rfe4128825f554c8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6.xml" Id="R6256709447e845d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7.xml" Id="Rda3358c269b84d4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8.xml" Id="R8a97ff0d37c74842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4.600000381469727"/>
  <x:cols>
    <x:col min="1" max="1" width="4.84375" customWidth="1"/>
    <x:col min="2" max="2" width="11.61328125" style="25" customWidth="1"/>
    <x:col min="3" max="3" width="14.4609375" style="25" customWidth="1"/>
    <x:col min="4" max="4" width="19.07421875" style="25" customWidth="1"/>
    <x:col min="5" max="5" width="16.4609375" style="25" customWidth="1"/>
    <x:col min="6" max="6" width="13.84375" style="7" customWidth="1"/>
    <x:col min="7" max="7" width="4.921875" style="22" customWidth="1"/>
    <x:col min="8" max="8" width="20.69140625" style="22" customWidth="1"/>
    <x:col min="9" max="9" width="7.53515625" style="29" customWidth="1"/>
    <x:col min="10" max="10" width="7" style="29" customWidth="1"/>
    <x:col min="11" max="11" width="8.23046875" style="29" customWidth="1"/>
    <x:col min="12" max="12" width="7.69140625" style="29" customWidth="1"/>
    <x:col min="13" max="13" width="7.84375" style="29" customWidth="1"/>
    <x:col min="14" max="14" width="7.3046875" style="29" customWidth="1"/>
    <x:col min="15" max="15" width="7.84375" style="29" customWidth="1"/>
    <x:col min="16" max="16" width="7.3046875" style="29" customWidth="1"/>
    <x:col min="17" max="17" width="7.84375" style="29" customWidth="1"/>
    <x:col min="18" max="18" width="7.3046875" style="29" customWidth="1"/>
    <x:col min="19" max="19" width="13.4609375" style="25" customWidth="1"/>
    <x:col min="20" max="20" width="19.4609375" style="25" customWidth="1"/>
    <x:col min="21" max="21" width="16.84375" style="25" customWidth="1"/>
    <x:col min="22" max="22" width="14.23046875" style="7" customWidth="1"/>
    <x:col min="23" max="23" width="7.53515625" customWidth="1"/>
  </x:cols>
  <x:sheetData>
    <x:row r="1" s="15" customFormat="1">
      <x:c r="A1" s="15" t="inlineStr">
        <x:is>
          <x:t xml:space="preserve">Year</x:t>
        </x:is>
      </x:c>
      <x:c r="B1" s="15" t="inlineStr">
        <x:is>
          <x:t xml:space="preserve">Gender</x:t>
        </x:is>
      </x:c>
      <x:c r="C1" s="15" t="inlineStr">
        <x:is>
          <x:t xml:space="preserve">Champion</x:t>
        </x:is>
      </x:c>
      <x:c r="D1" s="15" t="inlineStr">
        <x:is>
          <x:t xml:space="preserve">Champion Nationality</x:t>
        </x:is>
      </x:c>
      <x:c r="E1" s="27" t="inlineStr">
        <x:is>
          <x:t xml:space="preserve">Champion Country</x:t>
        </x:is>
      </x:c>
      <x:c r="F1" s="15" t="inlineStr">
        <x:is>
          <x:t xml:space="preserve">Champion Seed</x:t>
        </x:is>
      </x:c>
      <x:c r="G1" s="15" t="inlineStr">
        <x:is>
          <x:t xml:space="preserve">Mins</x:t>
        </x:is>
      </x:c>
      <x:c r="H1" s="15" t="inlineStr">
        <x:is>
          <x:t xml:space="preserve">Score</x:t>
        </x:is>
      </x:c>
      <x:c r="I1" s="28" t="inlineStr">
        <x:is>
          <x:t xml:space="preserve">1st-won</x:t>
        </x:is>
      </x:c>
      <x:c r="J1" s="28" t="inlineStr">
        <x:is>
          <x:t xml:space="preserve">1st-loss</x:t>
        </x:is>
      </x:c>
      <x:c r="K1" s="28" t="inlineStr">
        <x:is>
          <x:t xml:space="preserve">2nd-won</x:t>
        </x:is>
      </x:c>
      <x:c r="L1" s="28" t="inlineStr">
        <x:is>
          <x:t xml:space="preserve">2nd-loss</x:t>
        </x:is>
      </x:c>
      <x:c r="M1" s="28" t="inlineStr">
        <x:is>
          <x:t xml:space="preserve">3rd-won</x:t>
        </x:is>
      </x:c>
      <x:c r="N1" s="28" t="inlineStr">
        <x:is>
          <x:t xml:space="preserve">3rd-loss</x:t>
        </x:is>
      </x:c>
      <x:c r="O1" s="28" t="inlineStr">
        <x:is>
          <x:t xml:space="preserve">4th-won</x:t>
        </x:is>
      </x:c>
      <x:c r="P1" s="28" t="inlineStr">
        <x:is>
          <x:t xml:space="preserve">4th-loss</x:t>
        </x:is>
      </x:c>
      <x:c r="Q1" s="28" t="inlineStr">
        <x:is>
          <x:t xml:space="preserve">5th-won</x:t>
        </x:is>
      </x:c>
      <x:c r="R1" s="28" t="inlineStr">
        <x:is>
          <x:t xml:space="preserve">5th-loss</x:t>
        </x:is>
      </x:c>
      <x:c r="S1" s="15" t="inlineStr">
        <x:is>
          <x:t xml:space="preserve">Runner-up</x:t>
        </x:is>
      </x:c>
      <x:c r="T1" s="15" t="inlineStr">
        <x:is>
          <x:t xml:space="preserve">Runner-up Nationality</x:t>
        </x:is>
      </x:c>
      <x:c r="U1" s="27" t="inlineStr">
        <x:is>
          <x:t xml:space="preserve">Runner-up Country</x:t>
        </x:is>
      </x:c>
      <x:c r="V1" s="15" t="inlineStr">
        <x:is>
          <x:t xml:space="preserve">Runner-up Seed</x:t>
        </x:is>
      </x:c>
    </x:row>
    <x:row r="2" s="25" customFormat="1">
      <x:c r="A2" s="25" t="n">
        <x:v>2026</x:v>
      </x:c>
      <x:c r="B2" s="25" t="inlineStr">
        <x:is>
          <x:t xml:space="preserve">Women's</x:t>
        </x:is>
      </x:c>
      <x:c r="C2" s="25" t="inlineStr">
        <x:is>
          <x:t xml:space="preserve">L. Noskova</x:t>
        </x:is>
      </x:c>
      <x:c r="D2" s="25" t="inlineStr">
        <x:is>
          <x:t xml:space="preserve">CZE</x:t>
        </x:is>
      </x:c>
      <x:c r="E2" s="25" t="inlineStr">
        <x:is>
          <x:t xml:space="preserve">Czechia</x:t>
        </x:is>
      </x:c>
      <x:c r="F2" s="7" t="n">
        <x:v>9</x:v>
      </x:c>
      <x:c r="G2" s="22" t="n">
        <x:v>148</x:v>
      </x:c>
      <x:c r="H2" s="22" t="inlineStr">
        <x:is>
          <x:t xml:space="preserve">6-2,5-7,6-3</x:t>
        </x:is>
      </x:c>
      <x:c r="I2" s="29" t="n">
        <x:v>6</x:v>
      </x:c>
      <x:c r="J2" s="29" t="n">
        <x:v>2</x:v>
      </x:c>
      <x:c r="K2" s="29" t="n">
        <x:v>5</x:v>
      </x:c>
      <x:c r="L2" s="29" t="n">
        <x:v>7</x:v>
      </x:c>
      <x:c r="M2" s="29" t="n">
        <x:v>6</x:v>
      </x:c>
      <x:c r="N2" s="29" t="n">
        <x:v>3</x:v>
      </x:c>
      <x:c r="O2" s="29" t="n"/>
      <x:c r="P2" s="29" t="n"/>
      <x:c r="Q2" s="29" t="n"/>
      <x:c r="R2" s="29" t="n"/>
      <x:c r="S2" s="25" t="inlineStr">
        <x:is>
          <x:t xml:space="preserve">K.Muchova</x:t>
        </x:is>
      </x:c>
      <x:c r="T2" s="25" t="inlineStr">
        <x:is>
          <x:t xml:space="preserve">CZE</x:t>
        </x:is>
      </x:c>
      <x:c r="U2" s="25" t="inlineStr">
        <x:is>
          <x:t xml:space="preserve">Czechia</x:t>
        </x:is>
      </x:c>
      <x:c r="V2" s="7" t="n">
        <x:v>10</x:v>
      </x:c>
    </x:row>
    <x:row r="3" s="25" customFormat="1">
      <x:c r="A3" s="25" t="n">
        <x:v>2026</x:v>
      </x:c>
      <x:c r="B3" s="25" t="inlineStr">
        <x:is>
          <x:t xml:space="preserve">Men's</x:t>
        </x:is>
      </x:c>
      <x:c r="C3" s="25" t="inlineStr">
        <x:is>
          <x:t xml:space="preserve">J. Sinner</x:t>
        </x:is>
      </x:c>
      <x:c r="D3" s="25" t="inlineStr">
        <x:is>
          <x:t xml:space="preserve">ITA</x:t>
        </x:is>
      </x:c>
      <x:c r="E3" s="25" t="inlineStr">
        <x:is>
          <x:t xml:space="preserve">Italy</x:t>
        </x:is>
      </x:c>
      <x:c r="F3" s="7" t="n">
        <x:v>1</x:v>
      </x:c>
      <x:c r="G3" s="22" t="n">
        <x:v>154</x:v>
      </x:c>
      <x:c r="H3" s="22" t="inlineStr">
        <x:is>
          <x:t xml:space="preserve">6-7,7-6,6-3,6-4</x:t>
        </x:is>
      </x:c>
      <x:c r="I3" s="29" t="n">
        <x:v>6</x:v>
      </x:c>
      <x:c r="J3" s="29" t="n">
        <x:v>7</x:v>
      </x:c>
      <x:c r="K3" s="29" t="n">
        <x:v>7</x:v>
      </x:c>
      <x:c r="L3" s="29" t="n">
        <x:v>6</x:v>
      </x:c>
      <x:c r="M3" s="29" t="n">
        <x:v>6</x:v>
      </x:c>
      <x:c r="N3" s="29" t="n">
        <x:v>3</x:v>
      </x:c>
      <x:c r="O3" s="29" t="n">
        <x:v>6</x:v>
      </x:c>
      <x:c r="P3" s="29" t="n">
        <x:v>4</x:v>
      </x:c>
      <x:c r="Q3" s="29" t="n"/>
      <x:c r="R3" s="29" t="n"/>
      <x:c r="S3" s="25" t="inlineStr">
        <x:is>
          <x:t xml:space="preserve">A. Zverev</x:t>
        </x:is>
      </x:c>
      <x:c r="T3" s="25" t="inlineStr">
        <x:is>
          <x:t xml:space="preserve">GER</x:t>
        </x:is>
      </x:c>
      <x:c r="U3" s="25" t="inlineStr">
        <x:is>
          <x:t xml:space="preserve">Germany</x:t>
        </x:is>
      </x:c>
      <x:c r="V3" s="7" t="n">
        <x:v>2</x:v>
      </x:c>
    </x:row>
    <x:row r="4" s="25" customFormat="1">
      <x:c r="A4" s="25" t="n">
        <x:v>2025</x:v>
      </x:c>
      <x:c r="B4" s="25" t="inlineStr">
        <x:is>
          <x:t xml:space="preserve">Women's</x:t>
        </x:is>
      </x:c>
      <x:c r="C4" s="25" t="inlineStr">
        <x:is>
          <x:t xml:space="preserve">I. Świątek</x:t>
        </x:is>
      </x:c>
      <x:c r="D4" s="25" t="inlineStr">
        <x:is>
          <x:t xml:space="preserve">POL</x:t>
        </x:is>
      </x:c>
      <x:c r="E4" s="25" t="inlineStr">
        <x:is>
          <x:t xml:space="preserve">Poland</x:t>
        </x:is>
      </x:c>
      <x:c r="F4" s="7" t="n">
        <x:v>8</x:v>
      </x:c>
      <x:c r="G4" s="22" t="n">
        <x:v>57</x:v>
      </x:c>
      <x:c r="H4" s="22" t="inlineStr">
        <x:is>
          <x:t xml:space="preserve">6-0,6-0</x:t>
        </x:is>
      </x:c>
      <x:c r="I4" s="29" t="n">
        <x:v>6</x:v>
      </x:c>
      <x:c r="J4" s="29" t="n">
        <x:v>0</x:v>
      </x:c>
      <x:c r="K4" s="29" t="n">
        <x:v>6</x:v>
      </x:c>
      <x:c r="L4" s="29" t="n">
        <x:v>0</x:v>
      </x:c>
      <x:c r="M4" s="29" t="n"/>
      <x:c r="N4" s="29" t="n"/>
      <x:c r="O4" s="29" t="n"/>
      <x:c r="P4" s="29" t="n"/>
      <x:c r="Q4" s="29" t="n"/>
      <x:c r="R4" s="29" t="n"/>
      <x:c r="S4" s="25" t="inlineStr">
        <x:is>
          <x:t xml:space="preserve">A. Anisimova</x:t>
        </x:is>
      </x:c>
      <x:c r="T4" s="25" t="inlineStr">
        <x:is>
          <x:t xml:space="preserve">USA</x:t>
        </x:is>
      </x:c>
      <x:c r="U4" s="25" t="inlineStr">
        <x:is>
          <x:t xml:space="preserve">United States</x:t>
        </x:is>
      </x:c>
      <x:c r="V4" s="7" t="n">
        <x:v>13</x:v>
      </x:c>
    </x:row>
    <x:row r="5" s="25" customFormat="1">
      <x:c r="A5" s="25" t="n">
        <x:v>2025</x:v>
      </x:c>
      <x:c r="B5" s="25" t="inlineStr">
        <x:is>
          <x:t xml:space="preserve">Men's</x:t>
        </x:is>
      </x:c>
      <x:c r="C5" s="25" t="inlineStr">
        <x:is>
          <x:t xml:space="preserve">J. Sinner</x:t>
        </x:is>
      </x:c>
      <x:c r="D5" s="25" t="inlineStr">
        <x:is>
          <x:t xml:space="preserve">ITA</x:t>
        </x:is>
      </x:c>
      <x:c r="E5" s="25" t="inlineStr">
        <x:is>
          <x:t xml:space="preserve">Italy</x:t>
        </x:is>
      </x:c>
      <x:c r="F5" s="7" t="n">
        <x:v>1</x:v>
      </x:c>
      <x:c r="G5" s="22" t="n">
        <x:v>184</x:v>
      </x:c>
      <x:c r="H5" s="22" t="inlineStr">
        <x:is>
          <x:t xml:space="preserve">4-6,6-4,6-4,6-4</x:t>
        </x:is>
      </x:c>
      <x:c r="I5" s="29" t="n">
        <x:v>4</x:v>
      </x:c>
      <x:c r="J5" s="29" t="n">
        <x:v>6</x:v>
      </x:c>
      <x:c r="K5" s="29" t="n">
        <x:v>6</x:v>
      </x:c>
      <x:c r="L5" s="29" t="n">
        <x:v>4</x:v>
      </x:c>
      <x:c r="M5" s="29" t="n">
        <x:v>6</x:v>
      </x:c>
      <x:c r="N5" s="29" t="n">
        <x:v>4</x:v>
      </x:c>
      <x:c r="O5" s="29" t="n">
        <x:v>6</x:v>
      </x:c>
      <x:c r="P5" s="29" t="n">
        <x:v>4</x:v>
      </x:c>
      <x:c r="Q5" s="29" t="n"/>
      <x:c r="R5" s="29" t="n"/>
      <x:c r="S5" s="25" t="inlineStr">
        <x:is>
          <x:t xml:space="preserve">C. Alcaraz</x:t>
        </x:is>
      </x:c>
      <x:c r="T5" s="25" t="inlineStr">
        <x:is>
          <x:t xml:space="preserve">ESP</x:t>
        </x:is>
      </x:c>
      <x:c r="U5" s="25" t="inlineStr">
        <x:is>
          <x:t xml:space="preserve">Spain</x:t>
        </x:is>
      </x:c>
      <x:c r="V5" s="7" t="n">
        <x:v>2</x:v>
      </x:c>
    </x:row>
    <x:row r="6" s="22" customFormat="1">
      <x:c r="A6" s="22" t="n">
        <x:v>2024</x:v>
      </x:c>
      <x:c r="B6" s="25" t="inlineStr">
        <x:is>
          <x:t xml:space="preserve">Women's</x:t>
        </x:is>
      </x:c>
      <x:c r="C6" s="25" t="inlineStr">
        <x:is>
          <x:t xml:space="preserve">B. Krejčíková</x:t>
        </x:is>
      </x:c>
      <x:c r="D6" s="25" t="inlineStr">
        <x:is>
          <x:t xml:space="preserve">CZE</x:t>
        </x:is>
      </x:c>
      <x:c r="E6" s="25" t="inlineStr">
        <x:is>
          <x:t xml:space="preserve">Czechia</x:t>
        </x:is>
      </x:c>
      <x:c r="F6" s="7" t="n">
        <x:v>31</x:v>
      </x:c>
      <x:c r="G6" s="22" t="n">
        <x:v>116</x:v>
      </x:c>
      <x:c r="H6" s="22" t="inlineStr">
        <x:is>
          <x:t xml:space="preserve">6-2,2-6,6-4</x:t>
        </x:is>
      </x:c>
      <x:c r="I6" s="29" t="n">
        <x:v>6</x:v>
      </x:c>
      <x:c r="J6" s="29" t="n">
        <x:v>2</x:v>
      </x:c>
      <x:c r="K6" s="29" t="n">
        <x:v>2</x:v>
      </x:c>
      <x:c r="L6" s="29" t="n">
        <x:v>6</x:v>
      </x:c>
      <x:c r="M6" s="29" t="n">
        <x:v>6</x:v>
      </x:c>
      <x:c r="N6" s="29" t="n">
        <x:v>4</x:v>
      </x:c>
      <x:c r="O6" s="31" t="n"/>
      <x:c r="P6" s="31" t="n"/>
      <x:c r="Q6" s="31" t="n"/>
      <x:c r="R6" s="31" t="n"/>
      <x:c r="S6" s="25" t="inlineStr">
        <x:is>
          <x:t xml:space="preserve">J. Paolini</x:t>
        </x:is>
      </x:c>
      <x:c r="T6" s="25" t="inlineStr">
        <x:is>
          <x:t xml:space="preserve">ITA</x:t>
        </x:is>
      </x:c>
      <x:c r="U6" s="25" t="inlineStr">
        <x:is>
          <x:t xml:space="preserve">Italy</x:t>
        </x:is>
      </x:c>
      <x:c r="V6" s="7" t="n">
        <x:v>7</x:v>
      </x:c>
    </x:row>
    <x:row r="7" s="22" customFormat="1">
      <x:c r="A7" s="22" t="n">
        <x:v>2024</x:v>
      </x:c>
      <x:c r="B7" s="25" t="inlineStr">
        <x:is>
          <x:t xml:space="preserve">Men's</x:t>
        </x:is>
      </x:c>
      <x:c r="C7" s="25" t="inlineStr">
        <x:is>
          <x:t xml:space="preserve">C. Alcaraz</x:t>
        </x:is>
      </x:c>
      <x:c r="D7" s="25" t="inlineStr">
        <x:is>
          <x:t xml:space="preserve">ESP</x:t>
        </x:is>
      </x:c>
      <x:c r="E7" s="25" t="inlineStr">
        <x:is>
          <x:t xml:space="preserve">Spain</x:t>
        </x:is>
      </x:c>
      <x:c r="F7" s="7" t="n">
        <x:v>3</x:v>
      </x:c>
      <x:c r="G7" s="22" t="n">
        <x:v>147</x:v>
      </x:c>
      <x:c r="H7" s="22" t="inlineStr">
        <x:is>
          <x:t xml:space="preserve">6-2,6-2,7-6</x:t>
        </x:is>
      </x:c>
      <x:c r="I7" s="29" t="n">
        <x:v>6</x:v>
      </x:c>
      <x:c r="J7" s="29" t="n">
        <x:v>2</x:v>
      </x:c>
      <x:c r="K7" s="29" t="n">
        <x:v>6</x:v>
      </x:c>
      <x:c r="L7" s="29" t="n">
        <x:v>2</x:v>
      </x:c>
      <x:c r="M7" s="29" t="n">
        <x:v>7</x:v>
      </x:c>
      <x:c r="N7" s="29" t="n">
        <x:v>6</x:v>
      </x:c>
      <x:c r="O7" s="31" t="n"/>
      <x:c r="P7" s="31" t="n"/>
      <x:c r="Q7" s="31" t="n"/>
      <x:c r="R7" s="31" t="n"/>
      <x:c r="S7" s="25" t="inlineStr">
        <x:is>
          <x:t xml:space="preserve">N. Djokovic</x:t>
        </x:is>
      </x:c>
      <x:c r="T7" s="25" t="inlineStr">
        <x:is>
          <x:t xml:space="preserve">SRB</x:t>
        </x:is>
      </x:c>
      <x:c r="U7" s="25" t="inlineStr">
        <x:is>
          <x:t xml:space="preserve">Serbia</x:t>
        </x:is>
      </x:c>
      <x:c r="V7" s="7" t="n">
        <x:v>2</x:v>
      </x:c>
    </x:row>
    <x:row r="8" s="15" customFormat="1">
      <x:c r="A8" s="15" t="n">
        <x:v>2023</x:v>
      </x:c>
      <x:c r="B8" s="25" t="inlineStr">
        <x:is>
          <x:t xml:space="preserve">Women's</x:t>
        </x:is>
      </x:c>
      <x:c r="C8" s="25" t="inlineStr">
        <x:is>
          <x:t xml:space="preserve">M.Vondrousova</x:t>
        </x:is>
      </x:c>
      <x:c r="D8" s="25" t="inlineStr">
        <x:is>
          <x:t xml:space="preserve">CZE</x:t>
        </x:is>
      </x:c>
      <x:c r="E8" s="25" t="inlineStr">
        <x:is>
          <x:t xml:space="preserve">Czechia</x:t>
        </x:is>
      </x:c>
      <x:c r="F8" s="7" t="inlineStr">
        <x:is>
          <x:t xml:space="preserve">U</x:t>
        </x:is>
      </x:c>
      <x:c r="G8" s="22" t="n">
        <x:v>80</x:v>
      </x:c>
      <x:c r="H8" s="22" t="inlineStr">
        <x:is>
          <x:t xml:space="preserve">6-4, 6-4</x:t>
        </x:is>
      </x:c>
      <x:c r="I8" s="29" t="n">
        <x:v>6</x:v>
      </x:c>
      <x:c r="J8" s="29" t="n">
        <x:v>4</x:v>
      </x:c>
      <x:c r="K8" s="29" t="n">
        <x:v>6</x:v>
      </x:c>
      <x:c r="L8" s="29" t="n">
        <x:v>4</x:v>
      </x:c>
      <x:c r="M8" s="29" t="n"/>
      <x:c r="N8" s="29" t="n"/>
      <x:c r="O8" s="29" t="n"/>
      <x:c r="P8" s="29" t="n"/>
      <x:c r="Q8" s="29" t="n"/>
      <x:c r="R8" s="29" t="n"/>
      <x:c r="S8" s="25" t="inlineStr">
        <x:is>
          <x:t xml:space="preserve">O.Jabeur</x:t>
        </x:is>
      </x:c>
      <x:c r="T8" s="25" t="inlineStr">
        <x:is>
          <x:t xml:space="preserve">TUN</x:t>
        </x:is>
      </x:c>
      <x:c r="U8" s="30" t="inlineStr">
        <x:is>
          <x:t xml:space="preserve">Tunisia</x:t>
        </x:is>
      </x:c>
      <x:c r="V8" s="7" t="n">
        <x:v>6</x:v>
      </x:c>
    </x:row>
    <x:row r="9" s="15" customFormat="1">
      <x:c r="A9" s="15" t="n">
        <x:v>2023</x:v>
      </x:c>
      <x:c r="B9" s="25" t="inlineStr">
        <x:is>
          <x:t xml:space="preserve">Men's</x:t>
        </x:is>
      </x:c>
      <x:c r="C9" s="25" t="inlineStr">
        <x:is>
          <x:t xml:space="preserve">C.Alcaraz</x:t>
        </x:is>
      </x:c>
      <x:c r="D9" s="25" t="inlineStr">
        <x:is>
          <x:t xml:space="preserve">ESP</x:t>
        </x:is>
      </x:c>
      <x:c r="E9" s="25" t="inlineStr">
        <x:is>
          <x:t xml:space="preserve">Spain</x:t>
        </x:is>
      </x:c>
      <x:c r="F9" s="7" t="n">
        <x:v>1</x:v>
      </x:c>
      <x:c r="G9" s="22" t="n">
        <x:v>283</x:v>
      </x:c>
      <x:c r="H9" s="22" t="inlineStr">
        <x:is>
          <x:t xml:space="preserve">1-6, 7-6, 6-1, 3-6, 6-4</x:t>
        </x:is>
      </x:c>
      <x:c r="I9" s="29" t="n">
        <x:v>1</x:v>
      </x:c>
      <x:c r="J9" s="29" t="n">
        <x:v>6</x:v>
      </x:c>
      <x:c r="K9" s="29" t="n">
        <x:v>7</x:v>
      </x:c>
      <x:c r="L9" s="29" t="n">
        <x:v>6</x:v>
      </x:c>
      <x:c r="M9" s="29" t="n">
        <x:v>6</x:v>
      </x:c>
      <x:c r="N9" s="29" t="n">
        <x:v>1</x:v>
      </x:c>
      <x:c r="O9" s="29" t="n">
        <x:v>3</x:v>
      </x:c>
      <x:c r="P9" s="29" t="n">
        <x:v>6</x:v>
      </x:c>
      <x:c r="Q9" s="29" t="n">
        <x:v>6</x:v>
      </x:c>
      <x:c r="R9" s="29" t="n">
        <x:v>4</x:v>
      </x:c>
      <x:c r="S9" s="25" t="inlineStr">
        <x:is>
          <x:t xml:space="preserve">N.Djokovic</x:t>
        </x:is>
      </x:c>
      <x:c r="T9" s="25" t="inlineStr">
        <x:is>
          <x:t xml:space="preserve">SRB</x:t>
        </x:is>
      </x:c>
      <x:c r="U9" s="25" t="inlineStr">
        <x:is>
          <x:t xml:space="preserve">Serbia</x:t>
        </x:is>
      </x:c>
      <x:c r="V9" s="7" t="n">
        <x:v>2</x:v>
      </x:c>
    </x:row>
    <x:row r="10" s="15" customFormat="1">
      <x:c r="A10" s="15" t="n">
        <x:v>2022</x:v>
      </x:c>
      <x:c r="B10" s="25" t="inlineStr">
        <x:is>
          <x:t xml:space="preserve">Women's</x:t>
        </x:is>
      </x:c>
      <x:c r="C10" s="25" t="inlineStr">
        <x:is>
          <x:t xml:space="preserve">E. Rybakina</x:t>
        </x:is>
      </x:c>
      <x:c r="D10" s="25" t="inlineStr">
        <x:is>
          <x:t xml:space="preserve">KAZ</x:t>
        </x:is>
      </x:c>
      <x:c r="E10" s="25" t="inlineStr">
        <x:is>
          <x:t xml:space="preserve">Kazakhstan</x:t>
        </x:is>
      </x:c>
      <x:c r="F10" s="7" t="n">
        <x:v>17</x:v>
      </x:c>
      <x:c r="G10" s="22" t="n">
        <x:v>108</x:v>
      </x:c>
      <x:c r="H10" s="22" t="inlineStr">
        <x:is>
          <x:t xml:space="preserve">3-6,6-2,6-2</x:t>
        </x:is>
      </x:c>
      <x:c r="I10" s="29" t="n">
        <x:v>3</x:v>
      </x:c>
      <x:c r="J10" s="29" t="n">
        <x:v>6</x:v>
      </x:c>
      <x:c r="K10" s="29" t="n">
        <x:v>6</x:v>
      </x:c>
      <x:c r="L10" s="29" t="n">
        <x:v>5</x:v>
      </x:c>
      <x:c r="M10" s="29" t="n">
        <x:v>6</x:v>
      </x:c>
      <x:c r="N10" s="29" t="n">
        <x:v>2</x:v>
      </x:c>
      <x:c r="O10" s="29" t="n"/>
      <x:c r="P10" s="29" t="n"/>
      <x:c r="Q10" s="29" t="n"/>
      <x:c r="R10" s="29" t="n"/>
      <x:c r="S10" s="25" t="inlineStr">
        <x:is>
          <x:t xml:space="preserve">O. Jabeur</x:t>
        </x:is>
      </x:c>
      <x:c r="T10" s="25" t="inlineStr">
        <x:is>
          <x:t xml:space="preserve">TUN</x:t>
        </x:is>
      </x:c>
      <x:c r="U10" s="25" t="inlineStr">
        <x:is>
          <x:t xml:space="preserve">Tunisia</x:t>
        </x:is>
      </x:c>
      <x:c r="V10" s="7" t="n">
        <x:v>3</x:v>
      </x:c>
    </x:row>
    <x:row r="11" s="15" customFormat="1">
      <x:c r="A11" s="15" t="n">
        <x:v>2022</x:v>
      </x:c>
      <x:c r="B11" s="25" t="inlineStr">
        <x:is>
          <x:t xml:space="preserve">Men's</x:t>
        </x:is>
      </x:c>
      <x:c r="C11" s="25" t="inlineStr">
        <x:is>
          <x:t xml:space="preserve">N. Djokovic</x:t>
        </x:is>
      </x:c>
      <x:c r="D11" s="25" t="inlineStr">
        <x:is>
          <x:t xml:space="preserve">SRB</x:t>
        </x:is>
      </x:c>
      <x:c r="E11" s="25" t="inlineStr">
        <x:is>
          <x:t xml:space="preserve">Serbia</x:t>
        </x:is>
      </x:c>
      <x:c r="F11" s="7" t="n">
        <x:v>1</x:v>
      </x:c>
      <x:c r="G11" s="22" t="n">
        <x:v>181</x:v>
      </x:c>
      <x:c r="H11" s="22" t="inlineStr">
        <x:is>
          <x:t xml:space="preserve">4-6,6-3,6-4,7-6(7-3)</x:t>
        </x:is>
      </x:c>
      <x:c r="I11" s="29" t="n">
        <x:v>4</x:v>
      </x:c>
      <x:c r="J11" s="29" t="n">
        <x:v>6</x:v>
      </x:c>
      <x:c r="K11" s="29" t="n">
        <x:v>6</x:v>
      </x:c>
      <x:c r="L11" s="29" t="n">
        <x:v>3</x:v>
      </x:c>
      <x:c r="M11" s="29" t="n">
        <x:v>6</x:v>
      </x:c>
      <x:c r="N11" s="29" t="n">
        <x:v>4</x:v>
      </x:c>
      <x:c r="O11" s="29" t="n">
        <x:v>7</x:v>
      </x:c>
      <x:c r="P11" s="29" t="n">
        <x:v>6</x:v>
      </x:c>
      <x:c r="Q11" s="29" t="n"/>
      <x:c r="R11" s="29" t="n"/>
      <x:c r="S11" s="25" t="inlineStr">
        <x:is>
          <x:t xml:space="preserve">N. Kyrgios</x:t>
        </x:is>
      </x:c>
      <x:c r="T11" s="25" t="inlineStr">
        <x:is>
          <x:t xml:space="preserve">Aus</x:t>
        </x:is>
      </x:c>
      <x:c r="U11" s="25" t="inlineStr">
        <x:is>
          <x:t xml:space="preserve">Australia</x:t>
        </x:is>
      </x:c>
      <x:c r="V11" s="7" t="inlineStr">
        <x:is>
          <x:t xml:space="preserve">U</x:t>
        </x:is>
      </x:c>
    </x:row>
    <x:row r="12" s="22" customFormat="1">
      <x:c r="A12" s="22" t="n">
        <x:v>2021</x:v>
      </x:c>
      <x:c r="B12" s="25" t="inlineStr">
        <x:is>
          <x:t xml:space="preserve">Women's</x:t>
        </x:is>
      </x:c>
      <x:c r="C12" s="25" t="inlineStr">
        <x:is>
          <x:t xml:space="preserve">A. Barty</x:t>
        </x:is>
      </x:c>
      <x:c r="D12" s="25" t="inlineStr">
        <x:is>
          <x:t xml:space="preserve">AUS</x:t>
        </x:is>
      </x:c>
      <x:c r="E12" s="25" t="inlineStr">
        <x:is>
          <x:t xml:space="preserve">Australia</x:t>
        </x:is>
      </x:c>
      <x:c r="F12" s="7" t="n">
        <x:v>1</x:v>
      </x:c>
      <x:c r="G12" s="22" t="n">
        <x:v>116</x:v>
      </x:c>
      <x:c r="H12" s="22" t="inlineStr">
        <x:is>
          <x:t xml:space="preserve">6-3,6-7(4-7),6-3</x:t>
        </x:is>
      </x:c>
      <x:c r="I12" s="29" t="n">
        <x:v>6</x:v>
      </x:c>
      <x:c r="J12" s="29" t="n">
        <x:v>3</x:v>
      </x:c>
      <x:c r="K12" s="29" t="n">
        <x:v>6</x:v>
      </x:c>
      <x:c r="L12" s="29" t="n">
        <x:v>7</x:v>
      </x:c>
      <x:c r="M12" s="29" t="n">
        <x:v>6</x:v>
      </x:c>
      <x:c r="N12" s="29" t="n">
        <x:v>3</x:v>
      </x:c>
      <x:c r="O12" s="29" t="n"/>
      <x:c r="P12" s="29" t="n"/>
      <x:c r="Q12" s="29" t="n"/>
      <x:c r="R12" s="29" t="n"/>
      <x:c r="S12" s="25" t="inlineStr">
        <x:is>
          <x:t xml:space="preserve">k.Pliskova</x:t>
        </x:is>
      </x:c>
      <x:c r="T12" s="25" t="inlineStr">
        <x:is>
          <x:t xml:space="preserve">CZE</x:t>
        </x:is>
      </x:c>
      <x:c r="U12" s="25" t="inlineStr">
        <x:is>
          <x:t xml:space="preserve">Czechia</x:t>
        </x:is>
      </x:c>
      <x:c r="V12" s="7" t="n">
        <x:v>8</x:v>
      </x:c>
    </x:row>
    <x:row r="13" s="22" customFormat="1">
      <x:c r="A13" s="22" t="n">
        <x:v>2021</x:v>
      </x:c>
      <x:c r="B13" s="25" t="inlineStr">
        <x:is>
          <x:t xml:space="preserve">Men's</x:t>
        </x:is>
      </x:c>
      <x:c r="C13" s="25" t="inlineStr">
        <x:is>
          <x:t xml:space="preserve">N. Djokovic</x:t>
        </x:is>
      </x:c>
      <x:c r="D13" s="25" t="inlineStr">
        <x:is>
          <x:t xml:space="preserve">SRB</x:t>
        </x:is>
      </x:c>
      <x:c r="E13" s="25" t="inlineStr">
        <x:is>
          <x:t xml:space="preserve">Serbia</x:t>
        </x:is>
      </x:c>
      <x:c r="F13" s="7" t="n">
        <x:v>1</x:v>
      </x:c>
      <x:c r="G13" s="22" t="n">
        <x:v>204</x:v>
      </x:c>
      <x:c r="H13" s="22" t="inlineStr">
        <x:is>
          <x:t xml:space="preserve">6-7(4-7),6-4,6-4,6-3</x:t>
        </x:is>
      </x:c>
      <x:c r="I13" s="29" t="n">
        <x:v>6</x:v>
      </x:c>
      <x:c r="J13" s="29" t="n">
        <x:v>7</x:v>
      </x:c>
      <x:c r="K13" s="29" t="n">
        <x:v>6</x:v>
      </x:c>
      <x:c r="L13" s="29" t="n">
        <x:v>4</x:v>
      </x:c>
      <x:c r="M13" s="29" t="n">
        <x:v>6</x:v>
      </x:c>
      <x:c r="N13" s="29" t="n">
        <x:v>4</x:v>
      </x:c>
      <x:c r="O13" s="29" t="n">
        <x:v>6</x:v>
      </x:c>
      <x:c r="P13" s="29" t="n">
        <x:v>3</x:v>
      </x:c>
      <x:c r="Q13" s="29" t="n"/>
      <x:c r="R13" s="29" t="n"/>
      <x:c r="S13" s="25" t="inlineStr">
        <x:is>
          <x:t xml:space="preserve">M. Berrettini</x:t>
        </x:is>
      </x:c>
      <x:c r="T13" s="25" t="inlineStr">
        <x:is>
          <x:t xml:space="preserve">ITA</x:t>
        </x:is>
      </x:c>
      <x:c r="U13" s="25" t="inlineStr">
        <x:is>
          <x:t xml:space="preserve">Italy</x:t>
        </x:is>
      </x:c>
      <x:c r="V13" s="7" t="n">
        <x:v>7</x:v>
      </x:c>
    </x:row>
    <x:row r="14">
      <x:c r="A14" t="n">
        <x:v>2019</x:v>
      </x:c>
      <x:c r="B14" s="25" t="inlineStr">
        <x:is>
          <x:t xml:space="preserve">Women's</x:t>
        </x:is>
      </x:c>
      <x:c r="C14" s="25" t="inlineStr">
        <x:is>
          <x:t xml:space="preserve">S.Halep</x:t>
        </x:is>
      </x:c>
      <x:c r="D14" s="25" t="inlineStr">
        <x:is>
          <x:t xml:space="preserve">ROU</x:t>
        </x:is>
      </x:c>
      <x:c r="E14" s="25" t="inlineStr">
        <x:is>
          <x:t xml:space="preserve">Romania</x:t>
        </x:is>
      </x:c>
      <x:c r="F14" s="7" t="n">
        <x:v>7</x:v>
      </x:c>
      <x:c r="G14" s="22" t="n">
        <x:v>56</x:v>
      </x:c>
      <x:c r="H14" s="22" t="inlineStr">
        <x:is>
          <x:t xml:space="preserve">6-2,6-2</x:t>
        </x:is>
      </x:c>
      <x:c r="I14" s="22" t="n">
        <x:v>6</x:v>
      </x:c>
      <x:c r="J14" s="29" t="n">
        <x:v>2</x:v>
      </x:c>
      <x:c r="K14" s="29" t="n">
        <x:v>6</x:v>
      </x:c>
      <x:c r="L14" s="29" t="n">
        <x:v>2</x:v>
      </x:c>
      <x:c r="S14" s="25" t="inlineStr">
        <x:is>
          <x:t xml:space="preserve">S. Williams</x:t>
        </x:is>
      </x:c>
      <x:c r="T14" s="25" t="inlineStr">
        <x:is>
          <x:t xml:space="preserve">USA</x:t>
        </x:is>
      </x:c>
      <x:c r="U14" s="25" t="inlineStr">
        <x:is>
          <x:t xml:space="preserve">United States</x:t>
        </x:is>
      </x:c>
      <x:c r="V14" s="7" t="n">
        <x:v>11</x:v>
      </x:c>
    </x:row>
    <x:row r="15">
      <x:c r="A15" t="n">
        <x:v>2019</x:v>
      </x:c>
      <x:c r="B15" s="25" t="inlineStr">
        <x:is>
          <x:t xml:space="preserve">Men's</x:t>
        </x:is>
      </x:c>
      <x:c r="C15" s="25" t="inlineStr">
        <x:is>
          <x:t xml:space="preserve">N. Djokovic</x:t>
        </x:is>
      </x:c>
      <x:c r="D15" s="25" t="inlineStr">
        <x:is>
          <x:t xml:space="preserve">SRB</x:t>
        </x:is>
      </x:c>
      <x:c r="E15" s="25" t="inlineStr">
        <x:is>
          <x:t xml:space="preserve">Serbia</x:t>
        </x:is>
      </x:c>
      <x:c r="F15" s="7" t="n">
        <x:v>1</x:v>
      </x:c>
      <x:c r="G15" s="22" t="n">
        <x:v>297</x:v>
      </x:c>
      <x:c r="H15" s="22" t="inlineStr">
        <x:is>
          <x:t xml:space="preserve">7-6(7-5),1-6,7-6(7-4),4-6,13-12(7-3)</x:t>
        </x:is>
      </x:c>
      <x:c r="I15" s="22" t="n">
        <x:v>7</x:v>
      </x:c>
      <x:c r="J15" s="29" t="n">
        <x:v>6</x:v>
      </x:c>
      <x:c r="K15" s="29" t="n">
        <x:v>1</x:v>
      </x:c>
      <x:c r="L15" s="29" t="n">
        <x:v>6</x:v>
      </x:c>
      <x:c r="M15" s="29" t="n">
        <x:v>7</x:v>
      </x:c>
      <x:c r="N15" s="29" t="n">
        <x:v>6</x:v>
      </x:c>
      <x:c r="O15" s="29" t="n">
        <x:v>4</x:v>
      </x:c>
      <x:c r="P15" s="29" t="n">
        <x:v>6</x:v>
      </x:c>
      <x:c r="Q15" s="22" t="n">
        <x:v>7</x:v>
      </x:c>
      <x:c r="R15" s="29" t="n">
        <x:v>6</x:v>
      </x:c>
      <x:c r="S15" s="25" t="inlineStr">
        <x:is>
          <x:t xml:space="preserve">R. Federer</x:t>
        </x:is>
      </x:c>
      <x:c r="T15" s="25" t="inlineStr">
        <x:is>
          <x:t xml:space="preserve">SUI</x:t>
        </x:is>
      </x:c>
      <x:c r="U15" s="25" t="inlineStr">
        <x:is>
          <x:t xml:space="preserve">Switzerland</x:t>
        </x:is>
      </x:c>
      <x:c r="V15" s="7" t="n">
        <x:v>2</x:v>
      </x:c>
    </x:row>
    <x:row r="16">
      <x:c r="A16" t="n">
        <x:v>2018</x:v>
      </x:c>
      <x:c r="B16" s="25" t="inlineStr">
        <x:is>
          <x:t xml:space="preserve">Women's</x:t>
        </x:is>
      </x:c>
      <x:c r="C16" s="25" t="inlineStr">
        <x:is>
          <x:t xml:space="preserve">A. Kerber</x:t>
        </x:is>
      </x:c>
      <x:c r="D16" s="25" t="inlineStr">
        <x:is>
          <x:t xml:space="preserve">GER</x:t>
        </x:is>
      </x:c>
      <x:c r="E16" s="25" t="inlineStr">
        <x:is>
          <x:t xml:space="preserve">Germany</x:t>
        </x:is>
      </x:c>
      <x:c r="F16" s="7" t="n">
        <x:v>11</x:v>
      </x:c>
      <x:c r="G16" s="22" t="n">
        <x:v>65</x:v>
      </x:c>
      <x:c r="H16" s="22" t="inlineStr">
        <x:is>
          <x:t xml:space="preserve">6-3,6-3</x:t>
        </x:is>
      </x:c>
      <x:c r="I16" s="22" t="n">
        <x:v>6</x:v>
      </x:c>
      <x:c r="J16" s="29" t="n">
        <x:v>3</x:v>
      </x:c>
      <x:c r="K16" s="29" t="n">
        <x:v>6</x:v>
      </x:c>
      <x:c r="L16" s="29" t="n">
        <x:v>3</x:v>
      </x:c>
      <x:c r="S16" s="25" t="inlineStr">
        <x:is>
          <x:t xml:space="preserve">S. Williams</x:t>
        </x:is>
      </x:c>
      <x:c r="T16" s="25" t="inlineStr">
        <x:is>
          <x:t xml:space="preserve">USA</x:t>
        </x:is>
      </x:c>
      <x:c r="U16" s="25" t="inlineStr">
        <x:is>
          <x:t xml:space="preserve">United States</x:t>
        </x:is>
      </x:c>
      <x:c r="V16" s="7" t="n">
        <x:v>25</x:v>
      </x:c>
    </x:row>
    <x:row r="17">
      <x:c r="A17" t="n">
        <x:v>2018</x:v>
      </x:c>
      <x:c r="B17" s="25" t="inlineStr">
        <x:is>
          <x:t xml:space="preserve">Men's</x:t>
        </x:is>
      </x:c>
      <x:c r="C17" s="25" t="inlineStr">
        <x:is>
          <x:t xml:space="preserve">N. Djokovic</x:t>
        </x:is>
      </x:c>
      <x:c r="D17" s="25" t="inlineStr">
        <x:is>
          <x:t xml:space="preserve">SRB</x:t>
        </x:is>
      </x:c>
      <x:c r="E17" s="25" t="inlineStr">
        <x:is>
          <x:t xml:space="preserve">Serbia</x:t>
        </x:is>
      </x:c>
      <x:c r="F17" s="7" t="n">
        <x:v>12</x:v>
      </x:c>
      <x:c r="G17" s="22" t="n">
        <x:v>170</x:v>
      </x:c>
      <x:c r="H17" s="22" t="inlineStr">
        <x:is>
          <x:t xml:space="preserve">6-2,6-2,7-6(7-3)</x:t>
        </x:is>
      </x:c>
      <x:c r="I17" s="22" t="n">
        <x:v>6</x:v>
      </x:c>
      <x:c r="J17" s="29" t="n">
        <x:v>2</x:v>
      </x:c>
      <x:c r="K17" s="29" t="n">
        <x:v>6</x:v>
      </x:c>
      <x:c r="L17" s="29" t="n">
        <x:v>2</x:v>
      </x:c>
      <x:c r="M17" s="29" t="n">
        <x:v>7</x:v>
      </x:c>
      <x:c r="N17" s="29" t="n">
        <x:v>6</x:v>
      </x:c>
      <x:c r="S17" s="25" t="inlineStr">
        <x:is>
          <x:t xml:space="preserve">K. Anderson</x:t>
        </x:is>
      </x:c>
      <x:c r="T17" s="25" t="inlineStr">
        <x:is>
          <x:t xml:space="preserve">RSA</x:t>
        </x:is>
      </x:c>
      <x:c r="U17" s="25" t="inlineStr">
        <x:is>
          <x:t xml:space="preserve">South Africa</x:t>
        </x:is>
      </x:c>
      <x:c r="V17" s="7" t="n">
        <x:v>8</x:v>
      </x:c>
    </x:row>
    <x:row r="18">
      <x:c r="A18" t="n">
        <x:v>2017</x:v>
      </x:c>
      <x:c r="B18" s="25" t="inlineStr">
        <x:is>
          <x:t xml:space="preserve">Women's</x:t>
        </x:is>
      </x:c>
      <x:c r="C18" s="25" t="inlineStr">
        <x:is>
          <x:t xml:space="preserve">G. Muguruza</x:t>
        </x:is>
      </x:c>
      <x:c r="D18" s="25" t="inlineStr">
        <x:is>
          <x:t xml:space="preserve">ESP</x:t>
        </x:is>
      </x:c>
      <x:c r="E18" s="25" t="inlineStr">
        <x:is>
          <x:t xml:space="preserve">Spain</x:t>
        </x:is>
      </x:c>
      <x:c r="F18" s="7" t="n">
        <x:v>14</x:v>
      </x:c>
      <x:c r="G18" s="22" t="n">
        <x:v>77</x:v>
      </x:c>
      <x:c r="H18" s="22" t="inlineStr">
        <x:is>
          <x:t xml:space="preserve">7-5,6-0</x:t>
        </x:is>
      </x:c>
      <x:c r="I18" s="22" t="n">
        <x:v>7</x:v>
      </x:c>
      <x:c r="J18" s="29" t="n">
        <x:v>5</x:v>
      </x:c>
      <x:c r="K18" s="29" t="n">
        <x:v>6</x:v>
      </x:c>
      <x:c r="L18" s="29" t="n">
        <x:v>0</x:v>
      </x:c>
      <x:c r="S18" s="25" t="inlineStr">
        <x:is>
          <x:t xml:space="preserve">V.E.S. Williams</x:t>
        </x:is>
      </x:c>
      <x:c r="T18" s="25" t="inlineStr">
        <x:is>
          <x:t xml:space="preserve">USA</x:t>
        </x:is>
      </x:c>
      <x:c r="U18" s="25" t="inlineStr">
        <x:is>
          <x:t xml:space="preserve">United States</x:t>
        </x:is>
      </x:c>
      <x:c r="V18" s="7" t="n">
        <x:v>10</x:v>
      </x:c>
    </x:row>
    <x:row r="19">
      <x:c r="A19" t="n">
        <x:v>2017</x:v>
      </x:c>
      <x:c r="B19" s="25" t="inlineStr">
        <x:is>
          <x:t xml:space="preserve">Men's</x:t>
        </x:is>
      </x:c>
      <x:c r="C19" s="25" t="inlineStr">
        <x:is>
          <x:t xml:space="preserve">R. Federer</x:t>
        </x:is>
      </x:c>
      <x:c r="D19" s="25" t="inlineStr">
        <x:is>
          <x:t xml:space="preserve">SUI</x:t>
        </x:is>
      </x:c>
      <x:c r="E19" s="25" t="inlineStr">
        <x:is>
          <x:t xml:space="preserve">Switzerland</x:t>
        </x:is>
      </x:c>
      <x:c r="F19" s="7" t="n">
        <x:v>3</x:v>
      </x:c>
      <x:c r="G19" s="22" t="n">
        <x:v>101</x:v>
      </x:c>
      <x:c r="H19" s="22" t="inlineStr">
        <x:is>
          <x:t xml:space="preserve">6-3,6-1,6-4</x:t>
        </x:is>
      </x:c>
      <x:c r="I19" s="22" t="n">
        <x:v>6</x:v>
      </x:c>
      <x:c r="J19" s="29" t="n">
        <x:v>3</x:v>
      </x:c>
      <x:c r="K19" s="29" t="n">
        <x:v>6</x:v>
      </x:c>
      <x:c r="L19" s="29" t="n">
        <x:v>1</x:v>
      </x:c>
      <x:c r="M19" s="29" t="n">
        <x:v>6</x:v>
      </x:c>
      <x:c r="N19" s="29" t="n">
        <x:v>4</x:v>
      </x:c>
      <x:c r="S19" s="25" t="inlineStr">
        <x:is>
          <x:t xml:space="preserve">M.Cilic</x:t>
        </x:is>
      </x:c>
      <x:c r="T19" s="25" t="inlineStr">
        <x:is>
          <x:t xml:space="preserve">CRO</x:t>
        </x:is>
      </x:c>
      <x:c r="U19" s="25" t="inlineStr">
        <x:is>
          <x:t xml:space="preserve">Croatia</x:t>
        </x:is>
      </x:c>
      <x:c r="V19" s="7" t="n">
        <x:v>7</x:v>
      </x:c>
    </x:row>
    <x:row r="20">
      <x:c r="A20" t="n">
        <x:v>2016</x:v>
      </x:c>
      <x:c r="B20" s="25" t="inlineStr">
        <x:is>
          <x:t xml:space="preserve">Women's</x:t>
        </x:is>
      </x:c>
      <x:c r="C20" s="25" t="inlineStr">
        <x:is>
          <x:t xml:space="preserve">S. Williams</x:t>
        </x:is>
      </x:c>
      <x:c r="D20" s="25" t="inlineStr">
        <x:is>
          <x:t xml:space="preserve">USA</x:t>
        </x:is>
      </x:c>
      <x:c r="E20" s="25" t="inlineStr">
        <x:is>
          <x:t xml:space="preserve">United States</x:t>
        </x:is>
      </x:c>
      <x:c r="F20" s="7" t="n">
        <x:v>1</x:v>
      </x:c>
      <x:c r="G20" s="22" t="n">
        <x:v>83</x:v>
      </x:c>
      <x:c r="H20" s="22" t="inlineStr">
        <x:is>
          <x:t xml:space="preserve">7-5, 6-3</x:t>
        </x:is>
      </x:c>
      <x:c r="I20" s="22" t="n">
        <x:v>7</x:v>
      </x:c>
      <x:c r="J20" s="29" t="n">
        <x:v>5</x:v>
      </x:c>
      <x:c r="K20" s="29" t="n">
        <x:v>6</x:v>
      </x:c>
      <x:c r="L20" s="29" t="n">
        <x:v>3</x:v>
      </x:c>
      <x:c r="S20" s="25" t="inlineStr">
        <x:is>
          <x:t xml:space="preserve">A. Kerber</x:t>
        </x:is>
      </x:c>
      <x:c r="T20" s="25" t="inlineStr">
        <x:is>
          <x:t xml:space="preserve">GER</x:t>
        </x:is>
      </x:c>
      <x:c r="U20" s="25" t="inlineStr">
        <x:is>
          <x:t xml:space="preserve">Germany</x:t>
        </x:is>
      </x:c>
      <x:c r="V20" s="7" t="n">
        <x:v>4</x:v>
      </x:c>
    </x:row>
    <x:row r="21">
      <x:c r="A21" t="n">
        <x:v>2016</x:v>
      </x:c>
      <x:c r="B21" s="25" t="inlineStr">
        <x:is>
          <x:t xml:space="preserve">Men's</x:t>
        </x:is>
      </x:c>
      <x:c r="C21" s="25" t="inlineStr">
        <x:is>
          <x:t xml:space="preserve">A. Murray</x:t>
        </x:is>
      </x:c>
      <x:c r="D21" s="25" t="inlineStr">
        <x:is>
          <x:t xml:space="preserve">GBR</x:t>
        </x:is>
      </x:c>
      <x:c r="E21" s="25" t="inlineStr">
        <x:is>
          <x:t xml:space="preserve">United Kingdom</x:t>
        </x:is>
      </x:c>
      <x:c r="F21" s="7" t="n">
        <x:v>2</x:v>
      </x:c>
      <x:c r="G21" s="22" t="n">
        <x:v>170</x:v>
      </x:c>
      <x:c r="H21" s="22" t="inlineStr">
        <x:is>
          <x:t xml:space="preserve">6-4, 7-6(7-3), 7-6(7-2)</x:t>
        </x:is>
      </x:c>
      <x:c r="I21" s="22" t="n">
        <x:v>6</x:v>
      </x:c>
      <x:c r="J21" s="29" t="n">
        <x:v>4</x:v>
      </x:c>
      <x:c r="K21" s="29" t="n">
        <x:v>7</x:v>
      </x:c>
      <x:c r="L21" s="29" t="n">
        <x:v>6</x:v>
      </x:c>
      <x:c r="M21" s="29" t="n">
        <x:v>7</x:v>
      </x:c>
      <x:c r="N21" s="29" t="n">
        <x:v>6</x:v>
      </x:c>
      <x:c r="S21" s="25" t="inlineStr">
        <x:is>
          <x:t xml:space="preserve">M. Raonic</x:t>
        </x:is>
      </x:c>
      <x:c r="T21" s="25" t="inlineStr">
        <x:is>
          <x:t xml:space="preserve">CND</x:t>
        </x:is>
      </x:c>
      <x:c r="U21" s="25" t="inlineStr">
        <x:is>
          <x:t xml:space="preserve">Canada</x:t>
        </x:is>
      </x:c>
      <x:c r="V21" s="7" t="n">
        <x:v>6</x:v>
      </x:c>
    </x:row>
    <x:row r="22">
      <x:c r="A22" t="n">
        <x:v>2015</x:v>
      </x:c>
      <x:c r="B22" s="25" t="inlineStr">
        <x:is>
          <x:t xml:space="preserve">Women's</x:t>
        </x:is>
      </x:c>
      <x:c r="C22" s="25" t="inlineStr">
        <x:is>
          <x:t xml:space="preserve">S. Williams</x:t>
        </x:is>
      </x:c>
      <x:c r="D22" s="25" t="inlineStr">
        <x:is>
          <x:t xml:space="preserve">USA</x:t>
        </x:is>
      </x:c>
      <x:c r="E22" s="25" t="inlineStr">
        <x:is>
          <x:t xml:space="preserve">United States</x:t>
        </x:is>
      </x:c>
      <x:c r="F22" s="7" t="n">
        <x:v>1</x:v>
      </x:c>
      <x:c r="G22" s="22" t="n">
        <x:v>83</x:v>
      </x:c>
      <x:c r="H22" s="22" t="inlineStr">
        <x:is>
          <x:t xml:space="preserve">6-4, 6-4</x:t>
        </x:is>
      </x:c>
      <x:c r="I22" s="22" t="n">
        <x:v>6</x:v>
      </x:c>
      <x:c r="J22" s="29" t="n">
        <x:v>4</x:v>
      </x:c>
      <x:c r="K22" s="29" t="n">
        <x:v>6</x:v>
      </x:c>
      <x:c r="L22" s="29" t="n">
        <x:v>4</x:v>
      </x:c>
      <x:c r="S22" s="25" t="inlineStr">
        <x:is>
          <x:t xml:space="preserve">G. Muguruza</x:t>
        </x:is>
      </x:c>
      <x:c r="T22" s="25" t="inlineStr">
        <x:is>
          <x:t xml:space="preserve">ESP</x:t>
        </x:is>
      </x:c>
      <x:c r="U22" s="25" t="inlineStr">
        <x:is>
          <x:t xml:space="preserve">Spain</x:t>
        </x:is>
      </x:c>
      <x:c r="V22" s="7" t="n">
        <x:v>20</x:v>
      </x:c>
    </x:row>
    <x:row r="23">
      <x:c r="A23" t="n">
        <x:v>2015</x:v>
      </x:c>
      <x:c r="B23" s="25" t="inlineStr">
        <x:is>
          <x:t xml:space="preserve">Men's</x:t>
        </x:is>
      </x:c>
      <x:c r="C23" s="25" t="inlineStr">
        <x:is>
          <x:t xml:space="preserve">N. Djokovic</x:t>
        </x:is>
      </x:c>
      <x:c r="D23" s="25" t="inlineStr">
        <x:is>
          <x:t xml:space="preserve">SRB</x:t>
        </x:is>
      </x:c>
      <x:c r="E23" s="25" t="inlineStr">
        <x:is>
          <x:t xml:space="preserve">Serbia</x:t>
        </x:is>
      </x:c>
      <x:c r="F23" s="7" t="n">
        <x:v>1</x:v>
      </x:c>
      <x:c r="G23" s="22" t="n">
        <x:v>176</x:v>
      </x:c>
      <x:c r="H23" s="22" t="inlineStr">
        <x:is>
          <x:t xml:space="preserve">7-6(7-1), 6-7(10-12), 6-4, 6-3</x:t>
        </x:is>
      </x:c>
      <x:c r="I23" s="22" t="n">
        <x:v>7</x:v>
      </x:c>
      <x:c r="J23" s="29" t="n">
        <x:v>6</x:v>
      </x:c>
      <x:c r="K23" s="29" t="n">
        <x:v>6</x:v>
      </x:c>
      <x:c r="L23" s="29" t="n">
        <x:v>7</x:v>
      </x:c>
      <x:c r="M23" s="29" t="n">
        <x:v>6</x:v>
      </x:c>
      <x:c r="N23" s="29" t="n">
        <x:v>4</x:v>
      </x:c>
      <x:c r="O23" s="29" t="n">
        <x:v>6</x:v>
      </x:c>
      <x:c r="P23" s="29" t="n">
        <x:v>3</x:v>
      </x:c>
      <x:c r="S23" s="25" t="inlineStr">
        <x:is>
          <x:t xml:space="preserve">R. Federer</x:t>
        </x:is>
      </x:c>
      <x:c r="T23" s="25" t="inlineStr">
        <x:is>
          <x:t xml:space="preserve">SUI</x:t>
        </x:is>
      </x:c>
      <x:c r="U23" s="25" t="inlineStr">
        <x:is>
          <x:t xml:space="preserve">Switzerland</x:t>
        </x:is>
      </x:c>
      <x:c r="V23" s="7" t="n">
        <x:v>2</x:v>
      </x:c>
    </x:row>
    <x:row r="24">
      <x:c r="A24" t="n">
        <x:v>2014</x:v>
      </x:c>
      <x:c r="B24" s="25" t="inlineStr">
        <x:is>
          <x:t xml:space="preserve">Women's</x:t>
        </x:is>
      </x:c>
      <x:c r="C24" s="25" t="inlineStr">
        <x:is>
          <x:t xml:space="preserve">P. Kvitová</x:t>
        </x:is>
      </x:c>
      <x:c r="D24" s="25" t="inlineStr">
        <x:is>
          <x:t xml:space="preserve">CZE</x:t>
        </x:is>
      </x:c>
      <x:c r="E24" s="25" t="inlineStr">
        <x:is>
          <x:t xml:space="preserve">Czechia</x:t>
        </x:is>
      </x:c>
      <x:c r="F24" s="7" t="n">
        <x:v>6</x:v>
      </x:c>
      <x:c r="G24" s="22" t="n">
        <x:v>55</x:v>
      </x:c>
      <x:c r="H24" s="22" t="inlineStr">
        <x:is>
          <x:t xml:space="preserve">6-3, 6-0</x:t>
        </x:is>
      </x:c>
      <x:c r="I24" s="22" t="n">
        <x:v>6</x:v>
      </x:c>
      <x:c r="J24" s="29" t="n">
        <x:v>3</x:v>
      </x:c>
      <x:c r="K24" s="29" t="n">
        <x:v>6</x:v>
      </x:c>
      <x:c r="L24" s="29" t="n">
        <x:v>0</x:v>
      </x:c>
      <x:c r="S24" s="25" t="inlineStr">
        <x:is>
          <x:t xml:space="preserve">E. Bouchard</x:t>
        </x:is>
      </x:c>
      <x:c r="T24" s="25" t="inlineStr">
        <x:is>
          <x:t xml:space="preserve">CND</x:t>
        </x:is>
      </x:c>
      <x:c r="U24" s="25" t="inlineStr">
        <x:is>
          <x:t xml:space="preserve">Canada</x:t>
        </x:is>
      </x:c>
      <x:c r="V24" s="7" t="n">
        <x:v>13</x:v>
      </x:c>
    </x:row>
    <x:row r="25">
      <x:c r="A25" t="n">
        <x:v>2014</x:v>
      </x:c>
      <x:c r="B25" s="25" t="inlineStr">
        <x:is>
          <x:t xml:space="preserve">Men's</x:t>
        </x:is>
      </x:c>
      <x:c r="C25" s="25" t="inlineStr">
        <x:is>
          <x:t xml:space="preserve">N. Djokovic</x:t>
        </x:is>
      </x:c>
      <x:c r="D25" s="25" t="inlineStr">
        <x:is>
          <x:t xml:space="preserve">SRB</x:t>
        </x:is>
      </x:c>
      <x:c r="E25" s="25" t="inlineStr">
        <x:is>
          <x:t xml:space="preserve">Serbia</x:t>
        </x:is>
      </x:c>
      <x:c r="F25" s="7" t="n">
        <x:v>1</x:v>
      </x:c>
      <x:c r="G25" s="22" t="n">
        <x:v>236</x:v>
      </x:c>
      <x:c r="H25" s="22" t="inlineStr">
        <x:is>
          <x:t xml:space="preserve">6-7(7-9), 6-4, 7-6(7-4), 5-7, 6-4</x:t>
        </x:is>
      </x:c>
      <x:c r="I25" s="22" t="n">
        <x:v>6</x:v>
      </x:c>
      <x:c r="J25" s="29" t="n">
        <x:v>7</x:v>
      </x:c>
      <x:c r="K25" s="29" t="n">
        <x:v>6</x:v>
      </x:c>
      <x:c r="L25" s="29" t="n">
        <x:v>4</x:v>
      </x:c>
      <x:c r="M25" s="29" t="n">
        <x:v>7</x:v>
      </x:c>
      <x:c r="N25" s="29" t="n">
        <x:v>6</x:v>
      </x:c>
      <x:c r="O25" s="29" t="n">
        <x:v>5</x:v>
      </x:c>
      <x:c r="P25" s="29" t="n">
        <x:v>7</x:v>
      </x:c>
      <x:c r="Q25" s="22" t="n">
        <x:v>6</x:v>
      </x:c>
      <x:c r="R25" s="29" t="n">
        <x:v>4</x:v>
      </x:c>
      <x:c r="S25" s="25" t="inlineStr">
        <x:is>
          <x:t xml:space="preserve">R. Federer</x:t>
        </x:is>
      </x:c>
      <x:c r="T25" s="25" t="inlineStr">
        <x:is>
          <x:t xml:space="preserve">SUI</x:t>
        </x:is>
      </x:c>
      <x:c r="U25" s="25" t="inlineStr">
        <x:is>
          <x:t xml:space="preserve">Switzerland</x:t>
        </x:is>
      </x:c>
      <x:c r="V25" s="7" t="n">
        <x:v>4</x:v>
      </x:c>
    </x:row>
    <x:row r="26">
      <x:c r="A26" t="n">
        <x:v>2013</x:v>
      </x:c>
      <x:c r="B26" s="25" t="inlineStr">
        <x:is>
          <x:t xml:space="preserve">Women's</x:t>
        </x:is>
      </x:c>
      <x:c r="C26" s="25" t="inlineStr">
        <x:is>
          <x:t xml:space="preserve">M. Bartoli</x:t>
        </x:is>
      </x:c>
      <x:c r="D26" s="25" t="inlineStr">
        <x:is>
          <x:t xml:space="preserve">FRA</x:t>
        </x:is>
      </x:c>
      <x:c r="E26" s="25" t="inlineStr">
        <x:is>
          <x:t xml:space="preserve">France</x:t>
        </x:is>
      </x:c>
      <x:c r="F26" s="7" t="n">
        <x:v>15</x:v>
      </x:c>
      <x:c r="G26" s="22" t="n">
        <x:v>81</x:v>
      </x:c>
      <x:c r="H26" s="22" t="inlineStr">
        <x:is>
          <x:t xml:space="preserve">6-2,1-6,6-4</x:t>
        </x:is>
      </x:c>
      <x:c r="I26" s="22" t="n">
        <x:v>6</x:v>
      </x:c>
      <x:c r="J26" s="29" t="n">
        <x:v>2</x:v>
      </x:c>
      <x:c r="K26" s="29" t="n">
        <x:v>1</x:v>
      </x:c>
      <x:c r="L26" s="29" t="n">
        <x:v>6</x:v>
      </x:c>
      <x:c r="M26" s="29" t="n">
        <x:v>6</x:v>
      </x:c>
      <x:c r="N26" s="29" t="n">
        <x:v>4</x:v>
      </x:c>
      <x:c r="S26" s="25" t="inlineStr">
        <x:is>
          <x:t xml:space="preserve">S. Lisicki</x:t>
        </x:is>
      </x:c>
      <x:c r="T26" s="25" t="inlineStr">
        <x:is>
          <x:t xml:space="preserve">GER</x:t>
        </x:is>
      </x:c>
      <x:c r="U26" s="25" t="inlineStr">
        <x:is>
          <x:t xml:space="preserve">Germany</x:t>
        </x:is>
      </x:c>
      <x:c r="V26" s="7" t="n">
        <x:v>23</x:v>
      </x:c>
    </x:row>
    <x:row r="27">
      <x:c r="A27" t="n">
        <x:v>2013</x:v>
      </x:c>
      <x:c r="B27" s="25" t="inlineStr">
        <x:is>
          <x:t xml:space="preserve">Men's</x:t>
        </x:is>
      </x:c>
      <x:c r="C27" s="25" t="inlineStr">
        <x:is>
          <x:t xml:space="preserve">A. Murray</x:t>
        </x:is>
      </x:c>
      <x:c r="D27" s="25" t="inlineStr">
        <x:is>
          <x:t xml:space="preserve">GBR</x:t>
        </x:is>
      </x:c>
      <x:c r="E27" s="25" t="inlineStr">
        <x:is>
          <x:t xml:space="preserve">United Kingdom</x:t>
        </x:is>
      </x:c>
      <x:c r="F27" s="7" t="n">
        <x:v>2</x:v>
      </x:c>
      <x:c r="G27" s="22" t="n">
        <x:v>134</x:v>
      </x:c>
      <x:c r="H27" s="22" t="inlineStr">
        <x:is>
          <x:t xml:space="preserve">6-4, 7-5, 6-4</x:t>
        </x:is>
      </x:c>
      <x:c r="I27" s="22" t="n">
        <x:v>6</x:v>
      </x:c>
      <x:c r="J27" s="29" t="n">
        <x:v>4</x:v>
      </x:c>
      <x:c r="K27" s="29" t="n">
        <x:v>7</x:v>
      </x:c>
      <x:c r="L27" s="29" t="n">
        <x:v>5</x:v>
      </x:c>
      <x:c r="M27" s="29" t="n">
        <x:v>6</x:v>
      </x:c>
      <x:c r="N27" s="29" t="n">
        <x:v>4</x:v>
      </x:c>
      <x:c r="S27" s="25" t="inlineStr">
        <x:is>
          <x:t xml:space="preserve">N. Djokovic</x:t>
        </x:is>
      </x:c>
      <x:c r="T27" s="25" t="inlineStr">
        <x:is>
          <x:t xml:space="preserve">SRB</x:t>
        </x:is>
      </x:c>
      <x:c r="U27" s="25" t="inlineStr">
        <x:is>
          <x:t xml:space="preserve">Serbia</x:t>
        </x:is>
      </x:c>
      <x:c r="V27" s="7" t="n">
        <x:v>1</x:v>
      </x:c>
    </x:row>
    <x:row r="28">
      <x:c r="A28" t="n">
        <x:v>2012</x:v>
      </x:c>
      <x:c r="B28" s="25" t="inlineStr">
        <x:is>
          <x:t xml:space="preserve">Women's</x:t>
        </x:is>
      </x:c>
      <x:c r="C28" s="25" t="inlineStr">
        <x:is>
          <x:t xml:space="preserve">S. Williams</x:t>
        </x:is>
      </x:c>
      <x:c r="D28" s="25" t="inlineStr">
        <x:is>
          <x:t xml:space="preserve">USA</x:t>
        </x:is>
      </x:c>
      <x:c r="E28" s="25" t="inlineStr">
        <x:is>
          <x:t xml:space="preserve">United States</x:t>
        </x:is>
      </x:c>
      <x:c r="F28" s="7" t="n">
        <x:v>6</x:v>
      </x:c>
      <x:c r="G28" s="22" t="n">
        <x:v>122</x:v>
      </x:c>
      <x:c r="H28" s="22" t="inlineStr">
        <x:is>
          <x:t xml:space="preserve">6-1, 5-7, 6-2</x:t>
        </x:is>
      </x:c>
      <x:c r="I28" s="22" t="n">
        <x:v>6</x:v>
      </x:c>
      <x:c r="J28" s="29" t="n">
        <x:v>1</x:v>
      </x:c>
      <x:c r="K28" s="29" t="n">
        <x:v>5</x:v>
      </x:c>
      <x:c r="L28" s="29" t="n">
        <x:v>7</x:v>
      </x:c>
      <x:c r="M28" s="29" t="n">
        <x:v>6</x:v>
      </x:c>
      <x:c r="N28" s="29" t="n">
        <x:v>2</x:v>
      </x:c>
      <x:c r="S28" s="25" t="inlineStr">
        <x:is>
          <x:t xml:space="preserve">A. Radwańska</x:t>
        </x:is>
      </x:c>
      <x:c r="T28" s="25" t="inlineStr">
        <x:is>
          <x:t xml:space="preserve">POL</x:t>
        </x:is>
      </x:c>
      <x:c r="U28" s="25" t="inlineStr">
        <x:is>
          <x:t xml:space="preserve">Poland</x:t>
        </x:is>
      </x:c>
      <x:c r="V28" s="7" t="n">
        <x:v>3</x:v>
      </x:c>
    </x:row>
    <x:row r="29">
      <x:c r="A29" t="n">
        <x:v>2012</x:v>
      </x:c>
      <x:c r="B29" s="25" t="inlineStr">
        <x:is>
          <x:t xml:space="preserve">Men's</x:t>
        </x:is>
      </x:c>
      <x:c r="C29" s="25" t="inlineStr">
        <x:is>
          <x:t xml:space="preserve">R. Federer</x:t>
        </x:is>
      </x:c>
      <x:c r="D29" s="25" t="inlineStr">
        <x:is>
          <x:t xml:space="preserve">SUI</x:t>
        </x:is>
      </x:c>
      <x:c r="E29" s="25" t="inlineStr">
        <x:is>
          <x:t xml:space="preserve">Switzerland</x:t>
        </x:is>
      </x:c>
      <x:c r="F29" s="7" t="n">
        <x:v>3</x:v>
      </x:c>
      <x:c r="G29" s="22" t="n">
        <x:v>204</x:v>
      </x:c>
      <x:c r="H29" s="22" t="inlineStr">
        <x:is>
          <x:t xml:space="preserve">4-6, 7-5, 6-3, 6-4</x:t>
        </x:is>
      </x:c>
      <x:c r="I29" s="22" t="n">
        <x:v>4</x:v>
      </x:c>
      <x:c r="J29" s="29" t="n">
        <x:v>6</x:v>
      </x:c>
      <x:c r="K29" s="29" t="n">
        <x:v>7</x:v>
      </x:c>
      <x:c r="L29" s="29" t="n">
        <x:v>5</x:v>
      </x:c>
      <x:c r="M29" s="29" t="n">
        <x:v>6</x:v>
      </x:c>
      <x:c r="N29" s="29" t="n">
        <x:v>3</x:v>
      </x:c>
      <x:c r="O29" s="29" t="n">
        <x:v>6</x:v>
      </x:c>
      <x:c r="P29" s="29" t="n">
        <x:v>4</x:v>
      </x:c>
      <x:c r="S29" s="25" t="inlineStr">
        <x:is>
          <x:t xml:space="preserve">A. Murray</x:t>
        </x:is>
      </x:c>
      <x:c r="T29" s="25" t="inlineStr">
        <x:is>
          <x:t xml:space="preserve">GBR</x:t>
        </x:is>
      </x:c>
      <x:c r="U29" s="25" t="inlineStr">
        <x:is>
          <x:t xml:space="preserve">United Kingdom</x:t>
        </x:is>
      </x:c>
      <x:c r="V29" s="7" t="n">
        <x:v>4</x:v>
      </x:c>
    </x:row>
    <x:row r="30">
      <x:c r="A30" t="n">
        <x:v>2011</x:v>
      </x:c>
      <x:c r="B30" s="25" t="inlineStr">
        <x:is>
          <x:t xml:space="preserve">Women's</x:t>
        </x:is>
      </x:c>
      <x:c r="C30" s="25" t="inlineStr">
        <x:is>
          <x:t xml:space="preserve">P. Kvitova</x:t>
        </x:is>
      </x:c>
      <x:c r="D30" s="25" t="inlineStr">
        <x:is>
          <x:t xml:space="preserve">CZE</x:t>
        </x:is>
      </x:c>
      <x:c r="E30" s="25" t="inlineStr">
        <x:is>
          <x:t xml:space="preserve">Czechia</x:t>
        </x:is>
      </x:c>
      <x:c r="F30" s="7" t="n">
        <x:v>8</x:v>
      </x:c>
      <x:c r="G30" s="22" t="n">
        <x:v>85</x:v>
      </x:c>
      <x:c r="H30" s="22" t="inlineStr">
        <x:is>
          <x:t xml:space="preserve">6-3, 6-4</x:t>
        </x:is>
      </x:c>
      <x:c r="I30" s="22" t="n">
        <x:v>6</x:v>
      </x:c>
      <x:c r="J30" s="29" t="n">
        <x:v>3</x:v>
      </x:c>
      <x:c r="K30" s="29" t="n">
        <x:v>6</x:v>
      </x:c>
      <x:c r="L30" s="29" t="n">
        <x:v>4</x:v>
      </x:c>
      <x:c r="S30" s="25" t="inlineStr">
        <x:is>
          <x:t xml:space="preserve">M. Sharapova</x:t>
        </x:is>
      </x:c>
      <x:c r="T30" s="25" t="inlineStr">
        <x:is>
          <x:t xml:space="preserve">RUS</x:t>
        </x:is>
      </x:c>
      <x:c r="U30" s="25" t="inlineStr">
        <x:is>
          <x:t xml:space="preserve">Russia</x:t>
        </x:is>
      </x:c>
      <x:c r="V30" s="7" t="n">
        <x:v>5</x:v>
      </x:c>
    </x:row>
    <x:row r="31">
      <x:c r="A31" t="n">
        <x:v>2011</x:v>
      </x:c>
      <x:c r="B31" s="25" t="inlineStr">
        <x:is>
          <x:t xml:space="preserve">Men's</x:t>
        </x:is>
      </x:c>
      <x:c r="C31" s="25" t="inlineStr">
        <x:is>
          <x:t xml:space="preserve">N. Djokovic</x:t>
        </x:is>
      </x:c>
      <x:c r="D31" s="25" t="inlineStr">
        <x:is>
          <x:t xml:space="preserve">SRB</x:t>
        </x:is>
      </x:c>
      <x:c r="E31" s="25" t="inlineStr">
        <x:is>
          <x:t xml:space="preserve">Serbia</x:t>
        </x:is>
      </x:c>
      <x:c r="F31" s="7" t="n">
        <x:v>2</x:v>
      </x:c>
      <x:c r="G31" s="22" t="n">
        <x:v>148</x:v>
      </x:c>
      <x:c r="H31" s="22" t="inlineStr">
        <x:is>
          <x:t xml:space="preserve">6-4 6-1 1-6 6-3</x:t>
        </x:is>
      </x:c>
      <x:c r="I31" s="22" t="n">
        <x:v>6</x:v>
      </x:c>
      <x:c r="J31" s="29" t="n">
        <x:v>4</x:v>
      </x:c>
      <x:c r="K31" s="29" t="n">
        <x:v>6</x:v>
      </x:c>
      <x:c r="L31" s="29" t="n">
        <x:v>1</x:v>
      </x:c>
      <x:c r="M31" s="29" t="n">
        <x:v>1</x:v>
      </x:c>
      <x:c r="N31" s="29" t="n">
        <x:v>6</x:v>
      </x:c>
      <x:c r="O31" s="29" t="n">
        <x:v>6</x:v>
      </x:c>
      <x:c r="P31" s="29" t="n">
        <x:v>3</x:v>
      </x:c>
      <x:c r="S31" s="25" t="inlineStr">
        <x:is>
          <x:t xml:space="preserve">R. Nadal</x:t>
        </x:is>
      </x:c>
      <x:c r="T31" s="25" t="inlineStr">
        <x:is>
          <x:t xml:space="preserve">ESP</x:t>
        </x:is>
      </x:c>
      <x:c r="U31" s="25" t="inlineStr">
        <x:is>
          <x:t xml:space="preserve">Spain</x:t>
        </x:is>
      </x:c>
      <x:c r="V31" s="7" t="n">
        <x:v>1</x:v>
      </x:c>
    </x:row>
    <x:row r="32">
      <x:c r="A32" t="n">
        <x:v>2010</x:v>
      </x:c>
      <x:c r="B32" s="25" t="inlineStr">
        <x:is>
          <x:t xml:space="preserve">Women's</x:t>
        </x:is>
      </x:c>
      <x:c r="C32" s="25" t="inlineStr">
        <x:is>
          <x:t xml:space="preserve">S. Williams</x:t>
        </x:is>
      </x:c>
      <x:c r="D32" s="25" t="inlineStr">
        <x:is>
          <x:t xml:space="preserve">USA</x:t>
        </x:is>
      </x:c>
      <x:c r="E32" s="25" t="inlineStr">
        <x:is>
          <x:t xml:space="preserve">United States</x:t>
        </x:is>
      </x:c>
      <x:c r="F32" s="7" t="n">
        <x:v>1</x:v>
      </x:c>
      <x:c r="G32" s="22" t="n">
        <x:v>66</x:v>
      </x:c>
      <x:c r="H32" s="22" t="inlineStr">
        <x:is>
          <x:t xml:space="preserve">6-3, 6-2</x:t>
        </x:is>
      </x:c>
      <x:c r="I32" s="22" t="n">
        <x:v>6</x:v>
      </x:c>
      <x:c r="J32" s="29" t="n">
        <x:v>3</x:v>
      </x:c>
      <x:c r="K32" s="29" t="n">
        <x:v>6</x:v>
      </x:c>
      <x:c r="L32" s="29" t="n">
        <x:v>2</x:v>
      </x:c>
      <x:c r="S32" s="25" t="inlineStr">
        <x:is>
          <x:t xml:space="preserve">V. Zvonareva</x:t>
        </x:is>
      </x:c>
      <x:c r="T32" s="25" t="inlineStr">
        <x:is>
          <x:t xml:space="preserve">RUS</x:t>
        </x:is>
      </x:c>
      <x:c r="U32" s="25" t="inlineStr">
        <x:is>
          <x:t xml:space="preserve">Russia</x:t>
        </x:is>
      </x:c>
      <x:c r="V32" s="7" t="n">
        <x:v>21</x:v>
      </x:c>
    </x:row>
    <x:row r="33">
      <x:c r="A33" t="n">
        <x:v>2010</x:v>
      </x:c>
      <x:c r="B33" s="25" t="inlineStr">
        <x:is>
          <x:t xml:space="preserve">Men's</x:t>
        </x:is>
      </x:c>
      <x:c r="C33" s="25" t="inlineStr">
        <x:is>
          <x:t xml:space="preserve">R. Nadal</x:t>
        </x:is>
      </x:c>
      <x:c r="D33" s="25" t="inlineStr">
        <x:is>
          <x:t xml:space="preserve">ESP</x:t>
        </x:is>
      </x:c>
      <x:c r="E33" s="25" t="inlineStr">
        <x:is>
          <x:t xml:space="preserve">Spain</x:t>
        </x:is>
      </x:c>
      <x:c r="F33" s="7" t="n">
        <x:v>2</x:v>
      </x:c>
      <x:c r="G33" s="22" t="n">
        <x:v>133</x:v>
      </x:c>
      <x:c r="H33" s="22" t="inlineStr">
        <x:is>
          <x:t xml:space="preserve">6-3, 7-5, 6-4</x:t>
        </x:is>
      </x:c>
      <x:c r="I33" s="22" t="n">
        <x:v>6</x:v>
      </x:c>
      <x:c r="J33" s="29" t="n">
        <x:v>3</x:v>
      </x:c>
      <x:c r="K33" s="29" t="n">
        <x:v>7</x:v>
      </x:c>
      <x:c r="L33" s="29" t="n">
        <x:v>5</x:v>
      </x:c>
      <x:c r="M33" s="29" t="n">
        <x:v>6</x:v>
      </x:c>
      <x:c r="N33" s="29" t="n">
        <x:v>4</x:v>
      </x:c>
      <x:c r="S33" s="25" t="inlineStr">
        <x:is>
          <x:t xml:space="preserve">T. Berdych</x:t>
        </x:is>
      </x:c>
      <x:c r="T33" s="25" t="inlineStr">
        <x:is>
          <x:t xml:space="preserve">CZE</x:t>
        </x:is>
      </x:c>
      <x:c r="U33" s="25" t="inlineStr">
        <x:is>
          <x:t xml:space="preserve">Czechia</x:t>
        </x:is>
      </x:c>
      <x:c r="V33" s="7" t="n">
        <x:v>12</x:v>
      </x:c>
    </x:row>
    <x:row r="34">
      <x:c r="A34" t="n">
        <x:v>2009</x:v>
      </x:c>
      <x:c r="B34" s="25" t="inlineStr">
        <x:is>
          <x:t xml:space="preserve">Women's</x:t>
        </x:is>
      </x:c>
      <x:c r="C34" s="25" t="inlineStr">
        <x:is>
          <x:t xml:space="preserve">S. Williams</x:t>
        </x:is>
      </x:c>
      <x:c r="D34" s="25" t="inlineStr">
        <x:is>
          <x:t xml:space="preserve">USA</x:t>
        </x:is>
      </x:c>
      <x:c r="E34" s="25" t="inlineStr">
        <x:is>
          <x:t xml:space="preserve">United States</x:t>
        </x:is>
      </x:c>
      <x:c r="F34" s="7" t="n">
        <x:v>2</x:v>
      </x:c>
      <x:c r="G34" s="22" t="n">
        <x:v>87</x:v>
      </x:c>
      <x:c r="H34" s="22" t="inlineStr">
        <x:is>
          <x:t xml:space="preserve">7-6 (7-3), 6-2</x:t>
        </x:is>
      </x:c>
      <x:c r="I34" s="22" t="n">
        <x:v>7</x:v>
      </x:c>
      <x:c r="J34" s="29" t="n">
        <x:v>6</x:v>
      </x:c>
      <x:c r="K34" s="29" t="n">
        <x:v>6</x:v>
      </x:c>
      <x:c r="L34" s="29" t="n">
        <x:v>2</x:v>
      </x:c>
      <x:c r="S34" s="25" t="inlineStr">
        <x:is>
          <x:t xml:space="preserve">V.E.S. Williams</x:t>
        </x:is>
      </x:c>
      <x:c r="T34" s="25" t="inlineStr">
        <x:is>
          <x:t xml:space="preserve">USA</x:t>
        </x:is>
      </x:c>
      <x:c r="U34" s="25" t="inlineStr">
        <x:is>
          <x:t xml:space="preserve">United States</x:t>
        </x:is>
      </x:c>
      <x:c r="V34" s="7" t="n">
        <x:v>3</x:v>
      </x:c>
    </x:row>
    <x:row r="35">
      <x:c r="A35" t="n">
        <x:v>2009</x:v>
      </x:c>
      <x:c r="B35" s="25" t="inlineStr">
        <x:is>
          <x:t xml:space="preserve">Men's</x:t>
        </x:is>
      </x:c>
      <x:c r="C35" s="25" t="inlineStr">
        <x:is>
          <x:t xml:space="preserve">R. Federer</x:t>
        </x:is>
      </x:c>
      <x:c r="D35" s="25" t="inlineStr">
        <x:is>
          <x:t xml:space="preserve">SUI</x:t>
        </x:is>
      </x:c>
      <x:c r="E35" s="25" t="inlineStr">
        <x:is>
          <x:t xml:space="preserve">Switzerland</x:t>
        </x:is>
      </x:c>
      <x:c r="F35" s="7" t="n">
        <x:v>2</x:v>
      </x:c>
      <x:c r="G35" s="22" t="n">
        <x:v>256</x:v>
      </x:c>
      <x:c r="H35" s="22" t="inlineStr">
        <x:is>
          <x:t xml:space="preserve">5-7, 7-6 (8-6), 7-6 (7-5), 3-6, 16-14</x:t>
        </x:is>
      </x:c>
      <x:c r="I35" s="22" t="n">
        <x:v>5</x:v>
      </x:c>
      <x:c r="J35" s="29" t="n">
        <x:v>7</x:v>
      </x:c>
      <x:c r="K35" s="29" t="n">
        <x:v>7</x:v>
      </x:c>
      <x:c r="L35" s="29" t="n">
        <x:v>6</x:v>
      </x:c>
      <x:c r="M35" s="29" t="n">
        <x:v>7</x:v>
      </x:c>
      <x:c r="N35" s="29" t="n">
        <x:v>6</x:v>
      </x:c>
      <x:c r="O35" s="29" t="n">
        <x:v>3</x:v>
      </x:c>
      <x:c r="P35" s="29" t="n">
        <x:v>6</x:v>
      </x:c>
      <x:c r="Q35" s="22" t="n">
        <x:v>16</x:v>
      </x:c>
      <x:c r="R35" s="29" t="n">
        <x:v>14</x:v>
      </x:c>
      <x:c r="S35" s="25" t="inlineStr">
        <x:is>
          <x:t xml:space="preserve">A. Roddick</x:t>
        </x:is>
      </x:c>
      <x:c r="T35" s="25" t="inlineStr">
        <x:is>
          <x:t xml:space="preserve">USA</x:t>
        </x:is>
      </x:c>
      <x:c r="U35" s="25" t="inlineStr">
        <x:is>
          <x:t xml:space="preserve">United States</x:t>
        </x:is>
      </x:c>
      <x:c r="V35" s="7" t="n">
        <x:v>6</x:v>
      </x:c>
    </x:row>
    <x:row r="36">
      <x:c r="A36" t="n">
        <x:v>2008</x:v>
      </x:c>
      <x:c r="B36" s="25" t="inlineStr">
        <x:is>
          <x:t xml:space="preserve">Women's</x:t>
        </x:is>
      </x:c>
      <x:c r="C36" s="25" t="inlineStr">
        <x:is>
          <x:t xml:space="preserve">V.E.S. Williams</x:t>
        </x:is>
      </x:c>
      <x:c r="D36" s="25" t="inlineStr">
        <x:is>
          <x:t xml:space="preserve">USA</x:t>
        </x:is>
      </x:c>
      <x:c r="E36" s="25" t="inlineStr">
        <x:is>
          <x:t xml:space="preserve">United States</x:t>
        </x:is>
      </x:c>
      <x:c r="F36" s="7" t="n">
        <x:v>7</x:v>
      </x:c>
      <x:c r="G36" s="22" t="n">
        <x:v>111</x:v>
      </x:c>
      <x:c r="H36" s="22" t="inlineStr">
        <x:is>
          <x:t xml:space="preserve">7-5, 6-4</x:t>
        </x:is>
      </x:c>
      <x:c r="I36" s="22" t="n">
        <x:v>7</x:v>
      </x:c>
      <x:c r="J36" s="29" t="n">
        <x:v>5</x:v>
      </x:c>
      <x:c r="K36" s="29" t="n">
        <x:v>6</x:v>
      </x:c>
      <x:c r="L36" s="29" t="n">
        <x:v>4</x:v>
      </x:c>
      <x:c r="S36" s="25" t="inlineStr">
        <x:is>
          <x:t xml:space="preserve">S. Williams</x:t>
        </x:is>
      </x:c>
      <x:c r="T36" s="25" t="inlineStr">
        <x:is>
          <x:t xml:space="preserve">USA</x:t>
        </x:is>
      </x:c>
      <x:c r="U36" s="25" t="inlineStr">
        <x:is>
          <x:t xml:space="preserve">United States</x:t>
        </x:is>
      </x:c>
      <x:c r="V36" s="7" t="n">
        <x:v>6</x:v>
      </x:c>
    </x:row>
    <x:row r="37">
      <x:c r="A37" t="n">
        <x:v>2008</x:v>
      </x:c>
      <x:c r="B37" s="25" t="inlineStr">
        <x:is>
          <x:t xml:space="preserve">Men's</x:t>
        </x:is>
      </x:c>
      <x:c r="C37" s="25" t="inlineStr">
        <x:is>
          <x:t xml:space="preserve">R. Nadal</x:t>
        </x:is>
      </x:c>
      <x:c r="D37" s="25" t="inlineStr">
        <x:is>
          <x:t xml:space="preserve">ESP</x:t>
        </x:is>
      </x:c>
      <x:c r="E37" s="25" t="inlineStr">
        <x:is>
          <x:t xml:space="preserve">Spain</x:t>
        </x:is>
      </x:c>
      <x:c r="F37" s="7" t="n">
        <x:v>2</x:v>
      </x:c>
      <x:c r="G37" s="22" t="n">
        <x:v>288</x:v>
      </x:c>
      <x:c r="H37" s="22" t="inlineStr">
        <x:is>
          <x:t xml:space="preserve">6-4, 6-4, 6-7 (5-7), 6-7 (8-10), 9-7</x:t>
        </x:is>
      </x:c>
      <x:c r="I37" s="22" t="n">
        <x:v>6</x:v>
      </x:c>
      <x:c r="J37" s="29" t="n">
        <x:v>4</x:v>
      </x:c>
      <x:c r="K37" s="29" t="n">
        <x:v>6</x:v>
      </x:c>
      <x:c r="L37" s="29" t="n">
        <x:v>4</x:v>
      </x:c>
      <x:c r="M37" s="29" t="n">
        <x:v>6</x:v>
      </x:c>
      <x:c r="N37" s="29" t="n">
        <x:v>7</x:v>
      </x:c>
      <x:c r="O37" s="29" t="n">
        <x:v>6</x:v>
      </x:c>
      <x:c r="P37" s="29" t="n">
        <x:v>7</x:v>
      </x:c>
      <x:c r="Q37" s="22" t="n">
        <x:v>9</x:v>
      </x:c>
      <x:c r="R37" s="29" t="n">
        <x:v>7</x:v>
      </x:c>
      <x:c r="S37" s="25" t="inlineStr">
        <x:is>
          <x:t xml:space="preserve">R. Federer</x:t>
        </x:is>
      </x:c>
      <x:c r="T37" s="25" t="inlineStr">
        <x:is>
          <x:t xml:space="preserve">SUI</x:t>
        </x:is>
      </x:c>
      <x:c r="U37" s="25" t="inlineStr">
        <x:is>
          <x:t xml:space="preserve">Switzerland</x:t>
        </x:is>
      </x:c>
      <x:c r="V37" s="7" t="n">
        <x:v>1</x:v>
      </x:c>
    </x:row>
    <x:row r="38">
      <x:c r="A38" t="n">
        <x:v>2007</x:v>
      </x:c>
      <x:c r="B38" s="25" t="inlineStr">
        <x:is>
          <x:t xml:space="preserve">Women's</x:t>
        </x:is>
      </x:c>
      <x:c r="C38" s="25" t="inlineStr">
        <x:is>
          <x:t xml:space="preserve">V.E.S. Williams</x:t>
        </x:is>
      </x:c>
      <x:c r="D38" s="25" t="inlineStr">
        <x:is>
          <x:t xml:space="preserve">USA</x:t>
        </x:is>
      </x:c>
      <x:c r="E38" s="25" t="inlineStr">
        <x:is>
          <x:t xml:space="preserve">United States</x:t>
        </x:is>
      </x:c>
      <x:c r="F38" s="7" t="n">
        <x:v>23</x:v>
      </x:c>
      <x:c r="G38" s="22" t="n">
        <x:v>90</x:v>
      </x:c>
      <x:c r="H38" s="22" t="inlineStr">
        <x:is>
          <x:t xml:space="preserve">6-4, 6-1</x:t>
        </x:is>
      </x:c>
      <x:c r="I38" s="22" t="n">
        <x:v>6</x:v>
      </x:c>
      <x:c r="J38" s="29" t="n">
        <x:v>4</x:v>
      </x:c>
      <x:c r="K38" s="29" t="n">
        <x:v>6</x:v>
      </x:c>
      <x:c r="L38" s="29" t="n">
        <x:v>1</x:v>
      </x:c>
      <x:c r="S38" s="25" t="inlineStr">
        <x:is>
          <x:t xml:space="preserve">M. Bartoli</x:t>
        </x:is>
      </x:c>
      <x:c r="T38" s="25" t="inlineStr">
        <x:is>
          <x:t xml:space="preserve">FRA</x:t>
        </x:is>
      </x:c>
      <x:c r="U38" s="25" t="inlineStr">
        <x:is>
          <x:t xml:space="preserve">France</x:t>
        </x:is>
      </x:c>
      <x:c r="V38" s="7" t="n">
        <x:v>18</x:v>
      </x:c>
    </x:row>
    <x:row r="39">
      <x:c r="A39" t="n">
        <x:v>2007</x:v>
      </x:c>
      <x:c r="B39" s="25" t="inlineStr">
        <x:is>
          <x:t xml:space="preserve">Men's</x:t>
        </x:is>
      </x:c>
      <x:c r="C39" s="25" t="inlineStr">
        <x:is>
          <x:t xml:space="preserve">R. Federer</x:t>
        </x:is>
      </x:c>
      <x:c r="D39" s="25" t="inlineStr">
        <x:is>
          <x:t xml:space="preserve">SUI</x:t>
        </x:is>
      </x:c>
      <x:c r="E39" s="25" t="inlineStr">
        <x:is>
          <x:t xml:space="preserve">Switzerland</x:t>
        </x:is>
      </x:c>
      <x:c r="F39" s="7" t="n">
        <x:v>1</x:v>
      </x:c>
      <x:c r="G39" s="22" t="n">
        <x:v>225</x:v>
      </x:c>
      <x:c r="H39" s="22" t="inlineStr">
        <x:is>
          <x:t xml:space="preserve">7-6 (9-7), 4-6, 7-6 (7-3), 2-6, 6-2</x:t>
        </x:is>
      </x:c>
      <x:c r="I39" s="22" t="n">
        <x:v>7</x:v>
      </x:c>
      <x:c r="J39" s="29" t="n">
        <x:v>6</x:v>
      </x:c>
      <x:c r="K39" s="29" t="n">
        <x:v>4</x:v>
      </x:c>
      <x:c r="L39" s="29" t="n">
        <x:v>6</x:v>
      </x:c>
      <x:c r="M39" s="29" t="n">
        <x:v>7</x:v>
      </x:c>
      <x:c r="N39" s="29" t="n">
        <x:v>6</x:v>
      </x:c>
      <x:c r="O39" s="29" t="n">
        <x:v>2</x:v>
      </x:c>
      <x:c r="P39" s="29" t="n">
        <x:v>6</x:v>
      </x:c>
      <x:c r="Q39" s="22" t="n">
        <x:v>6</x:v>
      </x:c>
      <x:c r="R39" s="29" t="n">
        <x:v>2</x:v>
      </x:c>
      <x:c r="S39" s="25" t="inlineStr">
        <x:is>
          <x:t xml:space="preserve">R. Nadal</x:t>
        </x:is>
      </x:c>
      <x:c r="T39" s="25" t="inlineStr">
        <x:is>
          <x:t xml:space="preserve">ESP</x:t>
        </x:is>
      </x:c>
      <x:c r="U39" s="25" t="inlineStr">
        <x:is>
          <x:t xml:space="preserve">Spain</x:t>
        </x:is>
      </x:c>
      <x:c r="V39" s="7" t="n">
        <x:v>2</x:v>
      </x:c>
    </x:row>
    <x:row r="40">
      <x:c r="A40" t="n">
        <x:v>2006</x:v>
      </x:c>
      <x:c r="B40" s="25" t="inlineStr">
        <x:is>
          <x:t xml:space="preserve">Women's</x:t>
        </x:is>
      </x:c>
      <x:c r="C40" s="25" t="inlineStr">
        <x:is>
          <x:t xml:space="preserve">A. Mauresmo</x:t>
        </x:is>
      </x:c>
      <x:c r="D40" s="25" t="inlineStr">
        <x:is>
          <x:t xml:space="preserve">FRA</x:t>
        </x:is>
      </x:c>
      <x:c r="E40" s="25" t="inlineStr">
        <x:is>
          <x:t xml:space="preserve">France</x:t>
        </x:is>
      </x:c>
      <x:c r="F40" s="7" t="n">
        <x:v>1</x:v>
      </x:c>
      <x:c r="G40" s="22" t="n">
        <x:v>122</x:v>
      </x:c>
      <x:c r="H40" s="22" t="inlineStr">
        <x:is>
          <x:t xml:space="preserve">2-6, 6-3, 6-4</x:t>
        </x:is>
      </x:c>
      <x:c r="I40" s="22" t="n">
        <x:v>2</x:v>
      </x:c>
      <x:c r="J40" s="29" t="n">
        <x:v>6</x:v>
      </x:c>
      <x:c r="K40" s="29" t="n">
        <x:v>6</x:v>
      </x:c>
      <x:c r="L40" s="29" t="n">
        <x:v>3</x:v>
      </x:c>
      <x:c r="M40" s="29" t="n">
        <x:v>6</x:v>
      </x:c>
      <x:c r="N40" s="29" t="n">
        <x:v>4</x:v>
      </x:c>
      <x:c r="S40" s="25" t="inlineStr">
        <x:is>
          <x:t xml:space="preserve">PY. Hardenne</x:t>
        </x:is>
      </x:c>
      <x:c r="T40" s="25" t="inlineStr">
        <x:is>
          <x:t xml:space="preserve">BEL</x:t>
        </x:is>
      </x:c>
      <x:c r="U40" s="25" t="inlineStr">
        <x:is>
          <x:t xml:space="preserve">Belgium</x:t>
        </x:is>
      </x:c>
      <x:c r="V40" s="7" t="n">
        <x:v>3</x:v>
      </x:c>
    </x:row>
    <x:row r="41">
      <x:c r="A41" t="n">
        <x:v>2006</x:v>
      </x:c>
      <x:c r="B41" s="25" t="inlineStr">
        <x:is>
          <x:t xml:space="preserve">Men's</x:t>
        </x:is>
      </x:c>
      <x:c r="C41" s="25" t="inlineStr">
        <x:is>
          <x:t xml:space="preserve">R. Federer</x:t>
        </x:is>
      </x:c>
      <x:c r="D41" s="25" t="inlineStr">
        <x:is>
          <x:t xml:space="preserve">SUI</x:t>
        </x:is>
      </x:c>
      <x:c r="E41" s="25" t="inlineStr">
        <x:is>
          <x:t xml:space="preserve">Switzerland</x:t>
        </x:is>
      </x:c>
      <x:c r="F41" s="7" t="n">
        <x:v>1</x:v>
      </x:c>
      <x:c r="G41" s="22" t="n">
        <x:v>170</x:v>
      </x:c>
      <x:c r="H41" s="22" t="inlineStr">
        <x:is>
          <x:t xml:space="preserve">6-0, 7-6 (7-5), 6-7 (2-7), 6-3</x:t>
        </x:is>
      </x:c>
      <x:c r="I41" s="22" t="n">
        <x:v>6</x:v>
      </x:c>
      <x:c r="J41" s="29" t="n">
        <x:v>0</x:v>
      </x:c>
      <x:c r="K41" s="29" t="n">
        <x:v>7</x:v>
      </x:c>
      <x:c r="L41" s="29" t="n">
        <x:v>6</x:v>
      </x:c>
      <x:c r="M41" s="29" t="n">
        <x:v>6</x:v>
      </x:c>
      <x:c r="N41" s="29" t="n">
        <x:v>7</x:v>
      </x:c>
      <x:c r="O41" s="29" t="n">
        <x:v>6</x:v>
      </x:c>
      <x:c r="P41" s="29" t="n">
        <x:v>3</x:v>
      </x:c>
      <x:c r="S41" s="25" t="inlineStr">
        <x:is>
          <x:t xml:space="preserve">R. Nadal</x:t>
        </x:is>
      </x:c>
      <x:c r="T41" s="25" t="inlineStr">
        <x:is>
          <x:t xml:space="preserve">ESP</x:t>
        </x:is>
      </x:c>
      <x:c r="U41" s="25" t="inlineStr">
        <x:is>
          <x:t xml:space="preserve">Spain</x:t>
        </x:is>
      </x:c>
      <x:c r="V41" s="7" t="n">
        <x:v>2</x:v>
      </x:c>
    </x:row>
    <x:row r="42">
      <x:c r="A42" t="n">
        <x:v>2005</x:v>
      </x:c>
      <x:c r="B42" s="25" t="inlineStr">
        <x:is>
          <x:t xml:space="preserve">Women's</x:t>
        </x:is>
      </x:c>
      <x:c r="C42" s="25" t="inlineStr">
        <x:is>
          <x:t xml:space="preserve">V.E.S. Williams</x:t>
        </x:is>
      </x:c>
      <x:c r="D42" s="25" t="inlineStr">
        <x:is>
          <x:t xml:space="preserve">USA</x:t>
        </x:is>
      </x:c>
      <x:c r="E42" s="25" t="inlineStr">
        <x:is>
          <x:t xml:space="preserve">United States</x:t>
        </x:is>
      </x:c>
      <x:c r="F42" s="7" t="n">
        <x:v>14</x:v>
      </x:c>
      <x:c r="G42" s="22" t="n">
        <x:v>166</x:v>
      </x:c>
      <x:c r="H42" s="22" t="inlineStr">
        <x:is>
          <x:t xml:space="preserve">4-6, 7-6 (7-4), 9-7</x:t>
        </x:is>
      </x:c>
      <x:c r="I42" s="22" t="n">
        <x:v>4</x:v>
      </x:c>
      <x:c r="J42" s="29" t="n">
        <x:v>6</x:v>
      </x:c>
      <x:c r="K42" s="29" t="n">
        <x:v>7</x:v>
      </x:c>
      <x:c r="L42" s="29" t="n">
        <x:v>6</x:v>
      </x:c>
      <x:c r="M42" s="29" t="n">
        <x:v>9</x:v>
      </x:c>
      <x:c r="N42" s="29" t="n">
        <x:v>7</x:v>
      </x:c>
      <x:c r="S42" s="25" t="inlineStr">
        <x:is>
          <x:t xml:space="preserve">L.A. Davenport</x:t>
        </x:is>
      </x:c>
      <x:c r="T42" s="25" t="inlineStr">
        <x:is>
          <x:t xml:space="preserve">USA</x:t>
        </x:is>
      </x:c>
      <x:c r="U42" s="25" t="inlineStr">
        <x:is>
          <x:t xml:space="preserve">United States</x:t>
        </x:is>
      </x:c>
      <x:c r="V42" s="7" t="n">
        <x:v>1</x:v>
      </x:c>
    </x:row>
    <x:row r="43">
      <x:c r="A43" t="n">
        <x:v>2005</x:v>
      </x:c>
      <x:c r="B43" s="25" t="inlineStr">
        <x:is>
          <x:t xml:space="preserve">Men's</x:t>
        </x:is>
      </x:c>
      <x:c r="C43" s="25" t="inlineStr">
        <x:is>
          <x:t xml:space="preserve">R. Federer</x:t>
        </x:is>
      </x:c>
      <x:c r="D43" s="25" t="inlineStr">
        <x:is>
          <x:t xml:space="preserve">SUI</x:t>
        </x:is>
      </x:c>
      <x:c r="E43" s="25" t="inlineStr">
        <x:is>
          <x:t xml:space="preserve">Switzerland</x:t>
        </x:is>
      </x:c>
      <x:c r="F43" s="7" t="n">
        <x:v>1</x:v>
      </x:c>
      <x:c r="G43" s="22" t="n">
        <x:v>101</x:v>
      </x:c>
      <x:c r="H43" s="22" t="inlineStr">
        <x:is>
          <x:t xml:space="preserve">6-2, 7-6 (7-2), 6-4</x:t>
        </x:is>
      </x:c>
      <x:c r="I43" s="22" t="n">
        <x:v>6</x:v>
      </x:c>
      <x:c r="J43" s="29" t="n">
        <x:v>2</x:v>
      </x:c>
      <x:c r="K43" s="29" t="n">
        <x:v>7</x:v>
      </x:c>
      <x:c r="L43" s="29" t="n">
        <x:v>6</x:v>
      </x:c>
      <x:c r="M43" s="29" t="n">
        <x:v>6</x:v>
      </x:c>
      <x:c r="N43" s="29" t="n">
        <x:v>4</x:v>
      </x:c>
      <x:c r="S43" s="25" t="inlineStr">
        <x:is>
          <x:t xml:space="preserve">A. Roddick</x:t>
        </x:is>
      </x:c>
      <x:c r="T43" s="25" t="inlineStr">
        <x:is>
          <x:t xml:space="preserve">USA</x:t>
        </x:is>
      </x:c>
      <x:c r="U43" s="25" t="inlineStr">
        <x:is>
          <x:t xml:space="preserve">United States</x:t>
        </x:is>
      </x:c>
      <x:c r="V43" s="7" t="n">
        <x:v>2</x:v>
      </x:c>
    </x:row>
    <x:row r="44">
      <x:c r="A44" t="n">
        <x:v>2004</x:v>
      </x:c>
      <x:c r="B44" s="25" t="inlineStr">
        <x:is>
          <x:t xml:space="preserve">Women's</x:t>
        </x:is>
      </x:c>
      <x:c r="C44" s="25" t="inlineStr">
        <x:is>
          <x:t xml:space="preserve">M. Sharapova</x:t>
        </x:is>
      </x:c>
      <x:c r="D44" s="25" t="inlineStr">
        <x:is>
          <x:t xml:space="preserve">RUS</x:t>
        </x:is>
      </x:c>
      <x:c r="E44" s="25" t="inlineStr">
        <x:is>
          <x:t xml:space="preserve">Russia</x:t>
        </x:is>
      </x:c>
      <x:c r="F44" s="7" t="n">
        <x:v>13</x:v>
      </x:c>
      <x:c r="G44" s="22" t="n">
        <x:v>74</x:v>
      </x:c>
      <x:c r="H44" s="22" t="inlineStr">
        <x:is>
          <x:t xml:space="preserve">6-1, 6-4</x:t>
        </x:is>
      </x:c>
      <x:c r="I44" s="22" t="n">
        <x:v>6</x:v>
      </x:c>
      <x:c r="J44" s="29" t="n">
        <x:v>1</x:v>
      </x:c>
      <x:c r="K44" s="29" t="n">
        <x:v>6</x:v>
      </x:c>
      <x:c r="L44" s="29" t="n">
        <x:v>4</x:v>
      </x:c>
      <x:c r="S44" s="25" t="inlineStr">
        <x:is>
          <x:t xml:space="preserve">S. Williams</x:t>
        </x:is>
      </x:c>
      <x:c r="T44" s="25" t="inlineStr">
        <x:is>
          <x:t xml:space="preserve">USA</x:t>
        </x:is>
      </x:c>
      <x:c r="U44" s="25" t="inlineStr">
        <x:is>
          <x:t xml:space="preserve">United States</x:t>
        </x:is>
      </x:c>
      <x:c r="V44" s="7" t="n">
        <x:v>1</x:v>
      </x:c>
    </x:row>
    <x:row r="45">
      <x:c r="A45" t="n">
        <x:v>2004</x:v>
      </x:c>
      <x:c r="B45" s="25" t="inlineStr">
        <x:is>
          <x:t xml:space="preserve">Men's</x:t>
        </x:is>
      </x:c>
      <x:c r="C45" s="25" t="inlineStr">
        <x:is>
          <x:t xml:space="preserve">R. Federer</x:t>
        </x:is>
      </x:c>
      <x:c r="D45" s="25" t="inlineStr">
        <x:is>
          <x:t xml:space="preserve">SUI</x:t>
        </x:is>
      </x:c>
      <x:c r="E45" s="25" t="inlineStr">
        <x:is>
          <x:t xml:space="preserve">Switzerland</x:t>
        </x:is>
      </x:c>
      <x:c r="F45" s="7" t="n">
        <x:v>1</x:v>
      </x:c>
      <x:c r="G45" s="22" t="n">
        <x:v>151</x:v>
      </x:c>
      <x:c r="H45" s="22" t="inlineStr">
        <x:is>
          <x:t xml:space="preserve">4-6, 7-5, 7-6 (7-3), 6-4</x:t>
        </x:is>
      </x:c>
      <x:c r="I45" s="22" t="n">
        <x:v>4</x:v>
      </x:c>
      <x:c r="J45" s="29" t="n">
        <x:v>6</x:v>
      </x:c>
      <x:c r="K45" s="29" t="n">
        <x:v>7</x:v>
      </x:c>
      <x:c r="L45" s="29" t="n">
        <x:v>5</x:v>
      </x:c>
      <x:c r="M45" s="29" t="n">
        <x:v>7</x:v>
      </x:c>
      <x:c r="N45" s="29" t="n">
        <x:v>6</x:v>
      </x:c>
      <x:c r="O45" s="29" t="n">
        <x:v>6</x:v>
      </x:c>
      <x:c r="P45" s="29" t="n">
        <x:v>4</x:v>
      </x:c>
      <x:c r="S45" s="25" t="inlineStr">
        <x:is>
          <x:t xml:space="preserve">A. Roddick</x:t>
        </x:is>
      </x:c>
      <x:c r="T45" s="25" t="inlineStr">
        <x:is>
          <x:t xml:space="preserve">USA</x:t>
        </x:is>
      </x:c>
      <x:c r="U45" s="25" t="inlineStr">
        <x:is>
          <x:t xml:space="preserve">United States</x:t>
        </x:is>
      </x:c>
      <x:c r="V45" s="7" t="n">
        <x:v>2</x:v>
      </x:c>
    </x:row>
    <x:row r="46">
      <x:c r="A46" t="n">
        <x:v>2003</x:v>
      </x:c>
      <x:c r="B46" s="25" t="inlineStr">
        <x:is>
          <x:t xml:space="preserve">Women's</x:t>
        </x:is>
      </x:c>
      <x:c r="C46" s="25" t="inlineStr">
        <x:is>
          <x:t xml:space="preserve">S. Williams</x:t>
        </x:is>
      </x:c>
      <x:c r="D46" s="25" t="inlineStr">
        <x:is>
          <x:t xml:space="preserve">USA</x:t>
        </x:is>
      </x:c>
      <x:c r="E46" s="25" t="inlineStr">
        <x:is>
          <x:t xml:space="preserve">United States</x:t>
        </x:is>
      </x:c>
      <x:c r="F46" s="7" t="n">
        <x:v>1</x:v>
      </x:c>
      <x:c r="G46" s="22" t="n">
        <x:v>123</x:v>
      </x:c>
      <x:c r="H46" s="22" t="inlineStr">
        <x:is>
          <x:t xml:space="preserve">4-6, 6-4, 6-2</x:t>
        </x:is>
      </x:c>
      <x:c r="I46" s="22" t="n">
        <x:v>4</x:v>
      </x:c>
      <x:c r="J46" s="29" t="n">
        <x:v>6</x:v>
      </x:c>
      <x:c r="K46" s="29" t="n">
        <x:v>6</x:v>
      </x:c>
      <x:c r="L46" s="29" t="n">
        <x:v>4</x:v>
      </x:c>
      <x:c r="M46" s="29" t="n">
        <x:v>6</x:v>
      </x:c>
      <x:c r="N46" s="29" t="n">
        <x:v>2</x:v>
      </x:c>
      <x:c r="S46" s="25" t="inlineStr">
        <x:is>
          <x:t xml:space="preserve">V.E.S. Williams</x:t>
        </x:is>
      </x:c>
      <x:c r="T46" s="25" t="inlineStr">
        <x:is>
          <x:t xml:space="preserve">USA</x:t>
        </x:is>
      </x:c>
      <x:c r="U46" s="25" t="inlineStr">
        <x:is>
          <x:t xml:space="preserve">United States</x:t>
        </x:is>
      </x:c>
      <x:c r="V46" s="7" t="n">
        <x:v>4</x:v>
      </x:c>
    </x:row>
    <x:row r="47">
      <x:c r="A47" t="n">
        <x:v>2003</x:v>
      </x:c>
      <x:c r="B47" s="25" t="inlineStr">
        <x:is>
          <x:t xml:space="preserve">Men's</x:t>
        </x:is>
      </x:c>
      <x:c r="C47" s="25" t="inlineStr">
        <x:is>
          <x:t xml:space="preserve">R. Federer</x:t>
        </x:is>
      </x:c>
      <x:c r="D47" s="25" t="inlineStr">
        <x:is>
          <x:t xml:space="preserve">SUI</x:t>
        </x:is>
      </x:c>
      <x:c r="E47" s="25" t="inlineStr">
        <x:is>
          <x:t xml:space="preserve">Switzerland</x:t>
        </x:is>
      </x:c>
      <x:c r="F47" s="7" t="n">
        <x:v>4</x:v>
      </x:c>
      <x:c r="G47" s="22" t="n">
        <x:v>119</x:v>
      </x:c>
      <x:c r="H47" s="22" t="inlineStr">
        <x:is>
          <x:t xml:space="preserve">7-6 (7-5), 6-2, 7-6 (7-3)</x:t>
        </x:is>
      </x:c>
      <x:c r="I47" s="22" t="n">
        <x:v>7</x:v>
      </x:c>
      <x:c r="J47" s="29" t="n">
        <x:v>6</x:v>
      </x:c>
      <x:c r="K47" s="29" t="n">
        <x:v>6</x:v>
      </x:c>
      <x:c r="L47" s="29" t="n">
        <x:v>2</x:v>
      </x:c>
      <x:c r="M47" s="29" t="n">
        <x:v>7</x:v>
      </x:c>
      <x:c r="N47" s="29" t="n">
        <x:v>6</x:v>
      </x:c>
      <x:c r="S47" s="25" t="inlineStr">
        <x:is>
          <x:t xml:space="preserve">M. Philippousis</x:t>
        </x:is>
      </x:c>
      <x:c r="T47" s="25" t="inlineStr">
        <x:is>
          <x:t xml:space="preserve">AUS</x:t>
        </x:is>
      </x:c>
      <x:c r="U47" s="25" t="inlineStr">
        <x:is>
          <x:t xml:space="preserve">Australia</x:t>
        </x:is>
      </x:c>
      <x:c r="V47" s="7" t="inlineStr">
        <x:is>
          <x:t xml:space="preserve">U</x:t>
        </x:is>
      </x:c>
    </x:row>
    <x:row r="48">
      <x:c r="A48" t="n">
        <x:v>2002</x:v>
      </x:c>
      <x:c r="B48" s="25" t="inlineStr">
        <x:is>
          <x:t xml:space="preserve">Women's</x:t>
        </x:is>
      </x:c>
      <x:c r="C48" s="25" t="inlineStr">
        <x:is>
          <x:t xml:space="preserve">S. Williams</x:t>
        </x:is>
      </x:c>
      <x:c r="D48" s="25" t="inlineStr">
        <x:is>
          <x:t xml:space="preserve">USA</x:t>
        </x:is>
      </x:c>
      <x:c r="E48" s="25" t="inlineStr">
        <x:is>
          <x:t xml:space="preserve">United States</x:t>
        </x:is>
      </x:c>
      <x:c r="F48" s="7" t="n">
        <x:v>2</x:v>
      </x:c>
      <x:c r="G48" s="22" t="n">
        <x:v>78</x:v>
      </x:c>
      <x:c r="H48" s="22" t="inlineStr">
        <x:is>
          <x:t xml:space="preserve">7-6 (7-4), 6-3</x:t>
        </x:is>
      </x:c>
      <x:c r="I48" s="22" t="n">
        <x:v>7</x:v>
      </x:c>
      <x:c r="J48" s="29" t="n">
        <x:v>6</x:v>
      </x:c>
      <x:c r="K48" s="29" t="n">
        <x:v>6</x:v>
      </x:c>
      <x:c r="L48" s="29" t="n">
        <x:v>3</x:v>
      </x:c>
      <x:c r="S48" s="25" t="inlineStr">
        <x:is>
          <x:t xml:space="preserve">V.E.S. Williams</x:t>
        </x:is>
      </x:c>
      <x:c r="T48" s="25" t="inlineStr">
        <x:is>
          <x:t xml:space="preserve">USA</x:t>
        </x:is>
      </x:c>
      <x:c r="U48" s="25" t="inlineStr">
        <x:is>
          <x:t xml:space="preserve">United States</x:t>
        </x:is>
      </x:c>
      <x:c r="V48" s="7" t="n">
        <x:v>1</x:v>
      </x:c>
    </x:row>
    <x:row r="49">
      <x:c r="A49" t="n">
        <x:v>2002</x:v>
      </x:c>
      <x:c r="B49" s="25" t="inlineStr">
        <x:is>
          <x:t xml:space="preserve">Men's</x:t>
        </x:is>
      </x:c>
      <x:c r="C49" s="25" t="inlineStr">
        <x:is>
          <x:t xml:space="preserve">L.G. Hewitt</x:t>
        </x:is>
      </x:c>
      <x:c r="D49" s="25" t="inlineStr">
        <x:is>
          <x:t xml:space="preserve">AUS</x:t>
        </x:is>
      </x:c>
      <x:c r="E49" s="25" t="inlineStr">
        <x:is>
          <x:t xml:space="preserve">Australia</x:t>
        </x:is>
      </x:c>
      <x:c r="F49" s="7" t="n">
        <x:v>1</x:v>
      </x:c>
      <x:c r="G49" s="22" t="n">
        <x:v>116</x:v>
      </x:c>
      <x:c r="H49" s="22" t="inlineStr">
        <x:is>
          <x:t xml:space="preserve">6-1, 6-3, 6-2</x:t>
        </x:is>
      </x:c>
      <x:c r="I49" s="22" t="n">
        <x:v>6</x:v>
      </x:c>
      <x:c r="J49" s="29" t="n">
        <x:v>1</x:v>
      </x:c>
      <x:c r="K49" s="29" t="n">
        <x:v>6</x:v>
      </x:c>
      <x:c r="L49" s="29" t="n">
        <x:v>3</x:v>
      </x:c>
      <x:c r="M49" s="29" t="n">
        <x:v>6</x:v>
      </x:c>
      <x:c r="N49" s="29" t="n">
        <x:v>2</x:v>
      </x:c>
      <x:c r="S49" s="25" t="inlineStr">
        <x:is>
          <x:t xml:space="preserve">D.P. Nalbandian</x:t>
        </x:is>
      </x:c>
      <x:c r="T49" s="25" t="inlineStr">
        <x:is>
          <x:t xml:space="preserve">ARG</x:t>
        </x:is>
      </x:c>
      <x:c r="U49" s="25" t="inlineStr">
        <x:is>
          <x:t xml:space="preserve">Argentina</x:t>
        </x:is>
      </x:c>
      <x:c r="V49" s="7" t="n">
        <x:v>28</x:v>
      </x:c>
    </x:row>
    <x:row r="50">
      <x:c r="A50" t="n">
        <x:v>2001</x:v>
      </x:c>
      <x:c r="B50" s="25" t="inlineStr">
        <x:is>
          <x:t xml:space="preserve">Women's</x:t>
        </x:is>
      </x:c>
      <x:c r="C50" s="25" t="inlineStr">
        <x:is>
          <x:t xml:space="preserve">V.E.S. Williams</x:t>
        </x:is>
      </x:c>
      <x:c r="D50" s="25" t="inlineStr">
        <x:is>
          <x:t xml:space="preserve">USA</x:t>
        </x:is>
      </x:c>
      <x:c r="E50" s="25" t="inlineStr">
        <x:is>
          <x:t xml:space="preserve">United States</x:t>
        </x:is>
      </x:c>
      <x:c r="F50" s="7" t="n">
        <x:v>2</x:v>
      </x:c>
      <x:c r="G50" s="22" t="n">
        <x:v>69</x:v>
      </x:c>
      <x:c r="H50" s="22" t="inlineStr">
        <x:is>
          <x:t xml:space="preserve">6-1, 3-6, 6-0</x:t>
        </x:is>
      </x:c>
      <x:c r="I50" s="22" t="n">
        <x:v>6</x:v>
      </x:c>
      <x:c r="J50" s="29" t="n">
        <x:v>1</x:v>
      </x:c>
      <x:c r="K50" s="29" t="n">
        <x:v>3</x:v>
      </x:c>
      <x:c r="L50" s="29" t="n">
        <x:v>6</x:v>
      </x:c>
      <x:c r="M50" s="29" t="n">
        <x:v>6</x:v>
      </x:c>
      <x:c r="N50" s="29" t="n">
        <x:v>0</x:v>
      </x:c>
      <x:c r="S50" s="25" t="inlineStr">
        <x:is>
          <x:t xml:space="preserve">J. Henin</x:t>
        </x:is>
      </x:c>
      <x:c r="T50" s="25" t="inlineStr">
        <x:is>
          <x:t xml:space="preserve">BEL</x:t>
        </x:is>
      </x:c>
      <x:c r="U50" s="25" t="inlineStr">
        <x:is>
          <x:t xml:space="preserve">Belgium</x:t>
        </x:is>
      </x:c>
      <x:c r="V50" s="7" t="n">
        <x:v>8</x:v>
      </x:c>
    </x:row>
    <x:row r="51">
      <x:c r="A51" t="n">
        <x:v>2001</x:v>
      </x:c>
      <x:c r="B51" s="25" t="inlineStr">
        <x:is>
          <x:t xml:space="preserve">Men's</x:t>
        </x:is>
      </x:c>
      <x:c r="C51" s="25" t="inlineStr">
        <x:is>
          <x:t xml:space="preserve">G.S. Ivanisevic</x:t>
        </x:is>
      </x:c>
      <x:c r="D51" s="25" t="inlineStr">
        <x:is>
          <x:t xml:space="preserve">CRO</x:t>
        </x:is>
      </x:c>
      <x:c r="E51" s="25" t="inlineStr">
        <x:is>
          <x:t xml:space="preserve">Croatia</x:t>
        </x:is>
      </x:c>
      <x:c r="F51" s="7" t="inlineStr">
        <x:is>
          <x:t xml:space="preserve">WC</x:t>
        </x:is>
      </x:c>
      <x:c r="G51" s="22" t="n">
        <x:v>182</x:v>
      </x:c>
      <x:c r="H51" s="22" t="inlineStr">
        <x:is>
          <x:t xml:space="preserve">6-3, 3-6, 6-3, 2-6, 9-7</x:t>
        </x:is>
      </x:c>
      <x:c r="I51" s="22" t="n">
        <x:v>6</x:v>
      </x:c>
      <x:c r="J51" s="29" t="n">
        <x:v>3</x:v>
      </x:c>
      <x:c r="K51" s="29" t="n">
        <x:v>3</x:v>
      </x:c>
      <x:c r="L51" s="29" t="n">
        <x:v>6</x:v>
      </x:c>
      <x:c r="M51" s="29" t="n">
        <x:v>6</x:v>
      </x:c>
      <x:c r="N51" s="29" t="n">
        <x:v>3</x:v>
      </x:c>
      <x:c r="O51" s="29" t="n">
        <x:v>2</x:v>
      </x:c>
      <x:c r="P51" s="29" t="n">
        <x:v>6</x:v>
      </x:c>
      <x:c r="Q51" s="22" t="n">
        <x:v>9</x:v>
      </x:c>
      <x:c r="R51" s="29" t="n">
        <x:v>7</x:v>
      </x:c>
      <x:c r="S51" s="25" t="inlineStr">
        <x:is>
          <x:t xml:space="preserve">P.M. Rafter</x:t>
        </x:is>
      </x:c>
      <x:c r="T51" s="25" t="inlineStr">
        <x:is>
          <x:t xml:space="preserve">AUS</x:t>
        </x:is>
      </x:c>
      <x:c r="U51" s="25" t="inlineStr">
        <x:is>
          <x:t xml:space="preserve">Australia</x:t>
        </x:is>
      </x:c>
      <x:c r="V51" s="7" t="n">
        <x:v>3</x:v>
      </x:c>
    </x:row>
    <x:row r="52">
      <x:c r="A52" t="n">
        <x:v>2000</x:v>
      </x:c>
      <x:c r="B52" s="25" t="inlineStr">
        <x:is>
          <x:t xml:space="preserve">Women's</x:t>
        </x:is>
      </x:c>
      <x:c r="C52" s="25" t="inlineStr">
        <x:is>
          <x:t xml:space="preserve">V.E.S. Williams</x:t>
        </x:is>
      </x:c>
      <x:c r="D52" s="25" t="inlineStr">
        <x:is>
          <x:t xml:space="preserve">USA</x:t>
        </x:is>
      </x:c>
      <x:c r="E52" s="25" t="inlineStr">
        <x:is>
          <x:t xml:space="preserve">United States</x:t>
        </x:is>
      </x:c>
      <x:c r="F52" s="7" t="n">
        <x:v>5</x:v>
      </x:c>
      <x:c r="G52" s="22" t="n">
        <x:v>84</x:v>
      </x:c>
      <x:c r="H52" s="22" t="inlineStr">
        <x:is>
          <x:t xml:space="preserve">6-3, 7-6 (7-3)</x:t>
        </x:is>
      </x:c>
      <x:c r="I52" s="22" t="n">
        <x:v>6</x:v>
      </x:c>
      <x:c r="J52" s="29" t="n">
        <x:v>3</x:v>
      </x:c>
      <x:c r="K52" s="29" t="n">
        <x:v>7</x:v>
      </x:c>
      <x:c r="L52" s="29" t="n">
        <x:v>6</x:v>
      </x:c>
      <x:c r="S52" s="25" t="inlineStr">
        <x:is>
          <x:t xml:space="preserve">L.A. Davenport</x:t>
        </x:is>
      </x:c>
      <x:c r="T52" s="25" t="inlineStr">
        <x:is>
          <x:t xml:space="preserve">USA</x:t>
        </x:is>
      </x:c>
      <x:c r="U52" s="25" t="inlineStr">
        <x:is>
          <x:t xml:space="preserve">United States</x:t>
        </x:is>
      </x:c>
      <x:c r="V52" s="7" t="n">
        <x:v>2</x:v>
      </x:c>
    </x:row>
    <x:row r="53">
      <x:c r="A53" t="n">
        <x:v>2000</x:v>
      </x:c>
      <x:c r="B53" s="25" t="inlineStr">
        <x:is>
          <x:t xml:space="preserve">Men's</x:t>
        </x:is>
      </x:c>
      <x:c r="C53" s="25" t="inlineStr">
        <x:is>
          <x:t xml:space="preserve">P. Sampras</x:t>
        </x:is>
      </x:c>
      <x:c r="D53" s="25" t="inlineStr">
        <x:is>
          <x:t xml:space="preserve">USA</x:t>
        </x:is>
      </x:c>
      <x:c r="E53" s="25" t="inlineStr">
        <x:is>
          <x:t xml:space="preserve">United States</x:t>
        </x:is>
      </x:c>
      <x:c r="F53" s="7" t="n">
        <x:v>1</x:v>
      </x:c>
      <x:c r="G53" s="22" t="n">
        <x:v>182</x:v>
      </x:c>
      <x:c r="H53" s="22" t="inlineStr">
        <x:is>
          <x:t xml:space="preserve">6-7 (10-12), 7-6 (7-5), 6-4, 6-2</x:t>
        </x:is>
      </x:c>
      <x:c r="I53" s="22" t="n">
        <x:v>6</x:v>
      </x:c>
      <x:c r="J53" s="29" t="n">
        <x:v>7</x:v>
      </x:c>
      <x:c r="K53" s="29" t="n">
        <x:v>7</x:v>
      </x:c>
      <x:c r="L53" s="29" t="n">
        <x:v>6</x:v>
      </x:c>
      <x:c r="M53" s="29" t="n">
        <x:v>6</x:v>
      </x:c>
      <x:c r="N53" s="29" t="n">
        <x:v>4</x:v>
      </x:c>
      <x:c r="O53" s="29" t="n">
        <x:v>6</x:v>
      </x:c>
      <x:c r="P53" s="29" t="n">
        <x:v>2</x:v>
      </x:c>
      <x:c r="S53" s="25" t="inlineStr">
        <x:is>
          <x:t xml:space="preserve">P.M. Rafter</x:t>
        </x:is>
      </x:c>
      <x:c r="T53" s="25" t="inlineStr">
        <x:is>
          <x:t xml:space="preserve">AUS</x:t>
        </x:is>
      </x:c>
      <x:c r="U53" s="25" t="inlineStr">
        <x:is>
          <x:t xml:space="preserve">Australia</x:t>
        </x:is>
      </x:c>
      <x:c r="V53" s="7" t="n">
        <x:v>12</x:v>
      </x:c>
    </x:row>
    <x:row r="54">
      <x:c r="A54" t="n">
        <x:v>1999</x:v>
      </x:c>
      <x:c r="B54" s="25" t="inlineStr">
        <x:is>
          <x:t xml:space="preserve">Women's</x:t>
        </x:is>
      </x:c>
      <x:c r="C54" s="25" t="inlineStr">
        <x:is>
          <x:t xml:space="preserve">L.A. Davenport</x:t>
        </x:is>
      </x:c>
      <x:c r="D54" s="25" t="inlineStr">
        <x:is>
          <x:t xml:space="preserve">USA</x:t>
        </x:is>
      </x:c>
      <x:c r="E54" s="25" t="inlineStr">
        <x:is>
          <x:t xml:space="preserve">United States</x:t>
        </x:is>
      </x:c>
      <x:c r="F54" s="7" t="n">
        <x:v>3</x:v>
      </x:c>
      <x:c r="G54" s="22" t="n">
        <x:v>75</x:v>
      </x:c>
      <x:c r="H54" s="22" t="inlineStr">
        <x:is>
          <x:t xml:space="preserve">6-4, 7-5</x:t>
        </x:is>
      </x:c>
      <x:c r="I54" s="22" t="n">
        <x:v>6</x:v>
      </x:c>
      <x:c r="J54" s="29" t="n">
        <x:v>4</x:v>
      </x:c>
      <x:c r="K54" s="29" t="n">
        <x:v>7</x:v>
      </x:c>
      <x:c r="L54" s="29" t="n">
        <x:v>5</x:v>
      </x:c>
      <x:c r="S54" s="25" t="inlineStr">
        <x:is>
          <x:t xml:space="preserve">S.M. Graf</x:t>
        </x:is>
      </x:c>
      <x:c r="T54" s="25" t="inlineStr">
        <x:is>
          <x:t xml:space="preserve">GER</x:t>
        </x:is>
      </x:c>
      <x:c r="U54" s="25" t="inlineStr">
        <x:is>
          <x:t xml:space="preserve">Germany</x:t>
        </x:is>
      </x:c>
      <x:c r="V54" s="7" t="n">
        <x:v>2</x:v>
      </x:c>
    </x:row>
    <x:row r="55">
      <x:c r="A55" t="n">
        <x:v>1999</x:v>
      </x:c>
      <x:c r="B55" s="25" t="inlineStr">
        <x:is>
          <x:t xml:space="preserve">Men's</x:t>
        </x:is>
      </x:c>
      <x:c r="C55" s="25" t="inlineStr">
        <x:is>
          <x:t xml:space="preserve">P. Sampras</x:t>
        </x:is>
      </x:c>
      <x:c r="D55" s="25" t="inlineStr">
        <x:is>
          <x:t xml:space="preserve">USA</x:t>
        </x:is>
      </x:c>
      <x:c r="E55" s="25" t="inlineStr">
        <x:is>
          <x:t xml:space="preserve">United States</x:t>
        </x:is>
      </x:c>
      <x:c r="F55" s="7" t="n">
        <x:v>1</x:v>
      </x:c>
      <x:c r="G55" s="22" t="n">
        <x:v>115</x:v>
      </x:c>
      <x:c r="H55" s="22" t="inlineStr">
        <x:is>
          <x:t xml:space="preserve">6-3, 6-4, 7-5</x:t>
        </x:is>
      </x:c>
      <x:c r="I55" s="22" t="n">
        <x:v>6</x:v>
      </x:c>
      <x:c r="J55" s="29" t="n">
        <x:v>3</x:v>
      </x:c>
      <x:c r="K55" s="29" t="n">
        <x:v>6</x:v>
      </x:c>
      <x:c r="L55" s="29" t="n">
        <x:v>4</x:v>
      </x:c>
      <x:c r="M55" s="29" t="n">
        <x:v>7</x:v>
      </x:c>
      <x:c r="N55" s="29" t="n">
        <x:v>5</x:v>
      </x:c>
      <x:c r="S55" s="25" t="inlineStr">
        <x:is>
          <x:t xml:space="preserve">A.K. Agassi</x:t>
        </x:is>
      </x:c>
      <x:c r="T55" s="25" t="inlineStr">
        <x:is>
          <x:t xml:space="preserve">USA</x:t>
        </x:is>
      </x:c>
      <x:c r="U55" s="25" t="inlineStr">
        <x:is>
          <x:t xml:space="preserve">United States</x:t>
        </x:is>
      </x:c>
      <x:c r="V55" s="7" t="n">
        <x:v>4</x:v>
      </x:c>
    </x:row>
    <x:row r="56">
      <x:c r="A56" t="n">
        <x:v>1998</x:v>
      </x:c>
      <x:c r="B56" s="25" t="inlineStr">
        <x:is>
          <x:t xml:space="preserve">Women's</x:t>
        </x:is>
      </x:c>
      <x:c r="C56" s="25" t="inlineStr">
        <x:is>
          <x:t xml:space="preserve">J. Novotna</x:t>
        </x:is>
      </x:c>
      <x:c r="D56" s="25" t="inlineStr">
        <x:is>
          <x:t xml:space="preserve">CZE</x:t>
        </x:is>
      </x:c>
      <x:c r="E56" s="25" t="inlineStr">
        <x:is>
          <x:t xml:space="preserve">Czechia</x:t>
        </x:is>
      </x:c>
      <x:c r="F56" s="7" t="n">
        <x:v>3</x:v>
      </x:c>
      <x:c r="G56" s="22" t="n">
        <x:v>94</x:v>
      </x:c>
      <x:c r="H56" s="22" t="inlineStr">
        <x:is>
          <x:t xml:space="preserve">6-4, 7-6 (7-2)</x:t>
        </x:is>
      </x:c>
      <x:c r="I56" s="22" t="n">
        <x:v>6</x:v>
      </x:c>
      <x:c r="J56" s="29" t="n">
        <x:v>4</x:v>
      </x:c>
      <x:c r="K56" s="29" t="n">
        <x:v>7</x:v>
      </x:c>
      <x:c r="L56" s="29" t="n">
        <x:v>6</x:v>
      </x:c>
      <x:c r="S56" s="25" t="inlineStr">
        <x:is>
          <x:t xml:space="preserve">N. Tauziat</x:t>
        </x:is>
      </x:c>
      <x:c r="T56" s="25" t="inlineStr">
        <x:is>
          <x:t xml:space="preserve">FRA</x:t>
        </x:is>
      </x:c>
      <x:c r="U56" s="25" t="inlineStr">
        <x:is>
          <x:t xml:space="preserve">France</x:t>
        </x:is>
      </x:c>
      <x:c r="V56" s="7" t="n">
        <x:v>16</x:v>
      </x:c>
    </x:row>
    <x:row r="57">
      <x:c r="A57" t="n">
        <x:v>1998</x:v>
      </x:c>
      <x:c r="B57" s="25" t="inlineStr">
        <x:is>
          <x:t xml:space="preserve">Men's</x:t>
        </x:is>
      </x:c>
      <x:c r="C57" s="25" t="inlineStr">
        <x:is>
          <x:t xml:space="preserve">P. Sampras</x:t>
        </x:is>
      </x:c>
      <x:c r="D57" s="25" t="inlineStr">
        <x:is>
          <x:t xml:space="preserve">USA</x:t>
        </x:is>
      </x:c>
      <x:c r="E57" s="25" t="inlineStr">
        <x:is>
          <x:t xml:space="preserve">United States</x:t>
        </x:is>
      </x:c>
      <x:c r="F57" s="7" t="n">
        <x:v>1</x:v>
      </x:c>
      <x:c r="G57" s="22" t="n">
        <x:v>172</x:v>
      </x:c>
      <x:c r="H57" s="22" t="inlineStr">
        <x:is>
          <x:t xml:space="preserve">6-7 (2-7), 7-6 (11-9), 6-4, 3-6, 6-2</x:t>
        </x:is>
      </x:c>
      <x:c r="I57" s="22" t="n">
        <x:v>6</x:v>
      </x:c>
      <x:c r="J57" s="29" t="n">
        <x:v>7</x:v>
      </x:c>
      <x:c r="K57" s="29" t="n">
        <x:v>7</x:v>
      </x:c>
      <x:c r="L57" s="29" t="n">
        <x:v>6</x:v>
      </x:c>
      <x:c r="M57" s="29" t="n">
        <x:v>6</x:v>
      </x:c>
      <x:c r="N57" s="29" t="n">
        <x:v>4</x:v>
      </x:c>
      <x:c r="O57" s="29" t="n">
        <x:v>3</x:v>
      </x:c>
      <x:c r="P57" s="29" t="n">
        <x:v>6</x:v>
      </x:c>
      <x:c r="Q57" s="22" t="n">
        <x:v>6</x:v>
      </x:c>
      <x:c r="R57" s="29" t="n">
        <x:v>2</x:v>
      </x:c>
      <x:c r="S57" s="25" t="inlineStr">
        <x:is>
          <x:t xml:space="preserve">G.S. Ivanisevic</x:t>
        </x:is>
      </x:c>
      <x:c r="T57" s="25" t="inlineStr">
        <x:is>
          <x:t xml:space="preserve">CRO</x:t>
        </x:is>
      </x:c>
      <x:c r="U57" s="25" t="inlineStr">
        <x:is>
          <x:t xml:space="preserve">Croatia</x:t>
        </x:is>
      </x:c>
      <x:c r="V57" s="7" t="n">
        <x:v>14</x:v>
      </x:c>
    </x:row>
    <x:row r="58">
      <x:c r="A58" t="n">
        <x:v>1997</x:v>
      </x:c>
      <x:c r="B58" s="25" t="inlineStr">
        <x:is>
          <x:t xml:space="preserve">Women's</x:t>
        </x:is>
      </x:c>
      <x:c r="C58" s="25" t="inlineStr">
        <x:is>
          <x:t xml:space="preserve">M. Hingis</x:t>
        </x:is>
      </x:c>
      <x:c r="D58" s="25" t="inlineStr">
        <x:is>
          <x:t xml:space="preserve">SUI</x:t>
        </x:is>
      </x:c>
      <x:c r="E58" s="25" t="inlineStr">
        <x:is>
          <x:t xml:space="preserve">Switzerland</x:t>
        </x:is>
      </x:c>
      <x:c r="F58" s="7" t="n">
        <x:v>1</x:v>
      </x:c>
      <x:c r="G58" s="22" t="n">
        <x:v>110</x:v>
      </x:c>
      <x:c r="H58" s="22" t="inlineStr">
        <x:is>
          <x:t xml:space="preserve">2-6, 6-3, 6-3</x:t>
        </x:is>
      </x:c>
      <x:c r="I58" s="22" t="n">
        <x:v>2</x:v>
      </x:c>
      <x:c r="J58" s="29" t="n">
        <x:v>6</x:v>
      </x:c>
      <x:c r="K58" s="29" t="n">
        <x:v>6</x:v>
      </x:c>
      <x:c r="L58" s="29" t="n">
        <x:v>3</x:v>
      </x:c>
      <x:c r="M58" s="29" t="n">
        <x:v>6</x:v>
      </x:c>
      <x:c r="N58" s="29" t="n">
        <x:v>3</x:v>
      </x:c>
      <x:c r="S58" s="25" t="inlineStr">
        <x:is>
          <x:t xml:space="preserve">J. Novotna</x:t>
        </x:is>
      </x:c>
      <x:c r="T58" s="25" t="inlineStr">
        <x:is>
          <x:t xml:space="preserve">CZE</x:t>
        </x:is>
      </x:c>
      <x:c r="U58" s="25" t="inlineStr">
        <x:is>
          <x:t xml:space="preserve">Czechia</x:t>
        </x:is>
      </x:c>
      <x:c r="V58" s="7" t="n">
        <x:v>3</x:v>
      </x:c>
    </x:row>
    <x:row r="59">
      <x:c r="A59" t="n">
        <x:v>1997</x:v>
      </x:c>
      <x:c r="B59" s="25" t="inlineStr">
        <x:is>
          <x:t xml:space="preserve">Men's</x:t>
        </x:is>
      </x:c>
      <x:c r="C59" s="25" t="inlineStr">
        <x:is>
          <x:t xml:space="preserve">P. Sampras</x:t>
        </x:is>
      </x:c>
      <x:c r="D59" s="25" t="inlineStr">
        <x:is>
          <x:t xml:space="preserve">USA</x:t>
        </x:is>
      </x:c>
      <x:c r="E59" s="25" t="inlineStr">
        <x:is>
          <x:t xml:space="preserve">United States</x:t>
        </x:is>
      </x:c>
      <x:c r="F59" s="7" t="n">
        <x:v>1</x:v>
      </x:c>
      <x:c r="G59" s="22" t="n">
        <x:v>94</x:v>
      </x:c>
      <x:c r="H59" s="22" t="inlineStr">
        <x:is>
          <x:t xml:space="preserve">6-4, 6-2, 6-4</x:t>
        </x:is>
      </x:c>
      <x:c r="I59" s="22" t="n">
        <x:v>6</x:v>
      </x:c>
      <x:c r="J59" s="29" t="n">
        <x:v>4</x:v>
      </x:c>
      <x:c r="K59" s="29" t="n">
        <x:v>6</x:v>
      </x:c>
      <x:c r="L59" s="29" t="n">
        <x:v>2</x:v>
      </x:c>
      <x:c r="M59" s="29" t="n">
        <x:v>6</x:v>
      </x:c>
      <x:c r="N59" s="29" t="n">
        <x:v>4</x:v>
      </x:c>
      <x:c r="S59" s="25" t="inlineStr">
        <x:is>
          <x:t xml:space="preserve">C.A. Pioline</x:t>
        </x:is>
      </x:c>
      <x:c r="T59" s="25" t="inlineStr">
        <x:is>
          <x:t xml:space="preserve">FRA</x:t>
        </x:is>
      </x:c>
      <x:c r="U59" s="25" t="inlineStr">
        <x:is>
          <x:t xml:space="preserve">France</x:t>
        </x:is>
      </x:c>
      <x:c r="V59" s="7" t="inlineStr">
        <x:is>
          <x:t xml:space="preserve">U</x:t>
        </x:is>
      </x:c>
    </x:row>
    <x:row r="60">
      <x:c r="A60" t="n">
        <x:v>1996</x:v>
      </x:c>
      <x:c r="B60" s="25" t="inlineStr">
        <x:is>
          <x:t xml:space="preserve">Women's</x:t>
        </x:is>
      </x:c>
      <x:c r="C60" s="25" t="inlineStr">
        <x:is>
          <x:t xml:space="preserve">S.M. Graf</x:t>
        </x:is>
      </x:c>
      <x:c r="D60" s="25" t="inlineStr">
        <x:is>
          <x:t xml:space="preserve">GER</x:t>
        </x:is>
      </x:c>
      <x:c r="E60" s="25" t="inlineStr">
        <x:is>
          <x:t xml:space="preserve">Germany</x:t>
        </x:is>
      </x:c>
      <x:c r="F60" s="7" t="n">
        <x:v>1</x:v>
      </x:c>
      <x:c r="G60" s="22" t="n">
        <x:v>88</x:v>
      </x:c>
      <x:c r="H60" s="22" t="inlineStr">
        <x:is>
          <x:t xml:space="preserve">6-3, 7-5,</x:t>
        </x:is>
      </x:c>
      <x:c r="I60" s="22" t="n">
        <x:v>6</x:v>
      </x:c>
      <x:c r="J60" s="29" t="n">
        <x:v>3</x:v>
      </x:c>
      <x:c r="K60" s="29" t="n">
        <x:v>7</x:v>
      </x:c>
      <x:c r="L60" s="29" t="n">
        <x:v>5</x:v>
      </x:c>
      <x:c r="S60" s="25" t="inlineStr">
        <x:is>
          <x:t xml:space="preserve">A.I.M. Sanchez Vicario</x:t>
        </x:is>
      </x:c>
      <x:c r="T60" s="25" t="inlineStr">
        <x:is>
          <x:t xml:space="preserve">ESP</x:t>
        </x:is>
      </x:c>
      <x:c r="U60" s="25" t="inlineStr">
        <x:is>
          <x:t xml:space="preserve">Spain</x:t>
        </x:is>
      </x:c>
      <x:c r="V60" s="7" t="n">
        <x:v>4</x:v>
      </x:c>
    </x:row>
    <x:row r="61">
      <x:c r="A61" t="n">
        <x:v>1996</x:v>
      </x:c>
      <x:c r="B61" s="25" t="inlineStr">
        <x:is>
          <x:t xml:space="preserve">Men's</x:t>
        </x:is>
      </x:c>
      <x:c r="C61" s="25" t="inlineStr">
        <x:is>
          <x:t xml:space="preserve">R.P.S. Krajicek</x:t>
        </x:is>
      </x:c>
      <x:c r="D61" s="25" t="inlineStr">
        <x:is>
          <x:t xml:space="preserve">NED</x:t>
        </x:is>
      </x:c>
      <x:c r="E61" s="25" t="inlineStr">
        <x:is>
          <x:t xml:space="preserve">Netherlands</x:t>
        </x:is>
      </x:c>
      <x:c r="F61" s="7" t="inlineStr">
        <x:is>
          <x:t xml:space="preserve">U</x:t>
        </x:is>
      </x:c>
      <x:c r="G61" s="22" t="n">
        <x:v>94</x:v>
      </x:c>
      <x:c r="H61" s="22" t="inlineStr">
        <x:is>
          <x:t xml:space="preserve">6-3, 6-4, 6-3</x:t>
        </x:is>
      </x:c>
      <x:c r="I61" s="22" t="n">
        <x:v>6</x:v>
      </x:c>
      <x:c r="J61" s="29" t="n">
        <x:v>3</x:v>
      </x:c>
      <x:c r="K61" s="29" t="n">
        <x:v>6</x:v>
      </x:c>
      <x:c r="L61" s="29" t="n">
        <x:v>4</x:v>
      </x:c>
      <x:c r="M61" s="29" t="n">
        <x:v>6</x:v>
      </x:c>
      <x:c r="N61" s="29" t="n">
        <x:v>3</x:v>
      </x:c>
      <x:c r="S61" s="25" t="inlineStr">
        <x:is>
          <x:t xml:space="preserve">M.O. Washington</x:t>
        </x:is>
      </x:c>
      <x:c r="T61" s="25" t="inlineStr">
        <x:is>
          <x:t xml:space="preserve">USA</x:t>
        </x:is>
      </x:c>
      <x:c r="U61" s="25" t="inlineStr">
        <x:is>
          <x:t xml:space="preserve">United States</x:t>
        </x:is>
      </x:c>
      <x:c r="V61" s="7" t="inlineStr">
        <x:is>
          <x:t xml:space="preserve">U</x:t>
        </x:is>
      </x:c>
    </x:row>
    <x:row r="62">
      <x:c r="A62" t="n">
        <x:v>1995</x:v>
      </x:c>
      <x:c r="B62" s="25" t="inlineStr">
        <x:is>
          <x:t xml:space="preserve">Women's</x:t>
        </x:is>
      </x:c>
      <x:c r="C62" s="25" t="inlineStr">
        <x:is>
          <x:t xml:space="preserve">S.M. Graf</x:t>
        </x:is>
      </x:c>
      <x:c r="D62" s="25" t="inlineStr">
        <x:is>
          <x:t xml:space="preserve">GER</x:t>
        </x:is>
      </x:c>
      <x:c r="E62" s="25" t="inlineStr">
        <x:is>
          <x:t xml:space="preserve">Germany</x:t>
        </x:is>
      </x:c>
      <x:c r="F62" s="7" t="n">
        <x:v>1</x:v>
      </x:c>
      <x:c r="G62" s="22" t="n">
        <x:v>122</x:v>
      </x:c>
      <x:c r="H62" s="22" t="inlineStr">
        <x:is>
          <x:t xml:space="preserve">4-6, 6-1, 7-5,</x:t>
        </x:is>
      </x:c>
      <x:c r="I62" s="22" t="n">
        <x:v>4</x:v>
      </x:c>
      <x:c r="J62" s="29" t="n">
        <x:v>6</x:v>
      </x:c>
      <x:c r="K62" s="29" t="n">
        <x:v>6</x:v>
      </x:c>
      <x:c r="L62" s="29" t="n">
        <x:v>1</x:v>
      </x:c>
      <x:c r="M62" s="29" t="n">
        <x:v>7</x:v>
      </x:c>
      <x:c r="N62" s="29" t="n">
        <x:v>5</x:v>
      </x:c>
      <x:c r="S62" s="25" t="inlineStr">
        <x:is>
          <x:t xml:space="preserve">A.I.M. Sanchez Vicario</x:t>
        </x:is>
      </x:c>
      <x:c r="T62" s="25" t="inlineStr">
        <x:is>
          <x:t xml:space="preserve">ESP</x:t>
        </x:is>
      </x:c>
      <x:c r="U62" s="25" t="inlineStr">
        <x:is>
          <x:t xml:space="preserve">Spain</x:t>
        </x:is>
      </x:c>
      <x:c r="V62" s="7" t="n">
        <x:v>2</x:v>
      </x:c>
    </x:row>
    <x:row r="63">
      <x:c r="A63" t="n">
        <x:v>1995</x:v>
      </x:c>
      <x:c r="B63" s="25" t="inlineStr">
        <x:is>
          <x:t xml:space="preserve">Men's</x:t>
        </x:is>
      </x:c>
      <x:c r="C63" s="25" t="inlineStr">
        <x:is>
          <x:t xml:space="preserve">P. Sampras</x:t>
        </x:is>
      </x:c>
      <x:c r="D63" s="25" t="inlineStr">
        <x:is>
          <x:t xml:space="preserve">USA</x:t>
        </x:is>
      </x:c>
      <x:c r="E63" s="25" t="inlineStr">
        <x:is>
          <x:t xml:space="preserve">United States</x:t>
        </x:is>
      </x:c>
      <x:c r="F63" s="7" t="n">
        <x:v>2</x:v>
      </x:c>
      <x:c r="G63" s="22" t="n">
        <x:v>149</x:v>
      </x:c>
      <x:c r="H63" s="22" t="inlineStr">
        <x:is>
          <x:t xml:space="preserve">6-7 (5-7), 6-2, 6-4, 6-2</x:t>
        </x:is>
      </x:c>
      <x:c r="I63" s="22" t="n">
        <x:v>6</x:v>
      </x:c>
      <x:c r="J63" s="29" t="n">
        <x:v>7</x:v>
      </x:c>
      <x:c r="K63" s="29" t="n">
        <x:v>6</x:v>
      </x:c>
      <x:c r="L63" s="29" t="n">
        <x:v>2</x:v>
      </x:c>
      <x:c r="M63" s="29" t="n">
        <x:v>6</x:v>
      </x:c>
      <x:c r="N63" s="29" t="n">
        <x:v>4</x:v>
      </x:c>
      <x:c r="O63" s="29" t="n">
        <x:v>6</x:v>
      </x:c>
      <x:c r="P63" s="29" t="n">
        <x:v>2</x:v>
      </x:c>
      <x:c r="S63" s="25" t="inlineStr">
        <x:is>
          <x:t xml:space="preserve">B.F. Becker</x:t>
        </x:is>
      </x:c>
      <x:c r="T63" s="25" t="inlineStr">
        <x:is>
          <x:t xml:space="preserve">GER</x:t>
        </x:is>
      </x:c>
      <x:c r="U63" s="25" t="inlineStr">
        <x:is>
          <x:t xml:space="preserve">Germany</x:t>
        </x:is>
      </x:c>
      <x:c r="V63" s="7" t="n">
        <x:v>3</x:v>
      </x:c>
    </x:row>
    <x:row r="64">
      <x:c r="A64" t="n">
        <x:v>1994</x:v>
      </x:c>
      <x:c r="B64" s="25" t="inlineStr">
        <x:is>
          <x:t xml:space="preserve">Women's</x:t>
        </x:is>
      </x:c>
      <x:c r="C64" s="25" t="inlineStr">
        <x:is>
          <x:t xml:space="preserve">I.C. Martinez</x:t>
        </x:is>
      </x:c>
      <x:c r="D64" s="25" t="inlineStr">
        <x:is>
          <x:t xml:space="preserve">ESP</x:t>
        </x:is>
      </x:c>
      <x:c r="E64" s="25" t="inlineStr">
        <x:is>
          <x:t xml:space="preserve">Spain</x:t>
        </x:is>
      </x:c>
      <x:c r="F64" s="7" t="n">
        <x:v>3</x:v>
      </x:c>
      <x:c r="G64" s="22" t="n">
        <x:v>119</x:v>
      </x:c>
      <x:c r="H64" s="22" t="inlineStr">
        <x:is>
          <x:t xml:space="preserve">6-4, 3-6, 6-3,</x:t>
        </x:is>
      </x:c>
      <x:c r="I64" s="22" t="n">
        <x:v>6</x:v>
      </x:c>
      <x:c r="J64" s="29" t="n">
        <x:v>4</x:v>
      </x:c>
      <x:c r="K64" s="29" t="n">
        <x:v>3</x:v>
      </x:c>
      <x:c r="L64" s="29" t="n">
        <x:v>6</x:v>
      </x:c>
      <x:c r="M64" s="29" t="n">
        <x:v>6</x:v>
      </x:c>
      <x:c r="N64" s="29" t="n">
        <x:v>3</x:v>
      </x:c>
      <x:c r="S64" s="25" t="inlineStr">
        <x:is>
          <x:t xml:space="preserve">M. Navratilova</x:t>
        </x:is>
      </x:c>
      <x:c r="T64" s="25" t="inlineStr">
        <x:is>
          <x:t xml:space="preserve">USA</x:t>
        </x:is>
      </x:c>
      <x:c r="U64" s="25" t="inlineStr">
        <x:is>
          <x:t xml:space="preserve">United States</x:t>
        </x:is>
      </x:c>
      <x:c r="V64" s="7" t="n">
        <x:v>4</x:v>
      </x:c>
    </x:row>
    <x:row r="65">
      <x:c r="A65" t="n">
        <x:v>1994</x:v>
      </x:c>
      <x:c r="B65" s="25" t="inlineStr">
        <x:is>
          <x:t xml:space="preserve">Men's</x:t>
        </x:is>
      </x:c>
      <x:c r="C65" s="25" t="inlineStr">
        <x:is>
          <x:t xml:space="preserve">P. Sampras</x:t>
        </x:is>
      </x:c>
      <x:c r="D65" s="25" t="inlineStr">
        <x:is>
          <x:t xml:space="preserve">USA</x:t>
        </x:is>
      </x:c>
      <x:c r="E65" s="25" t="inlineStr">
        <x:is>
          <x:t xml:space="preserve">United States</x:t>
        </x:is>
      </x:c>
      <x:c r="F65" s="7" t="n">
        <x:v>1</x:v>
      </x:c>
      <x:c r="G65" s="22" t="n">
        <x:v>115</x:v>
      </x:c>
      <x:c r="H65" s="22" t="inlineStr">
        <x:is>
          <x:t xml:space="preserve">7-6 (7-2), 7-6 (7-5), 6-0</x:t>
        </x:is>
      </x:c>
      <x:c r="I65" s="22" t="n">
        <x:v>7</x:v>
      </x:c>
      <x:c r="J65" s="29" t="n">
        <x:v>6</x:v>
      </x:c>
      <x:c r="K65" s="29" t="n">
        <x:v>7</x:v>
      </x:c>
      <x:c r="L65" s="29" t="n">
        <x:v>6</x:v>
      </x:c>
      <x:c r="M65" s="29" t="n">
        <x:v>6</x:v>
      </x:c>
      <x:c r="N65" s="29" t="n">
        <x:v>0</x:v>
      </x:c>
      <x:c r="S65" s="25" t="inlineStr">
        <x:is>
          <x:t xml:space="preserve">G.S. Ivanisevic</x:t>
        </x:is>
      </x:c>
      <x:c r="T65" s="25" t="inlineStr">
        <x:is>
          <x:t xml:space="preserve">CRO</x:t>
        </x:is>
      </x:c>
      <x:c r="U65" s="25" t="inlineStr">
        <x:is>
          <x:t xml:space="preserve">Croatia</x:t>
        </x:is>
      </x:c>
      <x:c r="V65" s="7" t="n">
        <x:v>4</x:v>
      </x:c>
    </x:row>
    <x:row r="66">
      <x:c r="A66" t="n">
        <x:v>1993</x:v>
      </x:c>
      <x:c r="B66" s="25" t="inlineStr">
        <x:is>
          <x:t xml:space="preserve">Women's</x:t>
        </x:is>
      </x:c>
      <x:c r="C66" s="25" t="inlineStr">
        <x:is>
          <x:t xml:space="preserve">S.M. Graf</x:t>
        </x:is>
      </x:c>
      <x:c r="D66" s="25" t="inlineStr">
        <x:is>
          <x:t xml:space="preserve">GER</x:t>
        </x:is>
      </x:c>
      <x:c r="E66" s="25" t="inlineStr">
        <x:is>
          <x:t xml:space="preserve">Germany</x:t>
        </x:is>
      </x:c>
      <x:c r="F66" s="7" t="n">
        <x:v>1</x:v>
      </x:c>
      <x:c r="G66" s="22" t="n">
        <x:v>134</x:v>
      </x:c>
      <x:c r="H66" s="22" t="inlineStr">
        <x:is>
          <x:t xml:space="preserve">7-6 (8-6), 1-6, 6-4,</x:t>
        </x:is>
      </x:c>
      <x:c r="I66" s="22" t="n">
        <x:v>7</x:v>
      </x:c>
      <x:c r="J66" s="29" t="n">
        <x:v>6</x:v>
      </x:c>
      <x:c r="K66" s="29" t="n">
        <x:v>1</x:v>
      </x:c>
      <x:c r="L66" s="29" t="n">
        <x:v>6</x:v>
      </x:c>
      <x:c r="M66" s="29" t="n">
        <x:v>6</x:v>
      </x:c>
      <x:c r="N66" s="29" t="n">
        <x:v>4</x:v>
      </x:c>
      <x:c r="S66" s="25" t="inlineStr">
        <x:is>
          <x:t xml:space="preserve">J. Novotna</x:t>
        </x:is>
      </x:c>
      <x:c r="T66" s="25" t="inlineStr">
        <x:is>
          <x:t xml:space="preserve">CZE</x:t>
        </x:is>
      </x:c>
      <x:c r="U66" s="25" t="inlineStr">
        <x:is>
          <x:t xml:space="preserve">Czechia</x:t>
        </x:is>
      </x:c>
      <x:c r="V66" s="7" t="n">
        <x:v>8</x:v>
      </x:c>
    </x:row>
    <x:row r="67">
      <x:c r="A67" t="n">
        <x:v>1993</x:v>
      </x:c>
      <x:c r="B67" s="25" t="inlineStr">
        <x:is>
          <x:t xml:space="preserve">Men's</x:t>
        </x:is>
      </x:c>
      <x:c r="C67" s="25" t="inlineStr">
        <x:is>
          <x:t xml:space="preserve">P. Sampras</x:t>
        </x:is>
      </x:c>
      <x:c r="D67" s="25" t="inlineStr">
        <x:is>
          <x:t xml:space="preserve">USA</x:t>
        </x:is>
      </x:c>
      <x:c r="E67" s="25" t="inlineStr">
        <x:is>
          <x:t xml:space="preserve">United States</x:t>
        </x:is>
      </x:c>
      <x:c r="F67" s="7" t="n">
        <x:v>1</x:v>
      </x:c>
      <x:c r="G67" s="22" t="n">
        <x:v>178</x:v>
      </x:c>
      <x:c r="H67" s="22" t="inlineStr">
        <x:is>
          <x:t xml:space="preserve">7-6 (7-3), 7-6 (8-6), 3-6, 6-3</x:t>
        </x:is>
      </x:c>
      <x:c r="I67" s="22" t="n">
        <x:v>7</x:v>
      </x:c>
      <x:c r="J67" s="29" t="n">
        <x:v>6</x:v>
      </x:c>
      <x:c r="K67" s="29" t="n">
        <x:v>7</x:v>
      </x:c>
      <x:c r="L67" s="29" t="n">
        <x:v>6</x:v>
      </x:c>
      <x:c r="M67" s="29" t="n">
        <x:v>3</x:v>
      </x:c>
      <x:c r="N67" s="29" t="n">
        <x:v>6</x:v>
      </x:c>
      <x:c r="O67" s="29" t="n">
        <x:v>6</x:v>
      </x:c>
      <x:c r="P67" s="29" t="n">
        <x:v>3</x:v>
      </x:c>
      <x:c r="S67" s="25" t="inlineStr">
        <x:is>
          <x:t xml:space="preserve">J.S. Courier</x:t>
        </x:is>
      </x:c>
      <x:c r="T67" s="25" t="inlineStr">
        <x:is>
          <x:t xml:space="preserve">USA</x:t>
        </x:is>
      </x:c>
      <x:c r="U67" s="25" t="inlineStr">
        <x:is>
          <x:t xml:space="preserve">United States</x:t>
        </x:is>
      </x:c>
      <x:c r="V67" s="7" t="n">
        <x:v>3</x:v>
      </x:c>
    </x:row>
    <x:row r="68">
      <x:c r="A68" t="n">
        <x:v>1992</x:v>
      </x:c>
      <x:c r="B68" s="25" t="inlineStr">
        <x:is>
          <x:t xml:space="preserve">Women's</x:t>
        </x:is>
      </x:c>
      <x:c r="C68" s="25" t="inlineStr">
        <x:is>
          <x:t xml:space="preserve">S.M. Graf</x:t>
        </x:is>
      </x:c>
      <x:c r="D68" s="25" t="inlineStr">
        <x:is>
          <x:t xml:space="preserve">GER</x:t>
        </x:is>
      </x:c>
      <x:c r="E68" s="25" t="inlineStr">
        <x:is>
          <x:t xml:space="preserve">Germany</x:t>
        </x:is>
      </x:c>
      <x:c r="F68" s="7" t="n">
        <x:v>2</x:v>
      </x:c>
      <x:c r="G68" s="22" t="n">
        <x:v>58</x:v>
      </x:c>
      <x:c r="H68" s="22" t="inlineStr">
        <x:is>
          <x:t xml:space="preserve">6-2, 6-1,</x:t>
        </x:is>
      </x:c>
      <x:c r="I68" s="22" t="n">
        <x:v>6</x:v>
      </x:c>
      <x:c r="J68" s="29" t="n">
        <x:v>2</x:v>
      </x:c>
      <x:c r="K68" s="29" t="n">
        <x:v>6</x:v>
      </x:c>
      <x:c r="L68" s="29" t="n">
        <x:v>1</x:v>
      </x:c>
      <x:c r="S68" s="25" t="inlineStr">
        <x:is>
          <x:t xml:space="preserve">M. Seles</x:t>
        </x:is>
      </x:c>
      <x:c r="T68" s="25" t="inlineStr">
        <x:is>
          <x:t xml:space="preserve">SRB</x:t>
        </x:is>
      </x:c>
      <x:c r="U68" s="25" t="inlineStr">
        <x:is>
          <x:t xml:space="preserve">Serbia</x:t>
        </x:is>
      </x:c>
      <x:c r="V68" s="7" t="n">
        <x:v>1</x:v>
      </x:c>
    </x:row>
    <x:row r="69">
      <x:c r="A69" t="n">
        <x:v>1992</x:v>
      </x:c>
      <x:c r="B69" s="25" t="inlineStr">
        <x:is>
          <x:t xml:space="preserve">Men's</x:t>
        </x:is>
      </x:c>
      <x:c r="C69" s="25" t="inlineStr">
        <x:is>
          <x:t xml:space="preserve">A.K. Agassi</x:t>
        </x:is>
      </x:c>
      <x:c r="D69" s="25" t="inlineStr">
        <x:is>
          <x:t xml:space="preserve">USA</x:t>
        </x:is>
      </x:c>
      <x:c r="E69" s="25" t="inlineStr">
        <x:is>
          <x:t xml:space="preserve">United States</x:t>
        </x:is>
      </x:c>
      <x:c r="F69" s="7" t="n">
        <x:v>12</x:v>
      </x:c>
      <x:c r="G69" s="22" t="n">
        <x:v>170</x:v>
      </x:c>
      <x:c r="H69" s="22" t="inlineStr">
        <x:is>
          <x:t xml:space="preserve">6-7 (8-10), 6-4, 6-4, 1-6, 6-4</x:t>
        </x:is>
      </x:c>
      <x:c r="I69" s="22" t="n">
        <x:v>6</x:v>
      </x:c>
      <x:c r="J69" s="29" t="n">
        <x:v>7</x:v>
      </x:c>
      <x:c r="K69" s="29" t="n">
        <x:v>6</x:v>
      </x:c>
      <x:c r="L69" s="29" t="n">
        <x:v>4</x:v>
      </x:c>
      <x:c r="M69" s="29" t="n">
        <x:v>6</x:v>
      </x:c>
      <x:c r="N69" s="29" t="n">
        <x:v>4</x:v>
      </x:c>
      <x:c r="O69" s="29" t="n">
        <x:v>1</x:v>
      </x:c>
      <x:c r="P69" s="29" t="n">
        <x:v>6</x:v>
      </x:c>
      <x:c r="Q69" s="22" t="n">
        <x:v>6</x:v>
      </x:c>
      <x:c r="R69" s="29" t="n">
        <x:v>4</x:v>
      </x:c>
      <x:c r="S69" s="25" t="inlineStr">
        <x:is>
          <x:t xml:space="preserve">G.S. Ivanisevic</x:t>
        </x:is>
      </x:c>
      <x:c r="T69" s="25" t="inlineStr">
        <x:is>
          <x:t xml:space="preserve">CRO</x:t>
        </x:is>
      </x:c>
      <x:c r="U69" s="25" t="inlineStr">
        <x:is>
          <x:t xml:space="preserve">Croatia</x:t>
        </x:is>
      </x:c>
      <x:c r="V69" s="7" t="n">
        <x:v>8</x:v>
      </x:c>
    </x:row>
    <x:row r="70">
      <x:c r="A70" t="n">
        <x:v>1991</x:v>
      </x:c>
      <x:c r="B70" s="25" t="inlineStr">
        <x:is>
          <x:t xml:space="preserve">Women's</x:t>
        </x:is>
      </x:c>
      <x:c r="C70" s="25" t="inlineStr">
        <x:is>
          <x:t xml:space="preserve">S.M. Graf</x:t>
        </x:is>
      </x:c>
      <x:c r="D70" s="25" t="inlineStr">
        <x:is>
          <x:t xml:space="preserve">GER</x:t>
        </x:is>
      </x:c>
      <x:c r="E70" s="25" t="inlineStr">
        <x:is>
          <x:t xml:space="preserve">Germany</x:t>
        </x:is>
      </x:c>
      <x:c r="F70" s="7" t="n">
        <x:v>1</x:v>
      </x:c>
      <x:c r="G70" s="22" t="n">
        <x:v>127</x:v>
      </x:c>
      <x:c r="H70" s="22" t="inlineStr">
        <x:is>
          <x:t xml:space="preserve">6-4, 3-6, 8-6,</x:t>
        </x:is>
      </x:c>
      <x:c r="I70" s="22" t="n">
        <x:v>6</x:v>
      </x:c>
      <x:c r="J70" s="29" t="n">
        <x:v>4</x:v>
      </x:c>
      <x:c r="K70" s="29" t="n">
        <x:v>3</x:v>
      </x:c>
      <x:c r="L70" s="29" t="n">
        <x:v>6</x:v>
      </x:c>
      <x:c r="M70" s="29" t="n">
        <x:v>8</x:v>
      </x:c>
      <x:c r="N70" s="29" t="n">
        <x:v>6</x:v>
      </x:c>
      <x:c r="S70" s="25" t="inlineStr">
        <x:is>
          <x:t xml:space="preserve">G.B. Sabatini</x:t>
        </x:is>
      </x:c>
      <x:c r="T70" s="25" t="inlineStr">
        <x:is>
          <x:t xml:space="preserve">ARG</x:t>
        </x:is>
      </x:c>
      <x:c r="U70" s="25" t="inlineStr">
        <x:is>
          <x:t xml:space="preserve">Argentina</x:t>
        </x:is>
      </x:c>
      <x:c r="V70" s="7" t="n">
        <x:v>2</x:v>
      </x:c>
    </x:row>
    <x:row r="71">
      <x:c r="A71" t="n">
        <x:v>1991</x:v>
      </x:c>
      <x:c r="B71" s="25" t="inlineStr">
        <x:is>
          <x:t xml:space="preserve">Men's</x:t>
        </x:is>
      </x:c>
      <x:c r="C71" s="25" t="inlineStr">
        <x:is>
          <x:t xml:space="preserve">M.D. Stich</x:t>
        </x:is>
      </x:c>
      <x:c r="D71" s="25" t="inlineStr">
        <x:is>
          <x:t xml:space="preserve">GER</x:t>
        </x:is>
      </x:c>
      <x:c r="E71" s="25" t="inlineStr">
        <x:is>
          <x:t xml:space="preserve">Germany</x:t>
        </x:is>
      </x:c>
      <x:c r="F71" s="7" t="n">
        <x:v>6</x:v>
      </x:c>
      <x:c r="G71" s="22" t="n">
        <x:v>153</x:v>
      </x:c>
      <x:c r="H71" s="22" t="inlineStr">
        <x:is>
          <x:t xml:space="preserve">6-4, 7-6 (7-4), 6-4</x:t>
        </x:is>
      </x:c>
      <x:c r="I71" s="22" t="n">
        <x:v>6</x:v>
      </x:c>
      <x:c r="J71" s="29" t="n">
        <x:v>4</x:v>
      </x:c>
      <x:c r="K71" s="29" t="n">
        <x:v>7</x:v>
      </x:c>
      <x:c r="L71" s="29" t="n">
        <x:v>6</x:v>
      </x:c>
      <x:c r="M71" s="29" t="n">
        <x:v>6</x:v>
      </x:c>
      <x:c r="N71" s="29" t="n">
        <x:v>4</x:v>
      </x:c>
      <x:c r="S71" s="25" t="inlineStr">
        <x:is>
          <x:t xml:space="preserve">B.F. Becker</x:t>
        </x:is>
      </x:c>
      <x:c r="T71" s="25" t="inlineStr">
        <x:is>
          <x:t xml:space="preserve">GER</x:t>
        </x:is>
      </x:c>
      <x:c r="U71" s="25" t="inlineStr">
        <x:is>
          <x:t xml:space="preserve">Germany</x:t>
        </x:is>
      </x:c>
      <x:c r="V71" s="7" t="n">
        <x:v>2</x:v>
      </x:c>
    </x:row>
    <x:row r="72">
      <x:c r="A72" t="n">
        <x:v>1990</x:v>
      </x:c>
      <x:c r="B72" s="25" t="inlineStr">
        <x:is>
          <x:t xml:space="preserve">Women's</x:t>
        </x:is>
      </x:c>
      <x:c r="C72" s="25" t="inlineStr">
        <x:is>
          <x:t xml:space="preserve">M. Navratilova</x:t>
        </x:is>
      </x:c>
      <x:c r="D72" s="25" t="inlineStr">
        <x:is>
          <x:t xml:space="preserve">USA</x:t>
        </x:is>
      </x:c>
      <x:c r="E72" s="25" t="inlineStr">
        <x:is>
          <x:t xml:space="preserve">United States</x:t>
        </x:is>
      </x:c>
      <x:c r="F72" s="7" t="n">
        <x:v>2</x:v>
      </x:c>
      <x:c r="G72" s="22" t="n">
        <x:v>75</x:v>
      </x:c>
      <x:c r="H72" s="22" t="inlineStr">
        <x:is>
          <x:t xml:space="preserve">6-4, 6-1,</x:t>
        </x:is>
      </x:c>
      <x:c r="I72" s="22" t="n">
        <x:v>6</x:v>
      </x:c>
      <x:c r="J72" s="29" t="n">
        <x:v>4</x:v>
      </x:c>
      <x:c r="K72" s="29" t="n">
        <x:v>6</x:v>
      </x:c>
      <x:c r="L72" s="29" t="n">
        <x:v>1</x:v>
      </x:c>
      <x:c r="S72" s="25" t="inlineStr">
        <x:is>
          <x:t xml:space="preserve">Z.L. Garrison</x:t>
        </x:is>
      </x:c>
      <x:c r="T72" s="25" t="inlineStr">
        <x:is>
          <x:t xml:space="preserve">USA</x:t>
        </x:is>
      </x:c>
      <x:c r="U72" s="25" t="inlineStr">
        <x:is>
          <x:t xml:space="preserve">United States</x:t>
        </x:is>
      </x:c>
      <x:c r="V72" s="7" t="n">
        <x:v>5</x:v>
      </x:c>
    </x:row>
    <x:row r="73">
      <x:c r="A73" t="n">
        <x:v>1990</x:v>
      </x:c>
      <x:c r="B73" s="25" t="inlineStr">
        <x:is>
          <x:t xml:space="preserve">Men's</x:t>
        </x:is>
      </x:c>
      <x:c r="C73" s="25" t="inlineStr">
        <x:is>
          <x:t xml:space="preserve">S.B. Edberg</x:t>
        </x:is>
      </x:c>
      <x:c r="D73" s="25" t="inlineStr">
        <x:is>
          <x:t xml:space="preserve">SWE</x:t>
        </x:is>
      </x:c>
      <x:c r="E73" s="25" t="inlineStr">
        <x:is>
          <x:t xml:space="preserve">Sweden</x:t>
        </x:is>
      </x:c>
      <x:c r="F73" s="7" t="n">
        <x:v>3</x:v>
      </x:c>
      <x:c r="G73" s="22" t="n">
        <x:v>178</x:v>
      </x:c>
      <x:c r="H73" s="22" t="inlineStr">
        <x:is>
          <x:t xml:space="preserve">6-2, 6-2, 3-6, 3-6, 6-4</x:t>
        </x:is>
      </x:c>
      <x:c r="I73" s="22" t="n">
        <x:v>6</x:v>
      </x:c>
      <x:c r="J73" s="29" t="n">
        <x:v>2</x:v>
      </x:c>
      <x:c r="K73" s="29" t="n">
        <x:v>6</x:v>
      </x:c>
      <x:c r="L73" s="29" t="n">
        <x:v>2</x:v>
      </x:c>
      <x:c r="M73" s="29" t="n">
        <x:v>3</x:v>
      </x:c>
      <x:c r="N73" s="29" t="n">
        <x:v>6</x:v>
      </x:c>
      <x:c r="O73" s="29" t="n">
        <x:v>3</x:v>
      </x:c>
      <x:c r="P73" s="29" t="n">
        <x:v>6</x:v>
      </x:c>
      <x:c r="Q73" s="22" t="n">
        <x:v>6</x:v>
      </x:c>
      <x:c r="R73" s="29" t="n">
        <x:v>4</x:v>
      </x:c>
      <x:c r="S73" s="25" t="inlineStr">
        <x:is>
          <x:t xml:space="preserve">B.F. Becker</x:t>
        </x:is>
      </x:c>
      <x:c r="T73" s="25" t="inlineStr">
        <x:is>
          <x:t xml:space="preserve">GER</x:t>
        </x:is>
      </x:c>
      <x:c r="U73" s="25" t="inlineStr">
        <x:is>
          <x:t xml:space="preserve">Germany</x:t>
        </x:is>
      </x:c>
      <x:c r="V73" s="7" t="n">
        <x:v>2</x:v>
      </x:c>
    </x:row>
    <x:row r="74">
      <x:c r="A74" t="n">
        <x:v>1989</x:v>
      </x:c>
      <x:c r="B74" s="25" t="inlineStr">
        <x:is>
          <x:t xml:space="preserve">Women's</x:t>
        </x:is>
      </x:c>
      <x:c r="C74" s="25" t="inlineStr">
        <x:is>
          <x:t xml:space="preserve">S.M. Graf</x:t>
        </x:is>
      </x:c>
      <x:c r="D74" s="25" t="inlineStr">
        <x:is>
          <x:t xml:space="preserve">GER</x:t>
        </x:is>
      </x:c>
      <x:c r="E74" s="25" t="inlineStr">
        <x:is>
          <x:t xml:space="preserve">Germany</x:t>
        </x:is>
      </x:c>
      <x:c r="F74" s="7" t="n">
        <x:v>1</x:v>
      </x:c>
      <x:c r="G74" s="22" t="n">
        <x:v>92</x:v>
      </x:c>
      <x:c r="H74" s="22" t="inlineStr">
        <x:is>
          <x:t xml:space="preserve">6-2, 6-7 (1-7), 6-1,</x:t>
        </x:is>
      </x:c>
      <x:c r="I74" s="22" t="n">
        <x:v>6</x:v>
      </x:c>
      <x:c r="J74" s="29" t="n">
        <x:v>2</x:v>
      </x:c>
      <x:c r="K74" s="29" t="n">
        <x:v>6</x:v>
      </x:c>
      <x:c r="L74" s="29" t="n">
        <x:v>7</x:v>
      </x:c>
      <x:c r="M74" s="29" t="n">
        <x:v>6</x:v>
      </x:c>
      <x:c r="N74" s="29" t="n">
        <x:v>1</x:v>
      </x:c>
      <x:c r="S74" s="25" t="inlineStr">
        <x:is>
          <x:t xml:space="preserve">M. Navratilova</x:t>
        </x:is>
      </x:c>
      <x:c r="T74" s="25" t="inlineStr">
        <x:is>
          <x:t xml:space="preserve">USA</x:t>
        </x:is>
      </x:c>
      <x:c r="U74" s="25" t="inlineStr">
        <x:is>
          <x:t xml:space="preserve">United States</x:t>
        </x:is>
      </x:c>
      <x:c r="V74" s="7" t="n">
        <x:v>2</x:v>
      </x:c>
    </x:row>
    <x:row r="75">
      <x:c r="A75" t="n">
        <x:v>1989</x:v>
      </x:c>
      <x:c r="B75" s="25" t="inlineStr">
        <x:is>
          <x:t xml:space="preserve">Men's</x:t>
        </x:is>
      </x:c>
      <x:c r="C75" s="25" t="inlineStr">
        <x:is>
          <x:t xml:space="preserve">B.F. Becker</x:t>
        </x:is>
      </x:c>
      <x:c r="D75" s="25" t="inlineStr">
        <x:is>
          <x:t xml:space="preserve">GER</x:t>
        </x:is>
      </x:c>
      <x:c r="E75" s="25" t="inlineStr">
        <x:is>
          <x:t xml:space="preserve">Germany</x:t>
        </x:is>
      </x:c>
      <x:c r="F75" s="7" t="n">
        <x:v>3</x:v>
      </x:c>
      <x:c r="G75" s="22" t="n">
        <x:v>132</x:v>
      </x:c>
      <x:c r="H75" s="22" t="inlineStr">
        <x:is>
          <x:t xml:space="preserve">6-0, 7-6 (7-1), 6-4</x:t>
        </x:is>
      </x:c>
      <x:c r="I75" s="22" t="n">
        <x:v>6</x:v>
      </x:c>
      <x:c r="J75" s="29" t="n">
        <x:v>0</x:v>
      </x:c>
      <x:c r="K75" s="29" t="n">
        <x:v>7</x:v>
      </x:c>
      <x:c r="L75" s="29" t="n">
        <x:v>6</x:v>
      </x:c>
      <x:c r="M75" s="29" t="n">
        <x:v>6</x:v>
      </x:c>
      <x:c r="N75" s="29" t="n">
        <x:v>4</x:v>
      </x:c>
      <x:c r="S75" s="25" t="inlineStr">
        <x:is>
          <x:t xml:space="preserve">S.B. Edberg</x:t>
        </x:is>
      </x:c>
      <x:c r="T75" s="25" t="inlineStr">
        <x:is>
          <x:t xml:space="preserve">SWE</x:t>
        </x:is>
      </x:c>
      <x:c r="U75" s="25" t="inlineStr">
        <x:is>
          <x:t xml:space="preserve">Sweden</x:t>
        </x:is>
      </x:c>
      <x:c r="V75" s="7" t="n">
        <x:v>2</x:v>
      </x:c>
    </x:row>
    <x:row r="76">
      <x:c r="A76" t="n">
        <x:v>1988</x:v>
      </x:c>
      <x:c r="B76" s="25" t="inlineStr">
        <x:is>
          <x:t xml:space="preserve">Women's</x:t>
        </x:is>
      </x:c>
      <x:c r="C76" s="25" t="inlineStr">
        <x:is>
          <x:t xml:space="preserve">S.M. Graf</x:t>
        </x:is>
      </x:c>
      <x:c r="D76" s="25" t="inlineStr">
        <x:is>
          <x:t xml:space="preserve">GER</x:t>
        </x:is>
      </x:c>
      <x:c r="E76" s="25" t="inlineStr">
        <x:is>
          <x:t xml:space="preserve">Germany</x:t>
        </x:is>
      </x:c>
      <x:c r="F76" s="7" t="n">
        <x:v>1</x:v>
      </x:c>
      <x:c r="G76" s="22" t="n">
        <x:v>93</x:v>
      </x:c>
      <x:c r="H76" s="22" t="inlineStr">
        <x:is>
          <x:t xml:space="preserve">5-7, 6-2, 6-1,</x:t>
        </x:is>
      </x:c>
      <x:c r="I76" s="22" t="n">
        <x:v>5</x:v>
      </x:c>
      <x:c r="J76" s="29" t="n">
        <x:v>7</x:v>
      </x:c>
      <x:c r="K76" s="29" t="n">
        <x:v>6</x:v>
      </x:c>
      <x:c r="L76" s="29" t="n">
        <x:v>2</x:v>
      </x:c>
      <x:c r="M76" s="29" t="n">
        <x:v>6</x:v>
      </x:c>
      <x:c r="N76" s="29" t="n">
        <x:v>1</x:v>
      </x:c>
      <x:c r="S76" s="25" t="inlineStr">
        <x:is>
          <x:t xml:space="preserve">M. Navratilova</x:t>
        </x:is>
      </x:c>
      <x:c r="T76" s="25" t="inlineStr">
        <x:is>
          <x:t xml:space="preserve">USA</x:t>
        </x:is>
      </x:c>
      <x:c r="U76" s="25" t="inlineStr">
        <x:is>
          <x:t xml:space="preserve">United States</x:t>
        </x:is>
      </x:c>
      <x:c r="V76" s="7" t="n">
        <x:v>2</x:v>
      </x:c>
    </x:row>
    <x:row r="77">
      <x:c r="A77" t="n">
        <x:v>1988</x:v>
      </x:c>
      <x:c r="B77" s="25" t="inlineStr">
        <x:is>
          <x:t xml:space="preserve">Men's</x:t>
        </x:is>
      </x:c>
      <x:c r="C77" s="25" t="inlineStr">
        <x:is>
          <x:t xml:space="preserve">S.B. Edberg</x:t>
        </x:is>
      </x:c>
      <x:c r="D77" s="25" t="inlineStr">
        <x:is>
          <x:t xml:space="preserve">SWE</x:t>
        </x:is>
      </x:c>
      <x:c r="E77" s="25" t="inlineStr">
        <x:is>
          <x:t xml:space="preserve">Sweden</x:t>
        </x:is>
      </x:c>
      <x:c r="F77" s="7" t="n">
        <x:v>3</x:v>
      </x:c>
      <x:c r="G77" s="22" t="n">
        <x:v>170</x:v>
      </x:c>
      <x:c r="H77" s="22" t="inlineStr">
        <x:is>
          <x:t xml:space="preserve">4-6, 7-6 (7-2), 6-4, 6-2</x:t>
        </x:is>
      </x:c>
      <x:c r="I77" s="22" t="n">
        <x:v>4</x:v>
      </x:c>
      <x:c r="J77" s="29" t="n">
        <x:v>6</x:v>
      </x:c>
      <x:c r="K77" s="29" t="n">
        <x:v>7</x:v>
      </x:c>
      <x:c r="L77" s="29" t="n">
        <x:v>6</x:v>
      </x:c>
      <x:c r="M77" s="29" t="n">
        <x:v>6</x:v>
      </x:c>
      <x:c r="N77" s="29" t="n">
        <x:v>4</x:v>
      </x:c>
      <x:c r="O77" s="29" t="n">
        <x:v>6</x:v>
      </x:c>
      <x:c r="P77" s="29" t="n">
        <x:v>2</x:v>
      </x:c>
      <x:c r="S77" s="25" t="inlineStr">
        <x:is>
          <x:t xml:space="preserve">B.F. Becker</x:t>
        </x:is>
      </x:c>
      <x:c r="T77" s="25" t="inlineStr">
        <x:is>
          <x:t xml:space="preserve">GER</x:t>
        </x:is>
      </x:c>
      <x:c r="U77" s="25" t="inlineStr">
        <x:is>
          <x:t xml:space="preserve">Germany</x:t>
        </x:is>
      </x:c>
      <x:c r="V77" s="7" t="n">
        <x:v>6</x:v>
      </x:c>
    </x:row>
    <x:row r="78">
      <x:c r="A78" t="n">
        <x:v>1987</x:v>
      </x:c>
      <x:c r="B78" s="25" t="inlineStr">
        <x:is>
          <x:t xml:space="preserve">Women's</x:t>
        </x:is>
      </x:c>
      <x:c r="C78" s="25" t="inlineStr">
        <x:is>
          <x:t xml:space="preserve">M. Navratilova</x:t>
        </x:is>
      </x:c>
      <x:c r="D78" s="25" t="inlineStr">
        <x:is>
          <x:t xml:space="preserve">USA</x:t>
        </x:is>
      </x:c>
      <x:c r="E78" s="25" t="inlineStr">
        <x:is>
          <x:t xml:space="preserve">United States</x:t>
        </x:is>
      </x:c>
      <x:c r="F78" s="7" t="n">
        <x:v>1</x:v>
      </x:c>
      <x:c r="G78" s="22" t="n">
        <x:v>69</x:v>
      </x:c>
      <x:c r="H78" s="22" t="inlineStr">
        <x:is>
          <x:t xml:space="preserve">7-5, 6-3,</x:t>
        </x:is>
      </x:c>
      <x:c r="I78" s="22" t="n">
        <x:v>7</x:v>
      </x:c>
      <x:c r="J78" s="29" t="n">
        <x:v>5</x:v>
      </x:c>
      <x:c r="K78" s="29" t="n">
        <x:v>6</x:v>
      </x:c>
      <x:c r="L78" s="29" t="n">
        <x:v>3</x:v>
      </x:c>
      <x:c r="S78" s="25" t="inlineStr">
        <x:is>
          <x:t xml:space="preserve">S.M. Graf</x:t>
        </x:is>
      </x:c>
      <x:c r="T78" s="25" t="inlineStr">
        <x:is>
          <x:t xml:space="preserve">GER</x:t>
        </x:is>
      </x:c>
      <x:c r="U78" s="25" t="inlineStr">
        <x:is>
          <x:t xml:space="preserve">Germany</x:t>
        </x:is>
      </x:c>
      <x:c r="V78" s="7" t="n">
        <x:v>2</x:v>
      </x:c>
    </x:row>
    <x:row r="79">
      <x:c r="A79" t="n">
        <x:v>1987</x:v>
      </x:c>
      <x:c r="B79" s="25" t="inlineStr">
        <x:is>
          <x:t xml:space="preserve">Men's</x:t>
        </x:is>
      </x:c>
      <x:c r="C79" s="25" t="inlineStr">
        <x:is>
          <x:t xml:space="preserve">P.H. Cash</x:t>
        </x:is>
      </x:c>
      <x:c r="D79" s="25" t="inlineStr">
        <x:is>
          <x:t xml:space="preserve">AUS</x:t>
        </x:is>
      </x:c>
      <x:c r="E79" s="25" t="inlineStr">
        <x:is>
          <x:t xml:space="preserve">Australia</x:t>
        </x:is>
      </x:c>
      <x:c r="F79" s="7" t="n">
        <x:v>11</x:v>
      </x:c>
      <x:c r="G79" s="22" t="n">
        <x:v>165</x:v>
      </x:c>
      <x:c r="H79" s="22" t="inlineStr">
        <x:is>
          <x:t xml:space="preserve">7-6 (7-5), 6-2, 7-5</x:t>
        </x:is>
      </x:c>
      <x:c r="I79" s="22" t="n">
        <x:v>7</x:v>
      </x:c>
      <x:c r="J79" s="29" t="n">
        <x:v>6</x:v>
      </x:c>
      <x:c r="K79" s="29" t="n">
        <x:v>6</x:v>
      </x:c>
      <x:c r="L79" s="29" t="n">
        <x:v>2</x:v>
      </x:c>
      <x:c r="M79" s="29" t="n">
        <x:v>7</x:v>
      </x:c>
      <x:c r="N79" s="29" t="n">
        <x:v>5</x:v>
      </x:c>
      <x:c r="S79" s="25" t="inlineStr">
        <x:is>
          <x:t xml:space="preserve">I. Lendl</x:t>
        </x:is>
      </x:c>
      <x:c r="T79" s="25" t="inlineStr">
        <x:is>
          <x:t xml:space="preserve">CZE</x:t>
        </x:is>
      </x:c>
      <x:c r="U79" s="25" t="inlineStr">
        <x:is>
          <x:t xml:space="preserve">Czechia</x:t>
        </x:is>
      </x:c>
      <x:c r="V79" s="7" t="n">
        <x:v>2</x:v>
      </x:c>
    </x:row>
    <x:row r="80">
      <x:c r="A80" t="n">
        <x:v>1986</x:v>
      </x:c>
      <x:c r="B80" s="25" t="inlineStr">
        <x:is>
          <x:t xml:space="preserve">Women's</x:t>
        </x:is>
      </x:c>
      <x:c r="C80" s="25" t="inlineStr">
        <x:is>
          <x:t xml:space="preserve">M. Navratilova</x:t>
        </x:is>
      </x:c>
      <x:c r="D80" s="25" t="inlineStr">
        <x:is>
          <x:t xml:space="preserve">USA</x:t>
        </x:is>
      </x:c>
      <x:c r="E80" s="25" t="inlineStr">
        <x:is>
          <x:t xml:space="preserve">United States</x:t>
        </x:is>
      </x:c>
      <x:c r="F80" s="7" t="n">
        <x:v>1</x:v>
      </x:c>
      <x:c r="G80" s="22" t="n">
        <x:v>72</x:v>
      </x:c>
      <x:c r="H80" s="22" t="inlineStr">
        <x:is>
          <x:t xml:space="preserve">7-6 (7-1), 6-3,</x:t>
        </x:is>
      </x:c>
      <x:c r="I80" s="22" t="n">
        <x:v>7</x:v>
      </x:c>
      <x:c r="J80" s="29" t="n">
        <x:v>6</x:v>
      </x:c>
      <x:c r="K80" s="29" t="n">
        <x:v>6</x:v>
      </x:c>
      <x:c r="L80" s="29" t="n">
        <x:v>3</x:v>
      </x:c>
      <x:c r="S80" s="25" t="inlineStr">
        <x:is>
          <x:t xml:space="preserve">H. Mandlikova</x:t>
        </x:is>
      </x:c>
      <x:c r="T80" s="25" t="inlineStr">
        <x:is>
          <x:t xml:space="preserve">CZE</x:t>
        </x:is>
      </x:c>
      <x:c r="U80" s="25" t="inlineStr">
        <x:is>
          <x:t xml:space="preserve">Czechia</x:t>
        </x:is>
      </x:c>
      <x:c r="V80" s="7" t="n">
        <x:v>3</x:v>
      </x:c>
    </x:row>
    <x:row r="81">
      <x:c r="A81" t="n">
        <x:v>1986</x:v>
      </x:c>
      <x:c r="B81" s="25" t="inlineStr">
        <x:is>
          <x:t xml:space="preserve">Men's</x:t>
        </x:is>
      </x:c>
      <x:c r="C81" s="25" t="inlineStr">
        <x:is>
          <x:t xml:space="preserve">B.F. Becker</x:t>
        </x:is>
      </x:c>
      <x:c r="D81" s="25" t="inlineStr">
        <x:is>
          <x:t xml:space="preserve">GER</x:t>
        </x:is>
      </x:c>
      <x:c r="E81" s="25" t="inlineStr">
        <x:is>
          <x:t xml:space="preserve">Germany</x:t>
        </x:is>
      </x:c>
      <x:c r="F81" s="7" t="n">
        <x:v>4</x:v>
      </x:c>
      <x:c r="G81" s="22" t="n">
        <x:v>122</x:v>
      </x:c>
      <x:c r="H81" s="22" t="inlineStr">
        <x:is>
          <x:t xml:space="preserve">6-4, 6-3, 7-5</x:t>
        </x:is>
      </x:c>
      <x:c r="I81" s="22" t="n">
        <x:v>6</x:v>
      </x:c>
      <x:c r="J81" s="29" t="n">
        <x:v>4</x:v>
      </x:c>
      <x:c r="K81" s="29" t="n">
        <x:v>6</x:v>
      </x:c>
      <x:c r="L81" s="29" t="n">
        <x:v>3</x:v>
      </x:c>
      <x:c r="M81" s="29" t="n">
        <x:v>7</x:v>
      </x:c>
      <x:c r="N81" s="29" t="n">
        <x:v>5</x:v>
      </x:c>
      <x:c r="S81" s="25" t="inlineStr">
        <x:is>
          <x:t xml:space="preserve">I. Lendl</x:t>
        </x:is>
      </x:c>
      <x:c r="T81" s="25" t="inlineStr">
        <x:is>
          <x:t xml:space="preserve">CZE</x:t>
        </x:is>
      </x:c>
      <x:c r="U81" s="25" t="inlineStr">
        <x:is>
          <x:t xml:space="preserve">Czechia</x:t>
        </x:is>
      </x:c>
      <x:c r="V81" s="7" t="n">
        <x:v>1</x:v>
      </x:c>
    </x:row>
    <x:row r="82">
      <x:c r="A82" t="n">
        <x:v>1985</x:v>
      </x:c>
      <x:c r="B82" s="25" t="inlineStr">
        <x:is>
          <x:t xml:space="preserve">Women's</x:t>
        </x:is>
      </x:c>
      <x:c r="C82" s="25" t="inlineStr">
        <x:is>
          <x:t xml:space="preserve">M. Navratilova</x:t>
        </x:is>
      </x:c>
      <x:c r="D82" s="25" t="inlineStr">
        <x:is>
          <x:t xml:space="preserve">USA</x:t>
        </x:is>
      </x:c>
      <x:c r="E82" s="25" t="inlineStr">
        <x:is>
          <x:t xml:space="preserve">United States</x:t>
        </x:is>
      </x:c>
      <x:c r="F82" s="7" t="n">
        <x:v>1</x:v>
      </x:c>
      <x:c r="G82" s="22" t="n">
        <x:v>107</x:v>
      </x:c>
      <x:c r="H82" s="22" t="inlineStr">
        <x:is>
          <x:t xml:space="preserve">4-6, 6-3, 6-2,</x:t>
        </x:is>
      </x:c>
      <x:c r="I82" s="22" t="n">
        <x:v>4</x:v>
      </x:c>
      <x:c r="J82" s="29" t="n">
        <x:v>6</x:v>
      </x:c>
      <x:c r="K82" s="29" t="n">
        <x:v>6</x:v>
      </x:c>
      <x:c r="L82" s="29" t="n">
        <x:v>3</x:v>
      </x:c>
      <x:c r="M82" s="29" t="n">
        <x:v>6</x:v>
      </x:c>
      <x:c r="N82" s="29" t="n">
        <x:v>2</x:v>
      </x:c>
      <x:c r="S82" s="25" t="inlineStr">
        <x:is>
          <x:t xml:space="preserve">J.M. Lloyd</x:t>
        </x:is>
      </x:c>
      <x:c r="T82" s="25" t="inlineStr">
        <x:is>
          <x:t xml:space="preserve">USA</x:t>
        </x:is>
      </x:c>
      <x:c r="U82" s="25" t="inlineStr">
        <x:is>
          <x:t xml:space="preserve">United States</x:t>
        </x:is>
      </x:c>
      <x:c r="V82" s="7" t="n">
        <x:v>1</x:v>
      </x:c>
    </x:row>
    <x:row r="83">
      <x:c r="A83" t="n">
        <x:v>1985</x:v>
      </x:c>
      <x:c r="B83" s="25" t="inlineStr">
        <x:is>
          <x:t xml:space="preserve">Men's</x:t>
        </x:is>
      </x:c>
      <x:c r="C83" s="25" t="inlineStr">
        <x:is>
          <x:t xml:space="preserve">B.F. Becker</x:t>
        </x:is>
      </x:c>
      <x:c r="D83" s="25" t="inlineStr">
        <x:is>
          <x:t xml:space="preserve">GER</x:t>
        </x:is>
      </x:c>
      <x:c r="E83" s="25" t="inlineStr">
        <x:is>
          <x:t xml:space="preserve">Germany</x:t>
        </x:is>
      </x:c>
      <x:c r="F83" s="7" t="inlineStr">
        <x:is>
          <x:t xml:space="preserve">U</x:t>
        </x:is>
      </x:c>
      <x:c r="G83" s="22" t="n">
        <x:v>198</x:v>
      </x:c>
      <x:c r="H83" s="22" t="inlineStr">
        <x:is>
          <x:t xml:space="preserve">6-3, 6-7 (4-7), 7-6 (7-3), 6-4</x:t>
        </x:is>
      </x:c>
      <x:c r="I83" s="22" t="n">
        <x:v>6</x:v>
      </x:c>
      <x:c r="J83" s="29" t="n">
        <x:v>3</x:v>
      </x:c>
      <x:c r="K83" s="29" t="n">
        <x:v>6</x:v>
      </x:c>
      <x:c r="L83" s="29" t="n">
        <x:v>7</x:v>
      </x:c>
      <x:c r="M83" s="29" t="n">
        <x:v>7</x:v>
      </x:c>
      <x:c r="N83" s="29" t="n">
        <x:v>6</x:v>
      </x:c>
      <x:c r="O83" s="29" t="n">
        <x:v>6</x:v>
      </x:c>
      <x:c r="P83" s="29" t="n">
        <x:v>4</x:v>
      </x:c>
      <x:c r="S83" s="25" t="inlineStr">
        <x:is>
          <x:t xml:space="preserve">K.M. Curren</x:t>
        </x:is>
      </x:c>
      <x:c r="T83" s="25" t="inlineStr">
        <x:is>
          <x:t xml:space="preserve">USA</x:t>
        </x:is>
      </x:c>
      <x:c r="U83" s="25" t="inlineStr">
        <x:is>
          <x:t xml:space="preserve">United States</x:t>
        </x:is>
      </x:c>
      <x:c r="V83" s="7" t="n">
        <x:v>8</x:v>
      </x:c>
    </x:row>
    <x:row r="84">
      <x:c r="A84" t="n">
        <x:v>1984</x:v>
      </x:c>
      <x:c r="B84" s="25" t="inlineStr">
        <x:is>
          <x:t xml:space="preserve">Women's</x:t>
        </x:is>
      </x:c>
      <x:c r="C84" s="25" t="inlineStr">
        <x:is>
          <x:t xml:space="preserve">M. Navratilova</x:t>
        </x:is>
      </x:c>
      <x:c r="D84" s="25" t="inlineStr">
        <x:is>
          <x:t xml:space="preserve">USA</x:t>
        </x:is>
      </x:c>
      <x:c r="E84" s="25" t="inlineStr">
        <x:is>
          <x:t xml:space="preserve">United States</x:t>
        </x:is>
      </x:c>
      <x:c r="F84" s="7" t="n">
        <x:v>1</x:v>
      </x:c>
      <x:c r="G84" s="22" t="n">
        <x:v>84</x:v>
      </x:c>
      <x:c r="H84" s="22" t="inlineStr">
        <x:is>
          <x:t xml:space="preserve">7-6 (7-5), 6-2,</x:t>
        </x:is>
      </x:c>
      <x:c r="I84" s="22" t="n">
        <x:v>7</x:v>
      </x:c>
      <x:c r="J84" s="29" t="n">
        <x:v>6</x:v>
      </x:c>
      <x:c r="K84" s="29" t="n">
        <x:v>6</x:v>
      </x:c>
      <x:c r="L84" s="29" t="n">
        <x:v>2</x:v>
      </x:c>
      <x:c r="S84" s="25" t="inlineStr">
        <x:is>
          <x:t xml:space="preserve">J.M. Lloyd</x:t>
        </x:is>
      </x:c>
      <x:c r="T84" s="25" t="inlineStr">
        <x:is>
          <x:t xml:space="preserve">USA</x:t>
        </x:is>
      </x:c>
      <x:c r="U84" s="25" t="inlineStr">
        <x:is>
          <x:t xml:space="preserve">United States</x:t>
        </x:is>
      </x:c>
      <x:c r="V84" s="7" t="n">
        <x:v>2</x:v>
      </x:c>
    </x:row>
    <x:row r="85">
      <x:c r="A85" t="n">
        <x:v>1984</x:v>
      </x:c>
      <x:c r="B85" s="25" t="inlineStr">
        <x:is>
          <x:t xml:space="preserve">Men's</x:t>
        </x:is>
      </x:c>
      <x:c r="C85" s="25" t="inlineStr">
        <x:is>
          <x:t xml:space="preserve">J.P. McEnroe</x:t>
        </x:is>
      </x:c>
      <x:c r="D85" s="25" t="inlineStr">
        <x:is>
          <x:t xml:space="preserve">USA</x:t>
        </x:is>
      </x:c>
      <x:c r="E85" s="25" t="inlineStr">
        <x:is>
          <x:t xml:space="preserve">United States</x:t>
        </x:is>
      </x:c>
      <x:c r="F85" s="7" t="n">
        <x:v>1</x:v>
      </x:c>
      <x:c r="G85" s="22" t="n">
        <x:v>80</x:v>
      </x:c>
      <x:c r="H85" s="22" t="inlineStr">
        <x:is>
          <x:t xml:space="preserve">6-1, 6-1, 6-2</x:t>
        </x:is>
      </x:c>
      <x:c r="I85" s="22" t="n">
        <x:v>6</x:v>
      </x:c>
      <x:c r="J85" s="29" t="n">
        <x:v>1</x:v>
      </x:c>
      <x:c r="K85" s="29" t="n">
        <x:v>6</x:v>
      </x:c>
      <x:c r="L85" s="29" t="n">
        <x:v>1</x:v>
      </x:c>
      <x:c r="M85" s="29" t="n">
        <x:v>6</x:v>
      </x:c>
      <x:c r="N85" s="29" t="n">
        <x:v>2</x:v>
      </x:c>
      <x:c r="S85" s="25" t="inlineStr">
        <x:is>
          <x:t xml:space="preserve">J.S. Connors</x:t>
        </x:is>
      </x:c>
      <x:c r="T85" s="25" t="inlineStr">
        <x:is>
          <x:t xml:space="preserve">USA</x:t>
        </x:is>
      </x:c>
      <x:c r="U85" s="25" t="inlineStr">
        <x:is>
          <x:t xml:space="preserve">United States</x:t>
        </x:is>
      </x:c>
      <x:c r="V85" s="7" t="n">
        <x:v>3</x:v>
      </x:c>
    </x:row>
    <x:row r="86">
      <x:c r="A86" t="n">
        <x:v>1983</x:v>
      </x:c>
      <x:c r="B86" s="25" t="inlineStr">
        <x:is>
          <x:t xml:space="preserve">Women's</x:t>
        </x:is>
      </x:c>
      <x:c r="C86" s="25" t="inlineStr">
        <x:is>
          <x:t xml:space="preserve">M. Navratilova</x:t>
        </x:is>
      </x:c>
      <x:c r="D86" s="25" t="inlineStr">
        <x:is>
          <x:t xml:space="preserve">USA</x:t>
        </x:is>
      </x:c>
      <x:c r="E86" s="25" t="inlineStr">
        <x:is>
          <x:t xml:space="preserve">United States</x:t>
        </x:is>
      </x:c>
      <x:c r="F86" s="7" t="n">
        <x:v>1</x:v>
      </x:c>
      <x:c r="G86" s="22" t="n">
        <x:v>54</x:v>
      </x:c>
      <x:c r="H86" s="22" t="inlineStr">
        <x:is>
          <x:t xml:space="preserve">6-0, 6-3,</x:t>
        </x:is>
      </x:c>
      <x:c r="I86" s="22" t="n">
        <x:v>6</x:v>
      </x:c>
      <x:c r="J86" s="29" t="n">
        <x:v>0</x:v>
      </x:c>
      <x:c r="K86" s="29" t="n">
        <x:v>6</x:v>
      </x:c>
      <x:c r="L86" s="29" t="n">
        <x:v>3</x:v>
      </x:c>
      <x:c r="S86" s="25" t="inlineStr">
        <x:is>
          <x:t xml:space="preserve">A. Jaeger</x:t>
        </x:is>
      </x:c>
      <x:c r="T86" s="25" t="inlineStr">
        <x:is>
          <x:t xml:space="preserve">USA</x:t>
        </x:is>
      </x:c>
      <x:c r="U86" s="25" t="inlineStr">
        <x:is>
          <x:t xml:space="preserve">United States</x:t>
        </x:is>
      </x:c>
      <x:c r="V86" s="7" t="n">
        <x:v>3</x:v>
      </x:c>
    </x:row>
    <x:row r="87">
      <x:c r="A87" t="n">
        <x:v>1983</x:v>
      </x:c>
      <x:c r="B87" s="25" t="inlineStr">
        <x:is>
          <x:t xml:space="preserve">Men's</x:t>
        </x:is>
      </x:c>
      <x:c r="C87" s="25" t="inlineStr">
        <x:is>
          <x:t xml:space="preserve">J.P. McEnroe</x:t>
        </x:is>
      </x:c>
      <x:c r="D87" s="25" t="inlineStr">
        <x:is>
          <x:t xml:space="preserve">USA</x:t>
        </x:is>
      </x:c>
      <x:c r="E87" s="25" t="inlineStr">
        <x:is>
          <x:t xml:space="preserve">United States</x:t>
        </x:is>
      </x:c>
      <x:c r="F87" s="7" t="n">
        <x:v>2</x:v>
      </x:c>
      <x:c r="G87" s="22" t="n">
        <x:v>85</x:v>
      </x:c>
      <x:c r="H87" s="22" t="inlineStr">
        <x:is>
          <x:t xml:space="preserve">6-2, 6-2, 6-2</x:t>
        </x:is>
      </x:c>
      <x:c r="I87" s="22" t="n">
        <x:v>6</x:v>
      </x:c>
      <x:c r="J87" s="29" t="n">
        <x:v>2</x:v>
      </x:c>
      <x:c r="K87" s="29" t="n">
        <x:v>6</x:v>
      </x:c>
      <x:c r="L87" s="29" t="n">
        <x:v>2</x:v>
      </x:c>
      <x:c r="M87" s="29" t="n">
        <x:v>6</x:v>
      </x:c>
      <x:c r="N87" s="29" t="n">
        <x:v>2</x:v>
      </x:c>
      <x:c r="S87" s="25" t="inlineStr">
        <x:is>
          <x:t xml:space="preserve">C.J. Lewis</x:t>
        </x:is>
      </x:c>
      <x:c r="T87" s="25" t="inlineStr">
        <x:is>
          <x:t xml:space="preserve">NZL</x:t>
        </x:is>
      </x:c>
      <x:c r="U87" s="25" t="inlineStr">
        <x:is>
          <x:t xml:space="preserve">New Zealand</x:t>
        </x:is>
      </x:c>
      <x:c r="V87" s="7" t="inlineStr">
        <x:is>
          <x:t xml:space="preserve">U</x:t>
        </x:is>
      </x:c>
    </x:row>
    <x:row r="88">
      <x:c r="A88" t="n">
        <x:v>1982</x:v>
      </x:c>
      <x:c r="B88" s="25" t="inlineStr">
        <x:is>
          <x:t xml:space="preserve">Women's</x:t>
        </x:is>
      </x:c>
      <x:c r="C88" s="25" t="inlineStr">
        <x:is>
          <x:t xml:space="preserve">M. Navratilova</x:t>
        </x:is>
      </x:c>
      <x:c r="D88" s="25" t="inlineStr">
        <x:is>
          <x:t xml:space="preserve">USA</x:t>
        </x:is>
      </x:c>
      <x:c r="E88" s="25" t="inlineStr">
        <x:is>
          <x:t xml:space="preserve">United States</x:t>
        </x:is>
      </x:c>
      <x:c r="F88" s="7" t="n">
        <x:v>1</x:v>
      </x:c>
      <x:c r="G88" s="22" t="n">
        <x:v>87</x:v>
      </x:c>
      <x:c r="H88" s="22" t="inlineStr">
        <x:is>
          <x:t xml:space="preserve">6-1, 3-6, 6-2,</x:t>
        </x:is>
      </x:c>
      <x:c r="I88" s="22" t="n">
        <x:v>6</x:v>
      </x:c>
      <x:c r="J88" s="29" t="n">
        <x:v>1</x:v>
      </x:c>
      <x:c r="K88" s="29" t="n">
        <x:v>3</x:v>
      </x:c>
      <x:c r="L88" s="29" t="n">
        <x:v>6</x:v>
      </x:c>
      <x:c r="M88" s="29" t="n">
        <x:v>6</x:v>
      </x:c>
      <x:c r="N88" s="29" t="n">
        <x:v>2</x:v>
      </x:c>
      <x:c r="S88" s="25" t="inlineStr">
        <x:is>
          <x:t xml:space="preserve">J.M. Lloyd</x:t>
        </x:is>
      </x:c>
      <x:c r="T88" s="25" t="inlineStr">
        <x:is>
          <x:t xml:space="preserve">USA</x:t>
        </x:is>
      </x:c>
      <x:c r="U88" s="25" t="inlineStr">
        <x:is>
          <x:t xml:space="preserve">United States</x:t>
        </x:is>
      </x:c>
      <x:c r="V88" s="7" t="n">
        <x:v>2</x:v>
      </x:c>
    </x:row>
    <x:row r="89">
      <x:c r="A89" t="n">
        <x:v>1982</x:v>
      </x:c>
      <x:c r="B89" s="25" t="inlineStr">
        <x:is>
          <x:t xml:space="preserve">Men's</x:t>
        </x:is>
      </x:c>
      <x:c r="C89" s="25" t="inlineStr">
        <x:is>
          <x:t xml:space="preserve">J.S. Connors</x:t>
        </x:is>
      </x:c>
      <x:c r="D89" s="25" t="inlineStr">
        <x:is>
          <x:t xml:space="preserve">USA</x:t>
        </x:is>
      </x:c>
      <x:c r="E89" s="25" t="inlineStr">
        <x:is>
          <x:t xml:space="preserve">United States</x:t>
        </x:is>
      </x:c>
      <x:c r="F89" s="7" t="n">
        <x:v>2</x:v>
      </x:c>
      <x:c r="G89" s="22" t="n">
        <x:v>256</x:v>
      </x:c>
      <x:c r="H89" s="22" t="inlineStr">
        <x:is>
          <x:t xml:space="preserve">3-6, 6-3, 6-7 (2-7), 7-6 (7-5), 6-4</x:t>
        </x:is>
      </x:c>
      <x:c r="I89" s="22" t="n">
        <x:v>3</x:v>
      </x:c>
      <x:c r="J89" s="29" t="n">
        <x:v>6</x:v>
      </x:c>
      <x:c r="K89" s="29" t="n">
        <x:v>6</x:v>
      </x:c>
      <x:c r="L89" s="29" t="n">
        <x:v>3</x:v>
      </x:c>
      <x:c r="M89" s="29" t="n">
        <x:v>6</x:v>
      </x:c>
      <x:c r="N89" s="29" t="n">
        <x:v>7</x:v>
      </x:c>
      <x:c r="O89" s="29" t="n">
        <x:v>7</x:v>
      </x:c>
      <x:c r="P89" s="29" t="n">
        <x:v>6</x:v>
      </x:c>
      <x:c r="Q89" s="22" t="n">
        <x:v>6</x:v>
      </x:c>
      <x:c r="R89" s="29" t="n">
        <x:v>4</x:v>
      </x:c>
      <x:c r="S89" s="25" t="inlineStr">
        <x:is>
          <x:t xml:space="preserve">J.P. McEnroe</x:t>
        </x:is>
      </x:c>
      <x:c r="T89" s="25" t="inlineStr">
        <x:is>
          <x:t xml:space="preserve">USA</x:t>
        </x:is>
      </x:c>
      <x:c r="U89" s="25" t="inlineStr">
        <x:is>
          <x:t xml:space="preserve">United States</x:t>
        </x:is>
      </x:c>
      <x:c r="V89" s="7" t="n">
        <x:v>1</x:v>
      </x:c>
    </x:row>
    <x:row r="90">
      <x:c r="A90" t="n">
        <x:v>1981</x:v>
      </x:c>
      <x:c r="B90" s="25" t="inlineStr">
        <x:is>
          <x:t xml:space="preserve">Women's</x:t>
        </x:is>
      </x:c>
      <x:c r="C90" s="25" t="inlineStr">
        <x:is>
          <x:t xml:space="preserve">J.M. Lloyd</x:t>
        </x:is>
      </x:c>
      <x:c r="D90" s="25" t="inlineStr">
        <x:is>
          <x:t xml:space="preserve">USA</x:t>
        </x:is>
      </x:c>
      <x:c r="E90" s="25" t="inlineStr">
        <x:is>
          <x:t xml:space="preserve">United States</x:t>
        </x:is>
      </x:c>
      <x:c r="F90" s="7" t="n">
        <x:v>1</x:v>
      </x:c>
      <x:c r="G90" s="22" t="n">
        <x:v>60</x:v>
      </x:c>
      <x:c r="H90" s="22" t="inlineStr">
        <x:is>
          <x:t xml:space="preserve">6-2, 6-2,</x:t>
        </x:is>
      </x:c>
      <x:c r="I90" s="22" t="n">
        <x:v>6</x:v>
      </x:c>
      <x:c r="J90" s="29" t="n">
        <x:v>2</x:v>
      </x:c>
      <x:c r="K90" s="29" t="n">
        <x:v>6</x:v>
      </x:c>
      <x:c r="L90" s="29" t="n">
        <x:v>2</x:v>
      </x:c>
      <x:c r="S90" s="25" t="inlineStr">
        <x:is>
          <x:t xml:space="preserve">H. Mandlikova</x:t>
        </x:is>
      </x:c>
      <x:c r="T90" s="25" t="inlineStr">
        <x:is>
          <x:t xml:space="preserve">CZE</x:t>
        </x:is>
      </x:c>
      <x:c r="U90" s="25" t="inlineStr">
        <x:is>
          <x:t xml:space="preserve">Czechia</x:t>
        </x:is>
      </x:c>
      <x:c r="V90" s="7" t="n">
        <x:v>2</x:v>
      </x:c>
    </x:row>
    <x:row r="91">
      <x:c r="A91" t="n">
        <x:v>1981</x:v>
      </x:c>
      <x:c r="B91" s="25" t="inlineStr">
        <x:is>
          <x:t xml:space="preserve">Men's</x:t>
        </x:is>
      </x:c>
      <x:c r="C91" s="25" t="inlineStr">
        <x:is>
          <x:t xml:space="preserve">J.P. McEnroe</x:t>
        </x:is>
      </x:c>
      <x:c r="D91" s="25" t="inlineStr">
        <x:is>
          <x:t xml:space="preserve">USA</x:t>
        </x:is>
      </x:c>
      <x:c r="E91" s="25" t="inlineStr">
        <x:is>
          <x:t xml:space="preserve">United States</x:t>
        </x:is>
      </x:c>
      <x:c r="F91" s="7" t="n">
        <x:v>2</x:v>
      </x:c>
      <x:c r="G91" s="22" t="n">
        <x:v>202</x:v>
      </x:c>
      <x:c r="H91" s="22" t="inlineStr">
        <x:is>
          <x:t xml:space="preserve">4-6, 7-6 (7-1), 7-6 (7-4), 6-4</x:t>
        </x:is>
      </x:c>
      <x:c r="I91" s="22" t="n">
        <x:v>4</x:v>
      </x:c>
      <x:c r="J91" s="29" t="n">
        <x:v>6</x:v>
      </x:c>
      <x:c r="K91" s="29" t="n">
        <x:v>7</x:v>
      </x:c>
      <x:c r="L91" s="29" t="n">
        <x:v>6</x:v>
      </x:c>
      <x:c r="M91" s="29" t="n">
        <x:v>7</x:v>
      </x:c>
      <x:c r="N91" s="29" t="n">
        <x:v>6</x:v>
      </x:c>
      <x:c r="O91" s="29" t="n">
        <x:v>6</x:v>
      </x:c>
      <x:c r="P91" s="29" t="n">
        <x:v>4</x:v>
      </x:c>
      <x:c r="S91" s="25" t="inlineStr">
        <x:is>
          <x:t xml:space="preserve">B.R. Borg</x:t>
        </x:is>
      </x:c>
      <x:c r="T91" s="25" t="inlineStr">
        <x:is>
          <x:t xml:space="preserve">SWE</x:t>
        </x:is>
      </x:c>
      <x:c r="U91" s="25" t="inlineStr">
        <x:is>
          <x:t xml:space="preserve">Sweden</x:t>
        </x:is>
      </x:c>
      <x:c r="V91" s="7" t="n">
        <x:v>1</x:v>
      </x:c>
    </x:row>
    <x:row r="92">
      <x:c r="A92" t="n">
        <x:v>1980</x:v>
      </x:c>
      <x:c r="B92" s="25" t="inlineStr">
        <x:is>
          <x:t xml:space="preserve">Women's</x:t>
        </x:is>
      </x:c>
      <x:c r="C92" s="25" t="inlineStr">
        <x:is>
          <x:t xml:space="preserve">R.A. Cawley</x:t>
        </x:is>
      </x:c>
      <x:c r="D92" s="25" t="inlineStr">
        <x:is>
          <x:t xml:space="preserve">AUS</x:t>
        </x:is>
      </x:c>
      <x:c r="E92" s="25" t="inlineStr">
        <x:is>
          <x:t xml:space="preserve">Australia</x:t>
        </x:is>
      </x:c>
      <x:c r="F92" s="7" t="n">
        <x:v>4</x:v>
      </x:c>
      <x:c r="G92" s="22" t="n">
        <x:v>93</x:v>
      </x:c>
      <x:c r="H92" s="22" t="inlineStr">
        <x:is>
          <x:t xml:space="preserve">6-1, 7-6 (7-4)</x:t>
        </x:is>
      </x:c>
      <x:c r="I92" s="22" t="n">
        <x:v>6</x:v>
      </x:c>
      <x:c r="J92" s="29" t="n">
        <x:v>1</x:v>
      </x:c>
      <x:c r="K92" s="29" t="n">
        <x:v>7</x:v>
      </x:c>
      <x:c r="L92" s="29" t="n">
        <x:v>6</x:v>
      </x:c>
      <x:c r="S92" s="25" t="inlineStr">
        <x:is>
          <x:t xml:space="preserve">J.M. Lloyd</x:t>
        </x:is>
      </x:c>
      <x:c r="T92" s="25" t="inlineStr">
        <x:is>
          <x:t xml:space="preserve">USA</x:t>
        </x:is>
      </x:c>
      <x:c r="U92" s="25" t="inlineStr">
        <x:is>
          <x:t xml:space="preserve">United States</x:t>
        </x:is>
      </x:c>
      <x:c r="V92" s="7" t="n">
        <x:v>3</x:v>
      </x:c>
    </x:row>
    <x:row r="93">
      <x:c r="A93" t="n">
        <x:v>1980</x:v>
      </x:c>
      <x:c r="B93" s="25" t="inlineStr">
        <x:is>
          <x:t xml:space="preserve">Men's</x:t>
        </x:is>
      </x:c>
      <x:c r="C93" s="25" t="inlineStr">
        <x:is>
          <x:t xml:space="preserve">B.R. Borg</x:t>
        </x:is>
      </x:c>
      <x:c r="D93" s="25" t="inlineStr">
        <x:is>
          <x:t xml:space="preserve">SWE</x:t>
        </x:is>
      </x:c>
      <x:c r="E93" s="25" t="inlineStr">
        <x:is>
          <x:t xml:space="preserve">Sweden</x:t>
        </x:is>
      </x:c>
      <x:c r="F93" s="7" t="n">
        <x:v>1</x:v>
      </x:c>
      <x:c r="G93" s="22" t="n">
        <x:v>233</x:v>
      </x:c>
      <x:c r="H93" s="22" t="inlineStr">
        <x:is>
          <x:t xml:space="preserve">1-6, 7-5, 6-3, 6-7 (16-18), 8-6</x:t>
        </x:is>
      </x:c>
      <x:c r="I93" s="22" t="n">
        <x:v>1</x:v>
      </x:c>
      <x:c r="J93" s="29" t="n">
        <x:v>6</x:v>
      </x:c>
      <x:c r="K93" s="29" t="n">
        <x:v>7</x:v>
      </x:c>
      <x:c r="L93" s="29" t="n">
        <x:v>5</x:v>
      </x:c>
      <x:c r="M93" s="29" t="n">
        <x:v>6</x:v>
      </x:c>
      <x:c r="N93" s="29" t="n">
        <x:v>3</x:v>
      </x:c>
      <x:c r="O93" s="29" t="n">
        <x:v>6</x:v>
      </x:c>
      <x:c r="P93" s="29" t="n">
        <x:v>7</x:v>
      </x:c>
      <x:c r="Q93" s="22" t="n">
        <x:v>8</x:v>
      </x:c>
      <x:c r="R93" s="29" t="n">
        <x:v>6</x:v>
      </x:c>
      <x:c r="S93" s="25" t="inlineStr">
        <x:is>
          <x:t xml:space="preserve">J.P. McEnroe</x:t>
        </x:is>
      </x:c>
      <x:c r="T93" s="25" t="inlineStr">
        <x:is>
          <x:t xml:space="preserve">USA</x:t>
        </x:is>
      </x:c>
      <x:c r="U93" s="25" t="inlineStr">
        <x:is>
          <x:t xml:space="preserve">United States</x:t>
        </x:is>
      </x:c>
      <x:c r="V93" s="7" t="n">
        <x:v>2</x:v>
      </x:c>
    </x:row>
    <x:row r="94">
      <x:c r="A94" t="n">
        <x:v>1979</x:v>
      </x:c>
      <x:c r="B94" s="25" t="inlineStr">
        <x:is>
          <x:t xml:space="preserve">Women's</x:t>
        </x:is>
      </x:c>
      <x:c r="C94" s="25" t="inlineStr">
        <x:is>
          <x:t xml:space="preserve">M. Navratilova</x:t>
        </x:is>
      </x:c>
      <x:c r="D94" s="25" t="inlineStr">
        <x:is>
          <x:t xml:space="preserve">USA</x:t>
        </x:is>
      </x:c>
      <x:c r="E94" s="25" t="inlineStr">
        <x:is>
          <x:t xml:space="preserve">United States</x:t>
        </x:is>
      </x:c>
      <x:c r="F94" s="7" t="n">
        <x:v>1</x:v>
      </x:c>
      <x:c r="G94" s="22" t="n">
        <x:v>60</x:v>
      </x:c>
      <x:c r="H94" s="22" t="inlineStr">
        <x:is>
          <x:t xml:space="preserve">6-4, 6-4,</x:t>
        </x:is>
      </x:c>
      <x:c r="I94" s="22" t="n">
        <x:v>6</x:v>
      </x:c>
      <x:c r="J94" s="29" t="n">
        <x:v>4</x:v>
      </x:c>
      <x:c r="K94" s="29" t="n">
        <x:v>6</x:v>
      </x:c>
      <x:c r="L94" s="29" t="n">
        <x:v>4</x:v>
      </x:c>
      <x:c r="S94" s="25" t="inlineStr">
        <x:is>
          <x:t xml:space="preserve">J.M. Lloyd</x:t>
        </x:is>
      </x:c>
      <x:c r="T94" s="25" t="inlineStr">
        <x:is>
          <x:t xml:space="preserve">USA</x:t>
        </x:is>
      </x:c>
      <x:c r="U94" s="25" t="inlineStr">
        <x:is>
          <x:t xml:space="preserve">United States</x:t>
        </x:is>
      </x:c>
      <x:c r="V94" s="7" t="n">
        <x:v>2</x:v>
      </x:c>
    </x:row>
    <x:row r="95">
      <x:c r="A95" t="n">
        <x:v>1979</x:v>
      </x:c>
      <x:c r="B95" s="25" t="inlineStr">
        <x:is>
          <x:t xml:space="preserve">Men's</x:t>
        </x:is>
      </x:c>
      <x:c r="C95" s="25" t="inlineStr">
        <x:is>
          <x:t xml:space="preserve">B.R. Borg</x:t>
        </x:is>
      </x:c>
      <x:c r="D95" s="25" t="inlineStr">
        <x:is>
          <x:t xml:space="preserve">SWE</x:t>
        </x:is>
      </x:c>
      <x:c r="E95" s="25" t="inlineStr">
        <x:is>
          <x:t xml:space="preserve">Sweden</x:t>
        </x:is>
      </x:c>
      <x:c r="F95" s="7" t="n">
        <x:v>1</x:v>
      </x:c>
      <x:c r="G95" s="22" t="n">
        <x:v>169</x:v>
      </x:c>
      <x:c r="H95" s="22" t="inlineStr">
        <x:is>
          <x:t xml:space="preserve">6-7(4-7), 6-1, 3-6, 6-3, 6-4</x:t>
        </x:is>
      </x:c>
      <x:c r="I95" s="22" t="n">
        <x:v>6</x:v>
      </x:c>
      <x:c r="J95" s="29" t="n">
        <x:v>7</x:v>
      </x:c>
      <x:c r="K95" s="29" t="n">
        <x:v>6</x:v>
      </x:c>
      <x:c r="L95" s="29" t="n">
        <x:v>1</x:v>
      </x:c>
      <x:c r="M95" s="29" t="n">
        <x:v>3</x:v>
      </x:c>
      <x:c r="N95" s="29" t="n">
        <x:v>6</x:v>
      </x:c>
      <x:c r="O95" s="29" t="n">
        <x:v>6</x:v>
      </x:c>
      <x:c r="P95" s="29" t="n">
        <x:v>3</x:v>
      </x:c>
      <x:c r="Q95" s="22" t="n">
        <x:v>6</x:v>
      </x:c>
      <x:c r="R95" s="29" t="n">
        <x:v>4</x:v>
      </x:c>
      <x:c r="S95" s="25" t="inlineStr">
        <x:is>
          <x:t xml:space="preserve">R. Tanner</x:t>
        </x:is>
      </x:c>
      <x:c r="T95" s="25" t="inlineStr">
        <x:is>
          <x:t xml:space="preserve">USA</x:t>
        </x:is>
      </x:c>
      <x:c r="U95" s="25" t="inlineStr">
        <x:is>
          <x:t xml:space="preserve">United States</x:t>
        </x:is>
      </x:c>
      <x:c r="V95" s="7" t="n">
        <x:v>5</x:v>
      </x:c>
    </x:row>
    <x:row r="96">
      <x:c r="A96" t="n">
        <x:v>1978</x:v>
      </x:c>
      <x:c r="B96" s="25" t="inlineStr">
        <x:is>
          <x:t xml:space="preserve">Women's</x:t>
        </x:is>
      </x:c>
      <x:c r="C96" s="25" t="inlineStr">
        <x:is>
          <x:t xml:space="preserve">M. Navratilova</x:t>
        </x:is>
      </x:c>
      <x:c r="D96" s="25" t="inlineStr">
        <x:is>
          <x:t xml:space="preserve">USA</x:t>
        </x:is>
      </x:c>
      <x:c r="E96" s="25" t="inlineStr">
        <x:is>
          <x:t xml:space="preserve">United States</x:t>
        </x:is>
      </x:c>
      <x:c r="F96" s="7" t="n">
        <x:v>2</x:v>
      </x:c>
      <x:c r="G96" s="22" t="n">
        <x:v>102</x:v>
      </x:c>
      <x:c r="H96" s="22" t="inlineStr">
        <x:is>
          <x:t xml:space="preserve">2-6, 6-4, 7-5,</x:t>
        </x:is>
      </x:c>
      <x:c r="I96" s="22" t="n">
        <x:v>2</x:v>
      </x:c>
      <x:c r="J96" s="29" t="n">
        <x:v>6</x:v>
      </x:c>
      <x:c r="K96" s="29" t="n">
        <x:v>6</x:v>
      </x:c>
      <x:c r="L96" s="29" t="n">
        <x:v>4</x:v>
      </x:c>
      <x:c r="M96" s="29" t="n">
        <x:v>7</x:v>
      </x:c>
      <x:c r="N96" s="29" t="n">
        <x:v>5</x:v>
      </x:c>
      <x:c r="S96" s="25" t="inlineStr">
        <x:is>
          <x:t xml:space="preserve">C.M. Evert</x:t>
        </x:is>
      </x:c>
      <x:c r="T96" s="25" t="inlineStr">
        <x:is>
          <x:t xml:space="preserve">USA</x:t>
        </x:is>
      </x:c>
      <x:c r="U96" s="25" t="inlineStr">
        <x:is>
          <x:t xml:space="preserve">United States</x:t>
        </x:is>
      </x:c>
      <x:c r="V96" s="7" t="n">
        <x:v>1</x:v>
      </x:c>
    </x:row>
    <x:row r="97">
      <x:c r="A97" t="n">
        <x:v>1978</x:v>
      </x:c>
      <x:c r="B97" s="25" t="inlineStr">
        <x:is>
          <x:t xml:space="preserve">Men's</x:t>
        </x:is>
      </x:c>
      <x:c r="C97" s="25" t="inlineStr">
        <x:is>
          <x:t xml:space="preserve">B.R. Borg</x:t>
        </x:is>
      </x:c>
      <x:c r="D97" s="25" t="inlineStr">
        <x:is>
          <x:t xml:space="preserve">SWE</x:t>
        </x:is>
      </x:c>
      <x:c r="E97" s="25" t="inlineStr">
        <x:is>
          <x:t xml:space="preserve">Sweden</x:t>
        </x:is>
      </x:c>
      <x:c r="F97" s="7" t="n">
        <x:v>1</x:v>
      </x:c>
      <x:c r="G97" s="22" t="n">
        <x:v>108</x:v>
      </x:c>
      <x:c r="H97" s="22" t="inlineStr">
        <x:is>
          <x:t xml:space="preserve">6-2, 6-2, 6-3</x:t>
        </x:is>
      </x:c>
      <x:c r="I97" s="22" t="n">
        <x:v>6</x:v>
      </x:c>
      <x:c r="J97" s="29" t="n">
        <x:v>2</x:v>
      </x:c>
      <x:c r="K97" s="29" t="n">
        <x:v>6</x:v>
      </x:c>
      <x:c r="L97" s="29" t="n">
        <x:v>2</x:v>
      </x:c>
      <x:c r="M97" s="29" t="n">
        <x:v>6</x:v>
      </x:c>
      <x:c r="N97" s="29" t="n">
        <x:v>3</x:v>
      </x:c>
      <x:c r="S97" s="25" t="inlineStr">
        <x:is>
          <x:t xml:space="preserve">J.S. Connors</x:t>
        </x:is>
      </x:c>
      <x:c r="T97" s="25" t="inlineStr">
        <x:is>
          <x:t xml:space="preserve">USA</x:t>
        </x:is>
      </x:c>
      <x:c r="U97" s="25" t="inlineStr">
        <x:is>
          <x:t xml:space="preserve">United States</x:t>
        </x:is>
      </x:c>
      <x:c r="V97" s="7" t="n">
        <x:v>2</x:v>
      </x:c>
    </x:row>
    <x:row r="98">
      <x:c r="A98" t="n">
        <x:v>1977</x:v>
      </x:c>
      <x:c r="B98" s="25" t="inlineStr">
        <x:is>
          <x:t xml:space="preserve">Women's</x:t>
        </x:is>
      </x:c>
      <x:c r="C98" s="25" t="inlineStr">
        <x:is>
          <x:t xml:space="preserve">S.V. Wade</x:t>
        </x:is>
      </x:c>
      <x:c r="D98" s="25" t="inlineStr">
        <x:is>
          <x:t xml:space="preserve">GBR</x:t>
        </x:is>
      </x:c>
      <x:c r="E98" s="25" t="inlineStr">
        <x:is>
          <x:t xml:space="preserve">United Kingdom</x:t>
        </x:is>
      </x:c>
      <x:c r="F98" s="7" t="n">
        <x:v>3</x:v>
      </x:c>
      <x:c r="G98" s="22" t="n">
        <x:v>98</x:v>
      </x:c>
      <x:c r="H98" s="22" t="inlineStr">
        <x:is>
          <x:t xml:space="preserve">4-6, 6-3, 6-1,</x:t>
        </x:is>
      </x:c>
      <x:c r="I98" s="22" t="n">
        <x:v>4</x:v>
      </x:c>
      <x:c r="J98" s="29" t="n">
        <x:v>6</x:v>
      </x:c>
      <x:c r="K98" s="29" t="n">
        <x:v>6</x:v>
      </x:c>
      <x:c r="L98" s="29" t="n">
        <x:v>3</x:v>
      </x:c>
      <x:c r="M98" s="29" t="n">
        <x:v>6</x:v>
      </x:c>
      <x:c r="N98" s="29" t="n">
        <x:v>1</x:v>
      </x:c>
      <x:c r="S98" s="25" t="inlineStr">
        <x:is>
          <x:t xml:space="preserve">B.F. Stove</x:t>
        </x:is>
      </x:c>
      <x:c r="T98" s="25" t="inlineStr">
        <x:is>
          <x:t xml:space="preserve">NED</x:t>
        </x:is>
      </x:c>
      <x:c r="U98" s="25" t="inlineStr">
        <x:is>
          <x:t xml:space="preserve">Netherlands</x:t>
        </x:is>
      </x:c>
      <x:c r="V98" s="7" t="n">
        <x:v>7</x:v>
      </x:c>
    </x:row>
    <x:row r="99">
      <x:c r="A99" t="n">
        <x:v>1977</x:v>
      </x:c>
      <x:c r="B99" s="25" t="inlineStr">
        <x:is>
          <x:t xml:space="preserve">Men's</x:t>
        </x:is>
      </x:c>
      <x:c r="C99" s="25" t="inlineStr">
        <x:is>
          <x:t xml:space="preserve">B.R. Borg</x:t>
        </x:is>
      </x:c>
      <x:c r="D99" s="25" t="inlineStr">
        <x:is>
          <x:t xml:space="preserve">SWE</x:t>
        </x:is>
      </x:c>
      <x:c r="E99" s="25" t="inlineStr">
        <x:is>
          <x:t xml:space="preserve">Sweden</x:t>
        </x:is>
      </x:c>
      <x:c r="F99" s="7" t="n">
        <x:v>2</x:v>
      </x:c>
      <x:c r="G99" s="22" t="n">
        <x:v>194</x:v>
      </x:c>
      <x:c r="H99" s="22" t="inlineStr">
        <x:is>
          <x:t xml:space="preserve">3-6, 6-2, 6-1, 5-7, 6-4</x:t>
        </x:is>
      </x:c>
      <x:c r="I99" s="22" t="n">
        <x:v>3</x:v>
      </x:c>
      <x:c r="J99" s="29" t="n">
        <x:v>6</x:v>
      </x:c>
      <x:c r="K99" s="29" t="n">
        <x:v>6</x:v>
      </x:c>
      <x:c r="L99" s="29" t="n">
        <x:v>2</x:v>
      </x:c>
      <x:c r="M99" s="29" t="n">
        <x:v>6</x:v>
      </x:c>
      <x:c r="N99" s="29" t="n">
        <x:v>1</x:v>
      </x:c>
      <x:c r="O99" s="29" t="n">
        <x:v>5</x:v>
      </x:c>
      <x:c r="P99" s="29" t="n">
        <x:v>7</x:v>
      </x:c>
      <x:c r="Q99" s="22" t="n">
        <x:v>6</x:v>
      </x:c>
      <x:c r="R99" s="29" t="n">
        <x:v>4</x:v>
      </x:c>
      <x:c r="S99" s="25" t="inlineStr">
        <x:is>
          <x:t xml:space="preserve">J.S. Connors</x:t>
        </x:is>
      </x:c>
      <x:c r="T99" s="25" t="inlineStr">
        <x:is>
          <x:t xml:space="preserve">USA</x:t>
        </x:is>
      </x:c>
      <x:c r="U99" s="25" t="inlineStr">
        <x:is>
          <x:t xml:space="preserve">United States</x:t>
        </x:is>
      </x:c>
      <x:c r="V99" s="7" t="n">
        <x:v>1</x:v>
      </x:c>
    </x:row>
    <x:row r="100">
      <x:c r="A100" t="n">
        <x:v>1976</x:v>
      </x:c>
      <x:c r="B100" s="25" t="inlineStr">
        <x:is>
          <x:t xml:space="preserve">Women's</x:t>
        </x:is>
      </x:c>
      <x:c r="C100" s="25" t="inlineStr">
        <x:is>
          <x:t xml:space="preserve">C.M. Evert</x:t>
        </x:is>
      </x:c>
      <x:c r="D100" s="25" t="inlineStr">
        <x:is>
          <x:t xml:space="preserve">USA</x:t>
        </x:is>
      </x:c>
      <x:c r="E100" s="25" t="inlineStr">
        <x:is>
          <x:t xml:space="preserve">United States</x:t>
        </x:is>
      </x:c>
      <x:c r="F100" s="7" t="n">
        <x:v>1</x:v>
      </x:c>
      <x:c r="G100" s="22" t="n">
        <x:v>120</x:v>
      </x:c>
      <x:c r="H100" s="22" t="inlineStr">
        <x:is>
          <x:t xml:space="preserve">6-3, 4-6, 8-6,</x:t>
        </x:is>
      </x:c>
      <x:c r="I100" s="22" t="n">
        <x:v>6</x:v>
      </x:c>
      <x:c r="J100" s="29" t="n">
        <x:v>3</x:v>
      </x:c>
      <x:c r="K100" s="29" t="n">
        <x:v>4</x:v>
      </x:c>
      <x:c r="L100" s="29" t="n">
        <x:v>6</x:v>
      </x:c>
      <x:c r="M100" s="29" t="n">
        <x:v>8</x:v>
      </x:c>
      <x:c r="N100" s="29" t="n">
        <x:v>6</x:v>
      </x:c>
      <x:c r="S100" s="25" t="inlineStr">
        <x:is>
          <x:t xml:space="preserve">R.A. Cawley</x:t>
        </x:is>
      </x:c>
      <x:c r="T100" s="25" t="inlineStr">
        <x:is>
          <x:t xml:space="preserve">AUS</x:t>
        </x:is>
      </x:c>
      <x:c r="U100" s="25" t="inlineStr">
        <x:is>
          <x:t xml:space="preserve">Australia</x:t>
        </x:is>
      </x:c>
      <x:c r="V100" s="7" t="n">
        <x:v>2</x:v>
      </x:c>
    </x:row>
    <x:row r="101">
      <x:c r="A101" t="n">
        <x:v>1976</x:v>
      </x:c>
      <x:c r="B101" s="25" t="inlineStr">
        <x:is>
          <x:t xml:space="preserve">Men's</x:t>
        </x:is>
      </x:c>
      <x:c r="C101" s="25" t="inlineStr">
        <x:is>
          <x:t xml:space="preserve">B.R. Borg</x:t>
        </x:is>
      </x:c>
      <x:c r="D101" s="25" t="inlineStr">
        <x:is>
          <x:t xml:space="preserve">SWE</x:t>
        </x:is>
      </x:c>
      <x:c r="E101" s="25" t="inlineStr">
        <x:is>
          <x:t xml:space="preserve">Sweden</x:t>
        </x:is>
      </x:c>
      <x:c r="F101" s="7" t="n">
        <x:v>4</x:v>
      </x:c>
      <x:c r="G101" s="22" t="n">
        <x:v>110</x:v>
      </x:c>
      <x:c r="H101" s="22" t="inlineStr">
        <x:is>
          <x:t xml:space="preserve">6-4, 6-2, 9-7</x:t>
        </x:is>
      </x:c>
      <x:c r="I101" s="22" t="n">
        <x:v>6</x:v>
      </x:c>
      <x:c r="J101" s="29" t="n">
        <x:v>4</x:v>
      </x:c>
      <x:c r="K101" s="29" t="n">
        <x:v>6</x:v>
      </x:c>
      <x:c r="L101" s="29" t="n">
        <x:v>2</x:v>
      </x:c>
      <x:c r="M101" s="29" t="n">
        <x:v>9</x:v>
      </x:c>
      <x:c r="N101" s="29" t="n">
        <x:v>7</x:v>
      </x:c>
      <x:c r="S101" s="25" t="inlineStr">
        <x:is>
          <x:t xml:space="preserve">I. Nastase</x:t>
        </x:is>
      </x:c>
      <x:c r="T101" s="25" t="inlineStr">
        <x:is>
          <x:t xml:space="preserve">ROM</x:t>
        </x:is>
      </x:c>
      <x:c r="U101" s="25" t="inlineStr">
        <x:is>
          <x:t xml:space="preserve">Romania</x:t>
        </x:is>
      </x:c>
      <x:c r="V101" s="7" t="n">
        <x:v>3</x:v>
      </x:c>
    </x:row>
    <x:row r="102">
      <x:c r="A102" t="n">
        <x:v>1975</x:v>
      </x:c>
      <x:c r="B102" s="25" t="inlineStr">
        <x:is>
          <x:t xml:space="preserve">Women's</x:t>
        </x:is>
      </x:c>
      <x:c r="C102" s="25" t="inlineStr">
        <x:is>
          <x:t xml:space="preserve">L.W. King</x:t>
        </x:is>
      </x:c>
      <x:c r="D102" s="25" t="inlineStr">
        <x:is>
          <x:t xml:space="preserve">USA</x:t>
        </x:is>
      </x:c>
      <x:c r="E102" s="25" t="inlineStr">
        <x:is>
          <x:t xml:space="preserve">United States</x:t>
        </x:is>
      </x:c>
      <x:c r="F102" s="7" t="n">
        <x:v>3</x:v>
      </x:c>
      <x:c r="G102" s="22" t="n">
        <x:v>38</x:v>
      </x:c>
      <x:c r="H102" s="22" t="inlineStr">
        <x:is>
          <x:t xml:space="preserve">6-0, 6-1,</x:t>
        </x:is>
      </x:c>
      <x:c r="I102" s="22" t="n">
        <x:v>6</x:v>
      </x:c>
      <x:c r="J102" s="29" t="n">
        <x:v>0</x:v>
      </x:c>
      <x:c r="K102" s="29" t="n">
        <x:v>6</x:v>
      </x:c>
      <x:c r="L102" s="29" t="n">
        <x:v>1</x:v>
      </x:c>
      <x:c r="S102" s="25" t="inlineStr">
        <x:is>
          <x:t xml:space="preserve">R.A. Cawley</x:t>
        </x:is>
      </x:c>
      <x:c r="T102" s="25" t="inlineStr">
        <x:is>
          <x:t xml:space="preserve">AUS</x:t>
        </x:is>
      </x:c>
      <x:c r="U102" s="25" t="inlineStr">
        <x:is>
          <x:t xml:space="preserve">Australia</x:t>
        </x:is>
      </x:c>
      <x:c r="V102" s="7" t="n">
        <x:v>4</x:v>
      </x:c>
    </x:row>
    <x:row r="103">
      <x:c r="A103" t="n">
        <x:v>1975</x:v>
      </x:c>
      <x:c r="B103" s="25" t="inlineStr">
        <x:is>
          <x:t xml:space="preserve">Men's</x:t>
        </x:is>
      </x:c>
      <x:c r="C103" s="25" t="inlineStr">
        <x:is>
          <x:t xml:space="preserve">A.R. Ashe</x:t>
        </x:is>
      </x:c>
      <x:c r="D103" s="25" t="inlineStr">
        <x:is>
          <x:t xml:space="preserve">USA</x:t>
        </x:is>
      </x:c>
      <x:c r="E103" s="25" t="inlineStr">
        <x:is>
          <x:t xml:space="preserve">United States</x:t>
        </x:is>
      </x:c>
      <x:c r="F103" s="7" t="n">
        <x:v>6</x:v>
      </x:c>
      <x:c r="G103" s="22" t="n">
        <x:v>125</x:v>
      </x:c>
      <x:c r="H103" s="22" t="inlineStr">
        <x:is>
          <x:t xml:space="preserve">6-1, 6-1, 5-7, 6-4</x:t>
        </x:is>
      </x:c>
      <x:c r="I103" s="22" t="n">
        <x:v>6</x:v>
      </x:c>
      <x:c r="J103" s="29" t="n">
        <x:v>1</x:v>
      </x:c>
      <x:c r="K103" s="29" t="n">
        <x:v>6</x:v>
      </x:c>
      <x:c r="L103" s="29" t="n">
        <x:v>1</x:v>
      </x:c>
      <x:c r="M103" s="29" t="n">
        <x:v>5</x:v>
      </x:c>
      <x:c r="N103" s="29" t="n">
        <x:v>7</x:v>
      </x:c>
      <x:c r="O103" s="29" t="n">
        <x:v>6</x:v>
      </x:c>
      <x:c r="P103" s="29" t="n">
        <x:v>4</x:v>
      </x:c>
      <x:c r="S103" s="25" t="inlineStr">
        <x:is>
          <x:t xml:space="preserve">J.S. Connors</x:t>
        </x:is>
      </x:c>
      <x:c r="T103" s="25" t="inlineStr">
        <x:is>
          <x:t xml:space="preserve">USA</x:t>
        </x:is>
      </x:c>
      <x:c r="U103" s="25" t="inlineStr">
        <x:is>
          <x:t xml:space="preserve">United States</x:t>
        </x:is>
      </x:c>
      <x:c r="V103" s="7" t="n">
        <x:v>1</x:v>
      </x:c>
    </x:row>
    <x:row r="104">
      <x:c r="A104" t="n">
        <x:v>1974</x:v>
      </x:c>
      <x:c r="B104" s="25" t="inlineStr">
        <x:is>
          <x:t xml:space="preserve">Women's</x:t>
        </x:is>
      </x:c>
      <x:c r="C104" s="25" t="inlineStr">
        <x:is>
          <x:t xml:space="preserve">C.M. Evert</x:t>
        </x:is>
      </x:c>
      <x:c r="D104" s="25" t="inlineStr">
        <x:is>
          <x:t xml:space="preserve">USA</x:t>
        </x:is>
      </x:c>
      <x:c r="E104" s="25" t="inlineStr">
        <x:is>
          <x:t xml:space="preserve">United States</x:t>
        </x:is>
      </x:c>
      <x:c r="F104" s="7" t="n">
        <x:v>2</x:v>
      </x:c>
      <x:c r="G104" s="22" t="n">
        <x:v>59</x:v>
      </x:c>
      <x:c r="H104" s="22" t="inlineStr">
        <x:is>
          <x:t xml:space="preserve">6-0, 6-4</x:t>
        </x:is>
      </x:c>
      <x:c r="I104" s="22" t="n">
        <x:v>6</x:v>
      </x:c>
      <x:c r="J104" s="29" t="n">
        <x:v>0</x:v>
      </x:c>
      <x:c r="K104" s="29" t="n">
        <x:v>6</x:v>
      </x:c>
      <x:c r="L104" s="29" t="n">
        <x:v>4</x:v>
      </x:c>
      <x:c r="S104" s="25" t="inlineStr">
        <x:is>
          <x:t xml:space="preserve">O.V. Morozova</x:t>
        </x:is>
      </x:c>
      <x:c r="T104" s="25" t="inlineStr">
        <x:is>
          <x:t xml:space="preserve">URS</x:t>
        </x:is>
      </x:c>
      <x:c r="U104" s="25" t="inlineStr">
        <x:is>
          <x:t xml:space="preserve">Soviet Union</x:t>
        </x:is>
      </x:c>
      <x:c r="V104" s="7" t="n">
        <x:v>8</x:v>
      </x:c>
    </x:row>
    <x:row r="105">
      <x:c r="A105" t="n">
        <x:v>1974</x:v>
      </x:c>
      <x:c r="B105" s="25" t="inlineStr">
        <x:is>
          <x:t xml:space="preserve">Men's</x:t>
        </x:is>
      </x:c>
      <x:c r="C105" s="25" t="inlineStr">
        <x:is>
          <x:t xml:space="preserve">J.S. Connors</x:t>
        </x:is>
      </x:c>
      <x:c r="D105" s="25" t="inlineStr">
        <x:is>
          <x:t xml:space="preserve">USA</x:t>
        </x:is>
      </x:c>
      <x:c r="E105" s="25" t="inlineStr">
        <x:is>
          <x:t xml:space="preserve">United States</x:t>
        </x:is>
      </x:c>
      <x:c r="F105" s="7" t="n">
        <x:v>3</x:v>
      </x:c>
      <x:c r="G105" s="22" t="n">
        <x:v>93</x:v>
      </x:c>
      <x:c r="H105" s="22" t="inlineStr">
        <x:is>
          <x:t xml:space="preserve">6-1, 6-1, 6-4</x:t>
        </x:is>
      </x:c>
      <x:c r="I105" s="22" t="n">
        <x:v>6</x:v>
      </x:c>
      <x:c r="J105" s="29" t="n">
        <x:v>1</x:v>
      </x:c>
      <x:c r="K105" s="29" t="n">
        <x:v>6</x:v>
      </x:c>
      <x:c r="L105" s="29" t="n">
        <x:v>1</x:v>
      </x:c>
      <x:c r="M105" s="29" t="n">
        <x:v>6</x:v>
      </x:c>
      <x:c r="N105" s="29" t="n">
        <x:v>4</x:v>
      </x:c>
      <x:c r="S105" s="25" t="inlineStr">
        <x:is>
          <x:t xml:space="preserve">K.R. Rosewall</x:t>
        </x:is>
      </x:c>
      <x:c r="T105" s="25" t="inlineStr">
        <x:is>
          <x:t xml:space="preserve">AUS</x:t>
        </x:is>
      </x:c>
      <x:c r="U105" s="25" t="inlineStr">
        <x:is>
          <x:t xml:space="preserve">Australia</x:t>
        </x:is>
      </x:c>
      <x:c r="V105" s="7" t="n">
        <x:v>9</x:v>
      </x:c>
    </x:row>
    <x:row r="106">
      <x:c r="A106" t="n">
        <x:v>1973</x:v>
      </x:c>
      <x:c r="B106" s="25" t="inlineStr">
        <x:is>
          <x:t xml:space="preserve">Women's</x:t>
        </x:is>
      </x:c>
      <x:c r="C106" s="25" t="inlineStr">
        <x:is>
          <x:t xml:space="preserve">L.W. King</x:t>
        </x:is>
      </x:c>
      <x:c r="D106" s="25" t="inlineStr">
        <x:is>
          <x:t xml:space="preserve">USA</x:t>
        </x:is>
      </x:c>
      <x:c r="E106" s="25" t="inlineStr">
        <x:is>
          <x:t xml:space="preserve">United States</x:t>
        </x:is>
      </x:c>
      <x:c r="F106" s="7" t="n">
        <x:v>2</x:v>
      </x:c>
      <x:c r="G106" s="22" t="n">
        <x:v>53</x:v>
      </x:c>
      <x:c r="H106" s="22" t="inlineStr">
        <x:is>
          <x:t xml:space="preserve">6-0, 7-5</x:t>
        </x:is>
      </x:c>
      <x:c r="I106" s="22" t="n">
        <x:v>6</x:v>
      </x:c>
      <x:c r="J106" s="29" t="n">
        <x:v>0</x:v>
      </x:c>
      <x:c r="K106" s="29" t="n">
        <x:v>7</x:v>
      </x:c>
      <x:c r="L106" s="29" t="n">
        <x:v>5</x:v>
      </x:c>
      <x:c r="S106" s="25" t="inlineStr">
        <x:is>
          <x:t xml:space="preserve">C.M. Evert</x:t>
        </x:is>
      </x:c>
      <x:c r="T106" s="25" t="inlineStr">
        <x:is>
          <x:t xml:space="preserve">USA</x:t>
        </x:is>
      </x:c>
      <x:c r="U106" s="25" t="inlineStr">
        <x:is>
          <x:t xml:space="preserve">United States</x:t>
        </x:is>
      </x:c>
      <x:c r="V106" s="7" t="n">
        <x:v>4</x:v>
      </x:c>
    </x:row>
    <x:row r="107">
      <x:c r="A107" t="n">
        <x:v>1973</x:v>
      </x:c>
      <x:c r="B107" s="25" t="inlineStr">
        <x:is>
          <x:t xml:space="preserve">Men's</x:t>
        </x:is>
      </x:c>
      <x:c r="C107" s="25" t="inlineStr">
        <x:is>
          <x:t xml:space="preserve">J. Kodes</x:t>
        </x:is>
      </x:c>
      <x:c r="D107" s="25" t="inlineStr">
        <x:is>
          <x:t xml:space="preserve">CZE</x:t>
        </x:is>
      </x:c>
      <x:c r="E107" s="25" t="inlineStr">
        <x:is>
          <x:t xml:space="preserve">Czechia</x:t>
        </x:is>
      </x:c>
      <x:c r="F107" s="7" t="n">
        <x:v>2</x:v>
      </x:c>
      <x:c r="G107" s="22" t="n">
        <x:v>110</x:v>
      </x:c>
      <x:c r="H107" s="22" t="inlineStr">
        <x:is>
          <x:t xml:space="preserve">6-1, 9-8(7-5), 6-3</x:t>
        </x:is>
      </x:c>
      <x:c r="I107" s="22" t="n">
        <x:v>6</x:v>
      </x:c>
      <x:c r="J107" s="29" t="n">
        <x:v>1</x:v>
      </x:c>
      <x:c r="K107" s="29" t="n">
        <x:v>9</x:v>
      </x:c>
      <x:c r="L107" s="29" t="n">
        <x:v>8</x:v>
      </x:c>
      <x:c r="M107" s="29" t="n">
        <x:v>6</x:v>
      </x:c>
      <x:c r="N107" s="29" t="n">
        <x:v>3</x:v>
      </x:c>
      <x:c r="S107" s="25" t="inlineStr">
        <x:is>
          <x:t xml:space="preserve">A. Metreveli</x:t>
        </x:is>
      </x:c>
      <x:c r="T107" s="25" t="inlineStr">
        <x:is>
          <x:t xml:space="preserve">URS</x:t>
        </x:is>
      </x:c>
      <x:c r="U107" s="25" t="inlineStr">
        <x:is>
          <x:t xml:space="preserve">Soviet Union</x:t>
        </x:is>
      </x:c>
      <x:c r="V107" s="7" t="n">
        <x:v>4</x:v>
      </x:c>
    </x:row>
    <x:row r="108">
      <x:c r="A108" t="n">
        <x:v>1972</x:v>
      </x:c>
      <x:c r="B108" s="25" t="inlineStr">
        <x:is>
          <x:t xml:space="preserve">Women's</x:t>
        </x:is>
      </x:c>
      <x:c r="C108" s="25" t="inlineStr">
        <x:is>
          <x:t xml:space="preserve">L.W. King</x:t>
        </x:is>
      </x:c>
      <x:c r="D108" s="25" t="inlineStr">
        <x:is>
          <x:t xml:space="preserve">USA</x:t>
        </x:is>
      </x:c>
      <x:c r="E108" s="25" t="inlineStr">
        <x:is>
          <x:t xml:space="preserve">United States</x:t>
        </x:is>
      </x:c>
      <x:c r="F108" s="7" t="n">
        <x:v>2</x:v>
      </x:c>
      <x:c r="G108" s="22" t="n">
        <x:v>50</x:v>
      </x:c>
      <x:c r="H108" s="22" t="inlineStr">
        <x:is>
          <x:t xml:space="preserve">6-3, 6-3,</x:t>
        </x:is>
      </x:c>
      <x:c r="I108" s="22" t="n">
        <x:v>6</x:v>
      </x:c>
      <x:c r="J108" s="29" t="n">
        <x:v>3</x:v>
      </x:c>
      <x:c r="K108" s="29" t="n">
        <x:v>6</x:v>
      </x:c>
      <x:c r="L108" s="29" t="n">
        <x:v>3</x:v>
      </x:c>
      <x:c r="S108" s="25" t="inlineStr">
        <x:is>
          <x:t xml:space="preserve">E.F. Goolagong</x:t>
        </x:is>
      </x:c>
      <x:c r="T108" s="25" t="inlineStr">
        <x:is>
          <x:t xml:space="preserve">AUS</x:t>
        </x:is>
      </x:c>
      <x:c r="U108" s="25" t="inlineStr">
        <x:is>
          <x:t xml:space="preserve">Australia</x:t>
        </x:is>
      </x:c>
      <x:c r="V108" s="7" t="n">
        <x:v>1</x:v>
      </x:c>
    </x:row>
    <x:row r="109">
      <x:c r="A109" t="n">
        <x:v>1972</x:v>
      </x:c>
      <x:c r="B109" s="25" t="inlineStr">
        <x:is>
          <x:t xml:space="preserve">Men's</x:t>
        </x:is>
      </x:c>
      <x:c r="C109" s="25" t="inlineStr">
        <x:is>
          <x:t xml:space="preserve">S.R. Smith</x:t>
        </x:is>
      </x:c>
      <x:c r="D109" s="25" t="inlineStr">
        <x:is>
          <x:t xml:space="preserve">USA</x:t>
        </x:is>
      </x:c>
      <x:c r="E109" s="25" t="inlineStr">
        <x:is>
          <x:t xml:space="preserve">United States</x:t>
        </x:is>
      </x:c>
      <x:c r="F109" s="7" t="n">
        <x:v>1</x:v>
      </x:c>
      <x:c r="G109" s="22" t="n">
        <x:v>161</x:v>
      </x:c>
      <x:c r="H109" s="22" t="inlineStr">
        <x:is>
          <x:t xml:space="preserve">4-6, 6-3, 6-3, 4-6, 7-5</x:t>
        </x:is>
      </x:c>
      <x:c r="I109" s="22" t="n">
        <x:v>4</x:v>
      </x:c>
      <x:c r="J109" s="29" t="n">
        <x:v>6</x:v>
      </x:c>
      <x:c r="K109" s="29" t="n">
        <x:v>6</x:v>
      </x:c>
      <x:c r="L109" s="29" t="n">
        <x:v>3</x:v>
      </x:c>
      <x:c r="M109" s="29" t="n">
        <x:v>6</x:v>
      </x:c>
      <x:c r="N109" s="29" t="n">
        <x:v>3</x:v>
      </x:c>
      <x:c r="O109" s="29" t="n">
        <x:v>4</x:v>
      </x:c>
      <x:c r="P109" s="29" t="n">
        <x:v>6</x:v>
      </x:c>
      <x:c r="Q109" s="22" t="n">
        <x:v>7</x:v>
      </x:c>
      <x:c r="R109" s="29" t="n">
        <x:v>5</x:v>
      </x:c>
      <x:c r="S109" s="25" t="inlineStr">
        <x:is>
          <x:t xml:space="preserve">I. Nastase</x:t>
        </x:is>
      </x:c>
      <x:c r="T109" s="25" t="inlineStr">
        <x:is>
          <x:t xml:space="preserve">ROM</x:t>
        </x:is>
      </x:c>
      <x:c r="U109" s="25" t="inlineStr">
        <x:is>
          <x:t xml:space="preserve">Romania</x:t>
        </x:is>
      </x:c>
      <x:c r="V109" s="7" t="n">
        <x:v>2</x:v>
      </x:c>
    </x:row>
    <x:row r="110">
      <x:c r="A110" t="n">
        <x:v>1971</x:v>
      </x:c>
      <x:c r="B110" s="25" t="inlineStr">
        <x:is>
          <x:t xml:space="preserve">Women's</x:t>
        </x:is>
      </x:c>
      <x:c r="C110" s="25" t="inlineStr">
        <x:is>
          <x:t xml:space="preserve">E.F. Goolagong</x:t>
        </x:is>
      </x:c>
      <x:c r="D110" s="25" t="inlineStr">
        <x:is>
          <x:t xml:space="preserve">AUS</x:t>
        </x:is>
      </x:c>
      <x:c r="E110" s="25" t="inlineStr">
        <x:is>
          <x:t xml:space="preserve">Australia</x:t>
        </x:is>
      </x:c>
      <x:c r="F110" s="7" t="n">
        <x:v>3</x:v>
      </x:c>
      <x:c r="G110" s="22" t="n">
        <x:v>62</x:v>
      </x:c>
      <x:c r="H110" s="22" t="inlineStr">
        <x:is>
          <x:t xml:space="preserve">6-4, 6-1,</x:t>
        </x:is>
      </x:c>
      <x:c r="I110" s="22" t="n">
        <x:v>6</x:v>
      </x:c>
      <x:c r="J110" s="29" t="n">
        <x:v>4</x:v>
      </x:c>
      <x:c r="K110" s="29" t="n">
        <x:v>6</x:v>
      </x:c>
      <x:c r="L110" s="29" t="n">
        <x:v>1</x:v>
      </x:c>
      <x:c r="S110" s="25" t="inlineStr">
        <x:is>
          <x:t xml:space="preserve">B.M. Court</x:t>
        </x:is>
      </x:c>
      <x:c r="T110" s="25" t="inlineStr">
        <x:is>
          <x:t xml:space="preserve">AUS</x:t>
        </x:is>
      </x:c>
      <x:c r="U110" s="25" t="inlineStr">
        <x:is>
          <x:t xml:space="preserve">Australia</x:t>
        </x:is>
      </x:c>
      <x:c r="V110" s="7" t="n">
        <x:v>1</x:v>
      </x:c>
    </x:row>
    <x:row r="111">
      <x:c r="A111" t="n">
        <x:v>1971</x:v>
      </x:c>
      <x:c r="B111" s="25" t="inlineStr">
        <x:is>
          <x:t xml:space="preserve">Men's</x:t>
        </x:is>
      </x:c>
      <x:c r="C111" s="25" t="inlineStr">
        <x:is>
          <x:t xml:space="preserve">J.D. Newcombe</x:t>
        </x:is>
      </x:c>
      <x:c r="D111" s="25" t="inlineStr">
        <x:is>
          <x:t xml:space="preserve">AUS</x:t>
        </x:is>
      </x:c>
      <x:c r="E111" s="25" t="inlineStr">
        <x:is>
          <x:t xml:space="preserve">Australia</x:t>
        </x:is>
      </x:c>
      <x:c r="F111" s="7" t="n">
        <x:v>2</x:v>
      </x:c>
      <x:c r="G111" s="22" t="n">
        <x:v>170</x:v>
      </x:c>
      <x:c r="H111" s="22" t="inlineStr">
        <x:is>
          <x:t xml:space="preserve">6-3, 5-7, 2-6, 6-4, 6-4</x:t>
        </x:is>
      </x:c>
      <x:c r="I111" s="22" t="n">
        <x:v>6</x:v>
      </x:c>
      <x:c r="J111" s="29" t="n">
        <x:v>3</x:v>
      </x:c>
      <x:c r="K111" s="29" t="n">
        <x:v>5</x:v>
      </x:c>
      <x:c r="L111" s="29" t="n">
        <x:v>7</x:v>
      </x:c>
      <x:c r="M111" s="29" t="n">
        <x:v>2</x:v>
      </x:c>
      <x:c r="N111" s="29" t="n">
        <x:v>6</x:v>
      </x:c>
      <x:c r="O111" s="29" t="n">
        <x:v>6</x:v>
      </x:c>
      <x:c r="P111" s="29" t="n">
        <x:v>4</x:v>
      </x:c>
      <x:c r="Q111" s="22" t="n">
        <x:v>6</x:v>
      </x:c>
      <x:c r="R111" s="29" t="n">
        <x:v>4</x:v>
      </x:c>
      <x:c r="S111" s="25" t="inlineStr">
        <x:is>
          <x:t xml:space="preserve">S.R. Smith</x:t>
        </x:is>
      </x:c>
      <x:c r="T111" s="25" t="inlineStr">
        <x:is>
          <x:t xml:space="preserve">USA</x:t>
        </x:is>
      </x:c>
      <x:c r="U111" s="25" t="inlineStr">
        <x:is>
          <x:t xml:space="preserve">United States</x:t>
        </x:is>
      </x:c>
      <x:c r="V111" s="7" t="n">
        <x:v>4</x:v>
      </x:c>
    </x:row>
    <x:row r="112">
      <x:c r="A112" t="n">
        <x:v>1970</x:v>
      </x:c>
      <x:c r="B112" s="25" t="inlineStr">
        <x:is>
          <x:t xml:space="preserve">Women's</x:t>
        </x:is>
      </x:c>
      <x:c r="C112" s="25" t="inlineStr">
        <x:is>
          <x:t xml:space="preserve">B.M. Court</x:t>
        </x:is>
      </x:c>
      <x:c r="D112" s="25" t="inlineStr">
        <x:is>
          <x:t xml:space="preserve">AUS</x:t>
        </x:is>
      </x:c>
      <x:c r="E112" s="25" t="inlineStr">
        <x:is>
          <x:t xml:space="preserve">Australia</x:t>
        </x:is>
      </x:c>
      <x:c r="F112" s="7" t="n">
        <x:v>1</x:v>
      </x:c>
      <x:c r="G112" s="22" t="n">
        <x:v>148</x:v>
      </x:c>
      <x:c r="H112" s="22" t="inlineStr">
        <x:is>
          <x:t xml:space="preserve">14-12, 11-9,</x:t>
        </x:is>
      </x:c>
      <x:c r="I112" s="22" t="n">
        <x:v>14</x:v>
      </x:c>
      <x:c r="J112" s="29" t="n">
        <x:v>12</x:v>
      </x:c>
      <x:c r="K112" s="29" t="n">
        <x:v>11</x:v>
      </x:c>
      <x:c r="L112" s="29" t="n">
        <x:v>9</x:v>
      </x:c>
      <x:c r="S112" s="25" t="inlineStr">
        <x:is>
          <x:t xml:space="preserve">L.W. King</x:t>
        </x:is>
      </x:c>
      <x:c r="T112" s="25" t="inlineStr">
        <x:is>
          <x:t xml:space="preserve">USA</x:t>
        </x:is>
      </x:c>
      <x:c r="U112" s="25" t="inlineStr">
        <x:is>
          <x:t xml:space="preserve">United States</x:t>
        </x:is>
      </x:c>
      <x:c r="V112" s="7" t="n">
        <x:v>2</x:v>
      </x:c>
    </x:row>
    <x:row r="113">
      <x:c r="A113" t="n">
        <x:v>1970</x:v>
      </x:c>
      <x:c r="B113" s="25" t="inlineStr">
        <x:is>
          <x:t xml:space="preserve">Men's</x:t>
        </x:is>
      </x:c>
      <x:c r="C113" s="25" t="inlineStr">
        <x:is>
          <x:t xml:space="preserve">J.D. Newcombe</x:t>
        </x:is>
      </x:c>
      <x:c r="D113" s="25" t="inlineStr">
        <x:is>
          <x:t xml:space="preserve">AUS</x:t>
        </x:is>
      </x:c>
      <x:c r="E113" s="25" t="inlineStr">
        <x:is>
          <x:t xml:space="preserve">Australia</x:t>
        </x:is>
      </x:c>
      <x:c r="F113" s="7" t="n">
        <x:v>2</x:v>
      </x:c>
      <x:c r="G113" s="22" t="n">
        <x:v>163</x:v>
      </x:c>
      <x:c r="H113" s="22" t="inlineStr">
        <x:is>
          <x:t xml:space="preserve">5-7, 6-3, 6-2, 3-6, 6-1</x:t>
        </x:is>
      </x:c>
      <x:c r="I113" s="22" t="n">
        <x:v>5</x:v>
      </x:c>
      <x:c r="J113" s="29" t="n">
        <x:v>7</x:v>
      </x:c>
      <x:c r="K113" s="29" t="n">
        <x:v>6</x:v>
      </x:c>
      <x:c r="L113" s="29" t="n">
        <x:v>3</x:v>
      </x:c>
      <x:c r="M113" s="29" t="n">
        <x:v>6</x:v>
      </x:c>
      <x:c r="N113" s="29" t="n">
        <x:v>2</x:v>
      </x:c>
      <x:c r="O113" s="29" t="n">
        <x:v>3</x:v>
      </x:c>
      <x:c r="P113" s="29" t="n">
        <x:v>6</x:v>
      </x:c>
      <x:c r="Q113" s="22" t="n">
        <x:v>6</x:v>
      </x:c>
      <x:c r="R113" s="29" t="n">
        <x:v>1</x:v>
      </x:c>
      <x:c r="S113" s="25" t="inlineStr">
        <x:is>
          <x:t xml:space="preserve">K.R. Rosewall</x:t>
        </x:is>
      </x:c>
      <x:c r="T113" s="25" t="inlineStr">
        <x:is>
          <x:t xml:space="preserve">AUS</x:t>
        </x:is>
      </x:c>
      <x:c r="U113" s="25" t="inlineStr">
        <x:is>
          <x:t xml:space="preserve">Australia</x:t>
        </x:is>
      </x:c>
      <x:c r="V113" s="7" t="n">
        <x:v>5</x:v>
      </x:c>
    </x:row>
    <x:row r="114">
      <x:c r="A114" t="n">
        <x:v>1969</x:v>
      </x:c>
      <x:c r="B114" s="25" t="inlineStr">
        <x:is>
          <x:t xml:space="preserve">Women's</x:t>
        </x:is>
      </x:c>
      <x:c r="C114" s="25" t="inlineStr">
        <x:is>
          <x:t xml:space="preserve">P.F. Jones</x:t>
        </x:is>
      </x:c>
      <x:c r="D114" s="25" t="inlineStr">
        <x:is>
          <x:t xml:space="preserve">GBR</x:t>
        </x:is>
      </x:c>
      <x:c r="E114" s="25" t="inlineStr">
        <x:is>
          <x:t xml:space="preserve">United Kingdom</x:t>
        </x:is>
      </x:c>
      <x:c r="F114" s="7" t="n">
        <x:v>4</x:v>
      </x:c>
      <x:c r="G114" s="22" t="n">
        <x:v>71</x:v>
      </x:c>
      <x:c r="H114" s="22" t="inlineStr">
        <x:is>
          <x:t xml:space="preserve">3-6, 6-3, 6-2,</x:t>
        </x:is>
      </x:c>
      <x:c r="I114" s="22" t="n">
        <x:v>3</x:v>
      </x:c>
      <x:c r="J114" s="29" t="n">
        <x:v>6</x:v>
      </x:c>
      <x:c r="K114" s="29" t="n">
        <x:v>6</x:v>
      </x:c>
      <x:c r="L114" s="29" t="n">
        <x:v>3</x:v>
      </x:c>
      <x:c r="M114" s="29" t="n">
        <x:v>6</x:v>
      </x:c>
      <x:c r="N114" s="29" t="n">
        <x:v>2</x:v>
      </x:c>
      <x:c r="S114" s="25" t="inlineStr">
        <x:is>
          <x:t xml:space="preserve">L.W. King</x:t>
        </x:is>
      </x:c>
      <x:c r="T114" s="25" t="inlineStr">
        <x:is>
          <x:t xml:space="preserve">USA</x:t>
        </x:is>
      </x:c>
      <x:c r="U114" s="25" t="inlineStr">
        <x:is>
          <x:t xml:space="preserve">United States</x:t>
        </x:is>
      </x:c>
      <x:c r="V114" s="7" t="n">
        <x:v>2</x:v>
      </x:c>
    </x:row>
    <x:row r="115">
      <x:c r="A115" t="n">
        <x:v>1969</x:v>
      </x:c>
      <x:c r="B115" s="25" t="inlineStr">
        <x:is>
          <x:t xml:space="preserve">Men's</x:t>
        </x:is>
      </x:c>
      <x:c r="C115" s="25" t="inlineStr">
        <x:is>
          <x:t xml:space="preserve">R.G. Laver</x:t>
        </x:is>
      </x:c>
      <x:c r="D115" s="25" t="inlineStr">
        <x:is>
          <x:t xml:space="preserve">AUS</x:t>
        </x:is>
      </x:c>
      <x:c r="E115" s="25" t="inlineStr">
        <x:is>
          <x:t xml:space="preserve">Australia</x:t>
        </x:is>
      </x:c>
      <x:c r="F115" s="7" t="n">
        <x:v>1</x:v>
      </x:c>
      <x:c r="G115" s="22" t="n">
        <x:v>136</x:v>
      </x:c>
      <x:c r="H115" s="22" t="inlineStr">
        <x:is>
          <x:t xml:space="preserve">6-4, 5-7, 6-4, 6-4</x:t>
        </x:is>
      </x:c>
      <x:c r="I115" s="22" t="n">
        <x:v>6</x:v>
      </x:c>
      <x:c r="J115" s="29" t="n">
        <x:v>4</x:v>
      </x:c>
      <x:c r="K115" s="29" t="n">
        <x:v>5</x:v>
      </x:c>
      <x:c r="L115" s="29" t="n">
        <x:v>7</x:v>
      </x:c>
      <x:c r="M115" s="29" t="n">
        <x:v>6</x:v>
      </x:c>
      <x:c r="N115" s="29" t="n">
        <x:v>4</x:v>
      </x:c>
      <x:c r="O115" s="29" t="n">
        <x:v>6</x:v>
      </x:c>
      <x:c r="P115" s="29" t="n">
        <x:v>4</x:v>
      </x:c>
      <x:c r="S115" s="25" t="inlineStr">
        <x:is>
          <x:t xml:space="preserve">J.D. Newcombe</x:t>
        </x:is>
      </x:c>
      <x:c r="T115" s="25" t="inlineStr">
        <x:is>
          <x:t xml:space="preserve">AUS</x:t>
        </x:is>
      </x:c>
      <x:c r="U115" s="25" t="inlineStr">
        <x:is>
          <x:t xml:space="preserve">Australia</x:t>
        </x:is>
      </x:c>
      <x:c r="V115" s="7" t="n">
        <x:v>6</x:v>
      </x:c>
    </x:row>
    <x:row r="116">
      <x:c r="A116" t="n">
        <x:v>1968</x:v>
      </x:c>
      <x:c r="B116" s="25" t="inlineStr">
        <x:is>
          <x:t xml:space="preserve">Women's</x:t>
        </x:is>
      </x:c>
      <x:c r="C116" s="25" t="inlineStr">
        <x:is>
          <x:t xml:space="preserve">L.W. King</x:t>
        </x:is>
      </x:c>
      <x:c r="D116" s="25" t="inlineStr">
        <x:is>
          <x:t xml:space="preserve">USA</x:t>
        </x:is>
      </x:c>
      <x:c r="E116" s="25" t="inlineStr">
        <x:is>
          <x:t xml:space="preserve">United States</x:t>
        </x:is>
      </x:c>
      <x:c r="F116" s="7" t="n">
        <x:v>1</x:v>
      </x:c>
      <x:c r="G116" s="22" t="n">
        <x:v>69</x:v>
      </x:c>
      <x:c r="H116" s="22" t="inlineStr">
        <x:is>
          <x:t xml:space="preserve">9-7, 7-5,</x:t>
        </x:is>
      </x:c>
      <x:c r="I116" s="22" t="n">
        <x:v>9</x:v>
      </x:c>
      <x:c r="J116" s="29" t="n">
        <x:v>7</x:v>
      </x:c>
      <x:c r="K116" s="29" t="n">
        <x:v>7</x:v>
      </x:c>
      <x:c r="L116" s="29" t="n">
        <x:v>5</x:v>
      </x:c>
      <x:c r="S116" s="25" t="inlineStr">
        <x:is>
          <x:t xml:space="preserve">J.A.M. Tegart</x:t>
        </x:is>
      </x:c>
      <x:c r="T116" s="25" t="inlineStr">
        <x:is>
          <x:t xml:space="preserve">AUS</x:t>
        </x:is>
      </x:c>
      <x:c r="U116" s="25" t="inlineStr">
        <x:is>
          <x:t xml:space="preserve">Australia</x:t>
        </x:is>
      </x:c>
      <x:c r="V116" s="7" t="n">
        <x:v>7</x:v>
      </x:c>
    </x:row>
    <x:row r="117">
      <x:c r="A117" t="n">
        <x:v>1968</x:v>
      </x:c>
      <x:c r="B117" s="25" t="inlineStr">
        <x:is>
          <x:t xml:space="preserve">Men's</x:t>
        </x:is>
      </x:c>
      <x:c r="C117" s="25" t="inlineStr">
        <x:is>
          <x:t xml:space="preserve">R.G. Laver</x:t>
        </x:is>
      </x:c>
      <x:c r="D117" s="25" t="inlineStr">
        <x:is>
          <x:t xml:space="preserve">AUS</x:t>
        </x:is>
      </x:c>
      <x:c r="E117" s="25" t="inlineStr">
        <x:is>
          <x:t xml:space="preserve">Australia</x:t>
        </x:is>
      </x:c>
      <x:c r="F117" s="7" t="n">
        <x:v>1</x:v>
      </x:c>
      <x:c r="G117" s="22" t="n">
        <x:v>60</x:v>
      </x:c>
      <x:c r="H117" s="22" t="inlineStr">
        <x:is>
          <x:t xml:space="preserve">6-3, 6-4, 6-2</x:t>
        </x:is>
      </x:c>
      <x:c r="I117" s="22" t="n">
        <x:v>6</x:v>
      </x:c>
      <x:c r="J117" s="29" t="n">
        <x:v>3</x:v>
      </x:c>
      <x:c r="K117" s="29" t="n">
        <x:v>6</x:v>
      </x:c>
      <x:c r="L117" s="29" t="n">
        <x:v>4</x:v>
      </x:c>
      <x:c r="M117" s="29" t="n">
        <x:v>6</x:v>
      </x:c>
      <x:c r="N117" s="29" t="n">
        <x:v>2</x:v>
      </x:c>
      <x:c r="S117" s="25" t="inlineStr">
        <x:is>
          <x:t xml:space="preserve">A.D. Roche</x:t>
        </x:is>
      </x:c>
      <x:c r="T117" s="25" t="inlineStr">
        <x:is>
          <x:t xml:space="preserve">AUS</x:t>
        </x:is>
      </x:c>
      <x:c r="U117" s="25" t="inlineStr">
        <x:is>
          <x:t xml:space="preserve">Australia</x:t>
        </x:is>
      </x:c>
      <x:c r="V117" s="7" t="n">
        <x:v>15</x:v>
      </x:c>
    </x:row>
    <x:row r="118">
      <x:c r="A118" t="n">
        <x:v>1967</x:v>
      </x:c>
      <x:c r="B118" s="25" t="inlineStr">
        <x:is>
          <x:t xml:space="preserve">Women's</x:t>
        </x:is>
      </x:c>
      <x:c r="C118" s="25" t="inlineStr">
        <x:is>
          <x:t xml:space="preserve">L.W. King</x:t>
        </x:is>
      </x:c>
      <x:c r="D118" s="25" t="inlineStr">
        <x:is>
          <x:t xml:space="preserve">USA</x:t>
        </x:is>
      </x:c>
      <x:c r="E118" s="25" t="inlineStr">
        <x:is>
          <x:t xml:space="preserve">United States</x:t>
        </x:is>
      </x:c>
      <x:c r="F118" s="7" t="n">
        <x:v>1</x:v>
      </x:c>
      <x:c r="G118" s="22" t="n">
        <x:v>60</x:v>
      </x:c>
      <x:c r="H118" s="22" t="inlineStr">
        <x:is>
          <x:t xml:space="preserve">6-3, 6-4,</x:t>
        </x:is>
      </x:c>
      <x:c r="I118" s="22" t="n">
        <x:v>6</x:v>
      </x:c>
      <x:c r="J118" s="29" t="n">
        <x:v>3</x:v>
      </x:c>
      <x:c r="K118" s="29" t="n">
        <x:v>6</x:v>
      </x:c>
      <x:c r="L118" s="29" t="n">
        <x:v>4</x:v>
      </x:c>
      <x:c r="S118" s="25" t="inlineStr">
        <x:is>
          <x:t xml:space="preserve">P.F. Jones</x:t>
        </x:is>
      </x:c>
      <x:c r="T118" s="25" t="inlineStr">
        <x:is>
          <x:t xml:space="preserve">GBR</x:t>
        </x:is>
      </x:c>
      <x:c r="U118" s="25" t="inlineStr">
        <x:is>
          <x:t xml:space="preserve">United Kingdom</x:t>
        </x:is>
      </x:c>
      <x:c r="V118" s="7" t="n">
        <x:v>3</x:v>
      </x:c>
    </x:row>
    <x:row r="119">
      <x:c r="A119" t="n">
        <x:v>1967</x:v>
      </x:c>
      <x:c r="B119" s="25" t="inlineStr">
        <x:is>
          <x:t xml:space="preserve">Men's</x:t>
        </x:is>
      </x:c>
      <x:c r="C119" s="25" t="inlineStr">
        <x:is>
          <x:t xml:space="preserve">J.D. Newcombe</x:t>
        </x:is>
      </x:c>
      <x:c r="D119" s="25" t="inlineStr">
        <x:is>
          <x:t xml:space="preserve">AUS</x:t>
        </x:is>
      </x:c>
      <x:c r="E119" s="25" t="inlineStr">
        <x:is>
          <x:t xml:space="preserve">Australia</x:t>
        </x:is>
      </x:c>
      <x:c r="F119" s="7" t="n">
        <x:v>3</x:v>
      </x:c>
      <x:c r="G119" s="22" t="n">
        <x:v>71</x:v>
      </x:c>
      <x:c r="H119" s="22" t="inlineStr">
        <x:is>
          <x:t xml:space="preserve">6-3, 6-1, 6-1</x:t>
        </x:is>
      </x:c>
      <x:c r="I119" s="22" t="n">
        <x:v>6</x:v>
      </x:c>
      <x:c r="J119" s="29" t="n">
        <x:v>3</x:v>
      </x:c>
      <x:c r="K119" s="29" t="n">
        <x:v>6</x:v>
      </x:c>
      <x:c r="L119" s="29" t="n">
        <x:v>1</x:v>
      </x:c>
      <x:c r="M119" s="29" t="n">
        <x:v>6</x:v>
      </x:c>
      <x:c r="N119" s="29" t="n">
        <x:v>1</x:v>
      </x:c>
      <x:c r="S119" s="25" t="inlineStr">
        <x:is>
          <x:t xml:space="preserve">W.P. Bungert</x:t>
        </x:is>
      </x:c>
      <x:c r="T119" s="25" t="inlineStr">
        <x:is>
          <x:t xml:space="preserve">GER</x:t>
        </x:is>
      </x:c>
      <x:c r="U119" s="25" t="inlineStr">
        <x:is>
          <x:t xml:space="preserve">Germany</x:t>
        </x:is>
      </x:c>
      <x:c r="V119" s="7" t="inlineStr">
        <x:is>
          <x:t xml:space="preserve">U</x:t>
        </x:is>
      </x:c>
    </x:row>
    <x:row r="120">
      <x:c r="A120" t="n">
        <x:v>1966</x:v>
      </x:c>
      <x:c r="B120" s="25" t="inlineStr">
        <x:is>
          <x:t xml:space="preserve">Women's</x:t>
        </x:is>
      </x:c>
      <x:c r="C120" s="25" t="inlineStr">
        <x:is>
          <x:t xml:space="preserve">L.W. King</x:t>
        </x:is>
      </x:c>
      <x:c r="D120" s="25" t="inlineStr">
        <x:is>
          <x:t xml:space="preserve">USA</x:t>
        </x:is>
      </x:c>
      <x:c r="E120" s="25" t="inlineStr">
        <x:is>
          <x:t xml:space="preserve">United States</x:t>
        </x:is>
      </x:c>
      <x:c r="F120" s="7" t="n">
        <x:v>4</x:v>
      </x:c>
      <x:c r="G120" s="22" t="n">
        <x:v>68</x:v>
      </x:c>
      <x:c r="H120" s="22" t="inlineStr">
        <x:is>
          <x:t xml:space="preserve">6-3, 3-6, 6-1,</x:t>
        </x:is>
      </x:c>
      <x:c r="I120" s="22" t="n">
        <x:v>6</x:v>
      </x:c>
      <x:c r="J120" s="29" t="n">
        <x:v>3</x:v>
      </x:c>
      <x:c r="K120" s="29" t="n">
        <x:v>3</x:v>
      </x:c>
      <x:c r="L120" s="29" t="n">
        <x:v>6</x:v>
      </x:c>
      <x:c r="M120" s="29" t="n">
        <x:v>6</x:v>
      </x:c>
      <x:c r="N120" s="29" t="n">
        <x:v>1</x:v>
      </x:c>
      <x:c r="S120" s="25" t="inlineStr">
        <x:is>
          <x:t xml:space="preserve">M.E.A. Bueno</x:t>
        </x:is>
      </x:c>
      <x:c r="T120" s="25" t="inlineStr">
        <x:is>
          <x:t xml:space="preserve">BRA</x:t>
        </x:is>
      </x:c>
      <x:c r="U120" s="25" t="inlineStr">
        <x:is>
          <x:t xml:space="preserve">Brazil</x:t>
        </x:is>
      </x:c>
      <x:c r="V120" s="7" t="n">
        <x:v>2</x:v>
      </x:c>
    </x:row>
    <x:row r="121">
      <x:c r="A121" t="n">
        <x:v>1966</x:v>
      </x:c>
      <x:c r="B121" s="25" t="inlineStr">
        <x:is>
          <x:t xml:space="preserve">Men's</x:t>
        </x:is>
      </x:c>
      <x:c r="C121" s="25" t="inlineStr">
        <x:is>
          <x:t xml:space="preserve">M.M. Santana</x:t>
        </x:is>
      </x:c>
      <x:c r="D121" s="25" t="inlineStr">
        <x:is>
          <x:t xml:space="preserve">ESP</x:t>
        </x:is>
      </x:c>
      <x:c r="E121" s="25" t="inlineStr">
        <x:is>
          <x:t xml:space="preserve">Spain</x:t>
        </x:is>
      </x:c>
      <x:c r="F121" s="7" t="n">
        <x:v>4</x:v>
      </x:c>
      <x:c r="G121" s="22" t="n">
        <x:v>104</x:v>
      </x:c>
      <x:c r="H121" s="22" t="inlineStr">
        <x:is>
          <x:t xml:space="preserve">6-4, 11-9, 6-4</x:t>
        </x:is>
      </x:c>
      <x:c r="I121" s="22" t="n">
        <x:v>6</x:v>
      </x:c>
      <x:c r="J121" s="29" t="n">
        <x:v>4</x:v>
      </x:c>
      <x:c r="K121" s="29" t="n">
        <x:v>11</x:v>
      </x:c>
      <x:c r="L121" s="29" t="n">
        <x:v>9</x:v>
      </x:c>
      <x:c r="M121" s="29" t="n">
        <x:v>6</x:v>
      </x:c>
      <x:c r="N121" s="29" t="n">
        <x:v>4</x:v>
      </x:c>
      <x:c r="S121" s="25" t="inlineStr">
        <x:is>
          <x:t xml:space="preserve">R.D. Ralston</x:t>
        </x:is>
      </x:c>
      <x:c r="T121" s="25" t="inlineStr">
        <x:is>
          <x:t xml:space="preserve">USA</x:t>
        </x:is>
      </x:c>
      <x:c r="U121" s="25" t="inlineStr">
        <x:is>
          <x:t xml:space="preserve">United States</x:t>
        </x:is>
      </x:c>
      <x:c r="V121" s="7" t="n">
        <x:v>6</x:v>
      </x:c>
    </x:row>
    <x:row r="122">
      <x:c r="A122" t="n">
        <x:v>1965</x:v>
      </x:c>
      <x:c r="B122" s="25" t="inlineStr">
        <x:is>
          <x:t xml:space="preserve">Women's</x:t>
        </x:is>
      </x:c>
      <x:c r="C122" s="25" t="inlineStr">
        <x:is>
          <x:t xml:space="preserve">B.M. Court</x:t>
        </x:is>
      </x:c>
      <x:c r="D122" s="25" t="inlineStr">
        <x:is>
          <x:t xml:space="preserve">AUS</x:t>
        </x:is>
      </x:c>
      <x:c r="E122" s="25" t="inlineStr">
        <x:is>
          <x:t xml:space="preserve">Australia</x:t>
        </x:is>
      </x:c>
      <x:c r="F122" s="7" t="n">
        <x:v>2</x:v>
      </x:c>
      <x:c r="G122" s="22" t="n">
        <x:v>56</x:v>
      </x:c>
      <x:c r="H122" s="22" t="inlineStr">
        <x:is>
          <x:t xml:space="preserve">6-4, 7-5,</x:t>
        </x:is>
      </x:c>
      <x:c r="I122" s="22" t="n">
        <x:v>6</x:v>
      </x:c>
      <x:c r="J122" s="29" t="n">
        <x:v>4</x:v>
      </x:c>
      <x:c r="K122" s="29" t="n">
        <x:v>7</x:v>
      </x:c>
      <x:c r="L122" s="29" t="n">
        <x:v>5</x:v>
      </x:c>
      <x:c r="S122" s="25" t="inlineStr">
        <x:is>
          <x:t xml:space="preserve">M.E.A. Bueno</x:t>
        </x:is>
      </x:c>
      <x:c r="T122" s="25" t="inlineStr">
        <x:is>
          <x:t xml:space="preserve">BRA</x:t>
        </x:is>
      </x:c>
      <x:c r="U122" s="25" t="inlineStr">
        <x:is>
          <x:t xml:space="preserve">Brazil</x:t>
        </x:is>
      </x:c>
      <x:c r="V122" s="7" t="n">
        <x:v>1</x:v>
      </x:c>
    </x:row>
    <x:row r="123">
      <x:c r="A123" t="n">
        <x:v>1965</x:v>
      </x:c>
      <x:c r="B123" s="25" t="inlineStr">
        <x:is>
          <x:t xml:space="preserve">Men's</x:t>
        </x:is>
      </x:c>
      <x:c r="C123" s="25" t="inlineStr">
        <x:is>
          <x:t xml:space="preserve">R.S. Emerson</x:t>
        </x:is>
      </x:c>
      <x:c r="D123" s="25" t="inlineStr">
        <x:is>
          <x:t xml:space="preserve">AUS</x:t>
        </x:is>
      </x:c>
      <x:c r="E123" s="25" t="inlineStr">
        <x:is>
          <x:t xml:space="preserve">Australia</x:t>
        </x:is>
      </x:c>
      <x:c r="F123" s="7" t="n">
        <x:v>1</x:v>
      </x:c>
      <x:c r="G123" s="22" t="n">
        <x:v>67</x:v>
      </x:c>
      <x:c r="H123" s="22" t="inlineStr">
        <x:is>
          <x:t xml:space="preserve">6-2, 6-4, 6-4</x:t>
        </x:is>
      </x:c>
      <x:c r="I123" s="22" t="n">
        <x:v>6</x:v>
      </x:c>
      <x:c r="J123" s="29" t="n">
        <x:v>2</x:v>
      </x:c>
      <x:c r="K123" s="29" t="n">
        <x:v>6</x:v>
      </x:c>
      <x:c r="L123" s="29" t="n">
        <x:v>4</x:v>
      </x:c>
      <x:c r="M123" s="29" t="n">
        <x:v>6</x:v>
      </x:c>
      <x:c r="N123" s="29" t="n">
        <x:v>4</x:v>
      </x:c>
      <x:c r="S123" s="25" t="inlineStr">
        <x:is>
          <x:t xml:space="preserve">F.S. Stolle</x:t>
        </x:is>
      </x:c>
      <x:c r="T123" s="25" t="inlineStr">
        <x:is>
          <x:t xml:space="preserve">AUS</x:t>
        </x:is>
      </x:c>
      <x:c r="U123" s="25" t="inlineStr">
        <x:is>
          <x:t xml:space="preserve">Australia</x:t>
        </x:is>
      </x:c>
      <x:c r="V123" s="7" t="n">
        <x:v>2</x:v>
      </x:c>
    </x:row>
    <x:row r="124">
      <x:c r="A124" t="n">
        <x:v>1964</x:v>
      </x:c>
      <x:c r="B124" s="25" t="inlineStr">
        <x:is>
          <x:t xml:space="preserve">Women's</x:t>
        </x:is>
      </x:c>
      <x:c r="C124" s="25" t="inlineStr">
        <x:is>
          <x:t xml:space="preserve">M.E.A. Bueno</x:t>
        </x:is>
      </x:c>
      <x:c r="D124" s="25" t="inlineStr">
        <x:is>
          <x:t xml:space="preserve">BRA</x:t>
        </x:is>
      </x:c>
      <x:c r="E124" s="25" t="inlineStr">
        <x:is>
          <x:t xml:space="preserve">Brazil</x:t>
        </x:is>
      </x:c>
      <x:c r="F124" s="7" t="n">
        <x:v>2</x:v>
      </x:c>
      <x:c r="G124" s="22" t="n">
        <x:v>90</x:v>
      </x:c>
      <x:c r="H124" s="22" t="inlineStr">
        <x:is>
          <x:t xml:space="preserve">6-4, 7-9, 6-3,</x:t>
        </x:is>
      </x:c>
      <x:c r="I124" s="22" t="n">
        <x:v>6</x:v>
      </x:c>
      <x:c r="J124" s="29" t="n">
        <x:v>4</x:v>
      </x:c>
      <x:c r="K124" s="29" t="n">
        <x:v>7</x:v>
      </x:c>
      <x:c r="L124" s="29" t="n">
        <x:v>9</x:v>
      </x:c>
      <x:c r="M124" s="29" t="n">
        <x:v>6</x:v>
      </x:c>
      <x:c r="N124" s="29" t="n">
        <x:v>3</x:v>
      </x:c>
      <x:c r="S124" s="25" t="inlineStr">
        <x:is>
          <x:t xml:space="preserve">B.M. Court</x:t>
        </x:is>
      </x:c>
      <x:c r="T124" s="25" t="inlineStr">
        <x:is>
          <x:t xml:space="preserve">AUS</x:t>
        </x:is>
      </x:c>
      <x:c r="U124" s="25" t="inlineStr">
        <x:is>
          <x:t xml:space="preserve">Australia</x:t>
        </x:is>
      </x:c>
      <x:c r="V124" s="7" t="n">
        <x:v>1</x:v>
      </x:c>
    </x:row>
    <x:row r="125">
      <x:c r="A125" t="n">
        <x:v>1964</x:v>
      </x:c>
      <x:c r="B125" s="25" t="inlineStr">
        <x:is>
          <x:t xml:space="preserve">Men's</x:t>
        </x:is>
      </x:c>
      <x:c r="C125" s="25" t="inlineStr">
        <x:is>
          <x:t xml:space="preserve">R.S. Emerson</x:t>
        </x:is>
      </x:c>
      <x:c r="D125" s="25" t="inlineStr">
        <x:is>
          <x:t xml:space="preserve">AUS</x:t>
        </x:is>
      </x:c>
      <x:c r="E125" s="25" t="inlineStr">
        <x:is>
          <x:t xml:space="preserve">Australia</x:t>
        </x:is>
      </x:c>
      <x:c r="F125" s="7" t="n">
        <x:v>1</x:v>
      </x:c>
      <x:c r="G125" s="22" t="n">
        <x:v>127</x:v>
      </x:c>
      <x:c r="H125" s="22" t="inlineStr">
        <x:is>
          <x:t xml:space="preserve">6-4, 12-10, 4-6, 6-3</x:t>
        </x:is>
      </x:c>
      <x:c r="I125" s="22" t="n">
        <x:v>6</x:v>
      </x:c>
      <x:c r="J125" s="29" t="n">
        <x:v>4</x:v>
      </x:c>
      <x:c r="K125" s="29" t="n">
        <x:v>12</x:v>
      </x:c>
      <x:c r="L125" s="29" t="n">
        <x:v>10</x:v>
      </x:c>
      <x:c r="M125" s="29" t="n">
        <x:v>4</x:v>
      </x:c>
      <x:c r="N125" s="29" t="n">
        <x:v>6</x:v>
      </x:c>
      <x:c r="O125" s="29" t="n">
        <x:v>6</x:v>
      </x:c>
      <x:c r="P125" s="29" t="n">
        <x:v>3</x:v>
      </x:c>
      <x:c r="S125" s="25" t="inlineStr">
        <x:is>
          <x:t xml:space="preserve">F.S. Stolle</x:t>
        </x:is>
      </x:c>
      <x:c r="T125" s="25" t="inlineStr">
        <x:is>
          <x:t xml:space="preserve">AUS</x:t>
        </x:is>
      </x:c>
      <x:c r="U125" s="25" t="inlineStr">
        <x:is>
          <x:t xml:space="preserve">Australia</x:t>
        </x:is>
      </x:c>
      <x:c r="V125" s="7" t="n">
        <x:v>6</x:v>
      </x:c>
    </x:row>
    <x:row r="126">
      <x:c r="A126" t="n">
        <x:v>1963</x:v>
      </x:c>
      <x:c r="B126" s="25" t="inlineStr">
        <x:is>
          <x:t xml:space="preserve">Women's</x:t>
        </x:is>
      </x:c>
      <x:c r="C126" s="25" t="inlineStr">
        <x:is>
          <x:t xml:space="preserve">B.M. Court</x:t>
        </x:is>
      </x:c>
      <x:c r="D126" s="25" t="inlineStr">
        <x:is>
          <x:t xml:space="preserve">AUS</x:t>
        </x:is>
      </x:c>
      <x:c r="E126" s="25" t="inlineStr">
        <x:is>
          <x:t xml:space="preserve">Australia</x:t>
        </x:is>
      </x:c>
      <x:c r="F126" s="7" t="n">
        <x:v>1</x:v>
      </x:c>
      <x:c r="G126" s="22" t="n">
        <x:v>51</x:v>
      </x:c>
      <x:c r="H126" s="22" t="inlineStr">
        <x:is>
          <x:t xml:space="preserve">6-3, 6-4,</x:t>
        </x:is>
      </x:c>
      <x:c r="I126" s="22" t="n">
        <x:v>6</x:v>
      </x:c>
      <x:c r="J126" s="29" t="n">
        <x:v>3</x:v>
      </x:c>
      <x:c r="K126" s="29" t="n">
        <x:v>6</x:v>
      </x:c>
      <x:c r="L126" s="29" t="n">
        <x:v>4</x:v>
      </x:c>
      <x:c r="S126" s="25" t="inlineStr">
        <x:is>
          <x:t xml:space="preserve">B.J. Moffitt</x:t>
        </x:is>
      </x:c>
      <x:c r="T126" s="25" t="inlineStr">
        <x:is>
          <x:t xml:space="preserve">USA</x:t>
        </x:is>
      </x:c>
      <x:c r="U126" s="25" t="inlineStr">
        <x:is>
          <x:t xml:space="preserve">United States</x:t>
        </x:is>
      </x:c>
      <x:c r="V126" s="7" t="inlineStr">
        <x:is>
          <x:t xml:space="preserve">U</x:t>
        </x:is>
      </x:c>
    </x:row>
    <x:row r="127">
      <x:c r="A127" t="n">
        <x:v>1963</x:v>
      </x:c>
      <x:c r="B127" s="25" t="inlineStr">
        <x:is>
          <x:t xml:space="preserve">Men's</x:t>
        </x:is>
      </x:c>
      <x:c r="C127" s="25" t="inlineStr">
        <x:is>
          <x:t xml:space="preserve">C.R. McKinley</x:t>
        </x:is>
      </x:c>
      <x:c r="D127" s="25" t="inlineStr">
        <x:is>
          <x:t xml:space="preserve">USA</x:t>
        </x:is>
      </x:c>
      <x:c r="E127" s="25" t="inlineStr">
        <x:is>
          <x:t xml:space="preserve">United States</x:t>
        </x:is>
      </x:c>
      <x:c r="F127" s="7" t="n">
        <x:v>4</x:v>
      </x:c>
      <x:c r="G127" s="22" t="n">
        <x:v>78</x:v>
      </x:c>
      <x:c r="H127" s="22" t="inlineStr">
        <x:is>
          <x:t xml:space="preserve">9-7, 6-1, 6-4</x:t>
        </x:is>
      </x:c>
      <x:c r="I127" s="22" t="n">
        <x:v>9</x:v>
      </x:c>
      <x:c r="J127" s="29" t="n">
        <x:v>7</x:v>
      </x:c>
      <x:c r="K127" s="29" t="n">
        <x:v>6</x:v>
      </x:c>
      <x:c r="L127" s="29" t="n">
        <x:v>1</x:v>
      </x:c>
      <x:c r="M127" s="29" t="n">
        <x:v>6</x:v>
      </x:c>
      <x:c r="N127" s="29" t="n">
        <x:v>4</x:v>
      </x:c>
      <x:c r="S127" s="25" t="inlineStr">
        <x:is>
          <x:t xml:space="preserve">F.S. Stolle</x:t>
        </x:is>
      </x:c>
      <x:c r="T127" s="25" t="inlineStr">
        <x:is>
          <x:t xml:space="preserve">AUS</x:t>
        </x:is>
      </x:c>
      <x:c r="U127" s="25" t="inlineStr">
        <x:is>
          <x:t xml:space="preserve">Australia</x:t>
        </x:is>
      </x:c>
      <x:c r="V127" s="7" t="inlineStr">
        <x:is>
          <x:t xml:space="preserve">U</x:t>
        </x:is>
      </x:c>
    </x:row>
    <x:row r="128">
      <x:c r="A128" t="n">
        <x:v>1962</x:v>
      </x:c>
      <x:c r="B128" s="25" t="inlineStr">
        <x:is>
          <x:t xml:space="preserve">Women's</x:t>
        </x:is>
      </x:c>
      <x:c r="C128" s="25" t="inlineStr">
        <x:is>
          <x:t xml:space="preserve">J.R. Susman</x:t>
        </x:is>
      </x:c>
      <x:c r="D128" s="25" t="inlineStr">
        <x:is>
          <x:t xml:space="preserve">USA</x:t>
        </x:is>
      </x:c>
      <x:c r="E128" s="25" t="inlineStr">
        <x:is>
          <x:t xml:space="preserve">United States</x:t>
        </x:is>
      </x:c>
      <x:c r="F128" s="7" t="n">
        <x:v>8</x:v>
      </x:c>
      <x:c r="G128" s="22" t="n">
        <x:v>57</x:v>
      </x:c>
      <x:c r="H128" s="22" t="inlineStr">
        <x:is>
          <x:t xml:space="preserve">6-4, 6-4,</x:t>
        </x:is>
      </x:c>
      <x:c r="I128" s="22" t="n">
        <x:v>6</x:v>
      </x:c>
      <x:c r="J128" s="29" t="n">
        <x:v>4</x:v>
      </x:c>
      <x:c r="K128" s="29" t="n">
        <x:v>6</x:v>
      </x:c>
      <x:c r="L128" s="29" t="n">
        <x:v>4</x:v>
      </x:c>
      <x:c r="S128" s="25" t="inlineStr">
        <x:is>
          <x:t xml:space="preserve">C. Sukova</x:t>
        </x:is>
      </x:c>
      <x:c r="T128" s="25" t="inlineStr">
        <x:is>
          <x:t xml:space="preserve">CZE</x:t>
        </x:is>
      </x:c>
      <x:c r="U128" s="25" t="inlineStr">
        <x:is>
          <x:t xml:space="preserve">Czechia</x:t>
        </x:is>
      </x:c>
      <x:c r="V128" s="7" t="inlineStr">
        <x:is>
          <x:t xml:space="preserve">U</x:t>
        </x:is>
      </x:c>
    </x:row>
    <x:row r="129">
      <x:c r="A129" t="n">
        <x:v>1962</x:v>
      </x:c>
      <x:c r="B129" s="25" t="inlineStr">
        <x:is>
          <x:t xml:space="preserve">Men's</x:t>
        </x:is>
      </x:c>
      <x:c r="C129" s="25" t="inlineStr">
        <x:is>
          <x:t xml:space="preserve">R.G. Laver</x:t>
        </x:is>
      </x:c>
      <x:c r="D129" s="25" t="inlineStr">
        <x:is>
          <x:t xml:space="preserve">AUS</x:t>
        </x:is>
      </x:c>
      <x:c r="E129" s="25" t="inlineStr">
        <x:is>
          <x:t xml:space="preserve">Australia</x:t>
        </x:is>
      </x:c>
      <x:c r="F129" s="7" t="n">
        <x:v>1</x:v>
      </x:c>
      <x:c r="G129" s="22" t="n">
        <x:v>51</x:v>
      </x:c>
      <x:c r="H129" s="22" t="inlineStr">
        <x:is>
          <x:t xml:space="preserve">6-2, 6-2, 6-1</x:t>
        </x:is>
      </x:c>
      <x:c r="I129" s="22" t="n">
        <x:v>6</x:v>
      </x:c>
      <x:c r="J129" s="29" t="n">
        <x:v>2</x:v>
      </x:c>
      <x:c r="K129" s="29" t="n">
        <x:v>6</x:v>
      </x:c>
      <x:c r="L129" s="29" t="n">
        <x:v>2</x:v>
      </x:c>
      <x:c r="M129" s="29" t="n">
        <x:v>6</x:v>
      </x:c>
      <x:c r="N129" s="29" t="n">
        <x:v>1</x:v>
      </x:c>
      <x:c r="S129" s="25" t="inlineStr">
        <x:is>
          <x:t xml:space="preserve">M.F. Mulligan</x:t>
        </x:is>
      </x:c>
      <x:c r="T129" s="25" t="inlineStr">
        <x:is>
          <x:t xml:space="preserve">AUS</x:t>
        </x:is>
      </x:c>
      <x:c r="U129" s="25" t="inlineStr">
        <x:is>
          <x:t xml:space="preserve">Australia</x:t>
        </x:is>
      </x:c>
      <x:c r="V129" s="7" t="inlineStr">
        <x:is>
          <x:t xml:space="preserve">U</x:t>
        </x:is>
      </x:c>
    </x:row>
    <x:row r="130">
      <x:c r="A130" t="n">
        <x:v>1961</x:v>
      </x:c>
      <x:c r="B130" s="25" t="inlineStr">
        <x:is>
          <x:t xml:space="preserve">Women's</x:t>
        </x:is>
      </x:c>
      <x:c r="C130" s="25" t="inlineStr">
        <x:is>
          <x:t xml:space="preserve">F.A.M. Mortimer</x:t>
        </x:is>
      </x:c>
      <x:c r="D130" s="25" t="inlineStr">
        <x:is>
          <x:t xml:space="preserve">GBR</x:t>
        </x:is>
      </x:c>
      <x:c r="E130" s="25" t="inlineStr">
        <x:is>
          <x:t xml:space="preserve">United Kingdom</x:t>
        </x:is>
      </x:c>
      <x:c r="F130" s="7" t="n">
        <x:v>7</x:v>
      </x:c>
      <x:c r="G130" s="22" t="n">
        <x:v>96</x:v>
      </x:c>
      <x:c r="H130" s="22" t="inlineStr">
        <x:is>
          <x:t xml:space="preserve">4-6, 6-4, 7-5,</x:t>
        </x:is>
      </x:c>
      <x:c r="I130" s="22" t="n">
        <x:v>4</x:v>
      </x:c>
      <x:c r="J130" s="29" t="n">
        <x:v>6</x:v>
      </x:c>
      <x:c r="K130" s="29" t="n">
        <x:v>6</x:v>
      </x:c>
      <x:c r="L130" s="29" t="n">
        <x:v>4</x:v>
      </x:c>
      <x:c r="M130" s="29" t="n">
        <x:v>7</x:v>
      </x:c>
      <x:c r="N130" s="29" t="n">
        <x:v>5</x:v>
      </x:c>
      <x:c r="S130" s="25" t="inlineStr">
        <x:is>
          <x:t xml:space="preserve">C.C. Truman</x:t>
        </x:is>
      </x:c>
      <x:c r="T130" s="25" t="inlineStr">
        <x:is>
          <x:t xml:space="preserve">GBR</x:t>
        </x:is>
      </x:c>
      <x:c r="U130" s="25" t="inlineStr">
        <x:is>
          <x:t xml:space="preserve">United Kingdom</x:t>
        </x:is>
      </x:c>
      <x:c r="V130" s="7" t="n">
        <x:v>6</x:v>
      </x:c>
    </x:row>
    <x:row r="131">
      <x:c r="A131" t="n">
        <x:v>1961</x:v>
      </x:c>
      <x:c r="B131" s="25" t="inlineStr">
        <x:is>
          <x:t xml:space="preserve">Men's</x:t>
        </x:is>
      </x:c>
      <x:c r="C131" s="25" t="inlineStr">
        <x:is>
          <x:t xml:space="preserve">R.G. Laver</x:t>
        </x:is>
      </x:c>
      <x:c r="D131" s="25" t="inlineStr">
        <x:is>
          <x:t xml:space="preserve">AUS</x:t>
        </x:is>
      </x:c>
      <x:c r="E131" s="25" t="inlineStr">
        <x:is>
          <x:t xml:space="preserve">Australia</x:t>
        </x:is>
      </x:c>
      <x:c r="F131" s="7" t="n">
        <x:v>2</x:v>
      </x:c>
      <x:c r="G131" s="22" t="n">
        <x:v>55</x:v>
      </x:c>
      <x:c r="H131" s="22" t="inlineStr">
        <x:is>
          <x:t xml:space="preserve">6-3, 6-1, 6-4</x:t>
        </x:is>
      </x:c>
      <x:c r="I131" s="22" t="n">
        <x:v>6</x:v>
      </x:c>
      <x:c r="J131" s="29" t="n">
        <x:v>3</x:v>
      </x:c>
      <x:c r="K131" s="29" t="n">
        <x:v>6</x:v>
      </x:c>
      <x:c r="L131" s="29" t="n">
        <x:v>1</x:v>
      </x:c>
      <x:c r="M131" s="29" t="n">
        <x:v>6</x:v>
      </x:c>
      <x:c r="N131" s="29" t="n">
        <x:v>4</x:v>
      </x:c>
      <x:c r="S131" s="25" t="inlineStr">
        <x:is>
          <x:t xml:space="preserve">C.R. McKinley</x:t>
        </x:is>
      </x:c>
      <x:c r="T131" s="25" t="inlineStr">
        <x:is>
          <x:t xml:space="preserve">USA</x:t>
        </x:is>
      </x:c>
      <x:c r="U131" s="25" t="inlineStr">
        <x:is>
          <x:t xml:space="preserve">United States</x:t>
        </x:is>
      </x:c>
      <x:c r="V131" s="7" t="n">
        <x:v>8</x:v>
      </x:c>
    </x:row>
    <x:row r="132">
      <x:c r="A132" t="n">
        <x:v>1960</x:v>
      </x:c>
      <x:c r="B132" s="25" t="inlineStr">
        <x:is>
          <x:t xml:space="preserve">Women's</x:t>
        </x:is>
      </x:c>
      <x:c r="C132" s="25" t="inlineStr">
        <x:is>
          <x:t xml:space="preserve">M.E.A. Bueno</x:t>
        </x:is>
      </x:c>
      <x:c r="D132" s="25" t="inlineStr">
        <x:is>
          <x:t xml:space="preserve">BRA</x:t>
        </x:is>
      </x:c>
      <x:c r="E132" s="25" t="inlineStr">
        <x:is>
          <x:t xml:space="preserve">Brazil</x:t>
        </x:is>
      </x:c>
      <x:c r="F132" s="7" t="n">
        <x:v>1</x:v>
      </x:c>
      <x:c r="G132" s="22" t="n">
        <x:v>59</x:v>
      </x:c>
      <x:c r="H132" s="22" t="inlineStr">
        <x:is>
          <x:t xml:space="preserve">8-6, 6-0</x:t>
        </x:is>
      </x:c>
      <x:c r="I132" s="22" t="n">
        <x:v>8</x:v>
      </x:c>
      <x:c r="J132" s="29" t="n">
        <x:v>6</x:v>
      </x:c>
      <x:c r="K132" s="29" t="n">
        <x:v>6</x:v>
      </x:c>
      <x:c r="L132" s="29" t="n">
        <x:v>0</x:v>
      </x:c>
      <x:c r="S132" s="25" t="inlineStr">
        <x:is>
          <x:t xml:space="preserve">S. Reynolds</x:t>
        </x:is>
      </x:c>
      <x:c r="T132" s="25" t="inlineStr">
        <x:is>
          <x:t xml:space="preserve">RSA</x:t>
        </x:is>
      </x:c>
      <x:c r="U132" s="25" t="inlineStr">
        <x:is>
          <x:t xml:space="preserve">South Africa</x:t>
        </x:is>
      </x:c>
      <x:c r="V132" s="7" t="n">
        <x:v>8</x:v>
      </x:c>
    </x:row>
    <x:row r="133">
      <x:c r="A133" t="n">
        <x:v>1960</x:v>
      </x:c>
      <x:c r="B133" s="25" t="inlineStr">
        <x:is>
          <x:t xml:space="preserve">Men's</x:t>
        </x:is>
      </x:c>
      <x:c r="C133" s="25" t="inlineStr">
        <x:is>
          <x:t xml:space="preserve">N.A. Fraser</x:t>
        </x:is>
      </x:c>
      <x:c r="D133" s="25" t="inlineStr">
        <x:is>
          <x:t xml:space="preserve">AUS</x:t>
        </x:is>
      </x:c>
      <x:c r="E133" s="25" t="inlineStr">
        <x:is>
          <x:t xml:space="preserve">Australia</x:t>
        </x:is>
      </x:c>
      <x:c r="F133" s="7" t="n">
        <x:v>1</x:v>
      </x:c>
      <x:c r="G133" s="22" t="n">
        <x:v>130</x:v>
      </x:c>
      <x:c r="H133" s="22" t="inlineStr">
        <x:is>
          <x:t xml:space="preserve">6-4, 3-6, 9-7, 7-5</x:t>
        </x:is>
      </x:c>
      <x:c r="I133" s="22" t="n">
        <x:v>6</x:v>
      </x:c>
      <x:c r="J133" s="29" t="n">
        <x:v>4</x:v>
      </x:c>
      <x:c r="K133" s="29" t="n">
        <x:v>3</x:v>
      </x:c>
      <x:c r="L133" s="29" t="n">
        <x:v>6</x:v>
      </x:c>
      <x:c r="M133" s="29" t="n">
        <x:v>9</x:v>
      </x:c>
      <x:c r="N133" s="29" t="n">
        <x:v>7</x:v>
      </x:c>
      <x:c r="O133" s="29" t="n">
        <x:v>7</x:v>
      </x:c>
      <x:c r="P133" s="29" t="n">
        <x:v>5</x:v>
      </x:c>
      <x:c r="S133" s="25" t="inlineStr">
        <x:is>
          <x:t xml:space="preserve">R.G. Laver</x:t>
        </x:is>
      </x:c>
      <x:c r="T133" s="25" t="inlineStr">
        <x:is>
          <x:t xml:space="preserve">AUS</x:t>
        </x:is>
      </x:c>
      <x:c r="U133" s="25" t="inlineStr">
        <x:is>
          <x:t xml:space="preserve">Australia</x:t>
        </x:is>
      </x:c>
      <x:c r="V133" s="7" t="n">
        <x:v>3</x:v>
      </x:c>
    </x:row>
    <x:row r="134">
      <x:c r="A134" t="n">
        <x:v>1959</x:v>
      </x:c>
      <x:c r="B134" s="25" t="inlineStr">
        <x:is>
          <x:t xml:space="preserve">Women's</x:t>
        </x:is>
      </x:c>
      <x:c r="C134" s="25" t="inlineStr">
        <x:is>
          <x:t xml:space="preserve">M.E.A. Bueno</x:t>
        </x:is>
      </x:c>
      <x:c r="D134" s="25" t="inlineStr">
        <x:is>
          <x:t xml:space="preserve">BRA</x:t>
        </x:is>
      </x:c>
      <x:c r="E134" s="25" t="inlineStr">
        <x:is>
          <x:t xml:space="preserve">Brazil</x:t>
        </x:is>
      </x:c>
      <x:c r="F134" s="7" t="n">
        <x:v>6</x:v>
      </x:c>
      <x:c r="G134" s="22" t="n">
        <x:v>43</x:v>
      </x:c>
      <x:c r="H134" s="22" t="inlineStr">
        <x:is>
          <x:t xml:space="preserve">6-4, 6-3,</x:t>
        </x:is>
      </x:c>
      <x:c r="I134" s="22" t="n">
        <x:v>6</x:v>
      </x:c>
      <x:c r="J134" s="29" t="n">
        <x:v>4</x:v>
      </x:c>
      <x:c r="K134" s="29" t="n">
        <x:v>6</x:v>
      </x:c>
      <x:c r="L134" s="29" t="n">
        <x:v>3</x:v>
      </x:c>
      <x:c r="S134" s="25" t="inlineStr">
        <x:is>
          <x:t xml:space="preserve">D.R. Hard</x:t>
        </x:is>
      </x:c>
      <x:c r="T134" s="25" t="inlineStr">
        <x:is>
          <x:t xml:space="preserve">USA</x:t>
        </x:is>
      </x:c>
      <x:c r="U134" s="25" t="inlineStr">
        <x:is>
          <x:t xml:space="preserve">United States</x:t>
        </x:is>
      </x:c>
      <x:c r="V134" s="7" t="n">
        <x:v>4</x:v>
      </x:c>
    </x:row>
    <x:row r="135">
      <x:c r="A135" t="n">
        <x:v>1959</x:v>
      </x:c>
      <x:c r="B135" s="25" t="inlineStr">
        <x:is>
          <x:t xml:space="preserve">Men's</x:t>
        </x:is>
      </x:c>
      <x:c r="C135" s="25" t="inlineStr">
        <x:is>
          <x:t xml:space="preserve">A.R. Olmedo</x:t>
        </x:is>
      </x:c>
      <x:c r="D135" s="25" t="inlineStr">
        <x:is>
          <x:t xml:space="preserve">USA</x:t>
        </x:is>
      </x:c>
      <x:c r="E135" s="25" t="inlineStr">
        <x:is>
          <x:t xml:space="preserve">United States</x:t>
        </x:is>
      </x:c>
      <x:c r="F135" s="7" t="n">
        <x:v>1</x:v>
      </x:c>
      <x:c r="G135" s="22" t="n">
        <x:v>71</x:v>
      </x:c>
      <x:c r="H135" s="22" t="inlineStr">
        <x:is>
          <x:t xml:space="preserve">6-4, 6-3, 6-4</x:t>
        </x:is>
      </x:c>
      <x:c r="I135" s="22" t="n">
        <x:v>6</x:v>
      </x:c>
      <x:c r="J135" s="29" t="n">
        <x:v>4</x:v>
      </x:c>
      <x:c r="K135" s="29" t="n">
        <x:v>6</x:v>
      </x:c>
      <x:c r="L135" s="29" t="n">
        <x:v>3</x:v>
      </x:c>
      <x:c r="M135" s="29" t="n">
        <x:v>6</x:v>
      </x:c>
      <x:c r="N135" s="29" t="n">
        <x:v>4</x:v>
      </x:c>
      <x:c r="S135" s="25" t="inlineStr">
        <x:is>
          <x:t xml:space="preserve">R.G. Laver</x:t>
        </x:is>
      </x:c>
      <x:c r="T135" s="25" t="inlineStr">
        <x:is>
          <x:t xml:space="preserve">AUS</x:t>
        </x:is>
      </x:c>
      <x:c r="U135" s="25" t="inlineStr">
        <x:is>
          <x:t xml:space="preserve">Australia</x:t>
        </x:is>
      </x:c>
      <x:c r="V135" s="7" t="inlineStr">
        <x:is>
          <x:t xml:space="preserve">U</x:t>
        </x:is>
      </x:c>
    </x:row>
    <x:row r="136">
      <x:c r="A136" t="n">
        <x:v>1958</x:v>
      </x:c>
      <x:c r="B136" s="25" t="inlineStr">
        <x:is>
          <x:t xml:space="preserve">Women's</x:t>
        </x:is>
      </x:c>
      <x:c r="C136" s="25" t="inlineStr">
        <x:is>
          <x:t xml:space="preserve">A. Gibson</x:t>
        </x:is>
      </x:c>
      <x:c r="D136" s="25" t="inlineStr">
        <x:is>
          <x:t xml:space="preserve">USA</x:t>
        </x:is>
      </x:c>
      <x:c r="E136" s="25" t="inlineStr">
        <x:is>
          <x:t xml:space="preserve">United States</x:t>
        </x:is>
      </x:c>
      <x:c r="F136" s="7" t="n">
        <x:v>1</x:v>
      </x:c>
      <x:c r="G136" s="22" t="n">
        <x:v>62</x:v>
      </x:c>
      <x:c r="H136" s="22" t="inlineStr">
        <x:is>
          <x:t xml:space="preserve">8-6, 6-2,</x:t>
        </x:is>
      </x:c>
      <x:c r="I136" s="22" t="n">
        <x:v>8</x:v>
      </x:c>
      <x:c r="J136" s="29" t="n">
        <x:v>6</x:v>
      </x:c>
      <x:c r="K136" s="29" t="n">
        <x:v>6</x:v>
      </x:c>
      <x:c r="L136" s="29" t="n">
        <x:v>2</x:v>
      </x:c>
      <x:c r="S136" s="25" t="inlineStr">
        <x:is>
          <x:t xml:space="preserve">F.A.M. Mortimer</x:t>
        </x:is>
      </x:c>
      <x:c r="T136" s="25" t="inlineStr">
        <x:is>
          <x:t xml:space="preserve">GBR</x:t>
        </x:is>
      </x:c>
      <x:c r="U136" s="25" t="inlineStr">
        <x:is>
          <x:t xml:space="preserve">United Kingdom</x:t>
        </x:is>
      </x:c>
      <x:c r="V136" s="7" t="inlineStr">
        <x:is>
          <x:t xml:space="preserve">U</x:t>
        </x:is>
      </x:c>
    </x:row>
    <x:row r="137">
      <x:c r="A137" t="n">
        <x:v>1958</x:v>
      </x:c>
      <x:c r="B137" s="25" t="inlineStr">
        <x:is>
          <x:t xml:space="preserve">Men's</x:t>
        </x:is>
      </x:c>
      <x:c r="C137" s="25" t="inlineStr">
        <x:is>
          <x:t xml:space="preserve">A.J. Cooper</x:t>
        </x:is>
      </x:c>
      <x:c r="D137" s="25" t="inlineStr">
        <x:is>
          <x:t xml:space="preserve">AUS</x:t>
        </x:is>
      </x:c>
      <x:c r="E137" s="25" t="inlineStr">
        <x:is>
          <x:t xml:space="preserve">Australia</x:t>
        </x:is>
      </x:c>
      <x:c r="F137" s="7" t="n">
        <x:v>1</x:v>
      </x:c>
      <x:c r="G137" s="22" t="n">
        <x:v>130</x:v>
      </x:c>
      <x:c r="H137" s="22" t="inlineStr">
        <x:is>
          <x:t xml:space="preserve">3-6, 6-3, 6-4, 13-11</x:t>
        </x:is>
      </x:c>
      <x:c r="I137" s="22" t="n">
        <x:v>3</x:v>
      </x:c>
      <x:c r="J137" s="29" t="n">
        <x:v>6</x:v>
      </x:c>
      <x:c r="K137" s="29" t="n">
        <x:v>6</x:v>
      </x:c>
      <x:c r="L137" s="29" t="n">
        <x:v>3</x:v>
      </x:c>
      <x:c r="M137" s="29" t="n">
        <x:v>6</x:v>
      </x:c>
      <x:c r="N137" s="29" t="n">
        <x:v>4</x:v>
      </x:c>
      <x:c r="O137" s="29" t="n">
        <x:v>13</x:v>
      </x:c>
      <x:c r="P137" s="29" t="n">
        <x:v>11</x:v>
      </x:c>
      <x:c r="S137" s="25" t="inlineStr">
        <x:is>
          <x:t xml:space="preserve">N.A. Fraser</x:t>
        </x:is>
      </x:c>
      <x:c r="T137" s="25" t="inlineStr">
        <x:is>
          <x:t xml:space="preserve">AUS</x:t>
        </x:is>
      </x:c>
      <x:c r="U137" s="25" t="inlineStr">
        <x:is>
          <x:t xml:space="preserve">Australia</x:t>
        </x:is>
      </x:c>
      <x:c r="V137" s="7" t="n">
        <x:v>4</x:v>
      </x:c>
    </x:row>
    <x:row r="138">
      <x:c r="A138" t="n">
        <x:v>1957</x:v>
      </x:c>
      <x:c r="B138" s="25" t="inlineStr">
        <x:is>
          <x:t xml:space="preserve">Women's</x:t>
        </x:is>
      </x:c>
      <x:c r="C138" s="25" t="inlineStr">
        <x:is>
          <x:t xml:space="preserve">A. Gibson</x:t>
        </x:is>
      </x:c>
      <x:c r="D138" s="25" t="inlineStr">
        <x:is>
          <x:t xml:space="preserve">USA</x:t>
        </x:is>
      </x:c>
      <x:c r="E138" s="25" t="inlineStr">
        <x:is>
          <x:t xml:space="preserve">United States</x:t>
        </x:is>
      </x:c>
      <x:c r="F138" s="7" t="n">
        <x:v>1</x:v>
      </x:c>
      <x:c r="G138" s="22" t="n">
        <x:v>50</x:v>
      </x:c>
      <x:c r="H138" s="22" t="inlineStr">
        <x:is>
          <x:t xml:space="preserve">6-3, 6-2,</x:t>
        </x:is>
      </x:c>
      <x:c r="I138" s="22" t="n">
        <x:v>6</x:v>
      </x:c>
      <x:c r="J138" s="29" t="n">
        <x:v>3</x:v>
      </x:c>
      <x:c r="K138" s="29" t="n">
        <x:v>6</x:v>
      </x:c>
      <x:c r="L138" s="29" t="n">
        <x:v>2</x:v>
      </x:c>
      <x:c r="S138" s="25" t="inlineStr">
        <x:is>
          <x:t xml:space="preserve">D.R. Hard</x:t>
        </x:is>
      </x:c>
      <x:c r="T138" s="25" t="inlineStr">
        <x:is>
          <x:t xml:space="preserve">USA</x:t>
        </x:is>
      </x:c>
      <x:c r="U138" s="25" t="inlineStr">
        <x:is>
          <x:t xml:space="preserve">United States</x:t>
        </x:is>
      </x:c>
      <x:c r="V138" s="7" t="n">
        <x:v>5</x:v>
      </x:c>
    </x:row>
    <x:row r="139">
      <x:c r="A139" t="n">
        <x:v>1957</x:v>
      </x:c>
      <x:c r="B139" s="25" t="inlineStr">
        <x:is>
          <x:t xml:space="preserve">Men's</x:t>
        </x:is>
      </x:c>
      <x:c r="C139" s="25" t="inlineStr">
        <x:is>
          <x:t xml:space="preserve">L.A. Hoad</x:t>
        </x:is>
      </x:c>
      <x:c r="D139" s="25" t="inlineStr">
        <x:is>
          <x:t xml:space="preserve">AUS</x:t>
        </x:is>
      </x:c>
      <x:c r="E139" s="25" t="inlineStr">
        <x:is>
          <x:t xml:space="preserve">Australia</x:t>
        </x:is>
      </x:c>
      <x:c r="F139" s="7" t="n">
        <x:v>1</x:v>
      </x:c>
      <x:c r="G139" s="22" t="n">
        <x:v>57</x:v>
      </x:c>
      <x:c r="H139" s="22" t="inlineStr">
        <x:is>
          <x:t xml:space="preserve">6-2, 6-1, 6-2</x:t>
        </x:is>
      </x:c>
      <x:c r="I139" s="22" t="n">
        <x:v>6</x:v>
      </x:c>
      <x:c r="J139" s="29" t="n">
        <x:v>2</x:v>
      </x:c>
      <x:c r="K139" s="29" t="n">
        <x:v>6</x:v>
      </x:c>
      <x:c r="L139" s="29" t="n">
        <x:v>1</x:v>
      </x:c>
      <x:c r="M139" s="29" t="n">
        <x:v>6</x:v>
      </x:c>
      <x:c r="N139" s="29" t="n">
        <x:v>2</x:v>
      </x:c>
      <x:c r="S139" s="25" t="inlineStr">
        <x:is>
          <x:t xml:space="preserve">A.J. Cooper</x:t>
        </x:is>
      </x:c>
      <x:c r="T139" s="25" t="inlineStr">
        <x:is>
          <x:t xml:space="preserve">AUS</x:t>
        </x:is>
      </x:c>
      <x:c r="U139" s="25" t="inlineStr">
        <x:is>
          <x:t xml:space="preserve">Australia</x:t>
        </x:is>
      </x:c>
      <x:c r="V139" s="7" t="n">
        <x:v>2</x:v>
      </x:c>
    </x:row>
    <x:row r="140">
      <x:c r="A140" t="n">
        <x:v>1956</x:v>
      </x:c>
      <x:c r="B140" s="25" t="inlineStr">
        <x:is>
          <x:t xml:space="preserve">Women's</x:t>
        </x:is>
      </x:c>
      <x:c r="C140" s="25" t="inlineStr">
        <x:is>
          <x:t xml:space="preserve">S.J. Fry</x:t>
        </x:is>
      </x:c>
      <x:c r="D140" s="25" t="inlineStr">
        <x:is>
          <x:t xml:space="preserve">USA</x:t>
        </x:is>
      </x:c>
      <x:c r="E140" s="25" t="inlineStr">
        <x:is>
          <x:t xml:space="preserve">United States</x:t>
        </x:is>
      </x:c>
      <x:c r="F140" s="7" t="n">
        <x:v>5</x:v>
      </x:c>
      <x:c r="G140" s="22" t="n">
        <x:v>50</x:v>
      </x:c>
      <x:c r="H140" s="22" t="inlineStr">
        <x:is>
          <x:t xml:space="preserve">6-3, 6-1,</x:t>
        </x:is>
      </x:c>
      <x:c r="I140" s="22" t="n">
        <x:v>6</x:v>
      </x:c>
      <x:c r="J140" s="29" t="n">
        <x:v>3</x:v>
      </x:c>
      <x:c r="K140" s="29" t="n">
        <x:v>6</x:v>
      </x:c>
      <x:c r="L140" s="29" t="n">
        <x:v>1</x:v>
      </x:c>
      <x:c r="S140" s="25" t="inlineStr">
        <x:is>
          <x:t xml:space="preserve">A. Buxton</x:t>
        </x:is>
      </x:c>
      <x:c r="T140" s="25" t="inlineStr">
        <x:is>
          <x:t xml:space="preserve">GBR</x:t>
        </x:is>
      </x:c>
      <x:c r="U140" s="25" t="inlineStr">
        <x:is>
          <x:t xml:space="preserve">United Kingdom</x:t>
        </x:is>
      </x:c>
      <x:c r="V140" s="7" t="n">
        <x:v>6</x:v>
      </x:c>
    </x:row>
    <x:row r="141">
      <x:c r="A141" t="n">
        <x:v>1956</x:v>
      </x:c>
      <x:c r="B141" s="25" t="inlineStr">
        <x:is>
          <x:t xml:space="preserve">Men's</x:t>
        </x:is>
      </x:c>
      <x:c r="C141" s="25" t="inlineStr">
        <x:is>
          <x:t xml:space="preserve">L.A. Hoad</x:t>
        </x:is>
      </x:c>
      <x:c r="D141" s="25" t="inlineStr">
        <x:is>
          <x:t xml:space="preserve">AUS</x:t>
        </x:is>
      </x:c>
      <x:c r="E141" s="25" t="inlineStr">
        <x:is>
          <x:t xml:space="preserve">Australia</x:t>
        </x:is>
      </x:c>
      <x:c r="F141" s="7" t="n">
        <x:v>1</x:v>
      </x:c>
      <x:c r="G141" s="22" t="n">
        <x:v>117</x:v>
      </x:c>
      <x:c r="H141" s="22" t="inlineStr">
        <x:is>
          <x:t xml:space="preserve">6-2, 4-6, 7-5, 6-4</x:t>
        </x:is>
      </x:c>
      <x:c r="I141" s="22" t="n">
        <x:v>6</x:v>
      </x:c>
      <x:c r="J141" s="29" t="n">
        <x:v>2</x:v>
      </x:c>
      <x:c r="K141" s="29" t="n">
        <x:v>4</x:v>
      </x:c>
      <x:c r="L141" s="29" t="n">
        <x:v>6</x:v>
      </x:c>
      <x:c r="M141" s="29" t="n">
        <x:v>7</x:v>
      </x:c>
      <x:c r="N141" s="29" t="n">
        <x:v>5</x:v>
      </x:c>
      <x:c r="O141" s="29" t="n">
        <x:v>6</x:v>
      </x:c>
      <x:c r="P141" s="29" t="n">
        <x:v>4</x:v>
      </x:c>
      <x:c r="S141" s="25" t="inlineStr">
        <x:is>
          <x:t xml:space="preserve">K.R. Rosewall</x:t>
        </x:is>
      </x:c>
      <x:c r="T141" s="25" t="inlineStr">
        <x:is>
          <x:t xml:space="preserve">AUS</x:t>
        </x:is>
      </x:c>
      <x:c r="U141" s="25" t="inlineStr">
        <x:is>
          <x:t xml:space="preserve">Australia</x:t>
        </x:is>
      </x:c>
      <x:c r="V141" s="7" t="n">
        <x:v>2</x:v>
      </x:c>
    </x:row>
    <x:row r="142">
      <x:c r="A142" t="n">
        <x:v>1955</x:v>
      </x:c>
      <x:c r="B142" s="25" t="inlineStr">
        <x:is>
          <x:t xml:space="preserve">Women's</x:t>
        </x:is>
      </x:c>
      <x:c r="C142" s="25" t="inlineStr">
        <x:is>
          <x:t xml:space="preserve">A.L. Brough</x:t>
        </x:is>
      </x:c>
      <x:c r="D142" s="25" t="inlineStr">
        <x:is>
          <x:t xml:space="preserve">USA</x:t>
        </x:is>
      </x:c>
      <x:c r="E142" s="25" t="inlineStr">
        <x:is>
          <x:t xml:space="preserve">United States</x:t>
        </x:is>
      </x:c>
      <x:c r="F142" s="7" t="n">
        <x:v>2</x:v>
      </x:c>
      <x:c r="G142" s="22" t="n">
        <x:v>90</x:v>
      </x:c>
      <x:c r="H142" s="22" t="inlineStr">
        <x:is>
          <x:t xml:space="preserve">7-5, 8-6,</x:t>
        </x:is>
      </x:c>
      <x:c r="I142" s="22" t="n">
        <x:v>7</x:v>
      </x:c>
      <x:c r="J142" s="29" t="n">
        <x:v>5</x:v>
      </x:c>
      <x:c r="K142" s="29" t="n">
        <x:v>8</x:v>
      </x:c>
      <x:c r="L142" s="29" t="n">
        <x:v>6</x:v>
      </x:c>
      <x:c r="S142" s="25" t="inlineStr">
        <x:is>
          <x:t xml:space="preserve">J.G. Fleitz</x:t>
        </x:is>
      </x:c>
      <x:c r="T142" s="25" t="inlineStr">
        <x:is>
          <x:t xml:space="preserve">USA</x:t>
        </x:is>
      </x:c>
      <x:c r="U142" s="25" t="inlineStr">
        <x:is>
          <x:t xml:space="preserve">United States</x:t>
        </x:is>
      </x:c>
      <x:c r="V142" s="7" t="n">
        <x:v>3</x:v>
      </x:c>
    </x:row>
    <x:row r="143">
      <x:c r="A143" t="n">
        <x:v>1955</x:v>
      </x:c>
      <x:c r="B143" s="25" t="inlineStr">
        <x:is>
          <x:t xml:space="preserve">Men's</x:t>
        </x:is>
      </x:c>
      <x:c r="C143" s="25" t="inlineStr">
        <x:is>
          <x:t xml:space="preserve">M.A. Trabert</x:t>
        </x:is>
      </x:c>
      <x:c r="D143" s="25" t="inlineStr">
        <x:is>
          <x:t xml:space="preserve">USA</x:t>
        </x:is>
      </x:c>
      <x:c r="E143" s="25" t="inlineStr">
        <x:is>
          <x:t xml:space="preserve">United States</x:t>
        </x:is>
      </x:c>
      <x:c r="F143" s="7" t="n">
        <x:v>1</x:v>
      </x:c>
      <x:c r="G143" s="22" t="n">
        <x:v>73</x:v>
      </x:c>
      <x:c r="H143" s="22" t="inlineStr">
        <x:is>
          <x:t xml:space="preserve">6-3, 7-5, 6-1</x:t>
        </x:is>
      </x:c>
      <x:c r="I143" s="22" t="n">
        <x:v>6</x:v>
      </x:c>
      <x:c r="J143" s="29" t="n">
        <x:v>3</x:v>
      </x:c>
      <x:c r="K143" s="29" t="n">
        <x:v>7</x:v>
      </x:c>
      <x:c r="L143" s="29" t="n">
        <x:v>5</x:v>
      </x:c>
      <x:c r="M143" s="29" t="n">
        <x:v>6</x:v>
      </x:c>
      <x:c r="N143" s="29" t="n">
        <x:v>1</x:v>
      </x:c>
      <x:c r="S143" s="25" t="inlineStr">
        <x:is>
          <x:t xml:space="preserve">K. Nielsen</x:t>
        </x:is>
      </x:c>
      <x:c r="T143" s="25" t="inlineStr">
        <x:is>
          <x:t xml:space="preserve">DEN</x:t>
        </x:is>
      </x:c>
      <x:c r="U143" s="25" t="inlineStr">
        <x:is>
          <x:t xml:space="preserve">Denmark</x:t>
        </x:is>
      </x:c>
      <x:c r="V143" s="7" t="inlineStr">
        <x:is>
          <x:t xml:space="preserve">U</x:t>
        </x:is>
      </x:c>
    </x:row>
    <x:row r="144">
      <x:c r="A144" t="n">
        <x:v>1954</x:v>
      </x:c>
      <x:c r="B144" s="25" t="inlineStr">
        <x:is>
          <x:t xml:space="preserve">Women's</x:t>
        </x:is>
      </x:c>
      <x:c r="C144" s="25" t="inlineStr">
        <x:is>
          <x:t xml:space="preserve">M.C. Connolly</x:t>
        </x:is>
      </x:c>
      <x:c r="D144" s="25" t="inlineStr">
        <x:is>
          <x:t xml:space="preserve">USA</x:t>
        </x:is>
      </x:c>
      <x:c r="E144" s="25" t="inlineStr">
        <x:is>
          <x:t xml:space="preserve">United States</x:t>
        </x:is>
      </x:c>
      <x:c r="F144" s="7" t="n">
        <x:v>1</x:v>
      </x:c>
      <x:c r="G144" s="22" t="n">
        <x:v>50</x:v>
      </x:c>
      <x:c r="H144" s="22" t="inlineStr">
        <x:is>
          <x:t xml:space="preserve">6-2, 7-5,</x:t>
        </x:is>
      </x:c>
      <x:c r="I144" s="22" t="n">
        <x:v>6</x:v>
      </x:c>
      <x:c r="J144" s="29" t="n">
        <x:v>2</x:v>
      </x:c>
      <x:c r="K144" s="29" t="n">
        <x:v>7</x:v>
      </x:c>
      <x:c r="L144" s="29" t="n">
        <x:v>5</x:v>
      </x:c>
      <x:c r="S144" s="25" t="inlineStr">
        <x:is>
          <x:t xml:space="preserve">A.L. Brough</x:t>
        </x:is>
      </x:c>
      <x:c r="T144" s="25" t="inlineStr">
        <x:is>
          <x:t xml:space="preserve">USA</x:t>
        </x:is>
      </x:c>
      <x:c r="U144" s="25" t="inlineStr">
        <x:is>
          <x:t xml:space="preserve">United States</x:t>
        </x:is>
      </x:c>
      <x:c r="V144" s="7" t="n">
        <x:v>4</x:v>
      </x:c>
    </x:row>
    <x:row r="145">
      <x:c r="A145" t="n">
        <x:v>1954</x:v>
      </x:c>
      <x:c r="B145" s="25" t="inlineStr">
        <x:is>
          <x:t xml:space="preserve">Men's</x:t>
        </x:is>
      </x:c>
      <x:c r="C145" s="25" t="inlineStr">
        <x:is>
          <x:t xml:space="preserve">J. Drobny</x:t>
        </x:is>
      </x:c>
      <x:c r="D145" s="25" t="inlineStr">
        <x:is>
          <x:t xml:space="preserve">CZE</x:t>
        </x:is>
      </x:c>
      <x:c r="E145" s="25" t="inlineStr">
        <x:is>
          <x:t xml:space="preserve">Czechia</x:t>
        </x:is>
      </x:c>
      <x:c r="F145" s="7" t="n">
        <x:v>11</x:v>
      </x:c>
      <x:c r="G145" s="22" t="n">
        <x:v>157</x:v>
      </x:c>
      <x:c r="H145" s="22" t="inlineStr">
        <x:is>
          <x:t xml:space="preserve">13-11, 4-6, 6-2, 9-7</x:t>
        </x:is>
      </x:c>
      <x:c r="I145" s="22" t="n">
        <x:v>13</x:v>
      </x:c>
      <x:c r="J145" s="29" t="n">
        <x:v>11</x:v>
      </x:c>
      <x:c r="K145" s="29" t="n">
        <x:v>4</x:v>
      </x:c>
      <x:c r="L145" s="29" t="n">
        <x:v>6</x:v>
      </x:c>
      <x:c r="M145" s="29" t="n">
        <x:v>6</x:v>
      </x:c>
      <x:c r="N145" s="29" t="n">
        <x:v>2</x:v>
      </x:c>
      <x:c r="O145" s="29" t="n">
        <x:v>9</x:v>
      </x:c>
      <x:c r="P145" s="29" t="n">
        <x:v>7</x:v>
      </x:c>
      <x:c r="S145" s="25" t="inlineStr">
        <x:is>
          <x:t xml:space="preserve">K.R. Rosewall</x:t>
        </x:is>
      </x:c>
      <x:c r="T145" s="25" t="inlineStr">
        <x:is>
          <x:t xml:space="preserve">AUS</x:t>
        </x:is>
      </x:c>
      <x:c r="U145" s="25" t="inlineStr">
        <x:is>
          <x:t xml:space="preserve">Australia</x:t>
        </x:is>
      </x:c>
      <x:c r="V145" s="7" t="n">
        <x:v>3</x:v>
      </x:c>
    </x:row>
    <x:row r="146">
      <x:c r="A146" t="n">
        <x:v>1953</x:v>
      </x:c>
      <x:c r="B146" s="25" t="inlineStr">
        <x:is>
          <x:t xml:space="preserve">Women's</x:t>
        </x:is>
      </x:c>
      <x:c r="C146" s="25" t="inlineStr">
        <x:is>
          <x:t xml:space="preserve">M.C. Connolly</x:t>
        </x:is>
      </x:c>
      <x:c r="D146" s="25" t="inlineStr">
        <x:is>
          <x:t xml:space="preserve">USA</x:t>
        </x:is>
      </x:c>
      <x:c r="E146" s="25" t="inlineStr">
        <x:is>
          <x:t xml:space="preserve">United States</x:t>
        </x:is>
      </x:c>
      <x:c r="F146" s="7" t="n">
        <x:v>1</x:v>
      </x:c>
      <x:c r="G146" s="22" t="n">
        <x:v>67</x:v>
      </x:c>
      <x:c r="H146" s="22" t="inlineStr">
        <x:is>
          <x:t xml:space="preserve">8-6, 7-5,</x:t>
        </x:is>
      </x:c>
      <x:c r="I146" s="22" t="n">
        <x:v>8</x:v>
      </x:c>
      <x:c r="J146" s="29" t="n">
        <x:v>6</x:v>
      </x:c>
      <x:c r="K146" s="29" t="n">
        <x:v>7</x:v>
      </x:c>
      <x:c r="L146" s="29" t="n">
        <x:v>5</x:v>
      </x:c>
      <x:c r="S146" s="25" t="inlineStr">
        <x:is>
          <x:t xml:space="preserve">D.J. Hart</x:t>
        </x:is>
      </x:c>
      <x:c r="T146" s="25" t="inlineStr">
        <x:is>
          <x:t xml:space="preserve">USA</x:t>
        </x:is>
      </x:c>
      <x:c r="U146" s="25" t="inlineStr">
        <x:is>
          <x:t xml:space="preserve">United States</x:t>
        </x:is>
      </x:c>
      <x:c r="V146" s="7" t="n">
        <x:v>2</x:v>
      </x:c>
    </x:row>
    <x:row r="147">
      <x:c r="A147" t="n">
        <x:v>1953</x:v>
      </x:c>
      <x:c r="B147" s="25" t="inlineStr">
        <x:is>
          <x:t xml:space="preserve">Men's</x:t>
        </x:is>
      </x:c>
      <x:c r="C147" s="25" t="inlineStr">
        <x:is>
          <x:t xml:space="preserve">E.V. Seixas</x:t>
        </x:is>
      </x:c>
      <x:c r="D147" s="25" t="inlineStr">
        <x:is>
          <x:t xml:space="preserve">USA</x:t>
        </x:is>
      </x:c>
      <x:c r="E147" s="25" t="inlineStr">
        <x:is>
          <x:t xml:space="preserve">United States</x:t>
        </x:is>
      </x:c>
      <x:c r="F147" s="7" t="n">
        <x:v>2</x:v>
      </x:c>
      <x:c r="G147" s="22" t="n">
        <x:v>80</x:v>
      </x:c>
      <x:c r="H147" s="22" t="inlineStr">
        <x:is>
          <x:t xml:space="preserve">9-7, 6-3, 6-4</x:t>
        </x:is>
      </x:c>
      <x:c r="I147" s="22" t="n">
        <x:v>9</x:v>
      </x:c>
      <x:c r="J147" s="29" t="n">
        <x:v>7</x:v>
      </x:c>
      <x:c r="K147" s="29" t="n">
        <x:v>6</x:v>
      </x:c>
      <x:c r="L147" s="29" t="n">
        <x:v>3</x:v>
      </x:c>
      <x:c r="M147" s="29" t="n">
        <x:v>6</x:v>
      </x:c>
      <x:c r="N147" s="29" t="n">
        <x:v>4</x:v>
      </x:c>
      <x:c r="S147" s="25" t="inlineStr">
        <x:is>
          <x:t xml:space="preserve">K. Nielsen</x:t>
        </x:is>
      </x:c>
      <x:c r="T147" s="25" t="inlineStr">
        <x:is>
          <x:t xml:space="preserve">DEN</x:t>
        </x:is>
      </x:c>
      <x:c r="U147" s="25" t="inlineStr">
        <x:is>
          <x:t xml:space="preserve">Denmark</x:t>
        </x:is>
      </x:c>
      <x:c r="V147" s="7" t="inlineStr">
        <x:is>
          <x:t xml:space="preserve">U</x:t>
        </x:is>
      </x:c>
    </x:row>
    <x:row r="148">
      <x:c r="A148" t="n">
        <x:v>1952</x:v>
      </x:c>
      <x:c r="B148" s="25" t="inlineStr">
        <x:is>
          <x:t xml:space="preserve">Women's</x:t>
        </x:is>
      </x:c>
      <x:c r="C148" s="25" t="inlineStr">
        <x:is>
          <x:t xml:space="preserve">M.C. Connolly</x:t>
        </x:is>
      </x:c>
      <x:c r="D148" s="25" t="inlineStr">
        <x:is>
          <x:t xml:space="preserve">USA</x:t>
        </x:is>
      </x:c>
      <x:c r="E148" s="25" t="inlineStr">
        <x:is>
          <x:t xml:space="preserve">United States</x:t>
        </x:is>
      </x:c>
      <x:c r="F148" s="7" t="n">
        <x:v>2</x:v>
      </x:c>
      <x:c r="G148" s="22" t="n">
        <x:v>65</x:v>
      </x:c>
      <x:c r="H148" s="22" t="inlineStr">
        <x:is>
          <x:t xml:space="preserve">7-5, 6-3,</x:t>
        </x:is>
      </x:c>
      <x:c r="I148" s="22" t="n">
        <x:v>7</x:v>
      </x:c>
      <x:c r="J148" s="29" t="n">
        <x:v>5</x:v>
      </x:c>
      <x:c r="K148" s="29" t="n">
        <x:v>6</x:v>
      </x:c>
      <x:c r="L148" s="29" t="n">
        <x:v>3</x:v>
      </x:c>
      <x:c r="S148" s="25" t="inlineStr">
        <x:is>
          <x:t xml:space="preserve">A.L. Brough</x:t>
        </x:is>
      </x:c>
      <x:c r="T148" s="25" t="inlineStr">
        <x:is>
          <x:t xml:space="preserve">USA</x:t>
        </x:is>
      </x:c>
      <x:c r="U148" s="25" t="inlineStr">
        <x:is>
          <x:t xml:space="preserve">United States</x:t>
        </x:is>
      </x:c>
      <x:c r="V148" s="7" t="n">
        <x:v>4</x:v>
      </x:c>
    </x:row>
    <x:row r="149">
      <x:c r="A149" t="n">
        <x:v>1952</x:v>
      </x:c>
      <x:c r="B149" s="25" t="inlineStr">
        <x:is>
          <x:t xml:space="preserve">Men's</x:t>
        </x:is>
      </x:c>
      <x:c r="C149" s="25" t="inlineStr">
        <x:is>
          <x:t xml:space="preserve">F.A. Sedgman</x:t>
        </x:is>
      </x:c>
      <x:c r="D149" s="25" t="inlineStr">
        <x:is>
          <x:t xml:space="preserve">AUS</x:t>
        </x:is>
      </x:c>
      <x:c r="E149" s="25" t="inlineStr">
        <x:is>
          <x:t xml:space="preserve">Australia</x:t>
        </x:is>
      </x:c>
      <x:c r="F149" s="7" t="n">
        <x:v>1</x:v>
      </x:c>
      <x:c r="G149" s="22" t="n">
        <x:v>80</x:v>
      </x:c>
      <x:c r="H149" s="22" t="inlineStr">
        <x:is>
          <x:t xml:space="preserve">4-6, 6-2, 6-3, 6-2</x:t>
        </x:is>
      </x:c>
      <x:c r="I149" s="22" t="n">
        <x:v>4</x:v>
      </x:c>
      <x:c r="J149" s="29" t="n">
        <x:v>6</x:v>
      </x:c>
      <x:c r="K149" s="29" t="n">
        <x:v>6</x:v>
      </x:c>
      <x:c r="L149" s="29" t="n">
        <x:v>2</x:v>
      </x:c>
      <x:c r="M149" s="29" t="n">
        <x:v>6</x:v>
      </x:c>
      <x:c r="N149" s="29" t="n">
        <x:v>3</x:v>
      </x:c>
      <x:c r="O149" s="29" t="n">
        <x:v>6</x:v>
      </x:c>
      <x:c r="P149" s="29" t="n">
        <x:v>2</x:v>
      </x:c>
      <x:c r="S149" s="25" t="inlineStr">
        <x:is>
          <x:t xml:space="preserve">J. Drobny</x:t>
        </x:is>
      </x:c>
      <x:c r="T149" s="25" t="inlineStr">
        <x:is>
          <x:t xml:space="preserve">CZE</x:t>
        </x:is>
      </x:c>
      <x:c r="U149" s="25" t="inlineStr">
        <x:is>
          <x:t xml:space="preserve">Czechia</x:t>
        </x:is>
      </x:c>
      <x:c r="V149" s="7" t="n">
        <x:v>2</x:v>
      </x:c>
    </x:row>
    <x:row r="150">
      <x:c r="A150" t="n">
        <x:v>1951</x:v>
      </x:c>
      <x:c r="B150" s="25" t="inlineStr">
        <x:is>
          <x:t xml:space="preserve">Women's</x:t>
        </x:is>
      </x:c>
      <x:c r="C150" s="25" t="inlineStr">
        <x:is>
          <x:t xml:space="preserve">D.J. Hart</x:t>
        </x:is>
      </x:c>
      <x:c r="D150" s="25" t="inlineStr">
        <x:is>
          <x:t xml:space="preserve">USA</x:t>
        </x:is>
      </x:c>
      <x:c r="E150" s="25" t="inlineStr">
        <x:is>
          <x:t xml:space="preserve">United States</x:t>
        </x:is>
      </x:c>
      <x:c r="F150" s="7" t="n">
        <x:v>3</x:v>
      </x:c>
      <x:c r="G150" s="22" t="n">
        <x:v>35</x:v>
      </x:c>
      <x:c r="H150" s="22" t="inlineStr">
        <x:is>
          <x:t xml:space="preserve">6-1, 6-0</x:t>
        </x:is>
      </x:c>
      <x:c r="I150" s="22" t="n">
        <x:v>6</x:v>
      </x:c>
      <x:c r="J150" s="29" t="n">
        <x:v>1</x:v>
      </x:c>
      <x:c r="K150" s="29" t="n">
        <x:v>6</x:v>
      </x:c>
      <x:c r="L150" s="29" t="n">
        <x:v>0</x:v>
      </x:c>
      <x:c r="S150" s="25" t="inlineStr">
        <x:is>
          <x:t xml:space="preserve">S.J. Fry</x:t>
        </x:is>
      </x:c>
      <x:c r="T150" s="25" t="inlineStr">
        <x:is>
          <x:t xml:space="preserve">USA</x:t>
        </x:is>
      </x:c>
      <x:c r="U150" s="25" t="inlineStr">
        <x:is>
          <x:t xml:space="preserve">United States</x:t>
        </x:is>
      </x:c>
      <x:c r="V150" s="7" t="n">
        <x:v>4</x:v>
      </x:c>
    </x:row>
    <x:row r="151">
      <x:c r="A151" t="n">
        <x:v>1951</x:v>
      </x:c>
      <x:c r="B151" s="25" t="inlineStr">
        <x:is>
          <x:t xml:space="preserve">Men's</x:t>
        </x:is>
      </x:c>
      <x:c r="C151" s="25" t="inlineStr">
        <x:is>
          <x:t xml:space="preserve">R. Savitt</x:t>
        </x:is>
      </x:c>
      <x:c r="D151" s="25" t="inlineStr">
        <x:is>
          <x:t xml:space="preserve">USA</x:t>
        </x:is>
      </x:c>
      <x:c r="E151" s="25" t="inlineStr">
        <x:is>
          <x:t xml:space="preserve">United States</x:t>
        </x:is>
      </x:c>
      <x:c r="F151" s="7" t="n">
        <x:v>6</x:v>
      </x:c>
      <x:c r="G151" s="22" t="n">
        <x:v>62</x:v>
      </x:c>
      <x:c r="H151" s="22" t="inlineStr">
        <x:is>
          <x:t xml:space="preserve">6-4, 6-4, 6-4</x:t>
        </x:is>
      </x:c>
      <x:c r="I151" s="22" t="n">
        <x:v>6</x:v>
      </x:c>
      <x:c r="J151" s="29" t="n">
        <x:v>4</x:v>
      </x:c>
      <x:c r="K151" s="29" t="n">
        <x:v>6</x:v>
      </x:c>
      <x:c r="L151" s="29" t="n">
        <x:v>4</x:v>
      </x:c>
      <x:c r="M151" s="29" t="n">
        <x:v>6</x:v>
      </x:c>
      <x:c r="N151" s="29" t="n">
        <x:v>4</x:v>
      </x:c>
      <x:c r="S151" s="25" t="inlineStr">
        <x:is>
          <x:t xml:space="preserve">K.B. McGregor</x:t>
        </x:is>
      </x:c>
      <x:c r="T151" s="25" t="inlineStr">
        <x:is>
          <x:t xml:space="preserve">AUS</x:t>
        </x:is>
      </x:c>
      <x:c r="U151" s="25" t="inlineStr">
        <x:is>
          <x:t xml:space="preserve">Australia</x:t>
        </x:is>
      </x:c>
      <x:c r="V151" s="7" t="n">
        <x:v>7</x:v>
      </x:c>
    </x:row>
    <x:row r="152">
      <x:c r="A152" t="n">
        <x:v>1950</x:v>
      </x:c>
      <x:c r="B152" s="25" t="inlineStr">
        <x:is>
          <x:t xml:space="preserve">Women's</x:t>
        </x:is>
      </x:c>
      <x:c r="C152" s="25" t="inlineStr">
        <x:is>
          <x:t xml:space="preserve">A.L. Brough</x:t>
        </x:is>
      </x:c>
      <x:c r="D152" s="25" t="inlineStr">
        <x:is>
          <x:t xml:space="preserve">USA</x:t>
        </x:is>
      </x:c>
      <x:c r="E152" s="25" t="inlineStr">
        <x:is>
          <x:t xml:space="preserve">United States</x:t>
        </x:is>
      </x:c>
      <x:c r="F152" s="7" t="n">
        <x:v>1</x:v>
      </x:c>
      <x:c r="G152" s="22" t="n">
        <x:v>62</x:v>
      </x:c>
      <x:c r="H152" s="22" t="inlineStr">
        <x:is>
          <x:t xml:space="preserve">6-1, 3-6, 6-1,</x:t>
        </x:is>
      </x:c>
      <x:c r="I152" s="22" t="n">
        <x:v>6</x:v>
      </x:c>
      <x:c r="J152" s="29" t="n">
        <x:v>1</x:v>
      </x:c>
      <x:c r="K152" s="29" t="n">
        <x:v>3</x:v>
      </x:c>
      <x:c r="L152" s="29" t="n">
        <x:v>6</x:v>
      </x:c>
      <x:c r="M152" s="29" t="n">
        <x:v>6</x:v>
      </x:c>
      <x:c r="N152" s="29" t="n">
        <x:v>1</x:v>
      </x:c>
      <x:c r="S152" s="25" t="inlineStr">
        <x:is>
          <x:t xml:space="preserve">M. duPont</x:t>
        </x:is>
      </x:c>
      <x:c r="T152" s="25" t="inlineStr">
        <x:is>
          <x:t xml:space="preserve">USA</x:t>
        </x:is>
      </x:c>
      <x:c r="U152" s="25" t="inlineStr">
        <x:is>
          <x:t xml:space="preserve">United States</x:t>
        </x:is>
      </x:c>
      <x:c r="V152" s="7" t="n">
        <x:v>2</x:v>
      </x:c>
    </x:row>
    <x:row r="153">
      <x:c r="A153" t="n">
        <x:v>1950</x:v>
      </x:c>
      <x:c r="B153" s="25" t="inlineStr">
        <x:is>
          <x:t xml:space="preserve">Men's</x:t>
        </x:is>
      </x:c>
      <x:c r="C153" s="25" t="inlineStr">
        <x:is>
          <x:t xml:space="preserve">J.E. Patty</x:t>
        </x:is>
      </x:c>
      <x:c r="D153" s="25" t="inlineStr">
        <x:is>
          <x:t xml:space="preserve">USA</x:t>
        </x:is>
      </x:c>
      <x:c r="E153" s="25" t="inlineStr">
        <x:is>
          <x:t xml:space="preserve">United States</x:t>
        </x:is>
      </x:c>
      <x:c r="F153" s="7" t="n">
        <x:v>5</x:v>
      </x:c>
      <x:c r="G153" s="22" t="n">
        <x:v>120</x:v>
      </x:c>
      <x:c r="H153" s="22" t="inlineStr">
        <x:is>
          <x:t xml:space="preserve">6-1, 8-10, 6-2, 6-3</x:t>
        </x:is>
      </x:c>
      <x:c r="I153" s="22" t="n">
        <x:v>6</x:v>
      </x:c>
      <x:c r="J153" s="29" t="n">
        <x:v>1</x:v>
      </x:c>
      <x:c r="K153" s="29" t="n">
        <x:v>8</x:v>
      </x:c>
      <x:c r="L153" s="29" t="n">
        <x:v>10</x:v>
      </x:c>
      <x:c r="M153" s="29" t="n">
        <x:v>6</x:v>
      </x:c>
      <x:c r="N153" s="29" t="n">
        <x:v>2</x:v>
      </x:c>
      <x:c r="O153" s="29" t="n">
        <x:v>6</x:v>
      </x:c>
      <x:c r="P153" s="29" t="n">
        <x:v>3</x:v>
      </x:c>
      <x:c r="S153" s="25" t="inlineStr">
        <x:is>
          <x:t xml:space="preserve">F.A. Sedgman</x:t>
        </x:is>
      </x:c>
      <x:c r="T153" s="25" t="inlineStr">
        <x:is>
          <x:t xml:space="preserve">AUS</x:t>
        </x:is>
      </x:c>
      <x:c r="U153" s="25" t="inlineStr">
        <x:is>
          <x:t xml:space="preserve">Australia</x:t>
        </x:is>
      </x:c>
      <x:c r="V153" s="7" t="n">
        <x:v>1</x:v>
      </x:c>
    </x:row>
    <x:row r="154">
      <x:c r="A154" t="n">
        <x:v>1949</x:v>
      </x:c>
      <x:c r="B154" s="25" t="inlineStr">
        <x:is>
          <x:t xml:space="preserve">Women's</x:t>
        </x:is>
      </x:c>
      <x:c r="C154" s="25" t="inlineStr">
        <x:is>
          <x:t xml:space="preserve">A.L. Brough</x:t>
        </x:is>
      </x:c>
      <x:c r="D154" s="25" t="inlineStr">
        <x:is>
          <x:t xml:space="preserve">USA</x:t>
        </x:is>
      </x:c>
      <x:c r="E154" s="25" t="inlineStr">
        <x:is>
          <x:t xml:space="preserve">United States</x:t>
        </x:is>
      </x:c>
      <x:c r="F154" s="7" t="n">
        <x:v>1</x:v>
      </x:c>
      <x:c r="G154" s="22" t="n">
        <x:v>120</x:v>
      </x:c>
      <x:c r="H154" s="22" t="inlineStr">
        <x:is>
          <x:t xml:space="preserve">10-8, 1-6, 10-8,</x:t>
        </x:is>
      </x:c>
      <x:c r="I154" s="22" t="n">
        <x:v>10</x:v>
      </x:c>
      <x:c r="J154" s="29" t="n">
        <x:v>8</x:v>
      </x:c>
      <x:c r="K154" s="29" t="n">
        <x:v>1</x:v>
      </x:c>
      <x:c r="L154" s="29" t="n">
        <x:v>6</x:v>
      </x:c>
      <x:c r="M154" s="29" t="n">
        <x:v>10</x:v>
      </x:c>
      <x:c r="N154" s="29" t="n">
        <x:v>8</x:v>
      </x:c>
      <x:c r="S154" s="25" t="inlineStr">
        <x:is>
          <x:t xml:space="preserve">M. duPont</x:t>
        </x:is>
      </x:c>
      <x:c r="T154" s="25" t="inlineStr">
        <x:is>
          <x:t xml:space="preserve">USA</x:t>
        </x:is>
      </x:c>
      <x:c r="U154" s="25" t="inlineStr">
        <x:is>
          <x:t xml:space="preserve">United States</x:t>
        </x:is>
      </x:c>
      <x:c r="V154" s="7" t="n">
        <x:v>2</x:v>
      </x:c>
    </x:row>
    <x:row r="155">
      <x:c r="A155" t="n">
        <x:v>1949</x:v>
      </x:c>
      <x:c r="B155" s="25" t="inlineStr">
        <x:is>
          <x:t xml:space="preserve">Men's</x:t>
        </x:is>
      </x:c>
      <x:c r="C155" s="25" t="inlineStr">
        <x:is>
          <x:t xml:space="preserve">F.R. Schroeder</x:t>
        </x:is>
      </x:c>
      <x:c r="D155" s="25" t="inlineStr">
        <x:is>
          <x:t xml:space="preserve">USA</x:t>
        </x:is>
      </x:c>
      <x:c r="E155" s="25" t="inlineStr">
        <x:is>
          <x:t xml:space="preserve">United States</x:t>
        </x:is>
      </x:c>
      <x:c r="F155" s="7" t="n">
        <x:v>1</x:v>
      </x:c>
      <x:c r="G155" s="22" t="n">
        <x:v>100</x:v>
      </x:c>
      <x:c r="H155" s="22" t="inlineStr">
        <x:is>
          <x:t xml:space="preserve">3-6, 6-0, 6-3, 4-6, 6-4</x:t>
        </x:is>
      </x:c>
      <x:c r="I155" s="22" t="n">
        <x:v>3</x:v>
      </x:c>
      <x:c r="J155" s="29" t="n">
        <x:v>6</x:v>
      </x:c>
      <x:c r="K155" s="29" t="n">
        <x:v>6</x:v>
      </x:c>
      <x:c r="L155" s="29" t="n">
        <x:v>0</x:v>
      </x:c>
      <x:c r="M155" s="29" t="n">
        <x:v>6</x:v>
      </x:c>
      <x:c r="N155" s="29" t="n">
        <x:v>3</x:v>
      </x:c>
      <x:c r="O155" s="29" t="n">
        <x:v>4</x:v>
      </x:c>
      <x:c r="P155" s="29" t="n">
        <x:v>6</x:v>
      </x:c>
      <x:c r="Q155" s="22" t="n">
        <x:v>6</x:v>
      </x:c>
      <x:c r="R155" s="29" t="n">
        <x:v>4</x:v>
      </x:c>
      <x:c r="S155" s="25" t="inlineStr">
        <x:is>
          <x:t xml:space="preserve">J. Drobny</x:t>
        </x:is>
      </x:c>
      <x:c r="T155" s="25" t="inlineStr">
        <x:is>
          <x:t xml:space="preserve">CZE</x:t>
        </x:is>
      </x:c>
      <x:c r="U155" s="25" t="inlineStr">
        <x:is>
          <x:t xml:space="preserve">Czechia</x:t>
        </x:is>
      </x:c>
      <x:c r="V155" s="7" t="n">
        <x:v>6</x:v>
      </x:c>
    </x:row>
    <x:row r="156">
      <x:c r="A156" t="n">
        <x:v>1948</x:v>
      </x:c>
      <x:c r="B156" s="25" t="inlineStr">
        <x:is>
          <x:t xml:space="preserve">Women's</x:t>
        </x:is>
      </x:c>
      <x:c r="C156" s="25" t="inlineStr">
        <x:is>
          <x:t xml:space="preserve">A.L. Brough</x:t>
        </x:is>
      </x:c>
      <x:c r="D156" s="25" t="inlineStr">
        <x:is>
          <x:t xml:space="preserve">USA</x:t>
        </x:is>
      </x:c>
      <x:c r="E156" s="25" t="inlineStr">
        <x:is>
          <x:t xml:space="preserve">United States</x:t>
        </x:is>
      </x:c>
      <x:c r="F156" s="7" t="n">
        <x:v>2</x:v>
      </x:c>
      <x:c r="G156" s="22" t="n">
        <x:v>76</x:v>
      </x:c>
      <x:c r="H156" s="22" t="inlineStr">
        <x:is>
          <x:t xml:space="preserve">6-3, 8-6,</x:t>
        </x:is>
      </x:c>
      <x:c r="I156" s="22" t="n">
        <x:v>6</x:v>
      </x:c>
      <x:c r="J156" s="29" t="n">
        <x:v>3</x:v>
      </x:c>
      <x:c r="K156" s="29" t="n">
        <x:v>8</x:v>
      </x:c>
      <x:c r="L156" s="29" t="n">
        <x:v>6</x:v>
      </x:c>
      <x:c r="S156" s="25" t="inlineStr">
        <x:is>
          <x:t xml:space="preserve">D.J. Hart</x:t>
        </x:is>
      </x:c>
      <x:c r="T156" s="25" t="inlineStr">
        <x:is>
          <x:t xml:space="preserve">USA</x:t>
        </x:is>
      </x:c>
      <x:c r="U156" s="25" t="inlineStr">
        <x:is>
          <x:t xml:space="preserve">United States</x:t>
        </x:is>
      </x:c>
      <x:c r="V156" s="7" t="n">
        <x:v>4</x:v>
      </x:c>
    </x:row>
    <x:row r="157">
      <x:c r="A157" t="n">
        <x:v>1948</x:v>
      </x:c>
      <x:c r="B157" s="25" t="inlineStr">
        <x:is>
          <x:t xml:space="preserve">Men's</x:t>
        </x:is>
      </x:c>
      <x:c r="C157" s="25" t="inlineStr">
        <x:is>
          <x:t xml:space="preserve">R. Falkenburg</x:t>
        </x:is>
      </x:c>
      <x:c r="D157" s="25" t="inlineStr">
        <x:is>
          <x:t xml:space="preserve">USA</x:t>
        </x:is>
      </x:c>
      <x:c r="E157" s="25" t="inlineStr">
        <x:is>
          <x:t xml:space="preserve">United States</x:t>
        </x:is>
      </x:c>
      <x:c r="F157" s="7" t="n">
        <x:v>7</x:v>
      </x:c>
      <x:c r="G157" s="22" t="n">
        <x:v>125</x:v>
      </x:c>
      <x:c r="H157" s="22" t="inlineStr">
        <x:is>
          <x:t xml:space="preserve">7-5, 0-6, 6-2, 3-6, 7-5</x:t>
        </x:is>
      </x:c>
      <x:c r="I157" s="22" t="n">
        <x:v>7</x:v>
      </x:c>
      <x:c r="J157" s="29" t="n">
        <x:v>5</x:v>
      </x:c>
      <x:c r="K157" s="29" t="n">
        <x:v>0</x:v>
      </x:c>
      <x:c r="L157" s="29" t="n">
        <x:v>6</x:v>
      </x:c>
      <x:c r="M157" s="29" t="n">
        <x:v>6</x:v>
      </x:c>
      <x:c r="N157" s="29" t="n">
        <x:v>2</x:v>
      </x:c>
      <x:c r="O157" s="29" t="n">
        <x:v>3</x:v>
      </x:c>
      <x:c r="P157" s="29" t="n">
        <x:v>6</x:v>
      </x:c>
      <x:c r="Q157" s="22" t="n">
        <x:v>7</x:v>
      </x:c>
      <x:c r="R157" s="29" t="n">
        <x:v>5</x:v>
      </x:c>
      <x:c r="S157" s="25" t="inlineStr">
        <x:is>
          <x:t xml:space="preserve">J.E. Bromwich</x:t>
        </x:is>
      </x:c>
      <x:c r="T157" s="25" t="inlineStr">
        <x:is>
          <x:t xml:space="preserve">AUS</x:t>
        </x:is>
      </x:c>
      <x:c r="U157" s="25" t="inlineStr">
        <x:is>
          <x:t xml:space="preserve">Australia</x:t>
        </x:is>
      </x:c>
      <x:c r="V157" s="7" t="n">
        <x:v>2</x:v>
      </x:c>
    </x:row>
    <x:row r="158">
      <x:c r="A158" t="n">
        <x:v>1947</x:v>
      </x:c>
      <x:c r="B158" s="25" t="inlineStr">
        <x:is>
          <x:t xml:space="preserve">Women's</x:t>
        </x:is>
      </x:c>
      <x:c r="C158" s="25" t="inlineStr">
        <x:is>
          <x:t xml:space="preserve">M.E. Osborne</x:t>
        </x:is>
      </x:c>
      <x:c r="D158" s="25" t="inlineStr">
        <x:is>
          <x:t xml:space="preserve">USA</x:t>
        </x:is>
      </x:c>
      <x:c r="E158" s="25" t="inlineStr">
        <x:is>
          <x:t xml:space="preserve">United States</x:t>
        </x:is>
      </x:c>
      <x:c r="F158" s="7" t="n">
        <x:v>1</x:v>
      </x:c>
      <x:c r="H158" s="22" t="inlineStr">
        <x:is>
          <x:t xml:space="preserve">6-2, 6-4,</x:t>
        </x:is>
      </x:c>
      <x:c r="I158" s="22" t="n">
        <x:v>6</x:v>
      </x:c>
      <x:c r="J158" s="29" t="n">
        <x:v>2</x:v>
      </x:c>
      <x:c r="K158" s="29" t="n">
        <x:v>6</x:v>
      </x:c>
      <x:c r="L158" s="29" t="n">
        <x:v>4</x:v>
      </x:c>
      <x:c r="S158" s="25" t="inlineStr">
        <x:is>
          <x:t xml:space="preserve">D.J. Hart</x:t>
        </x:is>
      </x:c>
      <x:c r="T158" s="25" t="inlineStr">
        <x:is>
          <x:t xml:space="preserve">USA</x:t>
        </x:is>
      </x:c>
      <x:c r="U158" s="25" t="inlineStr">
        <x:is>
          <x:t xml:space="preserve">United States</x:t>
        </x:is>
      </x:c>
      <x:c r="V158" s="7" t="n">
        <x:v>3</x:v>
      </x:c>
    </x:row>
    <x:row r="159">
      <x:c r="A159" t="n">
        <x:v>1947</x:v>
      </x:c>
      <x:c r="B159" s="25" t="inlineStr">
        <x:is>
          <x:t xml:space="preserve">Men's</x:t>
        </x:is>
      </x:c>
      <x:c r="C159" s="25" t="inlineStr">
        <x:is>
          <x:t xml:space="preserve">J.A. Kramer</x:t>
        </x:is>
      </x:c>
      <x:c r="D159" s="25" t="inlineStr">
        <x:is>
          <x:t xml:space="preserve">USA</x:t>
        </x:is>
      </x:c>
      <x:c r="E159" s="25" t="inlineStr">
        <x:is>
          <x:t xml:space="preserve">United States</x:t>
        </x:is>
      </x:c>
      <x:c r="F159" s="7" t="n">
        <x:v>1</x:v>
      </x:c>
      <x:c r="G159" s="22" t="n">
        <x:v>45</x:v>
      </x:c>
      <x:c r="H159" s="22" t="inlineStr">
        <x:is>
          <x:t xml:space="preserve">6-1, 6-3, 6-2</x:t>
        </x:is>
      </x:c>
      <x:c r="I159" s="22" t="n">
        <x:v>6</x:v>
      </x:c>
      <x:c r="J159" s="29" t="n">
        <x:v>1</x:v>
      </x:c>
      <x:c r="K159" s="29" t="n">
        <x:v>6</x:v>
      </x:c>
      <x:c r="L159" s="29" t="n">
        <x:v>3</x:v>
      </x:c>
      <x:c r="M159" s="29" t="n">
        <x:v>6</x:v>
      </x:c>
      <x:c r="N159" s="29" t="n">
        <x:v>2</x:v>
      </x:c>
      <x:c r="S159" s="25" t="inlineStr">
        <x:is>
          <x:t xml:space="preserve">T.P. Brown</x:t>
        </x:is>
      </x:c>
      <x:c r="T159" s="25" t="inlineStr">
        <x:is>
          <x:t xml:space="preserve">USA</x:t>
        </x:is>
      </x:c>
      <x:c r="U159" s="25" t="inlineStr">
        <x:is>
          <x:t xml:space="preserve">United States</x:t>
        </x:is>
      </x:c>
      <x:c r="V159" s="7" t="n">
        <x:v>3</x:v>
      </x:c>
    </x:row>
    <x:row r="160">
      <x:c r="A160" t="n">
        <x:v>1946</x:v>
      </x:c>
      <x:c r="B160" s="25" t="inlineStr">
        <x:is>
          <x:t xml:space="preserve">Women's</x:t>
        </x:is>
      </x:c>
      <x:c r="C160" s="25" t="inlineStr">
        <x:is>
          <x:t xml:space="preserve">P.M. Betz</x:t>
        </x:is>
      </x:c>
      <x:c r="D160" s="25" t="inlineStr">
        <x:is>
          <x:t xml:space="preserve">USA</x:t>
        </x:is>
      </x:c>
      <x:c r="E160" s="25" t="inlineStr">
        <x:is>
          <x:t xml:space="preserve">United States</x:t>
        </x:is>
      </x:c>
      <x:c r="F160" s="7" t="n">
        <x:v>1</x:v>
      </x:c>
      <x:c r="H160" s="22" t="inlineStr">
        <x:is>
          <x:t xml:space="preserve">6-2, 6-4,</x:t>
        </x:is>
      </x:c>
      <x:c r="I160" s="22" t="n">
        <x:v>6</x:v>
      </x:c>
      <x:c r="J160" s="29" t="n">
        <x:v>2</x:v>
      </x:c>
      <x:c r="K160" s="29" t="n">
        <x:v>6</x:v>
      </x:c>
      <x:c r="L160" s="29" t="n">
        <x:v>4</x:v>
      </x:c>
      <x:c r="S160" s="25" t="inlineStr">
        <x:is>
          <x:t xml:space="preserve">A.L. Brough</x:t>
        </x:is>
      </x:c>
      <x:c r="T160" s="25" t="inlineStr">
        <x:is>
          <x:t xml:space="preserve">USA</x:t>
        </x:is>
      </x:c>
      <x:c r="U160" s="25" t="inlineStr">
        <x:is>
          <x:t xml:space="preserve">United States</x:t>
        </x:is>
      </x:c>
      <x:c r="V160" s="7" t="n">
        <x:v>3</x:v>
      </x:c>
    </x:row>
    <x:row r="161">
      <x:c r="A161" t="n">
        <x:v>1946</x:v>
      </x:c>
      <x:c r="B161" s="25" t="inlineStr">
        <x:is>
          <x:t xml:space="preserve">Men's</x:t>
        </x:is>
      </x:c>
      <x:c r="C161" s="25" t="inlineStr">
        <x:is>
          <x:t xml:space="preserve">Y.F.M. Petra</x:t>
        </x:is>
      </x:c>
      <x:c r="D161" s="25" t="inlineStr">
        <x:is>
          <x:t xml:space="preserve">FRA</x:t>
        </x:is>
      </x:c>
      <x:c r="E161" s="25" t="inlineStr">
        <x:is>
          <x:t xml:space="preserve">France</x:t>
        </x:is>
      </x:c>
      <x:c r="F161" s="7" t="n">
        <x:v>5</x:v>
      </x:c>
      <x:c r="H161" s="22" t="inlineStr">
        <x:is>
          <x:t xml:space="preserve">6-2, 6-4, 7-9, 5-7, 6-4</x:t>
        </x:is>
      </x:c>
      <x:c r="I161" s="22" t="n">
        <x:v>6</x:v>
      </x:c>
      <x:c r="J161" s="29" t="n">
        <x:v>2</x:v>
      </x:c>
      <x:c r="K161" s="29" t="n">
        <x:v>6</x:v>
      </x:c>
      <x:c r="L161" s="29" t="n">
        <x:v>4</x:v>
      </x:c>
      <x:c r="M161" s="29" t="n">
        <x:v>7</x:v>
      </x:c>
      <x:c r="N161" s="29" t="n">
        <x:v>9</x:v>
      </x:c>
      <x:c r="O161" s="29" t="n">
        <x:v>5</x:v>
      </x:c>
      <x:c r="P161" s="29" t="n">
        <x:v>7</x:v>
      </x:c>
      <x:c r="Q161" s="22" t="n">
        <x:v>6</x:v>
      </x:c>
      <x:c r="R161" s="29" t="n">
        <x:v>4</x:v>
      </x:c>
      <x:c r="S161" s="25" t="inlineStr">
        <x:is>
          <x:t xml:space="preserve">G.E. Brown</x:t>
        </x:is>
      </x:c>
      <x:c r="T161" s="25" t="inlineStr">
        <x:is>
          <x:t xml:space="preserve">AUS</x:t>
        </x:is>
      </x:c>
      <x:c r="U161" s="25" t="inlineStr">
        <x:is>
          <x:t xml:space="preserve">Australia</x:t>
        </x:is>
      </x:c>
      <x:c r="V161" s="7" t="n">
        <x:v>3</x:v>
      </x:c>
    </x:row>
    <x:row r="162">
      <x:c r="A162" t="n">
        <x:v>1939</x:v>
      </x:c>
      <x:c r="B162" s="25" t="inlineStr">
        <x:is>
          <x:t xml:space="preserve">Women's</x:t>
        </x:is>
      </x:c>
      <x:c r="C162" s="25" t="inlineStr">
        <x:is>
          <x:t xml:space="preserve">A. Marble</x:t>
        </x:is>
      </x:c>
      <x:c r="D162" s="25" t="inlineStr">
        <x:is>
          <x:t xml:space="preserve">USA</x:t>
        </x:is>
      </x:c>
      <x:c r="E162" s="25" t="inlineStr">
        <x:is>
          <x:t xml:space="preserve">United States</x:t>
        </x:is>
      </x:c>
      <x:c r="F162" s="7" t="n">
        <x:v>1</x:v>
      </x:c>
      <x:c r="G162" s="22" t="n">
        <x:v>30</x:v>
      </x:c>
      <x:c r="H162" s="22" t="inlineStr">
        <x:is>
          <x:t xml:space="preserve">6-2, 6-0</x:t>
        </x:is>
      </x:c>
      <x:c r="I162" s="22" t="n">
        <x:v>6</x:v>
      </x:c>
      <x:c r="J162" s="29" t="n">
        <x:v>2</x:v>
      </x:c>
      <x:c r="K162" s="29" t="n">
        <x:v>6</x:v>
      </x:c>
      <x:c r="L162" s="29" t="n">
        <x:v>0</x:v>
      </x:c>
      <x:c r="S162" s="25" t="inlineStr">
        <x:is>
          <x:t xml:space="preserve">K.E. Stammers</x:t>
        </x:is>
      </x:c>
      <x:c r="T162" s="25" t="inlineStr">
        <x:is>
          <x:t xml:space="preserve">GBR</x:t>
        </x:is>
      </x:c>
      <x:c r="U162" s="25" t="inlineStr">
        <x:is>
          <x:t xml:space="preserve">United Kingdom</x:t>
        </x:is>
      </x:c>
      <x:c r="V162" s="7" t="n">
        <x:v>6</x:v>
      </x:c>
    </x:row>
    <x:row r="163">
      <x:c r="A163" t="n">
        <x:v>1939</x:v>
      </x:c>
      <x:c r="B163" s="25" t="inlineStr">
        <x:is>
          <x:t xml:space="preserve">Men's</x:t>
        </x:is>
      </x:c>
      <x:c r="C163" s="25" t="inlineStr">
        <x:is>
          <x:t xml:space="preserve">R.L. Riggs</x:t>
        </x:is>
      </x:c>
      <x:c r="D163" s="25" t="inlineStr">
        <x:is>
          <x:t xml:space="preserve">USA</x:t>
        </x:is>
      </x:c>
      <x:c r="E163" s="25" t="inlineStr">
        <x:is>
          <x:t xml:space="preserve">United States</x:t>
        </x:is>
      </x:c>
      <x:c r="F163" s="7" t="n">
        <x:v>2</x:v>
      </x:c>
      <x:c r="G163" s="22" t="n">
        <x:v>135</x:v>
      </x:c>
      <x:c r="H163" s="22" t="inlineStr">
        <x:is>
          <x:t xml:space="preserve">2-6, 8-6, 3-6, 6-3, 6-2</x:t>
        </x:is>
      </x:c>
      <x:c r="I163" s="22" t="n">
        <x:v>2</x:v>
      </x:c>
      <x:c r="J163" s="29" t="n">
        <x:v>6</x:v>
      </x:c>
      <x:c r="K163" s="29" t="n">
        <x:v>8</x:v>
      </x:c>
      <x:c r="L163" s="29" t="n">
        <x:v>6</x:v>
      </x:c>
      <x:c r="M163" s="29" t="n">
        <x:v>3</x:v>
      </x:c>
      <x:c r="N163" s="29" t="n">
        <x:v>6</x:v>
      </x:c>
      <x:c r="O163" s="29" t="n">
        <x:v>6</x:v>
      </x:c>
      <x:c r="P163" s="29" t="n">
        <x:v>3</x:v>
      </x:c>
      <x:c r="Q163" s="22" t="n">
        <x:v>6</x:v>
      </x:c>
      <x:c r="R163" s="29" t="n">
        <x:v>2</x:v>
      </x:c>
      <x:c r="S163" s="25" t="inlineStr">
        <x:is>
          <x:t xml:space="preserve">E.T. Cooke</x:t>
        </x:is>
      </x:c>
      <x:c r="T163" s="25" t="inlineStr">
        <x:is>
          <x:t xml:space="preserve">USA</x:t>
        </x:is>
      </x:c>
      <x:c r="U163" s="25" t="inlineStr">
        <x:is>
          <x:t xml:space="preserve">United States</x:t>
        </x:is>
      </x:c>
      <x:c r="V163" s="7" t="n">
        <x:v>6</x:v>
      </x:c>
    </x:row>
    <x:row r="164">
      <x:c r="A164" t="n">
        <x:v>1938</x:v>
      </x:c>
      <x:c r="B164" s="25" t="inlineStr">
        <x:is>
          <x:t xml:space="preserve">Women's</x:t>
        </x:is>
      </x:c>
      <x:c r="C164" s="25" t="inlineStr">
        <x:is>
          <x:t xml:space="preserve">H.W. Moody</x:t>
        </x:is>
      </x:c>
      <x:c r="D164" s="25" t="inlineStr">
        <x:is>
          <x:t xml:space="preserve">USA</x:t>
        </x:is>
      </x:c>
      <x:c r="E164" s="25" t="inlineStr">
        <x:is>
          <x:t xml:space="preserve">United States</x:t>
        </x:is>
      </x:c>
      <x:c r="F164" s="7" t="n">
        <x:v>1</x:v>
      </x:c>
      <x:c r="H164" s="22" t="inlineStr">
        <x:is>
          <x:t xml:space="preserve">6-4, 6-0</x:t>
        </x:is>
      </x:c>
      <x:c r="I164" s="22" t="n">
        <x:v>6</x:v>
      </x:c>
      <x:c r="J164" s="29" t="n">
        <x:v>4</x:v>
      </x:c>
      <x:c r="K164" s="29" t="n">
        <x:v>6</x:v>
      </x:c>
      <x:c r="L164" s="29" t="n">
        <x:v>0</x:v>
      </x:c>
      <x:c r="S164" s="25" t="inlineStr">
        <x:is>
          <x:t xml:space="preserve">H.H. Jacobs</x:t>
        </x:is>
      </x:c>
      <x:c r="T164" s="25" t="inlineStr">
        <x:is>
          <x:t xml:space="preserve">USA</x:t>
        </x:is>
      </x:c>
      <x:c r="U164" s="25" t="inlineStr">
        <x:is>
          <x:t xml:space="preserve">United States</x:t>
        </x:is>
      </x:c>
      <x:c r="V164" s="7" t="inlineStr">
        <x:is>
          <x:t xml:space="preserve">U</x:t>
        </x:is>
      </x:c>
    </x:row>
    <x:row r="165">
      <x:c r="A165" t="n">
        <x:v>1938</x:v>
      </x:c>
      <x:c r="B165" s="25" t="inlineStr">
        <x:is>
          <x:t xml:space="preserve">Men's</x:t>
        </x:is>
      </x:c>
      <x:c r="C165" s="25" t="inlineStr">
        <x:is>
          <x:t xml:space="preserve">J.D. Budge</x:t>
        </x:is>
      </x:c>
      <x:c r="D165" s="25" t="inlineStr">
        <x:is>
          <x:t xml:space="preserve">USA</x:t>
        </x:is>
      </x:c>
      <x:c r="E165" s="25" t="inlineStr">
        <x:is>
          <x:t xml:space="preserve">United States</x:t>
        </x:is>
      </x:c>
      <x:c r="F165" s="7" t="n">
        <x:v>1</x:v>
      </x:c>
      <x:c r="G165" s="22" t="n">
        <x:v>59</x:v>
      </x:c>
      <x:c r="H165" s="22" t="inlineStr">
        <x:is>
          <x:t xml:space="preserve">6-1, 6-0, 6-3</x:t>
        </x:is>
      </x:c>
      <x:c r="I165" s="22" t="n">
        <x:v>6</x:v>
      </x:c>
      <x:c r="J165" s="29" t="n">
        <x:v>1</x:v>
      </x:c>
      <x:c r="K165" s="29" t="n">
        <x:v>6</x:v>
      </x:c>
      <x:c r="L165" s="29" t="n">
        <x:v>0</x:v>
      </x:c>
      <x:c r="M165" s="29" t="n">
        <x:v>6</x:v>
      </x:c>
      <x:c r="N165" s="29" t="n">
        <x:v>3</x:v>
      </x:c>
      <x:c r="S165" s="25" t="inlineStr">
        <x:is>
          <x:t xml:space="preserve">H.W. Austin</x:t>
        </x:is>
      </x:c>
      <x:c r="T165" s="25" t="inlineStr">
        <x:is>
          <x:t xml:space="preserve">GBR</x:t>
        </x:is>
      </x:c>
      <x:c r="U165" s="25" t="inlineStr">
        <x:is>
          <x:t xml:space="preserve">United Kingdom</x:t>
        </x:is>
      </x:c>
      <x:c r="V165" s="7" t="n">
        <x:v>2</x:v>
      </x:c>
    </x:row>
    <x:row r="166">
      <x:c r="A166" t="n">
        <x:v>1937</x:v>
      </x:c>
      <x:c r="B166" s="25" t="inlineStr">
        <x:is>
          <x:t xml:space="preserve">Women's</x:t>
        </x:is>
      </x:c>
      <x:c r="C166" s="25" t="inlineStr">
        <x:is>
          <x:t xml:space="preserve">D.E. Round</x:t>
        </x:is>
      </x:c>
      <x:c r="D166" s="25" t="inlineStr">
        <x:is>
          <x:t xml:space="preserve">GBR</x:t>
        </x:is>
      </x:c>
      <x:c r="E166" s="25" t="inlineStr">
        <x:is>
          <x:t xml:space="preserve">United Kingdom</x:t>
        </x:is>
      </x:c>
      <x:c r="F166" s="7" t="n">
        <x:v>7</x:v>
      </x:c>
      <x:c r="G166" s="22" t="n">
        <x:v>60</x:v>
      </x:c>
      <x:c r="H166" s="22" t="inlineStr">
        <x:is>
          <x:t xml:space="preserve">6-2, 2-6, 7-5</x:t>
        </x:is>
      </x:c>
      <x:c r="I166" s="22" t="n">
        <x:v>6</x:v>
      </x:c>
      <x:c r="J166" s="29" t="n">
        <x:v>2</x:v>
      </x:c>
      <x:c r="K166" s="29" t="n">
        <x:v>2</x:v>
      </x:c>
      <x:c r="L166" s="29" t="n">
        <x:v>6</x:v>
      </x:c>
      <x:c r="M166" s="29" t="n">
        <x:v>7</x:v>
      </x:c>
      <x:c r="N166" s="29" t="n">
        <x:v>5</x:v>
      </x:c>
      <x:c r="S166" s="25" t="inlineStr">
        <x:is>
          <x:t xml:space="preserve">J. Jedrzejowska</x:t>
        </x:is>
      </x:c>
      <x:c r="T166" s="25" t="inlineStr">
        <x:is>
          <x:t xml:space="preserve">POL</x:t>
        </x:is>
      </x:c>
      <x:c r="U166" s="25" t="inlineStr">
        <x:is>
          <x:t xml:space="preserve">Poland</x:t>
        </x:is>
      </x:c>
      <x:c r="V166" s="7" t="n">
        <x:v>4</x:v>
      </x:c>
    </x:row>
    <x:row r="167">
      <x:c r="A167" t="n">
        <x:v>1937</x:v>
      </x:c>
      <x:c r="B167" s="25" t="inlineStr">
        <x:is>
          <x:t xml:space="preserve">Men's</x:t>
        </x:is>
      </x:c>
      <x:c r="C167" s="25" t="inlineStr">
        <x:is>
          <x:t xml:space="preserve">J.D. Budge</x:t>
        </x:is>
      </x:c>
      <x:c r="D167" s="25" t="inlineStr">
        <x:is>
          <x:t xml:space="preserve">USA</x:t>
        </x:is>
      </x:c>
      <x:c r="E167" s="25" t="inlineStr">
        <x:is>
          <x:t xml:space="preserve">United States</x:t>
        </x:is>
      </x:c>
      <x:c r="F167" s="7" t="n">
        <x:v>1</x:v>
      </x:c>
      <x:c r="G167" s="22" t="n">
        <x:v>65</x:v>
      </x:c>
      <x:c r="H167" s="22" t="inlineStr">
        <x:is>
          <x:t xml:space="preserve">6-3, 6-4, 6-2</x:t>
        </x:is>
      </x:c>
      <x:c r="I167" s="22" t="n">
        <x:v>6</x:v>
      </x:c>
      <x:c r="J167" s="29" t="n">
        <x:v>3</x:v>
      </x:c>
      <x:c r="K167" s="29" t="n">
        <x:v>6</x:v>
      </x:c>
      <x:c r="L167" s="29" t="n">
        <x:v>4</x:v>
      </x:c>
      <x:c r="M167" s="29" t="n">
        <x:v>6</x:v>
      </x:c>
      <x:c r="N167" s="29" t="n">
        <x:v>2</x:v>
      </x:c>
      <x:c r="S167" s="25" t="inlineStr">
        <x:is>
          <x:t xml:space="preserve">G. von Cramm</x:t>
        </x:is>
      </x:c>
      <x:c r="T167" s="25" t="inlineStr">
        <x:is>
          <x:t xml:space="preserve">GER</x:t>
        </x:is>
      </x:c>
      <x:c r="U167" s="25" t="inlineStr">
        <x:is>
          <x:t xml:space="preserve">Germany</x:t>
        </x:is>
      </x:c>
      <x:c r="V167" s="7" t="n">
        <x:v>2</x:v>
      </x:c>
    </x:row>
    <x:row r="168">
      <x:c r="A168" t="n">
        <x:v>1936</x:v>
      </x:c>
      <x:c r="B168" s="25" t="inlineStr">
        <x:is>
          <x:t xml:space="preserve">Women's</x:t>
        </x:is>
      </x:c>
      <x:c r="C168" s="25" t="inlineStr">
        <x:is>
          <x:t xml:space="preserve">H.H. Jacobs</x:t>
        </x:is>
      </x:c>
      <x:c r="D168" s="25" t="inlineStr">
        <x:is>
          <x:t xml:space="preserve">USA</x:t>
        </x:is>
      </x:c>
      <x:c r="E168" s="25" t="inlineStr">
        <x:is>
          <x:t xml:space="preserve">United States</x:t>
        </x:is>
      </x:c>
      <x:c r="F168" s="7" t="n">
        <x:v>2</x:v>
      </x:c>
      <x:c r="G168" s="22" t="n">
        <x:v>101</x:v>
      </x:c>
      <x:c r="H168" s="22" t="inlineStr">
        <x:is>
          <x:t xml:space="preserve">6-2, 4-6, 7-5</x:t>
        </x:is>
      </x:c>
      <x:c r="I168" s="22" t="n">
        <x:v>6</x:v>
      </x:c>
      <x:c r="J168" s="29" t="n">
        <x:v>2</x:v>
      </x:c>
      <x:c r="K168" s="29" t="n">
        <x:v>4</x:v>
      </x:c>
      <x:c r="L168" s="29" t="n">
        <x:v>6</x:v>
      </x:c>
      <x:c r="M168" s="29" t="n">
        <x:v>7</x:v>
      </x:c>
      <x:c r="N168" s="29" t="n">
        <x:v>5</x:v>
      </x:c>
      <x:c r="S168" s="25" t="inlineStr">
        <x:is>
          <x:t xml:space="preserve">S. Sperling</x:t>
        </x:is>
      </x:c>
      <x:c r="T168" s="25" t="inlineStr">
        <x:is>
          <x:t xml:space="preserve">GER</x:t>
        </x:is>
      </x:c>
      <x:c r="U168" s="25" t="inlineStr">
        <x:is>
          <x:t xml:space="preserve">Germany</x:t>
        </x:is>
      </x:c>
      <x:c r="V168" s="7" t="n">
        <x:v>5</x:v>
      </x:c>
    </x:row>
    <x:row r="169">
      <x:c r="A169" t="n">
        <x:v>1936</x:v>
      </x:c>
      <x:c r="B169" s="25" t="inlineStr">
        <x:is>
          <x:t xml:space="preserve">Men's</x:t>
        </x:is>
      </x:c>
      <x:c r="C169" s="25" t="inlineStr">
        <x:is>
          <x:t xml:space="preserve">F.J. Perry</x:t>
        </x:is>
      </x:c>
      <x:c r="D169" s="25" t="inlineStr">
        <x:is>
          <x:t xml:space="preserve">GBR</x:t>
        </x:is>
      </x:c>
      <x:c r="E169" s="25" t="inlineStr">
        <x:is>
          <x:t xml:space="preserve">United Kingdom</x:t>
        </x:is>
      </x:c>
      <x:c r="F169" s="7" t="n">
        <x:v>1</x:v>
      </x:c>
      <x:c r="G169" s="22" t="n">
        <x:v>40</x:v>
      </x:c>
      <x:c r="H169" s="22" t="inlineStr">
        <x:is>
          <x:t xml:space="preserve">6-1, 6-1, 6-0</x:t>
        </x:is>
      </x:c>
      <x:c r="I169" s="22" t="n">
        <x:v>6</x:v>
      </x:c>
      <x:c r="J169" s="29" t="n">
        <x:v>1</x:v>
      </x:c>
      <x:c r="K169" s="29" t="n">
        <x:v>6</x:v>
      </x:c>
      <x:c r="L169" s="29" t="n">
        <x:v>1</x:v>
      </x:c>
      <x:c r="M169" s="29" t="n">
        <x:v>6</x:v>
      </x:c>
      <x:c r="N169" s="29" t="n">
        <x:v>0</x:v>
      </x:c>
      <x:c r="S169" s="25" t="inlineStr">
        <x:is>
          <x:t xml:space="preserve">G. von Cramm</x:t>
        </x:is>
      </x:c>
      <x:c r="T169" s="25" t="inlineStr">
        <x:is>
          <x:t xml:space="preserve">GER</x:t>
        </x:is>
      </x:c>
      <x:c r="U169" s="25" t="inlineStr">
        <x:is>
          <x:t xml:space="preserve">Germany</x:t>
        </x:is>
      </x:c>
      <x:c r="V169" s="7" t="n">
        <x:v>2</x:v>
      </x:c>
    </x:row>
    <x:row r="170">
      <x:c r="A170" t="n">
        <x:v>1935</x:v>
      </x:c>
      <x:c r="B170" s="25" t="inlineStr">
        <x:is>
          <x:t xml:space="preserve">Women's</x:t>
        </x:is>
      </x:c>
      <x:c r="C170" s="25" t="inlineStr">
        <x:is>
          <x:t xml:space="preserve">H.W. Moody</x:t>
        </x:is>
      </x:c>
      <x:c r="D170" s="25" t="inlineStr">
        <x:is>
          <x:t xml:space="preserve">USA</x:t>
        </x:is>
      </x:c>
      <x:c r="E170" s="25" t="inlineStr">
        <x:is>
          <x:t xml:space="preserve">United States</x:t>
        </x:is>
      </x:c>
      <x:c r="F170" s="7" t="n">
        <x:v>4</x:v>
      </x:c>
      <x:c r="G170" s="22" t="n">
        <x:v>100</x:v>
      </x:c>
      <x:c r="H170" s="22" t="inlineStr">
        <x:is>
          <x:t xml:space="preserve">6-3, 3-6, 7-5</x:t>
        </x:is>
      </x:c>
      <x:c r="I170" s="22" t="n">
        <x:v>6</x:v>
      </x:c>
      <x:c r="J170" s="29" t="n">
        <x:v>3</x:v>
      </x:c>
      <x:c r="K170" s="29" t="n">
        <x:v>3</x:v>
      </x:c>
      <x:c r="L170" s="29" t="n">
        <x:v>6</x:v>
      </x:c>
      <x:c r="M170" s="29" t="n">
        <x:v>7</x:v>
      </x:c>
      <x:c r="N170" s="29" t="n">
        <x:v>5</x:v>
      </x:c>
      <x:c r="S170" s="25" t="inlineStr">
        <x:is>
          <x:t xml:space="preserve">H.H. Jacobs</x:t>
        </x:is>
      </x:c>
      <x:c r="T170" s="25" t="inlineStr">
        <x:is>
          <x:t xml:space="preserve">USA</x:t>
        </x:is>
      </x:c>
      <x:c r="U170" s="25" t="inlineStr">
        <x:is>
          <x:t xml:space="preserve">United States</x:t>
        </x:is>
      </x:c>
      <x:c r="V170" s="7" t="n">
        <x:v>3</x:v>
      </x:c>
    </x:row>
    <x:row r="171">
      <x:c r="A171" t="n">
        <x:v>1935</x:v>
      </x:c>
      <x:c r="B171" s="25" t="inlineStr">
        <x:is>
          <x:t xml:space="preserve">Men's</x:t>
        </x:is>
      </x:c>
      <x:c r="C171" s="25" t="inlineStr">
        <x:is>
          <x:t xml:space="preserve">F.J. Perry</x:t>
        </x:is>
      </x:c>
      <x:c r="D171" s="25" t="inlineStr">
        <x:is>
          <x:t xml:space="preserve">GBR</x:t>
        </x:is>
      </x:c>
      <x:c r="E171" s="25" t="inlineStr">
        <x:is>
          <x:t xml:space="preserve">United Kingdom</x:t>
        </x:is>
      </x:c>
      <x:c r="F171" s="7" t="n">
        <x:v>1</x:v>
      </x:c>
      <x:c r="G171" s="22" t="n">
        <x:v>80</x:v>
      </x:c>
      <x:c r="H171" s="22" t="inlineStr">
        <x:is>
          <x:t xml:space="preserve">6-2, 6-4, 6-4</x:t>
        </x:is>
      </x:c>
      <x:c r="I171" s="22" t="n">
        <x:v>6</x:v>
      </x:c>
      <x:c r="J171" s="29" t="n">
        <x:v>2</x:v>
      </x:c>
      <x:c r="K171" s="29" t="n">
        <x:v>6</x:v>
      </x:c>
      <x:c r="L171" s="29" t="n">
        <x:v>4</x:v>
      </x:c>
      <x:c r="M171" s="29" t="n">
        <x:v>6</x:v>
      </x:c>
      <x:c r="N171" s="29" t="n">
        <x:v>4</x:v>
      </x:c>
      <x:c r="S171" s="25" t="inlineStr">
        <x:is>
          <x:t xml:space="preserve">G. von Cramm</x:t>
        </x:is>
      </x:c>
      <x:c r="T171" s="25" t="inlineStr">
        <x:is>
          <x:t xml:space="preserve">GER</x:t>
        </x:is>
      </x:c>
      <x:c r="U171" s="25" t="inlineStr">
        <x:is>
          <x:t xml:space="preserve">Germany</x:t>
        </x:is>
      </x:c>
      <x:c r="V171" s="7" t="n">
        <x:v>2</x:v>
      </x:c>
    </x:row>
    <x:row r="172">
      <x:c r="A172" t="n">
        <x:v>1934</x:v>
      </x:c>
      <x:c r="B172" s="25" t="inlineStr">
        <x:is>
          <x:t xml:space="preserve">Women's</x:t>
        </x:is>
      </x:c>
      <x:c r="C172" s="25" t="inlineStr">
        <x:is>
          <x:t xml:space="preserve">D.E. Round</x:t>
        </x:is>
      </x:c>
      <x:c r="D172" s="25" t="inlineStr">
        <x:is>
          <x:t xml:space="preserve">GBR</x:t>
        </x:is>
      </x:c>
      <x:c r="E172" s="25" t="inlineStr">
        <x:is>
          <x:t xml:space="preserve">United Kingdom</x:t>
        </x:is>
      </x:c>
      <x:c r="F172" s="7" t="n">
        <x:v>2</x:v>
      </x:c>
      <x:c r="H172" s="22" t="inlineStr">
        <x:is>
          <x:t xml:space="preserve">6-2, 5-7, 6-3</x:t>
        </x:is>
      </x:c>
      <x:c r="I172" s="22" t="n">
        <x:v>6</x:v>
      </x:c>
      <x:c r="J172" s="29" t="n">
        <x:v>2</x:v>
      </x:c>
      <x:c r="K172" s="29" t="n">
        <x:v>5</x:v>
      </x:c>
      <x:c r="L172" s="29" t="n">
        <x:v>7</x:v>
      </x:c>
      <x:c r="M172" s="29" t="n">
        <x:v>6</x:v>
      </x:c>
      <x:c r="N172" s="29" t="n">
        <x:v>3</x:v>
      </x:c>
      <x:c r="S172" s="25" t="inlineStr">
        <x:is>
          <x:t xml:space="preserve">H.H. Jacobs</x:t>
        </x:is>
      </x:c>
      <x:c r="T172" s="25" t="inlineStr">
        <x:is>
          <x:t xml:space="preserve">USA</x:t>
        </x:is>
      </x:c>
      <x:c r="U172" s="25" t="inlineStr">
        <x:is>
          <x:t xml:space="preserve">United States</x:t>
        </x:is>
      </x:c>
      <x:c r="V172" s="7" t="n">
        <x:v>1</x:v>
      </x:c>
    </x:row>
    <x:row r="173">
      <x:c r="A173" t="n">
        <x:v>1934</x:v>
      </x:c>
      <x:c r="B173" s="25" t="inlineStr">
        <x:is>
          <x:t xml:space="preserve">Men's</x:t>
        </x:is>
      </x:c>
      <x:c r="C173" s="25" t="inlineStr">
        <x:is>
          <x:t xml:space="preserve">F.J. Perry</x:t>
        </x:is>
      </x:c>
      <x:c r="D173" s="25" t="inlineStr">
        <x:is>
          <x:t xml:space="preserve">GBR</x:t>
        </x:is>
      </x:c>
      <x:c r="E173" s="25" t="inlineStr">
        <x:is>
          <x:t xml:space="preserve">United Kingdom</x:t>
        </x:is>
      </x:c>
      <x:c r="F173" s="7" t="n">
        <x:v>2</x:v>
      </x:c>
      <x:c r="G173" s="22" t="n">
        <x:v>72</x:v>
      </x:c>
      <x:c r="H173" s="22" t="inlineStr">
        <x:is>
          <x:t xml:space="preserve">6-3, 6-0, 7-5</x:t>
        </x:is>
      </x:c>
      <x:c r="I173" s="22" t="n">
        <x:v>6</x:v>
      </x:c>
      <x:c r="J173" s="29" t="n">
        <x:v>3</x:v>
      </x:c>
      <x:c r="K173" s="29" t="n">
        <x:v>6</x:v>
      </x:c>
      <x:c r="L173" s="29" t="n">
        <x:v>0</x:v>
      </x:c>
      <x:c r="M173" s="29" t="n">
        <x:v>7</x:v>
      </x:c>
      <x:c r="N173" s="29" t="n">
        <x:v>5</x:v>
      </x:c>
      <x:c r="S173" s="25" t="inlineStr">
        <x:is>
          <x:t xml:space="preserve">J.H. Crawford</x:t>
        </x:is>
      </x:c>
      <x:c r="T173" s="25" t="inlineStr">
        <x:is>
          <x:t xml:space="preserve">AUS</x:t>
        </x:is>
      </x:c>
      <x:c r="U173" s="25" t="inlineStr">
        <x:is>
          <x:t xml:space="preserve">Australia</x:t>
        </x:is>
      </x:c>
      <x:c r="V173" s="7" t="n">
        <x:v>1</x:v>
      </x:c>
    </x:row>
    <x:row r="174">
      <x:c r="A174" t="n">
        <x:v>1933</x:v>
      </x:c>
      <x:c r="B174" s="25" t="inlineStr">
        <x:is>
          <x:t xml:space="preserve">Women's</x:t>
        </x:is>
      </x:c>
      <x:c r="C174" s="25" t="inlineStr">
        <x:is>
          <x:t xml:space="preserve">H.W. Moody</x:t>
        </x:is>
      </x:c>
      <x:c r="D174" s="25" t="inlineStr">
        <x:is>
          <x:t xml:space="preserve">USA</x:t>
        </x:is>
      </x:c>
      <x:c r="E174" s="25" t="inlineStr">
        <x:is>
          <x:t xml:space="preserve">United States</x:t>
        </x:is>
      </x:c>
      <x:c r="F174" s="7" t="n">
        <x:v>1</x:v>
      </x:c>
      <x:c r="G174" s="22" t="n">
        <x:v>120</x:v>
      </x:c>
      <x:c r="H174" s="22" t="inlineStr">
        <x:is>
          <x:t xml:space="preserve">6-4, 6-8, 6-3</x:t>
        </x:is>
      </x:c>
      <x:c r="I174" s="22" t="n">
        <x:v>6</x:v>
      </x:c>
      <x:c r="J174" s="29" t="n">
        <x:v>4</x:v>
      </x:c>
      <x:c r="K174" s="29" t="n">
        <x:v>6</x:v>
      </x:c>
      <x:c r="L174" s="29" t="n">
        <x:v>8</x:v>
      </x:c>
      <x:c r="M174" s="29" t="n">
        <x:v>6</x:v>
      </x:c>
      <x:c r="N174" s="29" t="n">
        <x:v>3</x:v>
      </x:c>
      <x:c r="S174" s="25" t="inlineStr">
        <x:is>
          <x:t xml:space="preserve">D.E. Round</x:t>
        </x:is>
      </x:c>
      <x:c r="T174" s="25" t="inlineStr">
        <x:is>
          <x:t xml:space="preserve">GBR</x:t>
        </x:is>
      </x:c>
      <x:c r="U174" s="25" t="inlineStr">
        <x:is>
          <x:t xml:space="preserve">United Kingdom</x:t>
        </x:is>
      </x:c>
      <x:c r="V174" s="7" t="n">
        <x:v>2</x:v>
      </x:c>
    </x:row>
    <x:row r="175">
      <x:c r="A175" t="n">
        <x:v>1933</x:v>
      </x:c>
      <x:c r="B175" s="25" t="inlineStr">
        <x:is>
          <x:t xml:space="preserve">Men's</x:t>
        </x:is>
      </x:c>
      <x:c r="C175" s="25" t="inlineStr">
        <x:is>
          <x:t xml:space="preserve">J.H. Crawford</x:t>
        </x:is>
      </x:c>
      <x:c r="D175" s="25" t="inlineStr">
        <x:is>
          <x:t xml:space="preserve">AUS</x:t>
        </x:is>
      </x:c>
      <x:c r="E175" s="25" t="inlineStr">
        <x:is>
          <x:t xml:space="preserve">Australia</x:t>
        </x:is>
      </x:c>
      <x:c r="F175" s="7" t="n">
        <x:v>2</x:v>
      </x:c>
      <x:c r="G175" s="22" t="n">
        <x:v>120</x:v>
      </x:c>
      <x:c r="H175" s="22" t="inlineStr">
        <x:is>
          <x:t xml:space="preserve">4-6, 11-9, 6-2, 2-6, 6-4</x:t>
        </x:is>
      </x:c>
      <x:c r="I175" s="22" t="n">
        <x:v>4</x:v>
      </x:c>
      <x:c r="J175" s="29" t="n">
        <x:v>6</x:v>
      </x:c>
      <x:c r="K175" s="29" t="n">
        <x:v>11</x:v>
      </x:c>
      <x:c r="L175" s="29" t="n">
        <x:v>9</x:v>
      </x:c>
      <x:c r="M175" s="29" t="n">
        <x:v>6</x:v>
      </x:c>
      <x:c r="N175" s="29" t="n">
        <x:v>2</x:v>
      </x:c>
      <x:c r="O175" s="29" t="n">
        <x:v>2</x:v>
      </x:c>
      <x:c r="P175" s="29" t="n">
        <x:v>6</x:v>
      </x:c>
      <x:c r="Q175" s="22" t="n">
        <x:v>6</x:v>
      </x:c>
      <x:c r="R175" s="29" t="n">
        <x:v>4</x:v>
      </x:c>
      <x:c r="S175" s="25" t="inlineStr">
        <x:is>
          <x:t xml:space="preserve">H.E. Vines</x:t>
        </x:is>
      </x:c>
      <x:c r="T175" s="25" t="inlineStr">
        <x:is>
          <x:t xml:space="preserve">USA</x:t>
        </x:is>
      </x:c>
      <x:c r="U175" s="25" t="inlineStr">
        <x:is>
          <x:t xml:space="preserve">United States</x:t>
        </x:is>
      </x:c>
      <x:c r="V175" s="7" t="n">
        <x:v>1</x:v>
      </x:c>
    </x:row>
    <x:row r="176">
      <x:c r="A176" t="n">
        <x:v>1932</x:v>
      </x:c>
      <x:c r="B176" s="25" t="inlineStr">
        <x:is>
          <x:t xml:space="preserve">Women's</x:t>
        </x:is>
      </x:c>
      <x:c r="C176" s="25" t="inlineStr">
        <x:is>
          <x:t xml:space="preserve">H.W. Moody</x:t>
        </x:is>
      </x:c>
      <x:c r="D176" s="25" t="inlineStr">
        <x:is>
          <x:t xml:space="preserve">USA</x:t>
        </x:is>
      </x:c>
      <x:c r="E176" s="25" t="inlineStr">
        <x:is>
          <x:t xml:space="preserve">United States</x:t>
        </x:is>
      </x:c>
      <x:c r="F176" s="7" t="n">
        <x:v>1</x:v>
      </x:c>
      <x:c r="G176" s="22" t="n">
        <x:v>50</x:v>
      </x:c>
      <x:c r="H176" s="22" t="inlineStr">
        <x:is>
          <x:t xml:space="preserve">6-3, 6-1</x:t>
        </x:is>
      </x:c>
      <x:c r="I176" s="22" t="n">
        <x:v>6</x:v>
      </x:c>
      <x:c r="J176" s="29" t="n">
        <x:v>3</x:v>
      </x:c>
      <x:c r="K176" s="29" t="n">
        <x:v>6</x:v>
      </x:c>
      <x:c r="L176" s="29" t="n">
        <x:v>1</x:v>
      </x:c>
      <x:c r="S176" s="25" t="inlineStr">
        <x:is>
          <x:t xml:space="preserve">H.H. Jacobs</x:t>
        </x:is>
      </x:c>
      <x:c r="T176" s="25" t="inlineStr">
        <x:is>
          <x:t xml:space="preserve">USA</x:t>
        </x:is>
      </x:c>
      <x:c r="U176" s="25" t="inlineStr">
        <x:is>
          <x:t xml:space="preserve">United States</x:t>
        </x:is>
      </x:c>
      <x:c r="V176" s="7" t="n">
        <x:v>5</x:v>
      </x:c>
    </x:row>
    <x:row r="177">
      <x:c r="A177" t="n">
        <x:v>1932</x:v>
      </x:c>
      <x:c r="B177" s="25" t="inlineStr">
        <x:is>
          <x:t xml:space="preserve">Men's</x:t>
        </x:is>
      </x:c>
      <x:c r="C177" s="25" t="inlineStr">
        <x:is>
          <x:t xml:space="preserve">H.E. Vines</x:t>
        </x:is>
      </x:c>
      <x:c r="D177" s="25" t="inlineStr">
        <x:is>
          <x:t xml:space="preserve">USA</x:t>
        </x:is>
      </x:c>
      <x:c r="E177" s="25" t="inlineStr">
        <x:is>
          <x:t xml:space="preserve">United States</x:t>
        </x:is>
      </x:c>
      <x:c r="F177" s="7" t="n">
        <x:v>2</x:v>
      </x:c>
      <x:c r="G177" s="22" t="n">
        <x:v>50</x:v>
      </x:c>
      <x:c r="H177" s="22" t="inlineStr">
        <x:is>
          <x:t xml:space="preserve">6-2, 6-2, 6-0</x:t>
        </x:is>
      </x:c>
      <x:c r="I177" s="22" t="n">
        <x:v>6</x:v>
      </x:c>
      <x:c r="J177" s="29" t="n">
        <x:v>2</x:v>
      </x:c>
      <x:c r="K177" s="29" t="n">
        <x:v>6</x:v>
      </x:c>
      <x:c r="L177" s="29" t="n">
        <x:v>2</x:v>
      </x:c>
      <x:c r="M177" s="29" t="n">
        <x:v>6</x:v>
      </x:c>
      <x:c r="N177" s="29" t="n">
        <x:v>0</x:v>
      </x:c>
      <x:c r="S177" s="25" t="inlineStr">
        <x:is>
          <x:t xml:space="preserve">H.W. Austin</x:t>
        </x:is>
      </x:c>
      <x:c r="T177" s="25" t="inlineStr">
        <x:is>
          <x:t xml:space="preserve">GBR</x:t>
        </x:is>
      </x:c>
      <x:c r="U177" s="25" t="inlineStr">
        <x:is>
          <x:t xml:space="preserve">United Kingdom</x:t>
        </x:is>
      </x:c>
      <x:c r="V177" s="7" t="n">
        <x:v>6</x:v>
      </x:c>
    </x:row>
    <x:row r="178">
      <x:c r="A178" t="n">
        <x:v>1931</x:v>
      </x:c>
      <x:c r="B178" s="25" t="inlineStr">
        <x:is>
          <x:t xml:space="preserve">Women's</x:t>
        </x:is>
      </x:c>
      <x:c r="C178" s="25" t="inlineStr">
        <x:is>
          <x:t xml:space="preserve">C. Aussem</x:t>
        </x:is>
      </x:c>
      <x:c r="D178" s="25" t="inlineStr">
        <x:is>
          <x:t xml:space="preserve">GER</x:t>
        </x:is>
      </x:c>
      <x:c r="E178" s="25" t="inlineStr">
        <x:is>
          <x:t xml:space="preserve">Germany</x:t>
        </x:is>
      </x:c>
      <x:c r="F178" s="7" t="n">
        <x:v>1</x:v>
      </x:c>
      <x:c r="H178" s="22" t="inlineStr">
        <x:is>
          <x:t xml:space="preserve">6-2, 7-5</x:t>
        </x:is>
      </x:c>
      <x:c r="I178" s="22" t="n">
        <x:v>6</x:v>
      </x:c>
      <x:c r="J178" s="29" t="n">
        <x:v>2</x:v>
      </x:c>
      <x:c r="K178" s="29" t="n">
        <x:v>7</x:v>
      </x:c>
      <x:c r="L178" s="29" t="n">
        <x:v>5</x:v>
      </x:c>
      <x:c r="S178" s="25" t="inlineStr">
        <x:is>
          <x:t xml:space="preserve">H. Krahwinkel</x:t>
        </x:is>
      </x:c>
      <x:c r="T178" s="25" t="inlineStr">
        <x:is>
          <x:t xml:space="preserve">GER</x:t>
        </x:is>
      </x:c>
      <x:c r="U178" s="25" t="inlineStr">
        <x:is>
          <x:t xml:space="preserve">Germany</x:t>
        </x:is>
      </x:c>
      <x:c r="V178" s="7" t="n">
        <x:v>4</x:v>
      </x:c>
    </x:row>
    <x:row r="179">
      <x:c r="A179" t="n">
        <x:v>1931</x:v>
      </x:c>
      <x:c r="B179" s="25" t="inlineStr">
        <x:is>
          <x:t xml:space="preserve">Men's</x:t>
        </x:is>
      </x:c>
      <x:c r="C179" s="25" t="inlineStr">
        <x:is>
          <x:t xml:space="preserve">S.B.B. Wood</x:t>
        </x:is>
      </x:c>
      <x:c r="D179" s="25" t="inlineStr">
        <x:is>
          <x:t xml:space="preserve">USA</x:t>
        </x:is>
      </x:c>
      <x:c r="E179" s="25" t="inlineStr">
        <x:is>
          <x:t xml:space="preserve">United States</x:t>
        </x:is>
      </x:c>
      <x:c r="F179" s="7" t="n">
        <x:v>7</x:v>
      </x:c>
      <x:c r="H179" s="22" t="inlineStr">
        <x:is>
          <x:t xml:space="preserve">walk over</x:t>
        </x:is>
      </x:c>
      <x:c r="I179" s="29" t="inlineStr">
        <x:is>
          <x:t xml:space="preserve">walkover</x:t>
        </x:is>
      </x:c>
      <x:c r="S179" s="25" t="inlineStr">
        <x:is>
          <x:t xml:space="preserve">F.X. Shields</x:t>
        </x:is>
      </x:c>
      <x:c r="T179" s="25" t="inlineStr">
        <x:is>
          <x:t xml:space="preserve">USA</x:t>
        </x:is>
      </x:c>
      <x:c r="U179" s="25" t="inlineStr">
        <x:is>
          <x:t xml:space="preserve">United States</x:t>
        </x:is>
      </x:c>
      <x:c r="V179" s="7" t="n">
        <x:v>3</x:v>
      </x:c>
    </x:row>
    <x:row r="180">
      <x:c r="A180" t="n">
        <x:v>1930</x:v>
      </x:c>
      <x:c r="B180" s="25" t="inlineStr">
        <x:is>
          <x:t xml:space="preserve">Women's</x:t>
        </x:is>
      </x:c>
      <x:c r="C180" s="25" t="inlineStr">
        <x:is>
          <x:t xml:space="preserve">H.W. Moody</x:t>
        </x:is>
      </x:c>
      <x:c r="D180" s="25" t="inlineStr">
        <x:is>
          <x:t xml:space="preserve">USA</x:t>
        </x:is>
      </x:c>
      <x:c r="E180" s="25" t="inlineStr">
        <x:is>
          <x:t xml:space="preserve">United States</x:t>
        </x:is>
      </x:c>
      <x:c r="F180" s="7" t="n">
        <x:v>1</x:v>
      </x:c>
      <x:c r="H180" s="22" t="inlineStr">
        <x:is>
          <x:t xml:space="preserve">6-2, 6-2</x:t>
        </x:is>
      </x:c>
      <x:c r="I180" s="22" t="n">
        <x:v>6</x:v>
      </x:c>
      <x:c r="J180" s="29" t="n">
        <x:v>2</x:v>
      </x:c>
      <x:c r="K180" s="29" t="n">
        <x:v>6</x:v>
      </x:c>
      <x:c r="L180" s="29" t="n">
        <x:v>2</x:v>
      </x:c>
      <x:c r="S180" s="25" t="inlineStr">
        <x:is>
          <x:t xml:space="preserve">E.M. Ryan</x:t>
        </x:is>
      </x:c>
      <x:c r="T180" s="25" t="inlineStr">
        <x:is>
          <x:t xml:space="preserve">USA</x:t>
        </x:is>
      </x:c>
      <x:c r="U180" s="25" t="inlineStr">
        <x:is>
          <x:t xml:space="preserve">United States</x:t>
        </x:is>
      </x:c>
      <x:c r="V180" s="7" t="n">
        <x:v>8</x:v>
      </x:c>
    </x:row>
    <x:row r="181">
      <x:c r="A181" t="n">
        <x:v>1930</x:v>
      </x:c>
      <x:c r="B181" s="25" t="inlineStr">
        <x:is>
          <x:t xml:space="preserve">Men's</x:t>
        </x:is>
      </x:c>
      <x:c r="C181" s="25" t="inlineStr">
        <x:is>
          <x:t xml:space="preserve">W.T. Tilden</x:t>
        </x:is>
      </x:c>
      <x:c r="D181" s="25" t="inlineStr">
        <x:is>
          <x:t xml:space="preserve">USA</x:t>
        </x:is>
      </x:c>
      <x:c r="E181" s="25" t="inlineStr">
        <x:is>
          <x:t xml:space="preserve">United States</x:t>
        </x:is>
      </x:c>
      <x:c r="F181" s="7" t="n">
        <x:v>2</x:v>
      </x:c>
      <x:c r="G181" s="22" t="n">
        <x:v>70</x:v>
      </x:c>
      <x:c r="H181" s="22" t="inlineStr">
        <x:is>
          <x:t xml:space="preserve">6-3, 9-7, 6-4</x:t>
        </x:is>
      </x:c>
      <x:c r="I181" s="22" t="n">
        <x:v>6</x:v>
      </x:c>
      <x:c r="J181" s="29" t="n">
        <x:v>3</x:v>
      </x:c>
      <x:c r="K181" s="29" t="n">
        <x:v>9</x:v>
      </x:c>
      <x:c r="L181" s="29" t="n">
        <x:v>7</x:v>
      </x:c>
      <x:c r="M181" s="29" t="n">
        <x:v>6</x:v>
      </x:c>
      <x:c r="N181" s="29" t="n">
        <x:v>4</x:v>
      </x:c>
      <x:c r="S181" s="25" t="inlineStr">
        <x:is>
          <x:t xml:space="preserve">W.L. Allison</x:t>
        </x:is>
      </x:c>
      <x:c r="T181" s="25" t="inlineStr">
        <x:is>
          <x:t xml:space="preserve">USA</x:t>
        </x:is>
      </x:c>
      <x:c r="U181" s="25" t="inlineStr">
        <x:is>
          <x:t xml:space="preserve">United States</x:t>
        </x:is>
      </x:c>
      <x:c r="V181" s="7" t="inlineStr">
        <x:is>
          <x:t xml:space="preserve">U</x:t>
        </x:is>
      </x:c>
    </x:row>
    <x:row r="182">
      <x:c r="A182" t="n">
        <x:v>1929</x:v>
      </x:c>
      <x:c r="B182" s="25" t="inlineStr">
        <x:is>
          <x:t xml:space="preserve">Women's</x:t>
        </x:is>
      </x:c>
      <x:c r="C182" s="25" t="inlineStr">
        <x:is>
          <x:t xml:space="preserve">H.W. Moody</x:t>
        </x:is>
      </x:c>
      <x:c r="D182" s="25" t="inlineStr">
        <x:is>
          <x:t xml:space="preserve">USA</x:t>
        </x:is>
      </x:c>
      <x:c r="E182" s="25" t="inlineStr">
        <x:is>
          <x:t xml:space="preserve">United States</x:t>
        </x:is>
      </x:c>
      <x:c r="F182" s="7" t="n">
        <x:v>1</x:v>
      </x:c>
      <x:c r="H182" s="22" t="inlineStr">
        <x:is>
          <x:t xml:space="preserve">6-1, 6-2</x:t>
        </x:is>
      </x:c>
      <x:c r="I182" s="22" t="n">
        <x:v>6</x:v>
      </x:c>
      <x:c r="J182" s="29" t="n">
        <x:v>1</x:v>
      </x:c>
      <x:c r="K182" s="29" t="n">
        <x:v>6</x:v>
      </x:c>
      <x:c r="L182" s="29" t="n">
        <x:v>2</x:v>
      </x:c>
      <x:c r="S182" s="25" t="inlineStr">
        <x:is>
          <x:t xml:space="preserve">H.H. Jacobs</x:t>
        </x:is>
      </x:c>
      <x:c r="T182" s="25" t="inlineStr">
        <x:is>
          <x:t xml:space="preserve">USA</x:t>
        </x:is>
      </x:c>
      <x:c r="U182" s="25" t="inlineStr">
        <x:is>
          <x:t xml:space="preserve">United States</x:t>
        </x:is>
      </x:c>
      <x:c r="V182" s="7" t="n">
        <x:v>5</x:v>
      </x:c>
    </x:row>
    <x:row r="183">
      <x:c r="A183" t="n">
        <x:v>1929</x:v>
      </x:c>
      <x:c r="B183" s="25" t="inlineStr">
        <x:is>
          <x:t xml:space="preserve">Men's</x:t>
        </x:is>
      </x:c>
      <x:c r="C183" s="25" t="inlineStr">
        <x:is>
          <x:t xml:space="preserve">H.J. Cochet</x:t>
        </x:is>
      </x:c>
      <x:c r="D183" s="25" t="inlineStr">
        <x:is>
          <x:t xml:space="preserve">FRA</x:t>
        </x:is>
      </x:c>
      <x:c r="E183" s="25" t="inlineStr">
        <x:is>
          <x:t xml:space="preserve">France</x:t>
        </x:is>
      </x:c>
      <x:c r="F183" s="7" t="n">
        <x:v>1</x:v>
      </x:c>
      <x:c r="G183" s="22" t="n">
        <x:v>60</x:v>
      </x:c>
      <x:c r="H183" s="22" t="inlineStr">
        <x:is>
          <x:t xml:space="preserve">6-4, 6-3, 6-4</x:t>
        </x:is>
      </x:c>
      <x:c r="I183" s="22" t="n">
        <x:v>6</x:v>
      </x:c>
      <x:c r="J183" s="29" t="n">
        <x:v>4</x:v>
      </x:c>
      <x:c r="K183" s="29" t="n">
        <x:v>6</x:v>
      </x:c>
      <x:c r="L183" s="29" t="n">
        <x:v>3</x:v>
      </x:c>
      <x:c r="M183" s="29" t="n">
        <x:v>6</x:v>
      </x:c>
      <x:c r="N183" s="29" t="n">
        <x:v>4</x:v>
      </x:c>
      <x:c r="S183" s="25" t="inlineStr">
        <x:is>
          <x:t xml:space="preserve">J.R. Borotra</x:t>
        </x:is>
      </x:c>
      <x:c r="T183" s="25" t="inlineStr">
        <x:is>
          <x:t xml:space="preserve">FRA</x:t>
        </x:is>
      </x:c>
      <x:c r="U183" s="25" t="inlineStr">
        <x:is>
          <x:t xml:space="preserve">France</x:t>
        </x:is>
      </x:c>
      <x:c r="V183" s="7" t="n">
        <x:v>2</x:v>
      </x:c>
    </x:row>
    <x:row r="184">
      <x:c r="A184" t="n">
        <x:v>1928</x:v>
      </x:c>
      <x:c r="B184" s="25" t="inlineStr">
        <x:is>
          <x:t xml:space="preserve">Women's</x:t>
        </x:is>
      </x:c>
      <x:c r="C184" s="25" t="inlineStr">
        <x:is>
          <x:t xml:space="preserve">H.W. Moody</x:t>
        </x:is>
      </x:c>
      <x:c r="D184" s="25" t="inlineStr">
        <x:is>
          <x:t xml:space="preserve">USA</x:t>
        </x:is>
      </x:c>
      <x:c r="E184" s="25" t="inlineStr">
        <x:is>
          <x:t xml:space="preserve">United States</x:t>
        </x:is>
      </x:c>
      <x:c r="F184" s="7" t="n">
        <x:v>1</x:v>
      </x:c>
      <x:c r="H184" s="22" t="inlineStr">
        <x:is>
          <x:t xml:space="preserve">6-2, 6-3</x:t>
        </x:is>
      </x:c>
      <x:c r="I184" s="22" t="n">
        <x:v>6</x:v>
      </x:c>
      <x:c r="J184" s="29" t="n">
        <x:v>2</x:v>
      </x:c>
      <x:c r="K184" s="29" t="n">
        <x:v>6</x:v>
      </x:c>
      <x:c r="L184" s="29" t="n">
        <x:v>3</x:v>
      </x:c>
      <x:c r="S184" s="25" t="inlineStr">
        <x:is>
          <x:t xml:space="preserve">E.M. de Alvarez</x:t>
        </x:is>
      </x:c>
      <x:c r="T184" s="25" t="inlineStr">
        <x:is>
          <x:t xml:space="preserve">ESP</x:t>
        </x:is>
      </x:c>
      <x:c r="U184" s="25" t="inlineStr">
        <x:is>
          <x:t xml:space="preserve">Spain</x:t>
        </x:is>
      </x:c>
      <x:c r="V184" s="7" t="n">
        <x:v>2</x:v>
      </x:c>
    </x:row>
    <x:row r="185">
      <x:c r="A185" t="n">
        <x:v>1928</x:v>
      </x:c>
      <x:c r="B185" s="25" t="inlineStr">
        <x:is>
          <x:t xml:space="preserve">Men's</x:t>
        </x:is>
      </x:c>
      <x:c r="C185" s="25" t="inlineStr">
        <x:is>
          <x:t xml:space="preserve">J.R. Lacoste</x:t>
        </x:is>
      </x:c>
      <x:c r="D185" s="25" t="inlineStr">
        <x:is>
          <x:t xml:space="preserve">FRA</x:t>
        </x:is>
      </x:c>
      <x:c r="E185" s="25" t="inlineStr">
        <x:is>
          <x:t xml:space="preserve">France</x:t>
        </x:is>
      </x:c>
      <x:c r="F185" s="7" t="n">
        <x:v>2</x:v>
      </x:c>
      <x:c r="H185" s="22" t="inlineStr">
        <x:is>
          <x:t xml:space="preserve">6-1, 4-6, 6-4, 6-2</x:t>
        </x:is>
      </x:c>
      <x:c r="I185" s="22" t="n">
        <x:v>6</x:v>
      </x:c>
      <x:c r="J185" s="29" t="n">
        <x:v>1</x:v>
      </x:c>
      <x:c r="K185" s="29" t="n">
        <x:v>4</x:v>
      </x:c>
      <x:c r="L185" s="29" t="n">
        <x:v>6</x:v>
      </x:c>
      <x:c r="M185" s="29" t="n">
        <x:v>6</x:v>
      </x:c>
      <x:c r="N185" s="29" t="n">
        <x:v>4</x:v>
      </x:c>
      <x:c r="O185" s="29" t="n">
        <x:v>6</x:v>
      </x:c>
      <x:c r="P185" s="29" t="n">
        <x:v>2</x:v>
      </x:c>
      <x:c r="S185" s="25" t="inlineStr">
        <x:is>
          <x:t xml:space="preserve">H.J. Cochet</x:t>
        </x:is>
      </x:c>
      <x:c r="T185" s="25" t="inlineStr">
        <x:is>
          <x:t xml:space="preserve">FRA</x:t>
        </x:is>
      </x:c>
      <x:c r="U185" s="25" t="inlineStr">
        <x:is>
          <x:t xml:space="preserve">France</x:t>
        </x:is>
      </x:c>
      <x:c r="V185" s="7" t="n">
        <x:v>1</x:v>
      </x:c>
    </x:row>
    <x:row r="186">
      <x:c r="A186" t="n">
        <x:v>1927</x:v>
      </x:c>
      <x:c r="B186" s="25" t="inlineStr">
        <x:is>
          <x:t xml:space="preserve">Women's</x:t>
        </x:is>
      </x:c>
      <x:c r="C186" s="25" t="inlineStr">
        <x:is>
          <x:t xml:space="preserve">H.W. Moody</x:t>
        </x:is>
      </x:c>
      <x:c r="D186" s="25" t="inlineStr">
        <x:is>
          <x:t xml:space="preserve">USA</x:t>
        </x:is>
      </x:c>
      <x:c r="E186" s="25" t="inlineStr">
        <x:is>
          <x:t xml:space="preserve">United States</x:t>
        </x:is>
      </x:c>
      <x:c r="F186" s="7" t="n">
        <x:v>1</x:v>
      </x:c>
      <x:c r="H186" s="22" t="inlineStr">
        <x:is>
          <x:t xml:space="preserve">6-2, 6-4</x:t>
        </x:is>
      </x:c>
      <x:c r="I186" s="22" t="n">
        <x:v>6</x:v>
      </x:c>
      <x:c r="J186" s="29" t="n">
        <x:v>2</x:v>
      </x:c>
      <x:c r="K186" s="29" t="n">
        <x:v>6</x:v>
      </x:c>
      <x:c r="L186" s="29" t="n">
        <x:v>4</x:v>
      </x:c>
      <x:c r="S186" s="25" t="inlineStr">
        <x:is>
          <x:t xml:space="preserve">E.M. de Alvarez</x:t>
        </x:is>
      </x:c>
      <x:c r="T186" s="25" t="inlineStr">
        <x:is>
          <x:t xml:space="preserve">ESP</x:t>
        </x:is>
      </x:c>
      <x:c r="U186" s="25" t="inlineStr">
        <x:is>
          <x:t xml:space="preserve">Spain</x:t>
        </x:is>
      </x:c>
      <x:c r="V186" s="7" t="n">
        <x:v>4</x:v>
      </x:c>
    </x:row>
    <x:row r="187">
      <x:c r="A187" t="n">
        <x:v>1927</x:v>
      </x:c>
      <x:c r="B187" s="25" t="inlineStr">
        <x:is>
          <x:t xml:space="preserve">Men's</x:t>
        </x:is>
      </x:c>
      <x:c r="C187" s="25" t="inlineStr">
        <x:is>
          <x:t xml:space="preserve">H.J. Cochet</x:t>
        </x:is>
      </x:c>
      <x:c r="D187" s="25" t="inlineStr">
        <x:is>
          <x:t xml:space="preserve">FRA</x:t>
        </x:is>
      </x:c>
      <x:c r="E187" s="25" t="inlineStr">
        <x:is>
          <x:t xml:space="preserve">France</x:t>
        </x:is>
      </x:c>
      <x:c r="F187" s="7" t="n">
        <x:v>4</x:v>
      </x:c>
      <x:c r="H187" s="22" t="inlineStr">
        <x:is>
          <x:t xml:space="preserve">4-6, 4-6, 6-3, 6-4, 7-5</x:t>
        </x:is>
      </x:c>
      <x:c r="I187" s="22" t="n">
        <x:v>4</x:v>
      </x:c>
      <x:c r="J187" s="29" t="n">
        <x:v>6</x:v>
      </x:c>
      <x:c r="K187" s="29" t="n">
        <x:v>4</x:v>
      </x:c>
      <x:c r="L187" s="29" t="n">
        <x:v>6</x:v>
      </x:c>
      <x:c r="M187" s="29" t="n">
        <x:v>6</x:v>
      </x:c>
      <x:c r="N187" s="29" t="n">
        <x:v>3</x:v>
      </x:c>
      <x:c r="O187" s="29" t="n">
        <x:v>6</x:v>
      </x:c>
      <x:c r="P187" s="29" t="n">
        <x:v>4</x:v>
      </x:c>
      <x:c r="Q187" s="22" t="n">
        <x:v>7</x:v>
      </x:c>
      <x:c r="R187" s="29" t="n">
        <x:v>5</x:v>
      </x:c>
      <x:c r="S187" s="25" t="inlineStr">
        <x:is>
          <x:t xml:space="preserve">J.R. Borotra</x:t>
        </x:is>
      </x:c>
      <x:c r="T187" s="25" t="inlineStr">
        <x:is>
          <x:t xml:space="preserve">FRA</x:t>
        </x:is>
      </x:c>
      <x:c r="U187" s="25" t="inlineStr">
        <x:is>
          <x:t xml:space="preserve">France</x:t>
        </x:is>
      </x:c>
      <x:c r="V187" s="7" t="n">
        <x:v>3</x:v>
      </x:c>
    </x:row>
    <x:row r="188">
      <x:c r="A188" t="n">
        <x:v>1926</x:v>
      </x:c>
      <x:c r="B188" s="25" t="inlineStr">
        <x:is>
          <x:t xml:space="preserve">Women's</x:t>
        </x:is>
      </x:c>
      <x:c r="C188" s="25" t="inlineStr">
        <x:is>
          <x:t xml:space="preserve">L.A. Godfree</x:t>
        </x:is>
      </x:c>
      <x:c r="D188" s="25" t="inlineStr">
        <x:is>
          <x:t xml:space="preserve">GBR</x:t>
        </x:is>
      </x:c>
      <x:c r="E188" s="25" t="inlineStr">
        <x:is>
          <x:t xml:space="preserve">United Kingdom</x:t>
        </x:is>
      </x:c>
      <x:c r="G188" s="22" t="n">
        <x:v>60</x:v>
      </x:c>
      <x:c r="H188" s="22" t="inlineStr">
        <x:is>
          <x:t xml:space="preserve">6-2, 4-6, 6-3</x:t>
        </x:is>
      </x:c>
      <x:c r="I188" s="22" t="n">
        <x:v>6</x:v>
      </x:c>
      <x:c r="J188" s="29" t="n">
        <x:v>2</x:v>
      </x:c>
      <x:c r="K188" s="29" t="n">
        <x:v>4</x:v>
      </x:c>
      <x:c r="L188" s="29" t="n">
        <x:v>6</x:v>
      </x:c>
      <x:c r="M188" s="29" t="n">
        <x:v>6</x:v>
      </x:c>
      <x:c r="N188" s="29" t="n">
        <x:v>3</x:v>
      </x:c>
      <x:c r="S188" s="25" t="inlineStr">
        <x:is>
          <x:t xml:space="preserve">E.M. de Alvarez</x:t>
        </x:is>
      </x:c>
      <x:c r="T188" s="25" t="inlineStr">
        <x:is>
          <x:t xml:space="preserve">ESP</x:t>
        </x:is>
      </x:c>
      <x:c r="U188" s="25" t="inlineStr">
        <x:is>
          <x:t xml:space="preserve">Spain</x:t>
        </x:is>
      </x:c>
    </x:row>
    <x:row r="189">
      <x:c r="A189" t="n">
        <x:v>1926</x:v>
      </x:c>
      <x:c r="B189" s="25" t="inlineStr">
        <x:is>
          <x:t xml:space="preserve">Men's</x:t>
        </x:is>
      </x:c>
      <x:c r="C189" s="25" t="inlineStr">
        <x:is>
          <x:t xml:space="preserve">J.R. Borotra</x:t>
        </x:is>
      </x:c>
      <x:c r="D189" s="25" t="inlineStr">
        <x:is>
          <x:t xml:space="preserve">FRA</x:t>
        </x:is>
      </x:c>
      <x:c r="E189" s="25" t="inlineStr">
        <x:is>
          <x:t xml:space="preserve">France</x:t>
        </x:is>
      </x:c>
      <x:c r="G189" s="22" t="n">
        <x:v>65</x:v>
      </x:c>
      <x:c r="H189" s="22" t="inlineStr">
        <x:is>
          <x:t xml:space="preserve">8-6, 6-1, 6-3</x:t>
        </x:is>
      </x:c>
      <x:c r="I189" s="22" t="n">
        <x:v>8</x:v>
      </x:c>
      <x:c r="J189" s="29" t="n">
        <x:v>6</x:v>
      </x:c>
      <x:c r="K189" s="29" t="n">
        <x:v>6</x:v>
      </x:c>
      <x:c r="L189" s="29" t="n">
        <x:v>1</x:v>
      </x:c>
      <x:c r="M189" s="29" t="n">
        <x:v>6</x:v>
      </x:c>
      <x:c r="N189" s="29" t="n">
        <x:v>3</x:v>
      </x:c>
      <x:c r="S189" s="25" t="inlineStr">
        <x:is>
          <x:t xml:space="preserve">H.O. Kinsey</x:t>
        </x:is>
      </x:c>
      <x:c r="T189" s="25" t="inlineStr">
        <x:is>
          <x:t xml:space="preserve">USA</x:t>
        </x:is>
      </x:c>
      <x:c r="U189" s="25" t="inlineStr">
        <x:is>
          <x:t xml:space="preserve">United States</x:t>
        </x:is>
      </x:c>
    </x:row>
    <x:row r="190">
      <x:c r="A190" t="n">
        <x:v>1925</x:v>
      </x:c>
      <x:c r="B190" s="25" t="inlineStr">
        <x:is>
          <x:t xml:space="preserve">Women's</x:t>
        </x:is>
      </x:c>
      <x:c r="C190" s="25" t="inlineStr">
        <x:is>
          <x:t xml:space="preserve">S.R.F. Lenglen</x:t>
        </x:is>
      </x:c>
      <x:c r="D190" s="25" t="inlineStr">
        <x:is>
          <x:t xml:space="preserve">FRA</x:t>
        </x:is>
      </x:c>
      <x:c r="E190" s="25" t="inlineStr">
        <x:is>
          <x:t xml:space="preserve">France</x:t>
        </x:is>
      </x:c>
      <x:c r="G190" s="22" t="n">
        <x:v>25</x:v>
      </x:c>
      <x:c r="H190" s="22" t="inlineStr">
        <x:is>
          <x:t xml:space="preserve">6-2, 6-0</x:t>
        </x:is>
      </x:c>
      <x:c r="I190" s="22" t="n">
        <x:v>6</x:v>
      </x:c>
      <x:c r="J190" s="29" t="n">
        <x:v>2</x:v>
      </x:c>
      <x:c r="K190" s="29" t="n">
        <x:v>6</x:v>
      </x:c>
      <x:c r="L190" s="29" t="n">
        <x:v>0</x:v>
      </x:c>
      <x:c r="S190" s="25" t="inlineStr">
        <x:is>
          <x:t xml:space="preserve">J.C. Fry</x:t>
        </x:is>
      </x:c>
      <x:c r="T190" s="25" t="inlineStr">
        <x:is>
          <x:t xml:space="preserve">GBR</x:t>
        </x:is>
      </x:c>
      <x:c r="U190" s="25" t="inlineStr">
        <x:is>
          <x:t xml:space="preserve">United Kingdom</x:t>
        </x:is>
      </x:c>
    </x:row>
    <x:row r="191">
      <x:c r="A191" t="n">
        <x:v>1925</x:v>
      </x:c>
      <x:c r="B191" s="25" t="inlineStr">
        <x:is>
          <x:t xml:space="preserve">Men's</x:t>
        </x:is>
      </x:c>
      <x:c r="C191" s="25" t="inlineStr">
        <x:is>
          <x:t xml:space="preserve">J.R. Lacoste</x:t>
        </x:is>
      </x:c>
      <x:c r="D191" s="25" t="inlineStr">
        <x:is>
          <x:t xml:space="preserve">FRA</x:t>
        </x:is>
      </x:c>
      <x:c r="E191" s="25" t="inlineStr">
        <x:is>
          <x:t xml:space="preserve">France</x:t>
        </x:is>
      </x:c>
      <x:c r="H191" s="22" t="inlineStr">
        <x:is>
          <x:t xml:space="preserve">6-3, 6-3, 4-6, 8-6</x:t>
        </x:is>
      </x:c>
      <x:c r="I191" s="22" t="n">
        <x:v>6</x:v>
      </x:c>
      <x:c r="J191" s="29" t="n">
        <x:v>3</x:v>
      </x:c>
      <x:c r="K191" s="29" t="n">
        <x:v>6</x:v>
      </x:c>
      <x:c r="L191" s="29" t="n">
        <x:v>3</x:v>
      </x:c>
      <x:c r="M191" s="29" t="n">
        <x:v>4</x:v>
      </x:c>
      <x:c r="N191" s="29" t="n">
        <x:v>6</x:v>
      </x:c>
      <x:c r="O191" s="29" t="n">
        <x:v>8</x:v>
      </x:c>
      <x:c r="P191" s="29" t="n">
        <x:v>6</x:v>
      </x:c>
      <x:c r="S191" s="25" t="inlineStr">
        <x:is>
          <x:t xml:space="preserve">J.R. Borotra</x:t>
        </x:is>
      </x:c>
      <x:c r="T191" s="25" t="inlineStr">
        <x:is>
          <x:t xml:space="preserve">FRA</x:t>
        </x:is>
      </x:c>
      <x:c r="U191" s="25" t="inlineStr">
        <x:is>
          <x:t xml:space="preserve">France</x:t>
        </x:is>
      </x:c>
    </x:row>
    <x:row r="192">
      <x:c r="A192" t="n">
        <x:v>1924</x:v>
      </x:c>
      <x:c r="B192" s="25" t="inlineStr">
        <x:is>
          <x:t xml:space="preserve">Women's</x:t>
        </x:is>
      </x:c>
      <x:c r="C192" s="25" t="inlineStr">
        <x:is>
          <x:t xml:space="preserve">K. McKane</x:t>
        </x:is>
      </x:c>
      <x:c r="D192" s="25" t="inlineStr">
        <x:is>
          <x:t xml:space="preserve">GBR</x:t>
        </x:is>
      </x:c>
      <x:c r="E192" s="25" t="inlineStr">
        <x:is>
          <x:t xml:space="preserve">United Kingdom</x:t>
        </x:is>
      </x:c>
      <x:c r="G192" s="22" t="n">
        <x:v>75</x:v>
      </x:c>
      <x:c r="H192" s="22" t="inlineStr">
        <x:is>
          <x:t xml:space="preserve">4-6, 6-4, 6-4</x:t>
        </x:is>
      </x:c>
      <x:c r="I192" s="22" t="n">
        <x:v>4</x:v>
      </x:c>
      <x:c r="J192" s="29" t="n">
        <x:v>6</x:v>
      </x:c>
      <x:c r="K192" s="29" t="n">
        <x:v>6</x:v>
      </x:c>
      <x:c r="L192" s="29" t="n">
        <x:v>4</x:v>
      </x:c>
      <x:c r="M192" s="29" t="n">
        <x:v>6</x:v>
      </x:c>
      <x:c r="N192" s="29" t="n">
        <x:v>4</x:v>
      </x:c>
      <x:c r="S192" s="25" t="inlineStr">
        <x:is>
          <x:t xml:space="preserve">H.W. Moody</x:t>
        </x:is>
      </x:c>
      <x:c r="T192" s="25" t="inlineStr">
        <x:is>
          <x:t xml:space="preserve">USA</x:t>
        </x:is>
      </x:c>
      <x:c r="U192" s="25" t="inlineStr">
        <x:is>
          <x:t xml:space="preserve">United States</x:t>
        </x:is>
      </x:c>
    </x:row>
    <x:row r="193">
      <x:c r="A193" t="n">
        <x:v>1924</x:v>
      </x:c>
      <x:c r="B193" s="25" t="inlineStr">
        <x:is>
          <x:t xml:space="preserve">Men's</x:t>
        </x:is>
      </x:c>
      <x:c r="C193" s="25" t="inlineStr">
        <x:is>
          <x:t xml:space="preserve">J.R. Borotra</x:t>
        </x:is>
      </x:c>
      <x:c r="D193" s="25" t="inlineStr">
        <x:is>
          <x:t xml:space="preserve">FRA</x:t>
        </x:is>
      </x:c>
      <x:c r="E193" s="25" t="inlineStr">
        <x:is>
          <x:t xml:space="preserve">France</x:t>
        </x:is>
      </x:c>
      <x:c r="G193" s="22" t="n">
        <x:v>80</x:v>
      </x:c>
      <x:c r="H193" s="22" t="inlineStr">
        <x:is>
          <x:t xml:space="preserve">6-1, 3-6, 6-1, 3-6, 6-4</x:t>
        </x:is>
      </x:c>
      <x:c r="I193" s="22" t="n">
        <x:v>6</x:v>
      </x:c>
      <x:c r="J193" s="29" t="n">
        <x:v>1</x:v>
      </x:c>
      <x:c r="K193" s="29" t="n">
        <x:v>3</x:v>
      </x:c>
      <x:c r="L193" s="29" t="n">
        <x:v>6</x:v>
      </x:c>
      <x:c r="M193" s="29" t="n">
        <x:v>6</x:v>
      </x:c>
      <x:c r="N193" s="29" t="n">
        <x:v>1</x:v>
      </x:c>
      <x:c r="O193" s="29" t="n">
        <x:v>3</x:v>
      </x:c>
      <x:c r="P193" s="29" t="n">
        <x:v>6</x:v>
      </x:c>
      <x:c r="Q193" s="22" t="n">
        <x:v>6</x:v>
      </x:c>
      <x:c r="R193" s="29" t="n">
        <x:v>4</x:v>
      </x:c>
      <x:c r="S193" s="25" t="inlineStr">
        <x:is>
          <x:t xml:space="preserve">J.R. Lacoste</x:t>
        </x:is>
      </x:c>
      <x:c r="T193" s="25" t="inlineStr">
        <x:is>
          <x:t xml:space="preserve">FRA</x:t>
        </x:is>
      </x:c>
      <x:c r="U193" s="25" t="inlineStr">
        <x:is>
          <x:t xml:space="preserve">France</x:t>
        </x:is>
      </x:c>
    </x:row>
    <x:row r="194">
      <x:c r="A194" t="n">
        <x:v>1923</x:v>
      </x:c>
      <x:c r="B194" s="25" t="inlineStr">
        <x:is>
          <x:t xml:space="preserve">Women's</x:t>
        </x:is>
      </x:c>
      <x:c r="C194" s="25" t="inlineStr">
        <x:is>
          <x:t xml:space="preserve">S.R.F. Lenglen</x:t>
        </x:is>
      </x:c>
      <x:c r="D194" s="25" t="inlineStr">
        <x:is>
          <x:t xml:space="preserve">FRA</x:t>
        </x:is>
      </x:c>
      <x:c r="E194" s="25" t="inlineStr">
        <x:is>
          <x:t xml:space="preserve">France</x:t>
        </x:is>
      </x:c>
      <x:c r="H194" s="22" t="inlineStr">
        <x:is>
          <x:t xml:space="preserve">6-2, 6-2</x:t>
        </x:is>
      </x:c>
      <x:c r="I194" s="22" t="n">
        <x:v>6</x:v>
      </x:c>
      <x:c r="J194" s="29" t="n">
        <x:v>2</x:v>
      </x:c>
      <x:c r="K194" s="29" t="n">
        <x:v>6</x:v>
      </x:c>
      <x:c r="L194" s="29" t="n">
        <x:v>2</x:v>
      </x:c>
      <x:c r="S194" s="25" t="inlineStr">
        <x:is>
          <x:t xml:space="preserve">K. McKane</x:t>
        </x:is>
      </x:c>
      <x:c r="T194" s="25" t="inlineStr">
        <x:is>
          <x:t xml:space="preserve">GBR</x:t>
        </x:is>
      </x:c>
      <x:c r="U194" s="25" t="inlineStr">
        <x:is>
          <x:t xml:space="preserve">United Kingdom</x:t>
        </x:is>
      </x:c>
    </x:row>
    <x:row r="195">
      <x:c r="A195" t="n">
        <x:v>1923</x:v>
      </x:c>
      <x:c r="B195" s="25" t="inlineStr">
        <x:is>
          <x:t xml:space="preserve">Men's</x:t>
        </x:is>
      </x:c>
      <x:c r="C195" s="25" t="inlineStr">
        <x:is>
          <x:t xml:space="preserve">W. M. Johnston</x:t>
        </x:is>
      </x:c>
      <x:c r="D195" s="25" t="inlineStr">
        <x:is>
          <x:t xml:space="preserve">USA</x:t>
        </x:is>
      </x:c>
      <x:c r="E195" s="25" t="inlineStr">
        <x:is>
          <x:t xml:space="preserve">United States</x:t>
        </x:is>
      </x:c>
      <x:c r="G195" s="22" t="n">
        <x:v>46</x:v>
      </x:c>
      <x:c r="H195" s="22" t="inlineStr">
        <x:is>
          <x:t xml:space="preserve">6-0, 6-3, 6-1</x:t>
        </x:is>
      </x:c>
      <x:c r="I195" s="22" t="n">
        <x:v>6</x:v>
      </x:c>
      <x:c r="J195" s="29" t="n">
        <x:v>0</x:v>
      </x:c>
      <x:c r="K195" s="29" t="n">
        <x:v>6</x:v>
      </x:c>
      <x:c r="L195" s="29" t="n">
        <x:v>3</x:v>
      </x:c>
      <x:c r="M195" s="29" t="n">
        <x:v>6</x:v>
      </x:c>
      <x:c r="N195" s="29" t="n">
        <x:v>1</x:v>
      </x:c>
      <x:c r="S195" s="25" t="inlineStr">
        <x:is>
          <x:t xml:space="preserve">F.T. Hunter</x:t>
        </x:is>
      </x:c>
      <x:c r="T195" s="25" t="inlineStr">
        <x:is>
          <x:t xml:space="preserve">USA</x:t>
        </x:is>
      </x:c>
      <x:c r="U195" s="25" t="inlineStr">
        <x:is>
          <x:t xml:space="preserve">United States</x:t>
        </x:is>
      </x:c>
    </x:row>
    <x:row r="196">
      <x:c r="A196" t="n">
        <x:v>1922</x:v>
      </x:c>
      <x:c r="B196" s="25" t="inlineStr">
        <x:is>
          <x:t xml:space="preserve">Women's</x:t>
        </x:is>
      </x:c>
      <x:c r="C196" s="25" t="inlineStr">
        <x:is>
          <x:t xml:space="preserve">S.R.F. Lenglen</x:t>
        </x:is>
      </x:c>
      <x:c r="D196" s="25" t="inlineStr">
        <x:is>
          <x:t xml:space="preserve">FRA</x:t>
        </x:is>
      </x:c>
      <x:c r="E196" s="25" t="inlineStr">
        <x:is>
          <x:t xml:space="preserve">France</x:t>
        </x:is>
      </x:c>
      <x:c r="G196" s="22" t="n">
        <x:v>23</x:v>
      </x:c>
      <x:c r="H196" s="22" t="inlineStr">
        <x:is>
          <x:t xml:space="preserve">6-2, 6-0</x:t>
        </x:is>
      </x:c>
      <x:c r="I196" s="22" t="n">
        <x:v>6</x:v>
      </x:c>
      <x:c r="J196" s="29" t="n">
        <x:v>2</x:v>
      </x:c>
      <x:c r="K196" s="29" t="n">
        <x:v>6</x:v>
      </x:c>
      <x:c r="L196" s="29" t="n">
        <x:v>0</x:v>
      </x:c>
      <x:c r="S196" s="25" t="inlineStr">
        <x:is>
          <x:t xml:space="preserve">F.I. Mallory</x:t>
        </x:is>
      </x:c>
      <x:c r="T196" s="25" t="inlineStr">
        <x:is>
          <x:t xml:space="preserve">USA</x:t>
        </x:is>
      </x:c>
      <x:c r="U196" s="25" t="inlineStr">
        <x:is>
          <x:t xml:space="preserve">United States</x:t>
        </x:is>
      </x:c>
    </x:row>
    <x:row r="197">
      <x:c r="A197" t="n">
        <x:v>1922</x:v>
      </x:c>
      <x:c r="B197" s="25" t="inlineStr">
        <x:is>
          <x:t xml:space="preserve">Men's</x:t>
        </x:is>
      </x:c>
      <x:c r="C197" s="25" t="inlineStr">
        <x:is>
          <x:t xml:space="preserve">G.L. Patterson</x:t>
        </x:is>
      </x:c>
      <x:c r="D197" s="25" t="inlineStr">
        <x:is>
          <x:t xml:space="preserve">AUS</x:t>
        </x:is>
      </x:c>
      <x:c r="E197" s="25" t="inlineStr">
        <x:is>
          <x:t xml:space="preserve">Australia</x:t>
        </x:is>
      </x:c>
      <x:c r="H197" s="22" t="inlineStr">
        <x:is>
          <x:t xml:space="preserve">6-3, 6-4, 6-2</x:t>
        </x:is>
      </x:c>
      <x:c r="I197" s="22" t="n">
        <x:v>6</x:v>
      </x:c>
      <x:c r="J197" s="29" t="n">
        <x:v>3</x:v>
      </x:c>
      <x:c r="K197" s="29" t="n">
        <x:v>6</x:v>
      </x:c>
      <x:c r="L197" s="29" t="n">
        <x:v>4</x:v>
      </x:c>
      <x:c r="M197" s="29" t="n">
        <x:v>6</x:v>
      </x:c>
      <x:c r="N197" s="29" t="n">
        <x:v>2</x:v>
      </x:c>
      <x:c r="S197" s="25" t="inlineStr">
        <x:is>
          <x:t xml:space="preserve">R. Lycett</x:t>
        </x:is>
      </x:c>
      <x:c r="T197" s="25" t="inlineStr">
        <x:is>
          <x:t xml:space="preserve">GBR</x:t>
        </x:is>
      </x:c>
      <x:c r="U197" s="25" t="inlineStr">
        <x:is>
          <x:t xml:space="preserve">United Kingdom</x:t>
        </x:is>
      </x:c>
    </x:row>
    <x:row r="198">
      <x:c r="A198" t="n">
        <x:v>1921</x:v>
      </x:c>
      <x:c r="B198" s="25" t="inlineStr">
        <x:is>
          <x:t xml:space="preserve">Women's</x:t>
        </x:is>
      </x:c>
      <x:c r="C198" s="25" t="inlineStr">
        <x:is>
          <x:t xml:space="preserve">S.R.F. Lenglen</x:t>
        </x:is>
      </x:c>
      <x:c r="D198" s="25" t="inlineStr">
        <x:is>
          <x:t xml:space="preserve">FRA</x:t>
        </x:is>
      </x:c>
      <x:c r="E198" s="25" t="inlineStr">
        <x:is>
          <x:t xml:space="preserve">France</x:t>
        </x:is>
      </x:c>
      <x:c r="H198" s="22" t="inlineStr">
        <x:is>
          <x:t xml:space="preserve">6-2, 6-0</x:t>
        </x:is>
      </x:c>
      <x:c r="I198" s="22" t="n">
        <x:v>6</x:v>
      </x:c>
      <x:c r="J198" s="29" t="n">
        <x:v>2</x:v>
      </x:c>
      <x:c r="K198" s="29" t="n">
        <x:v>6</x:v>
      </x:c>
      <x:c r="L198" s="29" t="n">
        <x:v>0</x:v>
      </x:c>
      <x:c r="S198" s="25" t="inlineStr">
        <x:is>
          <x:t xml:space="preserve">E.M. Ryan</x:t>
        </x:is>
      </x:c>
      <x:c r="T198" s="25" t="inlineStr">
        <x:is>
          <x:t xml:space="preserve">USA</x:t>
        </x:is>
      </x:c>
      <x:c r="U198" s="25" t="inlineStr">
        <x:is>
          <x:t xml:space="preserve">United States</x:t>
        </x:is>
      </x:c>
    </x:row>
    <x:row r="199">
      <x:c r="A199" t="n">
        <x:v>1921</x:v>
      </x:c>
      <x:c r="B199" s="25" t="inlineStr">
        <x:is>
          <x:t xml:space="preserve">Men's</x:t>
        </x:is>
      </x:c>
      <x:c r="C199" s="25" t="inlineStr">
        <x:is>
          <x:t xml:space="preserve">W.T. Tilden</x:t>
        </x:is>
      </x:c>
      <x:c r="D199" s="25" t="inlineStr">
        <x:is>
          <x:t xml:space="preserve">USA</x:t>
        </x:is>
      </x:c>
      <x:c r="E199" s="25" t="inlineStr">
        <x:is>
          <x:t xml:space="preserve">United States</x:t>
        </x:is>
      </x:c>
      <x:c r="H199" s="22" t="inlineStr">
        <x:is>
          <x:t xml:space="preserve">4-6, 2-6, 6-1, 6-0, 7-5</x:t>
        </x:is>
      </x:c>
      <x:c r="I199" s="22" t="n">
        <x:v>4</x:v>
      </x:c>
      <x:c r="J199" s="29" t="n">
        <x:v>6</x:v>
      </x:c>
      <x:c r="K199" s="29" t="n">
        <x:v>2</x:v>
      </x:c>
      <x:c r="L199" s="29" t="n">
        <x:v>6</x:v>
      </x:c>
      <x:c r="M199" s="29" t="n">
        <x:v>6</x:v>
      </x:c>
      <x:c r="N199" s="29" t="n">
        <x:v>1</x:v>
      </x:c>
      <x:c r="O199" s="29" t="n">
        <x:v>6</x:v>
      </x:c>
      <x:c r="P199" s="29" t="n">
        <x:v>0</x:v>
      </x:c>
      <x:c r="Q199" s="22" t="n">
        <x:v>7</x:v>
      </x:c>
      <x:c r="R199" s="29" t="n">
        <x:v>5</x:v>
      </x:c>
      <x:c r="S199" s="25" t="inlineStr">
        <x:is>
          <x:t xml:space="preserve">B.I.C. Norton</x:t>
        </x:is>
      </x:c>
      <x:c r="T199" s="25" t="inlineStr">
        <x:is>
          <x:t xml:space="preserve">RSA</x:t>
        </x:is>
      </x:c>
      <x:c r="U199" s="25" t="inlineStr">
        <x:is>
          <x:t xml:space="preserve">South Africa</x:t>
        </x:is>
      </x:c>
    </x:row>
    <x:row r="200">
      <x:c r="A200" t="n">
        <x:v>1920</x:v>
      </x:c>
      <x:c r="B200" s="25" t="inlineStr">
        <x:is>
          <x:t xml:space="preserve">Women's</x:t>
        </x:is>
      </x:c>
      <x:c r="C200" s="25" t="inlineStr">
        <x:is>
          <x:t xml:space="preserve">S.R.F. Lenglen</x:t>
        </x:is>
      </x:c>
      <x:c r="D200" s="25" t="inlineStr">
        <x:is>
          <x:t xml:space="preserve">FRA</x:t>
        </x:is>
      </x:c>
      <x:c r="E200" s="25" t="inlineStr">
        <x:is>
          <x:t xml:space="preserve">France</x:t>
        </x:is>
      </x:c>
      <x:c r="H200" s="22" t="inlineStr">
        <x:is>
          <x:t xml:space="preserve">6-3, 6-0</x:t>
        </x:is>
      </x:c>
      <x:c r="I200" s="22" t="n">
        <x:v>6</x:v>
      </x:c>
      <x:c r="J200" s="29" t="n">
        <x:v>3</x:v>
      </x:c>
      <x:c r="K200" s="29" t="n">
        <x:v>6</x:v>
      </x:c>
      <x:c r="L200" s="29" t="n">
        <x:v>0</x:v>
      </x:c>
      <x:c r="S200" s="25" t="inlineStr">
        <x:is>
          <x:t xml:space="preserve">D.L. Chambers</x:t>
        </x:is>
      </x:c>
      <x:c r="T200" s="25" t="inlineStr">
        <x:is>
          <x:t xml:space="preserve">GBR</x:t>
        </x:is>
      </x:c>
      <x:c r="U200" s="25" t="inlineStr">
        <x:is>
          <x:t xml:space="preserve">United Kingdom</x:t>
        </x:is>
      </x:c>
    </x:row>
    <x:row r="201">
      <x:c r="A201" t="n">
        <x:v>1920</x:v>
      </x:c>
      <x:c r="B201" s="25" t="inlineStr">
        <x:is>
          <x:t xml:space="preserve">Men's</x:t>
        </x:is>
      </x:c>
      <x:c r="C201" s="25" t="inlineStr">
        <x:is>
          <x:t xml:space="preserve">W.T. Tilden</x:t>
        </x:is>
      </x:c>
      <x:c r="D201" s="25" t="inlineStr">
        <x:is>
          <x:t xml:space="preserve">USA</x:t>
        </x:is>
      </x:c>
      <x:c r="E201" s="25" t="inlineStr">
        <x:is>
          <x:t xml:space="preserve">United States</x:t>
        </x:is>
      </x:c>
      <x:c r="H201" s="22" t="inlineStr">
        <x:is>
          <x:t xml:space="preserve">2-6, 6-3, 6-2, 6-4</x:t>
        </x:is>
      </x:c>
      <x:c r="I201" s="22" t="n">
        <x:v>2</x:v>
      </x:c>
      <x:c r="J201" s="29" t="n">
        <x:v>6</x:v>
      </x:c>
      <x:c r="K201" s="29" t="n">
        <x:v>6</x:v>
      </x:c>
      <x:c r="L201" s="29" t="n">
        <x:v>3</x:v>
      </x:c>
      <x:c r="M201" s="29" t="n">
        <x:v>6</x:v>
      </x:c>
      <x:c r="N201" s="29" t="n">
        <x:v>2</x:v>
      </x:c>
      <x:c r="O201" s="29" t="n">
        <x:v>6</x:v>
      </x:c>
      <x:c r="P201" s="29" t="n">
        <x:v>4</x:v>
      </x:c>
      <x:c r="S201" s="25" t="inlineStr">
        <x:is>
          <x:t xml:space="preserve">G.L. Patterson</x:t>
        </x:is>
      </x:c>
      <x:c r="T201" s="25" t="inlineStr">
        <x:is>
          <x:t xml:space="preserve">AUS</x:t>
        </x:is>
      </x:c>
      <x:c r="U201" s="25" t="inlineStr">
        <x:is>
          <x:t xml:space="preserve">Australia</x:t>
        </x:is>
      </x:c>
    </x:row>
    <x:row r="202">
      <x:c r="A202" t="n">
        <x:v>1919</x:v>
      </x:c>
      <x:c r="B202" s="25" t="inlineStr">
        <x:is>
          <x:t xml:space="preserve">Women's</x:t>
        </x:is>
      </x:c>
      <x:c r="C202" s="25" t="inlineStr">
        <x:is>
          <x:t xml:space="preserve">S.R.F. Lenglen</x:t>
        </x:is>
      </x:c>
      <x:c r="D202" s="25" t="inlineStr">
        <x:is>
          <x:t xml:space="preserve">FRA</x:t>
        </x:is>
      </x:c>
      <x:c r="E202" s="25" t="inlineStr">
        <x:is>
          <x:t xml:space="preserve">France</x:t>
        </x:is>
      </x:c>
      <x:c r="G202" s="22" t="n">
        <x:v>125</x:v>
      </x:c>
      <x:c r="H202" s="22" t="inlineStr">
        <x:is>
          <x:t xml:space="preserve">10-8, 4-6, 9-7</x:t>
        </x:is>
      </x:c>
      <x:c r="I202" s="22" t="n">
        <x:v>10</x:v>
      </x:c>
      <x:c r="J202" s="29" t="n">
        <x:v>8</x:v>
      </x:c>
      <x:c r="K202" s="29" t="n">
        <x:v>4</x:v>
      </x:c>
      <x:c r="L202" s="29" t="n">
        <x:v>6</x:v>
      </x:c>
      <x:c r="M202" s="29" t="n">
        <x:v>9</x:v>
      </x:c>
      <x:c r="N202" s="29" t="n">
        <x:v>7</x:v>
      </x:c>
      <x:c r="S202" s="25" t="inlineStr">
        <x:is>
          <x:t xml:space="preserve">D.L. Chambers</x:t>
        </x:is>
      </x:c>
      <x:c r="T202" s="25" t="inlineStr">
        <x:is>
          <x:t xml:space="preserve">GBR</x:t>
        </x:is>
      </x:c>
      <x:c r="U202" s="25" t="inlineStr">
        <x:is>
          <x:t xml:space="preserve">United Kingdom</x:t>
        </x:is>
      </x:c>
    </x:row>
    <x:row r="203">
      <x:c r="A203" t="n">
        <x:v>1919</x:v>
      </x:c>
      <x:c r="B203" s="25" t="inlineStr">
        <x:is>
          <x:t xml:space="preserve">Men's</x:t>
        </x:is>
      </x:c>
      <x:c r="C203" s="25" t="inlineStr">
        <x:is>
          <x:t xml:space="preserve">G.L. Patterson</x:t>
        </x:is>
      </x:c>
      <x:c r="D203" s="25" t="inlineStr">
        <x:is>
          <x:t xml:space="preserve">AUS</x:t>
        </x:is>
      </x:c>
      <x:c r="E203" s="25" t="inlineStr">
        <x:is>
          <x:t xml:space="preserve">Australia</x:t>
        </x:is>
      </x:c>
      <x:c r="H203" s="22" t="inlineStr">
        <x:is>
          <x:t xml:space="preserve">6-3, 7-5, 6-2</x:t>
        </x:is>
      </x:c>
      <x:c r="I203" s="22" t="n">
        <x:v>6</x:v>
      </x:c>
      <x:c r="J203" s="29" t="n">
        <x:v>3</x:v>
      </x:c>
      <x:c r="K203" s="29" t="n">
        <x:v>7</x:v>
      </x:c>
      <x:c r="L203" s="29" t="n">
        <x:v>5</x:v>
      </x:c>
      <x:c r="M203" s="29" t="n">
        <x:v>6</x:v>
      </x:c>
      <x:c r="N203" s="29" t="n">
        <x:v>2</x:v>
      </x:c>
      <x:c r="S203" s="25" t="inlineStr">
        <x:is>
          <x:t xml:space="preserve">N.E. Brookes</x:t>
        </x:is>
      </x:c>
      <x:c r="T203" s="25" t="inlineStr">
        <x:is>
          <x:t xml:space="preserve">AUS</x:t>
        </x:is>
      </x:c>
      <x:c r="U203" s="25" t="inlineStr">
        <x:is>
          <x:t xml:space="preserve">Australia</x:t>
        </x:is>
      </x:c>
    </x:row>
    <x:row r="204">
      <x:c r="A204" t="n">
        <x:v>1914</x:v>
      </x:c>
      <x:c r="B204" s="25" t="inlineStr">
        <x:is>
          <x:t xml:space="preserve">Women's</x:t>
        </x:is>
      </x:c>
      <x:c r="C204" s="25" t="inlineStr">
        <x:is>
          <x:t xml:space="preserve">D.L. Chambers</x:t>
        </x:is>
      </x:c>
      <x:c r="D204" s="25" t="inlineStr">
        <x:is>
          <x:t xml:space="preserve">GBR</x:t>
        </x:is>
      </x:c>
      <x:c r="E204" s="25" t="inlineStr">
        <x:is>
          <x:t xml:space="preserve">United Kingdom</x:t>
        </x:is>
      </x:c>
      <x:c r="H204" s="22" t="inlineStr">
        <x:is>
          <x:t xml:space="preserve">7-5, 6-4</x:t>
        </x:is>
      </x:c>
      <x:c r="I204" s="22" t="n">
        <x:v>7</x:v>
      </x:c>
      <x:c r="J204" s="29" t="n">
        <x:v>5</x:v>
      </x:c>
      <x:c r="K204" s="29" t="n">
        <x:v>6</x:v>
      </x:c>
      <x:c r="L204" s="29" t="n">
        <x:v>4</x:v>
      </x:c>
      <x:c r="S204" s="25" t="inlineStr">
        <x:is>
          <x:t xml:space="preserve">D.T.R. Larcombe</x:t>
        </x:is>
      </x:c>
      <x:c r="T204" s="25" t="inlineStr">
        <x:is>
          <x:t xml:space="preserve">GBR</x:t>
        </x:is>
      </x:c>
      <x:c r="U204" s="25" t="inlineStr">
        <x:is>
          <x:t xml:space="preserve">United Kingdom</x:t>
        </x:is>
      </x:c>
    </x:row>
    <x:row r="205">
      <x:c r="A205" t="n">
        <x:v>1914</x:v>
      </x:c>
      <x:c r="B205" s="25" t="inlineStr">
        <x:is>
          <x:t xml:space="preserve">Men's</x:t>
        </x:is>
      </x:c>
      <x:c r="C205" s="25" t="inlineStr">
        <x:is>
          <x:t xml:space="preserve">N.E. Brookes</x:t>
        </x:is>
      </x:c>
      <x:c r="D205" s="25" t="inlineStr">
        <x:is>
          <x:t xml:space="preserve">AUS</x:t>
        </x:is>
      </x:c>
      <x:c r="E205" s="25" t="inlineStr">
        <x:is>
          <x:t xml:space="preserve">Australia</x:t>
        </x:is>
      </x:c>
      <x:c r="H205" s="22" t="inlineStr">
        <x:is>
          <x:t xml:space="preserve">6-4, 6-4, 7-5</x:t>
        </x:is>
      </x:c>
      <x:c r="I205" s="22" t="n">
        <x:v>6</x:v>
      </x:c>
      <x:c r="J205" s="29" t="n">
        <x:v>4</x:v>
      </x:c>
      <x:c r="K205" s="29" t="n">
        <x:v>6</x:v>
      </x:c>
      <x:c r="L205" s="29" t="n">
        <x:v>4</x:v>
      </x:c>
      <x:c r="M205" s="29" t="n">
        <x:v>7</x:v>
      </x:c>
      <x:c r="N205" s="29" t="n">
        <x:v>5</x:v>
      </x:c>
      <x:c r="S205" s="25" t="inlineStr">
        <x:is>
          <x:t xml:space="preserve">A.F. Wilding</x:t>
        </x:is>
      </x:c>
      <x:c r="T205" s="25" t="inlineStr">
        <x:is>
          <x:t xml:space="preserve">NZL</x:t>
        </x:is>
      </x:c>
      <x:c r="U205" s="25" t="inlineStr">
        <x:is>
          <x:t xml:space="preserve">New Zealand</x:t>
        </x:is>
      </x:c>
    </x:row>
    <x:row r="206">
      <x:c r="A206" t="n">
        <x:v>1913</x:v>
      </x:c>
      <x:c r="B206" s="25" t="inlineStr">
        <x:is>
          <x:t xml:space="preserve">Women's</x:t>
        </x:is>
      </x:c>
      <x:c r="C206" s="25" t="inlineStr">
        <x:is>
          <x:t xml:space="preserve">D.L. Chambers</x:t>
        </x:is>
      </x:c>
      <x:c r="D206" s="25" t="inlineStr">
        <x:is>
          <x:t xml:space="preserve">GBR</x:t>
        </x:is>
      </x:c>
      <x:c r="E206" s="25" t="inlineStr">
        <x:is>
          <x:t xml:space="preserve">United Kingdom</x:t>
        </x:is>
      </x:c>
      <x:c r="H206" s="22" t="inlineStr">
        <x:is>
          <x:t xml:space="preserve">6-0, 6-4</x:t>
        </x:is>
      </x:c>
      <x:c r="I206" s="22" t="n">
        <x:v>6</x:v>
      </x:c>
      <x:c r="J206" s="29" t="n">
        <x:v>0</x:v>
      </x:c>
      <x:c r="K206" s="29" t="n">
        <x:v>6</x:v>
      </x:c>
      <x:c r="L206" s="29" t="n">
        <x:v>4</x:v>
      </x:c>
      <x:c r="S206" s="25" t="inlineStr">
        <x:is>
          <x:t xml:space="preserve">R.J. McNair</x:t>
        </x:is>
      </x:c>
      <x:c r="T206" s="25" t="inlineStr">
        <x:is>
          <x:t xml:space="preserve">GBR</x:t>
        </x:is>
      </x:c>
      <x:c r="U206" s="25" t="inlineStr">
        <x:is>
          <x:t xml:space="preserve">United Kingdom</x:t>
        </x:is>
      </x:c>
    </x:row>
    <x:row r="207">
      <x:c r="A207" t="n">
        <x:v>1913</x:v>
      </x:c>
      <x:c r="B207" s="25" t="inlineStr">
        <x:is>
          <x:t xml:space="preserve">Men's</x:t>
        </x:is>
      </x:c>
      <x:c r="C207" s="25" t="inlineStr">
        <x:is>
          <x:t xml:space="preserve">A.F. Wilding</x:t>
        </x:is>
      </x:c>
      <x:c r="D207" s="25" t="inlineStr">
        <x:is>
          <x:t xml:space="preserve">NZL</x:t>
        </x:is>
      </x:c>
      <x:c r="E207" s="25" t="inlineStr">
        <x:is>
          <x:t xml:space="preserve">New Zealand</x:t>
        </x:is>
      </x:c>
      <x:c r="H207" s="22" t="inlineStr">
        <x:is>
          <x:t xml:space="preserve">8-6, 6-3, 10-8</x:t>
        </x:is>
      </x:c>
      <x:c r="I207" s="22" t="n">
        <x:v>8</x:v>
      </x:c>
      <x:c r="J207" s="29" t="n">
        <x:v>6</x:v>
      </x:c>
      <x:c r="K207" s="29" t="n">
        <x:v>6</x:v>
      </x:c>
      <x:c r="L207" s="29" t="n">
        <x:v>3</x:v>
      </x:c>
      <x:c r="M207" s="29" t="n">
        <x:v>10</x:v>
      </x:c>
      <x:c r="N207" s="29" t="n">
        <x:v>8</x:v>
      </x:c>
      <x:c r="S207" s="25" t="inlineStr">
        <x:is>
          <x:t xml:space="preserve">M.E. McLoughlin</x:t>
        </x:is>
      </x:c>
      <x:c r="T207" s="25" t="inlineStr">
        <x:is>
          <x:t xml:space="preserve">USA</x:t>
        </x:is>
      </x:c>
      <x:c r="U207" s="25" t="inlineStr">
        <x:is>
          <x:t xml:space="preserve">United States</x:t>
        </x:is>
      </x:c>
    </x:row>
    <x:row r="208">
      <x:c r="A208" t="n">
        <x:v>1912</x:v>
      </x:c>
      <x:c r="B208" s="25" t="inlineStr">
        <x:is>
          <x:t xml:space="preserve">Women's</x:t>
        </x:is>
      </x:c>
      <x:c r="C208" s="25" t="inlineStr">
        <x:is>
          <x:t xml:space="preserve">D.T.R. Larcombe</x:t>
        </x:is>
      </x:c>
      <x:c r="D208" s="25" t="inlineStr">
        <x:is>
          <x:t xml:space="preserve">GBR</x:t>
        </x:is>
      </x:c>
      <x:c r="E208" s="25" t="inlineStr">
        <x:is>
          <x:t xml:space="preserve">United Kingdom</x:t>
        </x:is>
      </x:c>
      <x:c r="H208" s="22" t="inlineStr">
        <x:is>
          <x:t xml:space="preserve">6-3, 6-1</x:t>
        </x:is>
      </x:c>
      <x:c r="I208" s="22" t="n">
        <x:v>6</x:v>
      </x:c>
      <x:c r="J208" s="29" t="n">
        <x:v>3</x:v>
      </x:c>
      <x:c r="K208" s="29" t="n">
        <x:v>6</x:v>
      </x:c>
      <x:c r="L208" s="29" t="n">
        <x:v>1</x:v>
      </x:c>
      <x:c r="S208" s="25" t="inlineStr">
        <x:is>
          <x:t xml:space="preserve">C.R. Cooper</x:t>
        </x:is>
      </x:c>
      <x:c r="T208" s="25" t="inlineStr">
        <x:is>
          <x:t xml:space="preserve">GBR</x:t>
        </x:is>
      </x:c>
      <x:c r="U208" s="25" t="inlineStr">
        <x:is>
          <x:t xml:space="preserve">United Kingdom</x:t>
        </x:is>
      </x:c>
    </x:row>
    <x:row r="209">
      <x:c r="A209" t="n">
        <x:v>1912</x:v>
      </x:c>
      <x:c r="B209" s="25" t="inlineStr">
        <x:is>
          <x:t xml:space="preserve">Men's</x:t>
        </x:is>
      </x:c>
      <x:c r="C209" s="25" t="inlineStr">
        <x:is>
          <x:t xml:space="preserve">A.F. Wilding</x:t>
        </x:is>
      </x:c>
      <x:c r="D209" s="25" t="inlineStr">
        <x:is>
          <x:t xml:space="preserve">NZL</x:t>
        </x:is>
      </x:c>
      <x:c r="E209" s="25" t="inlineStr">
        <x:is>
          <x:t xml:space="preserve">New Zealand</x:t>
        </x:is>
      </x:c>
      <x:c r="H209" s="22" t="inlineStr">
        <x:is>
          <x:t xml:space="preserve">6-4, 6-4, 4-6, 6-4</x:t>
        </x:is>
      </x:c>
      <x:c r="I209" s="22" t="n">
        <x:v>6</x:v>
      </x:c>
      <x:c r="J209" s="29" t="n">
        <x:v>4</x:v>
      </x:c>
      <x:c r="K209" s="29" t="n">
        <x:v>6</x:v>
      </x:c>
      <x:c r="L209" s="29" t="n">
        <x:v>4</x:v>
      </x:c>
      <x:c r="M209" s="29" t="n">
        <x:v>4</x:v>
      </x:c>
      <x:c r="N209" s="29" t="n">
        <x:v>6</x:v>
      </x:c>
      <x:c r="O209" s="29" t="n">
        <x:v>6</x:v>
      </x:c>
      <x:c r="P209" s="29" t="n">
        <x:v>4</x:v>
      </x:c>
      <x:c r="S209" s="25" t="inlineStr">
        <x:is>
          <x:t xml:space="preserve">A.W. Gore</x:t>
        </x:is>
      </x:c>
      <x:c r="T209" s="25" t="inlineStr">
        <x:is>
          <x:t xml:space="preserve">GBR</x:t>
        </x:is>
      </x:c>
      <x:c r="U209" s="25" t="inlineStr">
        <x:is>
          <x:t xml:space="preserve">United Kingdom</x:t>
        </x:is>
      </x:c>
    </x:row>
    <x:row r="210">
      <x:c r="A210" t="n">
        <x:v>1911</x:v>
      </x:c>
      <x:c r="B210" s="25" t="inlineStr">
        <x:is>
          <x:t xml:space="preserve">Women's</x:t>
        </x:is>
      </x:c>
      <x:c r="C210" s="25" t="inlineStr">
        <x:is>
          <x:t xml:space="preserve">D.L. Chambers</x:t>
        </x:is>
      </x:c>
      <x:c r="D210" s="25" t="inlineStr">
        <x:is>
          <x:t xml:space="preserve">GBR</x:t>
        </x:is>
      </x:c>
      <x:c r="E210" s="25" t="inlineStr">
        <x:is>
          <x:t xml:space="preserve">United Kingdom</x:t>
        </x:is>
      </x:c>
      <x:c r="G210" s="22" t="n">
        <x:v>25</x:v>
      </x:c>
      <x:c r="H210" s="22" t="inlineStr">
        <x:is>
          <x:t xml:space="preserve">6-0, 6-0</x:t>
        </x:is>
      </x:c>
      <x:c r="I210" s="22" t="n">
        <x:v>6</x:v>
      </x:c>
      <x:c r="J210" s="29" t="n">
        <x:v>0</x:v>
      </x:c>
      <x:c r="K210" s="29" t="n">
        <x:v>6</x:v>
      </x:c>
      <x:c r="L210" s="29" t="n">
        <x:v>0</x:v>
      </x:c>
      <x:c r="S210" s="25" t="inlineStr">
        <x:is>
          <x:t xml:space="preserve">P.D.H. Boothby</x:t>
        </x:is>
      </x:c>
      <x:c r="T210" s="25" t="inlineStr">
        <x:is>
          <x:t xml:space="preserve">GBR</x:t>
        </x:is>
      </x:c>
      <x:c r="U210" s="25" t="inlineStr">
        <x:is>
          <x:t xml:space="preserve">United Kingdom</x:t>
        </x:is>
      </x:c>
    </x:row>
    <x:row r="211">
      <x:c r="A211" t="n">
        <x:v>1911</x:v>
      </x:c>
      <x:c r="B211" s="25" t="inlineStr">
        <x:is>
          <x:t xml:space="preserve">Men's</x:t>
        </x:is>
      </x:c>
      <x:c r="C211" s="25" t="inlineStr">
        <x:is>
          <x:t xml:space="preserve">A.F. Wilding</x:t>
        </x:is>
      </x:c>
      <x:c r="D211" s="25" t="inlineStr">
        <x:is>
          <x:t xml:space="preserve">NZL</x:t>
        </x:is>
      </x:c>
      <x:c r="E211" s="25" t="inlineStr">
        <x:is>
          <x:t xml:space="preserve">New Zealand</x:t>
        </x:is>
      </x:c>
      <x:c r="H211" s="22" t="inlineStr">
        <x:is>
          <x:t xml:space="preserve">6-4, 4-6, 2-6, 6-2, retd</x:t>
        </x:is>
      </x:c>
      <x:c r="I211" s="22" t="n">
        <x:v>6</x:v>
      </x:c>
      <x:c r="J211" s="29" t="n">
        <x:v>4</x:v>
      </x:c>
      <x:c r="K211" s="29" t="n">
        <x:v>4</x:v>
      </x:c>
      <x:c r="L211" s="29" t="n">
        <x:v>6</x:v>
      </x:c>
      <x:c r="M211" s="29" t="n">
        <x:v>2</x:v>
      </x:c>
      <x:c r="N211" s="29" t="n">
        <x:v>6</x:v>
      </x:c>
      <x:c r="O211" s="29" t="n">
        <x:v>6</x:v>
      </x:c>
      <x:c r="P211" s="29" t="n">
        <x:v>2</x:v>
      </x:c>
      <x:c r="Q211" s="29" t="inlineStr">
        <x:is>
          <x:t xml:space="preserve">retd</x:t>
        </x:is>
      </x:c>
      <x:c r="S211" s="25" t="inlineStr">
        <x:is>
          <x:t xml:space="preserve">H.R. Barrett</x:t>
        </x:is>
      </x:c>
      <x:c r="T211" s="25" t="inlineStr">
        <x:is>
          <x:t xml:space="preserve">GBR</x:t>
        </x:is>
      </x:c>
      <x:c r="U211" s="25" t="inlineStr">
        <x:is>
          <x:t xml:space="preserve">United Kingdom</x:t>
        </x:is>
      </x:c>
    </x:row>
    <x:row r="212">
      <x:c r="A212" t="n">
        <x:v>1910</x:v>
      </x:c>
      <x:c r="B212" s="25" t="inlineStr">
        <x:is>
          <x:t xml:space="preserve">Women's</x:t>
        </x:is>
      </x:c>
      <x:c r="C212" s="25" t="inlineStr">
        <x:is>
          <x:t xml:space="preserve">D.L. Chambers</x:t>
        </x:is>
      </x:c>
      <x:c r="D212" s="25" t="inlineStr">
        <x:is>
          <x:t xml:space="preserve">GBR</x:t>
        </x:is>
      </x:c>
      <x:c r="E212" s="25" t="inlineStr">
        <x:is>
          <x:t xml:space="preserve">United Kingdom</x:t>
        </x:is>
      </x:c>
      <x:c r="H212" s="22" t="inlineStr">
        <x:is>
          <x:t xml:space="preserve">6-2, 6-2</x:t>
        </x:is>
      </x:c>
      <x:c r="I212" s="22" t="n">
        <x:v>6</x:v>
      </x:c>
      <x:c r="J212" s="29" t="n">
        <x:v>2</x:v>
      </x:c>
      <x:c r="K212" s="29" t="n">
        <x:v>6</x:v>
      </x:c>
      <x:c r="L212" s="29" t="n">
        <x:v>2</x:v>
      </x:c>
      <x:c r="S212" s="25" t="inlineStr">
        <x:is>
          <x:t xml:space="preserve">P.D.H. Boothby</x:t>
        </x:is>
      </x:c>
      <x:c r="T212" s="25" t="inlineStr">
        <x:is>
          <x:t xml:space="preserve">GBR</x:t>
        </x:is>
      </x:c>
      <x:c r="U212" s="25" t="inlineStr">
        <x:is>
          <x:t xml:space="preserve">United Kingdom</x:t>
        </x:is>
      </x:c>
    </x:row>
    <x:row r="213">
      <x:c r="A213" t="n">
        <x:v>1910</x:v>
      </x:c>
      <x:c r="B213" s="25" t="inlineStr">
        <x:is>
          <x:t xml:space="preserve">Men's</x:t>
        </x:is>
      </x:c>
      <x:c r="C213" s="25" t="inlineStr">
        <x:is>
          <x:t xml:space="preserve">A.F. Wilding</x:t>
        </x:is>
      </x:c>
      <x:c r="D213" s="25" t="inlineStr">
        <x:is>
          <x:t xml:space="preserve">NZL</x:t>
        </x:is>
      </x:c>
      <x:c r="E213" s="25" t="inlineStr">
        <x:is>
          <x:t xml:space="preserve">New Zealand</x:t>
        </x:is>
      </x:c>
      <x:c r="H213" s="22" t="inlineStr">
        <x:is>
          <x:t xml:space="preserve">6-4, 7-5, 4-6, 6-2</x:t>
        </x:is>
      </x:c>
      <x:c r="I213" s="22" t="n">
        <x:v>6</x:v>
      </x:c>
      <x:c r="J213" s="29" t="n">
        <x:v>4</x:v>
      </x:c>
      <x:c r="K213" s="29" t="n">
        <x:v>7</x:v>
      </x:c>
      <x:c r="L213" s="29" t="n">
        <x:v>5</x:v>
      </x:c>
      <x:c r="M213" s="29" t="n">
        <x:v>4</x:v>
      </x:c>
      <x:c r="N213" s="29" t="n">
        <x:v>6</x:v>
      </x:c>
      <x:c r="O213" s="29" t="n">
        <x:v>6</x:v>
      </x:c>
      <x:c r="P213" s="29" t="n">
        <x:v>2</x:v>
      </x:c>
      <x:c r="S213" s="25" t="inlineStr">
        <x:is>
          <x:t xml:space="preserve">A.W. Gore</x:t>
        </x:is>
      </x:c>
      <x:c r="T213" s="25" t="inlineStr">
        <x:is>
          <x:t xml:space="preserve">GBR</x:t>
        </x:is>
      </x:c>
      <x:c r="U213" s="25" t="inlineStr">
        <x:is>
          <x:t xml:space="preserve">United Kingdom</x:t>
        </x:is>
      </x:c>
    </x:row>
    <x:row r="214">
      <x:c r="A214" t="n">
        <x:v>1909</x:v>
      </x:c>
      <x:c r="B214" s="25" t="inlineStr">
        <x:is>
          <x:t xml:space="preserve">Women's</x:t>
        </x:is>
      </x:c>
      <x:c r="C214" s="25" t="inlineStr">
        <x:is>
          <x:t xml:space="preserve">P.D.H. Boothby</x:t>
        </x:is>
      </x:c>
      <x:c r="D214" s="25" t="inlineStr">
        <x:is>
          <x:t xml:space="preserve">GBR</x:t>
        </x:is>
      </x:c>
      <x:c r="E214" s="25" t="inlineStr">
        <x:is>
          <x:t xml:space="preserve">United Kingdom</x:t>
        </x:is>
      </x:c>
      <x:c r="H214" s="22" t="inlineStr">
        <x:is>
          <x:t xml:space="preserve">6-4, 4-6, 8-6</x:t>
        </x:is>
      </x:c>
      <x:c r="I214" s="22" t="n">
        <x:v>6</x:v>
      </x:c>
      <x:c r="J214" s="29" t="n">
        <x:v>4</x:v>
      </x:c>
      <x:c r="K214" s="29" t="n">
        <x:v>4</x:v>
      </x:c>
      <x:c r="L214" s="29" t="n">
        <x:v>6</x:v>
      </x:c>
      <x:c r="M214" s="29" t="n">
        <x:v>8</x:v>
      </x:c>
      <x:c r="N214" s="29" t="n">
        <x:v>6</x:v>
      </x:c>
      <x:c r="S214" s="25" t="inlineStr">
        <x:is>
          <x:t xml:space="preserve">A.M. Morton</x:t>
        </x:is>
      </x:c>
      <x:c r="T214" s="25" t="inlineStr">
        <x:is>
          <x:t xml:space="preserve">GBR</x:t>
        </x:is>
      </x:c>
      <x:c r="U214" s="25" t="inlineStr">
        <x:is>
          <x:t xml:space="preserve">United Kingdom</x:t>
        </x:is>
      </x:c>
    </x:row>
    <x:row r="215">
      <x:c r="A215" t="n">
        <x:v>1909</x:v>
      </x:c>
      <x:c r="B215" s="25" t="inlineStr">
        <x:is>
          <x:t xml:space="preserve">Men's</x:t>
        </x:is>
      </x:c>
      <x:c r="C215" s="25" t="inlineStr">
        <x:is>
          <x:t xml:space="preserve">A.W. Gore</x:t>
        </x:is>
      </x:c>
      <x:c r="D215" s="25" t="inlineStr">
        <x:is>
          <x:t xml:space="preserve">GBR</x:t>
        </x:is>
      </x:c>
      <x:c r="E215" s="25" t="inlineStr">
        <x:is>
          <x:t xml:space="preserve">United Kingdom</x:t>
        </x:is>
      </x:c>
      <x:c r="G215" s="22" t="n">
        <x:v>95</x:v>
      </x:c>
      <x:c r="H215" s="22" t="inlineStr">
        <x:is>
          <x:t xml:space="preserve">6-8, 1-6, 6-2, 6-2, 6-2</x:t>
        </x:is>
      </x:c>
      <x:c r="I215" s="22" t="n">
        <x:v>6</x:v>
      </x:c>
      <x:c r="J215" s="29" t="n">
        <x:v>8</x:v>
      </x:c>
      <x:c r="K215" s="29" t="n">
        <x:v>1</x:v>
      </x:c>
      <x:c r="L215" s="29" t="n">
        <x:v>6</x:v>
      </x:c>
      <x:c r="M215" s="29" t="n">
        <x:v>6</x:v>
      </x:c>
      <x:c r="N215" s="29" t="n">
        <x:v>2</x:v>
      </x:c>
      <x:c r="O215" s="29" t="n">
        <x:v>6</x:v>
      </x:c>
      <x:c r="P215" s="29" t="n">
        <x:v>2</x:v>
      </x:c>
      <x:c r="Q215" s="22" t="n">
        <x:v>6</x:v>
      </x:c>
      <x:c r="R215" s="29" t="n">
        <x:v>2</x:v>
      </x:c>
      <x:c r="S215" s="25" t="inlineStr">
        <x:is>
          <x:t xml:space="preserve">M.J.G. Ritchie</x:t>
        </x:is>
      </x:c>
      <x:c r="T215" s="25" t="inlineStr">
        <x:is>
          <x:t xml:space="preserve">GBR</x:t>
        </x:is>
      </x:c>
      <x:c r="U215" s="25" t="inlineStr">
        <x:is>
          <x:t xml:space="preserve">United Kingdom</x:t>
        </x:is>
      </x:c>
    </x:row>
    <x:row r="216">
      <x:c r="A216" t="n">
        <x:v>1908</x:v>
      </x:c>
      <x:c r="B216" s="25" t="inlineStr">
        <x:is>
          <x:t xml:space="preserve">Women's</x:t>
        </x:is>
      </x:c>
      <x:c r="C216" s="25" t="inlineStr">
        <x:is>
          <x:t xml:space="preserve">C.R. Cooper</x:t>
        </x:is>
      </x:c>
      <x:c r="D216" s="25" t="inlineStr">
        <x:is>
          <x:t xml:space="preserve">GBR</x:t>
        </x:is>
      </x:c>
      <x:c r="E216" s="25" t="inlineStr">
        <x:is>
          <x:t xml:space="preserve">United Kingdom</x:t>
        </x:is>
      </x:c>
      <x:c r="H216" s="22" t="inlineStr">
        <x:is>
          <x:t xml:space="preserve">6-4, 6-4</x:t>
        </x:is>
      </x:c>
      <x:c r="I216" s="22" t="n">
        <x:v>6</x:v>
      </x:c>
      <x:c r="J216" s="29" t="n">
        <x:v>4</x:v>
      </x:c>
      <x:c r="K216" s="29" t="n">
        <x:v>6</x:v>
      </x:c>
      <x:c r="L216" s="29" t="n">
        <x:v>4</x:v>
      </x:c>
      <x:c r="S216" s="25" t="inlineStr">
        <x:is>
          <x:t xml:space="preserve">A.M. Morton</x:t>
        </x:is>
      </x:c>
      <x:c r="T216" s="25" t="inlineStr">
        <x:is>
          <x:t xml:space="preserve">GBR</x:t>
        </x:is>
      </x:c>
      <x:c r="U216" s="25" t="inlineStr">
        <x:is>
          <x:t xml:space="preserve">United Kingdom</x:t>
        </x:is>
      </x:c>
    </x:row>
    <x:row r="217">
      <x:c r="A217" t="n">
        <x:v>1908</x:v>
      </x:c>
      <x:c r="B217" s="25" t="inlineStr">
        <x:is>
          <x:t xml:space="preserve">Men's</x:t>
        </x:is>
      </x:c>
      <x:c r="C217" s="25" t="inlineStr">
        <x:is>
          <x:t xml:space="preserve">A.W. Gore</x:t>
        </x:is>
      </x:c>
      <x:c r="D217" s="25" t="inlineStr">
        <x:is>
          <x:t xml:space="preserve">GBR</x:t>
        </x:is>
      </x:c>
      <x:c r="E217" s="25" t="inlineStr">
        <x:is>
          <x:t xml:space="preserve">United Kingdom</x:t>
        </x:is>
      </x:c>
      <x:c r="H217" s="22" t="inlineStr">
        <x:is>
          <x:t xml:space="preserve">6-3, 6-2, 4-6, 3-6, 6-4</x:t>
        </x:is>
      </x:c>
      <x:c r="I217" s="22" t="n">
        <x:v>6</x:v>
      </x:c>
      <x:c r="J217" s="29" t="n">
        <x:v>3</x:v>
      </x:c>
      <x:c r="K217" s="29" t="n">
        <x:v>6</x:v>
      </x:c>
      <x:c r="L217" s="29" t="n">
        <x:v>2</x:v>
      </x:c>
      <x:c r="M217" s="29" t="n">
        <x:v>4</x:v>
      </x:c>
      <x:c r="N217" s="29" t="n">
        <x:v>6</x:v>
      </x:c>
      <x:c r="O217" s="29" t="n">
        <x:v>3</x:v>
      </x:c>
      <x:c r="P217" s="29" t="n">
        <x:v>6</x:v>
      </x:c>
      <x:c r="Q217" s="22" t="n">
        <x:v>6</x:v>
      </x:c>
      <x:c r="R217" s="29" t="n">
        <x:v>4</x:v>
      </x:c>
      <x:c r="S217" s="25" t="inlineStr">
        <x:is>
          <x:t xml:space="preserve">H.R. Barrett</x:t>
        </x:is>
      </x:c>
      <x:c r="T217" s="25" t="inlineStr">
        <x:is>
          <x:t xml:space="preserve">GBR</x:t>
        </x:is>
      </x:c>
      <x:c r="U217" s="25" t="inlineStr">
        <x:is>
          <x:t xml:space="preserve">United Kingdom</x:t>
        </x:is>
      </x:c>
    </x:row>
    <x:row r="218">
      <x:c r="A218" t="n">
        <x:v>1907</x:v>
      </x:c>
      <x:c r="B218" s="25" t="inlineStr">
        <x:is>
          <x:t xml:space="preserve">Women's</x:t>
        </x:is>
      </x:c>
      <x:c r="C218" s="25" t="inlineStr">
        <x:is>
          <x:t xml:space="preserve">M.G. Sutton</x:t>
        </x:is>
      </x:c>
      <x:c r="D218" s="25" t="inlineStr">
        <x:is>
          <x:t xml:space="preserve">USA</x:t>
        </x:is>
      </x:c>
      <x:c r="E218" s="25" t="inlineStr">
        <x:is>
          <x:t xml:space="preserve">United States</x:t>
        </x:is>
      </x:c>
      <x:c r="H218" s="22" t="inlineStr">
        <x:is>
          <x:t xml:space="preserve">6-1, 6-4</x:t>
        </x:is>
      </x:c>
      <x:c r="I218" s="22" t="n">
        <x:v>6</x:v>
      </x:c>
      <x:c r="J218" s="29" t="n">
        <x:v>1</x:v>
      </x:c>
      <x:c r="K218" s="29" t="n">
        <x:v>6</x:v>
      </x:c>
      <x:c r="L218" s="29" t="n">
        <x:v>4</x:v>
      </x:c>
      <x:c r="S218" s="25" t="inlineStr">
        <x:is>
          <x:t xml:space="preserve">D.L. Chambers</x:t>
        </x:is>
      </x:c>
      <x:c r="T218" s="25" t="inlineStr">
        <x:is>
          <x:t xml:space="preserve">GBR</x:t>
        </x:is>
      </x:c>
      <x:c r="U218" s="25" t="inlineStr">
        <x:is>
          <x:t xml:space="preserve">United Kingdom</x:t>
        </x:is>
      </x:c>
    </x:row>
    <x:row r="219">
      <x:c r="A219" t="n">
        <x:v>1907</x:v>
      </x:c>
      <x:c r="B219" s="25" t="inlineStr">
        <x:is>
          <x:t xml:space="preserve">Men's</x:t>
        </x:is>
      </x:c>
      <x:c r="C219" s="25" t="inlineStr">
        <x:is>
          <x:t xml:space="preserve">N.E. Brookes</x:t>
        </x:is>
      </x:c>
      <x:c r="D219" s="25" t="inlineStr">
        <x:is>
          <x:t xml:space="preserve">AUS</x:t>
        </x:is>
      </x:c>
      <x:c r="E219" s="25" t="inlineStr">
        <x:is>
          <x:t xml:space="preserve">Australia</x:t>
        </x:is>
      </x:c>
      <x:c r="H219" s="22" t="inlineStr">
        <x:is>
          <x:t xml:space="preserve">6-4, 6-2, 6-2</x:t>
        </x:is>
      </x:c>
      <x:c r="I219" s="22" t="n">
        <x:v>6</x:v>
      </x:c>
      <x:c r="J219" s="29" t="n">
        <x:v>4</x:v>
      </x:c>
      <x:c r="K219" s="29" t="n">
        <x:v>6</x:v>
      </x:c>
      <x:c r="L219" s="29" t="n">
        <x:v>2</x:v>
      </x:c>
      <x:c r="M219" s="29" t="n">
        <x:v>6</x:v>
      </x:c>
      <x:c r="N219" s="29" t="n">
        <x:v>2</x:v>
      </x:c>
      <x:c r="S219" s="25" t="inlineStr">
        <x:is>
          <x:t xml:space="preserve">A.W. Gore</x:t>
        </x:is>
      </x:c>
      <x:c r="T219" s="25" t="inlineStr">
        <x:is>
          <x:t xml:space="preserve">GBR</x:t>
        </x:is>
      </x:c>
      <x:c r="U219" s="25" t="inlineStr">
        <x:is>
          <x:t xml:space="preserve">United Kingdom</x:t>
        </x:is>
      </x:c>
    </x:row>
    <x:row r="220">
      <x:c r="A220" t="n">
        <x:v>1906</x:v>
      </x:c>
      <x:c r="B220" s="25" t="inlineStr">
        <x:is>
          <x:t xml:space="preserve">Women's</x:t>
        </x:is>
      </x:c>
      <x:c r="C220" s="25" t="inlineStr">
        <x:is>
          <x:t xml:space="preserve">D.L. Chambers</x:t>
        </x:is>
      </x:c>
      <x:c r="D220" s="25" t="inlineStr">
        <x:is>
          <x:t xml:space="preserve">GBR</x:t>
        </x:is>
      </x:c>
      <x:c r="E220" s="25" t="inlineStr">
        <x:is>
          <x:t xml:space="preserve">United Kingdom</x:t>
        </x:is>
      </x:c>
      <x:c r="G220" s="22" t="n">
        <x:v>57</x:v>
      </x:c>
      <x:c r="H220" s="22" t="inlineStr">
        <x:is>
          <x:t xml:space="preserve">6-3, 9-7</x:t>
        </x:is>
      </x:c>
      <x:c r="I220" s="22" t="n">
        <x:v>6</x:v>
      </x:c>
      <x:c r="J220" s="29" t="n">
        <x:v>3</x:v>
      </x:c>
      <x:c r="K220" s="29" t="n">
        <x:v>9</x:v>
      </x:c>
      <x:c r="L220" s="29" t="n">
        <x:v>7</x:v>
      </x:c>
      <x:c r="S220" s="25" t="inlineStr">
        <x:is>
          <x:t xml:space="preserve">M.G. Sutton</x:t>
        </x:is>
      </x:c>
      <x:c r="T220" s="25" t="inlineStr">
        <x:is>
          <x:t xml:space="preserve">USA</x:t>
        </x:is>
      </x:c>
      <x:c r="U220" s="25" t="inlineStr">
        <x:is>
          <x:t xml:space="preserve">United States</x:t>
        </x:is>
      </x:c>
    </x:row>
    <x:row r="221">
      <x:c r="A221" t="n">
        <x:v>1906</x:v>
      </x:c>
      <x:c r="B221" s="25" t="inlineStr">
        <x:is>
          <x:t xml:space="preserve">Men's</x:t>
        </x:is>
      </x:c>
      <x:c r="C221" s="25" t="inlineStr">
        <x:is>
          <x:t xml:space="preserve">H.L. Doherty</x:t>
        </x:is>
      </x:c>
      <x:c r="D221" s="25" t="inlineStr">
        <x:is>
          <x:t xml:space="preserve">GBR</x:t>
        </x:is>
      </x:c>
      <x:c r="E221" s="25" t="inlineStr">
        <x:is>
          <x:t xml:space="preserve">United Kingdom</x:t>
        </x:is>
      </x:c>
      <x:c r="G221" s="22" t="n">
        <x:v>74</x:v>
      </x:c>
      <x:c r="H221" s="22" t="inlineStr">
        <x:is>
          <x:t xml:space="preserve">6-4, 4-6, 6-2, 6-3</x:t>
        </x:is>
      </x:c>
      <x:c r="I221" s="22" t="n">
        <x:v>6</x:v>
      </x:c>
      <x:c r="J221" s="29" t="n">
        <x:v>4</x:v>
      </x:c>
      <x:c r="K221" s="29" t="n">
        <x:v>4</x:v>
      </x:c>
      <x:c r="L221" s="29" t="n">
        <x:v>6</x:v>
      </x:c>
      <x:c r="M221" s="29" t="n">
        <x:v>6</x:v>
      </x:c>
      <x:c r="N221" s="29" t="n">
        <x:v>2</x:v>
      </x:c>
      <x:c r="O221" s="29" t="n">
        <x:v>6</x:v>
      </x:c>
      <x:c r="P221" s="29" t="n">
        <x:v>3</x:v>
      </x:c>
      <x:c r="S221" s="25" t="inlineStr">
        <x:is>
          <x:t xml:space="preserve">F.L. Riseley</x:t>
        </x:is>
      </x:c>
      <x:c r="T221" s="25" t="inlineStr">
        <x:is>
          <x:t xml:space="preserve">GBR</x:t>
        </x:is>
      </x:c>
      <x:c r="U221" s="25" t="inlineStr">
        <x:is>
          <x:t xml:space="preserve">United Kingdom</x:t>
        </x:is>
      </x:c>
    </x:row>
    <x:row r="222">
      <x:c r="A222" t="n">
        <x:v>1905</x:v>
      </x:c>
      <x:c r="B222" s="25" t="inlineStr">
        <x:is>
          <x:t xml:space="preserve">Women's</x:t>
        </x:is>
      </x:c>
      <x:c r="C222" s="25" t="inlineStr">
        <x:is>
          <x:t xml:space="preserve">M.G. Sutton</x:t>
        </x:is>
      </x:c>
      <x:c r="D222" s="25" t="inlineStr">
        <x:is>
          <x:t xml:space="preserve">USA</x:t>
        </x:is>
      </x:c>
      <x:c r="E222" s="25" t="inlineStr">
        <x:is>
          <x:t xml:space="preserve">United States</x:t>
        </x:is>
      </x:c>
      <x:c r="H222" s="22" t="inlineStr">
        <x:is>
          <x:t xml:space="preserve">6-3, 6-4</x:t>
        </x:is>
      </x:c>
      <x:c r="I222" s="22" t="n">
        <x:v>6</x:v>
      </x:c>
      <x:c r="J222" s="29" t="n">
        <x:v>3</x:v>
      </x:c>
      <x:c r="K222" s="29" t="n">
        <x:v>6</x:v>
      </x:c>
      <x:c r="L222" s="29" t="n">
        <x:v>4</x:v>
      </x:c>
      <x:c r="S222" s="25" t="inlineStr">
        <x:is>
          <x:t xml:space="preserve">D.L. Chambers</x:t>
        </x:is>
      </x:c>
      <x:c r="T222" s="25" t="inlineStr">
        <x:is>
          <x:t xml:space="preserve">GBR</x:t>
        </x:is>
      </x:c>
      <x:c r="U222" s="25" t="inlineStr">
        <x:is>
          <x:t xml:space="preserve">United Kingdom</x:t>
        </x:is>
      </x:c>
    </x:row>
    <x:row r="223">
      <x:c r="A223" t="n">
        <x:v>1905</x:v>
      </x:c>
      <x:c r="B223" s="25" t="inlineStr">
        <x:is>
          <x:t xml:space="preserve">Men's</x:t>
        </x:is>
      </x:c>
      <x:c r="C223" s="25" t="inlineStr">
        <x:is>
          <x:t xml:space="preserve">H.L. Doherty</x:t>
        </x:is>
      </x:c>
      <x:c r="D223" s="25" t="inlineStr">
        <x:is>
          <x:t xml:space="preserve">GBR</x:t>
        </x:is>
      </x:c>
      <x:c r="E223" s="25" t="inlineStr">
        <x:is>
          <x:t xml:space="preserve">United Kingdom</x:t>
        </x:is>
      </x:c>
      <x:c r="G223" s="22" t="n">
        <x:v>65</x:v>
      </x:c>
      <x:c r="H223" s="22" t="inlineStr">
        <x:is>
          <x:t xml:space="preserve">8-6, 6-2, 6-4</x:t>
        </x:is>
      </x:c>
      <x:c r="I223" s="22" t="n">
        <x:v>8</x:v>
      </x:c>
      <x:c r="J223" s="29" t="n">
        <x:v>6</x:v>
      </x:c>
      <x:c r="K223" s="29" t="n">
        <x:v>6</x:v>
      </x:c>
      <x:c r="L223" s="29" t="n">
        <x:v>2</x:v>
      </x:c>
      <x:c r="M223" s="29" t="n">
        <x:v>6</x:v>
      </x:c>
      <x:c r="N223" s="29" t="n">
        <x:v>4</x:v>
      </x:c>
      <x:c r="S223" s="25" t="inlineStr">
        <x:is>
          <x:t xml:space="preserve">N.E. Brookes</x:t>
        </x:is>
      </x:c>
      <x:c r="T223" s="25" t="inlineStr">
        <x:is>
          <x:t xml:space="preserve">AUS</x:t>
        </x:is>
      </x:c>
      <x:c r="U223" s="25" t="inlineStr">
        <x:is>
          <x:t xml:space="preserve">Australia</x:t>
        </x:is>
      </x:c>
    </x:row>
    <x:row r="224">
      <x:c r="A224" t="n">
        <x:v>1904</x:v>
      </x:c>
      <x:c r="B224" s="25" t="inlineStr">
        <x:is>
          <x:t xml:space="preserve">Women's</x:t>
        </x:is>
      </x:c>
      <x:c r="C224" s="25" t="inlineStr">
        <x:is>
          <x:t xml:space="preserve">D.L. Chambers</x:t>
        </x:is>
      </x:c>
      <x:c r="D224" s="25" t="inlineStr">
        <x:is>
          <x:t xml:space="preserve">GBR</x:t>
        </x:is>
      </x:c>
      <x:c r="E224" s="25" t="inlineStr">
        <x:is>
          <x:t xml:space="preserve">United Kingdom</x:t>
        </x:is>
      </x:c>
      <x:c r="H224" s="22" t="inlineStr">
        <x:is>
          <x:t xml:space="preserve">6-0, 6-3</x:t>
        </x:is>
      </x:c>
      <x:c r="I224" s="22" t="n">
        <x:v>6</x:v>
      </x:c>
      <x:c r="J224" s="29" t="n">
        <x:v>0</x:v>
      </x:c>
      <x:c r="K224" s="29" t="n">
        <x:v>6</x:v>
      </x:c>
      <x:c r="L224" s="29" t="n">
        <x:v>3</x:v>
      </x:c>
      <x:c r="S224" s="25" t="inlineStr">
        <x:is>
          <x:t xml:space="preserve">C.R. Cooper</x:t>
        </x:is>
      </x:c>
      <x:c r="T224" s="25" t="inlineStr">
        <x:is>
          <x:t xml:space="preserve">GBR</x:t>
        </x:is>
      </x:c>
      <x:c r="U224" s="25" t="inlineStr">
        <x:is>
          <x:t xml:space="preserve">United Kingdom</x:t>
        </x:is>
      </x:c>
    </x:row>
    <x:row r="225">
      <x:c r="A225" t="n">
        <x:v>1904</x:v>
      </x:c>
      <x:c r="B225" s="25" t="inlineStr">
        <x:is>
          <x:t xml:space="preserve">Men's</x:t>
        </x:is>
      </x:c>
      <x:c r="C225" s="25" t="inlineStr">
        <x:is>
          <x:t xml:space="preserve">H.L. Doherty</x:t>
        </x:is>
      </x:c>
      <x:c r="D225" s="25" t="inlineStr">
        <x:is>
          <x:t xml:space="preserve">GBR</x:t>
        </x:is>
      </x:c>
      <x:c r="E225" s="25" t="inlineStr">
        <x:is>
          <x:t xml:space="preserve">United Kingdom</x:t>
        </x:is>
      </x:c>
      <x:c r="H225" s="22" t="inlineStr">
        <x:is>
          <x:t xml:space="preserve">6-1, 7-5, 8-6</x:t>
        </x:is>
      </x:c>
      <x:c r="I225" s="22" t="n">
        <x:v>6</x:v>
      </x:c>
      <x:c r="J225" s="29" t="n">
        <x:v>1</x:v>
      </x:c>
      <x:c r="K225" s="29" t="n">
        <x:v>7</x:v>
      </x:c>
      <x:c r="L225" s="29" t="n">
        <x:v>5</x:v>
      </x:c>
      <x:c r="M225" s="29" t="n">
        <x:v>8</x:v>
      </x:c>
      <x:c r="N225" s="29" t="n">
        <x:v>6</x:v>
      </x:c>
      <x:c r="S225" s="25" t="inlineStr">
        <x:is>
          <x:t xml:space="preserve">F.L. Riseley</x:t>
        </x:is>
      </x:c>
      <x:c r="T225" s="25" t="inlineStr">
        <x:is>
          <x:t xml:space="preserve">GBR</x:t>
        </x:is>
      </x:c>
      <x:c r="U225" s="25" t="inlineStr">
        <x:is>
          <x:t xml:space="preserve">United Kingdom</x:t>
        </x:is>
      </x:c>
    </x:row>
    <x:row r="226">
      <x:c r="A226" t="n">
        <x:v>1903</x:v>
      </x:c>
      <x:c r="B226" s="25" t="inlineStr">
        <x:is>
          <x:t xml:space="preserve">Women's</x:t>
        </x:is>
      </x:c>
      <x:c r="C226" s="25" t="inlineStr">
        <x:is>
          <x:t xml:space="preserve">D.L. Chambers</x:t>
        </x:is>
      </x:c>
      <x:c r="D226" s="25" t="inlineStr">
        <x:is>
          <x:t xml:space="preserve">GBR</x:t>
        </x:is>
      </x:c>
      <x:c r="E226" s="25" t="inlineStr">
        <x:is>
          <x:t xml:space="preserve">United Kingdom</x:t>
        </x:is>
      </x:c>
      <x:c r="H226" s="22" t="inlineStr">
        <x:is>
          <x:t xml:space="preserve">4-6, 6-4, 6-2</x:t>
        </x:is>
      </x:c>
      <x:c r="I226" s="22" t="n">
        <x:v>4</x:v>
      </x:c>
      <x:c r="J226" s="29" t="n">
        <x:v>6</x:v>
      </x:c>
      <x:c r="K226" s="29" t="n">
        <x:v>6</x:v>
      </x:c>
      <x:c r="L226" s="29" t="n">
        <x:v>4</x:v>
      </x:c>
      <x:c r="M226" s="29" t="n">
        <x:v>6</x:v>
      </x:c>
      <x:c r="N226" s="29" t="n">
        <x:v>2</x:v>
      </x:c>
      <x:c r="S226" s="25" t="inlineStr">
        <x:is>
          <x:t xml:space="preserve">E.W. Thomson</x:t>
        </x:is>
      </x:c>
      <x:c r="T226" s="25" t="inlineStr">
        <x:is>
          <x:t xml:space="preserve">GBR</x:t>
        </x:is>
      </x:c>
      <x:c r="U226" s="25" t="inlineStr">
        <x:is>
          <x:t xml:space="preserve">United Kingdom</x:t>
        </x:is>
      </x:c>
    </x:row>
    <x:row r="227">
      <x:c r="A227" t="n">
        <x:v>1903</x:v>
      </x:c>
      <x:c r="B227" s="25" t="inlineStr">
        <x:is>
          <x:t xml:space="preserve">Men's</x:t>
        </x:is>
      </x:c>
      <x:c r="C227" s="25" t="inlineStr">
        <x:is>
          <x:t xml:space="preserve">H.L. Doherty</x:t>
        </x:is>
      </x:c>
      <x:c r="D227" s="25" t="inlineStr">
        <x:is>
          <x:t xml:space="preserve">GBR</x:t>
        </x:is>
      </x:c>
      <x:c r="E227" s="25" t="inlineStr">
        <x:is>
          <x:t xml:space="preserve">United Kingdom</x:t>
        </x:is>
      </x:c>
      <x:c r="H227" s="22" t="inlineStr">
        <x:is>
          <x:t xml:space="preserve">7-5, 6-3, 6-0</x:t>
        </x:is>
      </x:c>
      <x:c r="I227" s="22" t="n">
        <x:v>7</x:v>
      </x:c>
      <x:c r="J227" s="29" t="n">
        <x:v>5</x:v>
      </x:c>
      <x:c r="K227" s="29" t="n">
        <x:v>6</x:v>
      </x:c>
      <x:c r="L227" s="29" t="n">
        <x:v>3</x:v>
      </x:c>
      <x:c r="M227" s="29" t="n">
        <x:v>6</x:v>
      </x:c>
      <x:c r="N227" s="29" t="n">
        <x:v>0</x:v>
      </x:c>
      <x:c r="S227" s="25" t="inlineStr">
        <x:is>
          <x:t xml:space="preserve">F.L. Riseley</x:t>
        </x:is>
      </x:c>
      <x:c r="T227" s="25" t="inlineStr">
        <x:is>
          <x:t xml:space="preserve">GBR</x:t>
        </x:is>
      </x:c>
      <x:c r="U227" s="25" t="inlineStr">
        <x:is>
          <x:t xml:space="preserve">United Kingdom</x:t>
        </x:is>
      </x:c>
    </x:row>
    <x:row r="228">
      <x:c r="A228" t="n">
        <x:v>1902</x:v>
      </x:c>
      <x:c r="B228" s="25" t="inlineStr">
        <x:is>
          <x:t xml:space="preserve">Women's</x:t>
        </x:is>
      </x:c>
      <x:c r="C228" s="25" t="inlineStr">
        <x:is>
          <x:t xml:space="preserve">M.E. Robb</x:t>
        </x:is>
      </x:c>
      <x:c r="D228" s="25" t="inlineStr">
        <x:is>
          <x:t xml:space="preserve">GBR</x:t>
        </x:is>
      </x:c>
      <x:c r="E228" s="25" t="inlineStr">
        <x:is>
          <x:t xml:space="preserve">United Kingdom</x:t>
        </x:is>
      </x:c>
      <x:c r="H228" s="22" t="inlineStr">
        <x:is>
          <x:t xml:space="preserve">7-5, 6-1</x:t>
        </x:is>
      </x:c>
      <x:c r="I228" s="22" t="n">
        <x:v>7</x:v>
      </x:c>
      <x:c r="J228" s="29" t="n">
        <x:v>5</x:v>
      </x:c>
      <x:c r="K228" s="29" t="n">
        <x:v>6</x:v>
      </x:c>
      <x:c r="L228" s="29" t="n">
        <x:v>1</x:v>
      </x:c>
      <x:c r="S228" s="25" t="inlineStr">
        <x:is>
          <x:t xml:space="preserve">C.R. Cooper</x:t>
        </x:is>
      </x:c>
      <x:c r="T228" s="25" t="inlineStr">
        <x:is>
          <x:t xml:space="preserve">GBR</x:t>
        </x:is>
      </x:c>
      <x:c r="U228" s="25" t="inlineStr">
        <x:is>
          <x:t xml:space="preserve">United Kingdom</x:t>
        </x:is>
      </x:c>
    </x:row>
    <x:row r="229">
      <x:c r="A229" t="n">
        <x:v>1902</x:v>
      </x:c>
      <x:c r="B229" s="25" t="inlineStr">
        <x:is>
          <x:t xml:space="preserve">Men's</x:t>
        </x:is>
      </x:c>
      <x:c r="C229" s="25" t="inlineStr">
        <x:is>
          <x:t xml:space="preserve">H.L. Doherty</x:t>
        </x:is>
      </x:c>
      <x:c r="D229" s="25" t="inlineStr">
        <x:is>
          <x:t xml:space="preserve">GBR</x:t>
        </x:is>
      </x:c>
      <x:c r="E229" s="25" t="inlineStr">
        <x:is>
          <x:t xml:space="preserve">United Kingdom</x:t>
        </x:is>
      </x:c>
      <x:c r="G229" s="22" t="n">
        <x:v>84</x:v>
      </x:c>
      <x:c r="H229" s="22" t="inlineStr">
        <x:is>
          <x:t xml:space="preserve">6-4, 6-3, 3-6, 6-0</x:t>
        </x:is>
      </x:c>
      <x:c r="I229" s="22" t="n">
        <x:v>6</x:v>
      </x:c>
      <x:c r="J229" s="29" t="n">
        <x:v>4</x:v>
      </x:c>
      <x:c r="K229" s="29" t="n">
        <x:v>6</x:v>
      </x:c>
      <x:c r="L229" s="29" t="n">
        <x:v>3</x:v>
      </x:c>
      <x:c r="M229" s="29" t="n">
        <x:v>3</x:v>
      </x:c>
      <x:c r="N229" s="29" t="n">
        <x:v>6</x:v>
      </x:c>
      <x:c r="O229" s="29" t="n">
        <x:v>6</x:v>
      </x:c>
      <x:c r="P229" s="29" t="n">
        <x:v>0</x:v>
      </x:c>
      <x:c r="S229" s="25" t="inlineStr">
        <x:is>
          <x:t xml:space="preserve">A.W. Gore</x:t>
        </x:is>
      </x:c>
      <x:c r="T229" s="25" t="inlineStr">
        <x:is>
          <x:t xml:space="preserve">GBR</x:t>
        </x:is>
      </x:c>
      <x:c r="U229" s="25" t="inlineStr">
        <x:is>
          <x:t xml:space="preserve">United Kingdom</x:t>
        </x:is>
      </x:c>
    </x:row>
    <x:row r="230">
      <x:c r="A230" t="n">
        <x:v>1901</x:v>
      </x:c>
      <x:c r="B230" s="25" t="inlineStr">
        <x:is>
          <x:t xml:space="preserve">Women's</x:t>
        </x:is>
      </x:c>
      <x:c r="C230" s="25" t="inlineStr">
        <x:is>
          <x:t xml:space="preserve">C.R. Cooper</x:t>
        </x:is>
      </x:c>
      <x:c r="D230" s="25" t="inlineStr">
        <x:is>
          <x:t xml:space="preserve">GBR</x:t>
        </x:is>
      </x:c>
      <x:c r="E230" s="25" t="inlineStr">
        <x:is>
          <x:t xml:space="preserve">United Kingdom</x:t>
        </x:is>
      </x:c>
      <x:c r="H230" s="22" t="inlineStr">
        <x:is>
          <x:t xml:space="preserve">6-2, 6-2</x:t>
        </x:is>
      </x:c>
      <x:c r="I230" s="22" t="n">
        <x:v>6</x:v>
      </x:c>
      <x:c r="J230" s="29" t="n">
        <x:v>2</x:v>
      </x:c>
      <x:c r="K230" s="29" t="n">
        <x:v>6</x:v>
      </x:c>
      <x:c r="L230" s="29" t="n">
        <x:v>2</x:v>
      </x:c>
      <x:c r="S230" s="25" t="inlineStr">
        <x:is>
          <x:t xml:space="preserve">G.W. Hillyard</x:t>
        </x:is>
      </x:c>
      <x:c r="T230" s="25" t="inlineStr">
        <x:is>
          <x:t xml:space="preserve">GBR</x:t>
        </x:is>
      </x:c>
      <x:c r="U230" s="25" t="inlineStr">
        <x:is>
          <x:t xml:space="preserve">United Kingdom</x:t>
        </x:is>
      </x:c>
    </x:row>
    <x:row r="231">
      <x:c r="A231" t="n">
        <x:v>1901</x:v>
      </x:c>
      <x:c r="B231" s="25" t="inlineStr">
        <x:is>
          <x:t xml:space="preserve">Men's</x:t>
        </x:is>
      </x:c>
      <x:c r="C231" s="25" t="inlineStr">
        <x:is>
          <x:t xml:space="preserve">A.W. Gore</x:t>
        </x:is>
      </x:c>
      <x:c r="D231" s="25" t="inlineStr">
        <x:is>
          <x:t xml:space="preserve">GBR</x:t>
        </x:is>
      </x:c>
      <x:c r="E231" s="25" t="inlineStr">
        <x:is>
          <x:t xml:space="preserve">United Kingdom</x:t>
        </x:is>
      </x:c>
      <x:c r="G231" s="22" t="n">
        <x:v>95</x:v>
      </x:c>
      <x:c r="H231" s="22" t="inlineStr">
        <x:is>
          <x:t xml:space="preserve">4-6, 7-5, 6-4, 6-4</x:t>
        </x:is>
      </x:c>
      <x:c r="I231" s="22" t="n">
        <x:v>4</x:v>
      </x:c>
      <x:c r="J231" s="29" t="n">
        <x:v>6</x:v>
      </x:c>
      <x:c r="K231" s="29" t="n">
        <x:v>7</x:v>
      </x:c>
      <x:c r="L231" s="29" t="n">
        <x:v>5</x:v>
      </x:c>
      <x:c r="M231" s="29" t="n">
        <x:v>6</x:v>
      </x:c>
      <x:c r="N231" s="29" t="n">
        <x:v>4</x:v>
      </x:c>
      <x:c r="O231" s="29" t="n">
        <x:v>6</x:v>
      </x:c>
      <x:c r="P231" s="29" t="n">
        <x:v>4</x:v>
      </x:c>
      <x:c r="S231" s="25" t="inlineStr">
        <x:is>
          <x:t xml:space="preserve">R.F. Doherty</x:t>
        </x:is>
      </x:c>
      <x:c r="T231" s="25" t="inlineStr">
        <x:is>
          <x:t xml:space="preserve">GBR</x:t>
        </x:is>
      </x:c>
      <x:c r="U231" s="25" t="inlineStr">
        <x:is>
          <x:t xml:space="preserve">United Kingdom</x:t>
        </x:is>
      </x:c>
    </x:row>
    <x:row r="232">
      <x:c r="A232" t="n">
        <x:v>1900</x:v>
      </x:c>
      <x:c r="B232" s="25" t="inlineStr">
        <x:is>
          <x:t xml:space="preserve">Women's</x:t>
        </x:is>
      </x:c>
      <x:c r="C232" s="25" t="inlineStr">
        <x:is>
          <x:t xml:space="preserve">G.W. Hillyard</x:t>
        </x:is>
      </x:c>
      <x:c r="D232" s="25" t="inlineStr">
        <x:is>
          <x:t xml:space="preserve">GBR</x:t>
        </x:is>
      </x:c>
      <x:c r="E232" s="25" t="inlineStr">
        <x:is>
          <x:t xml:space="preserve">United Kingdom</x:t>
        </x:is>
      </x:c>
      <x:c r="H232" s="22" t="inlineStr">
        <x:is>
          <x:t xml:space="preserve">4-6, 6-4, 6-4</x:t>
        </x:is>
      </x:c>
      <x:c r="I232" s="22" t="n">
        <x:v>4</x:v>
      </x:c>
      <x:c r="J232" s="29" t="n">
        <x:v>6</x:v>
      </x:c>
      <x:c r="K232" s="29" t="n">
        <x:v>6</x:v>
      </x:c>
      <x:c r="L232" s="29" t="n">
        <x:v>4</x:v>
      </x:c>
      <x:c r="M232" s="29" t="n">
        <x:v>6</x:v>
      </x:c>
      <x:c r="N232" s="29" t="n">
        <x:v>4</x:v>
      </x:c>
      <x:c r="S232" s="25" t="inlineStr">
        <x:is>
          <x:t xml:space="preserve">C.R. Cooper</x:t>
        </x:is>
      </x:c>
      <x:c r="T232" s="25" t="inlineStr">
        <x:is>
          <x:t xml:space="preserve">GBR</x:t>
        </x:is>
      </x:c>
      <x:c r="U232" s="25" t="inlineStr">
        <x:is>
          <x:t xml:space="preserve">United Kingdom</x:t>
        </x:is>
      </x:c>
    </x:row>
    <x:row r="233">
      <x:c r="A233" t="n">
        <x:v>1900</x:v>
      </x:c>
      <x:c r="B233" s="25" t="inlineStr">
        <x:is>
          <x:t xml:space="preserve">Men's</x:t>
        </x:is>
      </x:c>
      <x:c r="C233" s="25" t="inlineStr">
        <x:is>
          <x:t xml:space="preserve">R.F. Doherty</x:t>
        </x:is>
      </x:c>
      <x:c r="D233" s="25" t="inlineStr">
        <x:is>
          <x:t xml:space="preserve">GBR</x:t>
        </x:is>
      </x:c>
      <x:c r="E233" s="25" t="inlineStr">
        <x:is>
          <x:t xml:space="preserve">United Kingdom</x:t>
        </x:is>
      </x:c>
      <x:c r="H233" s="22" t="inlineStr">
        <x:is>
          <x:t xml:space="preserve">6-8, 6-3, 6-1, 6-2</x:t>
        </x:is>
      </x:c>
      <x:c r="I233" s="22" t="n">
        <x:v>6</x:v>
      </x:c>
      <x:c r="J233" s="29" t="n">
        <x:v>8</x:v>
      </x:c>
      <x:c r="K233" s="29" t="n">
        <x:v>6</x:v>
      </x:c>
      <x:c r="L233" s="29" t="n">
        <x:v>3</x:v>
      </x:c>
      <x:c r="M233" s="29" t="n">
        <x:v>6</x:v>
      </x:c>
      <x:c r="N233" s="29" t="n">
        <x:v>1</x:v>
      </x:c>
      <x:c r="O233" s="29" t="n">
        <x:v>6</x:v>
      </x:c>
      <x:c r="P233" s="29" t="n">
        <x:v>2</x:v>
      </x:c>
      <x:c r="S233" s="25" t="inlineStr">
        <x:is>
          <x:t xml:space="preserve">S.H. Smith</x:t>
        </x:is>
      </x:c>
      <x:c r="T233" s="25" t="inlineStr">
        <x:is>
          <x:t xml:space="preserve">GBR</x:t>
        </x:is>
      </x:c>
      <x:c r="U233" s="25" t="inlineStr">
        <x:is>
          <x:t xml:space="preserve">United Kingdom</x:t>
        </x:is>
      </x:c>
    </x:row>
    <x:row r="234">
      <x:c r="A234" t="n">
        <x:v>1899</x:v>
      </x:c>
      <x:c r="B234" s="25" t="inlineStr">
        <x:is>
          <x:t xml:space="preserve">Women's</x:t>
        </x:is>
      </x:c>
      <x:c r="C234" s="25" t="inlineStr">
        <x:is>
          <x:t xml:space="preserve">G.W. Hillyard</x:t>
        </x:is>
      </x:c>
      <x:c r="D234" s="25" t="inlineStr">
        <x:is>
          <x:t xml:space="preserve">GBR</x:t>
        </x:is>
      </x:c>
      <x:c r="E234" s="25" t="inlineStr">
        <x:is>
          <x:t xml:space="preserve">United Kingdom</x:t>
        </x:is>
      </x:c>
      <x:c r="H234" s="22" t="inlineStr">
        <x:is>
          <x:t xml:space="preserve">6-2, 6-3</x:t>
        </x:is>
      </x:c>
      <x:c r="I234" s="22" t="n">
        <x:v>6</x:v>
      </x:c>
      <x:c r="J234" s="29" t="n">
        <x:v>2</x:v>
      </x:c>
      <x:c r="K234" s="29" t="n">
        <x:v>6</x:v>
      </x:c>
      <x:c r="L234" s="29" t="n">
        <x:v>3</x:v>
      </x:c>
      <x:c r="S234" s="25" t="inlineStr">
        <x:is>
          <x:t xml:space="preserve">C.R. Cooper</x:t>
        </x:is>
      </x:c>
      <x:c r="T234" s="25" t="inlineStr">
        <x:is>
          <x:t xml:space="preserve">GBR</x:t>
        </x:is>
      </x:c>
      <x:c r="U234" s="25" t="inlineStr">
        <x:is>
          <x:t xml:space="preserve">United Kingdom</x:t>
        </x:is>
      </x:c>
    </x:row>
    <x:row r="235">
      <x:c r="A235" t="n">
        <x:v>1899</x:v>
      </x:c>
      <x:c r="B235" s="25" t="inlineStr">
        <x:is>
          <x:t xml:space="preserve">Men's</x:t>
        </x:is>
      </x:c>
      <x:c r="C235" s="25" t="inlineStr">
        <x:is>
          <x:t xml:space="preserve">R.F. Doherty</x:t>
        </x:is>
      </x:c>
      <x:c r="D235" s="25" t="inlineStr">
        <x:is>
          <x:t xml:space="preserve">GBR</x:t>
        </x:is>
      </x:c>
      <x:c r="E235" s="25" t="inlineStr">
        <x:is>
          <x:t xml:space="preserve">United Kingdom</x:t>
        </x:is>
      </x:c>
      <x:c r="H235" s="22" t="inlineStr">
        <x:is>
          <x:t xml:space="preserve">1-6, 4-6, 6-3, 6-3, 6-3</x:t>
        </x:is>
      </x:c>
      <x:c r="I235" s="22" t="n">
        <x:v>1</x:v>
      </x:c>
      <x:c r="J235" s="29" t="n">
        <x:v>6</x:v>
      </x:c>
      <x:c r="K235" s="29" t="n">
        <x:v>4</x:v>
      </x:c>
      <x:c r="L235" s="29" t="n">
        <x:v>6</x:v>
      </x:c>
      <x:c r="M235" s="29" t="n">
        <x:v>6</x:v>
      </x:c>
      <x:c r="N235" s="29" t="n">
        <x:v>3</x:v>
      </x:c>
      <x:c r="O235" s="29" t="n">
        <x:v>6</x:v>
      </x:c>
      <x:c r="P235" s="29" t="n">
        <x:v>3</x:v>
      </x:c>
      <x:c r="Q235" s="22" t="n">
        <x:v>6</x:v>
      </x:c>
      <x:c r="R235" s="29" t="n">
        <x:v>3</x:v>
      </x:c>
      <x:c r="S235" s="25" t="inlineStr">
        <x:is>
          <x:t xml:space="preserve">A.W. Gore</x:t>
        </x:is>
      </x:c>
      <x:c r="T235" s="25" t="inlineStr">
        <x:is>
          <x:t xml:space="preserve">GBR</x:t>
        </x:is>
      </x:c>
      <x:c r="U235" s="25" t="inlineStr">
        <x:is>
          <x:t xml:space="preserve">United Kingdom</x:t>
        </x:is>
      </x:c>
    </x:row>
    <x:row r="236">
      <x:c r="A236" t="n">
        <x:v>1898</x:v>
      </x:c>
      <x:c r="B236" s="25" t="inlineStr">
        <x:is>
          <x:t xml:space="preserve">Women's</x:t>
        </x:is>
      </x:c>
      <x:c r="C236" s="25" t="inlineStr">
        <x:is>
          <x:t xml:space="preserve">C.R. Cooper</x:t>
        </x:is>
      </x:c>
      <x:c r="D236" s="25" t="inlineStr">
        <x:is>
          <x:t xml:space="preserve">GBR</x:t>
        </x:is>
      </x:c>
      <x:c r="E236" s="25" t="inlineStr">
        <x:is>
          <x:t xml:space="preserve">United Kingdom</x:t>
        </x:is>
      </x:c>
      <x:c r="H236" s="22" t="inlineStr">
        <x:is>
          <x:t xml:space="preserve">6-4, 6-4</x:t>
        </x:is>
      </x:c>
      <x:c r="I236" s="22" t="n">
        <x:v>6</x:v>
      </x:c>
      <x:c r="J236" s="29" t="n">
        <x:v>4</x:v>
      </x:c>
      <x:c r="K236" s="29" t="n">
        <x:v>6</x:v>
      </x:c>
      <x:c r="L236" s="29" t="n">
        <x:v>4</x:v>
      </x:c>
      <x:c r="S236" s="25" t="inlineStr">
        <x:is>
          <x:t xml:space="preserve">M.L.Martin</x:t>
        </x:is>
      </x:c>
      <x:c r="T236" s="25" t="inlineStr">
        <x:is>
          <x:t xml:space="preserve">GBR</x:t>
        </x:is>
      </x:c>
      <x:c r="U236" s="25" t="inlineStr">
        <x:is>
          <x:t xml:space="preserve">United Kingdom</x:t>
        </x:is>
      </x:c>
    </x:row>
    <x:row r="237">
      <x:c r="A237" t="n">
        <x:v>1898</x:v>
      </x:c>
      <x:c r="B237" s="25" t="inlineStr">
        <x:is>
          <x:t xml:space="preserve">Men's</x:t>
        </x:is>
      </x:c>
      <x:c r="C237" s="25" t="inlineStr">
        <x:is>
          <x:t xml:space="preserve">R.F. Doherty</x:t>
        </x:is>
      </x:c>
      <x:c r="D237" s="25" t="inlineStr">
        <x:is>
          <x:t xml:space="preserve">GBR</x:t>
        </x:is>
      </x:c>
      <x:c r="E237" s="25" t="inlineStr">
        <x:is>
          <x:t xml:space="preserve">United Kingdom</x:t>
        </x:is>
      </x:c>
      <x:c r="G237" s="22" t="n">
        <x:v>55</x:v>
      </x:c>
      <x:c r="H237" s="22" t="inlineStr">
        <x:is>
          <x:t xml:space="preserve">6-3, 6-3, 2-6, 5-7, 6-1</x:t>
        </x:is>
      </x:c>
      <x:c r="I237" s="22" t="n">
        <x:v>6</x:v>
      </x:c>
      <x:c r="J237" s="29" t="n">
        <x:v>3</x:v>
      </x:c>
      <x:c r="K237" s="29" t="n">
        <x:v>6</x:v>
      </x:c>
      <x:c r="L237" s="29" t="n">
        <x:v>3</x:v>
      </x:c>
      <x:c r="M237" s="29" t="n">
        <x:v>2</x:v>
      </x:c>
      <x:c r="N237" s="29" t="n">
        <x:v>6</x:v>
      </x:c>
      <x:c r="O237" s="29" t="n">
        <x:v>5</x:v>
      </x:c>
      <x:c r="P237" s="29" t="n">
        <x:v>7</x:v>
      </x:c>
      <x:c r="Q237" s="22" t="n">
        <x:v>6</x:v>
      </x:c>
      <x:c r="R237" s="29" t="n">
        <x:v>1</x:v>
      </x:c>
      <x:c r="S237" s="25" t="inlineStr">
        <x:is>
          <x:t xml:space="preserve">H.L. Doherty</x:t>
        </x:is>
      </x:c>
      <x:c r="T237" s="25" t="inlineStr">
        <x:is>
          <x:t xml:space="preserve">GBR</x:t>
        </x:is>
      </x:c>
      <x:c r="U237" s="25" t="inlineStr">
        <x:is>
          <x:t xml:space="preserve">United Kingdom</x:t>
        </x:is>
      </x:c>
    </x:row>
    <x:row r="238">
      <x:c r="A238" t="n">
        <x:v>1897</x:v>
      </x:c>
      <x:c r="B238" s="25" t="inlineStr">
        <x:is>
          <x:t xml:space="preserve">Women's</x:t>
        </x:is>
      </x:c>
      <x:c r="C238" s="25" t="inlineStr">
        <x:is>
          <x:t xml:space="preserve">G.W. Hillyard</x:t>
        </x:is>
      </x:c>
      <x:c r="D238" s="25" t="inlineStr">
        <x:is>
          <x:t xml:space="preserve">GBR</x:t>
        </x:is>
      </x:c>
      <x:c r="E238" s="25" t="inlineStr">
        <x:is>
          <x:t xml:space="preserve">United Kingdom</x:t>
        </x:is>
      </x:c>
      <x:c r="H238" s="22" t="inlineStr">
        <x:is>
          <x:t xml:space="preserve">5-7, 7-5, 6-2</x:t>
        </x:is>
      </x:c>
      <x:c r="I238" s="22" t="n">
        <x:v>5</x:v>
      </x:c>
      <x:c r="J238" s="29" t="n">
        <x:v>7</x:v>
      </x:c>
      <x:c r="K238" s="29" t="n">
        <x:v>7</x:v>
      </x:c>
      <x:c r="L238" s="29" t="n">
        <x:v>5</x:v>
      </x:c>
      <x:c r="M238" s="29" t="n">
        <x:v>6</x:v>
      </x:c>
      <x:c r="N238" s="29" t="n">
        <x:v>2</x:v>
      </x:c>
      <x:c r="S238" s="25" t="inlineStr">
        <x:is>
          <x:t xml:space="preserve">C.R. Cooper</x:t>
        </x:is>
      </x:c>
      <x:c r="T238" s="25" t="inlineStr">
        <x:is>
          <x:t xml:space="preserve">GBR</x:t>
        </x:is>
      </x:c>
      <x:c r="U238" s="25" t="inlineStr">
        <x:is>
          <x:t xml:space="preserve">United Kingdom</x:t>
        </x:is>
      </x:c>
    </x:row>
    <x:row r="239">
      <x:c r="A239" t="n">
        <x:v>1897</x:v>
      </x:c>
      <x:c r="B239" s="25" t="inlineStr">
        <x:is>
          <x:t xml:space="preserve">Men's</x:t>
        </x:is>
      </x:c>
      <x:c r="C239" s="25" t="inlineStr">
        <x:is>
          <x:t xml:space="preserve">R.F. Doherty</x:t>
        </x:is>
      </x:c>
      <x:c r="D239" s="25" t="inlineStr">
        <x:is>
          <x:t xml:space="preserve">GBR</x:t>
        </x:is>
      </x:c>
      <x:c r="E239" s="25" t="inlineStr">
        <x:is>
          <x:t xml:space="preserve">United Kingdom</x:t>
        </x:is>
      </x:c>
      <x:c r="G239" s="22" t="n">
        <x:v>67</x:v>
      </x:c>
      <x:c r="H239" s="22" t="inlineStr">
        <x:is>
          <x:t xml:space="preserve">6-4, 6-4, 6-3</x:t>
        </x:is>
      </x:c>
      <x:c r="I239" s="22" t="n">
        <x:v>6</x:v>
      </x:c>
      <x:c r="J239" s="29" t="n">
        <x:v>4</x:v>
      </x:c>
      <x:c r="K239" s="29" t="n">
        <x:v>6</x:v>
      </x:c>
      <x:c r="L239" s="29" t="n">
        <x:v>4</x:v>
      </x:c>
      <x:c r="M239" s="29" t="n">
        <x:v>6</x:v>
      </x:c>
      <x:c r="N239" s="29" t="n">
        <x:v>3</x:v>
      </x:c>
      <x:c r="S239" s="25" t="inlineStr">
        <x:is>
          <x:t xml:space="preserve">H.S. Mahony</x:t>
        </x:is>
      </x:c>
      <x:c r="T239" s="25" t="inlineStr">
        <x:is>
          <x:t xml:space="preserve">GBR</x:t>
        </x:is>
      </x:c>
      <x:c r="U239" s="25" t="inlineStr">
        <x:is>
          <x:t xml:space="preserve">United Kingdom</x:t>
        </x:is>
      </x:c>
    </x:row>
    <x:row r="240">
      <x:c r="A240" t="n">
        <x:v>1896</x:v>
      </x:c>
      <x:c r="B240" s="25" t="inlineStr">
        <x:is>
          <x:t xml:space="preserve">Women's</x:t>
        </x:is>
      </x:c>
      <x:c r="C240" s="25" t="inlineStr">
        <x:is>
          <x:t xml:space="preserve">C.R. Cooper</x:t>
        </x:is>
      </x:c>
      <x:c r="D240" s="25" t="inlineStr">
        <x:is>
          <x:t xml:space="preserve">GBR</x:t>
        </x:is>
      </x:c>
      <x:c r="E240" s="25" t="inlineStr">
        <x:is>
          <x:t xml:space="preserve">United Kingdom</x:t>
        </x:is>
      </x:c>
      <x:c r="H240" s="22" t="inlineStr">
        <x:is>
          <x:t xml:space="preserve">6-2, 6-3</x:t>
        </x:is>
      </x:c>
      <x:c r="I240" s="22" t="n">
        <x:v>6</x:v>
      </x:c>
      <x:c r="J240" s="29" t="n">
        <x:v>2</x:v>
      </x:c>
      <x:c r="K240" s="29" t="n">
        <x:v>6</x:v>
      </x:c>
      <x:c r="L240" s="29" t="n">
        <x:v>3</x:v>
      </x:c>
      <x:c r="S240" s="25" t="inlineStr">
        <x:is>
          <x:t xml:space="preserve">W.H. Pickering</x:t>
        </x:is>
      </x:c>
      <x:c r="T240" s="25" t="inlineStr">
        <x:is>
          <x:t xml:space="preserve">GBR</x:t>
        </x:is>
      </x:c>
      <x:c r="U240" s="25" t="inlineStr">
        <x:is>
          <x:t xml:space="preserve">United Kingdom</x:t>
        </x:is>
      </x:c>
    </x:row>
    <x:row r="241">
      <x:c r="A241" t="n">
        <x:v>1896</x:v>
      </x:c>
      <x:c r="B241" s="25" t="inlineStr">
        <x:is>
          <x:t xml:space="preserve">Men's</x:t>
        </x:is>
      </x:c>
      <x:c r="C241" s="25" t="inlineStr">
        <x:is>
          <x:t xml:space="preserve">H.S. Mahony</x:t>
        </x:is>
      </x:c>
      <x:c r="D241" s="25" t="inlineStr">
        <x:is>
          <x:t xml:space="preserve">GBR</x:t>
        </x:is>
      </x:c>
      <x:c r="E241" s="25" t="inlineStr">
        <x:is>
          <x:t xml:space="preserve">United Kingdom</x:t>
        </x:is>
      </x:c>
      <x:c r="G241" s="22" t="n">
        <x:v>120</x:v>
      </x:c>
      <x:c r="H241" s="22" t="inlineStr">
        <x:is>
          <x:t xml:space="preserve">6-2, 6-8, 5-7, 8-6, 6-3</x:t>
        </x:is>
      </x:c>
      <x:c r="I241" s="22" t="n">
        <x:v>6</x:v>
      </x:c>
      <x:c r="J241" s="29" t="n">
        <x:v>2</x:v>
      </x:c>
      <x:c r="K241" s="29" t="n">
        <x:v>6</x:v>
      </x:c>
      <x:c r="L241" s="29" t="n">
        <x:v>8</x:v>
      </x:c>
      <x:c r="M241" s="29" t="n">
        <x:v>5</x:v>
      </x:c>
      <x:c r="N241" s="29" t="n">
        <x:v>7</x:v>
      </x:c>
      <x:c r="O241" s="29" t="n">
        <x:v>8</x:v>
      </x:c>
      <x:c r="P241" s="29" t="n">
        <x:v>6</x:v>
      </x:c>
      <x:c r="Q241" s="22" t="n">
        <x:v>6</x:v>
      </x:c>
      <x:c r="R241" s="29" t="n">
        <x:v>3</x:v>
      </x:c>
      <x:c r="S241" s="25" t="inlineStr">
        <x:is>
          <x:t xml:space="preserve">W. Baddeley</x:t>
        </x:is>
      </x:c>
      <x:c r="T241" s="25" t="inlineStr">
        <x:is>
          <x:t xml:space="preserve">GBR</x:t>
        </x:is>
      </x:c>
      <x:c r="U241" s="25" t="inlineStr">
        <x:is>
          <x:t xml:space="preserve">United Kingdom</x:t>
        </x:is>
      </x:c>
    </x:row>
    <x:row r="242">
      <x:c r="A242" t="n">
        <x:v>1895</x:v>
      </x:c>
      <x:c r="B242" s="25" t="inlineStr">
        <x:is>
          <x:t xml:space="preserve">Women's</x:t>
        </x:is>
      </x:c>
      <x:c r="C242" s="25" t="inlineStr">
        <x:is>
          <x:t xml:space="preserve">C.R. Cooper</x:t>
        </x:is>
      </x:c>
      <x:c r="D242" s="25" t="inlineStr">
        <x:is>
          <x:t xml:space="preserve">GBR</x:t>
        </x:is>
      </x:c>
      <x:c r="E242" s="25" t="inlineStr">
        <x:is>
          <x:t xml:space="preserve">United Kingdom</x:t>
        </x:is>
      </x:c>
      <x:c r="H242" s="22" t="inlineStr">
        <x:is>
          <x:t xml:space="preserve">7-5, 8-6</x:t>
        </x:is>
      </x:c>
      <x:c r="I242" s="22" t="n">
        <x:v>7</x:v>
      </x:c>
      <x:c r="J242" s="29" t="n">
        <x:v>5</x:v>
      </x:c>
      <x:c r="K242" s="29" t="n">
        <x:v>8</x:v>
      </x:c>
      <x:c r="L242" s="29" t="n">
        <x:v>6</x:v>
      </x:c>
      <x:c r="S242" s="25" t="inlineStr">
        <x:is>
          <x:t xml:space="preserve">H. Jackson</x:t>
        </x:is>
      </x:c>
      <x:c r="T242" s="25" t="inlineStr">
        <x:is>
          <x:t xml:space="preserve">GBR</x:t>
        </x:is>
      </x:c>
      <x:c r="U242" s="25" t="inlineStr">
        <x:is>
          <x:t xml:space="preserve">United Kingdom</x:t>
        </x:is>
      </x:c>
    </x:row>
    <x:row r="243">
      <x:c r="A243" t="n">
        <x:v>1895</x:v>
      </x:c>
      <x:c r="B243" s="25" t="inlineStr">
        <x:is>
          <x:t xml:space="preserve">Men's</x:t>
        </x:is>
      </x:c>
      <x:c r="C243" s="25" t="inlineStr">
        <x:is>
          <x:t xml:space="preserve">W. Baddeley</x:t>
        </x:is>
      </x:c>
      <x:c r="D243" s="25" t="inlineStr">
        <x:is>
          <x:t xml:space="preserve">GBR</x:t>
        </x:is>
      </x:c>
      <x:c r="E243" s="25" t="inlineStr">
        <x:is>
          <x:t xml:space="preserve">United Kingdom</x:t>
        </x:is>
      </x:c>
      <x:c r="G243" s="22" t="n">
        <x:v>95</x:v>
      </x:c>
      <x:c r="H243" s="22" t="inlineStr">
        <x:is>
          <x:t xml:space="preserve">4-6, 2-6, 8-6, 6-2, 6-3</x:t>
        </x:is>
      </x:c>
      <x:c r="I243" s="22" t="n">
        <x:v>4</x:v>
      </x:c>
      <x:c r="J243" s="29" t="n">
        <x:v>6</x:v>
      </x:c>
      <x:c r="K243" s="29" t="n">
        <x:v>2</x:v>
      </x:c>
      <x:c r="L243" s="29" t="n">
        <x:v>6</x:v>
      </x:c>
      <x:c r="M243" s="29" t="n">
        <x:v>8</x:v>
      </x:c>
      <x:c r="N243" s="29" t="n">
        <x:v>6</x:v>
      </x:c>
      <x:c r="O243" s="29" t="n">
        <x:v>6</x:v>
      </x:c>
      <x:c r="P243" s="29" t="n">
        <x:v>2</x:v>
      </x:c>
      <x:c r="Q243" s="22" t="n">
        <x:v>6</x:v>
      </x:c>
      <x:c r="R243" s="29" t="n">
        <x:v>3</x:v>
      </x:c>
      <x:c r="S243" s="25" t="inlineStr">
        <x:is>
          <x:t xml:space="preserve">W.V. Eaves</x:t>
        </x:is>
      </x:c>
      <x:c r="T243" s="25" t="inlineStr">
        <x:is>
          <x:t xml:space="preserve">GBR</x:t>
        </x:is>
      </x:c>
      <x:c r="U243" s="25" t="inlineStr">
        <x:is>
          <x:t xml:space="preserve">United Kingdom</x:t>
        </x:is>
      </x:c>
    </x:row>
    <x:row r="244">
      <x:c r="A244" t="n">
        <x:v>1894</x:v>
      </x:c>
      <x:c r="B244" s="25" t="inlineStr">
        <x:is>
          <x:t xml:space="preserve">Women's</x:t>
        </x:is>
      </x:c>
      <x:c r="C244" s="25" t="inlineStr">
        <x:is>
          <x:t xml:space="preserve">G.W. Hillyard</x:t>
        </x:is>
      </x:c>
      <x:c r="D244" s="25" t="inlineStr">
        <x:is>
          <x:t xml:space="preserve">GBR</x:t>
        </x:is>
      </x:c>
      <x:c r="E244" s="25" t="inlineStr">
        <x:is>
          <x:t xml:space="preserve">United Kingdom</x:t>
        </x:is>
      </x:c>
      <x:c r="H244" s="22" t="inlineStr">
        <x:is>
          <x:t xml:space="preserve">6-1, 6-1</x:t>
        </x:is>
      </x:c>
      <x:c r="I244" s="22" t="n">
        <x:v>6</x:v>
      </x:c>
      <x:c r="J244" s="29" t="n">
        <x:v>1</x:v>
      </x:c>
      <x:c r="K244" s="29" t="n">
        <x:v>6</x:v>
      </x:c>
      <x:c r="L244" s="29" t="n">
        <x:v>1</x:v>
      </x:c>
      <x:c r="S244" s="25" t="inlineStr">
        <x:is>
          <x:t xml:space="preserve">E.L. Austin</x:t>
        </x:is>
      </x:c>
      <x:c r="T244" s="25" t="inlineStr">
        <x:is>
          <x:t xml:space="preserve">GBR</x:t>
        </x:is>
      </x:c>
      <x:c r="U244" s="25" t="inlineStr">
        <x:is>
          <x:t xml:space="preserve">United Kingdom</x:t>
        </x:is>
      </x:c>
    </x:row>
    <x:row r="245">
      <x:c r="A245" t="n">
        <x:v>1894</x:v>
      </x:c>
      <x:c r="B245" s="25" t="inlineStr">
        <x:is>
          <x:t xml:space="preserve">Men's</x:t>
        </x:is>
      </x:c>
      <x:c r="C245" s="25" t="inlineStr">
        <x:is>
          <x:t xml:space="preserve">J. Pim</x:t>
        </x:is>
      </x:c>
      <x:c r="D245" s="25" t="inlineStr">
        <x:is>
          <x:t xml:space="preserve">GBR</x:t>
        </x:is>
      </x:c>
      <x:c r="E245" s="25" t="inlineStr">
        <x:is>
          <x:t xml:space="preserve">United Kingdom</x:t>
        </x:is>
      </x:c>
      <x:c r="G245" s="22" t="n">
        <x:v>117</x:v>
      </x:c>
      <x:c r="H245" s="22" t="inlineStr">
        <x:is>
          <x:t xml:space="preserve">10-8, 6-2, 8-6</x:t>
        </x:is>
      </x:c>
      <x:c r="I245" s="22" t="n">
        <x:v>10</x:v>
      </x:c>
      <x:c r="J245" s="29" t="n">
        <x:v>8</x:v>
      </x:c>
      <x:c r="K245" s="29" t="n">
        <x:v>6</x:v>
      </x:c>
      <x:c r="L245" s="29" t="n">
        <x:v>2</x:v>
      </x:c>
      <x:c r="M245" s="29" t="n">
        <x:v>8</x:v>
      </x:c>
      <x:c r="N245" s="29" t="n">
        <x:v>6</x:v>
      </x:c>
      <x:c r="S245" s="25" t="inlineStr">
        <x:is>
          <x:t xml:space="preserve">W. Baddeley</x:t>
        </x:is>
      </x:c>
      <x:c r="T245" s="25" t="inlineStr">
        <x:is>
          <x:t xml:space="preserve">GBR</x:t>
        </x:is>
      </x:c>
      <x:c r="U245" s="25" t="inlineStr">
        <x:is>
          <x:t xml:space="preserve">United Kingdom</x:t>
        </x:is>
      </x:c>
    </x:row>
    <x:row r="246">
      <x:c r="A246" t="n">
        <x:v>1893</x:v>
      </x:c>
      <x:c r="B246" s="25" t="inlineStr">
        <x:is>
          <x:t xml:space="preserve">Women's</x:t>
        </x:is>
      </x:c>
      <x:c r="C246" s="25" t="inlineStr">
        <x:is>
          <x:t xml:space="preserve">C. Dod</x:t>
        </x:is>
      </x:c>
      <x:c r="D246" s="25" t="inlineStr">
        <x:is>
          <x:t xml:space="preserve">GBR</x:t>
        </x:is>
      </x:c>
      <x:c r="E246" s="25" t="inlineStr">
        <x:is>
          <x:t xml:space="preserve">United Kingdom</x:t>
        </x:is>
      </x:c>
      <x:c r="H246" s="22" t="inlineStr">
        <x:is>
          <x:t xml:space="preserve">6-8, 6-1, 6-4</x:t>
        </x:is>
      </x:c>
      <x:c r="I246" s="22" t="n">
        <x:v>6</x:v>
      </x:c>
      <x:c r="J246" s="29" t="n">
        <x:v>8</x:v>
      </x:c>
      <x:c r="K246" s="29" t="n">
        <x:v>6</x:v>
      </x:c>
      <x:c r="L246" s="29" t="n">
        <x:v>1</x:v>
      </x:c>
      <x:c r="M246" s="29" t="n">
        <x:v>6</x:v>
      </x:c>
      <x:c r="N246" s="29" t="n">
        <x:v>4</x:v>
      </x:c>
      <x:c r="S246" s="25" t="inlineStr">
        <x:is>
          <x:t xml:space="preserve">G.W. Hillyard</x:t>
        </x:is>
      </x:c>
      <x:c r="T246" s="25" t="inlineStr">
        <x:is>
          <x:t xml:space="preserve">GBR</x:t>
        </x:is>
      </x:c>
      <x:c r="U246" s="25" t="inlineStr">
        <x:is>
          <x:t xml:space="preserve">United Kingdom</x:t>
        </x:is>
      </x:c>
    </x:row>
    <x:row r="247">
      <x:c r="A247" t="n">
        <x:v>1893</x:v>
      </x:c>
      <x:c r="B247" s="25" t="inlineStr">
        <x:is>
          <x:t xml:space="preserve">Men's</x:t>
        </x:is>
      </x:c>
      <x:c r="C247" s="25" t="inlineStr">
        <x:is>
          <x:t xml:space="preserve">J. Pim</x:t>
        </x:is>
      </x:c>
      <x:c r="D247" s="25" t="inlineStr">
        <x:is>
          <x:t xml:space="preserve">GBR</x:t>
        </x:is>
      </x:c>
      <x:c r="E247" s="25" t="inlineStr">
        <x:is>
          <x:t xml:space="preserve">United Kingdom</x:t>
        </x:is>
      </x:c>
      <x:c r="G247" s="22" t="n">
        <x:v>65</x:v>
      </x:c>
      <x:c r="H247" s="22" t="inlineStr">
        <x:is>
          <x:t xml:space="preserve">3-6, 6-1, 6-3, 6-2</x:t>
        </x:is>
      </x:c>
      <x:c r="I247" s="22" t="n">
        <x:v>3</x:v>
      </x:c>
      <x:c r="J247" s="29" t="n">
        <x:v>6</x:v>
      </x:c>
      <x:c r="K247" s="29" t="n">
        <x:v>6</x:v>
      </x:c>
      <x:c r="L247" s="29" t="n">
        <x:v>1</x:v>
      </x:c>
      <x:c r="M247" s="29" t="n">
        <x:v>6</x:v>
      </x:c>
      <x:c r="N247" s="29" t="n">
        <x:v>3</x:v>
      </x:c>
      <x:c r="O247" s="29" t="n">
        <x:v>6</x:v>
      </x:c>
      <x:c r="P247" s="29" t="n">
        <x:v>2</x:v>
      </x:c>
      <x:c r="S247" s="25" t="inlineStr">
        <x:is>
          <x:t xml:space="preserve">W. Baddeley</x:t>
        </x:is>
      </x:c>
      <x:c r="T247" s="25" t="inlineStr">
        <x:is>
          <x:t xml:space="preserve">GBR</x:t>
        </x:is>
      </x:c>
      <x:c r="U247" s="25" t="inlineStr">
        <x:is>
          <x:t xml:space="preserve">United Kingdom</x:t>
        </x:is>
      </x:c>
    </x:row>
    <x:row r="248">
      <x:c r="A248" t="n">
        <x:v>1892</x:v>
      </x:c>
      <x:c r="B248" s="25" t="inlineStr">
        <x:is>
          <x:t xml:space="preserve">Women's</x:t>
        </x:is>
      </x:c>
      <x:c r="C248" s="25" t="inlineStr">
        <x:is>
          <x:t xml:space="preserve">C. Dod</x:t>
        </x:is>
      </x:c>
      <x:c r="D248" s="25" t="inlineStr">
        <x:is>
          <x:t xml:space="preserve">GBR</x:t>
        </x:is>
      </x:c>
      <x:c r="E248" s="25" t="inlineStr">
        <x:is>
          <x:t xml:space="preserve">United Kingdom</x:t>
        </x:is>
      </x:c>
      <x:c r="H248" s="22" t="inlineStr">
        <x:is>
          <x:t xml:space="preserve">6-1, 6-1</x:t>
        </x:is>
      </x:c>
      <x:c r="I248" s="22" t="n">
        <x:v>6</x:v>
      </x:c>
      <x:c r="J248" s="29" t="n">
        <x:v>1</x:v>
      </x:c>
      <x:c r="K248" s="29" t="n">
        <x:v>6</x:v>
      </x:c>
      <x:c r="L248" s="29" t="n">
        <x:v>1</x:v>
      </x:c>
      <x:c r="S248" s="25" t="inlineStr">
        <x:is>
          <x:t xml:space="preserve">G.W. Hillyard</x:t>
        </x:is>
      </x:c>
      <x:c r="T248" s="25" t="inlineStr">
        <x:is>
          <x:t xml:space="preserve">GBR</x:t>
        </x:is>
      </x:c>
      <x:c r="U248" s="25" t="inlineStr">
        <x:is>
          <x:t xml:space="preserve">United Kingdom</x:t>
        </x:is>
      </x:c>
    </x:row>
    <x:row r="249">
      <x:c r="A249" t="n">
        <x:v>1892</x:v>
      </x:c>
      <x:c r="B249" s="25" t="inlineStr">
        <x:is>
          <x:t xml:space="preserve">Men's</x:t>
        </x:is>
      </x:c>
      <x:c r="C249" s="25" t="inlineStr">
        <x:is>
          <x:t xml:space="preserve">W. Baddeley</x:t>
        </x:is>
      </x:c>
      <x:c r="D249" s="25" t="inlineStr">
        <x:is>
          <x:t xml:space="preserve">GBR</x:t>
        </x:is>
      </x:c>
      <x:c r="E249" s="25" t="inlineStr">
        <x:is>
          <x:t xml:space="preserve">United Kingdom</x:t>
        </x:is>
      </x:c>
      <x:c r="G249" s="22" t="n">
        <x:v>75</x:v>
      </x:c>
      <x:c r="H249" s="22" t="inlineStr">
        <x:is>
          <x:t xml:space="preserve">4-6, 6-3, 6-3, 6-2</x:t>
        </x:is>
      </x:c>
      <x:c r="I249" s="22" t="n">
        <x:v>4</x:v>
      </x:c>
      <x:c r="J249" s="29" t="n">
        <x:v>6</x:v>
      </x:c>
      <x:c r="K249" s="29" t="n">
        <x:v>6</x:v>
      </x:c>
      <x:c r="L249" s="29" t="n">
        <x:v>3</x:v>
      </x:c>
      <x:c r="M249" s="29" t="n">
        <x:v>6</x:v>
      </x:c>
      <x:c r="N249" s="29" t="n">
        <x:v>3</x:v>
      </x:c>
      <x:c r="O249" s="29" t="n">
        <x:v>6</x:v>
      </x:c>
      <x:c r="P249" s="29" t="n">
        <x:v>2</x:v>
      </x:c>
      <x:c r="S249" s="25" t="inlineStr">
        <x:is>
          <x:t xml:space="preserve">J. Pim</x:t>
        </x:is>
      </x:c>
      <x:c r="T249" s="25" t="inlineStr">
        <x:is>
          <x:t xml:space="preserve">GBR</x:t>
        </x:is>
      </x:c>
      <x:c r="U249" s="25" t="inlineStr">
        <x:is>
          <x:t xml:space="preserve">United Kingdom</x:t>
        </x:is>
      </x:c>
    </x:row>
    <x:row r="250">
      <x:c r="A250" t="n">
        <x:v>1891</x:v>
      </x:c>
      <x:c r="B250" s="25" t="inlineStr">
        <x:is>
          <x:t xml:space="preserve">Women's</x:t>
        </x:is>
      </x:c>
      <x:c r="C250" s="25" t="inlineStr">
        <x:is>
          <x:t xml:space="preserve">C. Dod</x:t>
        </x:is>
      </x:c>
      <x:c r="D250" s="25" t="inlineStr">
        <x:is>
          <x:t xml:space="preserve">GBR</x:t>
        </x:is>
      </x:c>
      <x:c r="E250" s="25" t="inlineStr">
        <x:is>
          <x:t xml:space="preserve">United Kingdom</x:t>
        </x:is>
      </x:c>
      <x:c r="H250" s="22" t="inlineStr">
        <x:is>
          <x:t xml:space="preserve">6-2, 6-1</x:t>
        </x:is>
      </x:c>
      <x:c r="I250" s="22" t="n">
        <x:v>6</x:v>
      </x:c>
      <x:c r="J250" s="29" t="n">
        <x:v>2</x:v>
      </x:c>
      <x:c r="K250" s="29" t="n">
        <x:v>6</x:v>
      </x:c>
      <x:c r="L250" s="29" t="n">
        <x:v>1</x:v>
      </x:c>
      <x:c r="S250" s="25" t="inlineStr">
        <x:is>
          <x:t xml:space="preserve">G.W. Hillyard</x:t>
        </x:is>
      </x:c>
      <x:c r="T250" s="25" t="inlineStr">
        <x:is>
          <x:t xml:space="preserve">GBR</x:t>
        </x:is>
      </x:c>
      <x:c r="U250" s="25" t="inlineStr">
        <x:is>
          <x:t xml:space="preserve">United Kingdom</x:t>
        </x:is>
      </x:c>
    </x:row>
    <x:row r="251">
      <x:c r="A251" t="n">
        <x:v>1891</x:v>
      </x:c>
      <x:c r="B251" s="25" t="inlineStr">
        <x:is>
          <x:t xml:space="preserve">Men's</x:t>
        </x:is>
      </x:c>
      <x:c r="C251" s="25" t="inlineStr">
        <x:is>
          <x:t xml:space="preserve">W. Baddeley</x:t>
        </x:is>
      </x:c>
      <x:c r="D251" s="25" t="inlineStr">
        <x:is>
          <x:t xml:space="preserve">GBR</x:t>
        </x:is>
      </x:c>
      <x:c r="E251" s="25" t="inlineStr">
        <x:is>
          <x:t xml:space="preserve">United Kingdom</x:t>
        </x:is>
      </x:c>
      <x:c r="H251" s="22" t="inlineStr">
        <x:is>
          <x:t xml:space="preserve">6-4, 1-6, 7-5, 6-0</x:t>
        </x:is>
      </x:c>
      <x:c r="I251" s="22" t="n">
        <x:v>6</x:v>
      </x:c>
      <x:c r="J251" s="29" t="n">
        <x:v>4</x:v>
      </x:c>
      <x:c r="K251" s="29" t="n">
        <x:v>1</x:v>
      </x:c>
      <x:c r="L251" s="29" t="n">
        <x:v>6</x:v>
      </x:c>
      <x:c r="M251" s="29" t="n">
        <x:v>7</x:v>
      </x:c>
      <x:c r="N251" s="29" t="n">
        <x:v>5</x:v>
      </x:c>
      <x:c r="O251" s="29" t="n">
        <x:v>6</x:v>
      </x:c>
      <x:c r="P251" s="29" t="n">
        <x:v>0</x:v>
      </x:c>
      <x:c r="S251" s="25" t="inlineStr">
        <x:is>
          <x:t xml:space="preserve">J. Pim</x:t>
        </x:is>
      </x:c>
      <x:c r="T251" s="25" t="inlineStr">
        <x:is>
          <x:t xml:space="preserve">GBR</x:t>
        </x:is>
      </x:c>
      <x:c r="U251" s="25" t="inlineStr">
        <x:is>
          <x:t xml:space="preserve">United Kingdom</x:t>
        </x:is>
      </x:c>
    </x:row>
    <x:row r="252">
      <x:c r="A252" t="n">
        <x:v>1890</x:v>
      </x:c>
      <x:c r="B252" s="25" t="inlineStr">
        <x:is>
          <x:t xml:space="preserve">Women's</x:t>
        </x:is>
      </x:c>
      <x:c r="C252" s="25" t="inlineStr">
        <x:is>
          <x:t xml:space="preserve">H.G.B. Rice</x:t>
        </x:is>
      </x:c>
      <x:c r="D252" s="25" t="inlineStr">
        <x:is>
          <x:t xml:space="preserve">GBR</x:t>
        </x:is>
      </x:c>
      <x:c r="E252" s="25" t="inlineStr">
        <x:is>
          <x:t xml:space="preserve">United Kingdom</x:t>
        </x:is>
      </x:c>
      <x:c r="H252" s="22" t="inlineStr">
        <x:is>
          <x:t xml:space="preserve">6-4, 6-1</x:t>
        </x:is>
      </x:c>
      <x:c r="I252" s="22" t="n">
        <x:v>6</x:v>
      </x:c>
      <x:c r="J252" s="29" t="n">
        <x:v>4</x:v>
      </x:c>
      <x:c r="K252" s="29" t="n">
        <x:v>6</x:v>
      </x:c>
      <x:c r="L252" s="29" t="n">
        <x:v>1</x:v>
      </x:c>
      <x:c r="S252" s="25" t="inlineStr">
        <x:is>
          <x:t xml:space="preserve">M. Jacks</x:t>
        </x:is>
      </x:c>
      <x:c r="T252" s="25" t="inlineStr">
        <x:is>
          <x:t xml:space="preserve">GBR</x:t>
        </x:is>
      </x:c>
      <x:c r="U252" s="25" t="inlineStr">
        <x:is>
          <x:t xml:space="preserve">United Kingdom</x:t>
        </x:is>
      </x:c>
    </x:row>
    <x:row r="253">
      <x:c r="A253" t="n">
        <x:v>1890</x:v>
      </x:c>
      <x:c r="B253" s="25" t="inlineStr">
        <x:is>
          <x:t xml:space="preserve">Men's</x:t>
        </x:is>
      </x:c>
      <x:c r="C253" s="25" t="inlineStr">
        <x:is>
          <x:t xml:space="preserve">W.J. Hamilton</x:t>
        </x:is>
      </x:c>
      <x:c r="D253" s="25" t="inlineStr">
        <x:is>
          <x:t xml:space="preserve">GBR</x:t>
        </x:is>
      </x:c>
      <x:c r="E253" s="25" t="inlineStr">
        <x:is>
          <x:t xml:space="preserve">United Kingdom</x:t>
        </x:is>
      </x:c>
      <x:c r="G253" s="22" t="n">
        <x:v>96</x:v>
      </x:c>
      <x:c r="H253" s="22" t="inlineStr">
        <x:is>
          <x:t xml:space="preserve">6-8, 6-2, 3-6, 6-1, 6-1</x:t>
        </x:is>
      </x:c>
      <x:c r="I253" s="22" t="n">
        <x:v>6</x:v>
      </x:c>
      <x:c r="J253" s="29" t="n">
        <x:v>8</x:v>
      </x:c>
      <x:c r="K253" s="29" t="n">
        <x:v>6</x:v>
      </x:c>
      <x:c r="L253" s="29" t="n">
        <x:v>2</x:v>
      </x:c>
      <x:c r="M253" s="29" t="n">
        <x:v>3</x:v>
      </x:c>
      <x:c r="N253" s="29" t="n">
        <x:v>6</x:v>
      </x:c>
      <x:c r="O253" s="29" t="n">
        <x:v>6</x:v>
      </x:c>
      <x:c r="P253" s="29" t="n">
        <x:v>1</x:v>
      </x:c>
      <x:c r="Q253" s="22" t="n">
        <x:v>6</x:v>
      </x:c>
      <x:c r="R253" s="29" t="n">
        <x:v>1</x:v>
      </x:c>
      <x:c r="S253" s="25" t="inlineStr">
        <x:is>
          <x:t xml:space="preserve">W.C. Renshaw</x:t>
        </x:is>
      </x:c>
      <x:c r="T253" s="25" t="inlineStr">
        <x:is>
          <x:t xml:space="preserve">GBR</x:t>
        </x:is>
      </x:c>
      <x:c r="U253" s="25" t="inlineStr">
        <x:is>
          <x:t xml:space="preserve">United Kingdom</x:t>
        </x:is>
      </x:c>
    </x:row>
    <x:row r="254">
      <x:c r="A254" t="n">
        <x:v>1889</x:v>
      </x:c>
      <x:c r="B254" s="25" t="inlineStr">
        <x:is>
          <x:t xml:space="preserve">Women's</x:t>
        </x:is>
      </x:c>
      <x:c r="C254" s="25" t="inlineStr">
        <x:is>
          <x:t xml:space="preserve">G.W. Hillyard</x:t>
        </x:is>
      </x:c>
      <x:c r="D254" s="25" t="inlineStr">
        <x:is>
          <x:t xml:space="preserve">GBR</x:t>
        </x:is>
      </x:c>
      <x:c r="E254" s="25" t="inlineStr">
        <x:is>
          <x:t xml:space="preserve">United Kingdom</x:t>
        </x:is>
      </x:c>
      <x:c r="H254" s="22" t="inlineStr">
        <x:is>
          <x:t xml:space="preserve">4-6, 8-6, 6-4</x:t>
        </x:is>
      </x:c>
      <x:c r="I254" s="22" t="n">
        <x:v>4</x:v>
      </x:c>
      <x:c r="J254" s="29" t="n">
        <x:v>6</x:v>
      </x:c>
      <x:c r="K254" s="29" t="n">
        <x:v>8</x:v>
      </x:c>
      <x:c r="L254" s="29" t="n">
        <x:v>6</x:v>
      </x:c>
      <x:c r="M254" s="29" t="n">
        <x:v>6</x:v>
      </x:c>
      <x:c r="N254" s="29" t="n">
        <x:v>4</x:v>
      </x:c>
      <x:c r="S254" s="25" t="inlineStr">
        <x:is>
          <x:t xml:space="preserve">H.G.B. Rice</x:t>
        </x:is>
      </x:c>
      <x:c r="T254" s="25" t="inlineStr">
        <x:is>
          <x:t xml:space="preserve">GBR</x:t>
        </x:is>
      </x:c>
      <x:c r="U254" s="25" t="inlineStr">
        <x:is>
          <x:t xml:space="preserve">United Kingdom</x:t>
        </x:is>
      </x:c>
    </x:row>
    <x:row r="255">
      <x:c r="A255" t="n">
        <x:v>1889</x:v>
      </x:c>
      <x:c r="B255" s="25" t="inlineStr">
        <x:is>
          <x:t xml:space="preserve">Men's</x:t>
        </x:is>
      </x:c>
      <x:c r="C255" s="25" t="inlineStr">
        <x:is>
          <x:t xml:space="preserve">W.C. Renshaw</x:t>
        </x:is>
      </x:c>
      <x:c r="D255" s="25" t="inlineStr">
        <x:is>
          <x:t xml:space="preserve">GBR</x:t>
        </x:is>
      </x:c>
      <x:c r="E255" s="25" t="inlineStr">
        <x:is>
          <x:t xml:space="preserve">United Kingdom</x:t>
        </x:is>
      </x:c>
      <x:c r="G255" s="22" t="n">
        <x:v>63</x:v>
      </x:c>
      <x:c r="H255" s="22" t="inlineStr">
        <x:is>
          <x:t xml:space="preserve">6-4, 6-1, 3-6, 6-0</x:t>
        </x:is>
      </x:c>
      <x:c r="I255" s="22" t="n">
        <x:v>6</x:v>
      </x:c>
      <x:c r="J255" s="29" t="n">
        <x:v>4</x:v>
      </x:c>
      <x:c r="K255" s="29" t="n">
        <x:v>6</x:v>
      </x:c>
      <x:c r="L255" s="29" t="n">
        <x:v>1</x:v>
      </x:c>
      <x:c r="M255" s="29" t="n">
        <x:v>3</x:v>
      </x:c>
      <x:c r="N255" s="29" t="n">
        <x:v>6</x:v>
      </x:c>
      <x:c r="O255" s="29" t="n">
        <x:v>6</x:v>
      </x:c>
      <x:c r="P255" s="29" t="n">
        <x:v>0</x:v>
      </x:c>
      <x:c r="S255" s="25" t="inlineStr">
        <x:is>
          <x:t xml:space="preserve">J.E. Renshaw</x:t>
        </x:is>
      </x:c>
      <x:c r="T255" s="25" t="inlineStr">
        <x:is>
          <x:t xml:space="preserve">GBR</x:t>
        </x:is>
      </x:c>
      <x:c r="U255" s="25" t="inlineStr">
        <x:is>
          <x:t xml:space="preserve">United Kingdom</x:t>
        </x:is>
      </x:c>
    </x:row>
    <x:row r="256">
      <x:c r="A256" t="n">
        <x:v>1888</x:v>
      </x:c>
      <x:c r="B256" s="25" t="inlineStr">
        <x:is>
          <x:t xml:space="preserve">Women's</x:t>
        </x:is>
      </x:c>
      <x:c r="C256" s="25" t="inlineStr">
        <x:is>
          <x:t xml:space="preserve">C. Dod</x:t>
        </x:is>
      </x:c>
      <x:c r="D256" s="25" t="inlineStr">
        <x:is>
          <x:t xml:space="preserve">GBR</x:t>
        </x:is>
      </x:c>
      <x:c r="E256" s="25" t="inlineStr">
        <x:is>
          <x:t xml:space="preserve">United Kingdom</x:t>
        </x:is>
      </x:c>
      <x:c r="H256" s="22" t="inlineStr">
        <x:is>
          <x:t xml:space="preserve">6-3, 6-3</x:t>
        </x:is>
      </x:c>
      <x:c r="I256" s="22" t="n">
        <x:v>6</x:v>
      </x:c>
      <x:c r="J256" s="29" t="n">
        <x:v>3</x:v>
      </x:c>
      <x:c r="K256" s="29" t="n">
        <x:v>6</x:v>
      </x:c>
      <x:c r="L256" s="29" t="n">
        <x:v>3</x:v>
      </x:c>
      <x:c r="S256" s="25" t="inlineStr">
        <x:is>
          <x:t xml:space="preserve">G.W. Hillyard</x:t>
        </x:is>
      </x:c>
      <x:c r="T256" s="25" t="inlineStr">
        <x:is>
          <x:t xml:space="preserve">GBR</x:t>
        </x:is>
      </x:c>
      <x:c r="U256" s="25" t="inlineStr">
        <x:is>
          <x:t xml:space="preserve">United Kingdom</x:t>
        </x:is>
      </x:c>
    </x:row>
    <x:row r="257">
      <x:c r="A257" t="n">
        <x:v>1888</x:v>
      </x:c>
      <x:c r="B257" s="25" t="inlineStr">
        <x:is>
          <x:t xml:space="preserve">Men's</x:t>
        </x:is>
      </x:c>
      <x:c r="C257" s="25" t="inlineStr">
        <x:is>
          <x:t xml:space="preserve">J.E. Renshaw</x:t>
        </x:is>
      </x:c>
      <x:c r="D257" s="25" t="inlineStr">
        <x:is>
          <x:t xml:space="preserve">GBR</x:t>
        </x:is>
      </x:c>
      <x:c r="E257" s="25" t="inlineStr">
        <x:is>
          <x:t xml:space="preserve">United Kingdom</x:t>
        </x:is>
      </x:c>
      <x:c r="G257" s="22" t="n">
        <x:v>51</x:v>
      </x:c>
      <x:c r="H257" s="22" t="inlineStr">
        <x:is>
          <x:t xml:space="preserve">6-3, 7-5, 6-0</x:t>
        </x:is>
      </x:c>
      <x:c r="I257" s="22" t="n">
        <x:v>6</x:v>
      </x:c>
      <x:c r="J257" s="29" t="n">
        <x:v>3</x:v>
      </x:c>
      <x:c r="K257" s="29" t="n">
        <x:v>7</x:v>
      </x:c>
      <x:c r="L257" s="29" t="n">
        <x:v>5</x:v>
      </x:c>
      <x:c r="M257" s="29" t="n">
        <x:v>6</x:v>
      </x:c>
      <x:c r="N257" s="29" t="n">
        <x:v>0</x:v>
      </x:c>
      <x:c r="S257" s="25" t="inlineStr">
        <x:is>
          <x:t xml:space="preserve">H.F. Lawford</x:t>
        </x:is>
      </x:c>
      <x:c r="T257" s="25" t="inlineStr">
        <x:is>
          <x:t xml:space="preserve">GBR</x:t>
        </x:is>
      </x:c>
      <x:c r="U257" s="25" t="inlineStr">
        <x:is>
          <x:t xml:space="preserve">United Kingdom</x:t>
        </x:is>
      </x:c>
    </x:row>
    <x:row r="258">
      <x:c r="A258" t="n">
        <x:v>1887</x:v>
      </x:c>
      <x:c r="B258" s="25" t="inlineStr">
        <x:is>
          <x:t xml:space="preserve">Women's</x:t>
        </x:is>
      </x:c>
      <x:c r="C258" s="25" t="inlineStr">
        <x:is>
          <x:t xml:space="preserve">C. Dod</x:t>
        </x:is>
      </x:c>
      <x:c r="D258" s="25" t="inlineStr">
        <x:is>
          <x:t xml:space="preserve">GBR</x:t>
        </x:is>
      </x:c>
      <x:c r="E258" s="25" t="inlineStr">
        <x:is>
          <x:t xml:space="preserve">United Kingdom</x:t>
        </x:is>
      </x:c>
      <x:c r="H258" s="22" t="inlineStr">
        <x:is>
          <x:t xml:space="preserve">6-2, 6-0</x:t>
        </x:is>
      </x:c>
      <x:c r="I258" s="22" t="n">
        <x:v>6</x:v>
      </x:c>
      <x:c r="J258" s="29" t="n">
        <x:v>2</x:v>
      </x:c>
      <x:c r="K258" s="29" t="n">
        <x:v>6</x:v>
      </x:c>
      <x:c r="L258" s="29" t="n">
        <x:v>0</x:v>
      </x:c>
      <x:c r="S258" s="25" t="inlineStr">
        <x:is>
          <x:t xml:space="preserve">G.W. Hillyard</x:t>
        </x:is>
      </x:c>
      <x:c r="T258" s="25" t="inlineStr">
        <x:is>
          <x:t xml:space="preserve">GBR</x:t>
        </x:is>
      </x:c>
      <x:c r="U258" s="25" t="inlineStr">
        <x:is>
          <x:t xml:space="preserve">United Kingdom</x:t>
        </x:is>
      </x:c>
    </x:row>
    <x:row r="259">
      <x:c r="A259" t="n">
        <x:v>1887</x:v>
      </x:c>
      <x:c r="B259" s="25" t="inlineStr">
        <x:is>
          <x:t xml:space="preserve">Men's</x:t>
        </x:is>
      </x:c>
      <x:c r="C259" s="25" t="inlineStr">
        <x:is>
          <x:t xml:space="preserve">H.F. Lawford</x:t>
        </x:is>
      </x:c>
      <x:c r="D259" s="25" t="inlineStr">
        <x:is>
          <x:t xml:space="preserve">GBR</x:t>
        </x:is>
      </x:c>
      <x:c r="E259" s="25" t="inlineStr">
        <x:is>
          <x:t xml:space="preserve">United Kingdom</x:t>
        </x:is>
      </x:c>
      <x:c r="G259" s="22" t="n">
        <x:v>120</x:v>
      </x:c>
      <x:c r="H259" s="22" t="inlineStr">
        <x:is>
          <x:t xml:space="preserve">1-6, 6-3, 3-6, 6-4, 6-4</x:t>
        </x:is>
      </x:c>
      <x:c r="I259" s="22" t="n">
        <x:v>1</x:v>
      </x:c>
      <x:c r="J259" s="29" t="n">
        <x:v>6</x:v>
      </x:c>
      <x:c r="K259" s="29" t="n">
        <x:v>6</x:v>
      </x:c>
      <x:c r="L259" s="29" t="n">
        <x:v>3</x:v>
      </x:c>
      <x:c r="M259" s="29" t="n">
        <x:v>3</x:v>
      </x:c>
      <x:c r="N259" s="29" t="n">
        <x:v>6</x:v>
      </x:c>
      <x:c r="O259" s="29" t="n">
        <x:v>6</x:v>
      </x:c>
      <x:c r="P259" s="29" t="n">
        <x:v>4</x:v>
      </x:c>
      <x:c r="Q259" s="22" t="n">
        <x:v>6</x:v>
      </x:c>
      <x:c r="R259" s="29" t="n">
        <x:v>4</x:v>
      </x:c>
      <x:c r="S259" s="25" t="inlineStr">
        <x:is>
          <x:t xml:space="preserve">J.E. Renshaw</x:t>
        </x:is>
      </x:c>
      <x:c r="T259" s="25" t="inlineStr">
        <x:is>
          <x:t xml:space="preserve">GBR</x:t>
        </x:is>
      </x:c>
      <x:c r="U259" s="25" t="inlineStr">
        <x:is>
          <x:t xml:space="preserve">United Kingdom</x:t>
        </x:is>
      </x:c>
    </x:row>
    <x:row r="260">
      <x:c r="A260" t="n">
        <x:v>1886</x:v>
      </x:c>
      <x:c r="B260" s="25" t="inlineStr">
        <x:is>
          <x:t xml:space="preserve">Women's</x:t>
        </x:is>
      </x:c>
      <x:c r="C260" s="25" t="inlineStr">
        <x:is>
          <x:t xml:space="preserve">G.W. Hillyard</x:t>
        </x:is>
      </x:c>
      <x:c r="D260" s="25" t="inlineStr">
        <x:is>
          <x:t xml:space="preserve">GBR</x:t>
        </x:is>
      </x:c>
      <x:c r="E260" s="25" t="inlineStr">
        <x:is>
          <x:t xml:space="preserve">United Kingdom</x:t>
        </x:is>
      </x:c>
      <x:c r="H260" s="22" t="inlineStr">
        <x:is>
          <x:t xml:space="preserve">6-3, 6-3</x:t>
        </x:is>
      </x:c>
      <x:c r="I260" s="22" t="n">
        <x:v>6</x:v>
      </x:c>
      <x:c r="J260" s="29" t="n">
        <x:v>3</x:v>
      </x:c>
      <x:c r="K260" s="29" t="n">
        <x:v>6</x:v>
      </x:c>
      <x:c r="L260" s="29" t="n">
        <x:v>3</x:v>
      </x:c>
      <x:c r="S260" s="25" t="inlineStr">
        <x:is>
          <x:t xml:space="preserve">M.E.E. Watson</x:t>
        </x:is>
      </x:c>
      <x:c r="T260" s="25" t="inlineStr">
        <x:is>
          <x:t xml:space="preserve">GBR</x:t>
        </x:is>
      </x:c>
      <x:c r="U260" s="25" t="inlineStr">
        <x:is>
          <x:t xml:space="preserve">United Kingdom</x:t>
        </x:is>
      </x:c>
    </x:row>
    <x:row r="261">
      <x:c r="A261" t="n">
        <x:v>1886</x:v>
      </x:c>
      <x:c r="B261" s="25" t="inlineStr">
        <x:is>
          <x:t xml:space="preserve">Men's</x:t>
        </x:is>
      </x:c>
      <x:c r="C261" s="25" t="inlineStr">
        <x:is>
          <x:t xml:space="preserve">W.C. Renshaw</x:t>
        </x:is>
      </x:c>
      <x:c r="D261" s="25" t="inlineStr">
        <x:is>
          <x:t xml:space="preserve">GBR</x:t>
        </x:is>
      </x:c>
      <x:c r="E261" s="25" t="inlineStr">
        <x:is>
          <x:t xml:space="preserve">United Kingdom</x:t>
        </x:is>
      </x:c>
      <x:c r="G261" s="22" t="n">
        <x:v>96</x:v>
      </x:c>
      <x:c r="H261" s="22" t="inlineStr">
        <x:is>
          <x:t xml:space="preserve">6-0, 5-7, 6-3, 6-4</x:t>
        </x:is>
      </x:c>
      <x:c r="I261" s="22" t="n">
        <x:v>6</x:v>
      </x:c>
      <x:c r="J261" s="29" t="n">
        <x:v>0</x:v>
      </x:c>
      <x:c r="K261" s="29" t="n">
        <x:v>5</x:v>
      </x:c>
      <x:c r="L261" s="29" t="n">
        <x:v>7</x:v>
      </x:c>
      <x:c r="M261" s="29" t="n">
        <x:v>6</x:v>
      </x:c>
      <x:c r="N261" s="29" t="n">
        <x:v>3</x:v>
      </x:c>
      <x:c r="O261" s="29" t="n">
        <x:v>6</x:v>
      </x:c>
      <x:c r="P261" s="29" t="n">
        <x:v>4</x:v>
      </x:c>
      <x:c r="S261" s="25" t="inlineStr">
        <x:is>
          <x:t xml:space="preserve">H.F. Lawford</x:t>
        </x:is>
      </x:c>
      <x:c r="T261" s="25" t="inlineStr">
        <x:is>
          <x:t xml:space="preserve">GBR</x:t>
        </x:is>
      </x:c>
      <x:c r="U261" s="25" t="inlineStr">
        <x:is>
          <x:t xml:space="preserve">United Kingdom</x:t>
        </x:is>
      </x:c>
    </x:row>
    <x:row r="262">
      <x:c r="A262" t="n">
        <x:v>1885</x:v>
      </x:c>
      <x:c r="B262" s="25" t="inlineStr">
        <x:is>
          <x:t xml:space="preserve">Women's</x:t>
        </x:is>
      </x:c>
      <x:c r="C262" s="25" t="inlineStr">
        <x:is>
          <x:t xml:space="preserve">M.E.E. Watson</x:t>
        </x:is>
      </x:c>
      <x:c r="D262" s="25" t="inlineStr">
        <x:is>
          <x:t xml:space="preserve">GBR</x:t>
        </x:is>
      </x:c>
      <x:c r="E262" s="25" t="inlineStr">
        <x:is>
          <x:t xml:space="preserve">United Kingdom</x:t>
        </x:is>
      </x:c>
      <x:c r="H262" s="22" t="inlineStr">
        <x:is>
          <x:t xml:space="preserve">6-1, 7-5</x:t>
        </x:is>
      </x:c>
      <x:c r="I262" s="22" t="n">
        <x:v>6</x:v>
      </x:c>
      <x:c r="J262" s="29" t="n">
        <x:v>1</x:v>
      </x:c>
      <x:c r="K262" s="29" t="n">
        <x:v>7</x:v>
      </x:c>
      <x:c r="L262" s="29" t="n">
        <x:v>5</x:v>
      </x:c>
      <x:c r="S262" s="25" t="inlineStr">
        <x:is>
          <x:t xml:space="preserve">G.W. Hillyard</x:t>
        </x:is>
      </x:c>
      <x:c r="T262" s="25" t="inlineStr">
        <x:is>
          <x:t xml:space="preserve">GBR</x:t>
        </x:is>
      </x:c>
      <x:c r="U262" s="25" t="inlineStr">
        <x:is>
          <x:t xml:space="preserve">United Kingdom</x:t>
        </x:is>
      </x:c>
    </x:row>
    <x:row r="263">
      <x:c r="A263" t="n">
        <x:v>1885</x:v>
      </x:c>
      <x:c r="B263" s="25" t="inlineStr">
        <x:is>
          <x:t xml:space="preserve">Men's</x:t>
        </x:is>
      </x:c>
      <x:c r="C263" s="25" t="inlineStr">
        <x:is>
          <x:t xml:space="preserve">W.C. Renshaw</x:t>
        </x:is>
      </x:c>
      <x:c r="D263" s="25" t="inlineStr">
        <x:is>
          <x:t xml:space="preserve">GBR</x:t>
        </x:is>
      </x:c>
      <x:c r="E263" s="25" t="inlineStr">
        <x:is>
          <x:t xml:space="preserve">United Kingdom</x:t>
        </x:is>
      </x:c>
      <x:c r="G263" s="22" t="n">
        <x:v>122</x:v>
      </x:c>
      <x:c r="H263" s="22" t="inlineStr">
        <x:is>
          <x:t xml:space="preserve">7-5, 6-2, 4-6, 7-5</x:t>
        </x:is>
      </x:c>
      <x:c r="I263" s="22" t="n">
        <x:v>7</x:v>
      </x:c>
      <x:c r="J263" s="29" t="n">
        <x:v>5</x:v>
      </x:c>
      <x:c r="K263" s="29" t="n">
        <x:v>6</x:v>
      </x:c>
      <x:c r="L263" s="29" t="n">
        <x:v>2</x:v>
      </x:c>
      <x:c r="M263" s="29" t="n">
        <x:v>4</x:v>
      </x:c>
      <x:c r="N263" s="29" t="n">
        <x:v>6</x:v>
      </x:c>
      <x:c r="O263" s="29" t="n">
        <x:v>7</x:v>
      </x:c>
      <x:c r="P263" s="29" t="n">
        <x:v>5</x:v>
      </x:c>
      <x:c r="S263" s="25" t="inlineStr">
        <x:is>
          <x:t xml:space="preserve">H.F. Lawford</x:t>
        </x:is>
      </x:c>
      <x:c r="T263" s="25" t="inlineStr">
        <x:is>
          <x:t xml:space="preserve">GBR</x:t>
        </x:is>
      </x:c>
      <x:c r="U263" s="25" t="inlineStr">
        <x:is>
          <x:t xml:space="preserve">United Kingdom</x:t>
        </x:is>
      </x:c>
    </x:row>
    <x:row r="264">
      <x:c r="A264" t="n">
        <x:v>1884</x:v>
      </x:c>
      <x:c r="B264" s="25" t="inlineStr">
        <x:is>
          <x:t xml:space="preserve">Women's</x:t>
        </x:is>
      </x:c>
      <x:c r="C264" s="25" t="inlineStr">
        <x:is>
          <x:t xml:space="preserve">M.E.E. Watson</x:t>
        </x:is>
      </x:c>
      <x:c r="D264" s="25" t="inlineStr">
        <x:is>
          <x:t xml:space="preserve">GBR</x:t>
        </x:is>
      </x:c>
      <x:c r="E264" s="25" t="inlineStr">
        <x:is>
          <x:t xml:space="preserve">United Kingdom</x:t>
        </x:is>
      </x:c>
      <x:c r="H264" s="22" t="inlineStr">
        <x:is>
          <x:t xml:space="preserve">6-8, 6-3, 6-3</x:t>
        </x:is>
      </x:c>
      <x:c r="I264" s="22" t="n">
        <x:v>6</x:v>
      </x:c>
      <x:c r="J264" s="29" t="n">
        <x:v>8</x:v>
      </x:c>
      <x:c r="K264" s="29" t="n">
        <x:v>6</x:v>
      </x:c>
      <x:c r="L264" s="29" t="n">
        <x:v>3</x:v>
      </x:c>
      <x:c r="M264" s="29" t="n">
        <x:v>6</x:v>
      </x:c>
      <x:c r="N264" s="29" t="n">
        <x:v>3</x:v>
      </x:c>
      <x:c r="S264" s="25" t="inlineStr">
        <x:is>
          <x:t xml:space="preserve">L.M. Watson</x:t>
        </x:is>
      </x:c>
      <x:c r="T264" s="25" t="inlineStr">
        <x:is>
          <x:t xml:space="preserve">GBR</x:t>
        </x:is>
      </x:c>
      <x:c r="U264" s="25" t="inlineStr">
        <x:is>
          <x:t xml:space="preserve">United Kingdom</x:t>
        </x:is>
      </x:c>
    </x:row>
    <x:row r="265">
      <x:c r="A265" t="n">
        <x:v>1884</x:v>
      </x:c>
      <x:c r="B265" s="25" t="inlineStr">
        <x:is>
          <x:t xml:space="preserve">Men's</x:t>
        </x:is>
      </x:c>
      <x:c r="C265" s="25" t="inlineStr">
        <x:is>
          <x:t xml:space="preserve">W.C. Renshaw</x:t>
        </x:is>
      </x:c>
      <x:c r="D265" s="25" t="inlineStr">
        <x:is>
          <x:t xml:space="preserve">GBR</x:t>
        </x:is>
      </x:c>
      <x:c r="E265" s="25" t="inlineStr">
        <x:is>
          <x:t xml:space="preserve">United Kingdom</x:t>
        </x:is>
      </x:c>
      <x:c r="G265" s="22" t="n">
        <x:v>69</x:v>
      </x:c>
      <x:c r="H265" s="22" t="inlineStr">
        <x:is>
          <x:t xml:space="preserve">6-0, 6-4, 9-7</x:t>
        </x:is>
      </x:c>
      <x:c r="I265" s="22" t="n">
        <x:v>6</x:v>
      </x:c>
      <x:c r="J265" s="29" t="n">
        <x:v>0</x:v>
      </x:c>
      <x:c r="K265" s="29" t="n">
        <x:v>6</x:v>
      </x:c>
      <x:c r="L265" s="29" t="n">
        <x:v>4</x:v>
      </x:c>
      <x:c r="M265" s="29" t="n">
        <x:v>9</x:v>
      </x:c>
      <x:c r="N265" s="29" t="n">
        <x:v>7</x:v>
      </x:c>
      <x:c r="S265" s="25" t="inlineStr">
        <x:is>
          <x:t xml:space="preserve">H.F. Lawford</x:t>
        </x:is>
      </x:c>
      <x:c r="T265" s="25" t="inlineStr">
        <x:is>
          <x:t xml:space="preserve">GBR</x:t>
        </x:is>
      </x:c>
      <x:c r="U265" s="25" t="inlineStr">
        <x:is>
          <x:t xml:space="preserve">United Kingdom</x:t>
        </x:is>
      </x:c>
    </x:row>
    <x:row r="266">
      <x:c r="A266" t="n">
        <x:v>1883</x:v>
      </x:c>
      <x:c r="B266" s="25" t="inlineStr">
        <x:is>
          <x:t xml:space="preserve">Men's</x:t>
        </x:is>
      </x:c>
      <x:c r="C266" s="25" t="inlineStr">
        <x:is>
          <x:t xml:space="preserve">W.C. Renshaw</x:t>
        </x:is>
      </x:c>
      <x:c r="D266" s="25" t="inlineStr">
        <x:is>
          <x:t xml:space="preserve">GBR</x:t>
        </x:is>
      </x:c>
      <x:c r="E266" s="25" t="inlineStr">
        <x:is>
          <x:t xml:space="preserve">United Kingdom</x:t>
        </x:is>
      </x:c>
      <x:c r="G266" s="22" t="n">
        <x:v>89</x:v>
      </x:c>
      <x:c r="H266" s="22" t="inlineStr">
        <x:is>
          <x:t xml:space="preserve">2-6, 6-3, 6-3, 4-6, 6-3</x:t>
        </x:is>
      </x:c>
      <x:c r="I266" s="22" t="n">
        <x:v>2</x:v>
      </x:c>
      <x:c r="J266" s="29" t="n">
        <x:v>6</x:v>
      </x:c>
      <x:c r="K266" s="29" t="n">
        <x:v>6</x:v>
      </x:c>
      <x:c r="L266" s="29" t="n">
        <x:v>3</x:v>
      </x:c>
      <x:c r="M266" s="29" t="n">
        <x:v>6</x:v>
      </x:c>
      <x:c r="N266" s="29" t="n">
        <x:v>3</x:v>
      </x:c>
      <x:c r="O266" s="29" t="n">
        <x:v>4</x:v>
      </x:c>
      <x:c r="P266" s="29" t="n">
        <x:v>6</x:v>
      </x:c>
      <x:c r="Q266" s="22" t="n">
        <x:v>6</x:v>
      </x:c>
      <x:c r="R266" s="29" t="n">
        <x:v>3</x:v>
      </x:c>
      <x:c r="S266" s="25" t="inlineStr">
        <x:is>
          <x:t xml:space="preserve">J.E. Renshaw</x:t>
        </x:is>
      </x:c>
      <x:c r="T266" s="25" t="inlineStr">
        <x:is>
          <x:t xml:space="preserve">GBR</x:t>
        </x:is>
      </x:c>
      <x:c r="U266" s="25" t="inlineStr">
        <x:is>
          <x:t xml:space="preserve">United Kingdom</x:t>
        </x:is>
      </x:c>
    </x:row>
    <x:row r="267">
      <x:c r="A267" t="n">
        <x:v>1882</x:v>
      </x:c>
      <x:c r="B267" s="25" t="inlineStr">
        <x:is>
          <x:t xml:space="preserve">Men's</x:t>
        </x:is>
      </x:c>
      <x:c r="C267" s="25" t="inlineStr">
        <x:is>
          <x:t xml:space="preserve">W.C. Renshaw</x:t>
        </x:is>
      </x:c>
      <x:c r="D267" s="25" t="inlineStr">
        <x:is>
          <x:t xml:space="preserve">GBR</x:t>
        </x:is>
      </x:c>
      <x:c r="E267" s="25" t="inlineStr">
        <x:is>
          <x:t xml:space="preserve">United Kingdom</x:t>
        </x:is>
      </x:c>
      <x:c r="G267" s="22" t="n">
        <x:v>85</x:v>
      </x:c>
      <x:c r="H267" s="22" t="inlineStr">
        <x:is>
          <x:t xml:space="preserve">6-1, 2-6, 4-6, 6-2, 6-2</x:t>
        </x:is>
      </x:c>
      <x:c r="I267" s="22" t="n">
        <x:v>6</x:v>
      </x:c>
      <x:c r="J267" s="29" t="n">
        <x:v>1</x:v>
      </x:c>
      <x:c r="K267" s="29" t="n">
        <x:v>2</x:v>
      </x:c>
      <x:c r="L267" s="29" t="n">
        <x:v>6</x:v>
      </x:c>
      <x:c r="M267" s="29" t="n">
        <x:v>4</x:v>
      </x:c>
      <x:c r="N267" s="29" t="n">
        <x:v>6</x:v>
      </x:c>
      <x:c r="O267" s="29" t="n">
        <x:v>6</x:v>
      </x:c>
      <x:c r="P267" s="29" t="n">
        <x:v>2</x:v>
      </x:c>
      <x:c r="Q267" s="22" t="n">
        <x:v>6</x:v>
      </x:c>
      <x:c r="R267" s="29" t="n">
        <x:v>2</x:v>
      </x:c>
      <x:c r="S267" s="25" t="inlineStr">
        <x:is>
          <x:t xml:space="preserve">J.E. Renshaw</x:t>
        </x:is>
      </x:c>
      <x:c r="T267" s="25" t="inlineStr">
        <x:is>
          <x:t xml:space="preserve">GBR</x:t>
        </x:is>
      </x:c>
      <x:c r="U267" s="25" t="inlineStr">
        <x:is>
          <x:t xml:space="preserve">United Kingdom</x:t>
        </x:is>
      </x:c>
    </x:row>
    <x:row r="268">
      <x:c r="A268" t="n">
        <x:v>1881</x:v>
      </x:c>
      <x:c r="B268" s="25" t="inlineStr">
        <x:is>
          <x:t xml:space="preserve">Men's</x:t>
        </x:is>
      </x:c>
      <x:c r="C268" s="25" t="inlineStr">
        <x:is>
          <x:t xml:space="preserve">W.C. Renshaw</x:t>
        </x:is>
      </x:c>
      <x:c r="D268" s="25" t="inlineStr">
        <x:is>
          <x:t xml:space="preserve">GBR</x:t>
        </x:is>
      </x:c>
      <x:c r="E268" s="25" t="inlineStr">
        <x:is>
          <x:t xml:space="preserve">United Kingdom</x:t>
        </x:is>
      </x:c>
      <x:c r="G268" s="22" t="n">
        <x:v>37</x:v>
      </x:c>
      <x:c r="H268" s="22" t="inlineStr">
        <x:is>
          <x:t xml:space="preserve">6-0, 6-1, 6-1</x:t>
        </x:is>
      </x:c>
      <x:c r="I268" s="22" t="n">
        <x:v>6</x:v>
      </x:c>
      <x:c r="J268" s="29" t="n">
        <x:v>0</x:v>
      </x:c>
      <x:c r="K268" s="29" t="n">
        <x:v>6</x:v>
      </x:c>
      <x:c r="L268" s="29" t="n">
        <x:v>1</x:v>
      </x:c>
      <x:c r="M268" s="29" t="n">
        <x:v>6</x:v>
      </x:c>
      <x:c r="N268" s="29" t="n">
        <x:v>1</x:v>
      </x:c>
      <x:c r="S268" s="25" t="inlineStr">
        <x:is>
          <x:t xml:space="preserve">J.T. Hartley</x:t>
        </x:is>
      </x:c>
      <x:c r="T268" s="25" t="inlineStr">
        <x:is>
          <x:t xml:space="preserve">GBR</x:t>
        </x:is>
      </x:c>
      <x:c r="U268" s="25" t="inlineStr">
        <x:is>
          <x:t xml:space="preserve">United Kingdom</x:t>
        </x:is>
      </x:c>
    </x:row>
    <x:row r="269">
      <x:c r="A269" t="n">
        <x:v>1880</x:v>
      </x:c>
      <x:c r="B269" s="25" t="inlineStr">
        <x:is>
          <x:t xml:space="preserve">Men's</x:t>
        </x:is>
      </x:c>
      <x:c r="C269" s="25" t="inlineStr">
        <x:is>
          <x:t xml:space="preserve">J.T. Hartley</x:t>
        </x:is>
      </x:c>
      <x:c r="D269" s="25" t="inlineStr">
        <x:is>
          <x:t xml:space="preserve">GBR</x:t>
        </x:is>
      </x:c>
      <x:c r="E269" s="25" t="inlineStr">
        <x:is>
          <x:t xml:space="preserve">United Kingdom</x:t>
        </x:is>
      </x:c>
      <x:c r="H269" s="22" t="inlineStr">
        <x:is>
          <x:t xml:space="preserve">6-3, 6-2, 2-6, 6-3</x:t>
        </x:is>
      </x:c>
      <x:c r="I269" s="22" t="n">
        <x:v>6</x:v>
      </x:c>
      <x:c r="J269" s="29" t="n">
        <x:v>3</x:v>
      </x:c>
      <x:c r="K269" s="29" t="n">
        <x:v>6</x:v>
      </x:c>
      <x:c r="L269" s="29" t="n">
        <x:v>2</x:v>
      </x:c>
      <x:c r="M269" s="29" t="n">
        <x:v>2</x:v>
      </x:c>
      <x:c r="N269" s="29" t="n">
        <x:v>6</x:v>
      </x:c>
      <x:c r="O269" s="29" t="n">
        <x:v>6</x:v>
      </x:c>
      <x:c r="P269" s="29" t="n">
        <x:v>3</x:v>
      </x:c>
      <x:c r="S269" s="25" t="inlineStr">
        <x:is>
          <x:t xml:space="preserve">H.F. Lawford</x:t>
        </x:is>
      </x:c>
      <x:c r="T269" s="25" t="inlineStr">
        <x:is>
          <x:t xml:space="preserve">GBR</x:t>
        </x:is>
      </x:c>
      <x:c r="U269" s="25" t="inlineStr">
        <x:is>
          <x:t xml:space="preserve">United Kingdom</x:t>
        </x:is>
      </x:c>
    </x:row>
    <x:row r="270">
      <x:c r="A270" t="n">
        <x:v>1879</x:v>
      </x:c>
      <x:c r="B270" s="25" t="inlineStr">
        <x:is>
          <x:t xml:space="preserve">Men's</x:t>
        </x:is>
      </x:c>
      <x:c r="C270" s="25" t="inlineStr">
        <x:is>
          <x:t xml:space="preserve">J.T. Hartley</x:t>
        </x:is>
      </x:c>
      <x:c r="D270" s="25" t="inlineStr">
        <x:is>
          <x:t xml:space="preserve">GBR</x:t>
        </x:is>
      </x:c>
      <x:c r="E270" s="25" t="inlineStr">
        <x:is>
          <x:t xml:space="preserve">United Kingdom</x:t>
        </x:is>
      </x:c>
      <x:c r="H270" s="22" t="inlineStr">
        <x:is>
          <x:t xml:space="preserve">6-2, 6-4, 6-2</x:t>
        </x:is>
      </x:c>
      <x:c r="I270" s="22" t="n">
        <x:v>6</x:v>
      </x:c>
      <x:c r="J270" s="29" t="n">
        <x:v>2</x:v>
      </x:c>
      <x:c r="K270" s="29" t="n">
        <x:v>6</x:v>
      </x:c>
      <x:c r="L270" s="29" t="n">
        <x:v>4</x:v>
      </x:c>
      <x:c r="M270" s="29" t="n">
        <x:v>6</x:v>
      </x:c>
      <x:c r="N270" s="29" t="n">
        <x:v>2</x:v>
      </x:c>
      <x:c r="S270" s="25" t="inlineStr">
        <x:is>
          <x:t xml:space="preserve">V.T.St.L. Goold</x:t>
        </x:is>
      </x:c>
      <x:c r="T270" s="25" t="inlineStr">
        <x:is>
          <x:t xml:space="preserve">GBR</x:t>
        </x:is>
      </x:c>
      <x:c r="U270" s="25" t="inlineStr">
        <x:is>
          <x:t xml:space="preserve">United Kingdom</x:t>
        </x:is>
      </x:c>
    </x:row>
    <x:row r="271">
      <x:c r="A271" t="n">
        <x:v>1878</x:v>
      </x:c>
      <x:c r="B271" s="25" t="inlineStr">
        <x:is>
          <x:t xml:space="preserve">Men's</x:t>
        </x:is>
      </x:c>
      <x:c r="C271" s="25" t="inlineStr">
        <x:is>
          <x:t xml:space="preserve">P.F. Hadow</x:t>
        </x:is>
      </x:c>
      <x:c r="D271" s="25" t="inlineStr">
        <x:is>
          <x:t xml:space="preserve">GBR</x:t>
        </x:is>
      </x:c>
      <x:c r="E271" s="25" t="inlineStr">
        <x:is>
          <x:t xml:space="preserve">United Kingdom</x:t>
        </x:is>
      </x:c>
      <x:c r="H271" s="22" t="inlineStr">
        <x:is>
          <x:t xml:space="preserve">7-5, 6-1, 9-7</x:t>
        </x:is>
      </x:c>
      <x:c r="I271" s="22" t="n">
        <x:v>7</x:v>
      </x:c>
      <x:c r="J271" s="29" t="n">
        <x:v>5</x:v>
      </x:c>
      <x:c r="K271" s="29" t="n">
        <x:v>6</x:v>
      </x:c>
      <x:c r="L271" s="29" t="n">
        <x:v>1</x:v>
      </x:c>
      <x:c r="M271" s="29" t="n">
        <x:v>9</x:v>
      </x:c>
      <x:c r="N271" s="29" t="n">
        <x:v>7</x:v>
      </x:c>
      <x:c r="S271" s="25" t="inlineStr">
        <x:is>
          <x:t xml:space="preserve">S.W. Gore</x:t>
        </x:is>
      </x:c>
      <x:c r="T271" s="25" t="inlineStr">
        <x:is>
          <x:t xml:space="preserve">GBR</x:t>
        </x:is>
      </x:c>
      <x:c r="U271" s="25" t="inlineStr">
        <x:is>
          <x:t xml:space="preserve">United Kingdom</x:t>
        </x:is>
      </x:c>
    </x:row>
    <x:row r="272">
      <x:c r="A272" t="n">
        <x:v>1877</x:v>
      </x:c>
      <x:c r="B272" s="25" t="inlineStr">
        <x:is>
          <x:t xml:space="preserve">Men's</x:t>
        </x:is>
      </x:c>
      <x:c r="C272" s="25" t="inlineStr">
        <x:is>
          <x:t xml:space="preserve">S.W. Gore</x:t>
        </x:is>
      </x:c>
      <x:c r="D272" s="25" t="inlineStr">
        <x:is>
          <x:t xml:space="preserve">GBR</x:t>
        </x:is>
      </x:c>
      <x:c r="E272" s="25" t="inlineStr">
        <x:is>
          <x:t xml:space="preserve">United Kingdom</x:t>
        </x:is>
      </x:c>
      <x:c r="G272" s="22" t="n">
        <x:v>48</x:v>
      </x:c>
      <x:c r="H272" s="22" t="inlineStr">
        <x:is>
          <x:t xml:space="preserve">6-1, 6-2, 6-4</x:t>
        </x:is>
      </x:c>
      <x:c r="I272" s="22" t="n">
        <x:v>6</x:v>
      </x:c>
      <x:c r="J272" s="29" t="n">
        <x:v>1</x:v>
      </x:c>
      <x:c r="K272" s="29" t="n">
        <x:v>6</x:v>
      </x:c>
      <x:c r="L272" s="29" t="n">
        <x:v>2</x:v>
      </x:c>
      <x:c r="M272" s="29" t="n">
        <x:v>6</x:v>
      </x:c>
      <x:c r="N272" s="29" t="n">
        <x:v>4</x:v>
      </x:c>
      <x:c r="S272" s="25" t="inlineStr">
        <x:is>
          <x:t xml:space="preserve">W.C. Marshall</x:t>
        </x:is>
      </x:c>
      <x:c r="T272" s="25" t="inlineStr">
        <x:is>
          <x:t xml:space="preserve">GBR</x:t>
        </x:is>
      </x:c>
      <x:c r="U272" s="25" t="inlineStr">
        <x:is>
          <x:t xml:space="preserve">United Kingdom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600000381469727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4.600000381469727"/>
  <x:cols>
    <x:col min="1" max="1" width="14" style="22" customWidth="1"/>
    <x:col min="2" max="2" width="9.3046875" style="25" customWidth="1"/>
    <x:col min="3" max="3" width="15.69140625" style="25" customWidth="1"/>
    <x:col min="4" max="4" width="20.53515625" style="22" customWidth="1"/>
    <x:col min="5" max="5" width="17.69140625" style="25" customWidth="1"/>
    <x:col min="6" max="6" width="15" style="22" customWidth="1"/>
    <x:col min="7" max="7" width="5.4609375" style="22" customWidth="1"/>
    <x:col min="8" max="8" width="34.69140625" style="25" customWidth="1"/>
    <x:col min="9" max="9" width="20.69140625" style="25" customWidth="1"/>
    <x:col min="10" max="10" width="21" style="22" customWidth="1"/>
    <x:col min="11" max="11" width="21" style="25" customWidth="1"/>
    <x:col min="12" max="12" width="15.4609375" style="22" customWidth="1"/>
    <x:col min="14" max="14" width="5" customWidth="1"/>
    <x:col min="15" max="23" width="11.07421875" customWidth="1"/>
    <x:col min="24" max="24" width="12.07421875" customWidth="1"/>
    <x:col min="25" max="26" width="4.69140625" customWidth="1"/>
  </x:cols>
  <x:sheetData>
    <x:row r="1">
      <x:c r="A1" s="15" t="str">
        <x:f>wimbledons_champions!A1</x:f>
        <x:v>Year</x:v>
      </x:c>
      <x:c r="B1" s="24" t="str">
        <x:f>wimbledons_champions!B1</x:f>
        <x:v>Gender</x:v>
      </x:c>
      <x:c r="C1" s="24" t="inlineStr">
        <x:is>
          <x:t xml:space="preserve">Champion</x:t>
        </x:is>
      </x:c>
      <x:c r="D1" s="15" t="inlineStr">
        <x:is>
          <x:t xml:space="preserve">Champion Nationality</x:t>
        </x:is>
      </x:c>
      <x:c r="E1" s="24" t="inlineStr">
        <x:is>
          <x:t xml:space="preserve">Champion Country</x:t>
        </x:is>
      </x:c>
      <x:c r="F1" s="15" t="inlineStr">
        <x:is>
          <x:t xml:space="preserve">Champion Seed</x:t>
        </x:is>
      </x:c>
      <x:c r="G1" s="15" t="str">
        <x:f>wimbledons_champions!G1</x:f>
        <x:v>Mins</x:v>
      </x:c>
      <x:c r="H1" s="24" t="str">
        <x:f>wimbledons_champions!H1</x:f>
        <x:v>Score</x:v>
      </x:c>
      <x:c r="I1" s="24" t="inlineStr">
        <x:is>
          <x:t xml:space="preserve">Runner-up</x:t>
        </x:is>
      </x:c>
      <x:c r="J1" s="15" t="inlineStr">
        <x:is>
          <x:t xml:space="preserve">Runner-up Nationality</x:t>
        </x:is>
      </x:c>
      <x:c r="K1" s="24" t="inlineStr">
        <x:is>
          <x:t xml:space="preserve">Runner-up Country</x:t>
        </x:is>
      </x:c>
      <x:c r="L1" s="15" t="inlineStr">
        <x:is>
          <x:t xml:space="preserve">Runner-up Seed</x:t>
        </x:is>
      </x:c>
      <x:c r="M1" s="16" t="inlineStr">
        <x:is>
          <x:t xml:space="preserve">Win Rate</x:t>
        </x:is>
      </x:c>
      <x:c r="N1" s="16" t="n"/>
      <x:c r="O1" t="inlineStr">
        <x:is>
          <x:t xml:space="preserve">1st-won</x:t>
        </x:is>
      </x:c>
      <x:c r="P1" t="inlineStr">
        <x:is>
          <x:t xml:space="preserve">1st-loss</x:t>
        </x:is>
      </x:c>
      <x:c r="Q1" t="inlineStr">
        <x:is>
          <x:t xml:space="preserve">2nd-won</x:t>
        </x:is>
      </x:c>
      <x:c r="R1" t="inlineStr">
        <x:is>
          <x:t xml:space="preserve">2nd-loss</x:t>
        </x:is>
      </x:c>
      <x:c r="S1" t="inlineStr">
        <x:is>
          <x:t xml:space="preserve">3rd-won</x:t>
        </x:is>
      </x:c>
      <x:c r="T1" t="inlineStr">
        <x:is>
          <x:t xml:space="preserve">3rd-loss</x:t>
        </x:is>
      </x:c>
      <x:c r="U1" t="inlineStr">
        <x:is>
          <x:t xml:space="preserve">4th-won</x:t>
        </x:is>
      </x:c>
      <x:c r="V1" t="inlineStr">
        <x:is>
          <x:t xml:space="preserve">4th-loss</x:t>
        </x:is>
      </x:c>
      <x:c r="W1" t="inlineStr">
        <x:is>
          <x:t xml:space="preserve">5th-won</x:t>
        </x:is>
      </x:c>
      <x:c r="X1" t="inlineStr">
        <x:is>
          <x:t xml:space="preserve">5th-loss</x:t>
        </x:is>
      </x:c>
      <x:c r="Y1" s="11" t="inlineStr">
        <x:is>
          <x:t xml:space="preserve">Win</x:t>
        </x:is>
      </x:c>
      <x:c r="Z1" s="11" t="inlineStr">
        <x:is>
          <x:t xml:space="preserve">Loss</x:t>
        </x:is>
      </x:c>
      <x:c r="AA1" s="17" t="inlineStr">
        <x:is>
          <x:t xml:space="preserve">Win Rate</x:t>
        </x:is>
      </x:c>
    </x:row>
    <x:row r="2">
      <x:c r="A2" s="22" t="n">
        <x:v>2022</x:v>
      </x:c>
      <x:c r="B2" s="25" t="str">
        <x:f>wimbledons_champions!B10</x:f>
        <x:v>Women's</x:v>
      </x:c>
      <x:c r="C2" s="25" t="inlineStr">
        <x:is>
          <x:t xml:space="preserve">E. RYBAKINA</x:t>
        </x:is>
      </x:c>
      <x:c r="D2" s="22" t="inlineStr">
        <x:is>
          <x:t xml:space="preserve">KAZ</x:t>
        </x:is>
      </x:c>
      <x:c r="E2" s="25" t="inlineStr">
        <x:is>
          <x:t xml:space="preserve">Kazakhstan</x:t>
        </x:is>
      </x:c>
      <x:c r="F2" s="22" t="n">
        <x:v>17</x:v>
      </x:c>
      <x:c r="G2" s="22" t="n">
        <x:v>108</x:v>
      </x:c>
      <x:c r="H2" s="25" t="inlineStr">
        <x:is>
          <x:t xml:space="preserve">3-6,6-2,6-2</x:t>
        </x:is>
      </x:c>
      <x:c r="I2" s="25" t="inlineStr">
        <x:is>
          <x:t xml:space="preserve">O. JABEUR</x:t>
        </x:is>
      </x:c>
      <x:c r="J2" s="22" t="inlineStr">
        <x:is>
          <x:t xml:space="preserve">TUN</x:t>
        </x:is>
      </x:c>
      <x:c r="K2" s="25" t="inlineStr">
        <x:is>
          <x:t xml:space="preserve">Tunisia</x:t>
        </x:is>
      </x:c>
      <x:c r="L2" s="22" t="n">
        <x:v>3</x:v>
      </x:c>
      <x:c r="M2" s="18" t="n">
        <x:v>0.5357142857142857</x:v>
      </x:c>
      <x:c r="O2" s="25" t="n">
        <x:v>3</x:v>
      </x:c>
      <x:c r="P2" s="25" t="n">
        <x:v>6</x:v>
      </x:c>
      <x:c r="Q2" s="25" t="n">
        <x:v>6</x:v>
      </x:c>
      <x:c r="R2" s="25" t="n">
        <x:v>5</x:v>
      </x:c>
      <x:c r="S2" s="25" t="n">
        <x:v>6</x:v>
      </x:c>
      <x:c r="T2" s="25" t="n">
        <x:v>2</x:v>
      </x:c>
      <x:c r="U2" s="25" t="n"/>
      <x:c r="V2" s="25" t="n"/>
      <x:c r="W2" s="25" t="n"/>
      <x:c r="X2" s="25" t="n"/>
      <x:c r="Y2" s="20" t="n">
        <x:f>SUM(O2+Q2+S2+U2+W2)</x:f>
        <x:v>15</x:v>
      </x:c>
      <x:c r="Z2" s="20" t="n">
        <x:f>SUM(P2+R2+T2+V2+X2)</x:f>
        <x:v>13</x:v>
      </x:c>
      <x:c r="AA2" s="21" t="n">
        <x:f>Y2/(Y2+Z2)</x:f>
        <x:v>0.5357142857142857</x:v>
      </x:c>
    </x:row>
    <x:row r="3">
      <x:c r="A3" s="22" t="n">
        <x:v>2022</x:v>
      </x:c>
      <x:c r="B3" s="25" t="str">
        <x:f>wimbledons_champions!B11</x:f>
        <x:v>Men's</x:v>
      </x:c>
      <x:c r="C3" s="25" t="inlineStr">
        <x:is>
          <x:t xml:space="preserve">N. Djokovic</x:t>
        </x:is>
      </x:c>
      <x:c r="D3" s="22" t="inlineStr">
        <x:is>
          <x:t xml:space="preserve">SRB</x:t>
        </x:is>
      </x:c>
      <x:c r="E3" s="25" t="inlineStr">
        <x:is>
          <x:t xml:space="preserve">Serbia</x:t>
        </x:is>
      </x:c>
      <x:c r="F3" s="22" t="n">
        <x:v>1</x:v>
      </x:c>
      <x:c r="G3" s="22" t="n">
        <x:v>181</x:v>
      </x:c>
      <x:c r="H3" s="25" t="inlineStr">
        <x:is>
          <x:t xml:space="preserve">4-6,6-3,6-4,7-6(7-3)</x:t>
        </x:is>
      </x:c>
      <x:c r="I3" s="25" t="inlineStr">
        <x:is>
          <x:t xml:space="preserve">N. KYRGIOS</x:t>
        </x:is>
      </x:c>
      <x:c r="J3" s="22" t="inlineStr">
        <x:is>
          <x:t xml:space="preserve">Aus</x:t>
        </x:is>
      </x:c>
      <x:c r="K3" s="25" t="inlineStr">
        <x:is>
          <x:t xml:space="preserve">Australia</x:t>
        </x:is>
      </x:c>
      <x:c r="L3" s="22" t="n">
        <x:v>0</x:v>
      </x:c>
      <x:c r="M3" s="18" t="n">
        <x:v>0.5476190476190477</x:v>
      </x:c>
      <x:c r="O3" s="25" t="n">
        <x:v>4</x:v>
      </x:c>
      <x:c r="P3" s="25" t="n">
        <x:v>6</x:v>
      </x:c>
      <x:c r="Q3" s="25" t="n">
        <x:v>6</x:v>
      </x:c>
      <x:c r="R3" s="25" t="n">
        <x:v>3</x:v>
      </x:c>
      <x:c r="S3" s="25" t="n">
        <x:v>6</x:v>
      </x:c>
      <x:c r="T3" s="25" t="n">
        <x:v>4</x:v>
      </x:c>
      <x:c r="U3" s="25" t="n">
        <x:v>7</x:v>
      </x:c>
      <x:c r="V3" s="25" t="n">
        <x:v>6</x:v>
      </x:c>
      <x:c r="W3" s="25" t="n"/>
      <x:c r="X3" s="25" t="n"/>
      <x:c r="Y3" s="20" t="n">
        <x:f>SUM(O3+Q3+S3+U3+W3)</x:f>
        <x:v>23</x:v>
      </x:c>
      <x:c r="Z3" s="20" t="n">
        <x:f>SUM(P3+R3+T3+V3+X3)</x:f>
        <x:v>19</x:v>
      </x:c>
      <x:c r="AA3" s="21" t="n">
        <x:f>Y3/(Y3+Z3)</x:f>
        <x:v>0.5476190476190477</x:v>
      </x:c>
    </x:row>
    <x:row r="4" s="22" customFormat="1">
      <x:c r="A4" s="22" t="n">
        <x:f>wimbledons_champions!A12</x:f>
        <x:v>2021</x:v>
      </x:c>
      <x:c r="B4" s="25" t="str">
        <x:f>wimbledons_champions!B12</x:f>
        <x:v>Women's</x:v>
      </x:c>
      <x:c r="C4" s="25" t="inlineStr">
        <x:is>
          <x:t xml:space="preserve">A. Barty</x:t>
        </x:is>
      </x:c>
      <x:c r="D4" s="22" t="inlineStr">
        <x:is>
          <x:t xml:space="preserve">AUS</x:t>
        </x:is>
      </x:c>
      <x:c r="E4" s="25" t="inlineStr">
        <x:is>
          <x:t xml:space="preserve">Australia</x:t>
        </x:is>
      </x:c>
      <x:c r="F4" s="22" t="n">
        <x:v>1</x:v>
      </x:c>
      <x:c r="G4" s="22" t="n">
        <x:f>wimbledons_champions!G12</x:f>
        <x:v>116</x:v>
      </x:c>
      <x:c r="H4" s="25" t="str">
        <x:f>wimbledons_champions!H12</x:f>
        <x:v>6-3,6-7(4-7),6-3</x:v>
      </x:c>
      <x:c r="I4" s="25" t="inlineStr">
        <x:is>
          <x:t xml:space="preserve">k.Pliskova</x:t>
        </x:is>
      </x:c>
      <x:c r="J4" s="22" t="inlineStr">
        <x:is>
          <x:t xml:space="preserve">CZE</x:t>
        </x:is>
      </x:c>
      <x:c r="K4" s="25" t="inlineStr">
        <x:is>
          <x:t xml:space="preserve">Czechia</x:t>
        </x:is>
      </x:c>
      <x:c r="L4" s="22" t="n">
        <x:v>8</x:v>
      </x:c>
      <x:c r="M4" s="26" t="n">
        <x:v>0.5806451612903226</x:v>
      </x:c>
      <x:c r="N4" s="26" t="n"/>
      <x:c r="O4" s="25" t="n">
        <x:v>6</x:v>
      </x:c>
      <x:c r="P4" s="25" t="n">
        <x:v>3</x:v>
      </x:c>
      <x:c r="Q4" s="25" t="n">
        <x:v>6</x:v>
      </x:c>
      <x:c r="R4" s="25" t="n">
        <x:v>7</x:v>
      </x:c>
      <x:c r="S4" s="25" t="n">
        <x:v>6</x:v>
      </x:c>
      <x:c r="T4" s="25" t="n">
        <x:v>3</x:v>
      </x:c>
      <x:c r="U4" s="25" t="n"/>
      <x:c r="V4" s="25" t="n"/>
      <x:c r="W4" s="25" t="n"/>
      <x:c r="X4" s="25" t="n"/>
      <x:c r="Y4" s="20" t="n">
        <x:f>SUM(O4+Q4+S4+U4+W4)</x:f>
        <x:v>18</x:v>
      </x:c>
      <x:c r="Z4" s="20" t="n">
        <x:f>SUM(P4+R4+T4+V4+X4)</x:f>
        <x:v>13</x:v>
      </x:c>
      <x:c r="AA4" s="21" t="n">
        <x:f>Y4/(Y4+Z4)</x:f>
        <x:v>0.5806451612903226</x:v>
      </x:c>
    </x:row>
    <x:row r="5" s="22" customFormat="1">
      <x:c r="A5" s="22" t="n">
        <x:f>wimbledons_champions!A13</x:f>
        <x:v>2021</x:v>
      </x:c>
      <x:c r="B5" s="25" t="str">
        <x:f>wimbledons_champions!B13</x:f>
        <x:v>Men's</x:v>
      </x:c>
      <x:c r="C5" s="25" t="inlineStr">
        <x:is>
          <x:t xml:space="preserve">N. Djokovic</x:t>
        </x:is>
      </x:c>
      <x:c r="D5" s="22" t="inlineStr">
        <x:is>
          <x:t xml:space="preserve">SRB</x:t>
        </x:is>
      </x:c>
      <x:c r="E5" s="25" t="inlineStr">
        <x:is>
          <x:t xml:space="preserve">Serbia</x:t>
        </x:is>
      </x:c>
      <x:c r="F5" s="22" t="n">
        <x:v>1</x:v>
      </x:c>
      <x:c r="G5" s="22" t="n">
        <x:f>wimbledons_champions!G13</x:f>
        <x:v>204</x:v>
      </x:c>
      <x:c r="H5" s="25" t="str">
        <x:f>wimbledons_champions!H13</x:f>
        <x:v>6-7(4-7),6-4,6-4,6-3</x:v>
      </x:c>
      <x:c r="I5" s="25" t="inlineStr">
        <x:is>
          <x:t xml:space="preserve">M. Berrettini</x:t>
        </x:is>
      </x:c>
      <x:c r="J5" s="22" t="inlineStr">
        <x:is>
          <x:t xml:space="preserve">ITA</x:t>
        </x:is>
      </x:c>
      <x:c r="K5" s="25" t="inlineStr">
        <x:is>
          <x:t xml:space="preserve">Italy</x:t>
        </x:is>
      </x:c>
      <x:c r="L5" s="22" t="n">
        <x:v>7</x:v>
      </x:c>
      <x:c r="M5" s="26" t="n">
        <x:v>0.5714285714285714</x:v>
      </x:c>
      <x:c r="N5" s="26" t="n"/>
      <x:c r="O5" s="25" t="n">
        <x:v>6</x:v>
      </x:c>
      <x:c r="P5" s="25" t="n">
        <x:v>7</x:v>
      </x:c>
      <x:c r="Q5" s="25" t="n">
        <x:v>6</x:v>
      </x:c>
      <x:c r="R5" s="25" t="n">
        <x:v>4</x:v>
      </x:c>
      <x:c r="S5" s="25" t="n">
        <x:v>6</x:v>
      </x:c>
      <x:c r="T5" s="25" t="n">
        <x:v>4</x:v>
      </x:c>
      <x:c r="U5" s="25" t="n">
        <x:v>6</x:v>
      </x:c>
      <x:c r="V5" s="25" t="n">
        <x:v>3</x:v>
      </x:c>
      <x:c r="W5" s="25" t="n"/>
      <x:c r="X5" s="25" t="n"/>
      <x:c r="Y5" s="20" t="n">
        <x:f>SUM(O5+Q5+S5+U5+W5)</x:f>
        <x:v>24</x:v>
      </x:c>
      <x:c r="Z5" s="20" t="n">
        <x:f>SUM(P5+R5+T5+V5+X5)</x:f>
        <x:v>18</x:v>
      </x:c>
      <x:c r="AA5" s="21" t="n">
        <x:f>Y5/(Y5+Z5)</x:f>
        <x:v>0.5714285714285714</x:v>
      </x:c>
    </x:row>
    <x:row r="6">
      <x:c r="A6" s="22" t="n">
        <x:f>wimbledons_champions!A14</x:f>
        <x:v>2019</x:v>
      </x:c>
      <x:c r="B6" s="25" t="str">
        <x:f>wimbledons_champions!B14</x:f>
        <x:v>Women's</x:v>
      </x:c>
      <x:c r="C6" s="25" t="inlineStr">
        <x:is>
          <x:t xml:space="preserve">S.Halep</x:t>
        </x:is>
      </x:c>
      <x:c r="D6" s="22" t="inlineStr">
        <x:is>
          <x:t xml:space="preserve">ROU</x:t>
        </x:is>
      </x:c>
      <x:c r="E6" s="25" t="inlineStr">
        <x:is>
          <x:t xml:space="preserve">Romania</x:t>
        </x:is>
      </x:c>
      <x:c r="F6" s="22" t="n">
        <x:v>7</x:v>
      </x:c>
      <x:c r="G6" s="22" t="n">
        <x:f>wimbledons_champions!G14</x:f>
        <x:v>56</x:v>
      </x:c>
      <x:c r="H6" s="25" t="str">
        <x:f>wimbledons_champions!H14</x:f>
        <x:v>6-2,6-2</x:v>
      </x:c>
      <x:c r="I6" s="25" t="inlineStr">
        <x:is>
          <x:t xml:space="preserve">S. Williams</x:t>
        </x:is>
      </x:c>
      <x:c r="J6" s="22" t="inlineStr">
        <x:is>
          <x:t xml:space="preserve">USA</x:t>
        </x:is>
      </x:c>
      <x:c r="K6" s="25" t="inlineStr">
        <x:is>
          <x:t xml:space="preserve">United States</x:t>
        </x:is>
      </x:c>
      <x:c r="L6" s="22" t="n">
        <x:v>11</x:v>
      </x:c>
      <x:c r="M6" s="26" t="n">
        <x:v>0.75</x:v>
      </x:c>
      <x:c r="N6" s="26" t="n"/>
      <x:c r="O6" s="19" t="inlineStr">
        <x:is>
          <x:t xml:space="preserve">6</x:t>
        </x:is>
      </x:c>
      <x:c r="P6" s="19" t="n">
        <x:v>2</x:v>
      </x:c>
      <x:c r="Q6" s="19" t="n">
        <x:v>6</x:v>
      </x:c>
      <x:c r="R6" s="19" t="n">
        <x:v>2</x:v>
      </x:c>
      <x:c r="S6" s="19" t="n"/>
      <x:c r="T6" s="19" t="n"/>
      <x:c r="U6" s="19" t="n"/>
      <x:c r="V6" s="19" t="n"/>
      <x:c r="W6" s="19" t="n"/>
      <x:c r="X6" s="19" t="n"/>
      <x:c r="Y6" s="20" t="n">
        <x:f>SUM(O6+Q6+S6+U6+W6)</x:f>
        <x:v>12</x:v>
      </x:c>
      <x:c r="Z6" s="20" t="n">
        <x:f>SUM(P6+R6+T6+V6+X6)</x:f>
        <x:v>4</x:v>
      </x:c>
      <x:c r="AA6" s="21" t="n">
        <x:f>Y6/(Y6+Z6)</x:f>
        <x:v>0.75</x:v>
      </x:c>
    </x:row>
    <x:row r="7">
      <x:c r="A7" s="22" t="n">
        <x:f>wimbledons_champions!A15</x:f>
        <x:v>2019</x:v>
      </x:c>
      <x:c r="B7" s="25" t="str">
        <x:f>wimbledons_champions!B15</x:f>
        <x:v>Men's</x:v>
      </x:c>
      <x:c r="C7" s="25" t="inlineStr">
        <x:is>
          <x:t xml:space="preserve">N. Djokovic</x:t>
        </x:is>
      </x:c>
      <x:c r="D7" s="22" t="inlineStr">
        <x:is>
          <x:t xml:space="preserve">SRB</x:t>
        </x:is>
      </x:c>
      <x:c r="E7" s="25" t="inlineStr">
        <x:is>
          <x:t xml:space="preserve">Serbia</x:t>
        </x:is>
      </x:c>
      <x:c r="F7" s="22" t="n">
        <x:v>1</x:v>
      </x:c>
      <x:c r="G7" s="22" t="n">
        <x:f>wimbledons_champions!G15</x:f>
        <x:v>297</x:v>
      </x:c>
      <x:c r="H7" s="25" t="str">
        <x:f>wimbledons_champions!H15</x:f>
        <x:v>7-6(7-5),1-6,7-6(7-4),4-6,13-12(7-3)</x:v>
      </x:c>
      <x:c r="I7" s="25" t="inlineStr">
        <x:is>
          <x:t xml:space="preserve">R. Federer</x:t>
        </x:is>
      </x:c>
      <x:c r="J7" s="22" t="inlineStr">
        <x:is>
          <x:t xml:space="preserve">SUI</x:t>
        </x:is>
      </x:c>
      <x:c r="K7" s="25" t="inlineStr">
        <x:is>
          <x:t xml:space="preserve">Switzerland</x:t>
        </x:is>
      </x:c>
      <x:c r="L7" s="22" t="n">
        <x:v>2</x:v>
      </x:c>
      <x:c r="M7" s="18" t="n">
        <x:v>0.4642857142857143</x:v>
      </x:c>
      <x:c r="N7" s="18" t="n"/>
      <x:c r="O7" s="19" t="inlineStr">
        <x:is>
          <x:t xml:space="preserve">7</x:t>
        </x:is>
      </x:c>
      <x:c r="P7" s="19" t="n">
        <x:v>6</x:v>
      </x:c>
      <x:c r="Q7" s="19" t="n">
        <x:v>1</x:v>
      </x:c>
      <x:c r="R7" s="19" t="n">
        <x:v>6</x:v>
      </x:c>
      <x:c r="S7" s="19" t="n">
        <x:v>7</x:v>
      </x:c>
      <x:c r="T7" s="19" t="n">
        <x:v>6</x:v>
      </x:c>
      <x:c r="U7" s="19" t="n">
        <x:v>4</x:v>
      </x:c>
      <x:c r="V7" s="19" t="n">
        <x:v>6</x:v>
      </x:c>
      <x:c r="W7" s="19" t="inlineStr">
        <x:is>
          <x:t xml:space="preserve">7</x:t>
        </x:is>
      </x:c>
      <x:c r="X7" s="19" t="n">
        <x:v>6</x:v>
      </x:c>
      <x:c r="Y7" s="20" t="n">
        <x:f>SUM(O7+Q7+S7+U7+W7)</x:f>
        <x:v>26</x:v>
      </x:c>
      <x:c r="Z7" s="20" t="n">
        <x:f>SUM(P7+R7+T7+V7+X7)</x:f>
        <x:v>30</x:v>
      </x:c>
      <x:c r="AA7" s="21" t="n">
        <x:f>Y7/(Y7+Z7)</x:f>
        <x:v>0.4642857142857143</x:v>
      </x:c>
    </x:row>
    <x:row r="8">
      <x:c r="A8" s="22" t="n">
        <x:f>wimbledons_champions!A16</x:f>
        <x:v>2018</x:v>
      </x:c>
      <x:c r="B8" s="25" t="str">
        <x:f>wimbledons_champions!B16</x:f>
        <x:v>Women's</x:v>
      </x:c>
      <x:c r="C8" s="25" t="inlineStr">
        <x:is>
          <x:t xml:space="preserve">A. Kerber</x:t>
        </x:is>
      </x:c>
      <x:c r="D8" s="22" t="inlineStr">
        <x:is>
          <x:t xml:space="preserve">GER</x:t>
        </x:is>
      </x:c>
      <x:c r="E8" s="25" t="inlineStr">
        <x:is>
          <x:t xml:space="preserve">Germany</x:t>
        </x:is>
      </x:c>
      <x:c r="F8" s="22" t="n">
        <x:v>11</x:v>
      </x:c>
      <x:c r="G8" s="22" t="n">
        <x:f>wimbledons_champions!G16</x:f>
        <x:v>65</x:v>
      </x:c>
      <x:c r="H8" s="25" t="str">
        <x:f>wimbledons_champions!H16</x:f>
        <x:v>6-3,6-3</x:v>
      </x:c>
      <x:c r="I8" s="25" t="inlineStr">
        <x:is>
          <x:t xml:space="preserve">S. Williams</x:t>
        </x:is>
      </x:c>
      <x:c r="J8" s="22" t="inlineStr">
        <x:is>
          <x:t xml:space="preserve">USA</x:t>
        </x:is>
      </x:c>
      <x:c r="K8" s="25" t="inlineStr">
        <x:is>
          <x:t xml:space="preserve">United States</x:t>
        </x:is>
      </x:c>
      <x:c r="L8" s="22" t="n">
        <x:v>25</x:v>
      </x:c>
      <x:c r="M8" s="18" t="n">
        <x:v>0.6666666666666666</x:v>
      </x:c>
      <x:c r="N8" s="18" t="n"/>
      <x:c r="O8" s="19" t="inlineStr">
        <x:is>
          <x:t xml:space="preserve">6</x:t>
        </x:is>
      </x:c>
      <x:c r="P8" s="19" t="n">
        <x:v>3</x:v>
      </x:c>
      <x:c r="Q8" s="19" t="n">
        <x:v>6</x:v>
      </x:c>
      <x:c r="R8" s="19" t="n">
        <x:v>3</x:v>
      </x:c>
      <x:c r="S8" s="19" t="n"/>
      <x:c r="T8" s="19" t="n"/>
      <x:c r="U8" s="19" t="n"/>
      <x:c r="V8" s="19" t="n"/>
      <x:c r="W8" s="19" t="n"/>
      <x:c r="X8" s="19" t="n"/>
      <x:c r="Y8" s="20" t="n">
        <x:f>SUM(O8+Q8+S8+U8+W8)</x:f>
        <x:v>12</x:v>
      </x:c>
      <x:c r="Z8" s="20" t="n">
        <x:f>SUM(P8+R8+T8+V8+X8)</x:f>
        <x:v>6</x:v>
      </x:c>
      <x:c r="AA8" s="21" t="n">
        <x:f>Y8/(Y8+Z8)</x:f>
        <x:v>0.6666666666666666</x:v>
      </x:c>
    </x:row>
    <x:row r="9">
      <x:c r="A9" s="22" t="n">
        <x:f>wimbledons_champions!A17</x:f>
        <x:v>2018</x:v>
      </x:c>
      <x:c r="B9" s="25" t="str">
        <x:f>wimbledons_champions!B17</x:f>
        <x:v>Men's</x:v>
      </x:c>
      <x:c r="C9" s="25" t="inlineStr">
        <x:is>
          <x:t xml:space="preserve">N. Djokovic</x:t>
        </x:is>
      </x:c>
      <x:c r="D9" s="22" t="inlineStr">
        <x:is>
          <x:t xml:space="preserve">SRB</x:t>
        </x:is>
      </x:c>
      <x:c r="E9" s="25" t="inlineStr">
        <x:is>
          <x:t xml:space="preserve">Serbia</x:t>
        </x:is>
      </x:c>
      <x:c r="F9" s="22" t="n">
        <x:v>12</x:v>
      </x:c>
      <x:c r="G9" s="22" t="n">
        <x:f>wimbledons_champions!G17</x:f>
        <x:v>170</x:v>
      </x:c>
      <x:c r="H9" s="25" t="str">
        <x:f>wimbledons_champions!H17</x:f>
        <x:v>6-2,6-2,7-6(7-3)</x:v>
      </x:c>
      <x:c r="I9" s="25" t="inlineStr">
        <x:is>
          <x:t xml:space="preserve">K. Anderson</x:t>
        </x:is>
      </x:c>
      <x:c r="J9" s="22" t="inlineStr">
        <x:is>
          <x:t xml:space="preserve">RSA</x:t>
        </x:is>
      </x:c>
      <x:c r="K9" s="25" t="inlineStr">
        <x:is>
          <x:t xml:space="preserve">South Africa</x:t>
        </x:is>
      </x:c>
      <x:c r="L9" s="22" t="n">
        <x:v>8</x:v>
      </x:c>
      <x:c r="M9" s="18" t="n">
        <x:v>0.6551724137931034</x:v>
      </x:c>
      <x:c r="N9" s="18" t="n"/>
      <x:c r="O9" s="19" t="inlineStr">
        <x:is>
          <x:t xml:space="preserve">6</x:t>
        </x:is>
      </x:c>
      <x:c r="P9" s="19" t="n">
        <x:v>2</x:v>
      </x:c>
      <x:c r="Q9" s="19" t="n">
        <x:v>6</x:v>
      </x:c>
      <x:c r="R9" s="19" t="n">
        <x:v>2</x:v>
      </x:c>
      <x:c r="S9" s="19" t="n">
        <x:v>7</x:v>
      </x:c>
      <x:c r="T9" s="19" t="n">
        <x:v>6</x:v>
      </x:c>
      <x:c r="U9" s="19" t="n"/>
      <x:c r="V9" s="19" t="n"/>
      <x:c r="W9" s="19" t="n"/>
      <x:c r="X9" s="19" t="n"/>
      <x:c r="Y9" s="20" t="n">
        <x:f>SUM(O9+Q9+S9+U9+W9)</x:f>
        <x:v>19</x:v>
      </x:c>
      <x:c r="Z9" s="20" t="n">
        <x:f>SUM(P9+R9+T9+V9+X9)</x:f>
        <x:v>10</x:v>
      </x:c>
      <x:c r="AA9" s="21" t="n">
        <x:f>Y9/(Y9+Z9)</x:f>
        <x:v>0.6551724137931034</x:v>
      </x:c>
    </x:row>
    <x:row r="10">
      <x:c r="A10" s="22" t="n">
        <x:f>wimbledons_champions!A18</x:f>
        <x:v>2017</x:v>
      </x:c>
      <x:c r="B10" s="25" t="str">
        <x:f>wimbledons_champions!B18</x:f>
        <x:v>Women's</x:v>
      </x:c>
      <x:c r="C10" s="25" t="inlineStr">
        <x:is>
          <x:t xml:space="preserve">G. Muguruza</x:t>
        </x:is>
      </x:c>
      <x:c r="D10" s="22" t="inlineStr">
        <x:is>
          <x:t xml:space="preserve">ESP</x:t>
        </x:is>
      </x:c>
      <x:c r="E10" s="25" t="inlineStr">
        <x:is>
          <x:t xml:space="preserve">Spain</x:t>
        </x:is>
      </x:c>
      <x:c r="F10" s="22" t="n">
        <x:v>14</x:v>
      </x:c>
      <x:c r="G10" s="22" t="n">
        <x:f>wimbledons_champions!G18</x:f>
        <x:v>77</x:v>
      </x:c>
      <x:c r="H10" s="25" t="str">
        <x:f>wimbledons_champions!H18</x:f>
        <x:v>7-5,6-0</x:v>
      </x:c>
      <x:c r="I10" s="25" t="inlineStr">
        <x:is>
          <x:t xml:space="preserve">V.E.S. Williams</x:t>
        </x:is>
      </x:c>
      <x:c r="J10" s="22" t="inlineStr">
        <x:is>
          <x:t xml:space="preserve">USA</x:t>
        </x:is>
      </x:c>
      <x:c r="K10" s="25" t="inlineStr">
        <x:is>
          <x:t xml:space="preserve">United States</x:t>
        </x:is>
      </x:c>
      <x:c r="L10" s="22" t="n">
        <x:v>10</x:v>
      </x:c>
      <x:c r="M10" s="18" t="n">
        <x:v>0.7222222222222222</x:v>
      </x:c>
      <x:c r="N10" s="18" t="n"/>
      <x:c r="O10" s="19" t="inlineStr">
        <x:is>
          <x:t xml:space="preserve">7</x:t>
        </x:is>
      </x:c>
      <x:c r="P10" s="19" t="n">
        <x:v>5</x:v>
      </x:c>
      <x:c r="Q10" s="19" t="n">
        <x:v>6</x:v>
      </x:c>
      <x:c r="R10" s="19" t="n">
        <x:v>0</x:v>
      </x:c>
      <x:c r="S10" s="19" t="n"/>
      <x:c r="T10" s="19" t="n"/>
      <x:c r="U10" s="19" t="n"/>
      <x:c r="V10" s="19" t="n"/>
      <x:c r="W10" s="19" t="n"/>
      <x:c r="X10" s="19" t="n"/>
      <x:c r="Y10" s="20" t="n">
        <x:f>SUM(O10+Q10+S10+U10+W10)</x:f>
        <x:v>13</x:v>
      </x:c>
      <x:c r="Z10" s="20" t="n">
        <x:f>SUM(P10+R10+T10+V10+X10)</x:f>
        <x:v>5</x:v>
      </x:c>
      <x:c r="AA10" s="21" t="n">
        <x:f>Y10/(Y10+Z10)</x:f>
        <x:v>0.7222222222222222</x:v>
      </x:c>
    </x:row>
    <x:row r="11">
      <x:c r="A11" s="22" t="n">
        <x:f>wimbledons_champions!A19</x:f>
        <x:v>2017</x:v>
      </x:c>
      <x:c r="B11" s="25" t="str">
        <x:f>wimbledons_champions!B19</x:f>
        <x:v>Men's</x:v>
      </x:c>
      <x:c r="C11" s="25" t="inlineStr">
        <x:is>
          <x:t xml:space="preserve">R. Federer</x:t>
        </x:is>
      </x:c>
      <x:c r="D11" s="22" t="inlineStr">
        <x:is>
          <x:t xml:space="preserve">SUI</x:t>
        </x:is>
      </x:c>
      <x:c r="E11" s="25" t="inlineStr">
        <x:is>
          <x:t xml:space="preserve">Switzerland</x:t>
        </x:is>
      </x:c>
      <x:c r="F11" s="22" t="n">
        <x:v>3</x:v>
      </x:c>
      <x:c r="G11" s="22" t="n">
        <x:f>wimbledons_champions!G19</x:f>
        <x:v>101</x:v>
      </x:c>
      <x:c r="H11" s="25" t="str">
        <x:f>wimbledons_champions!H19</x:f>
        <x:v>6-3,6-1,6-4</x:v>
      </x:c>
      <x:c r="I11" s="25" t="inlineStr">
        <x:is>
          <x:t xml:space="preserve">M.Cilic</x:t>
        </x:is>
      </x:c>
      <x:c r="J11" s="22" t="inlineStr">
        <x:is>
          <x:t xml:space="preserve">CRO</x:t>
        </x:is>
      </x:c>
      <x:c r="K11" s="25" t="inlineStr">
        <x:is>
          <x:t xml:space="preserve">Croatia</x:t>
        </x:is>
      </x:c>
      <x:c r="L11" s="22" t="n">
        <x:v>7</x:v>
      </x:c>
      <x:c r="M11" s="18" t="n">
        <x:v>0.6923076923076923</x:v>
      </x:c>
      <x:c r="N11" s="18" t="n"/>
      <x:c r="O11" s="19" t="inlineStr">
        <x:is>
          <x:t xml:space="preserve">6</x:t>
        </x:is>
      </x:c>
      <x:c r="P11" s="19" t="n">
        <x:v>3</x:v>
      </x:c>
      <x:c r="Q11" s="19" t="n">
        <x:v>6</x:v>
      </x:c>
      <x:c r="R11" s="19" t="n">
        <x:v>1</x:v>
      </x:c>
      <x:c r="S11" s="19" t="n">
        <x:v>6</x:v>
      </x:c>
      <x:c r="T11" s="19" t="n">
        <x:v>4</x:v>
      </x:c>
      <x:c r="U11" s="19" t="n"/>
      <x:c r="V11" s="19" t="n"/>
      <x:c r="W11" s="19" t="n"/>
      <x:c r="X11" s="19" t="n"/>
      <x:c r="Y11" s="20" t="n">
        <x:f>SUM(O11+Q11+S11+U11+W11)</x:f>
        <x:v>18</x:v>
      </x:c>
      <x:c r="Z11" s="20" t="n">
        <x:f>SUM(P11+R11+T11+V11+X11)</x:f>
        <x:v>8</x:v>
      </x:c>
      <x:c r="AA11" s="21" t="n">
        <x:f>Y11/(Y11+Z11)</x:f>
        <x:v>0.6923076923076923</x:v>
      </x:c>
    </x:row>
    <x:row r="12">
      <x:c r="A12" s="22" t="n">
        <x:f>wimbledons_champions!A20</x:f>
        <x:v>2016</x:v>
      </x:c>
      <x:c r="B12" s="25" t="str">
        <x:f>wimbledons_champions!B20</x:f>
        <x:v>Women's</x:v>
      </x:c>
      <x:c r="C12" s="25" t="inlineStr">
        <x:is>
          <x:t xml:space="preserve">S. Williams</x:t>
        </x:is>
      </x:c>
      <x:c r="D12" s="22" t="inlineStr">
        <x:is>
          <x:t xml:space="preserve">USA</x:t>
        </x:is>
      </x:c>
      <x:c r="E12" s="25" t="inlineStr">
        <x:is>
          <x:t xml:space="preserve">United States</x:t>
        </x:is>
      </x:c>
      <x:c r="F12" s="22" t="n">
        <x:v>1</x:v>
      </x:c>
      <x:c r="G12" s="22" t="n">
        <x:f>wimbledons_champions!G20</x:f>
        <x:v>83</x:v>
      </x:c>
      <x:c r="H12" s="25" t="str">
        <x:f>wimbledons_champions!H20</x:f>
        <x:v>7-5, 6-3</x:v>
      </x:c>
      <x:c r="I12" s="25" t="inlineStr">
        <x:is>
          <x:t xml:space="preserve">A. Kerber</x:t>
        </x:is>
      </x:c>
      <x:c r="J12" s="22" t="inlineStr">
        <x:is>
          <x:t xml:space="preserve">GER</x:t>
        </x:is>
      </x:c>
      <x:c r="K12" s="25" t="inlineStr">
        <x:is>
          <x:t xml:space="preserve">Germany</x:t>
        </x:is>
      </x:c>
      <x:c r="L12" s="22" t="n">
        <x:v>4</x:v>
      </x:c>
      <x:c r="M12" s="18" t="n">
        <x:v>0.6190476190476191</x:v>
      </x:c>
      <x:c r="N12" s="18" t="n"/>
      <x:c r="O12" s="19" t="inlineStr">
        <x:is>
          <x:t xml:space="preserve">7</x:t>
        </x:is>
      </x:c>
      <x:c r="P12" s="19" t="n">
        <x:v>5</x:v>
      </x:c>
      <x:c r="Q12" s="19" t="n">
        <x:v>6</x:v>
      </x:c>
      <x:c r="R12" s="19" t="n">
        <x:v>3</x:v>
      </x:c>
      <x:c r="S12" s="19" t="n"/>
      <x:c r="T12" s="19" t="n"/>
      <x:c r="U12" s="19" t="n"/>
      <x:c r="V12" s="19" t="n"/>
      <x:c r="W12" s="19" t="n"/>
      <x:c r="X12" s="19" t="n"/>
      <x:c r="Y12" s="20" t="n">
        <x:f>SUM(O12+Q12+S12+U12+W12)</x:f>
        <x:v>13</x:v>
      </x:c>
      <x:c r="Z12" s="20" t="n">
        <x:f>SUM(P12+R12+T12+V12+X12)</x:f>
        <x:v>8</x:v>
      </x:c>
      <x:c r="AA12" s="21" t="n">
        <x:f>Y12/(Y12+Z12)</x:f>
        <x:v>0.6190476190476191</x:v>
      </x:c>
    </x:row>
    <x:row r="13">
      <x:c r="A13" s="22" t="n">
        <x:f>wimbledons_champions!A21</x:f>
        <x:v>2016</x:v>
      </x:c>
      <x:c r="B13" s="25" t="str">
        <x:f>wimbledons_champions!B21</x:f>
        <x:v>Men's</x:v>
      </x:c>
      <x:c r="C13" s="25" t="inlineStr">
        <x:is>
          <x:t xml:space="preserve">A. Murray</x:t>
        </x:is>
      </x:c>
      <x:c r="D13" s="22" t="inlineStr">
        <x:is>
          <x:t xml:space="preserve">GBR</x:t>
        </x:is>
      </x:c>
      <x:c r="E13" s="25" t="inlineStr">
        <x:is>
          <x:t xml:space="preserve">United Kingdom</x:t>
        </x:is>
      </x:c>
      <x:c r="F13" s="22" t="n">
        <x:v>2</x:v>
      </x:c>
      <x:c r="G13" s="22" t="n">
        <x:f>wimbledons_champions!G21</x:f>
        <x:v>170</x:v>
      </x:c>
      <x:c r="H13" s="25" t="str">
        <x:f>wimbledons_champions!H21</x:f>
        <x:v>6-4, 7-6(7-3), 7-6(7-2)</x:v>
      </x:c>
      <x:c r="I13" s="25" t="inlineStr">
        <x:is>
          <x:t xml:space="preserve">M. Raonic</x:t>
        </x:is>
      </x:c>
      <x:c r="J13" s="22" t="inlineStr">
        <x:is>
          <x:t xml:space="preserve">CND</x:t>
        </x:is>
      </x:c>
      <x:c r="K13" s="25" t="inlineStr">
        <x:is>
          <x:t xml:space="preserve">Canada</x:t>
        </x:is>
      </x:c>
      <x:c r="L13" s="22" t="n">
        <x:v>6</x:v>
      </x:c>
      <x:c r="M13" s="18" t="n">
        <x:v>0.5555555555555556</x:v>
      </x:c>
      <x:c r="N13" s="18" t="n"/>
      <x:c r="O13" s="19" t="inlineStr">
        <x:is>
          <x:t xml:space="preserve">6</x:t>
        </x:is>
      </x:c>
      <x:c r="P13" s="19" t="n">
        <x:v>4</x:v>
      </x:c>
      <x:c r="Q13" s="19" t="n">
        <x:v>7</x:v>
      </x:c>
      <x:c r="R13" s="19" t="n">
        <x:v>6</x:v>
      </x:c>
      <x:c r="S13" s="19" t="n">
        <x:v>7</x:v>
      </x:c>
      <x:c r="T13" s="19" t="n">
        <x:v>6</x:v>
      </x:c>
      <x:c r="U13" s="19" t="n"/>
      <x:c r="V13" s="19" t="n"/>
      <x:c r="W13" s="19" t="n"/>
      <x:c r="X13" s="19" t="n"/>
      <x:c r="Y13" s="20" t="n">
        <x:f>SUM(O13+Q13+S13+U13+W13)</x:f>
        <x:v>20</x:v>
      </x:c>
      <x:c r="Z13" s="20" t="n">
        <x:f>SUM(P13+R13+T13+V13+X13)</x:f>
        <x:v>16</x:v>
      </x:c>
      <x:c r="AA13" s="21" t="n">
        <x:f>Y13/(Y13+Z13)</x:f>
        <x:v>0.5555555555555556</x:v>
      </x:c>
    </x:row>
    <x:row r="14">
      <x:c r="A14" s="22" t="n">
        <x:f>wimbledons_champions!A22</x:f>
        <x:v>2015</x:v>
      </x:c>
      <x:c r="B14" s="25" t="str">
        <x:f>wimbledons_champions!B22</x:f>
        <x:v>Women's</x:v>
      </x:c>
      <x:c r="C14" s="25" t="inlineStr">
        <x:is>
          <x:t xml:space="preserve">S. Williams</x:t>
        </x:is>
      </x:c>
      <x:c r="D14" s="22" t="inlineStr">
        <x:is>
          <x:t xml:space="preserve">USA</x:t>
        </x:is>
      </x:c>
      <x:c r="E14" s="25" t="inlineStr">
        <x:is>
          <x:t xml:space="preserve">United States</x:t>
        </x:is>
      </x:c>
      <x:c r="F14" s="22" t="n">
        <x:v>1</x:v>
      </x:c>
      <x:c r="G14" s="22" t="n">
        <x:f>wimbledons_champions!G22</x:f>
        <x:v>83</x:v>
      </x:c>
      <x:c r="H14" s="25" t="str">
        <x:f>wimbledons_champions!H22</x:f>
        <x:v>6-4, 6-4</x:v>
      </x:c>
      <x:c r="I14" s="25" t="inlineStr">
        <x:is>
          <x:t xml:space="preserve">G. Muguruza</x:t>
        </x:is>
      </x:c>
      <x:c r="J14" s="22" t="inlineStr">
        <x:is>
          <x:t xml:space="preserve">ESP</x:t>
        </x:is>
      </x:c>
      <x:c r="K14" s="25" t="inlineStr">
        <x:is>
          <x:t xml:space="preserve">Spain</x:t>
        </x:is>
      </x:c>
      <x:c r="L14" s="22" t="n">
        <x:v>20</x:v>
      </x:c>
      <x:c r="M14" s="18" t="n">
        <x:v>0.6</x:v>
      </x:c>
      <x:c r="N14" s="18" t="n"/>
      <x:c r="O14" s="19" t="inlineStr">
        <x:is>
          <x:t xml:space="preserve">6</x:t>
        </x:is>
      </x:c>
      <x:c r="P14" s="19" t="n">
        <x:v>4</x:v>
      </x:c>
      <x:c r="Q14" s="19" t="n">
        <x:v>6</x:v>
      </x:c>
      <x:c r="R14" s="19" t="n">
        <x:v>4</x:v>
      </x:c>
      <x:c r="S14" s="19" t="n"/>
      <x:c r="T14" s="19" t="n"/>
      <x:c r="U14" s="19" t="n"/>
      <x:c r="V14" s="19" t="n"/>
      <x:c r="W14" s="19" t="n"/>
      <x:c r="X14" s="19" t="n"/>
      <x:c r="Y14" s="20" t="n">
        <x:f>SUM(O14+Q14+S14+U14+W14)</x:f>
        <x:v>12</x:v>
      </x:c>
      <x:c r="Z14" s="20" t="n">
        <x:f>SUM(P14+R14+T14+V14+X14)</x:f>
        <x:v>8</x:v>
      </x:c>
      <x:c r="AA14" s="21" t="n">
        <x:f>Y14/(Y14+Z14)</x:f>
        <x:v>0.6</x:v>
      </x:c>
    </x:row>
    <x:row r="15">
      <x:c r="A15" s="22" t="n">
        <x:f>wimbledons_champions!A23</x:f>
        <x:v>2015</x:v>
      </x:c>
      <x:c r="B15" s="25" t="str">
        <x:f>wimbledons_champions!B23</x:f>
        <x:v>Men's</x:v>
      </x:c>
      <x:c r="C15" s="25" t="inlineStr">
        <x:is>
          <x:t xml:space="preserve">N. Djokovic</x:t>
        </x:is>
      </x:c>
      <x:c r="D15" s="22" t="inlineStr">
        <x:is>
          <x:t xml:space="preserve">SRB</x:t>
        </x:is>
      </x:c>
      <x:c r="E15" s="25" t="inlineStr">
        <x:is>
          <x:t xml:space="preserve">Serbia</x:t>
        </x:is>
      </x:c>
      <x:c r="F15" s="22" t="n">
        <x:v>1</x:v>
      </x:c>
      <x:c r="G15" s="22" t="n">
        <x:f>wimbledons_champions!G23</x:f>
        <x:v>176</x:v>
      </x:c>
      <x:c r="H15" s="25" t="str">
        <x:f>wimbledons_champions!H23</x:f>
        <x:v>7-6(7-1), 6-7(10-12), 6-4, 6-3</x:v>
      </x:c>
      <x:c r="I15" s="25" t="inlineStr">
        <x:is>
          <x:t xml:space="preserve">R. Federer</x:t>
        </x:is>
      </x:c>
      <x:c r="J15" s="22" t="inlineStr">
        <x:is>
          <x:t xml:space="preserve">SUI</x:t>
        </x:is>
      </x:c>
      <x:c r="K15" s="25" t="inlineStr">
        <x:is>
          <x:t xml:space="preserve">Switzerland</x:t>
        </x:is>
      </x:c>
      <x:c r="L15" s="22" t="n">
        <x:v>2</x:v>
      </x:c>
      <x:c r="M15" s="18" t="n">
        <x:v>0.5555555555555556</x:v>
      </x:c>
      <x:c r="N15" s="18" t="n"/>
      <x:c r="O15" s="19" t="inlineStr">
        <x:is>
          <x:t xml:space="preserve">7</x:t>
        </x:is>
      </x:c>
      <x:c r="P15" s="19" t="n">
        <x:v>6</x:v>
      </x:c>
      <x:c r="Q15" s="19" t="n">
        <x:v>6</x:v>
      </x:c>
      <x:c r="R15" s="19" t="n">
        <x:v>7</x:v>
      </x:c>
      <x:c r="S15" s="19" t="n">
        <x:v>6</x:v>
      </x:c>
      <x:c r="T15" s="19" t="n">
        <x:v>4</x:v>
      </x:c>
      <x:c r="U15" s="19" t="n">
        <x:v>6</x:v>
      </x:c>
      <x:c r="V15" s="19" t="n">
        <x:v>3</x:v>
      </x:c>
      <x:c r="W15" s="19" t="n"/>
      <x:c r="X15" s="19" t="n"/>
      <x:c r="Y15" s="20" t="n">
        <x:f>SUM(O15+Q15+S15+U15+W15)</x:f>
        <x:v>25</x:v>
      </x:c>
      <x:c r="Z15" s="20" t="n">
        <x:f>SUM(P15+R15+T15+V15+X15)</x:f>
        <x:v>20</x:v>
      </x:c>
      <x:c r="AA15" s="21" t="n">
        <x:f>Y15/(Y15+Z15)</x:f>
        <x:v>0.5555555555555556</x:v>
      </x:c>
    </x:row>
    <x:row r="16">
      <x:c r="A16" s="22" t="n">
        <x:f>wimbledons_champions!A24</x:f>
        <x:v>2014</x:v>
      </x:c>
      <x:c r="B16" s="25" t="str">
        <x:f>wimbledons_champions!B24</x:f>
        <x:v>Women's</x:v>
      </x:c>
      <x:c r="C16" s="25" t="inlineStr">
        <x:is>
          <x:t xml:space="preserve">P. Kvitová</x:t>
        </x:is>
      </x:c>
      <x:c r="D16" s="22" t="inlineStr">
        <x:is>
          <x:t xml:space="preserve">CZE</x:t>
        </x:is>
      </x:c>
      <x:c r="E16" s="25" t="inlineStr">
        <x:is>
          <x:t xml:space="preserve">Czechia</x:t>
        </x:is>
      </x:c>
      <x:c r="F16" s="22" t="n">
        <x:v>6</x:v>
      </x:c>
      <x:c r="G16" s="22" t="n">
        <x:f>wimbledons_champions!G24</x:f>
        <x:v>55</x:v>
      </x:c>
      <x:c r="H16" s="25" t="str">
        <x:f>wimbledons_champions!H24</x:f>
        <x:v>6-3, 6-0</x:v>
      </x:c>
      <x:c r="I16" s="25" t="inlineStr">
        <x:is>
          <x:t xml:space="preserve">E. Bouchard</x:t>
        </x:is>
      </x:c>
      <x:c r="J16" s="22" t="inlineStr">
        <x:is>
          <x:t xml:space="preserve">CND</x:t>
        </x:is>
      </x:c>
      <x:c r="K16" s="25" t="inlineStr">
        <x:is>
          <x:t xml:space="preserve">Canada</x:t>
        </x:is>
      </x:c>
      <x:c r="L16" s="22" t="n">
        <x:v>13</x:v>
      </x:c>
      <x:c r="M16" s="18" t="n">
        <x:v>0.8</x:v>
      </x:c>
      <x:c r="N16" s="18" t="n"/>
      <x:c r="O16" s="19" t="inlineStr">
        <x:is>
          <x:t xml:space="preserve">6</x:t>
        </x:is>
      </x:c>
      <x:c r="P16" s="19" t="n">
        <x:v>3</x:v>
      </x:c>
      <x:c r="Q16" s="19" t="n">
        <x:v>6</x:v>
      </x:c>
      <x:c r="R16" s="19" t="n">
        <x:v>0</x:v>
      </x:c>
      <x:c r="S16" s="19" t="n"/>
      <x:c r="T16" s="19" t="n"/>
      <x:c r="U16" s="19" t="n"/>
      <x:c r="V16" s="19" t="n"/>
      <x:c r="W16" s="19" t="n"/>
      <x:c r="X16" s="19" t="n"/>
      <x:c r="Y16" s="20" t="n">
        <x:f>SUM(O16+Q16+S16+U16+W16)</x:f>
        <x:v>12</x:v>
      </x:c>
      <x:c r="Z16" s="20" t="n">
        <x:f>SUM(P16+R16+T16+V16+X16)</x:f>
        <x:v>3</x:v>
      </x:c>
      <x:c r="AA16" s="21" t="n">
        <x:f>Y16/(Y16+Z16)</x:f>
        <x:v>0.8</x:v>
      </x:c>
    </x:row>
    <x:row r="17">
      <x:c r="A17" s="22" t="n">
        <x:f>wimbledons_champions!A25</x:f>
        <x:v>2014</x:v>
      </x:c>
      <x:c r="B17" s="25" t="str">
        <x:f>wimbledons_champions!B25</x:f>
        <x:v>Men's</x:v>
      </x:c>
      <x:c r="C17" s="25" t="inlineStr">
        <x:is>
          <x:t xml:space="preserve">N. Djokovic</x:t>
        </x:is>
      </x:c>
      <x:c r="D17" s="22" t="inlineStr">
        <x:is>
          <x:t xml:space="preserve">SRB</x:t>
        </x:is>
      </x:c>
      <x:c r="E17" s="25" t="inlineStr">
        <x:is>
          <x:t xml:space="preserve">Serbia</x:t>
        </x:is>
      </x:c>
      <x:c r="F17" s="22" t="n">
        <x:v>1</x:v>
      </x:c>
      <x:c r="G17" s="22" t="n">
        <x:f>wimbledons_champions!G25</x:f>
        <x:v>236</x:v>
      </x:c>
      <x:c r="H17" s="25" t="str">
        <x:f>wimbledons_champions!H25</x:f>
        <x:v>6-7(7-9), 6-4, 7-6(7-4), 5-7, 6-4</x:v>
      </x:c>
      <x:c r="I17" s="25" t="inlineStr">
        <x:is>
          <x:t xml:space="preserve">R. Federer</x:t>
        </x:is>
      </x:c>
      <x:c r="J17" s="22" t="inlineStr">
        <x:is>
          <x:t xml:space="preserve">SUI</x:t>
        </x:is>
      </x:c>
      <x:c r="K17" s="25" t="inlineStr">
        <x:is>
          <x:t xml:space="preserve">Switzerland</x:t>
        </x:is>
      </x:c>
      <x:c r="L17" s="22" t="n">
        <x:v>4</x:v>
      </x:c>
      <x:c r="M17" s="18" t="n">
        <x:v>0.5172413793103449</x:v>
      </x:c>
      <x:c r="N17" s="18" t="n"/>
      <x:c r="O17" s="19" t="inlineStr">
        <x:is>
          <x:t xml:space="preserve">6</x:t>
        </x:is>
      </x:c>
      <x:c r="P17" s="19" t="n">
        <x:v>7</x:v>
      </x:c>
      <x:c r="Q17" s="19" t="n">
        <x:v>6</x:v>
      </x:c>
      <x:c r="R17" s="19" t="n">
        <x:v>4</x:v>
      </x:c>
      <x:c r="S17" s="19" t="n">
        <x:v>7</x:v>
      </x:c>
      <x:c r="T17" s="19" t="n">
        <x:v>6</x:v>
      </x:c>
      <x:c r="U17" s="19" t="n">
        <x:v>5</x:v>
      </x:c>
      <x:c r="V17" s="19" t="n">
        <x:v>7</x:v>
      </x:c>
      <x:c r="W17" s="19" t="inlineStr">
        <x:is>
          <x:t xml:space="preserve">6</x:t>
        </x:is>
      </x:c>
      <x:c r="X17" s="19" t="n">
        <x:v>4</x:v>
      </x:c>
      <x:c r="Y17" s="20" t="n">
        <x:f>SUM(O17+Q17+S17+U17+W17)</x:f>
        <x:v>30</x:v>
      </x:c>
      <x:c r="Z17" s="20" t="n">
        <x:f>SUM(P17+R17+T17+V17+X17)</x:f>
        <x:v>28</x:v>
      </x:c>
      <x:c r="AA17" s="21" t="n">
        <x:f>Y17/(Y17+Z17)</x:f>
        <x:v>0.5172413793103449</x:v>
      </x:c>
    </x:row>
    <x:row r="18">
      <x:c r="A18" s="22" t="n">
        <x:f>wimbledons_champions!A26</x:f>
        <x:v>2013</x:v>
      </x:c>
      <x:c r="B18" s="25" t="str">
        <x:f>wimbledons_champions!B26</x:f>
        <x:v>Women's</x:v>
      </x:c>
      <x:c r="C18" s="25" t="inlineStr">
        <x:is>
          <x:t xml:space="preserve">M. Bartoli</x:t>
        </x:is>
      </x:c>
      <x:c r="D18" s="22" t="inlineStr">
        <x:is>
          <x:t xml:space="preserve">FRA</x:t>
        </x:is>
      </x:c>
      <x:c r="E18" s="25" t="inlineStr">
        <x:is>
          <x:t xml:space="preserve">France</x:t>
        </x:is>
      </x:c>
      <x:c r="F18" s="22" t="n">
        <x:v>15</x:v>
      </x:c>
      <x:c r="G18" s="22" t="n">
        <x:f>wimbledons_champions!G26</x:f>
        <x:v>81</x:v>
      </x:c>
      <x:c r="H18" s="25" t="str">
        <x:f>wimbledons_champions!H26</x:f>
        <x:v>6-2,1-6,6-4</x:v>
      </x:c>
      <x:c r="I18" s="25" t="inlineStr">
        <x:is>
          <x:t xml:space="preserve">S. Lisicki</x:t>
        </x:is>
      </x:c>
      <x:c r="J18" s="22" t="inlineStr">
        <x:is>
          <x:t xml:space="preserve">GER</x:t>
        </x:is>
      </x:c>
      <x:c r="K18" s="25" t="inlineStr">
        <x:is>
          <x:t xml:space="preserve">Germany</x:t>
        </x:is>
      </x:c>
      <x:c r="L18" s="22" t="n">
        <x:v>23</x:v>
      </x:c>
      <x:c r="M18" s="18" t="n">
        <x:v>0.52</x:v>
      </x:c>
      <x:c r="N18" s="18" t="n"/>
      <x:c r="O18" s="19" t="inlineStr">
        <x:is>
          <x:t xml:space="preserve">6</x:t>
        </x:is>
      </x:c>
      <x:c r="P18" s="19" t="n">
        <x:v>2</x:v>
      </x:c>
      <x:c r="Q18" s="19" t="n">
        <x:v>1</x:v>
      </x:c>
      <x:c r="R18" s="19" t="n">
        <x:v>6</x:v>
      </x:c>
      <x:c r="S18" s="19" t="n">
        <x:v>6</x:v>
      </x:c>
      <x:c r="T18" s="19" t="n">
        <x:v>4</x:v>
      </x:c>
      <x:c r="U18" s="19" t="n"/>
      <x:c r="V18" s="19" t="n"/>
      <x:c r="W18" s="19" t="n"/>
      <x:c r="X18" s="19" t="n"/>
      <x:c r="Y18" s="20" t="n">
        <x:f>SUM(O18+Q18+S18+U18+W18)</x:f>
        <x:v>13</x:v>
      </x:c>
      <x:c r="Z18" s="20" t="n">
        <x:f>SUM(P18+R18+T18+V18+X18)</x:f>
        <x:v>12</x:v>
      </x:c>
      <x:c r="AA18" s="21" t="n">
        <x:f>Y18/(Y18+Z18)</x:f>
        <x:v>0.52</x:v>
      </x:c>
    </x:row>
    <x:row r="19">
      <x:c r="A19" s="22" t="n">
        <x:f>wimbledons_champions!A27</x:f>
        <x:v>2013</x:v>
      </x:c>
      <x:c r="B19" s="25" t="str">
        <x:f>wimbledons_champions!B27</x:f>
        <x:v>Men's</x:v>
      </x:c>
      <x:c r="C19" s="25" t="inlineStr">
        <x:is>
          <x:t xml:space="preserve">A. Murray</x:t>
        </x:is>
      </x:c>
      <x:c r="D19" s="22" t="inlineStr">
        <x:is>
          <x:t xml:space="preserve">GBR</x:t>
        </x:is>
      </x:c>
      <x:c r="E19" s="25" t="inlineStr">
        <x:is>
          <x:t xml:space="preserve">United Kingdom</x:t>
        </x:is>
      </x:c>
      <x:c r="F19" s="22" t="n">
        <x:v>2</x:v>
      </x:c>
      <x:c r="G19" s="22" t="n">
        <x:f>wimbledons_champions!G27</x:f>
        <x:v>134</x:v>
      </x:c>
      <x:c r="H19" s="25" t="str">
        <x:f>wimbledons_champions!H27</x:f>
        <x:v>6-4, 7-5, 6-4</x:v>
      </x:c>
      <x:c r="I19" s="25" t="inlineStr">
        <x:is>
          <x:t xml:space="preserve">N. Djokovic</x:t>
        </x:is>
      </x:c>
      <x:c r="J19" s="22" t="inlineStr">
        <x:is>
          <x:t xml:space="preserve">SRB</x:t>
        </x:is>
      </x:c>
      <x:c r="K19" s="25" t="inlineStr">
        <x:is>
          <x:t xml:space="preserve">Serbia</x:t>
        </x:is>
      </x:c>
      <x:c r="L19" s="22" t="n">
        <x:v>1</x:v>
      </x:c>
      <x:c r="M19" s="18" t="n">
        <x:v>0.59375</x:v>
      </x:c>
      <x:c r="N19" s="18" t="n"/>
      <x:c r="O19" s="19" t="inlineStr">
        <x:is>
          <x:t xml:space="preserve">6</x:t>
        </x:is>
      </x:c>
      <x:c r="P19" s="19" t="n">
        <x:v>4</x:v>
      </x:c>
      <x:c r="Q19" s="19" t="n">
        <x:v>7</x:v>
      </x:c>
      <x:c r="R19" s="19" t="n">
        <x:v>5</x:v>
      </x:c>
      <x:c r="S19" s="19" t="n">
        <x:v>6</x:v>
      </x:c>
      <x:c r="T19" s="19" t="n">
        <x:v>4</x:v>
      </x:c>
      <x:c r="U19" s="19" t="n"/>
      <x:c r="V19" s="19" t="n"/>
      <x:c r="W19" s="19" t="n"/>
      <x:c r="X19" s="19" t="n"/>
      <x:c r="Y19" s="20" t="n">
        <x:f>SUM(O19+Q19+S19+U19+W19)</x:f>
        <x:v>19</x:v>
      </x:c>
      <x:c r="Z19" s="20" t="n">
        <x:f>SUM(P19+R19+T19+V19+X19)</x:f>
        <x:v>13</x:v>
      </x:c>
      <x:c r="AA19" s="21" t="n">
        <x:f>Y19/(Y19+Z19)</x:f>
        <x:v>0.59375</x:v>
      </x:c>
    </x:row>
    <x:row r="20">
      <x:c r="A20" s="22" t="n">
        <x:f>wimbledons_champions!A28</x:f>
        <x:v>2012</x:v>
      </x:c>
      <x:c r="B20" s="25" t="str">
        <x:f>wimbledons_champions!B28</x:f>
        <x:v>Women's</x:v>
      </x:c>
      <x:c r="C20" s="25" t="inlineStr">
        <x:is>
          <x:t xml:space="preserve">S. Williams</x:t>
        </x:is>
      </x:c>
      <x:c r="D20" s="22" t="inlineStr">
        <x:is>
          <x:t xml:space="preserve">USA</x:t>
        </x:is>
      </x:c>
      <x:c r="E20" s="25" t="inlineStr">
        <x:is>
          <x:t xml:space="preserve">United States</x:t>
        </x:is>
      </x:c>
      <x:c r="F20" s="22" t="n">
        <x:v>6</x:v>
      </x:c>
      <x:c r="G20" s="22" t="n">
        <x:f>wimbledons_champions!G28</x:f>
        <x:v>122</x:v>
      </x:c>
      <x:c r="H20" s="25" t="str">
        <x:f>wimbledons_champions!H28</x:f>
        <x:v>6-1, 5-7, 6-2</x:v>
      </x:c>
      <x:c r="I20" s="25" t="inlineStr">
        <x:is>
          <x:t xml:space="preserve">A. Radwańska</x:t>
        </x:is>
      </x:c>
      <x:c r="J20" s="22" t="inlineStr">
        <x:is>
          <x:t xml:space="preserve">POL</x:t>
        </x:is>
      </x:c>
      <x:c r="K20" s="25" t="inlineStr">
        <x:is>
          <x:t xml:space="preserve">Poland</x:t>
        </x:is>
      </x:c>
      <x:c r="L20" s="22" t="n">
        <x:v>3</x:v>
      </x:c>
      <x:c r="M20" s="18" t="n">
        <x:v>0.6296296296296297</x:v>
      </x:c>
      <x:c r="N20" s="18" t="n"/>
      <x:c r="O20" s="19" t="inlineStr">
        <x:is>
          <x:t xml:space="preserve">6</x:t>
        </x:is>
      </x:c>
      <x:c r="P20" s="19" t="n">
        <x:v>1</x:v>
      </x:c>
      <x:c r="Q20" s="19" t="n">
        <x:v>5</x:v>
      </x:c>
      <x:c r="R20" s="19" t="n">
        <x:v>7</x:v>
      </x:c>
      <x:c r="S20" s="19" t="n">
        <x:v>6</x:v>
      </x:c>
      <x:c r="T20" s="19" t="n">
        <x:v>2</x:v>
      </x:c>
      <x:c r="U20" s="19" t="n"/>
      <x:c r="V20" s="19" t="n"/>
      <x:c r="W20" s="19" t="n"/>
      <x:c r="X20" s="19" t="n"/>
      <x:c r="Y20" s="20" t="n">
        <x:f>SUM(O20+Q20+S20+U20+W20)</x:f>
        <x:v>17</x:v>
      </x:c>
      <x:c r="Z20" s="20" t="n">
        <x:f>SUM(P20+R20+T20+V20+X20)</x:f>
        <x:v>10</x:v>
      </x:c>
      <x:c r="AA20" s="21" t="n">
        <x:f>Y20/(Y20+Z20)</x:f>
        <x:v>0.6296296296296297</x:v>
      </x:c>
    </x:row>
    <x:row r="21">
      <x:c r="A21" s="22" t="n">
        <x:f>wimbledons_champions!A29</x:f>
        <x:v>2012</x:v>
      </x:c>
      <x:c r="B21" s="25" t="str">
        <x:f>wimbledons_champions!B29</x:f>
        <x:v>Men's</x:v>
      </x:c>
      <x:c r="C21" s="25" t="inlineStr">
        <x:is>
          <x:t xml:space="preserve">R. Federer</x:t>
        </x:is>
      </x:c>
      <x:c r="D21" s="22" t="inlineStr">
        <x:is>
          <x:t xml:space="preserve">SUI</x:t>
        </x:is>
      </x:c>
      <x:c r="E21" s="25" t="inlineStr">
        <x:is>
          <x:t xml:space="preserve">Switzerland</x:t>
        </x:is>
      </x:c>
      <x:c r="F21" s="22" t="n">
        <x:v>3</x:v>
      </x:c>
      <x:c r="G21" s="22" t="n">
        <x:f>wimbledons_champions!G29</x:f>
        <x:v>204</x:v>
      </x:c>
      <x:c r="H21" s="25" t="str">
        <x:f>wimbledons_champions!H29</x:f>
        <x:v>4-6, 7-5, 6-3, 6-4</x:v>
      </x:c>
      <x:c r="I21" s="25" t="inlineStr">
        <x:is>
          <x:t xml:space="preserve">A. Murray</x:t>
        </x:is>
      </x:c>
      <x:c r="J21" s="22" t="inlineStr">
        <x:is>
          <x:t xml:space="preserve">GBR</x:t>
        </x:is>
      </x:c>
      <x:c r="K21" s="25" t="inlineStr">
        <x:is>
          <x:t xml:space="preserve">United Kingdom</x:t>
        </x:is>
      </x:c>
      <x:c r="L21" s="22" t="n">
        <x:v>4</x:v>
      </x:c>
      <x:c r="M21" s="18" t="n">
        <x:v>0.5609756097560976</x:v>
      </x:c>
      <x:c r="N21" s="18" t="n"/>
      <x:c r="O21" s="19" t="inlineStr">
        <x:is>
          <x:t xml:space="preserve">4</x:t>
        </x:is>
      </x:c>
      <x:c r="P21" s="19" t="n">
        <x:v>6</x:v>
      </x:c>
      <x:c r="Q21" s="19" t="n">
        <x:v>7</x:v>
      </x:c>
      <x:c r="R21" s="19" t="n">
        <x:v>5</x:v>
      </x:c>
      <x:c r="S21" s="19" t="n">
        <x:v>6</x:v>
      </x:c>
      <x:c r="T21" s="19" t="n">
        <x:v>3</x:v>
      </x:c>
      <x:c r="U21" s="19" t="n">
        <x:v>6</x:v>
      </x:c>
      <x:c r="V21" s="19" t="n">
        <x:v>4</x:v>
      </x:c>
      <x:c r="W21" s="19" t="n"/>
      <x:c r="X21" s="19" t="n"/>
      <x:c r="Y21" s="20" t="n">
        <x:f>SUM(O21+Q21+S21+U21+W21)</x:f>
        <x:v>23</x:v>
      </x:c>
      <x:c r="Z21" s="20" t="n">
        <x:f>SUM(P21+R21+T21+V21+X21)</x:f>
        <x:v>18</x:v>
      </x:c>
      <x:c r="AA21" s="21" t="n">
        <x:f>Y21/(Y21+Z21)</x:f>
        <x:v>0.5609756097560976</x:v>
      </x:c>
    </x:row>
    <x:row r="22">
      <x:c r="A22" s="22" t="n">
        <x:f>wimbledons_champions!A30</x:f>
        <x:v>2011</x:v>
      </x:c>
      <x:c r="B22" s="25" t="str">
        <x:f>wimbledons_champions!B30</x:f>
        <x:v>Women's</x:v>
      </x:c>
      <x:c r="C22" s="25" t="inlineStr">
        <x:is>
          <x:t xml:space="preserve">P. Kvitova</x:t>
        </x:is>
      </x:c>
      <x:c r="D22" s="22" t="inlineStr">
        <x:is>
          <x:t xml:space="preserve">CZE</x:t>
        </x:is>
      </x:c>
      <x:c r="E22" s="25" t="inlineStr">
        <x:is>
          <x:t xml:space="preserve">Czechia</x:t>
        </x:is>
      </x:c>
      <x:c r="F22" s="22" t="n">
        <x:v>8</x:v>
      </x:c>
      <x:c r="G22" s="22" t="n">
        <x:f>wimbledons_champions!G30</x:f>
        <x:v>85</x:v>
      </x:c>
      <x:c r="H22" s="25" t="str">
        <x:f>wimbledons_champions!H30</x:f>
        <x:v>6-3, 6-4</x:v>
      </x:c>
      <x:c r="I22" s="25" t="inlineStr">
        <x:is>
          <x:t xml:space="preserve">M. Sharapova</x:t>
        </x:is>
      </x:c>
      <x:c r="J22" s="22" t="inlineStr">
        <x:is>
          <x:t xml:space="preserve">RUS</x:t>
        </x:is>
      </x:c>
      <x:c r="K22" s="25" t="inlineStr">
        <x:is>
          <x:t xml:space="preserve">Russia</x:t>
        </x:is>
      </x:c>
      <x:c r="L22" s="22" t="n">
        <x:v>5</x:v>
      </x:c>
      <x:c r="M22" s="18" t="n">
        <x:v>0.631578947368421</x:v>
      </x:c>
      <x:c r="N22" s="18" t="n"/>
      <x:c r="O22" s="19" t="inlineStr">
        <x:is>
          <x:t xml:space="preserve">6</x:t>
        </x:is>
      </x:c>
      <x:c r="P22" s="19" t="n">
        <x:v>3</x:v>
      </x:c>
      <x:c r="Q22" s="19" t="n">
        <x:v>6</x:v>
      </x:c>
      <x:c r="R22" s="19" t="n">
        <x:v>4</x:v>
      </x:c>
      <x:c r="S22" s="19" t="n"/>
      <x:c r="T22" s="19" t="n"/>
      <x:c r="U22" s="19" t="n"/>
      <x:c r="V22" s="19" t="n"/>
      <x:c r="W22" s="19" t="n"/>
      <x:c r="X22" s="19" t="n"/>
      <x:c r="Y22" s="20" t="n">
        <x:f>SUM(O22+Q22+S22+U22+W22)</x:f>
        <x:v>12</x:v>
      </x:c>
      <x:c r="Z22" s="20" t="n">
        <x:f>SUM(P22+R22+T22+V22+X22)</x:f>
        <x:v>7</x:v>
      </x:c>
      <x:c r="AA22" s="21" t="n">
        <x:f>Y22/(Y22+Z22)</x:f>
        <x:v>0.631578947368421</x:v>
      </x:c>
    </x:row>
    <x:row r="23">
      <x:c r="A23" s="22" t="n">
        <x:f>wimbledons_champions!A31</x:f>
        <x:v>2011</x:v>
      </x:c>
      <x:c r="B23" s="25" t="str">
        <x:f>wimbledons_champions!B31</x:f>
        <x:v>Men's</x:v>
      </x:c>
      <x:c r="C23" s="25" t="inlineStr">
        <x:is>
          <x:t xml:space="preserve">N. Djokovic</x:t>
        </x:is>
      </x:c>
      <x:c r="D23" s="22" t="inlineStr">
        <x:is>
          <x:t xml:space="preserve">SRB</x:t>
        </x:is>
      </x:c>
      <x:c r="E23" s="25" t="inlineStr">
        <x:is>
          <x:t xml:space="preserve">Serbia</x:t>
        </x:is>
      </x:c>
      <x:c r="F23" s="22" t="n">
        <x:v>2</x:v>
      </x:c>
      <x:c r="G23" s="22" t="n">
        <x:f>wimbledons_champions!G31</x:f>
        <x:v>148</x:v>
      </x:c>
      <x:c r="H23" s="25" t="str">
        <x:f>wimbledons_champions!H31</x:f>
        <x:v>6-4 6-1 1-6 6-3</x:v>
      </x:c>
      <x:c r="I23" s="25" t="inlineStr">
        <x:is>
          <x:t xml:space="preserve">R. Nadal</x:t>
        </x:is>
      </x:c>
      <x:c r="J23" s="22" t="inlineStr">
        <x:is>
          <x:t xml:space="preserve">ESP</x:t>
        </x:is>
      </x:c>
      <x:c r="K23" s="25" t="inlineStr">
        <x:is>
          <x:t xml:space="preserve">Spain</x:t>
        </x:is>
      </x:c>
      <x:c r="L23" s="22" t="n">
        <x:v>1</x:v>
      </x:c>
      <x:c r="M23" s="18" t="n">
        <x:v>0.5757575757575758</x:v>
      </x:c>
      <x:c r="N23" s="18" t="n"/>
      <x:c r="O23" s="19" t="inlineStr">
        <x:is>
          <x:t xml:space="preserve">6</x:t>
        </x:is>
      </x:c>
      <x:c r="P23" s="19" t="n">
        <x:v>4</x:v>
      </x:c>
      <x:c r="Q23" s="19" t="n">
        <x:v>6</x:v>
      </x:c>
      <x:c r="R23" s="19" t="n">
        <x:v>1</x:v>
      </x:c>
      <x:c r="S23" s="19" t="n">
        <x:v>1</x:v>
      </x:c>
      <x:c r="T23" s="19" t="n">
        <x:v>6</x:v>
      </x:c>
      <x:c r="U23" s="19" t="n">
        <x:v>6</x:v>
      </x:c>
      <x:c r="V23" s="19" t="n">
        <x:v>3</x:v>
      </x:c>
      <x:c r="W23" s="19" t="n"/>
      <x:c r="X23" s="19" t="n"/>
      <x:c r="Y23" s="20" t="n">
        <x:f>SUM(O23+Q23+S23+U23+W23)</x:f>
        <x:v>19</x:v>
      </x:c>
      <x:c r="Z23" s="20" t="n">
        <x:f>SUM(P23+R23+T23+V23+X23)</x:f>
        <x:v>14</x:v>
      </x:c>
      <x:c r="AA23" s="21" t="n">
        <x:f>Y23/(Y23+Z23)</x:f>
        <x:v>0.5757575757575758</x:v>
      </x:c>
    </x:row>
    <x:row r="24">
      <x:c r="A24" s="22" t="n">
        <x:f>wimbledons_champions!A32</x:f>
        <x:v>2010</x:v>
      </x:c>
      <x:c r="B24" s="25" t="str">
        <x:f>wimbledons_champions!B32</x:f>
        <x:v>Women's</x:v>
      </x:c>
      <x:c r="C24" s="25" t="inlineStr">
        <x:is>
          <x:t xml:space="preserve">S. Williams</x:t>
        </x:is>
      </x:c>
      <x:c r="D24" s="22" t="inlineStr">
        <x:is>
          <x:t xml:space="preserve">USA</x:t>
        </x:is>
      </x:c>
      <x:c r="E24" s="25" t="inlineStr">
        <x:is>
          <x:t xml:space="preserve">United States</x:t>
        </x:is>
      </x:c>
      <x:c r="F24" s="22" t="n">
        <x:v>1</x:v>
      </x:c>
      <x:c r="G24" s="22" t="n">
        <x:f>wimbledons_champions!G32</x:f>
        <x:v>66</x:v>
      </x:c>
      <x:c r="H24" s="25" t="str">
        <x:f>wimbledons_champions!H32</x:f>
        <x:v>6-3, 6-2</x:v>
      </x:c>
      <x:c r="I24" s="25" t="inlineStr">
        <x:is>
          <x:t xml:space="preserve">V. Zvonareva</x:t>
        </x:is>
      </x:c>
      <x:c r="J24" s="22" t="inlineStr">
        <x:is>
          <x:t xml:space="preserve">RUS</x:t>
        </x:is>
      </x:c>
      <x:c r="K24" s="25" t="inlineStr">
        <x:is>
          <x:t xml:space="preserve">Russia</x:t>
        </x:is>
      </x:c>
      <x:c r="L24" s="22" t="n">
        <x:v>21</x:v>
      </x:c>
      <x:c r="M24" s="18" t="n">
        <x:v>0.7058823529411765</x:v>
      </x:c>
      <x:c r="N24" s="18" t="n"/>
      <x:c r="O24" s="19" t="inlineStr">
        <x:is>
          <x:t xml:space="preserve">6</x:t>
        </x:is>
      </x:c>
      <x:c r="P24" s="19" t="n">
        <x:v>3</x:v>
      </x:c>
      <x:c r="Q24" s="19" t="n">
        <x:v>6</x:v>
      </x:c>
      <x:c r="R24" s="19" t="n">
        <x:v>2</x:v>
      </x:c>
      <x:c r="S24" s="19" t="n"/>
      <x:c r="T24" s="19" t="n"/>
      <x:c r="U24" s="19" t="n"/>
      <x:c r="V24" s="19" t="n"/>
      <x:c r="W24" s="19" t="n"/>
      <x:c r="X24" s="19" t="n"/>
      <x:c r="Y24" s="20" t="n">
        <x:f>SUM(O24+Q24+S24+U24+W24)</x:f>
        <x:v>12</x:v>
      </x:c>
      <x:c r="Z24" s="20" t="n">
        <x:f>SUM(P24+R24+T24+V24+X24)</x:f>
        <x:v>5</x:v>
      </x:c>
      <x:c r="AA24" s="21" t="n">
        <x:f>Y24/(Y24+Z24)</x:f>
        <x:v>0.7058823529411765</x:v>
      </x:c>
    </x:row>
    <x:row r="25">
      <x:c r="A25" s="22" t="n">
        <x:f>wimbledons_champions!A33</x:f>
        <x:v>2010</x:v>
      </x:c>
      <x:c r="B25" s="25" t="str">
        <x:f>wimbledons_champions!B33</x:f>
        <x:v>Men's</x:v>
      </x:c>
      <x:c r="C25" s="25" t="inlineStr">
        <x:is>
          <x:t xml:space="preserve">R. Nadal</x:t>
        </x:is>
      </x:c>
      <x:c r="D25" s="22" t="inlineStr">
        <x:is>
          <x:t xml:space="preserve">ESP</x:t>
        </x:is>
      </x:c>
      <x:c r="E25" s="25" t="inlineStr">
        <x:is>
          <x:t xml:space="preserve">Spain</x:t>
        </x:is>
      </x:c>
      <x:c r="F25" s="22" t="n">
        <x:v>2</x:v>
      </x:c>
      <x:c r="G25" s="22" t="n">
        <x:f>wimbledons_champions!G33</x:f>
        <x:v>133</x:v>
      </x:c>
      <x:c r="H25" s="25" t="str">
        <x:f>wimbledons_champions!H33</x:f>
        <x:v>6-3, 7-5, 6-4</x:v>
      </x:c>
      <x:c r="I25" s="25" t="inlineStr">
        <x:is>
          <x:t xml:space="preserve">T. Berdych</x:t>
        </x:is>
      </x:c>
      <x:c r="J25" s="22" t="inlineStr">
        <x:is>
          <x:t xml:space="preserve">CZE</x:t>
        </x:is>
      </x:c>
      <x:c r="K25" s="25" t="inlineStr">
        <x:is>
          <x:t xml:space="preserve">Czechia</x:t>
        </x:is>
      </x:c>
      <x:c r="L25" s="22" t="n">
        <x:v>12</x:v>
      </x:c>
      <x:c r="M25" s="18" t="n">
        <x:v>0.6129032258064516</x:v>
      </x:c>
      <x:c r="N25" s="18" t="n"/>
      <x:c r="O25" s="19" t="inlineStr">
        <x:is>
          <x:t xml:space="preserve">6</x:t>
        </x:is>
      </x:c>
      <x:c r="P25" s="19" t="n">
        <x:v>3</x:v>
      </x:c>
      <x:c r="Q25" s="19" t="n">
        <x:v>7</x:v>
      </x:c>
      <x:c r="R25" s="19" t="n">
        <x:v>5</x:v>
      </x:c>
      <x:c r="S25" s="19" t="n">
        <x:v>6</x:v>
      </x:c>
      <x:c r="T25" s="19" t="n">
        <x:v>4</x:v>
      </x:c>
      <x:c r="U25" s="19" t="n"/>
      <x:c r="V25" s="19" t="n"/>
      <x:c r="W25" s="19" t="n"/>
      <x:c r="X25" s="19" t="n"/>
      <x:c r="Y25" s="20" t="n">
        <x:f>SUM(O25+Q25+S25+U25+W25)</x:f>
        <x:v>19</x:v>
      </x:c>
      <x:c r="Z25" s="20" t="n">
        <x:f>SUM(P25+R25+T25+V25+X25)</x:f>
        <x:v>12</x:v>
      </x:c>
      <x:c r="AA25" s="21" t="n">
        <x:f>Y25/(Y25+Z25)</x:f>
        <x:v>0.6129032258064516</x:v>
      </x:c>
    </x:row>
    <x:row r="26">
      <x:c r="A26" s="22" t="n">
        <x:f>wimbledons_champions!A34</x:f>
        <x:v>2009</x:v>
      </x:c>
      <x:c r="B26" s="25" t="str">
        <x:f>wimbledons_champions!B34</x:f>
        <x:v>Women's</x:v>
      </x:c>
      <x:c r="C26" s="25" t="inlineStr">
        <x:is>
          <x:t xml:space="preserve">S. Williams</x:t>
        </x:is>
      </x:c>
      <x:c r="D26" s="22" t="inlineStr">
        <x:is>
          <x:t xml:space="preserve">USA</x:t>
        </x:is>
      </x:c>
      <x:c r="E26" s="25" t="inlineStr">
        <x:is>
          <x:t xml:space="preserve">United States</x:t>
        </x:is>
      </x:c>
      <x:c r="F26" s="22" t="n">
        <x:v>2</x:v>
      </x:c>
      <x:c r="G26" s="22" t="n">
        <x:f>wimbledons_champions!G34</x:f>
        <x:v>87</x:v>
      </x:c>
      <x:c r="H26" s="25" t="str">
        <x:f>wimbledons_champions!H34</x:f>
        <x:v>7-6 (7-3), 6-2</x:v>
      </x:c>
      <x:c r="I26" s="25" t="inlineStr">
        <x:is>
          <x:t xml:space="preserve">V.E.S. Williams</x:t>
        </x:is>
      </x:c>
      <x:c r="J26" s="22" t="inlineStr">
        <x:is>
          <x:t xml:space="preserve">USA</x:t>
        </x:is>
      </x:c>
      <x:c r="K26" s="25" t="inlineStr">
        <x:is>
          <x:t xml:space="preserve">United States</x:t>
        </x:is>
      </x:c>
      <x:c r="L26" s="22" t="n">
        <x:v>3</x:v>
      </x:c>
      <x:c r="M26" s="18" t="n">
        <x:v>0.6190476190476191</x:v>
      </x:c>
      <x:c r="N26" s="18" t="n"/>
      <x:c r="O26" s="19" t="inlineStr">
        <x:is>
          <x:t xml:space="preserve">7</x:t>
        </x:is>
      </x:c>
      <x:c r="P26" s="19" t="n">
        <x:v>6</x:v>
      </x:c>
      <x:c r="Q26" s="19" t="n">
        <x:v>6</x:v>
      </x:c>
      <x:c r="R26" s="19" t="n">
        <x:v>2</x:v>
      </x:c>
      <x:c r="S26" s="19" t="n"/>
      <x:c r="T26" s="19" t="n"/>
      <x:c r="U26" s="19" t="n"/>
      <x:c r="V26" s="19" t="n"/>
      <x:c r="W26" s="19" t="n"/>
      <x:c r="X26" s="19" t="n"/>
      <x:c r="Y26" s="20" t="n">
        <x:f>SUM(O26+Q26+S26+U26+W26)</x:f>
        <x:v>13</x:v>
      </x:c>
      <x:c r="Z26" s="20" t="n">
        <x:f>SUM(P26+R26+T26+V26+X26)</x:f>
        <x:v>8</x:v>
      </x:c>
      <x:c r="AA26" s="21" t="n">
        <x:f>Y26/(Y26+Z26)</x:f>
        <x:v>0.6190476190476191</x:v>
      </x:c>
    </x:row>
    <x:row r="27">
      <x:c r="A27" s="22" t="n">
        <x:f>wimbledons_champions!A35</x:f>
        <x:v>2009</x:v>
      </x:c>
      <x:c r="B27" s="25" t="str">
        <x:f>wimbledons_champions!B35</x:f>
        <x:v>Men's</x:v>
      </x:c>
      <x:c r="C27" s="25" t="inlineStr">
        <x:is>
          <x:t xml:space="preserve">R. Federer</x:t>
        </x:is>
      </x:c>
      <x:c r="D27" s="22" t="inlineStr">
        <x:is>
          <x:t xml:space="preserve">SUI</x:t>
        </x:is>
      </x:c>
      <x:c r="E27" s="25" t="inlineStr">
        <x:is>
          <x:t xml:space="preserve">Switzerland</x:t>
        </x:is>
      </x:c>
      <x:c r="F27" s="22" t="n">
        <x:v>2</x:v>
      </x:c>
      <x:c r="G27" s="22" t="n">
        <x:f>wimbledons_champions!G35</x:f>
        <x:v>256</x:v>
      </x:c>
      <x:c r="H27" s="25" t="str">
        <x:f>wimbledons_champions!H35</x:f>
        <x:v>5-7, 7-6 (8-6), 7-6 (7-5), 3-6, 16-14</x:v>
      </x:c>
      <x:c r="I27" s="25" t="inlineStr">
        <x:is>
          <x:t xml:space="preserve">A. Roddick</x:t>
        </x:is>
      </x:c>
      <x:c r="J27" s="22" t="inlineStr">
        <x:is>
          <x:t xml:space="preserve">USA</x:t>
        </x:is>
      </x:c>
      <x:c r="K27" s="25" t="inlineStr">
        <x:is>
          <x:t xml:space="preserve">United States</x:t>
        </x:is>
      </x:c>
      <x:c r="L27" s="22" t="n">
        <x:v>6</x:v>
      </x:c>
      <x:c r="M27" s="18" t="n">
        <x:v>0.4935064935064935</x:v>
      </x:c>
      <x:c r="N27" s="18" t="n"/>
      <x:c r="O27" s="19" t="inlineStr">
        <x:is>
          <x:t xml:space="preserve">5</x:t>
        </x:is>
      </x:c>
      <x:c r="P27" s="19" t="n">
        <x:v>7</x:v>
      </x:c>
      <x:c r="Q27" s="19" t="n">
        <x:v>7</x:v>
      </x:c>
      <x:c r="R27" s="19" t="n">
        <x:v>6</x:v>
      </x:c>
      <x:c r="S27" s="19" t="n">
        <x:v>7</x:v>
      </x:c>
      <x:c r="T27" s="19" t="n">
        <x:v>6</x:v>
      </x:c>
      <x:c r="U27" s="19" t="n">
        <x:v>3</x:v>
      </x:c>
      <x:c r="V27" s="19" t="n">
        <x:v>6</x:v>
      </x:c>
      <x:c r="W27" s="19" t="inlineStr">
        <x:is>
          <x:t xml:space="preserve">16</x:t>
        </x:is>
      </x:c>
      <x:c r="X27" s="19" t="n">
        <x:v>14</x:v>
      </x:c>
      <x:c r="Y27" s="20" t="n">
        <x:f>SUM(O27+Q27+S27+U27+W27)</x:f>
        <x:v>38</x:v>
      </x:c>
      <x:c r="Z27" s="20" t="n">
        <x:f>SUM(P27+R27+T27+V27+X27)</x:f>
        <x:v>39</x:v>
      </x:c>
      <x:c r="AA27" s="21" t="n">
        <x:f>Y27/(Y27+Z27)</x:f>
        <x:v>0.4935064935064935</x:v>
      </x:c>
    </x:row>
    <x:row r="28">
      <x:c r="A28" s="22" t="n">
        <x:f>wimbledons_champions!A36</x:f>
        <x:v>2008</x:v>
      </x:c>
      <x:c r="B28" s="25" t="str">
        <x:f>wimbledons_champions!B36</x:f>
        <x:v>Women's</x:v>
      </x:c>
      <x:c r="C28" s="25" t="inlineStr">
        <x:is>
          <x:t xml:space="preserve">V.E.S. Williams</x:t>
        </x:is>
      </x:c>
      <x:c r="D28" s="22" t="inlineStr">
        <x:is>
          <x:t xml:space="preserve">USA</x:t>
        </x:is>
      </x:c>
      <x:c r="E28" s="25" t="inlineStr">
        <x:is>
          <x:t xml:space="preserve">United States</x:t>
        </x:is>
      </x:c>
      <x:c r="F28" s="22" t="n">
        <x:v>7</x:v>
      </x:c>
      <x:c r="G28" s="22" t="n">
        <x:f>wimbledons_champions!G36</x:f>
        <x:v>111</x:v>
      </x:c>
      <x:c r="H28" s="25" t="str">
        <x:f>wimbledons_champions!H36</x:f>
        <x:v>7-5, 6-4</x:v>
      </x:c>
      <x:c r="I28" s="25" t="inlineStr">
        <x:is>
          <x:t xml:space="preserve">S. Williams</x:t>
        </x:is>
      </x:c>
      <x:c r="J28" s="22" t="inlineStr">
        <x:is>
          <x:t xml:space="preserve">USA</x:t>
        </x:is>
      </x:c>
      <x:c r="K28" s="25" t="inlineStr">
        <x:is>
          <x:t xml:space="preserve">United States</x:t>
        </x:is>
      </x:c>
      <x:c r="L28" s="22" t="n">
        <x:v>6</x:v>
      </x:c>
      <x:c r="M28" s="18" t="n">
        <x:v>0.5909090909090909</x:v>
      </x:c>
      <x:c r="N28" s="18" t="n"/>
      <x:c r="O28" s="19" t="inlineStr">
        <x:is>
          <x:t xml:space="preserve">7</x:t>
        </x:is>
      </x:c>
      <x:c r="P28" s="19" t="n">
        <x:v>5</x:v>
      </x:c>
      <x:c r="Q28" s="19" t="n">
        <x:v>6</x:v>
      </x:c>
      <x:c r="R28" s="19" t="n">
        <x:v>4</x:v>
      </x:c>
      <x:c r="S28" s="19" t="n"/>
      <x:c r="T28" s="19" t="n"/>
      <x:c r="U28" s="19" t="n"/>
      <x:c r="V28" s="19" t="n"/>
      <x:c r="W28" s="19" t="n"/>
      <x:c r="X28" s="19" t="n"/>
      <x:c r="Y28" s="20" t="n">
        <x:f>SUM(O28+Q28+S28+U28+W28)</x:f>
        <x:v>13</x:v>
      </x:c>
      <x:c r="Z28" s="20" t="n">
        <x:f>SUM(P28+R28+T28+V28+X28)</x:f>
        <x:v>9</x:v>
      </x:c>
      <x:c r="AA28" s="21" t="n">
        <x:f>Y28/(Y28+Z28)</x:f>
        <x:v>0.5909090909090909</x:v>
      </x:c>
    </x:row>
    <x:row r="29">
      <x:c r="A29" s="22" t="n">
        <x:f>wimbledons_champions!A37</x:f>
        <x:v>2008</x:v>
      </x:c>
      <x:c r="B29" s="25" t="str">
        <x:f>wimbledons_champions!B37</x:f>
        <x:v>Men's</x:v>
      </x:c>
      <x:c r="C29" s="25" t="inlineStr">
        <x:is>
          <x:t xml:space="preserve">R. Nadal</x:t>
        </x:is>
      </x:c>
      <x:c r="D29" s="22" t="inlineStr">
        <x:is>
          <x:t xml:space="preserve">ESP</x:t>
        </x:is>
      </x:c>
      <x:c r="E29" s="25" t="inlineStr">
        <x:is>
          <x:t xml:space="preserve">Spain</x:t>
        </x:is>
      </x:c>
      <x:c r="F29" s="22" t="n">
        <x:v>2</x:v>
      </x:c>
      <x:c r="G29" s="22" t="n">
        <x:f>wimbledons_champions!G37</x:f>
        <x:v>288</x:v>
      </x:c>
      <x:c r="H29" s="25" t="str">
        <x:f>wimbledons_champions!H37</x:f>
        <x:v>6-4, 6-4, 6-7 (5-7), 6-7 (8-10), 9-7</x:v>
      </x:c>
      <x:c r="I29" s="25" t="inlineStr">
        <x:is>
          <x:t xml:space="preserve">R. Federer</x:t>
        </x:is>
      </x:c>
      <x:c r="J29" s="22" t="inlineStr">
        <x:is>
          <x:t xml:space="preserve">SUI</x:t>
        </x:is>
      </x:c>
      <x:c r="K29" s="25" t="inlineStr">
        <x:is>
          <x:t xml:space="preserve">Switzerland</x:t>
        </x:is>
      </x:c>
      <x:c r="L29" s="22" t="n">
        <x:v>1</x:v>
      </x:c>
      <x:c r="M29" s="18" t="n">
        <x:v>0.532258064516129</x:v>
      </x:c>
      <x:c r="N29" s="18" t="n"/>
      <x:c r="O29" s="19" t="inlineStr">
        <x:is>
          <x:t xml:space="preserve">6</x:t>
        </x:is>
      </x:c>
      <x:c r="P29" s="19" t="n">
        <x:v>4</x:v>
      </x:c>
      <x:c r="Q29" s="19" t="n">
        <x:v>6</x:v>
      </x:c>
      <x:c r="R29" s="19" t="n">
        <x:v>4</x:v>
      </x:c>
      <x:c r="S29" s="19" t="n">
        <x:v>6</x:v>
      </x:c>
      <x:c r="T29" s="19" t="n">
        <x:v>7</x:v>
      </x:c>
      <x:c r="U29" s="19" t="n">
        <x:v>6</x:v>
      </x:c>
      <x:c r="V29" s="19" t="n">
        <x:v>7</x:v>
      </x:c>
      <x:c r="W29" s="19" t="inlineStr">
        <x:is>
          <x:t xml:space="preserve">9</x:t>
        </x:is>
      </x:c>
      <x:c r="X29" s="19" t="n">
        <x:v>7</x:v>
      </x:c>
      <x:c r="Y29" s="20" t="n">
        <x:f>SUM(O29+Q29+S29+U29+W29)</x:f>
        <x:v>33</x:v>
      </x:c>
      <x:c r="Z29" s="20" t="n">
        <x:f>SUM(P29+R29+T29+V29+X29)</x:f>
        <x:v>29</x:v>
      </x:c>
      <x:c r="AA29" s="21" t="n">
        <x:f>Y29/(Y29+Z29)</x:f>
        <x:v>0.532258064516129</x:v>
      </x:c>
    </x:row>
    <x:row r="30">
      <x:c r="A30" s="22" t="n">
        <x:f>wimbledons_champions!A38</x:f>
        <x:v>2007</x:v>
      </x:c>
      <x:c r="B30" s="25" t="str">
        <x:f>wimbledons_champions!B38</x:f>
        <x:v>Women's</x:v>
      </x:c>
      <x:c r="C30" s="25" t="inlineStr">
        <x:is>
          <x:t xml:space="preserve">V.E.S. Williams</x:t>
        </x:is>
      </x:c>
      <x:c r="D30" s="22" t="inlineStr">
        <x:is>
          <x:t xml:space="preserve">USA</x:t>
        </x:is>
      </x:c>
      <x:c r="E30" s="25" t="inlineStr">
        <x:is>
          <x:t xml:space="preserve">United States</x:t>
        </x:is>
      </x:c>
      <x:c r="F30" s="22" t="n">
        <x:v>23</x:v>
      </x:c>
      <x:c r="G30" s="22" t="n">
        <x:f>wimbledons_champions!G38</x:f>
        <x:v>90</x:v>
      </x:c>
      <x:c r="H30" s="25" t="str">
        <x:f>wimbledons_champions!H38</x:f>
        <x:v>6-4, 6-1</x:v>
      </x:c>
      <x:c r="I30" s="25" t="inlineStr">
        <x:is>
          <x:t xml:space="preserve">M. Bartoli</x:t>
        </x:is>
      </x:c>
      <x:c r="J30" s="22" t="inlineStr">
        <x:is>
          <x:t xml:space="preserve">FRA</x:t>
        </x:is>
      </x:c>
      <x:c r="K30" s="25" t="inlineStr">
        <x:is>
          <x:t xml:space="preserve">France</x:t>
        </x:is>
      </x:c>
      <x:c r="L30" s="22" t="n">
        <x:v>18</x:v>
      </x:c>
      <x:c r="M30" s="18" t="n">
        <x:v>0.7058823529411765</x:v>
      </x:c>
      <x:c r="N30" s="18" t="n"/>
      <x:c r="O30" s="19" t="inlineStr">
        <x:is>
          <x:t xml:space="preserve">6</x:t>
        </x:is>
      </x:c>
      <x:c r="P30" s="19" t="n">
        <x:v>4</x:v>
      </x:c>
      <x:c r="Q30" s="19" t="n">
        <x:v>6</x:v>
      </x:c>
      <x:c r="R30" s="19" t="n">
        <x:v>1</x:v>
      </x:c>
      <x:c r="S30" s="19" t="n"/>
      <x:c r="T30" s="19" t="n"/>
      <x:c r="U30" s="19" t="n"/>
      <x:c r="V30" s="19" t="n"/>
      <x:c r="W30" s="19" t="n"/>
      <x:c r="X30" s="19" t="n"/>
      <x:c r="Y30" s="20" t="n">
        <x:f>SUM(O30+Q30+S30+U30+W30)</x:f>
        <x:v>12</x:v>
      </x:c>
      <x:c r="Z30" s="20" t="n">
        <x:f>SUM(P30+R30+T30+V30+X30)</x:f>
        <x:v>5</x:v>
      </x:c>
      <x:c r="AA30" s="21" t="n">
        <x:f>Y30/(Y30+Z30)</x:f>
        <x:v>0.7058823529411765</x:v>
      </x:c>
    </x:row>
    <x:row r="31">
      <x:c r="A31" s="22" t="n">
        <x:f>wimbledons_champions!A39</x:f>
        <x:v>2007</x:v>
      </x:c>
      <x:c r="B31" s="25" t="str">
        <x:f>wimbledons_champions!B39</x:f>
        <x:v>Men's</x:v>
      </x:c>
      <x:c r="C31" s="25" t="inlineStr">
        <x:is>
          <x:t xml:space="preserve">R. Federer</x:t>
        </x:is>
      </x:c>
      <x:c r="D31" s="22" t="inlineStr">
        <x:is>
          <x:t xml:space="preserve">SUI</x:t>
        </x:is>
      </x:c>
      <x:c r="E31" s="25" t="inlineStr">
        <x:is>
          <x:t xml:space="preserve">Switzerland</x:t>
        </x:is>
      </x:c>
      <x:c r="F31" s="22" t="n">
        <x:v>1</x:v>
      </x:c>
      <x:c r="G31" s="22" t="n">
        <x:f>wimbledons_champions!G39</x:f>
        <x:v>225</x:v>
      </x:c>
      <x:c r="H31" s="25" t="str">
        <x:f>wimbledons_champions!H39</x:f>
        <x:v>7-6 (9-7), 4-6, 7-6 (7-3), 2-6, 6-2</x:v>
      </x:c>
      <x:c r="I31" s="25" t="inlineStr">
        <x:is>
          <x:t xml:space="preserve">R. Nadal</x:t>
        </x:is>
      </x:c>
      <x:c r="J31" s="22" t="inlineStr">
        <x:is>
          <x:t xml:space="preserve">ESP</x:t>
        </x:is>
      </x:c>
      <x:c r="K31" s="25" t="inlineStr">
        <x:is>
          <x:t xml:space="preserve">Spain</x:t>
        </x:is>
      </x:c>
      <x:c r="L31" s="22" t="n">
        <x:v>2</x:v>
      </x:c>
      <x:c r="M31" s="18" t="n">
        <x:v>0.5</x:v>
      </x:c>
      <x:c r="N31" s="18" t="n"/>
      <x:c r="O31" s="19" t="inlineStr">
        <x:is>
          <x:t xml:space="preserve">7</x:t>
        </x:is>
      </x:c>
      <x:c r="P31" s="19" t="n">
        <x:v>6</x:v>
      </x:c>
      <x:c r="Q31" s="19" t="n">
        <x:v>4</x:v>
      </x:c>
      <x:c r="R31" s="19" t="n">
        <x:v>6</x:v>
      </x:c>
      <x:c r="S31" s="19" t="n">
        <x:v>7</x:v>
      </x:c>
      <x:c r="T31" s="19" t="n">
        <x:v>6</x:v>
      </x:c>
      <x:c r="U31" s="19" t="n">
        <x:v>2</x:v>
      </x:c>
      <x:c r="V31" s="19" t="n">
        <x:v>6</x:v>
      </x:c>
      <x:c r="W31" s="19" t="inlineStr">
        <x:is>
          <x:t xml:space="preserve">6</x:t>
        </x:is>
      </x:c>
      <x:c r="X31" s="19" t="n">
        <x:v>2</x:v>
      </x:c>
      <x:c r="Y31" s="20" t="n">
        <x:f>SUM(O31+Q31+S31+U31+W31)</x:f>
        <x:v>26</x:v>
      </x:c>
      <x:c r="Z31" s="20" t="n">
        <x:f>SUM(P31+R31+T31+V31+X31)</x:f>
        <x:v>26</x:v>
      </x:c>
      <x:c r="AA31" s="21" t="n">
        <x:f>Y31/(Y31+Z31)</x:f>
        <x:v>0.5</x:v>
      </x:c>
    </x:row>
    <x:row r="32">
      <x:c r="A32" s="22" t="n">
        <x:f>wimbledons_champions!A40</x:f>
        <x:v>2006</x:v>
      </x:c>
      <x:c r="B32" s="25" t="str">
        <x:f>wimbledons_champions!B40</x:f>
        <x:v>Women's</x:v>
      </x:c>
      <x:c r="C32" s="25" t="inlineStr">
        <x:is>
          <x:t xml:space="preserve">A. Mauresmo</x:t>
        </x:is>
      </x:c>
      <x:c r="D32" s="22" t="inlineStr">
        <x:is>
          <x:t xml:space="preserve">FRA</x:t>
        </x:is>
      </x:c>
      <x:c r="E32" s="25" t="inlineStr">
        <x:is>
          <x:t xml:space="preserve">France</x:t>
        </x:is>
      </x:c>
      <x:c r="F32" s="22" t="n">
        <x:v>1</x:v>
      </x:c>
      <x:c r="G32" s="22" t="n">
        <x:f>wimbledons_champions!G40</x:f>
        <x:v>122</x:v>
      </x:c>
      <x:c r="H32" s="25" t="str">
        <x:f>wimbledons_champions!H40</x:f>
        <x:v>2-6, 6-3, 6-4</x:v>
      </x:c>
      <x:c r="I32" s="25" t="inlineStr">
        <x:is>
          <x:t xml:space="preserve">PY. Hardenne</x:t>
        </x:is>
      </x:c>
      <x:c r="J32" s="22" t="inlineStr">
        <x:is>
          <x:t xml:space="preserve">BEL</x:t>
        </x:is>
      </x:c>
      <x:c r="K32" s="25" t="inlineStr">
        <x:is>
          <x:t xml:space="preserve">Belgium</x:t>
        </x:is>
      </x:c>
      <x:c r="L32" s="22" t="n">
        <x:v>3</x:v>
      </x:c>
      <x:c r="M32" s="18" t="n">
        <x:v>0.5185185185185185</x:v>
      </x:c>
      <x:c r="N32" s="18" t="n"/>
      <x:c r="O32" s="19" t="inlineStr">
        <x:is>
          <x:t xml:space="preserve">2</x:t>
        </x:is>
      </x:c>
      <x:c r="P32" s="19" t="n">
        <x:v>6</x:v>
      </x:c>
      <x:c r="Q32" s="19" t="n">
        <x:v>6</x:v>
      </x:c>
      <x:c r="R32" s="19" t="n">
        <x:v>3</x:v>
      </x:c>
      <x:c r="S32" s="19" t="n">
        <x:v>6</x:v>
      </x:c>
      <x:c r="T32" s="19" t="n">
        <x:v>4</x:v>
      </x:c>
      <x:c r="U32" s="19" t="n"/>
      <x:c r="V32" s="19" t="n"/>
      <x:c r="W32" s="19" t="n"/>
      <x:c r="X32" s="19" t="n"/>
      <x:c r="Y32" s="20" t="n">
        <x:f>SUM(O32+Q32+S32+U32+W32)</x:f>
        <x:v>14</x:v>
      </x:c>
      <x:c r="Z32" s="20" t="n">
        <x:f>SUM(P32+R32+T32+V32+X32)</x:f>
        <x:v>13</x:v>
      </x:c>
      <x:c r="AA32" s="21" t="n">
        <x:f>Y32/(Y32+Z32)</x:f>
        <x:v>0.5185185185185185</x:v>
      </x:c>
    </x:row>
    <x:row r="33">
      <x:c r="A33" s="22" t="n">
        <x:f>wimbledons_champions!A41</x:f>
        <x:v>2006</x:v>
      </x:c>
      <x:c r="B33" s="25" t="str">
        <x:f>wimbledons_champions!B41</x:f>
        <x:v>Men's</x:v>
      </x:c>
      <x:c r="C33" s="25" t="inlineStr">
        <x:is>
          <x:t xml:space="preserve">R. Federer</x:t>
        </x:is>
      </x:c>
      <x:c r="D33" s="22" t="inlineStr">
        <x:is>
          <x:t xml:space="preserve">SUI</x:t>
        </x:is>
      </x:c>
      <x:c r="E33" s="25" t="inlineStr">
        <x:is>
          <x:t xml:space="preserve">Switzerland</x:t>
        </x:is>
      </x:c>
      <x:c r="F33" s="22" t="n">
        <x:v>1</x:v>
      </x:c>
      <x:c r="G33" s="22" t="n">
        <x:f>wimbledons_champions!G41</x:f>
        <x:v>170</x:v>
      </x:c>
      <x:c r="H33" s="25" t="str">
        <x:f>wimbledons_champions!H41</x:f>
        <x:v>6-0, 7-6 (7-5), 6-7 (2-7), 6-3</x:v>
      </x:c>
      <x:c r="I33" s="25" t="inlineStr">
        <x:is>
          <x:t xml:space="preserve">R. Nadal</x:t>
        </x:is>
      </x:c>
      <x:c r="J33" s="22" t="inlineStr">
        <x:is>
          <x:t xml:space="preserve">ESP</x:t>
        </x:is>
      </x:c>
      <x:c r="K33" s="25" t="inlineStr">
        <x:is>
          <x:t xml:space="preserve">Spain</x:t>
        </x:is>
      </x:c>
      <x:c r="L33" s="22" t="n">
        <x:v>2</x:v>
      </x:c>
      <x:c r="M33" s="18" t="n">
        <x:v>0.6097560975609756</x:v>
      </x:c>
      <x:c r="N33" s="18" t="n"/>
      <x:c r="O33" s="19" t="inlineStr">
        <x:is>
          <x:t xml:space="preserve">6</x:t>
        </x:is>
      </x:c>
      <x:c r="P33" s="19" t="n">
        <x:v>0</x:v>
      </x:c>
      <x:c r="Q33" s="19" t="n">
        <x:v>7</x:v>
      </x:c>
      <x:c r="R33" s="19" t="n">
        <x:v>6</x:v>
      </x:c>
      <x:c r="S33" s="19" t="n">
        <x:v>6</x:v>
      </x:c>
      <x:c r="T33" s="19" t="n">
        <x:v>7</x:v>
      </x:c>
      <x:c r="U33" s="19" t="n">
        <x:v>6</x:v>
      </x:c>
      <x:c r="V33" s="19" t="n">
        <x:v>3</x:v>
      </x:c>
      <x:c r="W33" s="19" t="n"/>
      <x:c r="X33" s="19" t="n"/>
      <x:c r="Y33" s="20" t="n">
        <x:f>SUM(O33+Q33+S33+U33+W33)</x:f>
        <x:v>25</x:v>
      </x:c>
      <x:c r="Z33" s="20" t="n">
        <x:f>SUM(P33+R33+T33+V33+X33)</x:f>
        <x:v>16</x:v>
      </x:c>
      <x:c r="AA33" s="21" t="n">
        <x:f>Y33/(Y33+Z33)</x:f>
        <x:v>0.6097560975609756</x:v>
      </x:c>
    </x:row>
    <x:row r="34">
      <x:c r="A34" s="22" t="n">
        <x:f>wimbledons_champions!A42</x:f>
        <x:v>2005</x:v>
      </x:c>
      <x:c r="B34" s="25" t="str">
        <x:f>wimbledons_champions!B42</x:f>
        <x:v>Women's</x:v>
      </x:c>
      <x:c r="C34" s="25" t="inlineStr">
        <x:is>
          <x:t xml:space="preserve">V.E.S. Williams</x:t>
        </x:is>
      </x:c>
      <x:c r="D34" s="22" t="inlineStr">
        <x:is>
          <x:t xml:space="preserve">USA</x:t>
        </x:is>
      </x:c>
      <x:c r="E34" s="25" t="inlineStr">
        <x:is>
          <x:t xml:space="preserve">United States</x:t>
        </x:is>
      </x:c>
      <x:c r="F34" s="22" t="n">
        <x:v>14</x:v>
      </x:c>
      <x:c r="G34" s="22" t="n">
        <x:f>wimbledons_champions!G42</x:f>
        <x:v>166</x:v>
      </x:c>
      <x:c r="H34" s="25" t="str">
        <x:f>wimbledons_champions!H42</x:f>
        <x:v>4-6, 7-6 (7-4), 9-7</x:v>
      </x:c>
      <x:c r="I34" s="25" t="inlineStr">
        <x:is>
          <x:t xml:space="preserve">L.A. Davenport</x:t>
        </x:is>
      </x:c>
      <x:c r="J34" s="22" t="inlineStr">
        <x:is>
          <x:t xml:space="preserve">USA</x:t>
        </x:is>
      </x:c>
      <x:c r="K34" s="25" t="inlineStr">
        <x:is>
          <x:t xml:space="preserve">United States</x:t>
        </x:is>
      </x:c>
      <x:c r="L34" s="22" t="n">
        <x:v>1</x:v>
      </x:c>
      <x:c r="M34" s="18" t="n">
        <x:v>0.5128205128205128</x:v>
      </x:c>
      <x:c r="N34" s="18" t="n"/>
      <x:c r="O34" s="19" t="inlineStr">
        <x:is>
          <x:t xml:space="preserve">4</x:t>
        </x:is>
      </x:c>
      <x:c r="P34" s="19" t="n">
        <x:v>6</x:v>
      </x:c>
      <x:c r="Q34" s="19" t="n">
        <x:v>7</x:v>
      </x:c>
      <x:c r="R34" s="19" t="n">
        <x:v>6</x:v>
      </x:c>
      <x:c r="S34" s="19" t="n">
        <x:v>9</x:v>
      </x:c>
      <x:c r="T34" s="19" t="n">
        <x:v>7</x:v>
      </x:c>
      <x:c r="U34" s="19" t="n"/>
      <x:c r="V34" s="19" t="n"/>
      <x:c r="W34" s="19" t="n"/>
      <x:c r="X34" s="19" t="n"/>
      <x:c r="Y34" s="20" t="n">
        <x:f>SUM(O34+Q34+S34+U34+W34)</x:f>
        <x:v>20</x:v>
      </x:c>
      <x:c r="Z34" s="20" t="n">
        <x:f>SUM(P34+R34+T34+V34+X34)</x:f>
        <x:v>19</x:v>
      </x:c>
      <x:c r="AA34" s="21" t="n">
        <x:f>Y34/(Y34+Z34)</x:f>
        <x:v>0.5128205128205128</x:v>
      </x:c>
    </x:row>
    <x:row r="35">
      <x:c r="A35" s="22" t="n">
        <x:f>wimbledons_champions!A43</x:f>
        <x:v>2005</x:v>
      </x:c>
      <x:c r="B35" s="25" t="str">
        <x:f>wimbledons_champions!B43</x:f>
        <x:v>Men's</x:v>
      </x:c>
      <x:c r="C35" s="25" t="inlineStr">
        <x:is>
          <x:t xml:space="preserve">R. Federer</x:t>
        </x:is>
      </x:c>
      <x:c r="D35" s="22" t="inlineStr">
        <x:is>
          <x:t xml:space="preserve">SUI</x:t>
        </x:is>
      </x:c>
      <x:c r="E35" s="25" t="inlineStr">
        <x:is>
          <x:t xml:space="preserve">Switzerland</x:t>
        </x:is>
      </x:c>
      <x:c r="F35" s="22" t="n">
        <x:v>1</x:v>
      </x:c>
      <x:c r="G35" s="22" t="n">
        <x:f>wimbledons_champions!G43</x:f>
        <x:v>101</x:v>
      </x:c>
      <x:c r="H35" s="25" t="str">
        <x:f>wimbledons_champions!H43</x:f>
        <x:v>6-2, 7-6 (7-2), 6-4</x:v>
      </x:c>
      <x:c r="I35" s="25" t="inlineStr">
        <x:is>
          <x:t xml:space="preserve">A. Roddick</x:t>
        </x:is>
      </x:c>
      <x:c r="J35" s="22" t="inlineStr">
        <x:is>
          <x:t xml:space="preserve">USA</x:t>
        </x:is>
      </x:c>
      <x:c r="K35" s="25" t="inlineStr">
        <x:is>
          <x:t xml:space="preserve">United States</x:t>
        </x:is>
      </x:c>
      <x:c r="L35" s="22" t="n">
        <x:v>2</x:v>
      </x:c>
      <x:c r="M35" s="18" t="n">
        <x:v>0.6129032258064516</x:v>
      </x:c>
      <x:c r="N35" s="18" t="n"/>
      <x:c r="O35" s="19" t="inlineStr">
        <x:is>
          <x:t xml:space="preserve">6</x:t>
        </x:is>
      </x:c>
      <x:c r="P35" s="19" t="n">
        <x:v>2</x:v>
      </x:c>
      <x:c r="Q35" s="19" t="n">
        <x:v>7</x:v>
      </x:c>
      <x:c r="R35" s="19" t="n">
        <x:v>6</x:v>
      </x:c>
      <x:c r="S35" s="19" t="n">
        <x:v>6</x:v>
      </x:c>
      <x:c r="T35" s="19" t="n">
        <x:v>4</x:v>
      </x:c>
      <x:c r="U35" s="19" t="n"/>
      <x:c r="V35" s="19" t="n"/>
      <x:c r="W35" s="19" t="n"/>
      <x:c r="X35" s="19" t="n"/>
      <x:c r="Y35" s="20" t="n">
        <x:f>SUM(O35+Q35+S35+U35+W35)</x:f>
        <x:v>19</x:v>
      </x:c>
      <x:c r="Z35" s="20" t="n">
        <x:f>SUM(P35+R35+T35+V35+X35)</x:f>
        <x:v>12</x:v>
      </x:c>
      <x:c r="AA35" s="21" t="n">
        <x:f>Y35/(Y35+Z35)</x:f>
        <x:v>0.6129032258064516</x:v>
      </x:c>
    </x:row>
    <x:row r="36">
      <x:c r="A36" s="22" t="n">
        <x:f>wimbledons_champions!A44</x:f>
        <x:v>2004</x:v>
      </x:c>
      <x:c r="B36" s="25" t="str">
        <x:f>wimbledons_champions!B44</x:f>
        <x:v>Women's</x:v>
      </x:c>
      <x:c r="C36" s="25" t="inlineStr">
        <x:is>
          <x:t xml:space="preserve">M. Sharapova</x:t>
        </x:is>
      </x:c>
      <x:c r="D36" s="22" t="inlineStr">
        <x:is>
          <x:t xml:space="preserve">RUS</x:t>
        </x:is>
      </x:c>
      <x:c r="E36" s="25" t="inlineStr">
        <x:is>
          <x:t xml:space="preserve">Russia</x:t>
        </x:is>
      </x:c>
      <x:c r="F36" s="22" t="n">
        <x:v>13</x:v>
      </x:c>
      <x:c r="G36" s="22" t="n">
        <x:f>wimbledons_champions!G44</x:f>
        <x:v>74</x:v>
      </x:c>
      <x:c r="H36" s="25" t="str">
        <x:f>wimbledons_champions!H44</x:f>
        <x:v>6-1, 6-4</x:v>
      </x:c>
      <x:c r="I36" s="25" t="inlineStr">
        <x:is>
          <x:t xml:space="preserve">S. Williams</x:t>
        </x:is>
      </x:c>
      <x:c r="J36" s="22" t="inlineStr">
        <x:is>
          <x:t xml:space="preserve">USA</x:t>
        </x:is>
      </x:c>
      <x:c r="K36" s="25" t="inlineStr">
        <x:is>
          <x:t xml:space="preserve">United States</x:t>
        </x:is>
      </x:c>
      <x:c r="L36" s="22" t="n">
        <x:v>1</x:v>
      </x:c>
      <x:c r="M36" s="18" t="n">
        <x:v>0.7058823529411765</x:v>
      </x:c>
      <x:c r="N36" s="18" t="n"/>
      <x:c r="O36" s="19" t="inlineStr">
        <x:is>
          <x:t xml:space="preserve">6</x:t>
        </x:is>
      </x:c>
      <x:c r="P36" s="19" t="n">
        <x:v>1</x:v>
      </x:c>
      <x:c r="Q36" s="19" t="n">
        <x:v>6</x:v>
      </x:c>
      <x:c r="R36" s="19" t="n">
        <x:v>4</x:v>
      </x:c>
      <x:c r="S36" s="19" t="n"/>
      <x:c r="T36" s="19" t="n"/>
      <x:c r="U36" s="19" t="n"/>
      <x:c r="V36" s="19" t="n"/>
      <x:c r="W36" s="19" t="n"/>
      <x:c r="X36" s="19" t="n"/>
      <x:c r="Y36" s="20" t="n">
        <x:f>SUM(O36+Q36+S36+U36+W36)</x:f>
        <x:v>12</x:v>
      </x:c>
      <x:c r="Z36" s="20" t="n">
        <x:f>SUM(P36+R36+T36+V36+X36)</x:f>
        <x:v>5</x:v>
      </x:c>
      <x:c r="AA36" s="21" t="n">
        <x:f>Y36/(Y36+Z36)</x:f>
        <x:v>0.7058823529411765</x:v>
      </x:c>
    </x:row>
    <x:row r="37">
      <x:c r="A37" s="22" t="n">
        <x:f>wimbledons_champions!A45</x:f>
        <x:v>2004</x:v>
      </x:c>
      <x:c r="B37" s="25" t="str">
        <x:f>wimbledons_champions!B45</x:f>
        <x:v>Men's</x:v>
      </x:c>
      <x:c r="C37" s="25" t="inlineStr">
        <x:is>
          <x:t xml:space="preserve">R. Federer</x:t>
        </x:is>
      </x:c>
      <x:c r="D37" s="22" t="inlineStr">
        <x:is>
          <x:t xml:space="preserve">SUI</x:t>
        </x:is>
      </x:c>
      <x:c r="E37" s="25" t="inlineStr">
        <x:is>
          <x:t xml:space="preserve">Switzerland</x:t>
        </x:is>
      </x:c>
      <x:c r="F37" s="22" t="n">
        <x:v>1</x:v>
      </x:c>
      <x:c r="G37" s="22" t="n">
        <x:f>wimbledons_champions!G45</x:f>
        <x:v>151</x:v>
      </x:c>
      <x:c r="H37" s="25" t="str">
        <x:f>wimbledons_champions!H45</x:f>
        <x:v>4-6, 7-5, 7-6 (7-3), 6-4</x:v>
      </x:c>
      <x:c r="I37" s="25" t="inlineStr">
        <x:is>
          <x:t xml:space="preserve">A. Roddick</x:t>
        </x:is>
      </x:c>
      <x:c r="J37" s="22" t="inlineStr">
        <x:is>
          <x:t xml:space="preserve">USA</x:t>
        </x:is>
      </x:c>
      <x:c r="K37" s="25" t="inlineStr">
        <x:is>
          <x:t xml:space="preserve">United States</x:t>
        </x:is>
      </x:c>
      <x:c r="L37" s="22" t="n">
        <x:v>2</x:v>
      </x:c>
      <x:c r="M37" s="18" t="n">
        <x:v>0.5333333333333333</x:v>
      </x:c>
      <x:c r="N37" s="18" t="n"/>
      <x:c r="O37" s="19" t="inlineStr">
        <x:is>
          <x:t xml:space="preserve">4</x:t>
        </x:is>
      </x:c>
      <x:c r="P37" s="19" t="n">
        <x:v>6</x:v>
      </x:c>
      <x:c r="Q37" s="19" t="n">
        <x:v>7</x:v>
      </x:c>
      <x:c r="R37" s="19" t="n">
        <x:v>5</x:v>
      </x:c>
      <x:c r="S37" s="19" t="n">
        <x:v>7</x:v>
      </x:c>
      <x:c r="T37" s="19" t="n">
        <x:v>6</x:v>
      </x:c>
      <x:c r="U37" s="19" t="n">
        <x:v>6</x:v>
      </x:c>
      <x:c r="V37" s="19" t="n">
        <x:v>4</x:v>
      </x:c>
      <x:c r="W37" s="19" t="n"/>
      <x:c r="X37" s="19" t="n"/>
      <x:c r="Y37" s="20" t="n">
        <x:f>SUM(O37+Q37+S37+U37+W37)</x:f>
        <x:v>24</x:v>
      </x:c>
      <x:c r="Z37" s="20" t="n">
        <x:f>SUM(P37+R37+T37+V37+X37)</x:f>
        <x:v>21</x:v>
      </x:c>
      <x:c r="AA37" s="21" t="n">
        <x:f>Y37/(Y37+Z37)</x:f>
        <x:v>0.5333333333333333</x:v>
      </x:c>
    </x:row>
    <x:row r="38">
      <x:c r="A38" s="22" t="n">
        <x:f>wimbledons_champions!A46</x:f>
        <x:v>2003</x:v>
      </x:c>
      <x:c r="B38" s="25" t="str">
        <x:f>wimbledons_champions!B46</x:f>
        <x:v>Women's</x:v>
      </x:c>
      <x:c r="C38" s="25" t="inlineStr">
        <x:is>
          <x:t xml:space="preserve">S. Williams</x:t>
        </x:is>
      </x:c>
      <x:c r="D38" s="22" t="inlineStr">
        <x:is>
          <x:t xml:space="preserve">USA</x:t>
        </x:is>
      </x:c>
      <x:c r="E38" s="25" t="inlineStr">
        <x:is>
          <x:t xml:space="preserve">United States</x:t>
        </x:is>
      </x:c>
      <x:c r="F38" s="22" t="n">
        <x:v>1</x:v>
      </x:c>
      <x:c r="G38" s="22" t="n">
        <x:f>wimbledons_champions!G46</x:f>
        <x:v>123</x:v>
      </x:c>
      <x:c r="H38" s="25" t="str">
        <x:f>wimbledons_champions!H46</x:f>
        <x:v>4-6, 6-4, 6-2</x:v>
      </x:c>
      <x:c r="I38" s="25" t="inlineStr">
        <x:is>
          <x:t xml:space="preserve">V.E.S. Williams</x:t>
        </x:is>
      </x:c>
      <x:c r="J38" s="22" t="inlineStr">
        <x:is>
          <x:t xml:space="preserve">USA</x:t>
        </x:is>
      </x:c>
      <x:c r="K38" s="25" t="inlineStr">
        <x:is>
          <x:t xml:space="preserve">United States</x:t>
        </x:is>
      </x:c>
      <x:c r="L38" s="22" t="n">
        <x:v>4</x:v>
      </x:c>
      <x:c r="M38" s="18" t="n">
        <x:v>0.5714285714285714</x:v>
      </x:c>
      <x:c r="N38" s="18" t="n"/>
      <x:c r="O38" s="19" t="inlineStr">
        <x:is>
          <x:t xml:space="preserve">4</x:t>
        </x:is>
      </x:c>
      <x:c r="P38" s="19" t="n">
        <x:v>6</x:v>
      </x:c>
      <x:c r="Q38" s="19" t="n">
        <x:v>6</x:v>
      </x:c>
      <x:c r="R38" s="19" t="n">
        <x:v>4</x:v>
      </x:c>
      <x:c r="S38" s="19" t="n">
        <x:v>6</x:v>
      </x:c>
      <x:c r="T38" s="19" t="n">
        <x:v>2</x:v>
      </x:c>
      <x:c r="U38" s="19" t="n"/>
      <x:c r="V38" s="19" t="n"/>
      <x:c r="W38" s="19" t="n"/>
      <x:c r="X38" s="19" t="n"/>
      <x:c r="Y38" s="20" t="n">
        <x:f>SUM(O38+Q38+S38+U38+W38)</x:f>
        <x:v>16</x:v>
      </x:c>
      <x:c r="Z38" s="20" t="n">
        <x:f>SUM(P38+R38+T38+V38+X38)</x:f>
        <x:v>12</x:v>
      </x:c>
      <x:c r="AA38" s="21" t="n">
        <x:f>Y38/(Y38+Z38)</x:f>
        <x:v>0.5714285714285714</x:v>
      </x:c>
    </x:row>
    <x:row r="39">
      <x:c r="A39" s="22" t="n">
        <x:f>wimbledons_champions!A47</x:f>
        <x:v>2003</x:v>
      </x:c>
      <x:c r="B39" s="25" t="str">
        <x:f>wimbledons_champions!B47</x:f>
        <x:v>Men's</x:v>
      </x:c>
      <x:c r="C39" s="25" t="inlineStr">
        <x:is>
          <x:t xml:space="preserve">R. Federer</x:t>
        </x:is>
      </x:c>
      <x:c r="D39" s="22" t="inlineStr">
        <x:is>
          <x:t xml:space="preserve">SUI</x:t>
        </x:is>
      </x:c>
      <x:c r="E39" s="25" t="inlineStr">
        <x:is>
          <x:t xml:space="preserve">Switzerland</x:t>
        </x:is>
      </x:c>
      <x:c r="F39" s="22" t="n">
        <x:v>4</x:v>
      </x:c>
      <x:c r="G39" s="22" t="n">
        <x:f>wimbledons_champions!G47</x:f>
        <x:v>119</x:v>
      </x:c>
      <x:c r="H39" s="25" t="str">
        <x:f>wimbledons_champions!H47</x:f>
        <x:v>7-6 (7-5), 6-2, 7-6 (7-3)</x:v>
      </x:c>
      <x:c r="I39" s="25" t="inlineStr">
        <x:is>
          <x:t xml:space="preserve">M. Philippousis</x:t>
        </x:is>
      </x:c>
      <x:c r="J39" s="22" t="inlineStr">
        <x:is>
          <x:t xml:space="preserve">AUS</x:t>
        </x:is>
      </x:c>
      <x:c r="K39" s="25" t="inlineStr">
        <x:is>
          <x:t xml:space="preserve">Australia</x:t>
        </x:is>
      </x:c>
      <x:c r="L39" s="22" t="inlineStr">
        <x:is>
          <x:t xml:space="preserve">U</x:t>
        </x:is>
      </x:c>
      <x:c r="M39" s="18" t="n">
        <x:v>0.5882352941176471</x:v>
      </x:c>
      <x:c r="N39" s="18" t="n"/>
      <x:c r="O39" s="19" t="inlineStr">
        <x:is>
          <x:t xml:space="preserve">7</x:t>
        </x:is>
      </x:c>
      <x:c r="P39" s="19" t="n">
        <x:v>6</x:v>
      </x:c>
      <x:c r="Q39" s="19" t="n">
        <x:v>6</x:v>
      </x:c>
      <x:c r="R39" s="19" t="n">
        <x:v>2</x:v>
      </x:c>
      <x:c r="S39" s="19" t="n">
        <x:v>7</x:v>
      </x:c>
      <x:c r="T39" s="19" t="n">
        <x:v>6</x:v>
      </x:c>
      <x:c r="U39" s="19" t="n"/>
      <x:c r="V39" s="19" t="n"/>
      <x:c r="W39" s="19" t="n"/>
      <x:c r="X39" s="19" t="n"/>
      <x:c r="Y39" s="20" t="n">
        <x:f>SUM(O39+Q39+S39+U39+W39)</x:f>
        <x:v>20</x:v>
      </x:c>
      <x:c r="Z39" s="20" t="n">
        <x:f>SUM(P39+R39+T39+V39+X39)</x:f>
        <x:v>14</x:v>
      </x:c>
      <x:c r="AA39" s="21" t="n">
        <x:f>Y39/(Y39+Z39)</x:f>
        <x:v>0.5882352941176471</x:v>
      </x:c>
    </x:row>
    <x:row r="40">
      <x:c r="A40" s="22" t="n">
        <x:f>wimbledons_champions!A48</x:f>
        <x:v>2002</x:v>
      </x:c>
      <x:c r="B40" s="25" t="str">
        <x:f>wimbledons_champions!B48</x:f>
        <x:v>Women's</x:v>
      </x:c>
      <x:c r="C40" s="25" t="inlineStr">
        <x:is>
          <x:t xml:space="preserve">S. Williams</x:t>
        </x:is>
      </x:c>
      <x:c r="D40" s="22" t="inlineStr">
        <x:is>
          <x:t xml:space="preserve">USA</x:t>
        </x:is>
      </x:c>
      <x:c r="E40" s="25" t="inlineStr">
        <x:is>
          <x:t xml:space="preserve">United States</x:t>
        </x:is>
      </x:c>
      <x:c r="F40" s="22" t="n">
        <x:v>2</x:v>
      </x:c>
      <x:c r="G40" s="22" t="n">
        <x:f>wimbledons_champions!G48</x:f>
        <x:v>78</x:v>
      </x:c>
      <x:c r="H40" s="25" t="str">
        <x:f>wimbledons_champions!H48</x:f>
        <x:v>7-6 (7-4), 6-3</x:v>
      </x:c>
      <x:c r="I40" s="25" t="inlineStr">
        <x:is>
          <x:t xml:space="preserve">V.E.S. Williams</x:t>
        </x:is>
      </x:c>
      <x:c r="J40" s="22" t="inlineStr">
        <x:is>
          <x:t xml:space="preserve">USA</x:t>
        </x:is>
      </x:c>
      <x:c r="K40" s="25" t="inlineStr">
        <x:is>
          <x:t xml:space="preserve">United States</x:t>
        </x:is>
      </x:c>
      <x:c r="L40" s="22" t="n">
        <x:v>1</x:v>
      </x:c>
      <x:c r="M40" s="18" t="n">
        <x:v>0.5909090909090909</x:v>
      </x:c>
      <x:c r="N40" s="18" t="n"/>
      <x:c r="O40" s="19" t="inlineStr">
        <x:is>
          <x:t xml:space="preserve">7</x:t>
        </x:is>
      </x:c>
      <x:c r="P40" s="19" t="n">
        <x:v>6</x:v>
      </x:c>
      <x:c r="Q40" s="19" t="n">
        <x:v>6</x:v>
      </x:c>
      <x:c r="R40" s="19" t="n">
        <x:v>3</x:v>
      </x:c>
      <x:c r="S40" s="19" t="n"/>
      <x:c r="T40" s="19" t="n"/>
      <x:c r="U40" s="19" t="n"/>
      <x:c r="V40" s="19" t="n"/>
      <x:c r="W40" s="19" t="n"/>
      <x:c r="X40" s="19" t="n"/>
      <x:c r="Y40" s="20" t="n">
        <x:f>SUM(O40+Q40+S40+U40+W40)</x:f>
        <x:v>13</x:v>
      </x:c>
      <x:c r="Z40" s="20" t="n">
        <x:f>SUM(P40+R40+T40+V40+X40)</x:f>
        <x:v>9</x:v>
      </x:c>
      <x:c r="AA40" s="21" t="n">
        <x:f>Y40/(Y40+Z40)</x:f>
        <x:v>0.5909090909090909</x:v>
      </x:c>
    </x:row>
    <x:row r="41">
      <x:c r="A41" s="22" t="n">
        <x:f>wimbledons_champions!A49</x:f>
        <x:v>2002</x:v>
      </x:c>
      <x:c r="B41" s="25" t="str">
        <x:f>wimbledons_champions!B49</x:f>
        <x:v>Men's</x:v>
      </x:c>
      <x:c r="C41" s="25" t="inlineStr">
        <x:is>
          <x:t xml:space="preserve">L.G. Hewitt</x:t>
        </x:is>
      </x:c>
      <x:c r="D41" s="22" t="inlineStr">
        <x:is>
          <x:t xml:space="preserve">AUS</x:t>
        </x:is>
      </x:c>
      <x:c r="E41" s="25" t="inlineStr">
        <x:is>
          <x:t xml:space="preserve">Australia</x:t>
        </x:is>
      </x:c>
      <x:c r="F41" s="22" t="n">
        <x:v>1</x:v>
      </x:c>
      <x:c r="G41" s="22" t="n">
        <x:f>wimbledons_champions!G49</x:f>
        <x:v>116</x:v>
      </x:c>
      <x:c r="H41" s="25" t="str">
        <x:f>wimbledons_champions!H49</x:f>
        <x:v>6-1, 6-3, 6-2</x:v>
      </x:c>
      <x:c r="I41" s="25" t="inlineStr">
        <x:is>
          <x:t xml:space="preserve">D.P. Nalbandian</x:t>
        </x:is>
      </x:c>
      <x:c r="J41" s="22" t="inlineStr">
        <x:is>
          <x:t xml:space="preserve">ARG</x:t>
        </x:is>
      </x:c>
      <x:c r="K41" s="25" t="inlineStr">
        <x:is>
          <x:t xml:space="preserve">Argentina</x:t>
        </x:is>
      </x:c>
      <x:c r="L41" s="22" t="n">
        <x:v>28</x:v>
      </x:c>
      <x:c r="M41" s="18" t="n">
        <x:v>0.75</x:v>
      </x:c>
      <x:c r="N41" s="18" t="n"/>
      <x:c r="O41" s="19" t="inlineStr">
        <x:is>
          <x:t xml:space="preserve">6</x:t>
        </x:is>
      </x:c>
      <x:c r="P41" s="19" t="n">
        <x:v>1</x:v>
      </x:c>
      <x:c r="Q41" s="19" t="n">
        <x:v>6</x:v>
      </x:c>
      <x:c r="R41" s="19" t="n">
        <x:v>3</x:v>
      </x:c>
      <x:c r="S41" s="19" t="n">
        <x:v>6</x:v>
      </x:c>
      <x:c r="T41" s="19" t="n">
        <x:v>2</x:v>
      </x:c>
      <x:c r="U41" s="19" t="n"/>
      <x:c r="V41" s="19" t="n"/>
      <x:c r="W41" s="19" t="n"/>
      <x:c r="X41" s="19" t="n"/>
      <x:c r="Y41" s="20" t="n">
        <x:f>SUM(O41+Q41+S41+U41+W41)</x:f>
        <x:v>18</x:v>
      </x:c>
      <x:c r="Z41" s="20" t="n">
        <x:f>SUM(P41+R41+T41+V41+X41)</x:f>
        <x:v>6</x:v>
      </x:c>
      <x:c r="AA41" s="21" t="n">
        <x:f>Y41/(Y41+Z41)</x:f>
        <x:v>0.75</x:v>
      </x:c>
    </x:row>
    <x:row r="42">
      <x:c r="A42" s="22" t="n">
        <x:f>wimbledons_champions!A50</x:f>
        <x:v>2001</x:v>
      </x:c>
      <x:c r="B42" s="25" t="str">
        <x:f>wimbledons_champions!B50</x:f>
        <x:v>Women's</x:v>
      </x:c>
      <x:c r="C42" s="25" t="inlineStr">
        <x:is>
          <x:t xml:space="preserve">V.E.S. Williams</x:t>
        </x:is>
      </x:c>
      <x:c r="D42" s="22" t="inlineStr">
        <x:is>
          <x:t xml:space="preserve">USA</x:t>
        </x:is>
      </x:c>
      <x:c r="E42" s="25" t="inlineStr">
        <x:is>
          <x:t xml:space="preserve">United States</x:t>
        </x:is>
      </x:c>
      <x:c r="F42" s="22" t="n">
        <x:v>2</x:v>
      </x:c>
      <x:c r="G42" s="22" t="n">
        <x:f>wimbledons_champions!G50</x:f>
        <x:v>69</x:v>
      </x:c>
      <x:c r="H42" s="25" t="str">
        <x:f>wimbledons_champions!H50</x:f>
        <x:v>6-1, 3-6, 6-0</x:v>
      </x:c>
      <x:c r="I42" s="25" t="inlineStr">
        <x:is>
          <x:t xml:space="preserve">J. Henin</x:t>
        </x:is>
      </x:c>
      <x:c r="J42" s="22" t="inlineStr">
        <x:is>
          <x:t xml:space="preserve">BEL</x:t>
        </x:is>
      </x:c>
      <x:c r="K42" s="25" t="inlineStr">
        <x:is>
          <x:t xml:space="preserve">Belgium</x:t>
        </x:is>
      </x:c>
      <x:c r="L42" s="22" t="n">
        <x:v>8</x:v>
      </x:c>
      <x:c r="M42" s="18" t="n">
        <x:v>0.6818181818181818</x:v>
      </x:c>
      <x:c r="N42" s="18" t="n"/>
      <x:c r="O42" s="19" t="inlineStr">
        <x:is>
          <x:t xml:space="preserve">6</x:t>
        </x:is>
      </x:c>
      <x:c r="P42" s="19" t="n">
        <x:v>1</x:v>
      </x:c>
      <x:c r="Q42" s="19" t="n">
        <x:v>3</x:v>
      </x:c>
      <x:c r="R42" s="19" t="n">
        <x:v>6</x:v>
      </x:c>
      <x:c r="S42" s="19" t="n">
        <x:v>6</x:v>
      </x:c>
      <x:c r="T42" s="19" t="n">
        <x:v>0</x:v>
      </x:c>
      <x:c r="U42" s="19" t="n"/>
      <x:c r="V42" s="19" t="n"/>
      <x:c r="W42" s="19" t="n"/>
      <x:c r="X42" s="19" t="n"/>
      <x:c r="Y42" s="20" t="n">
        <x:f>SUM(O42+Q42+S42+U42+W42)</x:f>
        <x:v>15</x:v>
      </x:c>
      <x:c r="Z42" s="20" t="n">
        <x:f>SUM(P42+R42+T42+V42+X42)</x:f>
        <x:v>7</x:v>
      </x:c>
      <x:c r="AA42" s="21" t="n">
        <x:f>Y42/(Y42+Z42)</x:f>
        <x:v>0.6818181818181818</x:v>
      </x:c>
    </x:row>
    <x:row r="43">
      <x:c r="A43" s="22" t="n">
        <x:f>wimbledons_champions!A51</x:f>
        <x:v>2001</x:v>
      </x:c>
      <x:c r="B43" s="25" t="str">
        <x:f>wimbledons_champions!B51</x:f>
        <x:v>Men's</x:v>
      </x:c>
      <x:c r="C43" s="25" t="inlineStr">
        <x:is>
          <x:t xml:space="preserve">G.S. Ivanisevic</x:t>
        </x:is>
      </x:c>
      <x:c r="D43" s="22" t="inlineStr">
        <x:is>
          <x:t xml:space="preserve">CRO</x:t>
        </x:is>
      </x:c>
      <x:c r="E43" s="25" t="inlineStr">
        <x:is>
          <x:t xml:space="preserve">Croatia</x:t>
        </x:is>
      </x:c>
      <x:c r="F43" s="22" t="inlineStr">
        <x:is>
          <x:t xml:space="preserve">WC</x:t>
        </x:is>
      </x:c>
      <x:c r="G43" s="22" t="n">
        <x:f>wimbledons_champions!G51</x:f>
        <x:v>182</x:v>
      </x:c>
      <x:c r="H43" s="25" t="str">
        <x:f>wimbledons_champions!H51</x:f>
        <x:v>6-3, 3-6, 6-3, 2-6, 9-7</x:v>
      </x:c>
      <x:c r="I43" s="25" t="inlineStr">
        <x:is>
          <x:t xml:space="preserve">P.M. Rafter</x:t>
        </x:is>
      </x:c>
      <x:c r="J43" s="22" t="inlineStr">
        <x:is>
          <x:t xml:space="preserve">AUS</x:t>
        </x:is>
      </x:c>
      <x:c r="K43" s="25" t="inlineStr">
        <x:is>
          <x:t xml:space="preserve">Australia</x:t>
        </x:is>
      </x:c>
      <x:c r="L43" s="22" t="n">
        <x:v>3</x:v>
      </x:c>
      <x:c r="M43" s="18" t="n">
        <x:v>0.5098039215686274</x:v>
      </x:c>
      <x:c r="N43" s="18" t="n"/>
      <x:c r="O43" s="19" t="inlineStr">
        <x:is>
          <x:t xml:space="preserve">6</x:t>
        </x:is>
      </x:c>
      <x:c r="P43" s="19" t="n">
        <x:v>3</x:v>
      </x:c>
      <x:c r="Q43" s="19" t="n">
        <x:v>3</x:v>
      </x:c>
      <x:c r="R43" s="19" t="n">
        <x:v>6</x:v>
      </x:c>
      <x:c r="S43" s="19" t="n">
        <x:v>6</x:v>
      </x:c>
      <x:c r="T43" s="19" t="n">
        <x:v>3</x:v>
      </x:c>
      <x:c r="U43" s="19" t="n">
        <x:v>2</x:v>
      </x:c>
      <x:c r="V43" s="19" t="n">
        <x:v>6</x:v>
      </x:c>
      <x:c r="W43" s="19" t="inlineStr">
        <x:is>
          <x:t xml:space="preserve">9</x:t>
        </x:is>
      </x:c>
      <x:c r="X43" s="19" t="n">
        <x:v>7</x:v>
      </x:c>
      <x:c r="Y43" s="20" t="n">
        <x:f>SUM(O43+Q43+S43+U43+W43)</x:f>
        <x:v>26</x:v>
      </x:c>
      <x:c r="Z43" s="20" t="n">
        <x:f>SUM(P43+R43+T43+V43+X43)</x:f>
        <x:v>25</x:v>
      </x:c>
      <x:c r="AA43" s="21" t="n">
        <x:f>Y43/(Y43+Z43)</x:f>
        <x:v>0.5098039215686274</x:v>
      </x:c>
    </x:row>
    <x:row r="44">
      <x:c r="A44" s="22" t="n">
        <x:f>wimbledons_champions!A52</x:f>
        <x:v>2000</x:v>
      </x:c>
      <x:c r="B44" s="25" t="str">
        <x:f>wimbledons_champions!B52</x:f>
        <x:v>Women's</x:v>
      </x:c>
      <x:c r="C44" s="25" t="inlineStr">
        <x:is>
          <x:t xml:space="preserve">V.E.S. Williams</x:t>
        </x:is>
      </x:c>
      <x:c r="D44" s="22" t="inlineStr">
        <x:is>
          <x:t xml:space="preserve">USA</x:t>
        </x:is>
      </x:c>
      <x:c r="E44" s="25" t="inlineStr">
        <x:is>
          <x:t xml:space="preserve">United States</x:t>
        </x:is>
      </x:c>
      <x:c r="F44" s="22" t="n">
        <x:v>5</x:v>
      </x:c>
      <x:c r="G44" s="22" t="n">
        <x:f>wimbledons_champions!G52</x:f>
        <x:v>84</x:v>
      </x:c>
      <x:c r="H44" s="25" t="str">
        <x:f>wimbledons_champions!H52</x:f>
        <x:v>6-3, 7-6 (7-3)</x:v>
      </x:c>
      <x:c r="I44" s="25" t="inlineStr">
        <x:is>
          <x:t xml:space="preserve">L.A. Davenport</x:t>
        </x:is>
      </x:c>
      <x:c r="J44" s="22" t="inlineStr">
        <x:is>
          <x:t xml:space="preserve">USA</x:t>
        </x:is>
      </x:c>
      <x:c r="K44" s="25" t="inlineStr">
        <x:is>
          <x:t xml:space="preserve">United States</x:t>
        </x:is>
      </x:c>
      <x:c r="L44" s="22" t="n">
        <x:v>2</x:v>
      </x:c>
      <x:c r="M44" s="18" t="n">
        <x:v>0.5909090909090909</x:v>
      </x:c>
      <x:c r="N44" s="18" t="n"/>
      <x:c r="O44" s="19" t="inlineStr">
        <x:is>
          <x:t xml:space="preserve">6</x:t>
        </x:is>
      </x:c>
      <x:c r="P44" s="19" t="n">
        <x:v>3</x:v>
      </x:c>
      <x:c r="Q44" s="19" t="n">
        <x:v>7</x:v>
      </x:c>
      <x:c r="R44" s="19" t="n">
        <x:v>6</x:v>
      </x:c>
      <x:c r="S44" s="19" t="n"/>
      <x:c r="T44" s="19" t="n"/>
      <x:c r="U44" s="19" t="n"/>
      <x:c r="V44" s="19" t="n"/>
      <x:c r="W44" s="19" t="n"/>
      <x:c r="X44" s="19" t="n"/>
      <x:c r="Y44" s="20" t="n">
        <x:f>SUM(O44+Q44+S44+U44+W44)</x:f>
        <x:v>13</x:v>
      </x:c>
      <x:c r="Z44" s="20" t="n">
        <x:f>SUM(P44+R44+T44+V44+X44)</x:f>
        <x:v>9</x:v>
      </x:c>
      <x:c r="AA44" s="21" t="n">
        <x:f>Y44/(Y44+Z44)</x:f>
        <x:v>0.5909090909090909</x:v>
      </x:c>
    </x:row>
    <x:row r="45">
      <x:c r="A45" s="22" t="n">
        <x:f>wimbledons_champions!A53</x:f>
        <x:v>2000</x:v>
      </x:c>
      <x:c r="B45" s="25" t="str">
        <x:f>wimbledons_champions!B53</x:f>
        <x:v>Men's</x:v>
      </x:c>
      <x:c r="C45" s="25" t="inlineStr">
        <x:is>
          <x:t xml:space="preserve">P. Sampras</x:t>
        </x:is>
      </x:c>
      <x:c r="D45" s="22" t="inlineStr">
        <x:is>
          <x:t xml:space="preserve">USA</x:t>
        </x:is>
      </x:c>
      <x:c r="E45" s="25" t="inlineStr">
        <x:is>
          <x:t xml:space="preserve">United States</x:t>
        </x:is>
      </x:c>
      <x:c r="F45" s="22" t="n">
        <x:v>1</x:v>
      </x:c>
      <x:c r="G45" s="22" t="n">
        <x:f>wimbledons_champions!G53</x:f>
        <x:v>182</x:v>
      </x:c>
      <x:c r="H45" s="25" t="str">
        <x:f>wimbledons_champions!H53</x:f>
        <x:v>6-7 (10-12), 7-6 (7-5), 6-4, 6-2</x:v>
      </x:c>
      <x:c r="I45" s="25" t="inlineStr">
        <x:is>
          <x:t xml:space="preserve">P.M. Rafter</x:t>
        </x:is>
      </x:c>
      <x:c r="J45" s="22" t="inlineStr">
        <x:is>
          <x:t xml:space="preserve">AUS</x:t>
        </x:is>
      </x:c>
      <x:c r="K45" s="25" t="inlineStr">
        <x:is>
          <x:t xml:space="preserve">Australia</x:t>
        </x:is>
      </x:c>
      <x:c r="L45" s="22" t="n">
        <x:v>12</x:v>
      </x:c>
      <x:c r="M45" s="18" t="n">
        <x:v>0.5681818181818182</x:v>
      </x:c>
      <x:c r="N45" s="18" t="n"/>
      <x:c r="O45" s="19" t="inlineStr">
        <x:is>
          <x:t xml:space="preserve">6</x:t>
        </x:is>
      </x:c>
      <x:c r="P45" s="19" t="n">
        <x:v>7</x:v>
      </x:c>
      <x:c r="Q45" s="19" t="n">
        <x:v>7</x:v>
      </x:c>
      <x:c r="R45" s="19" t="n">
        <x:v>6</x:v>
      </x:c>
      <x:c r="S45" s="19" t="n">
        <x:v>6</x:v>
      </x:c>
      <x:c r="T45" s="19" t="n">
        <x:v>4</x:v>
      </x:c>
      <x:c r="U45" s="19" t="n">
        <x:v>6</x:v>
      </x:c>
      <x:c r="V45" s="19" t="n">
        <x:v>2</x:v>
      </x:c>
      <x:c r="W45" s="19" t="n"/>
      <x:c r="X45" s="19" t="n"/>
      <x:c r="Y45" s="20" t="n">
        <x:f>SUM(O45+Q45+S45+U45+W45)</x:f>
        <x:v>25</x:v>
      </x:c>
      <x:c r="Z45" s="20" t="n">
        <x:f>SUM(P45+R45+T45+V45+X45)</x:f>
        <x:v>19</x:v>
      </x:c>
      <x:c r="AA45" s="21" t="n">
        <x:f>Y45/(Y45+Z45)</x:f>
        <x:v>0.5681818181818182</x:v>
      </x:c>
    </x:row>
    <x:row r="46">
      <x:c r="A46" s="22" t="n">
        <x:f>wimbledons_champions!A54</x:f>
        <x:v>1999</x:v>
      </x:c>
      <x:c r="B46" s="25" t="str">
        <x:f>wimbledons_champions!B54</x:f>
        <x:v>Women's</x:v>
      </x:c>
      <x:c r="C46" s="25" t="inlineStr">
        <x:is>
          <x:t xml:space="preserve">L.A. Davenport</x:t>
        </x:is>
      </x:c>
      <x:c r="D46" s="22" t="inlineStr">
        <x:is>
          <x:t xml:space="preserve">USA</x:t>
        </x:is>
      </x:c>
      <x:c r="E46" s="25" t="inlineStr">
        <x:is>
          <x:t xml:space="preserve">United States</x:t>
        </x:is>
      </x:c>
      <x:c r="F46" s="22" t="n">
        <x:v>3</x:v>
      </x:c>
      <x:c r="G46" s="22" t="n">
        <x:f>wimbledons_champions!G54</x:f>
        <x:v>75</x:v>
      </x:c>
      <x:c r="H46" s="25" t="str">
        <x:f>wimbledons_champions!H54</x:f>
        <x:v>6-4, 7-5</x:v>
      </x:c>
      <x:c r="I46" s="25" t="inlineStr">
        <x:is>
          <x:t xml:space="preserve">S.M. Graf</x:t>
        </x:is>
      </x:c>
      <x:c r="J46" s="22" t="inlineStr">
        <x:is>
          <x:t xml:space="preserve">GER</x:t>
        </x:is>
      </x:c>
      <x:c r="K46" s="25" t="inlineStr">
        <x:is>
          <x:t xml:space="preserve">Germany</x:t>
        </x:is>
      </x:c>
      <x:c r="L46" s="22" t="n">
        <x:v>2</x:v>
      </x:c>
      <x:c r="M46" s="18" t="n">
        <x:v>0.5909090909090909</x:v>
      </x:c>
      <x:c r="N46" s="18" t="n"/>
      <x:c r="O46" s="19" t="inlineStr">
        <x:is>
          <x:t xml:space="preserve">6</x:t>
        </x:is>
      </x:c>
      <x:c r="P46" s="19" t="n">
        <x:v>4</x:v>
      </x:c>
      <x:c r="Q46" s="19" t="n">
        <x:v>7</x:v>
      </x:c>
      <x:c r="R46" s="19" t="n">
        <x:v>5</x:v>
      </x:c>
      <x:c r="S46" s="19" t="n"/>
      <x:c r="T46" s="19" t="n"/>
      <x:c r="U46" s="19" t="n"/>
      <x:c r="V46" s="19" t="n"/>
      <x:c r="W46" s="19" t="n"/>
      <x:c r="X46" s="19" t="n"/>
      <x:c r="Y46" s="20" t="n">
        <x:f>SUM(O46+Q46+S46+U46+W46)</x:f>
        <x:v>13</x:v>
      </x:c>
      <x:c r="Z46" s="20" t="n">
        <x:f>SUM(P46+R46+T46+V46+X46)</x:f>
        <x:v>9</x:v>
      </x:c>
      <x:c r="AA46" s="21" t="n">
        <x:f>Y46/(Y46+Z46)</x:f>
        <x:v>0.5909090909090909</x:v>
      </x:c>
    </x:row>
    <x:row r="47">
      <x:c r="A47" s="22" t="n">
        <x:f>wimbledons_champions!A55</x:f>
        <x:v>1999</x:v>
      </x:c>
      <x:c r="B47" s="25" t="str">
        <x:f>wimbledons_champions!B55</x:f>
        <x:v>Men's</x:v>
      </x:c>
      <x:c r="C47" s="25" t="inlineStr">
        <x:is>
          <x:t xml:space="preserve">P. Sampras</x:t>
        </x:is>
      </x:c>
      <x:c r="D47" s="22" t="inlineStr">
        <x:is>
          <x:t xml:space="preserve">USA</x:t>
        </x:is>
      </x:c>
      <x:c r="E47" s="25" t="inlineStr">
        <x:is>
          <x:t xml:space="preserve">United States</x:t>
        </x:is>
      </x:c>
      <x:c r="F47" s="22" t="n">
        <x:v>1</x:v>
      </x:c>
      <x:c r="G47" s="22" t="n">
        <x:f>wimbledons_champions!G55</x:f>
        <x:v>115</x:v>
      </x:c>
      <x:c r="H47" s="25" t="str">
        <x:f>wimbledons_champions!H55</x:f>
        <x:v>6-3, 6-4, 7-5</x:v>
      </x:c>
      <x:c r="I47" s="25" t="inlineStr">
        <x:is>
          <x:t xml:space="preserve">A.K. Agassi</x:t>
        </x:is>
      </x:c>
      <x:c r="J47" s="22" t="inlineStr">
        <x:is>
          <x:t xml:space="preserve">USA</x:t>
        </x:is>
      </x:c>
      <x:c r="K47" s="25" t="inlineStr">
        <x:is>
          <x:t xml:space="preserve">United States</x:t>
        </x:is>
      </x:c>
      <x:c r="L47" s="22" t="n">
        <x:v>4</x:v>
      </x:c>
      <x:c r="M47" s="18" t="n">
        <x:v>0.6129032258064516</x:v>
      </x:c>
      <x:c r="N47" s="18" t="n"/>
      <x:c r="O47" s="19" t="inlineStr">
        <x:is>
          <x:t xml:space="preserve">6</x:t>
        </x:is>
      </x:c>
      <x:c r="P47" s="19" t="n">
        <x:v>3</x:v>
      </x:c>
      <x:c r="Q47" s="19" t="n">
        <x:v>6</x:v>
      </x:c>
      <x:c r="R47" s="19" t="n">
        <x:v>4</x:v>
      </x:c>
      <x:c r="S47" s="19" t="n">
        <x:v>7</x:v>
      </x:c>
      <x:c r="T47" s="19" t="n">
        <x:v>5</x:v>
      </x:c>
      <x:c r="U47" s="19" t="n"/>
      <x:c r="V47" s="19" t="n"/>
      <x:c r="W47" s="19" t="n"/>
      <x:c r="X47" s="19" t="n"/>
      <x:c r="Y47" s="20" t="n">
        <x:f>SUM(O47+Q47+S47+U47+W47)</x:f>
        <x:v>19</x:v>
      </x:c>
      <x:c r="Z47" s="20" t="n">
        <x:f>SUM(P47+R47+T47+V47+X47)</x:f>
        <x:v>12</x:v>
      </x:c>
      <x:c r="AA47" s="21" t="n">
        <x:f>Y47/(Y47+Z47)</x:f>
        <x:v>0.6129032258064516</x:v>
      </x:c>
    </x:row>
    <x:row r="48">
      <x:c r="A48" s="22" t="n">
        <x:f>wimbledons_champions!A56</x:f>
        <x:v>1998</x:v>
      </x:c>
      <x:c r="B48" s="25" t="str">
        <x:f>wimbledons_champions!B56</x:f>
        <x:v>Women's</x:v>
      </x:c>
      <x:c r="C48" s="25" t="inlineStr">
        <x:is>
          <x:t xml:space="preserve">J. Novotna</x:t>
        </x:is>
      </x:c>
      <x:c r="D48" s="22" t="inlineStr">
        <x:is>
          <x:t xml:space="preserve">CZE</x:t>
        </x:is>
      </x:c>
      <x:c r="E48" s="25" t="inlineStr">
        <x:is>
          <x:t xml:space="preserve">Czechia</x:t>
        </x:is>
      </x:c>
      <x:c r="F48" s="22" t="n">
        <x:v>3</x:v>
      </x:c>
      <x:c r="G48" s="22" t="n">
        <x:f>wimbledons_champions!G56</x:f>
        <x:v>94</x:v>
      </x:c>
      <x:c r="H48" s="25" t="str">
        <x:f>wimbledons_champions!H56</x:f>
        <x:v>6-4, 7-6 (7-2)</x:v>
      </x:c>
      <x:c r="I48" s="25" t="inlineStr">
        <x:is>
          <x:t xml:space="preserve">N. Tauziat</x:t>
        </x:is>
      </x:c>
      <x:c r="J48" s="22" t="inlineStr">
        <x:is>
          <x:t xml:space="preserve">FRA</x:t>
        </x:is>
      </x:c>
      <x:c r="K48" s="25" t="inlineStr">
        <x:is>
          <x:t xml:space="preserve">France</x:t>
        </x:is>
      </x:c>
      <x:c r="L48" s="22" t="n">
        <x:v>16</x:v>
      </x:c>
      <x:c r="M48" s="18" t="n">
        <x:v>0.5652173913043478</x:v>
      </x:c>
      <x:c r="N48" s="18" t="n"/>
      <x:c r="O48" s="19" t="inlineStr">
        <x:is>
          <x:t xml:space="preserve">6</x:t>
        </x:is>
      </x:c>
      <x:c r="P48" s="19" t="n">
        <x:v>4</x:v>
      </x:c>
      <x:c r="Q48" s="19" t="n">
        <x:v>7</x:v>
      </x:c>
      <x:c r="R48" s="19" t="n">
        <x:v>6</x:v>
      </x:c>
      <x:c r="S48" s="19" t="n"/>
      <x:c r="T48" s="19" t="n"/>
      <x:c r="U48" s="19" t="n"/>
      <x:c r="V48" s="19" t="n"/>
      <x:c r="W48" s="19" t="n"/>
      <x:c r="X48" s="19" t="n"/>
      <x:c r="Y48" s="20" t="n">
        <x:f>SUM(O48+Q48+S48+U48+W48)</x:f>
        <x:v>13</x:v>
      </x:c>
      <x:c r="Z48" s="20" t="n">
        <x:f>SUM(P48+R48+T48+V48+X48)</x:f>
        <x:v>10</x:v>
      </x:c>
      <x:c r="AA48" s="21" t="n">
        <x:f>Y48/(Y48+Z48)</x:f>
        <x:v>0.5652173913043478</x:v>
      </x:c>
    </x:row>
    <x:row r="49">
      <x:c r="A49" s="22" t="n">
        <x:f>wimbledons_champions!A57</x:f>
        <x:v>1998</x:v>
      </x:c>
      <x:c r="B49" s="25" t="str">
        <x:f>wimbledons_champions!B57</x:f>
        <x:v>Men's</x:v>
      </x:c>
      <x:c r="C49" s="25" t="inlineStr">
        <x:is>
          <x:t xml:space="preserve">P. Sampras</x:t>
        </x:is>
      </x:c>
      <x:c r="D49" s="22" t="inlineStr">
        <x:is>
          <x:t xml:space="preserve">USA</x:t>
        </x:is>
      </x:c>
      <x:c r="E49" s="25" t="inlineStr">
        <x:is>
          <x:t xml:space="preserve">United States</x:t>
        </x:is>
      </x:c>
      <x:c r="F49" s="22" t="n">
        <x:v>1</x:v>
      </x:c>
      <x:c r="G49" s="22" t="n">
        <x:f>wimbledons_champions!G57</x:f>
        <x:v>172</x:v>
      </x:c>
      <x:c r="H49" s="25" t="str">
        <x:f>wimbledons_champions!H57</x:f>
        <x:v>6-7 (2-7), 7-6 (11-9), 6-4, 3-6, 6-2</x:v>
      </x:c>
      <x:c r="I49" s="25" t="inlineStr">
        <x:is>
          <x:t xml:space="preserve">G.S. Ivanisevic</x:t>
        </x:is>
      </x:c>
      <x:c r="J49" s="22" t="inlineStr">
        <x:is>
          <x:t xml:space="preserve">CRO</x:t>
        </x:is>
      </x:c>
      <x:c r="K49" s="25" t="inlineStr">
        <x:is>
          <x:t xml:space="preserve">Croatia</x:t>
        </x:is>
      </x:c>
      <x:c r="L49" s="22" t="n">
        <x:v>14</x:v>
      </x:c>
      <x:c r="M49" s="18" t="n">
        <x:v>0.5283018867924528</x:v>
      </x:c>
      <x:c r="N49" s="18" t="n"/>
      <x:c r="O49" s="19" t="inlineStr">
        <x:is>
          <x:t xml:space="preserve">6</x:t>
        </x:is>
      </x:c>
      <x:c r="P49" s="19" t="n">
        <x:v>7</x:v>
      </x:c>
      <x:c r="Q49" s="19" t="n">
        <x:v>7</x:v>
      </x:c>
      <x:c r="R49" s="19" t="n">
        <x:v>6</x:v>
      </x:c>
      <x:c r="S49" s="19" t="n">
        <x:v>6</x:v>
      </x:c>
      <x:c r="T49" s="19" t="n">
        <x:v>4</x:v>
      </x:c>
      <x:c r="U49" s="19" t="n">
        <x:v>3</x:v>
      </x:c>
      <x:c r="V49" s="19" t="n">
        <x:v>6</x:v>
      </x:c>
      <x:c r="W49" s="19" t="inlineStr">
        <x:is>
          <x:t xml:space="preserve">6</x:t>
        </x:is>
      </x:c>
      <x:c r="X49" s="19" t="n">
        <x:v>2</x:v>
      </x:c>
      <x:c r="Y49" s="20" t="n">
        <x:f>SUM(O49+Q49+S49+U49+W49)</x:f>
        <x:v>28</x:v>
      </x:c>
      <x:c r="Z49" s="20" t="n">
        <x:f>SUM(P49+R49+T49+V49+X49)</x:f>
        <x:v>25</x:v>
      </x:c>
      <x:c r="AA49" s="21" t="n">
        <x:f>Y49/(Y49+Z49)</x:f>
        <x:v>0.5283018867924528</x:v>
      </x:c>
    </x:row>
    <x:row r="50">
      <x:c r="A50" s="22" t="n">
        <x:f>wimbledons_champions!A58</x:f>
        <x:v>1997</x:v>
      </x:c>
      <x:c r="B50" s="25" t="str">
        <x:f>wimbledons_champions!B58</x:f>
        <x:v>Women's</x:v>
      </x:c>
      <x:c r="C50" s="25" t="inlineStr">
        <x:is>
          <x:t xml:space="preserve">M. Hingis</x:t>
        </x:is>
      </x:c>
      <x:c r="D50" s="22" t="inlineStr">
        <x:is>
          <x:t xml:space="preserve">SUI</x:t>
        </x:is>
      </x:c>
      <x:c r="E50" s="25" t="inlineStr">
        <x:is>
          <x:t xml:space="preserve">Switzerland</x:t>
        </x:is>
      </x:c>
      <x:c r="F50" s="22" t="n">
        <x:v>1</x:v>
      </x:c>
      <x:c r="G50" s="22" t="n">
        <x:f>wimbledons_champions!G58</x:f>
        <x:v>110</x:v>
      </x:c>
      <x:c r="H50" s="25" t="str">
        <x:f>wimbledons_champions!H58</x:f>
        <x:v>2-6, 6-3, 6-3</x:v>
      </x:c>
      <x:c r="I50" s="25" t="inlineStr">
        <x:is>
          <x:t xml:space="preserve">J. Novotna</x:t>
        </x:is>
      </x:c>
      <x:c r="J50" s="22" t="inlineStr">
        <x:is>
          <x:t xml:space="preserve">CZE</x:t>
        </x:is>
      </x:c>
      <x:c r="K50" s="25" t="inlineStr">
        <x:is>
          <x:t xml:space="preserve">Czechia</x:t>
        </x:is>
      </x:c>
      <x:c r="L50" s="22" t="n">
        <x:v>3</x:v>
      </x:c>
      <x:c r="M50" s="18" t="n">
        <x:v>0.5384615384615384</x:v>
      </x:c>
      <x:c r="N50" s="18" t="n"/>
      <x:c r="O50" s="19" t="inlineStr">
        <x:is>
          <x:t xml:space="preserve">2</x:t>
        </x:is>
      </x:c>
      <x:c r="P50" s="19" t="n">
        <x:v>6</x:v>
      </x:c>
      <x:c r="Q50" s="19" t="n">
        <x:v>6</x:v>
      </x:c>
      <x:c r="R50" s="19" t="n">
        <x:v>3</x:v>
      </x:c>
      <x:c r="S50" s="19" t="n">
        <x:v>6</x:v>
      </x:c>
      <x:c r="T50" s="19" t="n">
        <x:v>3</x:v>
      </x:c>
      <x:c r="U50" s="19" t="n"/>
      <x:c r="V50" s="19" t="n"/>
      <x:c r="W50" s="19" t="n"/>
      <x:c r="X50" s="19" t="n"/>
      <x:c r="Y50" s="20" t="n">
        <x:f>SUM(O50+Q50+S50+U50+W50)</x:f>
        <x:v>14</x:v>
      </x:c>
      <x:c r="Z50" s="20" t="n">
        <x:f>SUM(P50+R50+T50+V50+X50)</x:f>
        <x:v>12</x:v>
      </x:c>
      <x:c r="AA50" s="21" t="n">
        <x:f>Y50/(Y50+Z50)</x:f>
        <x:v>0.5384615384615384</x:v>
      </x:c>
    </x:row>
    <x:row r="51">
      <x:c r="A51" s="22" t="n">
        <x:f>wimbledons_champions!A59</x:f>
        <x:v>1997</x:v>
      </x:c>
      <x:c r="B51" s="25" t="str">
        <x:f>wimbledons_champions!B59</x:f>
        <x:v>Men's</x:v>
      </x:c>
      <x:c r="C51" s="25" t="inlineStr">
        <x:is>
          <x:t xml:space="preserve">P. Sampras</x:t>
        </x:is>
      </x:c>
      <x:c r="D51" s="22" t="inlineStr">
        <x:is>
          <x:t xml:space="preserve">USA</x:t>
        </x:is>
      </x:c>
      <x:c r="E51" s="25" t="inlineStr">
        <x:is>
          <x:t xml:space="preserve">United States</x:t>
        </x:is>
      </x:c>
      <x:c r="F51" s="22" t="n">
        <x:v>1</x:v>
      </x:c>
      <x:c r="G51" s="22" t="n">
        <x:f>wimbledons_champions!G59</x:f>
        <x:v>94</x:v>
      </x:c>
      <x:c r="H51" s="25" t="str">
        <x:f>wimbledons_champions!H59</x:f>
        <x:v>6-4, 6-2, 6-4</x:v>
      </x:c>
      <x:c r="I51" s="25" t="inlineStr">
        <x:is>
          <x:t xml:space="preserve">C.A. Pioline</x:t>
        </x:is>
      </x:c>
      <x:c r="J51" s="22" t="inlineStr">
        <x:is>
          <x:t xml:space="preserve">FRA</x:t>
        </x:is>
      </x:c>
      <x:c r="K51" s="25" t="inlineStr">
        <x:is>
          <x:t xml:space="preserve">France</x:t>
        </x:is>
      </x:c>
      <x:c r="L51" s="22" t="inlineStr">
        <x:is>
          <x:t xml:space="preserve">U</x:t>
        </x:is>
      </x:c>
      <x:c r="M51" s="18" t="n">
        <x:v>0.6428571428571429</x:v>
      </x:c>
      <x:c r="N51" s="18" t="n"/>
      <x:c r="O51" s="19" t="inlineStr">
        <x:is>
          <x:t xml:space="preserve">6</x:t>
        </x:is>
      </x:c>
      <x:c r="P51" s="19" t="n">
        <x:v>4</x:v>
      </x:c>
      <x:c r="Q51" s="19" t="n">
        <x:v>6</x:v>
      </x:c>
      <x:c r="R51" s="19" t="n">
        <x:v>2</x:v>
      </x:c>
      <x:c r="S51" s="19" t="n">
        <x:v>6</x:v>
      </x:c>
      <x:c r="T51" s="19" t="n">
        <x:v>4</x:v>
      </x:c>
      <x:c r="U51" s="19" t="n"/>
      <x:c r="V51" s="19" t="n"/>
      <x:c r="W51" s="19" t="n"/>
      <x:c r="X51" s="19" t="n"/>
      <x:c r="Y51" s="20" t="n">
        <x:f>SUM(O51+Q51+S51+U51+W51)</x:f>
        <x:v>18</x:v>
      </x:c>
      <x:c r="Z51" s="20" t="n">
        <x:f>SUM(P51+R51+T51+V51+X51)</x:f>
        <x:v>10</x:v>
      </x:c>
      <x:c r="AA51" s="21" t="n">
        <x:f>Y51/(Y51+Z51)</x:f>
        <x:v>0.6428571428571429</x:v>
      </x:c>
    </x:row>
    <x:row r="52">
      <x:c r="A52" s="22" t="n">
        <x:f>wimbledons_champions!A60</x:f>
        <x:v>1996</x:v>
      </x:c>
      <x:c r="B52" s="25" t="str">
        <x:f>wimbledons_champions!B60</x:f>
        <x:v>Women's</x:v>
      </x:c>
      <x:c r="C52" s="25" t="inlineStr">
        <x:is>
          <x:t xml:space="preserve">S.M. Graf</x:t>
        </x:is>
      </x:c>
      <x:c r="D52" s="22" t="inlineStr">
        <x:is>
          <x:t xml:space="preserve">GER</x:t>
        </x:is>
      </x:c>
      <x:c r="E52" s="25" t="inlineStr">
        <x:is>
          <x:t xml:space="preserve">Germany</x:t>
        </x:is>
      </x:c>
      <x:c r="F52" s="22" t="n">
        <x:v>1</x:v>
      </x:c>
      <x:c r="G52" s="22" t="n">
        <x:f>wimbledons_champions!G60</x:f>
        <x:v>88</x:v>
      </x:c>
      <x:c r="H52" s="25" t="str">
        <x:f>wimbledons_champions!H60</x:f>
        <x:v>6-3, 7-5,</x:v>
      </x:c>
      <x:c r="I52" s="25" t="inlineStr">
        <x:is>
          <x:t xml:space="preserve">A.I.M. Sanchez Vicario</x:t>
        </x:is>
      </x:c>
      <x:c r="J52" s="22" t="inlineStr">
        <x:is>
          <x:t xml:space="preserve">ESP</x:t>
        </x:is>
      </x:c>
      <x:c r="K52" s="25" t="inlineStr">
        <x:is>
          <x:t xml:space="preserve">Spain</x:t>
        </x:is>
      </x:c>
      <x:c r="L52" s="22" t="n">
        <x:v>4</x:v>
      </x:c>
      <x:c r="M52" s="18" t="n">
        <x:v>0.6190476190476191</x:v>
      </x:c>
      <x:c r="N52" s="18" t="n"/>
      <x:c r="O52" s="19" t="inlineStr">
        <x:is>
          <x:t xml:space="preserve">6</x:t>
        </x:is>
      </x:c>
      <x:c r="P52" s="19" t="n">
        <x:v>3</x:v>
      </x:c>
      <x:c r="Q52" s="19" t="n">
        <x:v>7</x:v>
      </x:c>
      <x:c r="R52" s="19" t="n">
        <x:v>5</x:v>
      </x:c>
      <x:c r="S52" s="19" t="n"/>
      <x:c r="T52" s="19" t="n"/>
      <x:c r="U52" s="19" t="n"/>
      <x:c r="V52" s="19" t="n"/>
      <x:c r="W52" s="19" t="n"/>
      <x:c r="X52" s="19" t="n"/>
      <x:c r="Y52" s="20" t="n">
        <x:f>SUM(O52+Q52+S52+U52+W52)</x:f>
        <x:v>13</x:v>
      </x:c>
      <x:c r="Z52" s="20" t="n">
        <x:f>SUM(P52+R52+T52+V52+X52)</x:f>
        <x:v>8</x:v>
      </x:c>
      <x:c r="AA52" s="21" t="n">
        <x:f>Y52/(Y52+Z52)</x:f>
        <x:v>0.6190476190476191</x:v>
      </x:c>
    </x:row>
    <x:row r="53">
      <x:c r="A53" s="22" t="n">
        <x:f>wimbledons_champions!A61</x:f>
        <x:v>1996</x:v>
      </x:c>
      <x:c r="B53" s="25" t="str">
        <x:f>wimbledons_champions!B61</x:f>
        <x:v>Men's</x:v>
      </x:c>
      <x:c r="C53" s="25" t="inlineStr">
        <x:is>
          <x:t xml:space="preserve">R.P.S. Krajicek</x:t>
        </x:is>
      </x:c>
      <x:c r="D53" s="22" t="inlineStr">
        <x:is>
          <x:t xml:space="preserve">NED</x:t>
        </x:is>
      </x:c>
      <x:c r="E53" s="25" t="inlineStr">
        <x:is>
          <x:t xml:space="preserve">Netherlands</x:t>
        </x:is>
      </x:c>
      <x:c r="F53" s="22" t="inlineStr">
        <x:is>
          <x:t xml:space="preserve">U</x:t>
        </x:is>
      </x:c>
      <x:c r="G53" s="22" t="n">
        <x:f>wimbledons_champions!G61</x:f>
        <x:v>94</x:v>
      </x:c>
      <x:c r="H53" s="25" t="str">
        <x:f>wimbledons_champions!H61</x:f>
        <x:v>6-3, 6-4, 6-3</x:v>
      </x:c>
      <x:c r="I53" s="25" t="inlineStr">
        <x:is>
          <x:t xml:space="preserve">M.O. Washington</x:t>
        </x:is>
      </x:c>
      <x:c r="J53" s="22" t="inlineStr">
        <x:is>
          <x:t xml:space="preserve">USA</x:t>
        </x:is>
      </x:c>
      <x:c r="K53" s="25" t="inlineStr">
        <x:is>
          <x:t xml:space="preserve">United States</x:t>
        </x:is>
      </x:c>
      <x:c r="L53" s="22" t="inlineStr">
        <x:is>
          <x:t xml:space="preserve">U</x:t>
        </x:is>
      </x:c>
      <x:c r="M53" s="18" t="n">
        <x:v>0.6428571428571429</x:v>
      </x:c>
      <x:c r="N53" s="18" t="n"/>
      <x:c r="O53" s="19" t="inlineStr">
        <x:is>
          <x:t xml:space="preserve">6</x:t>
        </x:is>
      </x:c>
      <x:c r="P53" s="19" t="n">
        <x:v>3</x:v>
      </x:c>
      <x:c r="Q53" s="19" t="n">
        <x:v>6</x:v>
      </x:c>
      <x:c r="R53" s="19" t="n">
        <x:v>4</x:v>
      </x:c>
      <x:c r="S53" s="19" t="n">
        <x:v>6</x:v>
      </x:c>
      <x:c r="T53" s="19" t="n">
        <x:v>3</x:v>
      </x:c>
      <x:c r="U53" s="19" t="n"/>
      <x:c r="V53" s="19" t="n"/>
      <x:c r="W53" s="19" t="n"/>
      <x:c r="X53" s="19" t="n"/>
      <x:c r="Y53" s="20" t="n">
        <x:f>SUM(O53+Q53+S53+U53+W53)</x:f>
        <x:v>18</x:v>
      </x:c>
      <x:c r="Z53" s="20" t="n">
        <x:f>SUM(P53+R53+T53+V53+X53)</x:f>
        <x:v>10</x:v>
      </x:c>
      <x:c r="AA53" s="21" t="n">
        <x:f>Y53/(Y53+Z53)</x:f>
        <x:v>0.6428571428571429</x:v>
      </x:c>
    </x:row>
    <x:row r="54">
      <x:c r="A54" s="22" t="n">
        <x:f>wimbledons_champions!A62</x:f>
        <x:v>1995</x:v>
      </x:c>
      <x:c r="B54" s="25" t="str">
        <x:f>wimbledons_champions!B62</x:f>
        <x:v>Women's</x:v>
      </x:c>
      <x:c r="C54" s="25" t="inlineStr">
        <x:is>
          <x:t xml:space="preserve">S.M. Graf</x:t>
        </x:is>
      </x:c>
      <x:c r="D54" s="22" t="inlineStr">
        <x:is>
          <x:t xml:space="preserve">GER</x:t>
        </x:is>
      </x:c>
      <x:c r="E54" s="25" t="inlineStr">
        <x:is>
          <x:t xml:space="preserve">Germany</x:t>
        </x:is>
      </x:c>
      <x:c r="F54" s="22" t="n">
        <x:v>1</x:v>
      </x:c>
      <x:c r="G54" s="22" t="n">
        <x:f>wimbledons_champions!G62</x:f>
        <x:v>122</x:v>
      </x:c>
      <x:c r="H54" s="25" t="str">
        <x:f>wimbledons_champions!H62</x:f>
        <x:v>4-6, 6-1, 7-5,</x:v>
      </x:c>
      <x:c r="I54" s="25" t="inlineStr">
        <x:is>
          <x:t xml:space="preserve">A.I.M. Sanchez Vicario</x:t>
        </x:is>
      </x:c>
      <x:c r="J54" s="22" t="inlineStr">
        <x:is>
          <x:t xml:space="preserve">ESP</x:t>
        </x:is>
      </x:c>
      <x:c r="K54" s="25" t="inlineStr">
        <x:is>
          <x:t xml:space="preserve">Spain</x:t>
        </x:is>
      </x:c>
      <x:c r="L54" s="22" t="n">
        <x:v>2</x:v>
      </x:c>
      <x:c r="M54" s="18" t="n">
        <x:v>0.5862068965517241</x:v>
      </x:c>
      <x:c r="N54" s="18" t="n"/>
      <x:c r="O54" s="19" t="inlineStr">
        <x:is>
          <x:t xml:space="preserve">4</x:t>
        </x:is>
      </x:c>
      <x:c r="P54" s="19" t="n">
        <x:v>6</x:v>
      </x:c>
      <x:c r="Q54" s="19" t="n">
        <x:v>6</x:v>
      </x:c>
      <x:c r="R54" s="19" t="n">
        <x:v>1</x:v>
      </x:c>
      <x:c r="S54" s="19" t="n">
        <x:v>7</x:v>
      </x:c>
      <x:c r="T54" s="19" t="n">
        <x:v>5</x:v>
      </x:c>
      <x:c r="U54" s="19" t="n"/>
      <x:c r="V54" s="19" t="n"/>
      <x:c r="W54" s="19" t="n"/>
      <x:c r="X54" s="19" t="n"/>
      <x:c r="Y54" s="20" t="n">
        <x:f>SUM(O54+Q54+S54+U54+W54)</x:f>
        <x:v>17</x:v>
      </x:c>
      <x:c r="Z54" s="20" t="n">
        <x:f>SUM(P54+R54+T54+V54+X54)</x:f>
        <x:v>12</x:v>
      </x:c>
      <x:c r="AA54" s="21" t="n">
        <x:f>Y54/(Y54+Z54)</x:f>
        <x:v>0.5862068965517241</x:v>
      </x:c>
    </x:row>
    <x:row r="55">
      <x:c r="A55" s="22" t="n">
        <x:f>wimbledons_champions!A63</x:f>
        <x:v>1995</x:v>
      </x:c>
      <x:c r="B55" s="25" t="str">
        <x:f>wimbledons_champions!B63</x:f>
        <x:v>Men's</x:v>
      </x:c>
      <x:c r="C55" s="25" t="inlineStr">
        <x:is>
          <x:t xml:space="preserve">P. Sampras</x:t>
        </x:is>
      </x:c>
      <x:c r="D55" s="22" t="inlineStr">
        <x:is>
          <x:t xml:space="preserve">USA</x:t>
        </x:is>
      </x:c>
      <x:c r="E55" s="25" t="inlineStr">
        <x:is>
          <x:t xml:space="preserve">United States</x:t>
        </x:is>
      </x:c>
      <x:c r="F55" s="22" t="n">
        <x:v>2</x:v>
      </x:c>
      <x:c r="G55" s="22" t="n">
        <x:f>wimbledons_champions!G63</x:f>
        <x:v>149</x:v>
      </x:c>
      <x:c r="H55" s="25" t="str">
        <x:f>wimbledons_champions!H63</x:f>
        <x:v>6-7 (5-7), 6-2, 6-4, 6-2</x:v>
      </x:c>
      <x:c r="I55" s="25" t="inlineStr">
        <x:is>
          <x:t xml:space="preserve">B.F. Becker</x:t>
        </x:is>
      </x:c>
      <x:c r="J55" s="22" t="inlineStr">
        <x:is>
          <x:t xml:space="preserve">GER</x:t>
        </x:is>
      </x:c>
      <x:c r="K55" s="25" t="inlineStr">
        <x:is>
          <x:t xml:space="preserve">Germany</x:t>
        </x:is>
      </x:c>
      <x:c r="L55" s="22" t="n">
        <x:v>3</x:v>
      </x:c>
      <x:c r="M55" s="18" t="n">
        <x:v>0.6153846153846154</x:v>
      </x:c>
      <x:c r="N55" s="18" t="n"/>
      <x:c r="O55" s="19" t="inlineStr">
        <x:is>
          <x:t xml:space="preserve">6</x:t>
        </x:is>
      </x:c>
      <x:c r="P55" s="19" t="n">
        <x:v>7</x:v>
      </x:c>
      <x:c r="Q55" s="19" t="n">
        <x:v>6</x:v>
      </x:c>
      <x:c r="R55" s="19" t="n">
        <x:v>2</x:v>
      </x:c>
      <x:c r="S55" s="19" t="n">
        <x:v>6</x:v>
      </x:c>
      <x:c r="T55" s="19" t="n">
        <x:v>4</x:v>
      </x:c>
      <x:c r="U55" s="19" t="n">
        <x:v>6</x:v>
      </x:c>
      <x:c r="V55" s="19" t="n">
        <x:v>2</x:v>
      </x:c>
      <x:c r="W55" s="19" t="n"/>
      <x:c r="X55" s="19" t="n"/>
      <x:c r="Y55" s="20" t="n">
        <x:f>SUM(O55+Q55+S55+U55+W55)</x:f>
        <x:v>24</x:v>
      </x:c>
      <x:c r="Z55" s="20" t="n">
        <x:f>SUM(P55+R55+T55+V55+X55)</x:f>
        <x:v>15</x:v>
      </x:c>
      <x:c r="AA55" s="21" t="n">
        <x:f>Y55/(Y55+Z55)</x:f>
        <x:v>0.6153846153846154</x:v>
      </x:c>
    </x:row>
    <x:row r="56">
      <x:c r="A56" s="22" t="n">
        <x:f>wimbledons_champions!A64</x:f>
        <x:v>1994</x:v>
      </x:c>
      <x:c r="B56" s="25" t="str">
        <x:f>wimbledons_champions!B64</x:f>
        <x:v>Women's</x:v>
      </x:c>
      <x:c r="C56" s="25" t="inlineStr">
        <x:is>
          <x:t xml:space="preserve">I.C. Martinez</x:t>
        </x:is>
      </x:c>
      <x:c r="D56" s="22" t="inlineStr">
        <x:is>
          <x:t xml:space="preserve">ESP</x:t>
        </x:is>
      </x:c>
      <x:c r="E56" s="25" t="inlineStr">
        <x:is>
          <x:t xml:space="preserve">Spain</x:t>
        </x:is>
      </x:c>
      <x:c r="F56" s="22" t="n">
        <x:v>3</x:v>
      </x:c>
      <x:c r="G56" s="22" t="n">
        <x:f>wimbledons_champions!G64</x:f>
        <x:v>119</x:v>
      </x:c>
      <x:c r="H56" s="25" t="str">
        <x:f>wimbledons_champions!H64</x:f>
        <x:v>6-4, 3-6, 6-3,</x:v>
      </x:c>
      <x:c r="I56" s="25" t="inlineStr">
        <x:is>
          <x:t xml:space="preserve">M. Navratilova</x:t>
        </x:is>
      </x:c>
      <x:c r="J56" s="22" t="inlineStr">
        <x:is>
          <x:t xml:space="preserve">USA</x:t>
        </x:is>
      </x:c>
      <x:c r="K56" s="25" t="inlineStr">
        <x:is>
          <x:t xml:space="preserve">United States</x:t>
        </x:is>
      </x:c>
      <x:c r="L56" s="22" t="n">
        <x:v>4</x:v>
      </x:c>
      <x:c r="M56" s="18" t="n">
        <x:v>0.5357142857142857</x:v>
      </x:c>
      <x:c r="N56" s="18" t="n"/>
      <x:c r="O56" s="19" t="inlineStr">
        <x:is>
          <x:t xml:space="preserve">6</x:t>
        </x:is>
      </x:c>
      <x:c r="P56" s="19" t="n">
        <x:v>4</x:v>
      </x:c>
      <x:c r="Q56" s="19" t="n">
        <x:v>3</x:v>
      </x:c>
      <x:c r="R56" s="19" t="n">
        <x:v>6</x:v>
      </x:c>
      <x:c r="S56" s="19" t="n">
        <x:v>6</x:v>
      </x:c>
      <x:c r="T56" s="19" t="n">
        <x:v>3</x:v>
      </x:c>
      <x:c r="U56" s="19" t="n"/>
      <x:c r="V56" s="19" t="n"/>
      <x:c r="W56" s="19" t="n"/>
      <x:c r="X56" s="19" t="n"/>
      <x:c r="Y56" s="20" t="n">
        <x:f>SUM(O56+Q56+S56+U56+W56)</x:f>
        <x:v>15</x:v>
      </x:c>
      <x:c r="Z56" s="20" t="n">
        <x:f>SUM(P56+R56+T56+V56+X56)</x:f>
        <x:v>13</x:v>
      </x:c>
      <x:c r="AA56" s="21" t="n">
        <x:f>Y56/(Y56+Z56)</x:f>
        <x:v>0.5357142857142857</x:v>
      </x:c>
    </x:row>
    <x:row r="57">
      <x:c r="A57" s="22" t="n">
        <x:f>wimbledons_champions!A65</x:f>
        <x:v>1994</x:v>
      </x:c>
      <x:c r="B57" s="25" t="str">
        <x:f>wimbledons_champions!B65</x:f>
        <x:v>Men's</x:v>
      </x:c>
      <x:c r="C57" s="25" t="inlineStr">
        <x:is>
          <x:t xml:space="preserve">P. Sampras</x:t>
        </x:is>
      </x:c>
      <x:c r="D57" s="22" t="inlineStr">
        <x:is>
          <x:t xml:space="preserve">USA</x:t>
        </x:is>
      </x:c>
      <x:c r="E57" s="25" t="inlineStr">
        <x:is>
          <x:t xml:space="preserve">United States</x:t>
        </x:is>
      </x:c>
      <x:c r="F57" s="22" t="n">
        <x:v>1</x:v>
      </x:c>
      <x:c r="G57" s="22" t="n">
        <x:f>wimbledons_champions!G65</x:f>
        <x:v>115</x:v>
      </x:c>
      <x:c r="H57" s="25" t="str">
        <x:f>wimbledons_champions!H65</x:f>
        <x:v>7-6 (7-2), 7-6 (7-5), 6-0</x:v>
      </x:c>
      <x:c r="I57" s="25" t="inlineStr">
        <x:is>
          <x:t xml:space="preserve">G.S. Ivanisevic</x:t>
        </x:is>
      </x:c>
      <x:c r="J57" s="22" t="inlineStr">
        <x:is>
          <x:t xml:space="preserve">CRO</x:t>
        </x:is>
      </x:c>
      <x:c r="K57" s="25" t="inlineStr">
        <x:is>
          <x:t xml:space="preserve">Croatia</x:t>
        </x:is>
      </x:c>
      <x:c r="L57" s="22" t="n">
        <x:v>4</x:v>
      </x:c>
      <x:c r="M57" s="18" t="n">
        <x:v>0.625</x:v>
      </x:c>
      <x:c r="N57" s="18" t="n"/>
      <x:c r="O57" s="19" t="inlineStr">
        <x:is>
          <x:t xml:space="preserve">7</x:t>
        </x:is>
      </x:c>
      <x:c r="P57" s="19" t="n">
        <x:v>6</x:v>
      </x:c>
      <x:c r="Q57" s="19" t="n">
        <x:v>7</x:v>
      </x:c>
      <x:c r="R57" s="19" t="n">
        <x:v>6</x:v>
      </x:c>
      <x:c r="S57" s="19" t="n">
        <x:v>6</x:v>
      </x:c>
      <x:c r="T57" s="19" t="n">
        <x:v>0</x:v>
      </x:c>
      <x:c r="U57" s="19" t="n"/>
      <x:c r="V57" s="19" t="n"/>
      <x:c r="W57" s="19" t="n"/>
      <x:c r="X57" s="19" t="n"/>
      <x:c r="Y57" s="20" t="n">
        <x:f>SUM(O57+Q57+S57+U57+W57)</x:f>
        <x:v>20</x:v>
      </x:c>
      <x:c r="Z57" s="20" t="n">
        <x:f>SUM(P57+R57+T57+V57+X57)</x:f>
        <x:v>12</x:v>
      </x:c>
      <x:c r="AA57" s="21" t="n">
        <x:f>Y57/(Y57+Z57)</x:f>
        <x:v>0.625</x:v>
      </x:c>
    </x:row>
    <x:row r="58">
      <x:c r="A58" s="22" t="n">
        <x:f>wimbledons_champions!A66</x:f>
        <x:v>1993</x:v>
      </x:c>
      <x:c r="B58" s="25" t="str">
        <x:f>wimbledons_champions!B66</x:f>
        <x:v>Women's</x:v>
      </x:c>
      <x:c r="C58" s="25" t="inlineStr">
        <x:is>
          <x:t xml:space="preserve">S.M. Graf</x:t>
        </x:is>
      </x:c>
      <x:c r="D58" s="22" t="inlineStr">
        <x:is>
          <x:t xml:space="preserve">GER</x:t>
        </x:is>
      </x:c>
      <x:c r="E58" s="25" t="inlineStr">
        <x:is>
          <x:t xml:space="preserve">Germany</x:t>
        </x:is>
      </x:c>
      <x:c r="F58" s="22" t="n">
        <x:v>1</x:v>
      </x:c>
      <x:c r="G58" s="22" t="n">
        <x:f>wimbledons_champions!G66</x:f>
        <x:v>134</x:v>
      </x:c>
      <x:c r="H58" s="25" t="str">
        <x:f>wimbledons_champions!H66</x:f>
        <x:v>7-6 (8-6), 1-6, 6-4,</x:v>
      </x:c>
      <x:c r="I58" s="25" t="inlineStr">
        <x:is>
          <x:t xml:space="preserve">J. Novotna</x:t>
        </x:is>
      </x:c>
      <x:c r="J58" s="22" t="inlineStr">
        <x:is>
          <x:t xml:space="preserve">CZE</x:t>
        </x:is>
      </x:c>
      <x:c r="K58" s="25" t="inlineStr">
        <x:is>
          <x:t xml:space="preserve">Czechia</x:t>
        </x:is>
      </x:c>
      <x:c r="L58" s="22" t="n">
        <x:v>8</x:v>
      </x:c>
      <x:c r="M58" s="18" t="n">
        <x:v>0.4666666666666667</x:v>
      </x:c>
      <x:c r="N58" s="18" t="n"/>
      <x:c r="O58" s="19" t="inlineStr">
        <x:is>
          <x:t xml:space="preserve">7</x:t>
        </x:is>
      </x:c>
      <x:c r="P58" s="19" t="n">
        <x:v>6</x:v>
      </x:c>
      <x:c r="Q58" s="19" t="n">
        <x:v>1</x:v>
      </x:c>
      <x:c r="R58" s="19" t="n">
        <x:v>6</x:v>
      </x:c>
      <x:c r="S58" s="19" t="n">
        <x:v>6</x:v>
      </x:c>
      <x:c r="T58" s="19" t="n">
        <x:v>4</x:v>
      </x:c>
      <x:c r="U58" s="19" t="n"/>
      <x:c r="V58" s="19" t="n"/>
      <x:c r="W58" s="19" t="n"/>
      <x:c r="X58" s="19" t="n"/>
      <x:c r="Y58" s="20" t="n">
        <x:f>SUM(O58+Q58+S58+U58+W58)</x:f>
        <x:v>14</x:v>
      </x:c>
      <x:c r="Z58" s="20" t="n">
        <x:f>SUM(P58+R58+T58+V58+X58)</x:f>
        <x:v>16</x:v>
      </x:c>
      <x:c r="AA58" s="21" t="n">
        <x:f>Y58/(Y58+Z58)</x:f>
        <x:v>0.4666666666666667</x:v>
      </x:c>
    </x:row>
    <x:row r="59">
      <x:c r="A59" s="22" t="n">
        <x:f>wimbledons_champions!A67</x:f>
        <x:v>1993</x:v>
      </x:c>
      <x:c r="B59" s="25" t="str">
        <x:f>wimbledons_champions!B67</x:f>
        <x:v>Men's</x:v>
      </x:c>
      <x:c r="C59" s="25" t="inlineStr">
        <x:is>
          <x:t xml:space="preserve">P. Sampras</x:t>
        </x:is>
      </x:c>
      <x:c r="D59" s="22" t="inlineStr">
        <x:is>
          <x:t xml:space="preserve">USA</x:t>
        </x:is>
      </x:c>
      <x:c r="E59" s="25" t="inlineStr">
        <x:is>
          <x:t xml:space="preserve">United States</x:t>
        </x:is>
      </x:c>
      <x:c r="F59" s="22" t="n">
        <x:v>1</x:v>
      </x:c>
      <x:c r="G59" s="22" t="n">
        <x:f>wimbledons_champions!G67</x:f>
        <x:v>178</x:v>
      </x:c>
      <x:c r="H59" s="25" t="str">
        <x:f>wimbledons_champions!H67</x:f>
        <x:v>7-6 (7-3), 7-6 (8-6), 3-6, 6-3</x:v>
      </x:c>
      <x:c r="I59" s="25" t="inlineStr">
        <x:is>
          <x:t xml:space="preserve">J.S. Courier</x:t>
        </x:is>
      </x:c>
      <x:c r="J59" s="22" t="inlineStr">
        <x:is>
          <x:t xml:space="preserve">USA</x:t>
        </x:is>
      </x:c>
      <x:c r="K59" s="25" t="inlineStr">
        <x:is>
          <x:t xml:space="preserve">United States</x:t>
        </x:is>
      </x:c>
      <x:c r="L59" s="22" t="n">
        <x:v>3</x:v>
      </x:c>
      <x:c r="M59" s="18" t="n">
        <x:v>0.5227272727272727</x:v>
      </x:c>
      <x:c r="N59" s="18" t="n"/>
      <x:c r="O59" s="19" t="inlineStr">
        <x:is>
          <x:t xml:space="preserve">7</x:t>
        </x:is>
      </x:c>
      <x:c r="P59" s="19" t="n">
        <x:v>6</x:v>
      </x:c>
      <x:c r="Q59" s="19" t="n">
        <x:v>7</x:v>
      </x:c>
      <x:c r="R59" s="19" t="n">
        <x:v>6</x:v>
      </x:c>
      <x:c r="S59" s="19" t="n">
        <x:v>3</x:v>
      </x:c>
      <x:c r="T59" s="19" t="n">
        <x:v>6</x:v>
      </x:c>
      <x:c r="U59" s="19" t="n">
        <x:v>6</x:v>
      </x:c>
      <x:c r="V59" s="19" t="n">
        <x:v>3</x:v>
      </x:c>
      <x:c r="W59" s="19" t="n"/>
      <x:c r="X59" s="19" t="n"/>
      <x:c r="Y59" s="20" t="n">
        <x:f>SUM(O59+Q59+S59+U59+W59)</x:f>
        <x:v>23</x:v>
      </x:c>
      <x:c r="Z59" s="20" t="n">
        <x:f>SUM(P59+R59+T59+V59+X59)</x:f>
        <x:v>21</x:v>
      </x:c>
      <x:c r="AA59" s="21" t="n">
        <x:f>Y59/(Y59+Z59)</x:f>
        <x:v>0.5227272727272727</x:v>
      </x:c>
    </x:row>
    <x:row r="60">
      <x:c r="A60" s="22" t="n">
        <x:f>wimbledons_champions!A68</x:f>
        <x:v>1992</x:v>
      </x:c>
      <x:c r="B60" s="25" t="str">
        <x:f>wimbledons_champions!B68</x:f>
        <x:v>Women's</x:v>
      </x:c>
      <x:c r="C60" s="25" t="inlineStr">
        <x:is>
          <x:t xml:space="preserve">S.M. Graf</x:t>
        </x:is>
      </x:c>
      <x:c r="D60" s="22" t="inlineStr">
        <x:is>
          <x:t xml:space="preserve">GER</x:t>
        </x:is>
      </x:c>
      <x:c r="E60" s="25" t="inlineStr">
        <x:is>
          <x:t xml:space="preserve">Germany</x:t>
        </x:is>
      </x:c>
      <x:c r="F60" s="22" t="n">
        <x:v>2</x:v>
      </x:c>
      <x:c r="G60" s="22" t="n">
        <x:f>wimbledons_champions!G68</x:f>
        <x:v>58</x:v>
      </x:c>
      <x:c r="H60" s="25" t="str">
        <x:f>wimbledons_champions!H68</x:f>
        <x:v>6-2, 6-1,</x:v>
      </x:c>
      <x:c r="I60" s="25" t="inlineStr">
        <x:is>
          <x:t xml:space="preserve">M. Seles</x:t>
        </x:is>
      </x:c>
      <x:c r="J60" s="22" t="inlineStr">
        <x:is>
          <x:t xml:space="preserve">YUG</x:t>
        </x:is>
      </x:c>
      <x:c r="K60" s="25" t="inlineStr">
        <x:is>
          <x:t xml:space="preserve">Yugoslavia</x:t>
        </x:is>
      </x:c>
      <x:c r="L60" s="22" t="n">
        <x:v>1</x:v>
      </x:c>
      <x:c r="M60" s="18" t="n">
        <x:v>0.8</x:v>
      </x:c>
      <x:c r="N60" s="18" t="n"/>
      <x:c r="O60" s="19" t="inlineStr">
        <x:is>
          <x:t xml:space="preserve">6</x:t>
        </x:is>
      </x:c>
      <x:c r="P60" s="19" t="n">
        <x:v>2</x:v>
      </x:c>
      <x:c r="Q60" s="19" t="n">
        <x:v>6</x:v>
      </x:c>
      <x:c r="R60" s="19" t="n">
        <x:v>1</x:v>
      </x:c>
      <x:c r="S60" s="19" t="n"/>
      <x:c r="T60" s="19" t="n"/>
      <x:c r="U60" s="19" t="n"/>
      <x:c r="V60" s="19" t="n"/>
      <x:c r="W60" s="19" t="n"/>
      <x:c r="X60" s="19" t="n"/>
      <x:c r="Y60" s="20" t="n">
        <x:f>SUM(O60+Q60+S60+U60+W60)</x:f>
        <x:v>12</x:v>
      </x:c>
      <x:c r="Z60" s="20" t="n">
        <x:f>SUM(P60+R60+T60+V60+X60)</x:f>
        <x:v>3</x:v>
      </x:c>
      <x:c r="AA60" s="21" t="n">
        <x:f>Y60/(Y60+Z60)</x:f>
        <x:v>0.8</x:v>
      </x:c>
    </x:row>
    <x:row r="61">
      <x:c r="A61" s="22" t="n">
        <x:f>wimbledons_champions!A69</x:f>
        <x:v>1992</x:v>
      </x:c>
      <x:c r="B61" s="25" t="str">
        <x:f>wimbledons_champions!B69</x:f>
        <x:v>Men's</x:v>
      </x:c>
      <x:c r="C61" s="25" t="inlineStr">
        <x:is>
          <x:t xml:space="preserve">A.K. Agassi</x:t>
        </x:is>
      </x:c>
      <x:c r="D61" s="22" t="inlineStr">
        <x:is>
          <x:t xml:space="preserve">USA</x:t>
        </x:is>
      </x:c>
      <x:c r="E61" s="25" t="inlineStr">
        <x:is>
          <x:t xml:space="preserve">United States</x:t>
        </x:is>
      </x:c>
      <x:c r="F61" s="22" t="n">
        <x:v>12</x:v>
      </x:c>
      <x:c r="G61" s="22" t="n">
        <x:f>wimbledons_champions!G69</x:f>
        <x:v>170</x:v>
      </x:c>
      <x:c r="H61" s="25" t="str">
        <x:f>wimbledons_champions!H69</x:f>
        <x:v>6-7 (8-10), 6-4, 6-4, 1-6, 6-4</x:v>
      </x:c>
      <x:c r="I61" s="25" t="inlineStr">
        <x:is>
          <x:t xml:space="preserve">G.S. Ivanisevic</x:t>
        </x:is>
      </x:c>
      <x:c r="J61" s="22" t="inlineStr">
        <x:is>
          <x:t xml:space="preserve">CRO</x:t>
        </x:is>
      </x:c>
      <x:c r="K61" s="25" t="inlineStr">
        <x:is>
          <x:t xml:space="preserve">Croatia</x:t>
        </x:is>
      </x:c>
      <x:c r="L61" s="22" t="n">
        <x:v>8</x:v>
      </x:c>
      <x:c r="M61" s="18" t="n">
        <x:v>0.5</x:v>
      </x:c>
      <x:c r="N61" s="18" t="n"/>
      <x:c r="O61" s="19" t="inlineStr">
        <x:is>
          <x:t xml:space="preserve">6</x:t>
        </x:is>
      </x:c>
      <x:c r="P61" s="19" t="n">
        <x:v>7</x:v>
      </x:c>
      <x:c r="Q61" s="19" t="n">
        <x:v>6</x:v>
      </x:c>
      <x:c r="R61" s="19" t="n">
        <x:v>4</x:v>
      </x:c>
      <x:c r="S61" s="19" t="n">
        <x:v>6</x:v>
      </x:c>
      <x:c r="T61" s="19" t="n">
        <x:v>4</x:v>
      </x:c>
      <x:c r="U61" s="19" t="n">
        <x:v>1</x:v>
      </x:c>
      <x:c r="V61" s="19" t="n">
        <x:v>6</x:v>
      </x:c>
      <x:c r="W61" s="19" t="inlineStr">
        <x:is>
          <x:t xml:space="preserve">6</x:t>
        </x:is>
      </x:c>
      <x:c r="X61" s="19" t="n">
        <x:v>4</x:v>
      </x:c>
      <x:c r="Y61" s="20" t="n">
        <x:f>SUM(O61+Q61+S61+U61+W61)</x:f>
        <x:v>25</x:v>
      </x:c>
      <x:c r="Z61" s="20" t="n">
        <x:f>SUM(P61+R61+T61+V61+X61)</x:f>
        <x:v>25</x:v>
      </x:c>
      <x:c r="AA61" s="21" t="n">
        <x:f>Y61/(Y61+Z61)</x:f>
        <x:v>0.5</x:v>
      </x:c>
    </x:row>
    <x:row r="62">
      <x:c r="A62" s="22" t="n">
        <x:f>wimbledons_champions!A70</x:f>
        <x:v>1991</x:v>
      </x:c>
      <x:c r="B62" s="25" t="str">
        <x:f>wimbledons_champions!B70</x:f>
        <x:v>Women's</x:v>
      </x:c>
      <x:c r="C62" s="25" t="inlineStr">
        <x:is>
          <x:t xml:space="preserve">S.M. Graf</x:t>
        </x:is>
      </x:c>
      <x:c r="D62" s="22" t="inlineStr">
        <x:is>
          <x:t xml:space="preserve">GER</x:t>
        </x:is>
      </x:c>
      <x:c r="E62" s="25" t="inlineStr">
        <x:is>
          <x:t xml:space="preserve">Germany</x:t>
        </x:is>
      </x:c>
      <x:c r="F62" s="22" t="n">
        <x:v>1</x:v>
      </x:c>
      <x:c r="G62" s="22" t="n">
        <x:f>wimbledons_champions!G70</x:f>
        <x:v>127</x:v>
      </x:c>
      <x:c r="H62" s="25" t="str">
        <x:f>wimbledons_champions!H70</x:f>
        <x:v>6-4, 3-6, 8-6,</x:v>
      </x:c>
      <x:c r="I62" s="25" t="inlineStr">
        <x:is>
          <x:t xml:space="preserve">G.B. Sabatini</x:t>
        </x:is>
      </x:c>
      <x:c r="J62" s="22" t="inlineStr">
        <x:is>
          <x:t xml:space="preserve">ARG</x:t>
        </x:is>
      </x:c>
      <x:c r="K62" s="25" t="inlineStr">
        <x:is>
          <x:t xml:space="preserve">Argentina</x:t>
        </x:is>
      </x:c>
      <x:c r="L62" s="22" t="n">
        <x:v>2</x:v>
      </x:c>
      <x:c r="M62" s="18" t="n">
        <x:v>0.5151515151515151</x:v>
      </x:c>
      <x:c r="N62" s="18" t="n"/>
      <x:c r="O62" s="19" t="inlineStr">
        <x:is>
          <x:t xml:space="preserve">6</x:t>
        </x:is>
      </x:c>
      <x:c r="P62" s="19" t="n">
        <x:v>4</x:v>
      </x:c>
      <x:c r="Q62" s="19" t="n">
        <x:v>3</x:v>
      </x:c>
      <x:c r="R62" s="19" t="n">
        <x:v>6</x:v>
      </x:c>
      <x:c r="S62" s="19" t="n">
        <x:v>8</x:v>
      </x:c>
      <x:c r="T62" s="19" t="n">
        <x:v>6</x:v>
      </x:c>
      <x:c r="U62" s="19" t="n"/>
      <x:c r="V62" s="19" t="n"/>
      <x:c r="W62" s="19" t="n"/>
      <x:c r="X62" s="19" t="n"/>
      <x:c r="Y62" s="20" t="n">
        <x:f>SUM(O62+Q62+S62+U62+W62)</x:f>
        <x:v>17</x:v>
      </x:c>
      <x:c r="Z62" s="20" t="n">
        <x:f>SUM(P62+R62+T62+V62+X62)</x:f>
        <x:v>16</x:v>
      </x:c>
      <x:c r="AA62" s="21" t="n">
        <x:f>Y62/(Y62+Z62)</x:f>
        <x:v>0.5151515151515151</x:v>
      </x:c>
    </x:row>
    <x:row r="63">
      <x:c r="A63" s="22" t="n">
        <x:f>wimbledons_champions!A71</x:f>
        <x:v>1991</x:v>
      </x:c>
      <x:c r="B63" s="25" t="str">
        <x:f>wimbledons_champions!B71</x:f>
        <x:v>Men's</x:v>
      </x:c>
      <x:c r="C63" s="25" t="inlineStr">
        <x:is>
          <x:t xml:space="preserve">M.D. Stich</x:t>
        </x:is>
      </x:c>
      <x:c r="D63" s="22" t="inlineStr">
        <x:is>
          <x:t xml:space="preserve">GER</x:t>
        </x:is>
      </x:c>
      <x:c r="E63" s="25" t="inlineStr">
        <x:is>
          <x:t xml:space="preserve">Germany</x:t>
        </x:is>
      </x:c>
      <x:c r="F63" s="22" t="n">
        <x:v>6</x:v>
      </x:c>
      <x:c r="G63" s="22" t="n">
        <x:f>wimbledons_champions!G71</x:f>
        <x:v>153</x:v>
      </x:c>
      <x:c r="H63" s="25" t="str">
        <x:f>wimbledons_champions!H71</x:f>
        <x:v>6-4, 7-6 (7-4), 6-4</x:v>
      </x:c>
      <x:c r="I63" s="25" t="inlineStr">
        <x:is>
          <x:t xml:space="preserve">B.F. Becker</x:t>
        </x:is>
      </x:c>
      <x:c r="J63" s="22" t="inlineStr">
        <x:is>
          <x:t xml:space="preserve">GER</x:t>
        </x:is>
      </x:c>
      <x:c r="K63" s="25" t="inlineStr">
        <x:is>
          <x:t xml:space="preserve">Germany</x:t>
        </x:is>
      </x:c>
      <x:c r="L63" s="22" t="n">
        <x:v>2</x:v>
      </x:c>
      <x:c r="M63" s="18" t="n">
        <x:v>0.5757575757575758</x:v>
      </x:c>
      <x:c r="N63" s="18" t="n"/>
      <x:c r="O63" s="19" t="inlineStr">
        <x:is>
          <x:t xml:space="preserve">6</x:t>
        </x:is>
      </x:c>
      <x:c r="P63" s="19" t="n">
        <x:v>4</x:v>
      </x:c>
      <x:c r="Q63" s="19" t="n">
        <x:v>7</x:v>
      </x:c>
      <x:c r="R63" s="19" t="n">
        <x:v>6</x:v>
      </x:c>
      <x:c r="S63" s="19" t="n">
        <x:v>6</x:v>
      </x:c>
      <x:c r="T63" s="19" t="n">
        <x:v>4</x:v>
      </x:c>
      <x:c r="U63" s="19" t="n"/>
      <x:c r="V63" s="19" t="n"/>
      <x:c r="W63" s="19" t="n"/>
      <x:c r="X63" s="19" t="n"/>
      <x:c r="Y63" s="20" t="n">
        <x:f>SUM(O63+Q63+S63+U63+W63)</x:f>
        <x:v>19</x:v>
      </x:c>
      <x:c r="Z63" s="20" t="n">
        <x:f>SUM(P63+R63+T63+V63+X63)</x:f>
        <x:v>14</x:v>
      </x:c>
      <x:c r="AA63" s="21" t="n">
        <x:f>Y63/(Y63+Z63)</x:f>
        <x:v>0.5757575757575758</x:v>
      </x:c>
    </x:row>
    <x:row r="64">
      <x:c r="A64" s="22" t="n">
        <x:f>wimbledons_champions!A72</x:f>
        <x:v>1990</x:v>
      </x:c>
      <x:c r="B64" s="25" t="str">
        <x:f>wimbledons_champions!B72</x:f>
        <x:v>Women's</x:v>
      </x:c>
      <x:c r="C64" s="25" t="inlineStr">
        <x:is>
          <x:t xml:space="preserve">M. Navratilova</x:t>
        </x:is>
      </x:c>
      <x:c r="D64" s="22" t="inlineStr">
        <x:is>
          <x:t xml:space="preserve">USA</x:t>
        </x:is>
      </x:c>
      <x:c r="E64" s="25" t="inlineStr">
        <x:is>
          <x:t xml:space="preserve">United States</x:t>
        </x:is>
      </x:c>
      <x:c r="F64" s="22" t="n">
        <x:v>2</x:v>
      </x:c>
      <x:c r="G64" s="22" t="n">
        <x:f>wimbledons_champions!G72</x:f>
        <x:v>75</x:v>
      </x:c>
      <x:c r="H64" s="25" t="str">
        <x:f>wimbledons_champions!H72</x:f>
        <x:v>6-4, 6-1,</x:v>
      </x:c>
      <x:c r="I64" s="25" t="inlineStr">
        <x:is>
          <x:t xml:space="preserve">Z.L. Garrison</x:t>
        </x:is>
      </x:c>
      <x:c r="J64" s="22" t="inlineStr">
        <x:is>
          <x:t xml:space="preserve">USA</x:t>
        </x:is>
      </x:c>
      <x:c r="K64" s="25" t="inlineStr">
        <x:is>
          <x:t xml:space="preserve">United States</x:t>
        </x:is>
      </x:c>
      <x:c r="L64" s="22" t="n">
        <x:v>5</x:v>
      </x:c>
      <x:c r="M64" s="18" t="n">
        <x:v>0.7058823529411765</x:v>
      </x:c>
      <x:c r="N64" s="18" t="n"/>
      <x:c r="O64" s="19" t="inlineStr">
        <x:is>
          <x:t xml:space="preserve">6</x:t>
        </x:is>
      </x:c>
      <x:c r="P64" s="19" t="n">
        <x:v>4</x:v>
      </x:c>
      <x:c r="Q64" s="19" t="n">
        <x:v>6</x:v>
      </x:c>
      <x:c r="R64" s="19" t="n">
        <x:v>1</x:v>
      </x:c>
      <x:c r="S64" s="19" t="n"/>
      <x:c r="T64" s="19" t="n"/>
      <x:c r="U64" s="19" t="n"/>
      <x:c r="V64" s="19" t="n"/>
      <x:c r="W64" s="19" t="n"/>
      <x:c r="X64" s="19" t="n"/>
      <x:c r="Y64" s="20" t="n">
        <x:f>SUM(O64+Q64+S64+U64+W64)</x:f>
        <x:v>12</x:v>
      </x:c>
      <x:c r="Z64" s="20" t="n">
        <x:f>SUM(P64+R64+T64+V64+X64)</x:f>
        <x:v>5</x:v>
      </x:c>
      <x:c r="AA64" s="21" t="n">
        <x:f>Y64/(Y64+Z64)</x:f>
        <x:v>0.7058823529411765</x:v>
      </x:c>
    </x:row>
    <x:row r="65">
      <x:c r="A65" s="22" t="n">
        <x:f>wimbledons_champions!A73</x:f>
        <x:v>1990</x:v>
      </x:c>
      <x:c r="B65" s="25" t="str">
        <x:f>wimbledons_champions!B73</x:f>
        <x:v>Men's</x:v>
      </x:c>
      <x:c r="C65" s="25" t="inlineStr">
        <x:is>
          <x:t xml:space="preserve">S.B. Edberg</x:t>
        </x:is>
      </x:c>
      <x:c r="D65" s="22" t="inlineStr">
        <x:is>
          <x:t xml:space="preserve">SWE</x:t>
        </x:is>
      </x:c>
      <x:c r="E65" s="25" t="inlineStr">
        <x:is>
          <x:t xml:space="preserve">Sweden</x:t>
        </x:is>
      </x:c>
      <x:c r="F65" s="22" t="n">
        <x:v>3</x:v>
      </x:c>
      <x:c r="G65" s="22" t="n">
        <x:f>wimbledons_champions!G73</x:f>
        <x:v>178</x:v>
      </x:c>
      <x:c r="H65" s="25" t="str">
        <x:f>wimbledons_champions!H73</x:f>
        <x:v>6-2, 6-2, 3-6, 3-6, 6-4</x:v>
      </x:c>
      <x:c r="I65" s="25" t="inlineStr">
        <x:is>
          <x:t xml:space="preserve">B.F. Becker</x:t>
        </x:is>
      </x:c>
      <x:c r="J65" s="22" t="inlineStr">
        <x:is>
          <x:t xml:space="preserve">GER</x:t>
        </x:is>
      </x:c>
      <x:c r="K65" s="25" t="inlineStr">
        <x:is>
          <x:t xml:space="preserve">Germany</x:t>
        </x:is>
      </x:c>
      <x:c r="L65" s="22" t="n">
        <x:v>2</x:v>
      </x:c>
      <x:c r="M65" s="18" t="n">
        <x:v>0.5454545454545454</x:v>
      </x:c>
      <x:c r="N65" s="18" t="n"/>
      <x:c r="O65" s="19" t="inlineStr">
        <x:is>
          <x:t xml:space="preserve">6</x:t>
        </x:is>
      </x:c>
      <x:c r="P65" s="19" t="n">
        <x:v>2</x:v>
      </x:c>
      <x:c r="Q65" s="19" t="n">
        <x:v>6</x:v>
      </x:c>
      <x:c r="R65" s="19" t="n">
        <x:v>2</x:v>
      </x:c>
      <x:c r="S65" s="19" t="n">
        <x:v>3</x:v>
      </x:c>
      <x:c r="T65" s="19" t="n">
        <x:v>6</x:v>
      </x:c>
      <x:c r="U65" s="19" t="n">
        <x:v>3</x:v>
      </x:c>
      <x:c r="V65" s="19" t="n">
        <x:v>6</x:v>
      </x:c>
      <x:c r="W65" s="19" t="inlineStr">
        <x:is>
          <x:t xml:space="preserve">6</x:t>
        </x:is>
      </x:c>
      <x:c r="X65" s="19" t="n">
        <x:v>4</x:v>
      </x:c>
      <x:c r="Y65" s="20" t="n">
        <x:f>SUM(O65+Q65+S65+U65+W65)</x:f>
        <x:v>24</x:v>
      </x:c>
      <x:c r="Z65" s="20" t="n">
        <x:f>SUM(P65+R65+T65+V65+X65)</x:f>
        <x:v>20</x:v>
      </x:c>
      <x:c r="AA65" s="21" t="n">
        <x:f>Y65/(Y65+Z65)</x:f>
        <x:v>0.5454545454545454</x:v>
      </x:c>
    </x:row>
    <x:row r="66">
      <x:c r="A66" s="22" t="n">
        <x:f>wimbledons_champions!A74</x:f>
        <x:v>1989</x:v>
      </x:c>
      <x:c r="B66" s="25" t="str">
        <x:f>wimbledons_champions!B74</x:f>
        <x:v>Women's</x:v>
      </x:c>
      <x:c r="C66" s="25" t="inlineStr">
        <x:is>
          <x:t xml:space="preserve">S.M. Graf</x:t>
        </x:is>
      </x:c>
      <x:c r="D66" s="22" t="inlineStr">
        <x:is>
          <x:t xml:space="preserve">GER</x:t>
        </x:is>
      </x:c>
      <x:c r="E66" s="25" t="inlineStr">
        <x:is>
          <x:t xml:space="preserve">Germany</x:t>
        </x:is>
      </x:c>
      <x:c r="F66" s="22" t="n">
        <x:v>1</x:v>
      </x:c>
      <x:c r="G66" s="22" t="n">
        <x:f>wimbledons_champions!G74</x:f>
        <x:v>92</x:v>
      </x:c>
      <x:c r="H66" s="25" t="str">
        <x:f>wimbledons_champions!H74</x:f>
        <x:v>6-2, 6-7 (1-7), 6-1,</x:v>
      </x:c>
      <x:c r="I66" s="25" t="inlineStr">
        <x:is>
          <x:t xml:space="preserve">M. Navratilova</x:t>
        </x:is>
      </x:c>
      <x:c r="J66" s="22" t="inlineStr">
        <x:is>
          <x:t xml:space="preserve">USA</x:t>
        </x:is>
      </x:c>
      <x:c r="K66" s="25" t="inlineStr">
        <x:is>
          <x:t xml:space="preserve">United States</x:t>
        </x:is>
      </x:c>
      <x:c r="L66" s="22" t="n">
        <x:v>2</x:v>
      </x:c>
      <x:c r="M66" s="18" t="n">
        <x:v>0.6428571428571429</x:v>
      </x:c>
      <x:c r="N66" s="18" t="n"/>
      <x:c r="O66" s="19" t="inlineStr">
        <x:is>
          <x:t xml:space="preserve">6</x:t>
        </x:is>
      </x:c>
      <x:c r="P66" s="19" t="n">
        <x:v>2</x:v>
      </x:c>
      <x:c r="Q66" s="19" t="n">
        <x:v>6</x:v>
      </x:c>
      <x:c r="R66" s="19" t="n">
        <x:v>7</x:v>
      </x:c>
      <x:c r="S66" s="19" t="n">
        <x:v>6</x:v>
      </x:c>
      <x:c r="T66" s="19" t="n">
        <x:v>1</x:v>
      </x:c>
      <x:c r="U66" s="19" t="n"/>
      <x:c r="V66" s="19" t="n"/>
      <x:c r="W66" s="19" t="n"/>
      <x:c r="X66" s="19" t="n"/>
      <x:c r="Y66" s="20" t="n">
        <x:f>SUM(O66+Q66+S66+U66+W66)</x:f>
        <x:v>18</x:v>
      </x:c>
      <x:c r="Z66" s="20" t="n">
        <x:f>SUM(P66+R66+T66+V66+X66)</x:f>
        <x:v>10</x:v>
      </x:c>
      <x:c r="AA66" s="21" t="n">
        <x:f>Y66/(Y66+Z66)</x:f>
        <x:v>0.6428571428571429</x:v>
      </x:c>
    </x:row>
    <x:row r="67">
      <x:c r="A67" s="22" t="n">
        <x:f>wimbledons_champions!A75</x:f>
        <x:v>1989</x:v>
      </x:c>
      <x:c r="B67" s="25" t="str">
        <x:f>wimbledons_champions!B75</x:f>
        <x:v>Men's</x:v>
      </x:c>
      <x:c r="C67" s="25" t="inlineStr">
        <x:is>
          <x:t xml:space="preserve">B.F. Becker</x:t>
        </x:is>
      </x:c>
      <x:c r="D67" s="22" t="inlineStr">
        <x:is>
          <x:t xml:space="preserve">GER</x:t>
        </x:is>
      </x:c>
      <x:c r="E67" s="25" t="inlineStr">
        <x:is>
          <x:t xml:space="preserve">Germany</x:t>
        </x:is>
      </x:c>
      <x:c r="F67" s="22" t="n">
        <x:v>3</x:v>
      </x:c>
      <x:c r="G67" s="22" t="n">
        <x:f>wimbledons_champions!G75</x:f>
        <x:v>132</x:v>
      </x:c>
      <x:c r="H67" s="25" t="str">
        <x:f>wimbledons_champions!H75</x:f>
        <x:v>6-0, 7-6 (7-1), 6-4</x:v>
      </x:c>
      <x:c r="I67" s="25" t="inlineStr">
        <x:is>
          <x:t xml:space="preserve">S.B. Edberg</x:t>
        </x:is>
      </x:c>
      <x:c r="J67" s="22" t="inlineStr">
        <x:is>
          <x:t xml:space="preserve">SWE</x:t>
        </x:is>
      </x:c>
      <x:c r="K67" s="25" t="inlineStr">
        <x:is>
          <x:t xml:space="preserve">Sweden</x:t>
        </x:is>
      </x:c>
      <x:c r="L67" s="22" t="n">
        <x:v>2</x:v>
      </x:c>
      <x:c r="M67" s="18" t="n">
        <x:v>0.6551724137931034</x:v>
      </x:c>
      <x:c r="N67" s="18" t="n"/>
      <x:c r="O67" s="19" t="inlineStr">
        <x:is>
          <x:t xml:space="preserve">6</x:t>
        </x:is>
      </x:c>
      <x:c r="P67" s="19" t="n">
        <x:v>0</x:v>
      </x:c>
      <x:c r="Q67" s="19" t="n">
        <x:v>7</x:v>
      </x:c>
      <x:c r="R67" s="19" t="n">
        <x:v>6</x:v>
      </x:c>
      <x:c r="S67" s="19" t="n">
        <x:v>6</x:v>
      </x:c>
      <x:c r="T67" s="19" t="n">
        <x:v>4</x:v>
      </x:c>
      <x:c r="U67" s="19" t="n"/>
      <x:c r="V67" s="19" t="n"/>
      <x:c r="W67" s="19" t="n"/>
      <x:c r="X67" s="19" t="n"/>
      <x:c r="Y67" s="20" t="n">
        <x:f>SUM(O67+Q67+S67+U67+W67)</x:f>
        <x:v>19</x:v>
      </x:c>
      <x:c r="Z67" s="20" t="n">
        <x:f>SUM(P67+R67+T67+V67+X67)</x:f>
        <x:v>10</x:v>
      </x:c>
      <x:c r="AA67" s="21" t="n">
        <x:f>Y67/(Y67+Z67)</x:f>
        <x:v>0.6551724137931034</x:v>
      </x:c>
    </x:row>
    <x:row r="68">
      <x:c r="A68" s="22" t="n">
        <x:f>wimbledons_champions!A76</x:f>
        <x:v>1988</x:v>
      </x:c>
      <x:c r="B68" s="25" t="str">
        <x:f>wimbledons_champions!B76</x:f>
        <x:v>Women's</x:v>
      </x:c>
      <x:c r="C68" s="25" t="inlineStr">
        <x:is>
          <x:t xml:space="preserve">S.M. Graf</x:t>
        </x:is>
      </x:c>
      <x:c r="D68" s="22" t="inlineStr">
        <x:is>
          <x:t xml:space="preserve">GER</x:t>
        </x:is>
      </x:c>
      <x:c r="E68" s="25" t="inlineStr">
        <x:is>
          <x:t xml:space="preserve">Germany</x:t>
        </x:is>
      </x:c>
      <x:c r="F68" s="22" t="n">
        <x:v>1</x:v>
      </x:c>
      <x:c r="G68" s="22" t="n">
        <x:f>wimbledons_champions!G76</x:f>
        <x:v>93</x:v>
      </x:c>
      <x:c r="H68" s="25" t="str">
        <x:f>wimbledons_champions!H76</x:f>
        <x:v>5-7, 6-2, 6-1,</x:v>
      </x:c>
      <x:c r="I68" s="25" t="inlineStr">
        <x:is>
          <x:t xml:space="preserve">M. Navratilova</x:t>
        </x:is>
      </x:c>
      <x:c r="J68" s="22" t="inlineStr">
        <x:is>
          <x:t xml:space="preserve">USA</x:t>
        </x:is>
      </x:c>
      <x:c r="K68" s="25" t="inlineStr">
        <x:is>
          <x:t xml:space="preserve">United States</x:t>
        </x:is>
      </x:c>
      <x:c r="L68" s="22" t="n">
        <x:v>2</x:v>
      </x:c>
      <x:c r="M68" s="18" t="n">
        <x:v>0.6296296296296297</x:v>
      </x:c>
      <x:c r="N68" s="18" t="n"/>
      <x:c r="O68" s="19" t="inlineStr">
        <x:is>
          <x:t xml:space="preserve">5</x:t>
        </x:is>
      </x:c>
      <x:c r="P68" s="19" t="n">
        <x:v>7</x:v>
      </x:c>
      <x:c r="Q68" s="19" t="n">
        <x:v>6</x:v>
      </x:c>
      <x:c r="R68" s="19" t="n">
        <x:v>2</x:v>
      </x:c>
      <x:c r="S68" s="19" t="n">
        <x:v>6</x:v>
      </x:c>
      <x:c r="T68" s="19" t="n">
        <x:v>1</x:v>
      </x:c>
      <x:c r="U68" s="19" t="n"/>
      <x:c r="V68" s="19" t="n"/>
      <x:c r="W68" s="19" t="n"/>
      <x:c r="X68" s="19" t="n"/>
      <x:c r="Y68" s="20" t="n">
        <x:f>SUM(O68+Q68+S68+U68+W68)</x:f>
        <x:v>17</x:v>
      </x:c>
      <x:c r="Z68" s="20" t="n">
        <x:f>SUM(P68+R68+T68+V68+X68)</x:f>
        <x:v>10</x:v>
      </x:c>
      <x:c r="AA68" s="21" t="n">
        <x:f>Y68/(Y68+Z68)</x:f>
        <x:v>0.6296296296296297</x:v>
      </x:c>
    </x:row>
    <x:row r="69">
      <x:c r="A69" s="22" t="n">
        <x:f>wimbledons_champions!A77</x:f>
        <x:v>1988</x:v>
      </x:c>
      <x:c r="B69" s="25" t="str">
        <x:f>wimbledons_champions!B77</x:f>
        <x:v>Men's</x:v>
      </x:c>
      <x:c r="C69" s="25" t="inlineStr">
        <x:is>
          <x:t xml:space="preserve">S.B. Edberg</x:t>
        </x:is>
      </x:c>
      <x:c r="D69" s="22" t="inlineStr">
        <x:is>
          <x:t xml:space="preserve">SWE</x:t>
        </x:is>
      </x:c>
      <x:c r="E69" s="25" t="inlineStr">
        <x:is>
          <x:t xml:space="preserve">Sweden</x:t>
        </x:is>
      </x:c>
      <x:c r="F69" s="22" t="n">
        <x:v>3</x:v>
      </x:c>
      <x:c r="G69" s="22" t="n">
        <x:f>wimbledons_champions!G77</x:f>
        <x:v>170</x:v>
      </x:c>
      <x:c r="H69" s="25" t="str">
        <x:f>wimbledons_champions!H77</x:f>
        <x:v>4-6, 7-6 (7-2), 6-4, 6-2</x:v>
      </x:c>
      <x:c r="I69" s="25" t="inlineStr">
        <x:is>
          <x:t xml:space="preserve">B.F. Becker</x:t>
        </x:is>
      </x:c>
      <x:c r="J69" s="22" t="inlineStr">
        <x:is>
          <x:t xml:space="preserve">GER</x:t>
        </x:is>
      </x:c>
      <x:c r="K69" s="25" t="inlineStr">
        <x:is>
          <x:t xml:space="preserve">Germany</x:t>
        </x:is>
      </x:c>
      <x:c r="L69" s="22" t="n">
        <x:v>6</x:v>
      </x:c>
      <x:c r="M69" s="18" t="n">
        <x:v>0.5609756097560976</x:v>
      </x:c>
      <x:c r="N69" s="18" t="n"/>
      <x:c r="O69" s="19" t="inlineStr">
        <x:is>
          <x:t xml:space="preserve">4</x:t>
        </x:is>
      </x:c>
      <x:c r="P69" s="19" t="n">
        <x:v>6</x:v>
      </x:c>
      <x:c r="Q69" s="19" t="n">
        <x:v>7</x:v>
      </x:c>
      <x:c r="R69" s="19" t="n">
        <x:v>6</x:v>
      </x:c>
      <x:c r="S69" s="19" t="n">
        <x:v>6</x:v>
      </x:c>
      <x:c r="T69" s="19" t="n">
        <x:v>4</x:v>
      </x:c>
      <x:c r="U69" s="19" t="n">
        <x:v>6</x:v>
      </x:c>
      <x:c r="V69" s="19" t="n">
        <x:v>2</x:v>
      </x:c>
      <x:c r="W69" s="19" t="n"/>
      <x:c r="X69" s="19" t="n"/>
      <x:c r="Y69" s="20" t="n">
        <x:f>SUM(O69+Q69+S69+U69+W69)</x:f>
        <x:v>23</x:v>
      </x:c>
      <x:c r="Z69" s="20" t="n">
        <x:f>SUM(P69+R69+T69+V69+X69)</x:f>
        <x:v>18</x:v>
      </x:c>
      <x:c r="AA69" s="21" t="n">
        <x:f>Y69/(Y69+Z69)</x:f>
        <x:v>0.5609756097560976</x:v>
      </x:c>
    </x:row>
    <x:row r="70">
      <x:c r="A70" s="22" t="n">
        <x:f>wimbledons_champions!A78</x:f>
        <x:v>1987</x:v>
      </x:c>
      <x:c r="B70" s="25" t="str">
        <x:f>wimbledons_champions!B78</x:f>
        <x:v>Women's</x:v>
      </x:c>
      <x:c r="C70" s="25" t="inlineStr">
        <x:is>
          <x:t xml:space="preserve">M. Navratilova</x:t>
        </x:is>
      </x:c>
      <x:c r="D70" s="22" t="inlineStr">
        <x:is>
          <x:t xml:space="preserve">USA</x:t>
        </x:is>
      </x:c>
      <x:c r="E70" s="25" t="inlineStr">
        <x:is>
          <x:t xml:space="preserve">United States</x:t>
        </x:is>
      </x:c>
      <x:c r="F70" s="22" t="n">
        <x:v>1</x:v>
      </x:c>
      <x:c r="G70" s="22" t="n">
        <x:f>wimbledons_champions!G78</x:f>
        <x:v>69</x:v>
      </x:c>
      <x:c r="H70" s="25" t="str">
        <x:f>wimbledons_champions!H78</x:f>
        <x:v>7-5, 6-3,</x:v>
      </x:c>
      <x:c r="I70" s="25" t="inlineStr">
        <x:is>
          <x:t xml:space="preserve">S.M. Graf</x:t>
        </x:is>
      </x:c>
      <x:c r="J70" s="22" t="inlineStr">
        <x:is>
          <x:t xml:space="preserve">GER</x:t>
        </x:is>
      </x:c>
      <x:c r="K70" s="25" t="inlineStr">
        <x:is>
          <x:t xml:space="preserve">Germany</x:t>
        </x:is>
      </x:c>
      <x:c r="L70" s="22" t="n">
        <x:v>2</x:v>
      </x:c>
      <x:c r="M70" s="18" t="n">
        <x:v>0.6190476190476191</x:v>
      </x:c>
      <x:c r="N70" s="18" t="n"/>
      <x:c r="O70" s="19" t="inlineStr">
        <x:is>
          <x:t xml:space="preserve">7</x:t>
        </x:is>
      </x:c>
      <x:c r="P70" s="19" t="n">
        <x:v>5</x:v>
      </x:c>
      <x:c r="Q70" s="19" t="n">
        <x:v>6</x:v>
      </x:c>
      <x:c r="R70" s="19" t="n">
        <x:v>3</x:v>
      </x:c>
      <x:c r="S70" s="19" t="n"/>
      <x:c r="T70" s="19" t="n"/>
      <x:c r="U70" s="19" t="n"/>
      <x:c r="V70" s="19" t="n"/>
      <x:c r="W70" s="19" t="n"/>
      <x:c r="X70" s="19" t="n"/>
      <x:c r="Y70" s="20" t="n">
        <x:f>SUM(O70+Q70+S70+U70+W70)</x:f>
        <x:v>13</x:v>
      </x:c>
      <x:c r="Z70" s="20" t="n">
        <x:f>SUM(P70+R70+T70+V70+X70)</x:f>
        <x:v>8</x:v>
      </x:c>
      <x:c r="AA70" s="21" t="n">
        <x:f>Y70/(Y70+Z70)</x:f>
        <x:v>0.6190476190476191</x:v>
      </x:c>
    </x:row>
    <x:row r="71">
      <x:c r="A71" s="22" t="n">
        <x:f>wimbledons_champions!A79</x:f>
        <x:v>1987</x:v>
      </x:c>
      <x:c r="B71" s="25" t="str">
        <x:f>wimbledons_champions!B79</x:f>
        <x:v>Men's</x:v>
      </x:c>
      <x:c r="C71" s="25" t="inlineStr">
        <x:is>
          <x:t xml:space="preserve">P.H. Cash</x:t>
        </x:is>
      </x:c>
      <x:c r="D71" s="22" t="inlineStr">
        <x:is>
          <x:t xml:space="preserve">AUS</x:t>
        </x:is>
      </x:c>
      <x:c r="E71" s="25" t="inlineStr">
        <x:is>
          <x:t xml:space="preserve">Australia</x:t>
        </x:is>
      </x:c>
      <x:c r="F71" s="22" t="n">
        <x:v>11</x:v>
      </x:c>
      <x:c r="G71" s="22" t="n">
        <x:f>wimbledons_champions!G79</x:f>
        <x:v>165</x:v>
      </x:c>
      <x:c r="H71" s="25" t="str">
        <x:f>wimbledons_champions!H79</x:f>
        <x:v>7-6 (7-5), 6-2, 7-5</x:v>
      </x:c>
      <x:c r="I71" s="25" t="inlineStr">
        <x:is>
          <x:t xml:space="preserve">I. Lendl</x:t>
        </x:is>
      </x:c>
      <x:c r="J71" s="22" t="inlineStr">
        <x:is>
          <x:t xml:space="preserve">TCH</x:t>
        </x:is>
      </x:c>
      <x:c r="K71" s="25" t="inlineStr">
        <x:is>
          <x:t xml:space="preserve">Czechoslovakia</x:t>
        </x:is>
      </x:c>
      <x:c r="L71" s="22" t="n">
        <x:v>2</x:v>
      </x:c>
      <x:c r="M71" s="18" t="n">
        <x:v>0.6060606060606061</x:v>
      </x:c>
      <x:c r="N71" s="18" t="n"/>
      <x:c r="O71" s="19" t="inlineStr">
        <x:is>
          <x:t xml:space="preserve">7</x:t>
        </x:is>
      </x:c>
      <x:c r="P71" s="19" t="n">
        <x:v>6</x:v>
      </x:c>
      <x:c r="Q71" s="19" t="n">
        <x:v>6</x:v>
      </x:c>
      <x:c r="R71" s="19" t="n">
        <x:v>2</x:v>
      </x:c>
      <x:c r="S71" s="19" t="n">
        <x:v>7</x:v>
      </x:c>
      <x:c r="T71" s="19" t="n">
        <x:v>5</x:v>
      </x:c>
      <x:c r="U71" s="19" t="n"/>
      <x:c r="V71" s="19" t="n"/>
      <x:c r="W71" s="19" t="n"/>
      <x:c r="X71" s="19" t="n"/>
      <x:c r="Y71" s="20" t="n">
        <x:f>SUM(O71+Q71+S71+U71+W71)</x:f>
        <x:v>20</x:v>
      </x:c>
      <x:c r="Z71" s="20" t="n">
        <x:f>SUM(P71+R71+T71+V71+X71)</x:f>
        <x:v>13</x:v>
      </x:c>
      <x:c r="AA71" s="21" t="n">
        <x:f>Y71/(Y71+Z71)</x:f>
        <x:v>0.6060606060606061</x:v>
      </x:c>
    </x:row>
    <x:row r="72">
      <x:c r="A72" s="22" t="n">
        <x:f>wimbledons_champions!A80</x:f>
        <x:v>1986</x:v>
      </x:c>
      <x:c r="B72" s="25" t="str">
        <x:f>wimbledons_champions!B80</x:f>
        <x:v>Women's</x:v>
      </x:c>
      <x:c r="C72" s="25" t="inlineStr">
        <x:is>
          <x:t xml:space="preserve">M. Navratilova</x:t>
        </x:is>
      </x:c>
      <x:c r="D72" s="22" t="inlineStr">
        <x:is>
          <x:t xml:space="preserve">USA</x:t>
        </x:is>
      </x:c>
      <x:c r="E72" s="25" t="inlineStr">
        <x:is>
          <x:t xml:space="preserve">United States</x:t>
        </x:is>
      </x:c>
      <x:c r="F72" s="22" t="n">
        <x:v>1</x:v>
      </x:c>
      <x:c r="G72" s="22" t="n">
        <x:f>wimbledons_champions!G80</x:f>
        <x:v>72</x:v>
      </x:c>
      <x:c r="H72" s="25" t="str">
        <x:f>wimbledons_champions!H80</x:f>
        <x:v>7-6 (7-1), 6-3,</x:v>
      </x:c>
      <x:c r="I72" s="25" t="inlineStr">
        <x:is>
          <x:t xml:space="preserve">H. Mandlikova</x:t>
        </x:is>
      </x:c>
      <x:c r="J72" s="22" t="inlineStr">
        <x:is>
          <x:t xml:space="preserve">TCH</x:t>
        </x:is>
      </x:c>
      <x:c r="K72" s="25" t="inlineStr">
        <x:is>
          <x:t xml:space="preserve">Czechoslovakia</x:t>
        </x:is>
      </x:c>
      <x:c r="L72" s="22" t="n">
        <x:v>3</x:v>
      </x:c>
      <x:c r="M72" s="18" t="n">
        <x:v>0.5909090909090909</x:v>
      </x:c>
      <x:c r="N72" s="18" t="n"/>
      <x:c r="O72" s="19" t="inlineStr">
        <x:is>
          <x:t xml:space="preserve">7</x:t>
        </x:is>
      </x:c>
      <x:c r="P72" s="19" t="n">
        <x:v>6</x:v>
      </x:c>
      <x:c r="Q72" s="19" t="n">
        <x:v>6</x:v>
      </x:c>
      <x:c r="R72" s="19" t="n">
        <x:v>3</x:v>
      </x:c>
      <x:c r="S72" s="19" t="n"/>
      <x:c r="T72" s="19" t="n"/>
      <x:c r="U72" s="19" t="n"/>
      <x:c r="V72" s="19" t="n"/>
      <x:c r="W72" s="19" t="n"/>
      <x:c r="X72" s="19" t="n"/>
      <x:c r="Y72" s="20" t="n">
        <x:f>SUM(O72+Q72+S72+U72+W72)</x:f>
        <x:v>13</x:v>
      </x:c>
      <x:c r="Z72" s="20" t="n">
        <x:f>SUM(P72+R72+T72+V72+X72)</x:f>
        <x:v>9</x:v>
      </x:c>
      <x:c r="AA72" s="21" t="n">
        <x:f>Y72/(Y72+Z72)</x:f>
        <x:v>0.5909090909090909</x:v>
      </x:c>
    </x:row>
    <x:row r="73">
      <x:c r="A73" s="22" t="n">
        <x:f>wimbledons_champions!A81</x:f>
        <x:v>1986</x:v>
      </x:c>
      <x:c r="B73" s="25" t="str">
        <x:f>wimbledons_champions!B81</x:f>
        <x:v>Men's</x:v>
      </x:c>
      <x:c r="C73" s="25" t="inlineStr">
        <x:is>
          <x:t xml:space="preserve">B.F. Becker</x:t>
        </x:is>
      </x:c>
      <x:c r="D73" s="22" t="inlineStr">
        <x:is>
          <x:t xml:space="preserve">GER</x:t>
        </x:is>
      </x:c>
      <x:c r="E73" s="25" t="inlineStr">
        <x:is>
          <x:t xml:space="preserve">Germany</x:t>
        </x:is>
      </x:c>
      <x:c r="F73" s="22" t="n">
        <x:v>4</x:v>
      </x:c>
      <x:c r="G73" s="22" t="n">
        <x:f>wimbledons_champions!G81</x:f>
        <x:v>122</x:v>
      </x:c>
      <x:c r="H73" s="25" t="str">
        <x:f>wimbledons_champions!H81</x:f>
        <x:v>6-4, 6-3, 7-5</x:v>
      </x:c>
      <x:c r="I73" s="25" t="inlineStr">
        <x:is>
          <x:t xml:space="preserve">I. Lendl</x:t>
        </x:is>
      </x:c>
      <x:c r="J73" s="22" t="inlineStr">
        <x:is>
          <x:t xml:space="preserve">TCH</x:t>
        </x:is>
      </x:c>
      <x:c r="K73" s="25" t="inlineStr">
        <x:is>
          <x:t xml:space="preserve">Czechoslovakia</x:t>
        </x:is>
      </x:c>
      <x:c r="L73" s="22" t="n">
        <x:v>1</x:v>
      </x:c>
      <x:c r="M73" s="18" t="n">
        <x:v>0.6129032258064516</x:v>
      </x:c>
      <x:c r="N73" s="18" t="n"/>
      <x:c r="O73" s="19" t="inlineStr">
        <x:is>
          <x:t xml:space="preserve">6</x:t>
        </x:is>
      </x:c>
      <x:c r="P73" s="19" t="n">
        <x:v>4</x:v>
      </x:c>
      <x:c r="Q73" s="19" t="n">
        <x:v>6</x:v>
      </x:c>
      <x:c r="R73" s="19" t="n">
        <x:v>3</x:v>
      </x:c>
      <x:c r="S73" s="19" t="n">
        <x:v>7</x:v>
      </x:c>
      <x:c r="T73" s="19" t="n">
        <x:v>5</x:v>
      </x:c>
      <x:c r="U73" s="19" t="n"/>
      <x:c r="V73" s="19" t="n"/>
      <x:c r="W73" s="19" t="n"/>
      <x:c r="X73" s="19" t="n"/>
      <x:c r="Y73" s="20" t="n">
        <x:f>SUM(O73+Q73+S73+U73+W73)</x:f>
        <x:v>19</x:v>
      </x:c>
      <x:c r="Z73" s="20" t="n">
        <x:f>SUM(P73+R73+T73+V73+X73)</x:f>
        <x:v>12</x:v>
      </x:c>
      <x:c r="AA73" s="21" t="n">
        <x:f>Y73/(Y73+Z73)</x:f>
        <x:v>0.6129032258064516</x:v>
      </x:c>
    </x:row>
    <x:row r="74">
      <x:c r="A74" s="22" t="n">
        <x:f>wimbledons_champions!A82</x:f>
        <x:v>1985</x:v>
      </x:c>
      <x:c r="B74" s="25" t="str">
        <x:f>wimbledons_champions!B82</x:f>
        <x:v>Women's</x:v>
      </x:c>
      <x:c r="C74" s="25" t="inlineStr">
        <x:is>
          <x:t xml:space="preserve">M. Navratilova</x:t>
        </x:is>
      </x:c>
      <x:c r="D74" s="22" t="inlineStr">
        <x:is>
          <x:t xml:space="preserve">USA</x:t>
        </x:is>
      </x:c>
      <x:c r="E74" s="25" t="inlineStr">
        <x:is>
          <x:t xml:space="preserve">United States</x:t>
        </x:is>
      </x:c>
      <x:c r="F74" s="22" t="n">
        <x:v>1</x:v>
      </x:c>
      <x:c r="G74" s="22" t="n">
        <x:f>wimbledons_champions!G82</x:f>
        <x:v>107</x:v>
      </x:c>
      <x:c r="H74" s="25" t="str">
        <x:f>wimbledons_champions!H82</x:f>
        <x:v>4-6, 6-3, 6-2,</x:v>
      </x:c>
      <x:c r="I74" s="25" t="inlineStr">
        <x:is>
          <x:t xml:space="preserve">J.M. Lloyd</x:t>
        </x:is>
      </x:c>
      <x:c r="J74" s="22" t="inlineStr">
        <x:is>
          <x:t xml:space="preserve">USA</x:t>
        </x:is>
      </x:c>
      <x:c r="K74" s="25" t="inlineStr">
        <x:is>
          <x:t xml:space="preserve">United States</x:t>
        </x:is>
      </x:c>
      <x:c r="L74" s="22" t="n">
        <x:v>1</x:v>
      </x:c>
      <x:c r="M74" s="18" t="n">
        <x:v>0.5925925925925926</x:v>
      </x:c>
      <x:c r="N74" s="18" t="n"/>
      <x:c r="O74" s="19" t="inlineStr">
        <x:is>
          <x:t xml:space="preserve">4</x:t>
        </x:is>
      </x:c>
      <x:c r="P74" s="19" t="n">
        <x:v>6</x:v>
      </x:c>
      <x:c r="Q74" s="19" t="n">
        <x:v>6</x:v>
      </x:c>
      <x:c r="R74" s="19" t="n">
        <x:v>3</x:v>
      </x:c>
      <x:c r="S74" s="19" t="n">
        <x:v>6</x:v>
      </x:c>
      <x:c r="T74" s="19" t="n">
        <x:v>2</x:v>
      </x:c>
      <x:c r="U74" s="19" t="n"/>
      <x:c r="V74" s="19" t="n"/>
      <x:c r="W74" s="19" t="n"/>
      <x:c r="X74" s="19" t="n"/>
      <x:c r="Y74" s="20" t="n">
        <x:f>SUM(O74+Q74+S74+U74+W74)</x:f>
        <x:v>16</x:v>
      </x:c>
      <x:c r="Z74" s="20" t="n">
        <x:f>SUM(P74+R74+T74+V74+X74)</x:f>
        <x:v>11</x:v>
      </x:c>
      <x:c r="AA74" s="21" t="n">
        <x:f>Y74/(Y74+Z74)</x:f>
        <x:v>0.5925925925925926</x:v>
      </x:c>
    </x:row>
    <x:row r="75">
      <x:c r="A75" s="22" t="n">
        <x:f>wimbledons_champions!A83</x:f>
        <x:v>1985</x:v>
      </x:c>
      <x:c r="B75" s="25" t="str">
        <x:f>wimbledons_champions!B83</x:f>
        <x:v>Men's</x:v>
      </x:c>
      <x:c r="C75" s="25" t="inlineStr">
        <x:is>
          <x:t xml:space="preserve">B.F. Becker</x:t>
        </x:is>
      </x:c>
      <x:c r="D75" s="22" t="inlineStr">
        <x:is>
          <x:t xml:space="preserve">GER</x:t>
        </x:is>
      </x:c>
      <x:c r="E75" s="25" t="inlineStr">
        <x:is>
          <x:t xml:space="preserve">Germany</x:t>
        </x:is>
      </x:c>
      <x:c r="F75" s="22" t="inlineStr">
        <x:is>
          <x:t xml:space="preserve">U</x:t>
        </x:is>
      </x:c>
      <x:c r="G75" s="22" t="n">
        <x:f>wimbledons_champions!G83</x:f>
        <x:v>198</x:v>
      </x:c>
      <x:c r="H75" s="25" t="str">
        <x:f>wimbledons_champions!H83</x:f>
        <x:v>6-3, 6-7 (4-7), 7-6 (7-3), 6-4</x:v>
      </x:c>
      <x:c r="I75" s="25" t="inlineStr">
        <x:is>
          <x:t xml:space="preserve">K.M. Curren</x:t>
        </x:is>
      </x:c>
      <x:c r="J75" s="22" t="inlineStr">
        <x:is>
          <x:t xml:space="preserve">USA</x:t>
        </x:is>
      </x:c>
      <x:c r="K75" s="25" t="inlineStr">
        <x:is>
          <x:t xml:space="preserve">United States</x:t>
        </x:is>
      </x:c>
      <x:c r="L75" s="22" t="n">
        <x:v>8</x:v>
      </x:c>
      <x:c r="M75" s="18" t="n">
        <x:v>0.5555555555555556</x:v>
      </x:c>
      <x:c r="N75" s="18" t="n"/>
      <x:c r="O75" s="19" t="inlineStr">
        <x:is>
          <x:t xml:space="preserve">6</x:t>
        </x:is>
      </x:c>
      <x:c r="P75" s="19" t="n">
        <x:v>3</x:v>
      </x:c>
      <x:c r="Q75" s="19" t="n">
        <x:v>6</x:v>
      </x:c>
      <x:c r="R75" s="19" t="n">
        <x:v>7</x:v>
      </x:c>
      <x:c r="S75" s="19" t="n">
        <x:v>7</x:v>
      </x:c>
      <x:c r="T75" s="19" t="n">
        <x:v>6</x:v>
      </x:c>
      <x:c r="U75" s="19" t="n">
        <x:v>6</x:v>
      </x:c>
      <x:c r="V75" s="19" t="n">
        <x:v>4</x:v>
      </x:c>
      <x:c r="W75" s="19" t="n"/>
      <x:c r="X75" s="19" t="n"/>
      <x:c r="Y75" s="20" t="n">
        <x:f>SUM(O75+Q75+S75+U75+W75)</x:f>
        <x:v>25</x:v>
      </x:c>
      <x:c r="Z75" s="20" t="n">
        <x:f>SUM(P75+R75+T75+V75+X75)</x:f>
        <x:v>20</x:v>
      </x:c>
      <x:c r="AA75" s="21" t="n">
        <x:f>Y75/(Y75+Z75)</x:f>
        <x:v>0.5555555555555556</x:v>
      </x:c>
    </x:row>
    <x:row r="76">
      <x:c r="A76" s="22" t="n">
        <x:f>wimbledons_champions!A84</x:f>
        <x:v>1984</x:v>
      </x:c>
      <x:c r="B76" s="25" t="str">
        <x:f>wimbledons_champions!B84</x:f>
        <x:v>Women's</x:v>
      </x:c>
      <x:c r="C76" s="25" t="inlineStr">
        <x:is>
          <x:t xml:space="preserve">M. Navratilova</x:t>
        </x:is>
      </x:c>
      <x:c r="D76" s="22" t="inlineStr">
        <x:is>
          <x:t xml:space="preserve">USA</x:t>
        </x:is>
      </x:c>
      <x:c r="E76" s="25" t="inlineStr">
        <x:is>
          <x:t xml:space="preserve">United States</x:t>
        </x:is>
      </x:c>
      <x:c r="F76" s="22" t="n">
        <x:v>1</x:v>
      </x:c>
      <x:c r="G76" s="22" t="n">
        <x:f>wimbledons_champions!G84</x:f>
        <x:v>84</x:v>
      </x:c>
      <x:c r="H76" s="25" t="str">
        <x:f>wimbledons_champions!H84</x:f>
        <x:v>7-6 (7-5), 6-2,</x:v>
      </x:c>
      <x:c r="I76" s="25" t="inlineStr">
        <x:is>
          <x:t xml:space="preserve">J.M. Lloyd</x:t>
        </x:is>
      </x:c>
      <x:c r="J76" s="22" t="inlineStr">
        <x:is>
          <x:t xml:space="preserve">USA</x:t>
        </x:is>
      </x:c>
      <x:c r="K76" s="25" t="inlineStr">
        <x:is>
          <x:t xml:space="preserve">United States</x:t>
        </x:is>
      </x:c>
      <x:c r="L76" s="22" t="n">
        <x:v>2</x:v>
      </x:c>
      <x:c r="M76" s="18" t="n">
        <x:v>0.6190476190476191</x:v>
      </x:c>
      <x:c r="N76" s="18" t="n"/>
      <x:c r="O76" s="19" t="inlineStr">
        <x:is>
          <x:t xml:space="preserve">7</x:t>
        </x:is>
      </x:c>
      <x:c r="P76" s="19" t="n">
        <x:v>6</x:v>
      </x:c>
      <x:c r="Q76" s="19" t="n">
        <x:v>6</x:v>
      </x:c>
      <x:c r="R76" s="19" t="n">
        <x:v>2</x:v>
      </x:c>
      <x:c r="S76" s="19" t="n"/>
      <x:c r="T76" s="19" t="n"/>
      <x:c r="U76" s="19" t="n"/>
      <x:c r="V76" s="19" t="n"/>
      <x:c r="W76" s="19" t="n"/>
      <x:c r="X76" s="19" t="n"/>
      <x:c r="Y76" s="20" t="n">
        <x:f>SUM(O76+Q76+S76+U76+W76)</x:f>
        <x:v>13</x:v>
      </x:c>
      <x:c r="Z76" s="20" t="n">
        <x:f>SUM(P76+R76+T76+V76+X76)</x:f>
        <x:v>8</x:v>
      </x:c>
      <x:c r="AA76" s="21" t="n">
        <x:f>Y76/(Y76+Z76)</x:f>
        <x:v>0.6190476190476191</x:v>
      </x:c>
    </x:row>
    <x:row r="77">
      <x:c r="A77" s="22" t="n">
        <x:f>wimbledons_champions!A85</x:f>
        <x:v>1984</x:v>
      </x:c>
      <x:c r="B77" s="25" t="str">
        <x:f>wimbledons_champions!B85</x:f>
        <x:v>Men's</x:v>
      </x:c>
      <x:c r="C77" s="25" t="inlineStr">
        <x:is>
          <x:t xml:space="preserve">J.P. McEnroe</x:t>
        </x:is>
      </x:c>
      <x:c r="D77" s="22" t="inlineStr">
        <x:is>
          <x:t xml:space="preserve">USA</x:t>
        </x:is>
      </x:c>
      <x:c r="E77" s="25" t="inlineStr">
        <x:is>
          <x:t xml:space="preserve">United States</x:t>
        </x:is>
      </x:c>
      <x:c r="F77" s="22" t="n">
        <x:v>1</x:v>
      </x:c>
      <x:c r="G77" s="22" t="n">
        <x:f>wimbledons_champions!G85</x:f>
        <x:v>80</x:v>
      </x:c>
      <x:c r="H77" s="25" t="str">
        <x:f>wimbledons_champions!H85</x:f>
        <x:v>6-1, 6-1, 6-2</x:v>
      </x:c>
      <x:c r="I77" s="25" t="inlineStr">
        <x:is>
          <x:t xml:space="preserve">J.S. Connors</x:t>
        </x:is>
      </x:c>
      <x:c r="J77" s="22" t="inlineStr">
        <x:is>
          <x:t xml:space="preserve">USA</x:t>
        </x:is>
      </x:c>
      <x:c r="K77" s="25" t="inlineStr">
        <x:is>
          <x:t xml:space="preserve">United States</x:t>
        </x:is>
      </x:c>
      <x:c r="L77" s="22" t="n">
        <x:v>3</x:v>
      </x:c>
      <x:c r="M77" s="18" t="n">
        <x:v>0.8181818181818182</x:v>
      </x:c>
      <x:c r="N77" s="18" t="n"/>
      <x:c r="O77" s="19" t="inlineStr">
        <x:is>
          <x:t xml:space="preserve">6</x:t>
        </x:is>
      </x:c>
      <x:c r="P77" s="19" t="n">
        <x:v>1</x:v>
      </x:c>
      <x:c r="Q77" s="19" t="n">
        <x:v>6</x:v>
      </x:c>
      <x:c r="R77" s="19" t="n">
        <x:v>1</x:v>
      </x:c>
      <x:c r="S77" s="19" t="n">
        <x:v>6</x:v>
      </x:c>
      <x:c r="T77" s="19" t="n">
        <x:v>2</x:v>
      </x:c>
      <x:c r="U77" s="19" t="n"/>
      <x:c r="V77" s="19" t="n"/>
      <x:c r="W77" s="19" t="n"/>
      <x:c r="X77" s="19" t="n"/>
      <x:c r="Y77" s="20" t="n">
        <x:f>SUM(O77+Q77+S77+U77+W77)</x:f>
        <x:v>18</x:v>
      </x:c>
      <x:c r="Z77" s="20" t="n">
        <x:f>SUM(P77+R77+T77+V77+X77)</x:f>
        <x:v>4</x:v>
      </x:c>
      <x:c r="AA77" s="21" t="n">
        <x:f>Y77/(Y77+Z77)</x:f>
        <x:v>0.8181818181818182</x:v>
      </x:c>
    </x:row>
    <x:row r="78">
      <x:c r="A78" s="22" t="n">
        <x:f>wimbledons_champions!A86</x:f>
        <x:v>1983</x:v>
      </x:c>
      <x:c r="B78" s="25" t="str">
        <x:f>wimbledons_champions!B86</x:f>
        <x:v>Women's</x:v>
      </x:c>
      <x:c r="C78" s="25" t="inlineStr">
        <x:is>
          <x:t xml:space="preserve">M. Navratilova</x:t>
        </x:is>
      </x:c>
      <x:c r="D78" s="22" t="inlineStr">
        <x:is>
          <x:t xml:space="preserve">USA</x:t>
        </x:is>
      </x:c>
      <x:c r="E78" s="25" t="inlineStr">
        <x:is>
          <x:t xml:space="preserve">United States</x:t>
        </x:is>
      </x:c>
      <x:c r="F78" s="22" t="n">
        <x:v>1</x:v>
      </x:c>
      <x:c r="G78" s="22" t="n">
        <x:f>wimbledons_champions!G86</x:f>
        <x:v>54</x:v>
      </x:c>
      <x:c r="H78" s="25" t="str">
        <x:f>wimbledons_champions!H86</x:f>
        <x:v>6-0, 6-3,</x:v>
      </x:c>
      <x:c r="I78" s="25" t="inlineStr">
        <x:is>
          <x:t xml:space="preserve">A. Jaeger</x:t>
        </x:is>
      </x:c>
      <x:c r="J78" s="22" t="inlineStr">
        <x:is>
          <x:t xml:space="preserve">USA</x:t>
        </x:is>
      </x:c>
      <x:c r="K78" s="25" t="inlineStr">
        <x:is>
          <x:t xml:space="preserve">United States</x:t>
        </x:is>
      </x:c>
      <x:c r="L78" s="22" t="n">
        <x:v>3</x:v>
      </x:c>
      <x:c r="M78" s="18" t="n">
        <x:v>0.8</x:v>
      </x:c>
      <x:c r="N78" s="18" t="n"/>
      <x:c r="O78" s="19" t="inlineStr">
        <x:is>
          <x:t xml:space="preserve">6</x:t>
        </x:is>
      </x:c>
      <x:c r="P78" s="19" t="n">
        <x:v>0</x:v>
      </x:c>
      <x:c r="Q78" s="19" t="n">
        <x:v>6</x:v>
      </x:c>
      <x:c r="R78" s="19" t="n">
        <x:v>3</x:v>
      </x:c>
      <x:c r="S78" s="19" t="n"/>
      <x:c r="T78" s="19" t="n"/>
      <x:c r="U78" s="19" t="n"/>
      <x:c r="V78" s="19" t="n"/>
      <x:c r="W78" s="19" t="n"/>
      <x:c r="X78" s="19" t="n"/>
      <x:c r="Y78" s="20" t="n">
        <x:f>SUM(O78+Q78+S78+U78+W78)</x:f>
        <x:v>12</x:v>
      </x:c>
      <x:c r="Z78" s="20" t="n">
        <x:f>SUM(P78+R78+T78+V78+X78)</x:f>
        <x:v>3</x:v>
      </x:c>
      <x:c r="AA78" s="21" t="n">
        <x:f>Y78/(Y78+Z78)</x:f>
        <x:v>0.8</x:v>
      </x:c>
    </x:row>
    <x:row r="79">
      <x:c r="A79" s="22" t="n">
        <x:f>wimbledons_champions!A87</x:f>
        <x:v>1983</x:v>
      </x:c>
      <x:c r="B79" s="25" t="str">
        <x:f>wimbledons_champions!B87</x:f>
        <x:v>Men's</x:v>
      </x:c>
      <x:c r="C79" s="25" t="inlineStr">
        <x:is>
          <x:t xml:space="preserve">J.P. McEnroe</x:t>
        </x:is>
      </x:c>
      <x:c r="D79" s="22" t="inlineStr">
        <x:is>
          <x:t xml:space="preserve">USA</x:t>
        </x:is>
      </x:c>
      <x:c r="E79" s="25" t="inlineStr">
        <x:is>
          <x:t xml:space="preserve">United States</x:t>
        </x:is>
      </x:c>
      <x:c r="F79" s="22" t="n">
        <x:v>2</x:v>
      </x:c>
      <x:c r="G79" s="22" t="n">
        <x:f>wimbledons_champions!G87</x:f>
        <x:v>85</x:v>
      </x:c>
      <x:c r="H79" s="25" t="str">
        <x:f>wimbledons_champions!H87</x:f>
        <x:v>6-2, 6-2, 6-2</x:v>
      </x:c>
      <x:c r="I79" s="25" t="inlineStr">
        <x:is>
          <x:t xml:space="preserve">C.J. Lewis</x:t>
        </x:is>
      </x:c>
      <x:c r="J79" s="22" t="inlineStr">
        <x:is>
          <x:t xml:space="preserve">NZL</x:t>
        </x:is>
      </x:c>
      <x:c r="K79" s="25" t="inlineStr">
        <x:is>
          <x:t xml:space="preserve">New Zealand</x:t>
        </x:is>
      </x:c>
      <x:c r="L79" s="22" t="inlineStr">
        <x:is>
          <x:t xml:space="preserve">U</x:t>
        </x:is>
      </x:c>
      <x:c r="M79" s="18" t="n">
        <x:v>0.75</x:v>
      </x:c>
      <x:c r="N79" s="18" t="n"/>
      <x:c r="O79" s="19" t="inlineStr">
        <x:is>
          <x:t xml:space="preserve">6</x:t>
        </x:is>
      </x:c>
      <x:c r="P79" s="19" t="n">
        <x:v>2</x:v>
      </x:c>
      <x:c r="Q79" s="19" t="n">
        <x:v>6</x:v>
      </x:c>
      <x:c r="R79" s="19" t="n">
        <x:v>2</x:v>
      </x:c>
      <x:c r="S79" s="19" t="n">
        <x:v>6</x:v>
      </x:c>
      <x:c r="T79" s="19" t="n">
        <x:v>2</x:v>
      </x:c>
      <x:c r="U79" s="19" t="n"/>
      <x:c r="V79" s="19" t="n"/>
      <x:c r="W79" s="19" t="n"/>
      <x:c r="X79" s="19" t="n"/>
      <x:c r="Y79" s="20" t="n">
        <x:f>SUM(O79+Q79+S79+U79+W79)</x:f>
        <x:v>18</x:v>
      </x:c>
      <x:c r="Z79" s="20" t="n">
        <x:f>SUM(P79+R79+T79+V79+X79)</x:f>
        <x:v>6</x:v>
      </x:c>
      <x:c r="AA79" s="21" t="n">
        <x:f>Y79/(Y79+Z79)</x:f>
        <x:v>0.75</x:v>
      </x:c>
    </x:row>
    <x:row r="80">
      <x:c r="A80" s="22" t="n">
        <x:f>wimbledons_champions!A88</x:f>
        <x:v>1982</x:v>
      </x:c>
      <x:c r="B80" s="25" t="str">
        <x:f>wimbledons_champions!B88</x:f>
        <x:v>Women's</x:v>
      </x:c>
      <x:c r="C80" s="25" t="inlineStr">
        <x:is>
          <x:t xml:space="preserve">M. Navratilova</x:t>
        </x:is>
      </x:c>
      <x:c r="D80" s="22" t="inlineStr">
        <x:is>
          <x:t xml:space="preserve">USA</x:t>
        </x:is>
      </x:c>
      <x:c r="E80" s="25" t="inlineStr">
        <x:is>
          <x:t xml:space="preserve">United States</x:t>
        </x:is>
      </x:c>
      <x:c r="F80" s="22" t="n">
        <x:v>1</x:v>
      </x:c>
      <x:c r="G80" s="22" t="n">
        <x:f>wimbledons_champions!G88</x:f>
        <x:v>87</x:v>
      </x:c>
      <x:c r="H80" s="25" t="str">
        <x:f>wimbledons_champions!H88</x:f>
        <x:v>6-1, 3-6, 6-2,</x:v>
      </x:c>
      <x:c r="I80" s="25" t="inlineStr">
        <x:is>
          <x:t xml:space="preserve">J.M. Lloyd</x:t>
        </x:is>
      </x:c>
      <x:c r="J80" s="22" t="inlineStr">
        <x:is>
          <x:t xml:space="preserve">USA</x:t>
        </x:is>
      </x:c>
      <x:c r="K80" s="25" t="inlineStr">
        <x:is>
          <x:t xml:space="preserve">United States</x:t>
        </x:is>
      </x:c>
      <x:c r="L80" s="22" t="n">
        <x:v>2</x:v>
      </x:c>
      <x:c r="M80" s="18" t="n">
        <x:v>0.625</x:v>
      </x:c>
      <x:c r="N80" s="18" t="n"/>
      <x:c r="O80" s="19" t="inlineStr">
        <x:is>
          <x:t xml:space="preserve">6</x:t>
        </x:is>
      </x:c>
      <x:c r="P80" s="19" t="n">
        <x:v>1</x:v>
      </x:c>
      <x:c r="Q80" s="19" t="n">
        <x:v>3</x:v>
      </x:c>
      <x:c r="R80" s="19" t="n">
        <x:v>6</x:v>
      </x:c>
      <x:c r="S80" s="19" t="n">
        <x:v>6</x:v>
      </x:c>
      <x:c r="T80" s="19" t="n">
        <x:v>2</x:v>
      </x:c>
      <x:c r="U80" s="19" t="n"/>
      <x:c r="V80" s="19" t="n"/>
      <x:c r="W80" s="19" t="n"/>
      <x:c r="X80" s="19" t="n"/>
      <x:c r="Y80" s="20" t="n">
        <x:f>SUM(O80+Q80+S80+U80+W80)</x:f>
        <x:v>15</x:v>
      </x:c>
      <x:c r="Z80" s="20" t="n">
        <x:f>SUM(P80+R80+T80+V80+X80)</x:f>
        <x:v>9</x:v>
      </x:c>
      <x:c r="AA80" s="21" t="n">
        <x:f>Y80/(Y80+Z80)</x:f>
        <x:v>0.625</x:v>
      </x:c>
    </x:row>
    <x:row r="81">
      <x:c r="A81" s="22" t="n">
        <x:f>wimbledons_champions!A89</x:f>
        <x:v>1982</x:v>
      </x:c>
      <x:c r="B81" s="25" t="str">
        <x:f>wimbledons_champions!B89</x:f>
        <x:v>Men's</x:v>
      </x:c>
      <x:c r="C81" s="25" t="inlineStr">
        <x:is>
          <x:t xml:space="preserve">J.S. Connors</x:t>
        </x:is>
      </x:c>
      <x:c r="D81" s="22" t="inlineStr">
        <x:is>
          <x:t xml:space="preserve">USA</x:t>
        </x:is>
      </x:c>
      <x:c r="E81" s="25" t="inlineStr">
        <x:is>
          <x:t xml:space="preserve">United States</x:t>
        </x:is>
      </x:c>
      <x:c r="F81" s="22" t="n">
        <x:v>2</x:v>
      </x:c>
      <x:c r="G81" s="22" t="n">
        <x:f>wimbledons_champions!G89</x:f>
        <x:v>256</x:v>
      </x:c>
      <x:c r="H81" s="25" t="str">
        <x:f>wimbledons_champions!H89</x:f>
        <x:v>3-6, 6-3, 6-7 (2-7), 7-6 (7-5), 6-4</x:v>
      </x:c>
      <x:c r="I81" s="25" t="inlineStr">
        <x:is>
          <x:t xml:space="preserve">J.P. McEnroe</x:t>
        </x:is>
      </x:c>
      <x:c r="J81" s="22" t="inlineStr">
        <x:is>
          <x:t xml:space="preserve">USA</x:t>
        </x:is>
      </x:c>
      <x:c r="K81" s="25" t="inlineStr">
        <x:is>
          <x:t xml:space="preserve">United States</x:t>
        </x:is>
      </x:c>
      <x:c r="L81" s="22" t="n">
        <x:v>1</x:v>
      </x:c>
      <x:c r="M81" s="18" t="n">
        <x:v>0.5185185185185185</x:v>
      </x:c>
      <x:c r="N81" s="18" t="n"/>
      <x:c r="O81" s="19" t="inlineStr">
        <x:is>
          <x:t xml:space="preserve">3</x:t>
        </x:is>
      </x:c>
      <x:c r="P81" s="19" t="n">
        <x:v>6</x:v>
      </x:c>
      <x:c r="Q81" s="19" t="n">
        <x:v>6</x:v>
      </x:c>
      <x:c r="R81" s="19" t="n">
        <x:v>3</x:v>
      </x:c>
      <x:c r="S81" s="19" t="n">
        <x:v>6</x:v>
      </x:c>
      <x:c r="T81" s="19" t="n">
        <x:v>7</x:v>
      </x:c>
      <x:c r="U81" s="19" t="n">
        <x:v>7</x:v>
      </x:c>
      <x:c r="V81" s="19" t="n">
        <x:v>6</x:v>
      </x:c>
      <x:c r="W81" s="19" t="inlineStr">
        <x:is>
          <x:t xml:space="preserve">6</x:t>
        </x:is>
      </x:c>
      <x:c r="X81" s="19" t="n">
        <x:v>4</x:v>
      </x:c>
      <x:c r="Y81" s="20" t="n">
        <x:f>SUM(O81+Q81+S81+U81+W81)</x:f>
        <x:v>28</x:v>
      </x:c>
      <x:c r="Z81" s="20" t="n">
        <x:f>SUM(P81+R81+T81+V81+X81)</x:f>
        <x:v>26</x:v>
      </x:c>
      <x:c r="AA81" s="21" t="n">
        <x:f>Y81/(Y81+Z81)</x:f>
        <x:v>0.5185185185185185</x:v>
      </x:c>
    </x:row>
    <x:row r="82">
      <x:c r="A82" s="22" t="n">
        <x:f>wimbledons_champions!A90</x:f>
        <x:v>1981</x:v>
      </x:c>
      <x:c r="B82" s="25" t="str">
        <x:f>wimbledons_champions!B90</x:f>
        <x:v>Women's</x:v>
      </x:c>
      <x:c r="C82" s="25" t="inlineStr">
        <x:is>
          <x:t xml:space="preserve">J.M. Lloyd</x:t>
        </x:is>
      </x:c>
      <x:c r="D82" s="22" t="inlineStr">
        <x:is>
          <x:t xml:space="preserve">USA</x:t>
        </x:is>
      </x:c>
      <x:c r="E82" s="25" t="inlineStr">
        <x:is>
          <x:t xml:space="preserve">United States</x:t>
        </x:is>
      </x:c>
      <x:c r="F82" s="22" t="n">
        <x:v>1</x:v>
      </x:c>
      <x:c r="G82" s="22" t="n">
        <x:f>wimbledons_champions!G90</x:f>
        <x:v>60</x:v>
      </x:c>
      <x:c r="H82" s="25" t="str">
        <x:f>wimbledons_champions!H90</x:f>
        <x:v>6-2, 6-2,</x:v>
      </x:c>
      <x:c r="I82" s="25" t="inlineStr">
        <x:is>
          <x:t xml:space="preserve">H. Mandlikova</x:t>
        </x:is>
      </x:c>
      <x:c r="J82" s="22" t="inlineStr">
        <x:is>
          <x:t xml:space="preserve">TCH</x:t>
        </x:is>
      </x:c>
      <x:c r="K82" s="25" t="inlineStr">
        <x:is>
          <x:t xml:space="preserve">Czechoslovakia</x:t>
        </x:is>
      </x:c>
      <x:c r="L82" s="22" t="n">
        <x:v>2</x:v>
      </x:c>
      <x:c r="M82" s="18" t="n">
        <x:v>0.75</x:v>
      </x:c>
      <x:c r="N82" s="18" t="n"/>
      <x:c r="O82" s="19" t="inlineStr">
        <x:is>
          <x:t xml:space="preserve">6</x:t>
        </x:is>
      </x:c>
      <x:c r="P82" s="19" t="n">
        <x:v>2</x:v>
      </x:c>
      <x:c r="Q82" s="19" t="n">
        <x:v>6</x:v>
      </x:c>
      <x:c r="R82" s="19" t="n">
        <x:v>2</x:v>
      </x:c>
      <x:c r="S82" s="19" t="n"/>
      <x:c r="T82" s="19" t="n"/>
      <x:c r="U82" s="19" t="n"/>
      <x:c r="V82" s="19" t="n"/>
      <x:c r="W82" s="19" t="n"/>
      <x:c r="X82" s="19" t="n"/>
      <x:c r="Y82" s="20" t="n">
        <x:f>SUM(O82+Q82+S82+U82+W82)</x:f>
        <x:v>12</x:v>
      </x:c>
      <x:c r="Z82" s="20" t="n">
        <x:f>SUM(P82+R82+T82+V82+X82)</x:f>
        <x:v>4</x:v>
      </x:c>
      <x:c r="AA82" s="21" t="n">
        <x:f>Y82/(Y82+Z82)</x:f>
        <x:v>0.75</x:v>
      </x:c>
    </x:row>
    <x:row r="83">
      <x:c r="A83" s="22" t="n">
        <x:f>wimbledons_champions!A91</x:f>
        <x:v>1981</x:v>
      </x:c>
      <x:c r="B83" s="25" t="str">
        <x:f>wimbledons_champions!B91</x:f>
        <x:v>Men's</x:v>
      </x:c>
      <x:c r="C83" s="25" t="inlineStr">
        <x:is>
          <x:t xml:space="preserve">J.P. McEnroe</x:t>
        </x:is>
      </x:c>
      <x:c r="D83" s="22" t="inlineStr">
        <x:is>
          <x:t xml:space="preserve">USA</x:t>
        </x:is>
      </x:c>
      <x:c r="E83" s="25" t="inlineStr">
        <x:is>
          <x:t xml:space="preserve">United States</x:t>
        </x:is>
      </x:c>
      <x:c r="F83" s="22" t="n">
        <x:v>2</x:v>
      </x:c>
      <x:c r="G83" s="22" t="n">
        <x:f>wimbledons_champions!G91</x:f>
        <x:v>202</x:v>
      </x:c>
      <x:c r="H83" s="25" t="str">
        <x:f>wimbledons_champions!H91</x:f>
        <x:v>4-6, 7-6 (7-1), 7-6 (7-4), 6-4</x:v>
      </x:c>
      <x:c r="I83" s="25" t="inlineStr">
        <x:is>
          <x:t xml:space="preserve">B.R. Borg</x:t>
        </x:is>
      </x:c>
      <x:c r="J83" s="22" t="inlineStr">
        <x:is>
          <x:t xml:space="preserve">SWE</x:t>
        </x:is>
      </x:c>
      <x:c r="K83" s="25" t="inlineStr">
        <x:is>
          <x:t xml:space="preserve">Sweden</x:t>
        </x:is>
      </x:c>
      <x:c r="L83" s="22" t="n">
        <x:v>1</x:v>
      </x:c>
      <x:c r="M83" s="18" t="n">
        <x:v>0.5217391304347826</x:v>
      </x:c>
      <x:c r="N83" s="18" t="n"/>
      <x:c r="O83" s="19" t="inlineStr">
        <x:is>
          <x:t xml:space="preserve">4</x:t>
        </x:is>
      </x:c>
      <x:c r="P83" s="19" t="n">
        <x:v>6</x:v>
      </x:c>
      <x:c r="Q83" s="19" t="n">
        <x:v>7</x:v>
      </x:c>
      <x:c r="R83" s="19" t="n">
        <x:v>6</x:v>
      </x:c>
      <x:c r="S83" s="19" t="n">
        <x:v>7</x:v>
      </x:c>
      <x:c r="T83" s="19" t="n">
        <x:v>6</x:v>
      </x:c>
      <x:c r="U83" s="19" t="n">
        <x:v>6</x:v>
      </x:c>
      <x:c r="V83" s="19" t="n">
        <x:v>4</x:v>
      </x:c>
      <x:c r="W83" s="19" t="n"/>
      <x:c r="X83" s="19" t="n"/>
      <x:c r="Y83" s="20" t="n">
        <x:f>SUM(O83+Q83+S83+U83+W83)</x:f>
        <x:v>24</x:v>
      </x:c>
      <x:c r="Z83" s="20" t="n">
        <x:f>SUM(P83+R83+T83+V83+X83)</x:f>
        <x:v>22</x:v>
      </x:c>
      <x:c r="AA83" s="21" t="n">
        <x:f>Y83/(Y83+Z83)</x:f>
        <x:v>0.5217391304347826</x:v>
      </x:c>
    </x:row>
    <x:row r="84">
      <x:c r="A84" s="22" t="n">
        <x:f>wimbledons_champions!A92</x:f>
        <x:v>1980</x:v>
      </x:c>
      <x:c r="B84" s="25" t="str">
        <x:f>wimbledons_champions!B92</x:f>
        <x:v>Women's</x:v>
      </x:c>
      <x:c r="C84" s="25" t="inlineStr">
        <x:is>
          <x:t xml:space="preserve">R.A. Cawley</x:t>
        </x:is>
      </x:c>
      <x:c r="D84" s="22" t="inlineStr">
        <x:is>
          <x:t xml:space="preserve">AUS</x:t>
        </x:is>
      </x:c>
      <x:c r="E84" s="25" t="inlineStr">
        <x:is>
          <x:t xml:space="preserve">Australia</x:t>
        </x:is>
      </x:c>
      <x:c r="F84" s="22" t="n">
        <x:v>4</x:v>
      </x:c>
      <x:c r="G84" s="22" t="n">
        <x:f>wimbledons_champions!G92</x:f>
        <x:v>93</x:v>
      </x:c>
      <x:c r="H84" s="25" t="str">
        <x:f>wimbledons_champions!H92</x:f>
        <x:v>6-1, 7-6 (7-4)</x:v>
      </x:c>
      <x:c r="I84" s="25" t="inlineStr">
        <x:is>
          <x:t xml:space="preserve">J.M. Lloyd</x:t>
        </x:is>
      </x:c>
      <x:c r="J84" s="22" t="inlineStr">
        <x:is>
          <x:t xml:space="preserve">USA</x:t>
        </x:is>
      </x:c>
      <x:c r="K84" s="25" t="inlineStr">
        <x:is>
          <x:t xml:space="preserve">United States</x:t>
        </x:is>
      </x:c>
      <x:c r="L84" s="22" t="n">
        <x:v>3</x:v>
      </x:c>
      <x:c r="M84" s="18" t="n">
        <x:v>0.65</x:v>
      </x:c>
      <x:c r="N84" s="18" t="n"/>
      <x:c r="O84" s="19" t="inlineStr">
        <x:is>
          <x:t xml:space="preserve">6</x:t>
        </x:is>
      </x:c>
      <x:c r="P84" s="19" t="n">
        <x:v>1</x:v>
      </x:c>
      <x:c r="Q84" s="19" t="n">
        <x:v>7</x:v>
      </x:c>
      <x:c r="R84" s="19" t="n">
        <x:v>6</x:v>
      </x:c>
      <x:c r="S84" s="19" t="n"/>
      <x:c r="T84" s="19" t="n"/>
      <x:c r="U84" s="19" t="n"/>
      <x:c r="V84" s="19" t="n"/>
      <x:c r="W84" s="19" t="n"/>
      <x:c r="X84" s="19" t="n"/>
      <x:c r="Y84" s="20" t="n">
        <x:f>SUM(O84+Q84+S84+U84+W84)</x:f>
        <x:v>13</x:v>
      </x:c>
      <x:c r="Z84" s="20" t="n">
        <x:f>SUM(P84+R84+T84+V84+X84)</x:f>
        <x:v>7</x:v>
      </x:c>
      <x:c r="AA84" s="21" t="n">
        <x:f>Y84/(Y84+Z84)</x:f>
        <x:v>0.65</x:v>
      </x:c>
    </x:row>
    <x:row r="85">
      <x:c r="A85" s="22" t="n">
        <x:f>wimbledons_champions!A93</x:f>
        <x:v>1980</x:v>
      </x:c>
      <x:c r="B85" s="25" t="str">
        <x:f>wimbledons_champions!B93</x:f>
        <x:v>Men's</x:v>
      </x:c>
      <x:c r="C85" s="25" t="inlineStr">
        <x:is>
          <x:t xml:space="preserve">B.R. Borg</x:t>
        </x:is>
      </x:c>
      <x:c r="D85" s="22" t="inlineStr">
        <x:is>
          <x:t xml:space="preserve">SWE</x:t>
        </x:is>
      </x:c>
      <x:c r="E85" s="25" t="inlineStr">
        <x:is>
          <x:t xml:space="preserve">Sweden</x:t>
        </x:is>
      </x:c>
      <x:c r="F85" s="22" t="n">
        <x:v>1</x:v>
      </x:c>
      <x:c r="G85" s="22" t="n">
        <x:f>wimbledons_champions!G93</x:f>
        <x:v>233</x:v>
      </x:c>
      <x:c r="H85" s="25" t="str">
        <x:f>wimbledons_champions!H93</x:f>
        <x:v>1-6, 7-5, 6-3, 6-7 (16-18), 8-6</x:v>
      </x:c>
      <x:c r="I85" s="25" t="inlineStr">
        <x:is>
          <x:t xml:space="preserve">J.P. McEnroe</x:t>
        </x:is>
      </x:c>
      <x:c r="J85" s="22" t="inlineStr">
        <x:is>
          <x:t xml:space="preserve">USA</x:t>
        </x:is>
      </x:c>
      <x:c r="K85" s="25" t="inlineStr">
        <x:is>
          <x:t xml:space="preserve">United States</x:t>
        </x:is>
      </x:c>
      <x:c r="L85" s="22" t="n">
        <x:v>2</x:v>
      </x:c>
      <x:c r="M85" s="18" t="n">
        <x:v>0.509090909090909</x:v>
      </x:c>
      <x:c r="N85" s="18" t="n"/>
      <x:c r="O85" s="19" t="inlineStr">
        <x:is>
          <x:t xml:space="preserve">1</x:t>
        </x:is>
      </x:c>
      <x:c r="P85" s="19" t="n">
        <x:v>6</x:v>
      </x:c>
      <x:c r="Q85" s="19" t="n">
        <x:v>7</x:v>
      </x:c>
      <x:c r="R85" s="19" t="n">
        <x:v>5</x:v>
      </x:c>
      <x:c r="S85" s="19" t="n">
        <x:v>6</x:v>
      </x:c>
      <x:c r="T85" s="19" t="n">
        <x:v>3</x:v>
      </x:c>
      <x:c r="U85" s="19" t="n">
        <x:v>6</x:v>
      </x:c>
      <x:c r="V85" s="19" t="n">
        <x:v>7</x:v>
      </x:c>
      <x:c r="W85" s="19" t="inlineStr">
        <x:is>
          <x:t xml:space="preserve">8</x:t>
        </x:is>
      </x:c>
      <x:c r="X85" s="19" t="n">
        <x:v>6</x:v>
      </x:c>
      <x:c r="Y85" s="20" t="n">
        <x:f>SUM(O85+Q85+S85+U85+W85)</x:f>
        <x:v>28</x:v>
      </x:c>
      <x:c r="Z85" s="20" t="n">
        <x:f>SUM(P85+R85+T85+V85+X85)</x:f>
        <x:v>27</x:v>
      </x:c>
      <x:c r="AA85" s="21" t="n">
        <x:f>Y85/(Y85+Z85)</x:f>
        <x:v>0.509090909090909</x:v>
      </x:c>
    </x:row>
    <x:row r="86">
      <x:c r="A86" s="22" t="n">
        <x:f>wimbledons_champions!A94</x:f>
        <x:v>1979</x:v>
      </x:c>
      <x:c r="B86" s="25" t="str">
        <x:f>wimbledons_champions!B94</x:f>
        <x:v>Women's</x:v>
      </x:c>
      <x:c r="C86" s="25" t="inlineStr">
        <x:is>
          <x:t xml:space="preserve">M. Navratilova</x:t>
        </x:is>
      </x:c>
      <x:c r="D86" s="22" t="inlineStr">
        <x:is>
          <x:t xml:space="preserve">USA</x:t>
        </x:is>
      </x:c>
      <x:c r="E86" s="25" t="inlineStr">
        <x:is>
          <x:t xml:space="preserve">United States</x:t>
        </x:is>
      </x:c>
      <x:c r="F86" s="22" t="n">
        <x:v>1</x:v>
      </x:c>
      <x:c r="G86" s="22" t="n">
        <x:f>wimbledons_champions!G94</x:f>
        <x:v>60</x:v>
      </x:c>
      <x:c r="H86" s="25" t="str">
        <x:f>wimbledons_champions!H94</x:f>
        <x:v>6-4, 6-4,</x:v>
      </x:c>
      <x:c r="I86" s="25" t="inlineStr">
        <x:is>
          <x:t xml:space="preserve">J.M. Lloyd</x:t>
        </x:is>
      </x:c>
      <x:c r="J86" s="22" t="inlineStr">
        <x:is>
          <x:t xml:space="preserve">USA</x:t>
        </x:is>
      </x:c>
      <x:c r="K86" s="25" t="inlineStr">
        <x:is>
          <x:t xml:space="preserve">United States</x:t>
        </x:is>
      </x:c>
      <x:c r="L86" s="22" t="n">
        <x:v>2</x:v>
      </x:c>
      <x:c r="M86" s="18" t="n">
        <x:v>0.6</x:v>
      </x:c>
      <x:c r="N86" s="18" t="n"/>
      <x:c r="O86" s="19" t="inlineStr">
        <x:is>
          <x:t xml:space="preserve">6</x:t>
        </x:is>
      </x:c>
      <x:c r="P86" s="19" t="n">
        <x:v>4</x:v>
      </x:c>
      <x:c r="Q86" s="19" t="n">
        <x:v>6</x:v>
      </x:c>
      <x:c r="R86" s="19" t="n">
        <x:v>4</x:v>
      </x:c>
      <x:c r="S86" s="19" t="n"/>
      <x:c r="T86" s="19" t="n"/>
      <x:c r="U86" s="19" t="n"/>
      <x:c r="V86" s="19" t="n"/>
      <x:c r="W86" s="19" t="n"/>
      <x:c r="X86" s="19" t="n"/>
      <x:c r="Y86" s="20" t="n">
        <x:f>SUM(O86+Q86+S86+U86+W86)</x:f>
        <x:v>12</x:v>
      </x:c>
      <x:c r="Z86" s="20" t="n">
        <x:f>SUM(P86+R86+T86+V86+X86)</x:f>
        <x:v>8</x:v>
      </x:c>
      <x:c r="AA86" s="21" t="n">
        <x:f>Y86/(Y86+Z86)</x:f>
        <x:v>0.6</x:v>
      </x:c>
    </x:row>
    <x:row r="87">
      <x:c r="A87" s="22" t="n">
        <x:f>wimbledons_champions!A95</x:f>
        <x:v>1979</x:v>
      </x:c>
      <x:c r="B87" s="25" t="str">
        <x:f>wimbledons_champions!B95</x:f>
        <x:v>Men's</x:v>
      </x:c>
      <x:c r="C87" s="25" t="inlineStr">
        <x:is>
          <x:t xml:space="preserve">B.R. Borg</x:t>
        </x:is>
      </x:c>
      <x:c r="D87" s="22" t="inlineStr">
        <x:is>
          <x:t xml:space="preserve">SWE</x:t>
        </x:is>
      </x:c>
      <x:c r="E87" s="25" t="inlineStr">
        <x:is>
          <x:t xml:space="preserve">Sweden</x:t>
        </x:is>
      </x:c>
      <x:c r="F87" s="22" t="n">
        <x:v>1</x:v>
      </x:c>
      <x:c r="G87" s="22" t="n">
        <x:f>wimbledons_champions!G95</x:f>
        <x:v>169</x:v>
      </x:c>
      <x:c r="H87" s="25" t="str">
        <x:f>wimbledons_champions!H95</x:f>
        <x:v>6-7(4-7), 6-1, 3-6, 6-3, 6-4</x:v>
      </x:c>
      <x:c r="I87" s="25" t="inlineStr">
        <x:is>
          <x:t xml:space="preserve">R. Tanner</x:t>
        </x:is>
      </x:c>
      <x:c r="J87" s="22" t="inlineStr">
        <x:is>
          <x:t xml:space="preserve">USA</x:t>
        </x:is>
      </x:c>
      <x:c r="K87" s="25" t="inlineStr">
        <x:is>
          <x:t xml:space="preserve">United States</x:t>
        </x:is>
      </x:c>
      <x:c r="L87" s="22" t="n">
        <x:v>5</x:v>
      </x:c>
      <x:c r="M87" s="18" t="n">
        <x:v>0.5625</x:v>
      </x:c>
      <x:c r="N87" s="18" t="n"/>
      <x:c r="O87" s="19" t="inlineStr">
        <x:is>
          <x:t xml:space="preserve">6</x:t>
        </x:is>
      </x:c>
      <x:c r="P87" s="19" t="n">
        <x:v>7</x:v>
      </x:c>
      <x:c r="Q87" s="19" t="n">
        <x:v>6</x:v>
      </x:c>
      <x:c r="R87" s="19" t="n">
        <x:v>1</x:v>
      </x:c>
      <x:c r="S87" s="19" t="n">
        <x:v>3</x:v>
      </x:c>
      <x:c r="T87" s="19" t="n">
        <x:v>6</x:v>
      </x:c>
      <x:c r="U87" s="19" t="n">
        <x:v>6</x:v>
      </x:c>
      <x:c r="V87" s="19" t="n">
        <x:v>3</x:v>
      </x:c>
      <x:c r="W87" s="19" t="inlineStr">
        <x:is>
          <x:t xml:space="preserve">6</x:t>
        </x:is>
      </x:c>
      <x:c r="X87" s="19" t="n">
        <x:v>4</x:v>
      </x:c>
      <x:c r="Y87" s="20" t="n">
        <x:f>SUM(O87+Q87+S87+U87+W87)</x:f>
        <x:v>27</x:v>
      </x:c>
      <x:c r="Z87" s="20" t="n">
        <x:f>SUM(P87+R87+T87+V87+X87)</x:f>
        <x:v>21</x:v>
      </x:c>
      <x:c r="AA87" s="21" t="n">
        <x:f>Y87/(Y87+Z87)</x:f>
        <x:v>0.5625</x:v>
      </x:c>
    </x:row>
    <x:row r="88">
      <x:c r="A88" s="22" t="n">
        <x:f>wimbledons_champions!A96</x:f>
        <x:v>1978</x:v>
      </x:c>
      <x:c r="B88" s="25" t="str">
        <x:f>wimbledons_champions!B96</x:f>
        <x:v>Women's</x:v>
      </x:c>
      <x:c r="C88" s="25" t="inlineStr">
        <x:is>
          <x:t xml:space="preserve">M. Navratilova</x:t>
        </x:is>
      </x:c>
      <x:c r="D88" s="22" t="inlineStr">
        <x:is>
          <x:t xml:space="preserve">USA</x:t>
        </x:is>
      </x:c>
      <x:c r="E88" s="25" t="inlineStr">
        <x:is>
          <x:t xml:space="preserve">United States</x:t>
        </x:is>
      </x:c>
      <x:c r="F88" s="22" t="n">
        <x:v>2</x:v>
      </x:c>
      <x:c r="G88" s="22" t="n">
        <x:f>wimbledons_champions!G96</x:f>
        <x:v>102</x:v>
      </x:c>
      <x:c r="H88" s="25" t="str">
        <x:f>wimbledons_champions!H96</x:f>
        <x:v>2-6, 6-4, 7-5,</x:v>
      </x:c>
      <x:c r="I88" s="25" t="inlineStr">
        <x:is>
          <x:t xml:space="preserve">C.M. Evert</x:t>
        </x:is>
      </x:c>
      <x:c r="J88" s="22" t="inlineStr">
        <x:is>
          <x:t xml:space="preserve">USA</x:t>
        </x:is>
      </x:c>
      <x:c r="K88" s="25" t="inlineStr">
        <x:is>
          <x:t xml:space="preserve">United States</x:t>
        </x:is>
      </x:c>
      <x:c r="L88" s="22" t="n">
        <x:v>1</x:v>
      </x:c>
      <x:c r="M88" s="18" t="n">
        <x:v>0.5</x:v>
      </x:c>
      <x:c r="N88" s="18" t="n"/>
      <x:c r="O88" s="19" t="inlineStr">
        <x:is>
          <x:t xml:space="preserve">2</x:t>
        </x:is>
      </x:c>
      <x:c r="P88" s="19" t="n">
        <x:v>6</x:v>
      </x:c>
      <x:c r="Q88" s="19" t="n">
        <x:v>6</x:v>
      </x:c>
      <x:c r="R88" s="19" t="n">
        <x:v>4</x:v>
      </x:c>
      <x:c r="S88" s="19" t="n">
        <x:v>7</x:v>
      </x:c>
      <x:c r="T88" s="19" t="n">
        <x:v>5</x:v>
      </x:c>
      <x:c r="U88" s="19" t="n"/>
      <x:c r="V88" s="19" t="n"/>
      <x:c r="W88" s="19" t="n"/>
      <x:c r="X88" s="19" t="n"/>
      <x:c r="Y88" s="20" t="n">
        <x:f>SUM(O88+Q88+S88+U88+W88)</x:f>
        <x:v>15</x:v>
      </x:c>
      <x:c r="Z88" s="20" t="n">
        <x:f>SUM(P88+R88+T88+V88+X88)</x:f>
        <x:v>15</x:v>
      </x:c>
      <x:c r="AA88" s="21" t="n">
        <x:f>Y88/(Y88+Z88)</x:f>
        <x:v>0.5</x:v>
      </x:c>
    </x:row>
    <x:row r="89">
      <x:c r="A89" s="22" t="n">
        <x:f>wimbledons_champions!A97</x:f>
        <x:v>1978</x:v>
      </x:c>
      <x:c r="B89" s="25" t="str">
        <x:f>wimbledons_champions!B97</x:f>
        <x:v>Men's</x:v>
      </x:c>
      <x:c r="C89" s="25" t="inlineStr">
        <x:is>
          <x:t xml:space="preserve">B.R. Borg</x:t>
        </x:is>
      </x:c>
      <x:c r="D89" s="22" t="inlineStr">
        <x:is>
          <x:t xml:space="preserve">SWE</x:t>
        </x:is>
      </x:c>
      <x:c r="E89" s="25" t="inlineStr">
        <x:is>
          <x:t xml:space="preserve">Sweden</x:t>
        </x:is>
      </x:c>
      <x:c r="F89" s="22" t="n">
        <x:v>1</x:v>
      </x:c>
      <x:c r="G89" s="22" t="n">
        <x:f>wimbledons_champions!G97</x:f>
        <x:v>108</x:v>
      </x:c>
      <x:c r="H89" s="25" t="str">
        <x:f>wimbledons_champions!H97</x:f>
        <x:v>6-2, 6-2, 6-3</x:v>
      </x:c>
      <x:c r="I89" s="25" t="inlineStr">
        <x:is>
          <x:t xml:space="preserve">J.S. Connors</x:t>
        </x:is>
      </x:c>
      <x:c r="J89" s="22" t="inlineStr">
        <x:is>
          <x:t xml:space="preserve">USA</x:t>
        </x:is>
      </x:c>
      <x:c r="K89" s="25" t="inlineStr">
        <x:is>
          <x:t xml:space="preserve">United States</x:t>
        </x:is>
      </x:c>
      <x:c r="L89" s="22" t="n">
        <x:v>2</x:v>
      </x:c>
      <x:c r="M89" s="18" t="n">
        <x:v>0.72</x:v>
      </x:c>
      <x:c r="N89" s="18" t="n"/>
      <x:c r="O89" s="19" t="inlineStr">
        <x:is>
          <x:t xml:space="preserve">6</x:t>
        </x:is>
      </x:c>
      <x:c r="P89" s="19" t="n">
        <x:v>2</x:v>
      </x:c>
      <x:c r="Q89" s="19" t="n">
        <x:v>6</x:v>
      </x:c>
      <x:c r="R89" s="19" t="n">
        <x:v>2</x:v>
      </x:c>
      <x:c r="S89" s="19" t="n">
        <x:v>6</x:v>
      </x:c>
      <x:c r="T89" s="19" t="n">
        <x:v>3</x:v>
      </x:c>
      <x:c r="U89" s="19" t="n"/>
      <x:c r="V89" s="19" t="n"/>
      <x:c r="W89" s="19" t="n"/>
      <x:c r="X89" s="19" t="n"/>
      <x:c r="Y89" s="20" t="n">
        <x:f>SUM(O89+Q89+S89+U89+W89)</x:f>
        <x:v>18</x:v>
      </x:c>
      <x:c r="Z89" s="20" t="n">
        <x:f>SUM(P89+R89+T89+V89+X89)</x:f>
        <x:v>7</x:v>
      </x:c>
      <x:c r="AA89" s="21" t="n">
        <x:f>Y89/(Y89+Z89)</x:f>
        <x:v>0.72</x:v>
      </x:c>
    </x:row>
    <x:row r="90">
      <x:c r="A90" s="22" t="n">
        <x:f>wimbledons_champions!A98</x:f>
        <x:v>1977</x:v>
      </x:c>
      <x:c r="B90" s="25" t="str">
        <x:f>wimbledons_champions!B98</x:f>
        <x:v>Women's</x:v>
      </x:c>
      <x:c r="C90" s="25" t="inlineStr">
        <x:is>
          <x:t xml:space="preserve">S.V. Wade</x:t>
        </x:is>
      </x:c>
      <x:c r="D90" s="22" t="inlineStr">
        <x:is>
          <x:t xml:space="preserve">GBR</x:t>
        </x:is>
      </x:c>
      <x:c r="E90" s="25" t="inlineStr">
        <x:is>
          <x:t xml:space="preserve">United Kingdom</x:t>
        </x:is>
      </x:c>
      <x:c r="F90" s="22" t="n">
        <x:v>3</x:v>
      </x:c>
      <x:c r="G90" s="22" t="n">
        <x:f>wimbledons_champions!G98</x:f>
        <x:v>98</x:v>
      </x:c>
      <x:c r="H90" s="25" t="str">
        <x:f>wimbledons_champions!H98</x:f>
        <x:v>4-6, 6-3, 6-1,</x:v>
      </x:c>
      <x:c r="I90" s="25" t="inlineStr">
        <x:is>
          <x:t xml:space="preserve">B.F. Stove</x:t>
        </x:is>
      </x:c>
      <x:c r="J90" s="22" t="inlineStr">
        <x:is>
          <x:t xml:space="preserve">NED</x:t>
        </x:is>
      </x:c>
      <x:c r="K90" s="25" t="inlineStr">
        <x:is>
          <x:t xml:space="preserve">Netherlands</x:t>
        </x:is>
      </x:c>
      <x:c r="L90" s="22" t="n">
        <x:v>7</x:v>
      </x:c>
      <x:c r="M90" s="18" t="n">
        <x:v>0.6153846153846154</x:v>
      </x:c>
      <x:c r="N90" s="18" t="n"/>
      <x:c r="O90" s="19" t="inlineStr">
        <x:is>
          <x:t xml:space="preserve">4</x:t>
        </x:is>
      </x:c>
      <x:c r="P90" s="19" t="n">
        <x:v>6</x:v>
      </x:c>
      <x:c r="Q90" s="19" t="n">
        <x:v>6</x:v>
      </x:c>
      <x:c r="R90" s="19" t="n">
        <x:v>3</x:v>
      </x:c>
      <x:c r="S90" s="19" t="n">
        <x:v>6</x:v>
      </x:c>
      <x:c r="T90" s="19" t="n">
        <x:v>1</x:v>
      </x:c>
      <x:c r="U90" s="19" t="n"/>
      <x:c r="V90" s="19" t="n"/>
      <x:c r="W90" s="19" t="n"/>
      <x:c r="X90" s="19" t="n"/>
      <x:c r="Y90" s="20" t="n">
        <x:f>SUM(O90+Q90+S90+U90+W90)</x:f>
        <x:v>16</x:v>
      </x:c>
      <x:c r="Z90" s="20" t="n">
        <x:f>SUM(P90+R90+T90+V90+X90)</x:f>
        <x:v>10</x:v>
      </x:c>
      <x:c r="AA90" s="21" t="n">
        <x:f>Y90/(Y90+Z90)</x:f>
        <x:v>0.6153846153846154</x:v>
      </x:c>
    </x:row>
    <x:row r="91">
      <x:c r="A91" s="22" t="n">
        <x:f>wimbledons_champions!A99</x:f>
        <x:v>1977</x:v>
      </x:c>
      <x:c r="B91" s="25" t="str">
        <x:f>wimbledons_champions!B99</x:f>
        <x:v>Men's</x:v>
      </x:c>
      <x:c r="C91" s="25" t="inlineStr">
        <x:is>
          <x:t xml:space="preserve">B.R. Borg</x:t>
        </x:is>
      </x:c>
      <x:c r="D91" s="22" t="inlineStr">
        <x:is>
          <x:t xml:space="preserve">SWE</x:t>
        </x:is>
      </x:c>
      <x:c r="E91" s="25" t="inlineStr">
        <x:is>
          <x:t xml:space="preserve">Sweden</x:t>
        </x:is>
      </x:c>
      <x:c r="F91" s="22" t="n">
        <x:v>2</x:v>
      </x:c>
      <x:c r="G91" s="22" t="n">
        <x:f>wimbledons_champions!G99</x:f>
        <x:v>194</x:v>
      </x:c>
      <x:c r="H91" s="25" t="str">
        <x:f>wimbledons_champions!H99</x:f>
        <x:v>3-6, 6-2, 6-1, 5-7, 6-4</x:v>
      </x:c>
      <x:c r="I91" s="25" t="inlineStr">
        <x:is>
          <x:t xml:space="preserve">J.S. Connors</x:t>
        </x:is>
      </x:c>
      <x:c r="J91" s="22" t="inlineStr">
        <x:is>
          <x:t xml:space="preserve">USA</x:t>
        </x:is>
      </x:c>
      <x:c r="K91" s="25" t="inlineStr">
        <x:is>
          <x:t xml:space="preserve">United States</x:t>
        </x:is>
      </x:c>
      <x:c r="L91" s="22" t="n">
        <x:v>1</x:v>
      </x:c>
      <x:c r="M91" s="18" t="n">
        <x:v>0.5652173913043478</x:v>
      </x:c>
      <x:c r="N91" s="18" t="n"/>
      <x:c r="O91" s="19" t="inlineStr">
        <x:is>
          <x:t xml:space="preserve">3</x:t>
        </x:is>
      </x:c>
      <x:c r="P91" s="19" t="n">
        <x:v>6</x:v>
      </x:c>
      <x:c r="Q91" s="19" t="n">
        <x:v>6</x:v>
      </x:c>
      <x:c r="R91" s="19" t="n">
        <x:v>2</x:v>
      </x:c>
      <x:c r="S91" s="19" t="n">
        <x:v>6</x:v>
      </x:c>
      <x:c r="T91" s="19" t="n">
        <x:v>1</x:v>
      </x:c>
      <x:c r="U91" s="19" t="n">
        <x:v>5</x:v>
      </x:c>
      <x:c r="V91" s="19" t="n">
        <x:v>7</x:v>
      </x:c>
      <x:c r="W91" s="19" t="inlineStr">
        <x:is>
          <x:t xml:space="preserve">6</x:t>
        </x:is>
      </x:c>
      <x:c r="X91" s="19" t="n">
        <x:v>4</x:v>
      </x:c>
      <x:c r="Y91" s="20" t="n">
        <x:f>SUM(O91+Q91+S91+U91+W91)</x:f>
        <x:v>26</x:v>
      </x:c>
      <x:c r="Z91" s="20" t="n">
        <x:f>SUM(P91+R91+T91+V91+X91)</x:f>
        <x:v>20</x:v>
      </x:c>
      <x:c r="AA91" s="21" t="n">
        <x:f>Y91/(Y91+Z91)</x:f>
        <x:v>0.5652173913043478</x:v>
      </x:c>
    </x:row>
    <x:row r="92">
      <x:c r="A92" s="22" t="n">
        <x:f>wimbledons_champions!A100</x:f>
        <x:v>1976</x:v>
      </x:c>
      <x:c r="B92" s="25" t="str">
        <x:f>wimbledons_champions!B100</x:f>
        <x:v>Women's</x:v>
      </x:c>
      <x:c r="C92" s="25" t="inlineStr">
        <x:is>
          <x:t xml:space="preserve">C.M. Evert</x:t>
        </x:is>
      </x:c>
      <x:c r="D92" s="22" t="inlineStr">
        <x:is>
          <x:t xml:space="preserve">USA</x:t>
        </x:is>
      </x:c>
      <x:c r="E92" s="25" t="inlineStr">
        <x:is>
          <x:t xml:space="preserve">United States</x:t>
        </x:is>
      </x:c>
      <x:c r="F92" s="22" t="n">
        <x:v>1</x:v>
      </x:c>
      <x:c r="G92" s="22" t="n">
        <x:f>wimbledons_champions!G100</x:f>
        <x:v>120</x:v>
      </x:c>
      <x:c r="H92" s="25" t="str">
        <x:f>wimbledons_champions!H100</x:f>
        <x:v>6-3, 4-6, 8-6,</x:v>
      </x:c>
      <x:c r="I92" s="25" t="inlineStr">
        <x:is>
          <x:t xml:space="preserve">R.A. Cawley</x:t>
        </x:is>
      </x:c>
      <x:c r="J92" s="22" t="inlineStr">
        <x:is>
          <x:t xml:space="preserve">AUS</x:t>
        </x:is>
      </x:c>
      <x:c r="K92" s="25" t="inlineStr">
        <x:is>
          <x:t xml:space="preserve">Australia</x:t>
        </x:is>
      </x:c>
      <x:c r="L92" s="22" t="n">
        <x:v>2</x:v>
      </x:c>
      <x:c r="M92" s="18" t="n">
        <x:v>0.5454545454545454</x:v>
      </x:c>
      <x:c r="N92" s="18" t="n"/>
      <x:c r="O92" s="19" t="inlineStr">
        <x:is>
          <x:t xml:space="preserve">6</x:t>
        </x:is>
      </x:c>
      <x:c r="P92" s="19" t="n">
        <x:v>3</x:v>
      </x:c>
      <x:c r="Q92" s="19" t="n">
        <x:v>4</x:v>
      </x:c>
      <x:c r="R92" s="19" t="n">
        <x:v>6</x:v>
      </x:c>
      <x:c r="S92" s="19" t="n">
        <x:v>8</x:v>
      </x:c>
      <x:c r="T92" s="19" t="n">
        <x:v>6</x:v>
      </x:c>
      <x:c r="U92" s="19" t="n"/>
      <x:c r="V92" s="19" t="n"/>
      <x:c r="W92" s="19" t="n"/>
      <x:c r="X92" s="19" t="n"/>
      <x:c r="Y92" s="20" t="n">
        <x:f>SUM(O92+Q92+S92+U92+W92)</x:f>
        <x:v>18</x:v>
      </x:c>
      <x:c r="Z92" s="20" t="n">
        <x:f>SUM(P92+R92+T92+V92+X92)</x:f>
        <x:v>15</x:v>
      </x:c>
      <x:c r="AA92" s="21" t="n">
        <x:f>Y92/(Y92+Z92)</x:f>
        <x:v>0.5454545454545454</x:v>
      </x:c>
    </x:row>
    <x:row r="93">
      <x:c r="A93" s="22" t="n">
        <x:f>wimbledons_champions!A101</x:f>
        <x:v>1976</x:v>
      </x:c>
      <x:c r="B93" s="25" t="str">
        <x:f>wimbledons_champions!B101</x:f>
        <x:v>Men's</x:v>
      </x:c>
      <x:c r="C93" s="25" t="inlineStr">
        <x:is>
          <x:t xml:space="preserve">B.R. Borg</x:t>
        </x:is>
      </x:c>
      <x:c r="D93" s="22" t="inlineStr">
        <x:is>
          <x:t xml:space="preserve">SWE</x:t>
        </x:is>
      </x:c>
      <x:c r="E93" s="25" t="inlineStr">
        <x:is>
          <x:t xml:space="preserve">Sweden</x:t>
        </x:is>
      </x:c>
      <x:c r="F93" s="22" t="n">
        <x:v>4</x:v>
      </x:c>
      <x:c r="G93" s="22" t="n">
        <x:f>wimbledons_champions!G101</x:f>
        <x:v>110</x:v>
      </x:c>
      <x:c r="H93" s="25" t="str">
        <x:f>wimbledons_champions!H101</x:f>
        <x:v>6-4, 6-2, 9-7</x:v>
      </x:c>
      <x:c r="I93" s="25" t="inlineStr">
        <x:is>
          <x:t xml:space="preserve">I. Nastase</x:t>
        </x:is>
      </x:c>
      <x:c r="J93" s="22" t="inlineStr">
        <x:is>
          <x:t xml:space="preserve">ROM</x:t>
        </x:is>
      </x:c>
      <x:c r="K93" s="25" t="inlineStr">
        <x:is>
          <x:t xml:space="preserve">Romania</x:t>
        </x:is>
      </x:c>
      <x:c r="L93" s="22" t="n">
        <x:v>3</x:v>
      </x:c>
      <x:c r="M93" s="18" t="n">
        <x:v>0.6176470588235294</x:v>
      </x:c>
      <x:c r="N93" s="18" t="n"/>
      <x:c r="O93" s="19" t="inlineStr">
        <x:is>
          <x:t xml:space="preserve">6</x:t>
        </x:is>
      </x:c>
      <x:c r="P93" s="19" t="n">
        <x:v>4</x:v>
      </x:c>
      <x:c r="Q93" s="19" t="n">
        <x:v>6</x:v>
      </x:c>
      <x:c r="R93" s="19" t="n">
        <x:v>2</x:v>
      </x:c>
      <x:c r="S93" s="19" t="n">
        <x:v>9</x:v>
      </x:c>
      <x:c r="T93" s="19" t="n">
        <x:v>7</x:v>
      </x:c>
      <x:c r="U93" s="19" t="n"/>
      <x:c r="V93" s="19" t="n"/>
      <x:c r="W93" s="19" t="n"/>
      <x:c r="X93" s="19" t="n"/>
      <x:c r="Y93" s="20" t="n">
        <x:f>SUM(O93+Q93+S93+U93+W93)</x:f>
        <x:v>21</x:v>
      </x:c>
      <x:c r="Z93" s="20" t="n">
        <x:f>SUM(P93+R93+T93+V93+X93)</x:f>
        <x:v>13</x:v>
      </x:c>
      <x:c r="AA93" s="21" t="n">
        <x:f>Y93/(Y93+Z93)</x:f>
        <x:v>0.6176470588235294</x:v>
      </x:c>
    </x:row>
    <x:row r="94">
      <x:c r="A94" s="22" t="n">
        <x:f>wimbledons_champions!A102</x:f>
        <x:v>1975</x:v>
      </x:c>
      <x:c r="B94" s="25" t="str">
        <x:f>wimbledons_champions!B102</x:f>
        <x:v>Women's</x:v>
      </x:c>
      <x:c r="C94" s="25" t="inlineStr">
        <x:is>
          <x:t xml:space="preserve">L.W. King</x:t>
        </x:is>
      </x:c>
      <x:c r="D94" s="22" t="inlineStr">
        <x:is>
          <x:t xml:space="preserve">USA</x:t>
        </x:is>
      </x:c>
      <x:c r="E94" s="25" t="inlineStr">
        <x:is>
          <x:t xml:space="preserve">United States</x:t>
        </x:is>
      </x:c>
      <x:c r="F94" s="22" t="n">
        <x:v>3</x:v>
      </x:c>
      <x:c r="G94" s="22" t="n">
        <x:f>wimbledons_champions!G102</x:f>
        <x:v>38</x:v>
      </x:c>
      <x:c r="H94" s="25" t="str">
        <x:f>wimbledons_champions!H102</x:f>
        <x:v>6-0, 6-1,</x:v>
      </x:c>
      <x:c r="I94" s="25" t="inlineStr">
        <x:is>
          <x:t xml:space="preserve">R.A. Cawley</x:t>
        </x:is>
      </x:c>
      <x:c r="J94" s="22" t="inlineStr">
        <x:is>
          <x:t xml:space="preserve">AUS</x:t>
        </x:is>
      </x:c>
      <x:c r="K94" s="25" t="inlineStr">
        <x:is>
          <x:t xml:space="preserve">Australia</x:t>
        </x:is>
      </x:c>
      <x:c r="L94" s="22" t="n">
        <x:v>4</x:v>
      </x:c>
      <x:c r="M94" s="18" t="n">
        <x:v>0.9230769230769231</x:v>
      </x:c>
      <x:c r="N94" s="18" t="n"/>
      <x:c r="O94" s="19" t="inlineStr">
        <x:is>
          <x:t xml:space="preserve">6</x:t>
        </x:is>
      </x:c>
      <x:c r="P94" s="19" t="n">
        <x:v>0</x:v>
      </x:c>
      <x:c r="Q94" s="19" t="n">
        <x:v>6</x:v>
      </x:c>
      <x:c r="R94" s="19" t="n">
        <x:v>1</x:v>
      </x:c>
      <x:c r="S94" s="19" t="n"/>
      <x:c r="T94" s="19" t="n"/>
      <x:c r="U94" s="19" t="n"/>
      <x:c r="V94" s="19" t="n"/>
      <x:c r="W94" s="19" t="n"/>
      <x:c r="X94" s="19" t="n"/>
      <x:c r="Y94" s="20" t="n">
        <x:f>SUM(O94+Q94+S94+U94+W94)</x:f>
        <x:v>12</x:v>
      </x:c>
      <x:c r="Z94" s="20" t="n">
        <x:f>SUM(P94+R94+T94+V94+X94)</x:f>
        <x:v>1</x:v>
      </x:c>
      <x:c r="AA94" s="21" t="n">
        <x:f>Y94/(Y94+Z94)</x:f>
        <x:v>0.9230769230769231</x:v>
      </x:c>
    </x:row>
    <x:row r="95">
      <x:c r="A95" s="22" t="n">
        <x:f>wimbledons_champions!A103</x:f>
        <x:v>1975</x:v>
      </x:c>
      <x:c r="B95" s="25" t="str">
        <x:f>wimbledons_champions!B103</x:f>
        <x:v>Men's</x:v>
      </x:c>
      <x:c r="C95" s="25" t="inlineStr">
        <x:is>
          <x:t xml:space="preserve">A.R. Ashe</x:t>
        </x:is>
      </x:c>
      <x:c r="D95" s="22" t="inlineStr">
        <x:is>
          <x:t xml:space="preserve">USA</x:t>
        </x:is>
      </x:c>
      <x:c r="E95" s="25" t="inlineStr">
        <x:is>
          <x:t xml:space="preserve">United States</x:t>
        </x:is>
      </x:c>
      <x:c r="F95" s="22" t="n">
        <x:v>6</x:v>
      </x:c>
      <x:c r="G95" s="22" t="n">
        <x:f>wimbledons_champions!G103</x:f>
        <x:v>125</x:v>
      </x:c>
      <x:c r="H95" s="25" t="str">
        <x:f>wimbledons_champions!H103</x:f>
        <x:v>6-1, 6-1, 5-7, 6-4</x:v>
      </x:c>
      <x:c r="I95" s="25" t="inlineStr">
        <x:is>
          <x:t xml:space="preserve">J.S. Connors</x:t>
        </x:is>
      </x:c>
      <x:c r="J95" s="22" t="inlineStr">
        <x:is>
          <x:t xml:space="preserve">USA</x:t>
        </x:is>
      </x:c>
      <x:c r="K95" s="25" t="inlineStr">
        <x:is>
          <x:t xml:space="preserve">United States</x:t>
        </x:is>
      </x:c>
      <x:c r="L95" s="22" t="n">
        <x:v>1</x:v>
      </x:c>
      <x:c r="M95" s="18" t="n">
        <x:v>0.6388888888888888</x:v>
      </x:c>
      <x:c r="N95" s="18" t="n"/>
      <x:c r="O95" s="19" t="inlineStr">
        <x:is>
          <x:t xml:space="preserve">6</x:t>
        </x:is>
      </x:c>
      <x:c r="P95" s="19" t="n">
        <x:v>1</x:v>
      </x:c>
      <x:c r="Q95" s="19" t="n">
        <x:v>6</x:v>
      </x:c>
      <x:c r="R95" s="19" t="n">
        <x:v>1</x:v>
      </x:c>
      <x:c r="S95" s="19" t="n">
        <x:v>5</x:v>
      </x:c>
      <x:c r="T95" s="19" t="n">
        <x:v>7</x:v>
      </x:c>
      <x:c r="U95" s="19" t="n">
        <x:v>6</x:v>
      </x:c>
      <x:c r="V95" s="19" t="n">
        <x:v>4</x:v>
      </x:c>
      <x:c r="W95" s="19" t="n"/>
      <x:c r="X95" s="19" t="n"/>
      <x:c r="Y95" s="20" t="n">
        <x:f>SUM(O95+Q95+S95+U95+W95)</x:f>
        <x:v>23</x:v>
      </x:c>
      <x:c r="Z95" s="20" t="n">
        <x:f>SUM(P95+R95+T95+V95+X95)</x:f>
        <x:v>13</x:v>
      </x:c>
      <x:c r="AA95" s="21" t="n">
        <x:f>Y95/(Y95+Z95)</x:f>
        <x:v>0.6388888888888888</x:v>
      </x:c>
    </x:row>
    <x:row r="96">
      <x:c r="A96" s="22" t="n">
        <x:f>wimbledons_champions!A104</x:f>
        <x:v>1974</x:v>
      </x:c>
      <x:c r="B96" s="25" t="str">
        <x:f>wimbledons_champions!B104</x:f>
        <x:v>Women's</x:v>
      </x:c>
      <x:c r="C96" s="25" t="inlineStr">
        <x:is>
          <x:t xml:space="preserve">C.M. Evert</x:t>
        </x:is>
      </x:c>
      <x:c r="D96" s="22" t="inlineStr">
        <x:is>
          <x:t xml:space="preserve">USA</x:t>
        </x:is>
      </x:c>
      <x:c r="E96" s="25" t="inlineStr">
        <x:is>
          <x:t xml:space="preserve">United States</x:t>
        </x:is>
      </x:c>
      <x:c r="F96" s="22" t="n">
        <x:v>2</x:v>
      </x:c>
      <x:c r="G96" s="22" t="n">
        <x:f>wimbledons_champions!G104</x:f>
        <x:v>59</x:v>
      </x:c>
      <x:c r="H96" s="25" t="str">
        <x:f>wimbledons_champions!H104</x:f>
        <x:v>6-0, 6-4</x:v>
      </x:c>
      <x:c r="I96" s="25" t="inlineStr">
        <x:is>
          <x:t xml:space="preserve">O.V. Morozova</x:t>
        </x:is>
      </x:c>
      <x:c r="J96" s="22" t="inlineStr">
        <x:is>
          <x:t xml:space="preserve">URS</x:t>
        </x:is>
      </x:c>
      <x:c r="K96" s="25" t="inlineStr">
        <x:is>
          <x:t xml:space="preserve">Soviet Union</x:t>
        </x:is>
      </x:c>
      <x:c r="L96" s="22" t="n">
        <x:v>8</x:v>
      </x:c>
      <x:c r="M96" s="18" t="n">
        <x:v>0.75</x:v>
      </x:c>
      <x:c r="N96" s="18" t="n"/>
      <x:c r="O96" s="19" t="inlineStr">
        <x:is>
          <x:t xml:space="preserve">6</x:t>
        </x:is>
      </x:c>
      <x:c r="P96" s="19" t="n">
        <x:v>0</x:v>
      </x:c>
      <x:c r="Q96" s="19" t="n">
        <x:v>6</x:v>
      </x:c>
      <x:c r="R96" s="19" t="n">
        <x:v>4</x:v>
      </x:c>
      <x:c r="S96" s="19" t="n"/>
      <x:c r="T96" s="19" t="n"/>
      <x:c r="U96" s="19" t="n"/>
      <x:c r="V96" s="19" t="n"/>
      <x:c r="W96" s="19" t="n"/>
      <x:c r="X96" s="19" t="n"/>
      <x:c r="Y96" s="20" t="n">
        <x:f>SUM(O96+Q96+S96+U96+W96)</x:f>
        <x:v>12</x:v>
      </x:c>
      <x:c r="Z96" s="20" t="n">
        <x:f>SUM(P96+R96+T96+V96+X96)</x:f>
        <x:v>4</x:v>
      </x:c>
      <x:c r="AA96" s="21" t="n">
        <x:f>Y96/(Y96+Z96)</x:f>
        <x:v>0.75</x:v>
      </x:c>
    </x:row>
    <x:row r="97">
      <x:c r="A97" s="22" t="n">
        <x:f>wimbledons_champions!A105</x:f>
        <x:v>1974</x:v>
      </x:c>
      <x:c r="B97" s="25" t="str">
        <x:f>wimbledons_champions!B105</x:f>
        <x:v>Men's</x:v>
      </x:c>
      <x:c r="C97" s="25" t="inlineStr">
        <x:is>
          <x:t xml:space="preserve">J.S. Connors</x:t>
        </x:is>
      </x:c>
      <x:c r="D97" s="22" t="inlineStr">
        <x:is>
          <x:t xml:space="preserve">USA</x:t>
        </x:is>
      </x:c>
      <x:c r="E97" s="25" t="inlineStr">
        <x:is>
          <x:t xml:space="preserve">United States</x:t>
        </x:is>
      </x:c>
      <x:c r="F97" s="22" t="n">
        <x:v>3</x:v>
      </x:c>
      <x:c r="G97" s="22" t="n">
        <x:f>wimbledons_champions!G105</x:f>
        <x:v>93</x:v>
      </x:c>
      <x:c r="H97" s="25" t="str">
        <x:f>wimbledons_champions!H105</x:f>
        <x:v>6-1, 6-1, 6-4</x:v>
      </x:c>
      <x:c r="I97" s="25" t="inlineStr">
        <x:is>
          <x:t xml:space="preserve">K.R. Rosewall</x:t>
        </x:is>
      </x:c>
      <x:c r="J97" s="22" t="inlineStr">
        <x:is>
          <x:t xml:space="preserve">AUS</x:t>
        </x:is>
      </x:c>
      <x:c r="K97" s="25" t="inlineStr">
        <x:is>
          <x:t xml:space="preserve">Australia</x:t>
        </x:is>
      </x:c>
      <x:c r="L97" s="22" t="n">
        <x:v>9</x:v>
      </x:c>
      <x:c r="M97" s="18" t="n">
        <x:v>0.75</x:v>
      </x:c>
      <x:c r="N97" s="18" t="n"/>
      <x:c r="O97" s="19" t="inlineStr">
        <x:is>
          <x:t xml:space="preserve">6</x:t>
        </x:is>
      </x:c>
      <x:c r="P97" s="19" t="n">
        <x:v>1</x:v>
      </x:c>
      <x:c r="Q97" s="19" t="n">
        <x:v>6</x:v>
      </x:c>
      <x:c r="R97" s="19" t="n">
        <x:v>1</x:v>
      </x:c>
      <x:c r="S97" s="19" t="n">
        <x:v>6</x:v>
      </x:c>
      <x:c r="T97" s="19" t="n">
        <x:v>4</x:v>
      </x:c>
      <x:c r="U97" s="19" t="n"/>
      <x:c r="V97" s="19" t="n"/>
      <x:c r="W97" s="19" t="n"/>
      <x:c r="X97" s="19" t="n"/>
      <x:c r="Y97" s="20" t="n">
        <x:f>SUM(O97+Q97+S97+U97+W97)</x:f>
        <x:v>18</x:v>
      </x:c>
      <x:c r="Z97" s="20" t="n">
        <x:f>SUM(P97+R97+T97+V97+X97)</x:f>
        <x:v>6</x:v>
      </x:c>
      <x:c r="AA97" s="21" t="n">
        <x:f>Y97/(Y97+Z97)</x:f>
        <x:v>0.75</x:v>
      </x:c>
    </x:row>
    <x:row r="98">
      <x:c r="A98" s="22" t="n">
        <x:f>wimbledons_champions!A106</x:f>
        <x:v>1973</x:v>
      </x:c>
      <x:c r="B98" s="25" t="str">
        <x:f>wimbledons_champions!B106</x:f>
        <x:v>Women's</x:v>
      </x:c>
      <x:c r="C98" s="25" t="inlineStr">
        <x:is>
          <x:t xml:space="preserve">L.W. King</x:t>
        </x:is>
      </x:c>
      <x:c r="D98" s="22" t="inlineStr">
        <x:is>
          <x:t xml:space="preserve">USA</x:t>
        </x:is>
      </x:c>
      <x:c r="E98" s="25" t="inlineStr">
        <x:is>
          <x:t xml:space="preserve">United States</x:t>
        </x:is>
      </x:c>
      <x:c r="F98" s="22" t="n">
        <x:v>2</x:v>
      </x:c>
      <x:c r="G98" s="22" t="n">
        <x:f>wimbledons_champions!G106</x:f>
        <x:v>53</x:v>
      </x:c>
      <x:c r="H98" s="25" t="str">
        <x:f>wimbledons_champions!H106</x:f>
        <x:v>6-0, 7-5</x:v>
      </x:c>
      <x:c r="I98" s="25" t="inlineStr">
        <x:is>
          <x:t xml:space="preserve">C.M. Evert</x:t>
        </x:is>
      </x:c>
      <x:c r="J98" s="22" t="inlineStr">
        <x:is>
          <x:t xml:space="preserve">USA</x:t>
        </x:is>
      </x:c>
      <x:c r="K98" s="25" t="inlineStr">
        <x:is>
          <x:t xml:space="preserve">United States</x:t>
        </x:is>
      </x:c>
      <x:c r="L98" s="22" t="n">
        <x:v>4</x:v>
      </x:c>
      <x:c r="M98" s="18" t="n">
        <x:v>0.7222222222222222</x:v>
      </x:c>
      <x:c r="N98" s="18" t="n"/>
      <x:c r="O98" s="19" t="inlineStr">
        <x:is>
          <x:t xml:space="preserve">6</x:t>
        </x:is>
      </x:c>
      <x:c r="P98" s="19" t="n">
        <x:v>0</x:v>
      </x:c>
      <x:c r="Q98" s="19" t="n">
        <x:v>7</x:v>
      </x:c>
      <x:c r="R98" s="19" t="n">
        <x:v>5</x:v>
      </x:c>
      <x:c r="S98" s="19" t="n"/>
      <x:c r="T98" s="19" t="n"/>
      <x:c r="U98" s="19" t="n"/>
      <x:c r="V98" s="19" t="n"/>
      <x:c r="W98" s="19" t="n"/>
      <x:c r="X98" s="19" t="n"/>
      <x:c r="Y98" s="20" t="n">
        <x:f>SUM(O98+Q98+S98+U98+W98)</x:f>
        <x:v>13</x:v>
      </x:c>
      <x:c r="Z98" s="20" t="n">
        <x:f>SUM(P98+R98+T98+V98+X98)</x:f>
        <x:v>5</x:v>
      </x:c>
      <x:c r="AA98" s="21" t="n">
        <x:f>Y98/(Y98+Z98)</x:f>
        <x:v>0.7222222222222222</x:v>
      </x:c>
    </x:row>
    <x:row r="99">
      <x:c r="A99" s="22" t="n">
        <x:f>wimbledons_champions!A107</x:f>
        <x:v>1973</x:v>
      </x:c>
      <x:c r="B99" s="25" t="str">
        <x:f>wimbledons_champions!B107</x:f>
        <x:v>Men's</x:v>
      </x:c>
      <x:c r="C99" s="25" t="inlineStr">
        <x:is>
          <x:t xml:space="preserve">J. Kodes</x:t>
        </x:is>
      </x:c>
      <x:c r="D99" s="22" t="inlineStr">
        <x:is>
          <x:t xml:space="preserve">CZE</x:t>
        </x:is>
      </x:c>
      <x:c r="E99" s="25" t="inlineStr">
        <x:is>
          <x:t xml:space="preserve">Czechia</x:t>
        </x:is>
      </x:c>
      <x:c r="F99" s="22" t="n">
        <x:v>2</x:v>
      </x:c>
      <x:c r="G99" s="22" t="n">
        <x:f>wimbledons_champions!G107</x:f>
        <x:v>110</x:v>
      </x:c>
      <x:c r="H99" s="25" t="str">
        <x:f>wimbledons_champions!H107</x:f>
        <x:v>6-1, 9-8(7-5), 6-3</x:v>
      </x:c>
      <x:c r="I99" s="25" t="inlineStr">
        <x:is>
          <x:t xml:space="preserve">A. Metreveli</x:t>
        </x:is>
      </x:c>
      <x:c r="J99" s="22" t="inlineStr">
        <x:is>
          <x:t xml:space="preserve">URS</x:t>
        </x:is>
      </x:c>
      <x:c r="K99" s="25" t="inlineStr">
        <x:is>
          <x:t xml:space="preserve">Soviet Union</x:t>
        </x:is>
      </x:c>
      <x:c r="L99" s="22" t="n">
        <x:v>4</x:v>
      </x:c>
      <x:c r="M99" s="18" t="n">
        <x:v>0.6363636363636364</x:v>
      </x:c>
      <x:c r="N99" s="18" t="n"/>
      <x:c r="O99" s="19" t="inlineStr">
        <x:is>
          <x:t xml:space="preserve">6</x:t>
        </x:is>
      </x:c>
      <x:c r="P99" s="19" t="n">
        <x:v>1</x:v>
      </x:c>
      <x:c r="Q99" s="19" t="n">
        <x:v>9</x:v>
      </x:c>
      <x:c r="R99" s="19" t="n">
        <x:v>8</x:v>
      </x:c>
      <x:c r="S99" s="19" t="n">
        <x:v>6</x:v>
      </x:c>
      <x:c r="T99" s="19" t="n">
        <x:v>3</x:v>
      </x:c>
      <x:c r="U99" s="19" t="n"/>
      <x:c r="V99" s="19" t="n"/>
      <x:c r="W99" s="19" t="n"/>
      <x:c r="X99" s="19" t="n"/>
      <x:c r="Y99" s="20" t="n">
        <x:f>SUM(O99+Q99+S99+U99+W99)</x:f>
        <x:v>21</x:v>
      </x:c>
      <x:c r="Z99" s="20" t="n">
        <x:f>SUM(P99+R99+T99+V99+X99)</x:f>
        <x:v>12</x:v>
      </x:c>
      <x:c r="AA99" s="21" t="n">
        <x:f>Y99/(Y99+Z99)</x:f>
        <x:v>0.6363636363636364</x:v>
      </x:c>
    </x:row>
    <x:row r="100">
      <x:c r="A100" s="22" t="n">
        <x:f>wimbledons_champions!A108</x:f>
        <x:v>1972</x:v>
      </x:c>
      <x:c r="B100" s="25" t="str">
        <x:f>wimbledons_champions!B108</x:f>
        <x:v>Women's</x:v>
      </x:c>
      <x:c r="C100" s="25" t="inlineStr">
        <x:is>
          <x:t xml:space="preserve">L.W. King</x:t>
        </x:is>
      </x:c>
      <x:c r="D100" s="22" t="inlineStr">
        <x:is>
          <x:t xml:space="preserve">USA</x:t>
        </x:is>
      </x:c>
      <x:c r="E100" s="25" t="inlineStr">
        <x:is>
          <x:t xml:space="preserve">United States</x:t>
        </x:is>
      </x:c>
      <x:c r="F100" s="22" t="n">
        <x:v>2</x:v>
      </x:c>
      <x:c r="G100" s="22" t="n">
        <x:f>wimbledons_champions!G108</x:f>
        <x:v>50</x:v>
      </x:c>
      <x:c r="H100" s="25" t="str">
        <x:f>wimbledons_champions!H108</x:f>
        <x:v>6-3, 6-3,</x:v>
      </x:c>
      <x:c r="I100" s="25" t="inlineStr">
        <x:is>
          <x:t xml:space="preserve">E.F. Goolagong</x:t>
        </x:is>
      </x:c>
      <x:c r="J100" s="22" t="inlineStr">
        <x:is>
          <x:t xml:space="preserve">AUS</x:t>
        </x:is>
      </x:c>
      <x:c r="K100" s="25" t="inlineStr">
        <x:is>
          <x:t xml:space="preserve">Australia</x:t>
        </x:is>
      </x:c>
      <x:c r="L100" s="22" t="n">
        <x:v>1</x:v>
      </x:c>
      <x:c r="M100" s="18" t="n">
        <x:v>0.6666666666666666</x:v>
      </x:c>
      <x:c r="N100" s="18" t="n"/>
      <x:c r="O100" s="19" t="inlineStr">
        <x:is>
          <x:t xml:space="preserve">6</x:t>
        </x:is>
      </x:c>
      <x:c r="P100" s="19" t="n">
        <x:v>3</x:v>
      </x:c>
      <x:c r="Q100" s="19" t="n">
        <x:v>6</x:v>
      </x:c>
      <x:c r="R100" s="19" t="n">
        <x:v>3</x:v>
      </x:c>
      <x:c r="S100" s="19" t="n"/>
      <x:c r="T100" s="19" t="n"/>
      <x:c r="U100" s="19" t="n"/>
      <x:c r="V100" s="19" t="n"/>
      <x:c r="W100" s="19" t="n"/>
      <x:c r="X100" s="19" t="n"/>
      <x:c r="Y100" s="20" t="n">
        <x:f>SUM(O100+Q100+S100+U100+W100)</x:f>
        <x:v>12</x:v>
      </x:c>
      <x:c r="Z100" s="20" t="n">
        <x:f>SUM(P100+R100+T100+V100+X100)</x:f>
        <x:v>6</x:v>
      </x:c>
      <x:c r="AA100" s="21" t="n">
        <x:f>Y100/(Y100+Z100)</x:f>
        <x:v>0.6666666666666666</x:v>
      </x:c>
    </x:row>
    <x:row r="101">
      <x:c r="A101" s="22" t="n">
        <x:f>wimbledons_champions!A109</x:f>
        <x:v>1972</x:v>
      </x:c>
      <x:c r="B101" s="25" t="str">
        <x:f>wimbledons_champions!B109</x:f>
        <x:v>Men's</x:v>
      </x:c>
      <x:c r="C101" s="25" t="inlineStr">
        <x:is>
          <x:t xml:space="preserve">S.R. Smith</x:t>
        </x:is>
      </x:c>
      <x:c r="D101" s="22" t="inlineStr">
        <x:is>
          <x:t xml:space="preserve">USA</x:t>
        </x:is>
      </x:c>
      <x:c r="E101" s="25" t="inlineStr">
        <x:is>
          <x:t xml:space="preserve">United States</x:t>
        </x:is>
      </x:c>
      <x:c r="F101" s="22" t="n">
        <x:v>1</x:v>
      </x:c>
      <x:c r="G101" s="22" t="n">
        <x:f>wimbledons_champions!G109</x:f>
        <x:v>161</x:v>
      </x:c>
      <x:c r="H101" s="25" t="str">
        <x:f>wimbledons_champions!H109</x:f>
        <x:v>4-6, 6-3, 6-3, 4-6, 7-5</x:v>
      </x:c>
      <x:c r="I101" s="25" t="inlineStr">
        <x:is>
          <x:t xml:space="preserve">I. Nastase</x:t>
        </x:is>
      </x:c>
      <x:c r="J101" s="22" t="inlineStr">
        <x:is>
          <x:t xml:space="preserve">ROM</x:t>
        </x:is>
      </x:c>
      <x:c r="K101" s="25" t="inlineStr">
        <x:is>
          <x:t xml:space="preserve">Romania</x:t>
        </x:is>
      </x:c>
      <x:c r="L101" s="22" t="n">
        <x:v>2</x:v>
      </x:c>
      <x:c r="M101" s="18" t="n">
        <x:v>0.54</x:v>
      </x:c>
      <x:c r="N101" s="18" t="n"/>
      <x:c r="O101" s="19" t="inlineStr">
        <x:is>
          <x:t xml:space="preserve">4</x:t>
        </x:is>
      </x:c>
      <x:c r="P101" s="19" t="n">
        <x:v>6</x:v>
      </x:c>
      <x:c r="Q101" s="19" t="n">
        <x:v>6</x:v>
      </x:c>
      <x:c r="R101" s="19" t="n">
        <x:v>3</x:v>
      </x:c>
      <x:c r="S101" s="19" t="n">
        <x:v>6</x:v>
      </x:c>
      <x:c r="T101" s="19" t="n">
        <x:v>3</x:v>
      </x:c>
      <x:c r="U101" s="19" t="n">
        <x:v>4</x:v>
      </x:c>
      <x:c r="V101" s="19" t="n">
        <x:v>6</x:v>
      </x:c>
      <x:c r="W101" s="19" t="inlineStr">
        <x:is>
          <x:t xml:space="preserve">7</x:t>
        </x:is>
      </x:c>
      <x:c r="X101" s="19" t="n">
        <x:v>5</x:v>
      </x:c>
      <x:c r="Y101" s="20" t="n">
        <x:f>SUM(O101+Q101+S101+U101+W101)</x:f>
        <x:v>27</x:v>
      </x:c>
      <x:c r="Z101" s="20" t="n">
        <x:f>SUM(P101+R101+T101+V101+X101)</x:f>
        <x:v>23</x:v>
      </x:c>
      <x:c r="AA101" s="21" t="n">
        <x:f>Y101/(Y101+Z101)</x:f>
        <x:v>0.54</x:v>
      </x:c>
    </x:row>
    <x:row r="102">
      <x:c r="A102" s="22" t="n">
        <x:f>wimbledons_champions!A110</x:f>
        <x:v>1971</x:v>
      </x:c>
      <x:c r="B102" s="25" t="str">
        <x:f>wimbledons_champions!B110</x:f>
        <x:v>Women's</x:v>
      </x:c>
      <x:c r="C102" s="25" t="inlineStr">
        <x:is>
          <x:t xml:space="preserve">E.F. Goolagong</x:t>
        </x:is>
      </x:c>
      <x:c r="D102" s="22" t="inlineStr">
        <x:is>
          <x:t xml:space="preserve">AUS</x:t>
        </x:is>
      </x:c>
      <x:c r="E102" s="25" t="inlineStr">
        <x:is>
          <x:t xml:space="preserve">Australia</x:t>
        </x:is>
      </x:c>
      <x:c r="F102" s="22" t="n">
        <x:v>3</x:v>
      </x:c>
      <x:c r="G102" s="22" t="n">
        <x:f>wimbledons_champions!G110</x:f>
        <x:v>62</x:v>
      </x:c>
      <x:c r="H102" s="25" t="str">
        <x:f>wimbledons_champions!H110</x:f>
        <x:v>6-4, 6-1,</x:v>
      </x:c>
      <x:c r="I102" s="25" t="inlineStr">
        <x:is>
          <x:t xml:space="preserve">B.M. Court</x:t>
        </x:is>
      </x:c>
      <x:c r="J102" s="22" t="inlineStr">
        <x:is>
          <x:t xml:space="preserve">AUS</x:t>
        </x:is>
      </x:c>
      <x:c r="K102" s="25" t="inlineStr">
        <x:is>
          <x:t xml:space="preserve">Australia</x:t>
        </x:is>
      </x:c>
      <x:c r="L102" s="22" t="n">
        <x:v>1</x:v>
      </x:c>
      <x:c r="M102" s="18" t="n">
        <x:v>0.7058823529411765</x:v>
      </x:c>
      <x:c r="N102" s="18" t="n"/>
      <x:c r="O102" s="19" t="inlineStr">
        <x:is>
          <x:t xml:space="preserve">6</x:t>
        </x:is>
      </x:c>
      <x:c r="P102" s="19" t="n">
        <x:v>4</x:v>
      </x:c>
      <x:c r="Q102" s="19" t="n">
        <x:v>6</x:v>
      </x:c>
      <x:c r="R102" s="19" t="n">
        <x:v>1</x:v>
      </x:c>
      <x:c r="S102" s="19" t="n"/>
      <x:c r="T102" s="19" t="n"/>
      <x:c r="U102" s="19" t="n"/>
      <x:c r="V102" s="19" t="n"/>
      <x:c r="W102" s="19" t="n"/>
      <x:c r="X102" s="19" t="n"/>
      <x:c r="Y102" s="20" t="n">
        <x:f>SUM(O102+Q102+S102+U102+W102)</x:f>
        <x:v>12</x:v>
      </x:c>
      <x:c r="Z102" s="20" t="n">
        <x:f>SUM(P102+R102+T102+V102+X102)</x:f>
        <x:v>5</x:v>
      </x:c>
      <x:c r="AA102" s="21" t="n">
        <x:f>Y102/(Y102+Z102)</x:f>
        <x:v>0.7058823529411765</x:v>
      </x:c>
    </x:row>
    <x:row r="103">
      <x:c r="A103" s="22" t="n">
        <x:f>wimbledons_champions!A111</x:f>
        <x:v>1971</x:v>
      </x:c>
      <x:c r="B103" s="25" t="str">
        <x:f>wimbledons_champions!B111</x:f>
        <x:v>Men's</x:v>
      </x:c>
      <x:c r="C103" s="25" t="inlineStr">
        <x:is>
          <x:t xml:space="preserve">J.D. Newcombe</x:t>
        </x:is>
      </x:c>
      <x:c r="D103" s="22" t="inlineStr">
        <x:is>
          <x:t xml:space="preserve">AUS</x:t>
        </x:is>
      </x:c>
      <x:c r="E103" s="25" t="inlineStr">
        <x:is>
          <x:t xml:space="preserve">Australia</x:t>
        </x:is>
      </x:c>
      <x:c r="F103" s="22" t="n">
        <x:v>2</x:v>
      </x:c>
      <x:c r="G103" s="22" t="n">
        <x:f>wimbledons_champions!G111</x:f>
        <x:v>170</x:v>
      </x:c>
      <x:c r="H103" s="25" t="str">
        <x:f>wimbledons_champions!H111</x:f>
        <x:v>6-3, 5-7, 2-6, 6-4, 6-4</x:v>
      </x:c>
      <x:c r="I103" s="25" t="inlineStr">
        <x:is>
          <x:t xml:space="preserve">S.R. Smith</x:t>
        </x:is>
      </x:c>
      <x:c r="J103" s="22" t="inlineStr">
        <x:is>
          <x:t xml:space="preserve">USA</x:t>
        </x:is>
      </x:c>
      <x:c r="K103" s="25" t="inlineStr">
        <x:is>
          <x:t xml:space="preserve">United States</x:t>
        </x:is>
      </x:c>
      <x:c r="L103" s="22" t="n">
        <x:v>4</x:v>
      </x:c>
      <x:c r="M103" s="18" t="n">
        <x:v>0.5102040816326531</x:v>
      </x:c>
      <x:c r="N103" s="18" t="n"/>
      <x:c r="O103" s="19" t="inlineStr">
        <x:is>
          <x:t xml:space="preserve">6</x:t>
        </x:is>
      </x:c>
      <x:c r="P103" s="19" t="n">
        <x:v>3</x:v>
      </x:c>
      <x:c r="Q103" s="19" t="n">
        <x:v>5</x:v>
      </x:c>
      <x:c r="R103" s="19" t="n">
        <x:v>7</x:v>
      </x:c>
      <x:c r="S103" s="19" t="n">
        <x:v>2</x:v>
      </x:c>
      <x:c r="T103" s="19" t="n">
        <x:v>6</x:v>
      </x:c>
      <x:c r="U103" s="19" t="n">
        <x:v>6</x:v>
      </x:c>
      <x:c r="V103" s="19" t="n">
        <x:v>4</x:v>
      </x:c>
      <x:c r="W103" s="19" t="inlineStr">
        <x:is>
          <x:t xml:space="preserve">6</x:t>
        </x:is>
      </x:c>
      <x:c r="X103" s="19" t="n">
        <x:v>4</x:v>
      </x:c>
      <x:c r="Y103" s="20" t="n">
        <x:f>SUM(O103+Q103+S103+U103+W103)</x:f>
        <x:v>25</x:v>
      </x:c>
      <x:c r="Z103" s="20" t="n">
        <x:f>SUM(P103+R103+T103+V103+X103)</x:f>
        <x:v>24</x:v>
      </x:c>
      <x:c r="AA103" s="21" t="n">
        <x:f>Y103/(Y103+Z103)</x:f>
        <x:v>0.5102040816326531</x:v>
      </x:c>
    </x:row>
    <x:row r="104">
      <x:c r="A104" s="22" t="n">
        <x:f>wimbledons_champions!A112</x:f>
        <x:v>1970</x:v>
      </x:c>
      <x:c r="B104" s="25" t="str">
        <x:f>wimbledons_champions!B112</x:f>
        <x:v>Women's</x:v>
      </x:c>
      <x:c r="C104" s="25" t="inlineStr">
        <x:is>
          <x:t xml:space="preserve">B.M. Court</x:t>
        </x:is>
      </x:c>
      <x:c r="D104" s="22" t="inlineStr">
        <x:is>
          <x:t xml:space="preserve">AUS</x:t>
        </x:is>
      </x:c>
      <x:c r="E104" s="25" t="inlineStr">
        <x:is>
          <x:t xml:space="preserve">Australia</x:t>
        </x:is>
      </x:c>
      <x:c r="F104" s="22" t="n">
        <x:v>1</x:v>
      </x:c>
      <x:c r="G104" s="22" t="n">
        <x:f>wimbledons_champions!G112</x:f>
        <x:v>148</x:v>
      </x:c>
      <x:c r="H104" s="25" t="str">
        <x:f>wimbledons_champions!H112</x:f>
        <x:v>14-12, 11-9,</x:v>
      </x:c>
      <x:c r="I104" s="25" t="inlineStr">
        <x:is>
          <x:t xml:space="preserve">L.W. King</x:t>
        </x:is>
      </x:c>
      <x:c r="J104" s="22" t="inlineStr">
        <x:is>
          <x:t xml:space="preserve">USA</x:t>
        </x:is>
      </x:c>
      <x:c r="K104" s="25" t="inlineStr">
        <x:is>
          <x:t xml:space="preserve">United States</x:t>
        </x:is>
      </x:c>
      <x:c r="L104" s="22" t="n">
        <x:v>2</x:v>
      </x:c>
      <x:c r="M104" s="18" t="n">
        <x:v>0.5434782608695652</x:v>
      </x:c>
      <x:c r="N104" s="18" t="n"/>
      <x:c r="O104" s="19" t="inlineStr">
        <x:is>
          <x:t xml:space="preserve">14</x:t>
        </x:is>
      </x:c>
      <x:c r="P104" s="19" t="n">
        <x:v>12</x:v>
      </x:c>
      <x:c r="Q104" s="19" t="n">
        <x:v>11</x:v>
      </x:c>
      <x:c r="R104" s="19" t="n">
        <x:v>9</x:v>
      </x:c>
      <x:c r="S104" s="19" t="n"/>
      <x:c r="T104" s="19" t="n"/>
      <x:c r="U104" s="19" t="n"/>
      <x:c r="V104" s="19" t="n"/>
      <x:c r="W104" s="19" t="n"/>
      <x:c r="X104" s="19" t="n"/>
      <x:c r="Y104" s="20" t="n">
        <x:f>SUM(O104+Q104+S104+U104+W104)</x:f>
        <x:v>25</x:v>
      </x:c>
      <x:c r="Z104" s="20" t="n">
        <x:f>SUM(P104+R104+T104+V104+X104)</x:f>
        <x:v>21</x:v>
      </x:c>
      <x:c r="AA104" s="21" t="n">
        <x:f>Y104/(Y104+Z104)</x:f>
        <x:v>0.5434782608695652</x:v>
      </x:c>
    </x:row>
    <x:row r="105">
      <x:c r="A105" s="22" t="n">
        <x:f>wimbledons_champions!A113</x:f>
        <x:v>1970</x:v>
      </x:c>
      <x:c r="B105" s="25" t="str">
        <x:f>wimbledons_champions!B113</x:f>
        <x:v>Men's</x:v>
      </x:c>
      <x:c r="C105" s="25" t="inlineStr">
        <x:is>
          <x:t xml:space="preserve">J.D. Newcombe</x:t>
        </x:is>
      </x:c>
      <x:c r="D105" s="22" t="inlineStr">
        <x:is>
          <x:t xml:space="preserve">AUS</x:t>
        </x:is>
      </x:c>
      <x:c r="E105" s="25" t="inlineStr">
        <x:is>
          <x:t xml:space="preserve">Australia</x:t>
        </x:is>
      </x:c>
      <x:c r="F105" s="22" t="n">
        <x:v>2</x:v>
      </x:c>
      <x:c r="G105" s="22" t="n">
        <x:f>wimbledons_champions!G113</x:f>
        <x:v>163</x:v>
      </x:c>
      <x:c r="H105" s="25" t="str">
        <x:f>wimbledons_champions!H113</x:f>
        <x:v>5-7, 6-3, 6-2, 3-6, 6-1</x:v>
      </x:c>
      <x:c r="I105" s="25" t="inlineStr">
        <x:is>
          <x:t xml:space="preserve">K.R. Rosewall</x:t>
        </x:is>
      </x:c>
      <x:c r="J105" s="22" t="inlineStr">
        <x:is>
          <x:t xml:space="preserve">AUS</x:t>
        </x:is>
      </x:c>
      <x:c r="K105" s="25" t="inlineStr">
        <x:is>
          <x:t xml:space="preserve">Australia</x:t>
        </x:is>
      </x:c>
      <x:c r="L105" s="22" t="n">
        <x:v>5</x:v>
      </x:c>
      <x:c r="M105" s="18" t="n">
        <x:v>0.5777777777777777</x:v>
      </x:c>
      <x:c r="N105" s="18" t="n"/>
      <x:c r="O105" s="19" t="inlineStr">
        <x:is>
          <x:t xml:space="preserve">5</x:t>
        </x:is>
      </x:c>
      <x:c r="P105" s="19" t="n">
        <x:v>7</x:v>
      </x:c>
      <x:c r="Q105" s="19" t="n">
        <x:v>6</x:v>
      </x:c>
      <x:c r="R105" s="19" t="n">
        <x:v>3</x:v>
      </x:c>
      <x:c r="S105" s="19" t="n">
        <x:v>6</x:v>
      </x:c>
      <x:c r="T105" s="19" t="n">
        <x:v>2</x:v>
      </x:c>
      <x:c r="U105" s="19" t="n">
        <x:v>3</x:v>
      </x:c>
      <x:c r="V105" s="19" t="n">
        <x:v>6</x:v>
      </x:c>
      <x:c r="W105" s="19" t="inlineStr">
        <x:is>
          <x:t xml:space="preserve">6</x:t>
        </x:is>
      </x:c>
      <x:c r="X105" s="19" t="n">
        <x:v>1</x:v>
      </x:c>
      <x:c r="Y105" s="20" t="n">
        <x:f>SUM(O105+Q105+S105+U105+W105)</x:f>
        <x:v>26</x:v>
      </x:c>
      <x:c r="Z105" s="20" t="n">
        <x:f>SUM(P105+R105+T105+V105+X105)</x:f>
        <x:v>19</x:v>
      </x:c>
      <x:c r="AA105" s="21" t="n">
        <x:f>Y105/(Y105+Z105)</x:f>
        <x:v>0.5777777777777777</x:v>
      </x:c>
    </x:row>
    <x:row r="106">
      <x:c r="A106" s="22" t="n">
        <x:f>wimbledons_champions!A114</x:f>
        <x:v>1969</x:v>
      </x:c>
      <x:c r="B106" s="25" t="str">
        <x:f>wimbledons_champions!B114</x:f>
        <x:v>Women's</x:v>
      </x:c>
      <x:c r="C106" s="25" t="inlineStr">
        <x:is>
          <x:t xml:space="preserve">P.F. Jones</x:t>
        </x:is>
      </x:c>
      <x:c r="D106" s="22" t="inlineStr">
        <x:is>
          <x:t xml:space="preserve">GBR</x:t>
        </x:is>
      </x:c>
      <x:c r="E106" s="25" t="inlineStr">
        <x:is>
          <x:t xml:space="preserve">United Kingdom</x:t>
        </x:is>
      </x:c>
      <x:c r="F106" s="22" t="n">
        <x:v>4</x:v>
      </x:c>
      <x:c r="G106" s="22" t="n">
        <x:f>wimbledons_champions!G114</x:f>
        <x:v>71</x:v>
      </x:c>
      <x:c r="H106" s="25" t="str">
        <x:f>wimbledons_champions!H114</x:f>
        <x:v>3-6, 6-3, 6-2,</x:v>
      </x:c>
      <x:c r="I106" s="25" t="inlineStr">
        <x:is>
          <x:t xml:space="preserve">L.W. King</x:t>
        </x:is>
      </x:c>
      <x:c r="J106" s="22" t="inlineStr">
        <x:is>
          <x:t xml:space="preserve">USA</x:t>
        </x:is>
      </x:c>
      <x:c r="K106" s="25" t="inlineStr">
        <x:is>
          <x:t xml:space="preserve">United States</x:t>
        </x:is>
      </x:c>
      <x:c r="L106" s="22" t="n">
        <x:v>2</x:v>
      </x:c>
      <x:c r="M106" s="18" t="n">
        <x:v>0.5769230769230769</x:v>
      </x:c>
      <x:c r="N106" s="18" t="n"/>
      <x:c r="O106" s="19" t="inlineStr">
        <x:is>
          <x:t xml:space="preserve">3</x:t>
        </x:is>
      </x:c>
      <x:c r="P106" s="19" t="n">
        <x:v>6</x:v>
      </x:c>
      <x:c r="Q106" s="19" t="n">
        <x:v>6</x:v>
      </x:c>
      <x:c r="R106" s="19" t="n">
        <x:v>3</x:v>
      </x:c>
      <x:c r="S106" s="19" t="n">
        <x:v>6</x:v>
      </x:c>
      <x:c r="T106" s="19" t="n">
        <x:v>2</x:v>
      </x:c>
      <x:c r="U106" s="19" t="n"/>
      <x:c r="V106" s="19" t="n"/>
      <x:c r="W106" s="19" t="n"/>
      <x:c r="X106" s="19" t="n"/>
      <x:c r="Y106" s="20" t="n">
        <x:f>SUM(O106+Q106+S106+U106+W106)</x:f>
        <x:v>15</x:v>
      </x:c>
      <x:c r="Z106" s="20" t="n">
        <x:f>SUM(P106+R106+T106+V106+X106)</x:f>
        <x:v>11</x:v>
      </x:c>
      <x:c r="AA106" s="21" t="n">
        <x:f>Y106/(Y106+Z106)</x:f>
        <x:v>0.5769230769230769</x:v>
      </x:c>
    </x:row>
    <x:row r="107">
      <x:c r="A107" s="22" t="n">
        <x:f>wimbledons_champions!A115</x:f>
        <x:v>1969</x:v>
      </x:c>
      <x:c r="B107" s="25" t="str">
        <x:f>wimbledons_champions!B115</x:f>
        <x:v>Men's</x:v>
      </x:c>
      <x:c r="C107" s="25" t="inlineStr">
        <x:is>
          <x:t xml:space="preserve">R.G. Laver</x:t>
        </x:is>
      </x:c>
      <x:c r="D107" s="22" t="inlineStr">
        <x:is>
          <x:t xml:space="preserve">AUS</x:t>
        </x:is>
      </x:c>
      <x:c r="E107" s="25" t="inlineStr">
        <x:is>
          <x:t xml:space="preserve">Australia</x:t>
        </x:is>
      </x:c>
      <x:c r="F107" s="22" t="n">
        <x:v>1</x:v>
      </x:c>
      <x:c r="G107" s="22" t="n">
        <x:f>wimbledons_champions!G115</x:f>
        <x:v>136</x:v>
      </x:c>
      <x:c r="H107" s="25" t="str">
        <x:f>wimbledons_champions!H115</x:f>
        <x:v>6-4, 5-7, 6-4, 6-4</x:v>
      </x:c>
      <x:c r="I107" s="25" t="inlineStr">
        <x:is>
          <x:t xml:space="preserve">J.D. Newcombe</x:t>
        </x:is>
      </x:c>
      <x:c r="J107" s="22" t="inlineStr">
        <x:is>
          <x:t xml:space="preserve">AUS</x:t>
        </x:is>
      </x:c>
      <x:c r="K107" s="25" t="inlineStr">
        <x:is>
          <x:t xml:space="preserve">Australia</x:t>
        </x:is>
      </x:c>
      <x:c r="L107" s="22" t="n">
        <x:v>6</x:v>
      </x:c>
      <x:c r="M107" s="18" t="n">
        <x:v>0.5476190476190477</x:v>
      </x:c>
      <x:c r="N107" s="18" t="n"/>
      <x:c r="O107" s="19" t="inlineStr">
        <x:is>
          <x:t xml:space="preserve">6</x:t>
        </x:is>
      </x:c>
      <x:c r="P107" s="19" t="n">
        <x:v>4</x:v>
      </x:c>
      <x:c r="Q107" s="19" t="n">
        <x:v>5</x:v>
      </x:c>
      <x:c r="R107" s="19" t="n">
        <x:v>7</x:v>
      </x:c>
      <x:c r="S107" s="19" t="n">
        <x:v>6</x:v>
      </x:c>
      <x:c r="T107" s="19" t="n">
        <x:v>4</x:v>
      </x:c>
      <x:c r="U107" s="19" t="n">
        <x:v>6</x:v>
      </x:c>
      <x:c r="V107" s="19" t="n">
        <x:v>4</x:v>
      </x:c>
      <x:c r="W107" s="19" t="n"/>
      <x:c r="X107" s="19" t="n"/>
      <x:c r="Y107" s="20" t="n">
        <x:f>SUM(O107+Q107+S107+U107+W107)</x:f>
        <x:v>23</x:v>
      </x:c>
      <x:c r="Z107" s="20" t="n">
        <x:f>SUM(P107+R107+T107+V107+X107)</x:f>
        <x:v>19</x:v>
      </x:c>
      <x:c r="AA107" s="21" t="n">
        <x:f>Y107/(Y107+Z107)</x:f>
        <x:v>0.5476190476190477</x:v>
      </x:c>
    </x:row>
    <x:row r="108">
      <x:c r="A108" s="22" t="n">
        <x:f>wimbledons_champions!A116</x:f>
        <x:v>1968</x:v>
      </x:c>
      <x:c r="B108" s="25" t="str">
        <x:f>wimbledons_champions!B116</x:f>
        <x:v>Women's</x:v>
      </x:c>
      <x:c r="C108" s="25" t="inlineStr">
        <x:is>
          <x:t xml:space="preserve">L.W. King</x:t>
        </x:is>
      </x:c>
      <x:c r="D108" s="22" t="inlineStr">
        <x:is>
          <x:t xml:space="preserve">USA</x:t>
        </x:is>
      </x:c>
      <x:c r="E108" s="25" t="inlineStr">
        <x:is>
          <x:t xml:space="preserve">United States</x:t>
        </x:is>
      </x:c>
      <x:c r="F108" s="22" t="n">
        <x:v>1</x:v>
      </x:c>
      <x:c r="G108" s="22" t="n">
        <x:f>wimbledons_champions!G116</x:f>
        <x:v>69</x:v>
      </x:c>
      <x:c r="H108" s="25" t="str">
        <x:f>wimbledons_champions!H116</x:f>
        <x:v>9-7, 7-5,</x:v>
      </x:c>
      <x:c r="I108" s="25" t="inlineStr">
        <x:is>
          <x:t xml:space="preserve">J.A.M. Tegart</x:t>
        </x:is>
      </x:c>
      <x:c r="J108" s="22" t="inlineStr">
        <x:is>
          <x:t xml:space="preserve">AUS</x:t>
        </x:is>
      </x:c>
      <x:c r="K108" s="25" t="inlineStr">
        <x:is>
          <x:t xml:space="preserve">Australia</x:t>
        </x:is>
      </x:c>
      <x:c r="L108" s="22" t="n">
        <x:v>7</x:v>
      </x:c>
      <x:c r="M108" s="18" t="n">
        <x:v>0.5714285714285714</x:v>
      </x:c>
      <x:c r="N108" s="18" t="n"/>
      <x:c r="O108" s="19" t="inlineStr">
        <x:is>
          <x:t xml:space="preserve">9</x:t>
        </x:is>
      </x:c>
      <x:c r="P108" s="19" t="n">
        <x:v>7</x:v>
      </x:c>
      <x:c r="Q108" s="19" t="n">
        <x:v>7</x:v>
      </x:c>
      <x:c r="R108" s="19" t="n">
        <x:v>5</x:v>
      </x:c>
      <x:c r="S108" s="19" t="n"/>
      <x:c r="T108" s="19" t="n"/>
      <x:c r="U108" s="19" t="n"/>
      <x:c r="V108" s="19" t="n"/>
      <x:c r="W108" s="19" t="n"/>
      <x:c r="X108" s="19" t="n"/>
      <x:c r="Y108" s="20" t="n">
        <x:f>SUM(O108+Q108+S108+U108+W108)</x:f>
        <x:v>16</x:v>
      </x:c>
      <x:c r="Z108" s="20" t="n">
        <x:f>SUM(P108+R108+T108+V108+X108)</x:f>
        <x:v>12</x:v>
      </x:c>
      <x:c r="AA108" s="21" t="n">
        <x:f>Y108/(Y108+Z108)</x:f>
        <x:v>0.5714285714285714</x:v>
      </x:c>
    </x:row>
    <x:row r="109">
      <x:c r="A109" s="22" t="n">
        <x:f>wimbledons_champions!A117</x:f>
        <x:v>1968</x:v>
      </x:c>
      <x:c r="B109" s="25" t="str">
        <x:f>wimbledons_champions!B117</x:f>
        <x:v>Men's</x:v>
      </x:c>
      <x:c r="C109" s="25" t="inlineStr">
        <x:is>
          <x:t xml:space="preserve">R.G. Laver</x:t>
        </x:is>
      </x:c>
      <x:c r="D109" s="22" t="inlineStr">
        <x:is>
          <x:t xml:space="preserve">AUS</x:t>
        </x:is>
      </x:c>
      <x:c r="E109" s="25" t="inlineStr">
        <x:is>
          <x:t xml:space="preserve">Australia</x:t>
        </x:is>
      </x:c>
      <x:c r="F109" s="22" t="n">
        <x:v>1</x:v>
      </x:c>
      <x:c r="G109" s="22" t="n">
        <x:f>wimbledons_champions!G117</x:f>
        <x:v>60</x:v>
      </x:c>
      <x:c r="H109" s="25" t="str">
        <x:f>wimbledons_champions!H117</x:f>
        <x:v>6-3, 6-4, 6-2</x:v>
      </x:c>
      <x:c r="I109" s="25" t="inlineStr">
        <x:is>
          <x:t xml:space="preserve">A.D. Roche</x:t>
        </x:is>
      </x:c>
      <x:c r="J109" s="22" t="inlineStr">
        <x:is>
          <x:t xml:space="preserve">AUS</x:t>
        </x:is>
      </x:c>
      <x:c r="K109" s="25" t="inlineStr">
        <x:is>
          <x:t xml:space="preserve">Australia</x:t>
        </x:is>
      </x:c>
      <x:c r="L109" s="22" t="n">
        <x:v>15</x:v>
      </x:c>
      <x:c r="M109" s="18" t="n">
        <x:v>0.6666666666666666</x:v>
      </x:c>
      <x:c r="N109" s="18" t="n"/>
      <x:c r="O109" s="19" t="inlineStr">
        <x:is>
          <x:t xml:space="preserve">6</x:t>
        </x:is>
      </x:c>
      <x:c r="P109" s="19" t="n">
        <x:v>3</x:v>
      </x:c>
      <x:c r="Q109" s="19" t="n">
        <x:v>6</x:v>
      </x:c>
      <x:c r="R109" s="19" t="n">
        <x:v>4</x:v>
      </x:c>
      <x:c r="S109" s="19" t="n">
        <x:v>6</x:v>
      </x:c>
      <x:c r="T109" s="19" t="n">
        <x:v>2</x:v>
      </x:c>
      <x:c r="U109" s="19" t="n"/>
      <x:c r="V109" s="19" t="n"/>
      <x:c r="W109" s="19" t="n"/>
      <x:c r="X109" s="19" t="n"/>
      <x:c r="Y109" s="20" t="n">
        <x:f>SUM(O109+Q109+S109+U109+W109)</x:f>
        <x:v>18</x:v>
      </x:c>
      <x:c r="Z109" s="20" t="n">
        <x:f>SUM(P109+R109+T109+V109+X109)</x:f>
        <x:v>9</x:v>
      </x:c>
      <x:c r="AA109" s="21" t="n">
        <x:f>Y109/(Y109+Z109)</x:f>
        <x:v>0.6666666666666666</x:v>
      </x:c>
    </x:row>
    <x:row r="110">
      <x:c r="A110" s="22" t="n">
        <x:f>wimbledons_champions!A118</x:f>
        <x:v>1967</x:v>
      </x:c>
      <x:c r="B110" s="25" t="str">
        <x:f>wimbledons_champions!B118</x:f>
        <x:v>Women's</x:v>
      </x:c>
      <x:c r="C110" s="25" t="inlineStr">
        <x:is>
          <x:t xml:space="preserve">L.W. King</x:t>
        </x:is>
      </x:c>
      <x:c r="D110" s="22" t="inlineStr">
        <x:is>
          <x:t xml:space="preserve">USA</x:t>
        </x:is>
      </x:c>
      <x:c r="E110" s="25" t="inlineStr">
        <x:is>
          <x:t xml:space="preserve">United States</x:t>
        </x:is>
      </x:c>
      <x:c r="F110" s="22" t="n">
        <x:v>1</x:v>
      </x:c>
      <x:c r="G110" s="22" t="n">
        <x:f>wimbledons_champions!G118</x:f>
        <x:v>60</x:v>
      </x:c>
      <x:c r="H110" s="25" t="str">
        <x:f>wimbledons_champions!H118</x:f>
        <x:v>6-3, 6-4,</x:v>
      </x:c>
      <x:c r="I110" s="25" t="inlineStr">
        <x:is>
          <x:t xml:space="preserve">P.F. Jones</x:t>
        </x:is>
      </x:c>
      <x:c r="J110" s="22" t="inlineStr">
        <x:is>
          <x:t xml:space="preserve">GBR</x:t>
        </x:is>
      </x:c>
      <x:c r="K110" s="25" t="inlineStr">
        <x:is>
          <x:t xml:space="preserve">United Kingdom</x:t>
        </x:is>
      </x:c>
      <x:c r="L110" s="22" t="n">
        <x:v>3</x:v>
      </x:c>
      <x:c r="M110" s="18" t="n">
        <x:v>0.631578947368421</x:v>
      </x:c>
      <x:c r="N110" s="18" t="n"/>
      <x:c r="O110" s="19" t="inlineStr">
        <x:is>
          <x:t xml:space="preserve">6</x:t>
        </x:is>
      </x:c>
      <x:c r="P110" s="19" t="n">
        <x:v>3</x:v>
      </x:c>
      <x:c r="Q110" s="19" t="n">
        <x:v>6</x:v>
      </x:c>
      <x:c r="R110" s="19" t="n">
        <x:v>4</x:v>
      </x:c>
      <x:c r="S110" s="19" t="n"/>
      <x:c r="T110" s="19" t="n"/>
      <x:c r="U110" s="19" t="n"/>
      <x:c r="V110" s="19" t="n"/>
      <x:c r="W110" s="19" t="n"/>
      <x:c r="X110" s="19" t="n"/>
      <x:c r="Y110" s="20" t="n">
        <x:f>SUM(O110+Q110+S110+U110+W110)</x:f>
        <x:v>12</x:v>
      </x:c>
      <x:c r="Z110" s="20" t="n">
        <x:f>SUM(P110+R110+T110+V110+X110)</x:f>
        <x:v>7</x:v>
      </x:c>
      <x:c r="AA110" s="21" t="n">
        <x:f>Y110/(Y110+Z110)</x:f>
        <x:v>0.631578947368421</x:v>
      </x:c>
    </x:row>
    <x:row r="111">
      <x:c r="A111" s="22" t="n">
        <x:f>wimbledons_champions!A119</x:f>
        <x:v>1967</x:v>
      </x:c>
      <x:c r="B111" s="25" t="str">
        <x:f>wimbledons_champions!B119</x:f>
        <x:v>Men's</x:v>
      </x:c>
      <x:c r="C111" s="25" t="inlineStr">
        <x:is>
          <x:t xml:space="preserve">J.D. Newcombe</x:t>
        </x:is>
      </x:c>
      <x:c r="D111" s="22" t="inlineStr">
        <x:is>
          <x:t xml:space="preserve">AUS</x:t>
        </x:is>
      </x:c>
      <x:c r="E111" s="25" t="inlineStr">
        <x:is>
          <x:t xml:space="preserve">Australia</x:t>
        </x:is>
      </x:c>
      <x:c r="F111" s="22" t="n">
        <x:v>3</x:v>
      </x:c>
      <x:c r="G111" s="22" t="n">
        <x:f>wimbledons_champions!G119</x:f>
        <x:v>71</x:v>
      </x:c>
      <x:c r="H111" s="25" t="str">
        <x:f>wimbledons_champions!H119</x:f>
        <x:v>6-3, 6-1, 6-1</x:v>
      </x:c>
      <x:c r="I111" s="25" t="inlineStr">
        <x:is>
          <x:t xml:space="preserve">W.P. Bungert</x:t>
        </x:is>
      </x:c>
      <x:c r="J111" s="22" t="inlineStr">
        <x:is>
          <x:t xml:space="preserve">GER</x:t>
        </x:is>
      </x:c>
      <x:c r="K111" s="25" t="inlineStr">
        <x:is>
          <x:t xml:space="preserve">Germany</x:t>
        </x:is>
      </x:c>
      <x:c r="L111" s="22" t="inlineStr">
        <x:is>
          <x:t xml:space="preserve">U</x:t>
        </x:is>
      </x:c>
      <x:c r="M111" s="18" t="n">
        <x:v>0.7826086956521739</x:v>
      </x:c>
      <x:c r="N111" s="18" t="n"/>
      <x:c r="O111" s="19" t="inlineStr">
        <x:is>
          <x:t xml:space="preserve">6</x:t>
        </x:is>
      </x:c>
      <x:c r="P111" s="19" t="n">
        <x:v>3</x:v>
      </x:c>
      <x:c r="Q111" s="19" t="n">
        <x:v>6</x:v>
      </x:c>
      <x:c r="R111" s="19" t="n">
        <x:v>1</x:v>
      </x:c>
      <x:c r="S111" s="19" t="n">
        <x:v>6</x:v>
      </x:c>
      <x:c r="T111" s="19" t="n">
        <x:v>1</x:v>
      </x:c>
      <x:c r="U111" s="19" t="n"/>
      <x:c r="V111" s="19" t="n"/>
      <x:c r="W111" s="19" t="n"/>
      <x:c r="X111" s="19" t="n"/>
      <x:c r="Y111" s="20" t="n">
        <x:f>SUM(O111+Q111+S111+U111+W111)</x:f>
        <x:v>18</x:v>
      </x:c>
      <x:c r="Z111" s="20" t="n">
        <x:f>SUM(P111+R111+T111+V111+X111)</x:f>
        <x:v>5</x:v>
      </x:c>
      <x:c r="AA111" s="21" t="n">
        <x:f>Y111/(Y111+Z111)</x:f>
        <x:v>0.782608695652174</x:v>
      </x:c>
    </x:row>
    <x:row r="112">
      <x:c r="A112" s="22" t="n">
        <x:f>wimbledons_champions!A120</x:f>
        <x:v>1966</x:v>
      </x:c>
      <x:c r="B112" s="25" t="str">
        <x:f>wimbledons_champions!B120</x:f>
        <x:v>Women's</x:v>
      </x:c>
      <x:c r="C112" s="25" t="inlineStr">
        <x:is>
          <x:t xml:space="preserve">L.W. King</x:t>
        </x:is>
      </x:c>
      <x:c r="D112" s="22" t="inlineStr">
        <x:is>
          <x:t xml:space="preserve">USA</x:t>
        </x:is>
      </x:c>
      <x:c r="E112" s="25" t="inlineStr">
        <x:is>
          <x:t xml:space="preserve">United States</x:t>
        </x:is>
      </x:c>
      <x:c r="F112" s="22" t="n">
        <x:v>4</x:v>
      </x:c>
      <x:c r="G112" s="22" t="n">
        <x:f>wimbledons_champions!G120</x:f>
        <x:v>68</x:v>
      </x:c>
      <x:c r="H112" s="25" t="str">
        <x:f>wimbledons_champions!H120</x:f>
        <x:v>6-3, 3-6, 6-1,</x:v>
      </x:c>
      <x:c r="I112" s="25" t="inlineStr">
        <x:is>
          <x:t xml:space="preserve">M.E.A. Bueno</x:t>
        </x:is>
      </x:c>
      <x:c r="J112" s="22" t="inlineStr">
        <x:is>
          <x:t xml:space="preserve">BRA</x:t>
        </x:is>
      </x:c>
      <x:c r="K112" s="25" t="inlineStr">
        <x:is>
          <x:t xml:space="preserve">Brazil</x:t>
        </x:is>
      </x:c>
      <x:c r="L112" s="22" t="n">
        <x:v>2</x:v>
      </x:c>
      <x:c r="M112" s="18" t="n">
        <x:v>0.6</x:v>
      </x:c>
      <x:c r="N112" s="18" t="n"/>
      <x:c r="O112" s="19" t="inlineStr">
        <x:is>
          <x:t xml:space="preserve">6</x:t>
        </x:is>
      </x:c>
      <x:c r="P112" s="19" t="n">
        <x:v>3</x:v>
      </x:c>
      <x:c r="Q112" s="19" t="n">
        <x:v>3</x:v>
      </x:c>
      <x:c r="R112" s="19" t="n">
        <x:v>6</x:v>
      </x:c>
      <x:c r="S112" s="19" t="n">
        <x:v>6</x:v>
      </x:c>
      <x:c r="T112" s="19" t="n">
        <x:v>1</x:v>
      </x:c>
      <x:c r="U112" s="19" t="n"/>
      <x:c r="V112" s="19" t="n"/>
      <x:c r="W112" s="19" t="n"/>
      <x:c r="X112" s="19" t="n"/>
      <x:c r="Y112" s="20" t="n">
        <x:f>SUM(O112+Q112+S112+U112+W112)</x:f>
        <x:v>15</x:v>
      </x:c>
      <x:c r="Z112" s="20" t="n">
        <x:f>SUM(P112+R112+T112+V112+X112)</x:f>
        <x:v>10</x:v>
      </x:c>
      <x:c r="AA112" s="21" t="n">
        <x:f>Y112/(Y112+Z112)</x:f>
        <x:v>0.6</x:v>
      </x:c>
    </x:row>
    <x:row r="113">
      <x:c r="A113" s="22" t="n">
        <x:f>wimbledons_champions!A121</x:f>
        <x:v>1966</x:v>
      </x:c>
      <x:c r="B113" s="25" t="str">
        <x:f>wimbledons_champions!B121</x:f>
        <x:v>Men's</x:v>
      </x:c>
      <x:c r="C113" s="25" t="inlineStr">
        <x:is>
          <x:t xml:space="preserve">M.M. Santana</x:t>
        </x:is>
      </x:c>
      <x:c r="D113" s="22" t="inlineStr">
        <x:is>
          <x:t xml:space="preserve">ESP</x:t>
        </x:is>
      </x:c>
      <x:c r="E113" s="25" t="inlineStr">
        <x:is>
          <x:t xml:space="preserve">Spain</x:t>
        </x:is>
      </x:c>
      <x:c r="F113" s="22" t="n">
        <x:v>4</x:v>
      </x:c>
      <x:c r="G113" s="22" t="n">
        <x:f>wimbledons_champions!G121</x:f>
        <x:v>104</x:v>
      </x:c>
      <x:c r="H113" s="25" t="str">
        <x:f>wimbledons_champions!H121</x:f>
        <x:v>6-4, 11-9, 6-4</x:v>
      </x:c>
      <x:c r="I113" s="25" t="inlineStr">
        <x:is>
          <x:t xml:space="preserve">R.D. Ralston</x:t>
        </x:is>
      </x:c>
      <x:c r="J113" s="22" t="inlineStr">
        <x:is>
          <x:t xml:space="preserve">USA</x:t>
        </x:is>
      </x:c>
      <x:c r="K113" s="25" t="inlineStr">
        <x:is>
          <x:t xml:space="preserve">United States</x:t>
        </x:is>
      </x:c>
      <x:c r="L113" s="22" t="n">
        <x:v>6</x:v>
      </x:c>
      <x:c r="M113" s="18" t="n">
        <x:v>0.575</x:v>
      </x:c>
      <x:c r="N113" s="18" t="n"/>
      <x:c r="O113" s="19" t="inlineStr">
        <x:is>
          <x:t xml:space="preserve">6</x:t>
        </x:is>
      </x:c>
      <x:c r="P113" s="19" t="n">
        <x:v>4</x:v>
      </x:c>
      <x:c r="Q113" s="19" t="n">
        <x:v>11</x:v>
      </x:c>
      <x:c r="R113" s="19" t="n">
        <x:v>9</x:v>
      </x:c>
      <x:c r="S113" s="19" t="n">
        <x:v>6</x:v>
      </x:c>
      <x:c r="T113" s="19" t="n">
        <x:v>4</x:v>
      </x:c>
      <x:c r="U113" s="19" t="n"/>
      <x:c r="V113" s="19" t="n"/>
      <x:c r="W113" s="19" t="n"/>
      <x:c r="X113" s="19" t="n"/>
      <x:c r="Y113" s="20" t="n">
        <x:f>SUM(O113+Q113+S113+U113+W113)</x:f>
        <x:v>23</x:v>
      </x:c>
      <x:c r="Z113" s="20" t="n">
        <x:f>SUM(P113+R113+T113+V113+X113)</x:f>
        <x:v>17</x:v>
      </x:c>
      <x:c r="AA113" s="21" t="n">
        <x:f>Y113/(Y113+Z113)</x:f>
        <x:v>0.575</x:v>
      </x:c>
    </x:row>
    <x:row r="114">
      <x:c r="A114" s="22" t="n">
        <x:f>wimbledons_champions!A122</x:f>
        <x:v>1965</x:v>
      </x:c>
      <x:c r="B114" s="25" t="str">
        <x:f>wimbledons_champions!B122</x:f>
        <x:v>Women's</x:v>
      </x:c>
      <x:c r="C114" s="25" t="inlineStr">
        <x:is>
          <x:t xml:space="preserve">M. Smith</x:t>
        </x:is>
      </x:c>
      <x:c r="D114" s="22" t="inlineStr">
        <x:is>
          <x:t xml:space="preserve">AUS</x:t>
        </x:is>
      </x:c>
      <x:c r="E114" s="25" t="inlineStr">
        <x:is>
          <x:t xml:space="preserve">Australia</x:t>
        </x:is>
      </x:c>
      <x:c r="F114" s="22" t="n">
        <x:v>2</x:v>
      </x:c>
      <x:c r="G114" s="22" t="n">
        <x:f>wimbledons_champions!G122</x:f>
        <x:v>56</x:v>
      </x:c>
      <x:c r="H114" s="25" t="str">
        <x:f>wimbledons_champions!H122</x:f>
        <x:v>6-4, 7-5,</x:v>
      </x:c>
      <x:c r="I114" s="25" t="inlineStr">
        <x:is>
          <x:t xml:space="preserve">M.E.A. Bueno</x:t>
        </x:is>
      </x:c>
      <x:c r="J114" s="22" t="inlineStr">
        <x:is>
          <x:t xml:space="preserve">BRA</x:t>
        </x:is>
      </x:c>
      <x:c r="K114" s="25" t="inlineStr">
        <x:is>
          <x:t xml:space="preserve">Brazil</x:t>
        </x:is>
      </x:c>
      <x:c r="L114" s="22" t="n">
        <x:v>1</x:v>
      </x:c>
      <x:c r="M114" s="18" t="n">
        <x:v>0.5909090909090909</x:v>
      </x:c>
      <x:c r="N114" s="18" t="n"/>
      <x:c r="O114" s="19" t="inlineStr">
        <x:is>
          <x:t xml:space="preserve">6</x:t>
        </x:is>
      </x:c>
      <x:c r="P114" s="19" t="n">
        <x:v>4</x:v>
      </x:c>
      <x:c r="Q114" s="19" t="n">
        <x:v>7</x:v>
      </x:c>
      <x:c r="R114" s="19" t="n">
        <x:v>5</x:v>
      </x:c>
      <x:c r="S114" s="19" t="n"/>
      <x:c r="T114" s="19" t="n"/>
      <x:c r="U114" s="19" t="n"/>
      <x:c r="V114" s="19" t="n"/>
      <x:c r="W114" s="19" t="n"/>
      <x:c r="X114" s="19" t="n"/>
      <x:c r="Y114" s="20" t="n">
        <x:f>SUM(O114+Q114+S114+U114+W114)</x:f>
        <x:v>13</x:v>
      </x:c>
      <x:c r="Z114" s="20" t="n">
        <x:f>SUM(P114+R114+T114+V114+X114)</x:f>
        <x:v>9</x:v>
      </x:c>
      <x:c r="AA114" s="21" t="n">
        <x:f>Y114/(Y114+Z114)</x:f>
        <x:v>0.5909090909090909</x:v>
      </x:c>
    </x:row>
    <x:row r="115">
      <x:c r="A115" s="22" t="n">
        <x:f>wimbledons_champions!A123</x:f>
        <x:v>1965</x:v>
      </x:c>
      <x:c r="B115" s="25" t="str">
        <x:f>wimbledons_champions!B123</x:f>
        <x:v>Men's</x:v>
      </x:c>
      <x:c r="C115" s="25" t="inlineStr">
        <x:is>
          <x:t xml:space="preserve">R.S. Emerson</x:t>
        </x:is>
      </x:c>
      <x:c r="D115" s="22" t="inlineStr">
        <x:is>
          <x:t xml:space="preserve">AUS</x:t>
        </x:is>
      </x:c>
      <x:c r="E115" s="25" t="inlineStr">
        <x:is>
          <x:t xml:space="preserve">Australia</x:t>
        </x:is>
      </x:c>
      <x:c r="F115" s="22" t="n">
        <x:v>1</x:v>
      </x:c>
      <x:c r="G115" s="22" t="n">
        <x:f>wimbledons_champions!G123</x:f>
        <x:v>67</x:v>
      </x:c>
      <x:c r="H115" s="25" t="str">
        <x:f>wimbledons_champions!H123</x:f>
        <x:v>6-2, 6-4, 6-4</x:v>
      </x:c>
      <x:c r="I115" s="25" t="inlineStr">
        <x:is>
          <x:t xml:space="preserve">F.S. Stolle</x:t>
        </x:is>
      </x:c>
      <x:c r="J115" s="22" t="inlineStr">
        <x:is>
          <x:t xml:space="preserve">AUS</x:t>
        </x:is>
      </x:c>
      <x:c r="K115" s="25" t="inlineStr">
        <x:is>
          <x:t xml:space="preserve">Australia</x:t>
        </x:is>
      </x:c>
      <x:c r="L115" s="22" t="n">
        <x:v>2</x:v>
      </x:c>
      <x:c r="M115" s="18" t="n">
        <x:v>0.6428571428571429</x:v>
      </x:c>
      <x:c r="N115" s="18" t="n"/>
      <x:c r="O115" s="19" t="inlineStr">
        <x:is>
          <x:t xml:space="preserve">6</x:t>
        </x:is>
      </x:c>
      <x:c r="P115" s="19" t="n">
        <x:v>2</x:v>
      </x:c>
      <x:c r="Q115" s="19" t="n">
        <x:v>6</x:v>
      </x:c>
      <x:c r="R115" s="19" t="n">
        <x:v>4</x:v>
      </x:c>
      <x:c r="S115" s="19" t="n">
        <x:v>6</x:v>
      </x:c>
      <x:c r="T115" s="19" t="n">
        <x:v>4</x:v>
      </x:c>
      <x:c r="U115" s="19" t="n"/>
      <x:c r="V115" s="19" t="n"/>
      <x:c r="W115" s="19" t="n"/>
      <x:c r="X115" s="19" t="n"/>
      <x:c r="Y115" s="20" t="n">
        <x:f>SUM(O115+Q115+S115+U115+W115)</x:f>
        <x:v>18</x:v>
      </x:c>
      <x:c r="Z115" s="20" t="n">
        <x:f>SUM(P115+R115+T115+V115+X115)</x:f>
        <x:v>10</x:v>
      </x:c>
      <x:c r="AA115" s="21" t="n">
        <x:f>Y115/(Y115+Z115)</x:f>
        <x:v>0.6428571428571429</x:v>
      </x:c>
    </x:row>
    <x:row r="116">
      <x:c r="A116" s="22" t="n">
        <x:f>wimbledons_champions!A124</x:f>
        <x:v>1964</x:v>
      </x:c>
      <x:c r="B116" s="25" t="str">
        <x:f>wimbledons_champions!B124</x:f>
        <x:v>Women's</x:v>
      </x:c>
      <x:c r="C116" s="25" t="inlineStr">
        <x:is>
          <x:t xml:space="preserve">M.E.A. Bueno</x:t>
        </x:is>
      </x:c>
      <x:c r="D116" s="22" t="inlineStr">
        <x:is>
          <x:t xml:space="preserve">BRA</x:t>
        </x:is>
      </x:c>
      <x:c r="E116" s="25" t="inlineStr">
        <x:is>
          <x:t xml:space="preserve">Brazil</x:t>
        </x:is>
      </x:c>
      <x:c r="F116" s="22" t="n">
        <x:v>2</x:v>
      </x:c>
      <x:c r="G116" s="22" t="n">
        <x:f>wimbledons_champions!G124</x:f>
        <x:v>90</x:v>
      </x:c>
      <x:c r="H116" s="25" t="str">
        <x:f>wimbledons_champions!H124</x:f>
        <x:v>6-4, 7-9, 6-3,</x:v>
      </x:c>
      <x:c r="I116" s="25" t="inlineStr">
        <x:is>
          <x:t xml:space="preserve">M. Smith</x:t>
        </x:is>
      </x:c>
      <x:c r="J116" s="22" t="inlineStr">
        <x:is>
          <x:t xml:space="preserve">AUS</x:t>
        </x:is>
      </x:c>
      <x:c r="K116" s="25" t="inlineStr">
        <x:is>
          <x:t xml:space="preserve">Australia</x:t>
        </x:is>
      </x:c>
      <x:c r="L116" s="22" t="n">
        <x:v>1</x:v>
      </x:c>
      <x:c r="M116" s="18" t="n">
        <x:v>0.5428571428571428</x:v>
      </x:c>
      <x:c r="N116" s="18" t="n"/>
      <x:c r="O116" s="19" t="inlineStr">
        <x:is>
          <x:t xml:space="preserve">6</x:t>
        </x:is>
      </x:c>
      <x:c r="P116" s="19" t="n">
        <x:v>4</x:v>
      </x:c>
      <x:c r="Q116" s="19" t="n">
        <x:v>7</x:v>
      </x:c>
      <x:c r="R116" s="19" t="n">
        <x:v>9</x:v>
      </x:c>
      <x:c r="S116" s="19" t="n">
        <x:v>6</x:v>
      </x:c>
      <x:c r="T116" s="19" t="n">
        <x:v>3</x:v>
      </x:c>
      <x:c r="U116" s="19" t="n"/>
      <x:c r="V116" s="19" t="n"/>
      <x:c r="W116" s="19" t="n"/>
      <x:c r="X116" s="19" t="n"/>
      <x:c r="Y116" s="20" t="n">
        <x:f>SUM(O116+Q116+S116+U116+W116)</x:f>
        <x:v>19</x:v>
      </x:c>
      <x:c r="Z116" s="20" t="n">
        <x:f>SUM(P116+R116+T116+V116+X116)</x:f>
        <x:v>16</x:v>
      </x:c>
      <x:c r="AA116" s="21" t="n">
        <x:f>Y116/(Y116+Z116)</x:f>
        <x:v>0.5428571428571428</x:v>
      </x:c>
    </x:row>
    <x:row r="117">
      <x:c r="A117" s="22" t="n">
        <x:f>wimbledons_champions!A125</x:f>
        <x:v>1964</x:v>
      </x:c>
      <x:c r="B117" s="25" t="str">
        <x:f>wimbledons_champions!B125</x:f>
        <x:v>Men's</x:v>
      </x:c>
      <x:c r="C117" s="25" t="inlineStr">
        <x:is>
          <x:t xml:space="preserve">R.S. Emerson</x:t>
        </x:is>
      </x:c>
      <x:c r="D117" s="22" t="inlineStr">
        <x:is>
          <x:t xml:space="preserve">AUS</x:t>
        </x:is>
      </x:c>
      <x:c r="E117" s="25" t="inlineStr">
        <x:is>
          <x:t xml:space="preserve">Australia</x:t>
        </x:is>
      </x:c>
      <x:c r="F117" s="22" t="n">
        <x:v>1</x:v>
      </x:c>
      <x:c r="G117" s="22" t="n">
        <x:f>wimbledons_champions!G125</x:f>
        <x:v>127</x:v>
      </x:c>
      <x:c r="H117" s="25" t="str">
        <x:f>wimbledons_champions!H125</x:f>
        <x:v>6-4, 12-10, 4-6, 6-3</x:v>
      </x:c>
      <x:c r="I117" s="25" t="inlineStr">
        <x:is>
          <x:t xml:space="preserve">F.S. Stolle</x:t>
        </x:is>
      </x:c>
      <x:c r="J117" s="22" t="inlineStr">
        <x:is>
          <x:t xml:space="preserve">AUS</x:t>
        </x:is>
      </x:c>
      <x:c r="K117" s="25" t="inlineStr">
        <x:is>
          <x:t xml:space="preserve">Australia</x:t>
        </x:is>
      </x:c>
      <x:c r="L117" s="22" t="n">
        <x:v>6</x:v>
      </x:c>
      <x:c r="M117" s="18" t="n">
        <x:v>0.5490196078431373</x:v>
      </x:c>
      <x:c r="N117" s="18" t="n"/>
      <x:c r="O117" s="19" t="inlineStr">
        <x:is>
          <x:t xml:space="preserve">6</x:t>
        </x:is>
      </x:c>
      <x:c r="P117" s="19" t="n">
        <x:v>4</x:v>
      </x:c>
      <x:c r="Q117" s="19" t="n">
        <x:v>12</x:v>
      </x:c>
      <x:c r="R117" s="19" t="n">
        <x:v>10</x:v>
      </x:c>
      <x:c r="S117" s="19" t="n">
        <x:v>4</x:v>
      </x:c>
      <x:c r="T117" s="19" t="n">
        <x:v>6</x:v>
      </x:c>
      <x:c r="U117" s="19" t="n">
        <x:v>6</x:v>
      </x:c>
      <x:c r="V117" s="19" t="n">
        <x:v>3</x:v>
      </x:c>
      <x:c r="W117" s="19" t="n"/>
      <x:c r="X117" s="19" t="n"/>
      <x:c r="Y117" s="20" t="n">
        <x:f>SUM(O117+Q117+S117+U117+W117)</x:f>
        <x:v>28</x:v>
      </x:c>
      <x:c r="Z117" s="20" t="n">
        <x:f>SUM(P117+R117+T117+V117+X117)</x:f>
        <x:v>23</x:v>
      </x:c>
      <x:c r="AA117" s="21" t="n">
        <x:f>Y117/(Y117+Z117)</x:f>
        <x:v>0.5490196078431373</x:v>
      </x:c>
    </x:row>
    <x:row r="118">
      <x:c r="A118" s="22" t="n">
        <x:f>wimbledons_champions!A126</x:f>
        <x:v>1963</x:v>
      </x:c>
      <x:c r="B118" s="25" t="str">
        <x:f>wimbledons_champions!B126</x:f>
        <x:v>Women's</x:v>
      </x:c>
      <x:c r="C118" s="25" t="inlineStr">
        <x:is>
          <x:t xml:space="preserve">M. Smith</x:t>
        </x:is>
      </x:c>
      <x:c r="D118" s="22" t="inlineStr">
        <x:is>
          <x:t xml:space="preserve">AUS</x:t>
        </x:is>
      </x:c>
      <x:c r="E118" s="25" t="inlineStr">
        <x:is>
          <x:t xml:space="preserve">Australia</x:t>
        </x:is>
      </x:c>
      <x:c r="F118" s="22" t="n">
        <x:v>1</x:v>
      </x:c>
      <x:c r="G118" s="22" t="n">
        <x:f>wimbledons_champions!G126</x:f>
        <x:v>51</x:v>
      </x:c>
      <x:c r="H118" s="25" t="str">
        <x:f>wimbledons_champions!H126</x:f>
        <x:v>6-3, 6-4,</x:v>
      </x:c>
      <x:c r="I118" s="25" t="inlineStr">
        <x:is>
          <x:t xml:space="preserve">B.J. Moffitt</x:t>
        </x:is>
      </x:c>
      <x:c r="J118" s="22" t="inlineStr">
        <x:is>
          <x:t xml:space="preserve">USA</x:t>
        </x:is>
      </x:c>
      <x:c r="K118" s="25" t="inlineStr">
        <x:is>
          <x:t xml:space="preserve">United States</x:t>
        </x:is>
      </x:c>
      <x:c r="L118" s="22" t="inlineStr">
        <x:is>
          <x:t xml:space="preserve">U</x:t>
        </x:is>
      </x:c>
      <x:c r="M118" s="18" t="n">
        <x:v>0.631578947368421</x:v>
      </x:c>
      <x:c r="N118" s="18" t="n"/>
      <x:c r="O118" s="19" t="inlineStr">
        <x:is>
          <x:t xml:space="preserve">6</x:t>
        </x:is>
      </x:c>
      <x:c r="P118" s="19" t="n">
        <x:v>3</x:v>
      </x:c>
      <x:c r="Q118" s="19" t="n">
        <x:v>6</x:v>
      </x:c>
      <x:c r="R118" s="19" t="n">
        <x:v>4</x:v>
      </x:c>
      <x:c r="S118" s="19" t="n"/>
      <x:c r="T118" s="19" t="n"/>
      <x:c r="U118" s="19" t="n"/>
      <x:c r="V118" s="19" t="n"/>
      <x:c r="W118" s="19" t="n"/>
      <x:c r="X118" s="19" t="n"/>
      <x:c r="Y118" s="20" t="n">
        <x:f>SUM(O118+Q118+S118+U118+W118)</x:f>
        <x:v>12</x:v>
      </x:c>
      <x:c r="Z118" s="20" t="n">
        <x:f>SUM(P118+R118+T118+V118+X118)</x:f>
        <x:v>7</x:v>
      </x:c>
      <x:c r="AA118" s="21" t="n">
        <x:f>Y118/(Y118+Z118)</x:f>
        <x:v>0.631578947368421</x:v>
      </x:c>
    </x:row>
    <x:row r="119">
      <x:c r="A119" s="22" t="n">
        <x:f>wimbledons_champions!A127</x:f>
        <x:v>1963</x:v>
      </x:c>
      <x:c r="B119" s="25" t="str">
        <x:f>wimbledons_champions!B127</x:f>
        <x:v>Men's</x:v>
      </x:c>
      <x:c r="C119" s="25" t="inlineStr">
        <x:is>
          <x:t xml:space="preserve">C.R. McKinley</x:t>
        </x:is>
      </x:c>
      <x:c r="D119" s="22" t="inlineStr">
        <x:is>
          <x:t xml:space="preserve">USA</x:t>
        </x:is>
      </x:c>
      <x:c r="E119" s="25" t="inlineStr">
        <x:is>
          <x:t xml:space="preserve">United States</x:t>
        </x:is>
      </x:c>
      <x:c r="F119" s="22" t="n">
        <x:v>4</x:v>
      </x:c>
      <x:c r="G119" s="22" t="n">
        <x:f>wimbledons_champions!G127</x:f>
        <x:v>78</x:v>
      </x:c>
      <x:c r="H119" s="25" t="str">
        <x:f>wimbledons_champions!H127</x:f>
        <x:v>9-7, 6-1, 6-4</x:v>
      </x:c>
      <x:c r="I119" s="25" t="inlineStr">
        <x:is>
          <x:t xml:space="preserve">F.S. Stolle</x:t>
        </x:is>
      </x:c>
      <x:c r="J119" s="22" t="inlineStr">
        <x:is>
          <x:t xml:space="preserve">AUS</x:t>
        </x:is>
      </x:c>
      <x:c r="K119" s="25" t="inlineStr">
        <x:is>
          <x:t xml:space="preserve">Australia</x:t>
        </x:is>
      </x:c>
      <x:c r="L119" s="22" t="inlineStr">
        <x:is>
          <x:t xml:space="preserve">U</x:t>
        </x:is>
      </x:c>
      <x:c r="M119" s="18" t="n">
        <x:v>0.6363636363636364</x:v>
      </x:c>
      <x:c r="N119" s="18" t="n"/>
      <x:c r="O119" s="19" t="inlineStr">
        <x:is>
          <x:t xml:space="preserve">9</x:t>
        </x:is>
      </x:c>
      <x:c r="P119" s="19" t="n">
        <x:v>7</x:v>
      </x:c>
      <x:c r="Q119" s="19" t="n">
        <x:v>6</x:v>
      </x:c>
      <x:c r="R119" s="19" t="n">
        <x:v>1</x:v>
      </x:c>
      <x:c r="S119" s="19" t="n">
        <x:v>6</x:v>
      </x:c>
      <x:c r="T119" s="19" t="n">
        <x:v>4</x:v>
      </x:c>
      <x:c r="U119" s="19" t="n"/>
      <x:c r="V119" s="19" t="n"/>
      <x:c r="W119" s="19" t="n"/>
      <x:c r="X119" s="19" t="n"/>
      <x:c r="Y119" s="20" t="n">
        <x:f>SUM(O119+Q119+S119+U119+W119)</x:f>
        <x:v>21</x:v>
      </x:c>
      <x:c r="Z119" s="20" t="n">
        <x:f>SUM(P119+R119+T119+V119+X119)</x:f>
        <x:v>12</x:v>
      </x:c>
      <x:c r="AA119" s="21" t="n">
        <x:f>Y119/(Y119+Z119)</x:f>
        <x:v>0.6363636363636364</x:v>
      </x:c>
    </x:row>
    <x:row r="120">
      <x:c r="A120" s="22" t="n">
        <x:f>wimbledons_champions!A128</x:f>
        <x:v>1962</x:v>
      </x:c>
      <x:c r="B120" s="25" t="str">
        <x:f>wimbledons_champions!B128</x:f>
        <x:v>Women's</x:v>
      </x:c>
      <x:c r="C120" s="25" t="inlineStr">
        <x:is>
          <x:t xml:space="preserve">J.R. Susman</x:t>
        </x:is>
      </x:c>
      <x:c r="D120" s="22" t="inlineStr">
        <x:is>
          <x:t xml:space="preserve">USA</x:t>
        </x:is>
      </x:c>
      <x:c r="E120" s="25" t="inlineStr">
        <x:is>
          <x:t xml:space="preserve">United States</x:t>
        </x:is>
      </x:c>
      <x:c r="F120" s="22" t="n">
        <x:v>8</x:v>
      </x:c>
      <x:c r="G120" s="22" t="n">
        <x:f>wimbledons_champions!G128</x:f>
        <x:v>57</x:v>
      </x:c>
      <x:c r="H120" s="25" t="str">
        <x:f>wimbledons_champions!H128</x:f>
        <x:v>6-4, 6-4,</x:v>
      </x:c>
      <x:c r="I120" s="25" t="inlineStr">
        <x:is>
          <x:t xml:space="preserve">C. Sukova</x:t>
        </x:is>
      </x:c>
      <x:c r="J120" s="22" t="inlineStr">
        <x:is>
          <x:t xml:space="preserve">TCH</x:t>
        </x:is>
      </x:c>
      <x:c r="K120" s="25" t="inlineStr">
        <x:is>
          <x:t xml:space="preserve">Czechoslovakia</x:t>
        </x:is>
      </x:c>
      <x:c r="L120" s="22" t="inlineStr">
        <x:is>
          <x:t xml:space="preserve">U</x:t>
        </x:is>
      </x:c>
      <x:c r="M120" s="18" t="n">
        <x:v>0.6</x:v>
      </x:c>
      <x:c r="N120" s="18" t="n"/>
      <x:c r="O120" s="19" t="inlineStr">
        <x:is>
          <x:t xml:space="preserve">6</x:t>
        </x:is>
      </x:c>
      <x:c r="P120" s="19" t="n">
        <x:v>4</x:v>
      </x:c>
      <x:c r="Q120" s="19" t="n">
        <x:v>6</x:v>
      </x:c>
      <x:c r="R120" s="19" t="n">
        <x:v>4</x:v>
      </x:c>
      <x:c r="S120" s="19" t="n"/>
      <x:c r="T120" s="19" t="n"/>
      <x:c r="U120" s="19" t="n"/>
      <x:c r="V120" s="19" t="n"/>
      <x:c r="W120" s="19" t="n"/>
      <x:c r="X120" s="19" t="n"/>
      <x:c r="Y120" s="20" t="n">
        <x:f>SUM(O120+Q120+S120+U120+W120)</x:f>
        <x:v>12</x:v>
      </x:c>
      <x:c r="Z120" s="20" t="n">
        <x:f>SUM(P120+R120+T120+V120+X120)</x:f>
        <x:v>8</x:v>
      </x:c>
      <x:c r="AA120" s="21" t="n">
        <x:f>Y120/(Y120+Z120)</x:f>
        <x:v>0.6</x:v>
      </x:c>
    </x:row>
    <x:row r="121">
      <x:c r="A121" s="22" t="n">
        <x:f>wimbledons_champions!A129</x:f>
        <x:v>1962</x:v>
      </x:c>
      <x:c r="B121" s="25" t="str">
        <x:f>wimbledons_champions!B129</x:f>
        <x:v>Men's</x:v>
      </x:c>
      <x:c r="C121" s="25" t="inlineStr">
        <x:is>
          <x:t xml:space="preserve">R.G. Laver</x:t>
        </x:is>
      </x:c>
      <x:c r="D121" s="22" t="inlineStr">
        <x:is>
          <x:t xml:space="preserve">AUS</x:t>
        </x:is>
      </x:c>
      <x:c r="E121" s="25" t="inlineStr">
        <x:is>
          <x:t xml:space="preserve">Australia</x:t>
        </x:is>
      </x:c>
      <x:c r="F121" s="22" t="n">
        <x:v>1</x:v>
      </x:c>
      <x:c r="G121" s="22" t="n">
        <x:f>wimbledons_champions!G129</x:f>
        <x:v>51</x:v>
      </x:c>
      <x:c r="H121" s="25" t="str">
        <x:f>wimbledons_champions!H129</x:f>
        <x:v>6-2, 6-2, 6-1</x:v>
      </x:c>
      <x:c r="I121" s="25" t="inlineStr">
        <x:is>
          <x:t xml:space="preserve">M.F. Mulligan</x:t>
        </x:is>
      </x:c>
      <x:c r="J121" s="22" t="inlineStr">
        <x:is>
          <x:t xml:space="preserve">AUS</x:t>
        </x:is>
      </x:c>
      <x:c r="K121" s="25" t="inlineStr">
        <x:is>
          <x:t xml:space="preserve">Australia</x:t>
        </x:is>
      </x:c>
      <x:c r="L121" s="22" t="inlineStr">
        <x:is>
          <x:t xml:space="preserve">U</x:t>
        </x:is>
      </x:c>
      <x:c r="M121" s="18" t="n">
        <x:v>0.7826086956521739</x:v>
      </x:c>
      <x:c r="N121" s="18" t="n"/>
      <x:c r="O121" s="19" t="inlineStr">
        <x:is>
          <x:t xml:space="preserve">6</x:t>
        </x:is>
      </x:c>
      <x:c r="P121" s="19" t="n">
        <x:v>2</x:v>
      </x:c>
      <x:c r="Q121" s="19" t="n">
        <x:v>6</x:v>
      </x:c>
      <x:c r="R121" s="19" t="n">
        <x:v>2</x:v>
      </x:c>
      <x:c r="S121" s="19" t="n">
        <x:v>6</x:v>
      </x:c>
      <x:c r="T121" s="19" t="n">
        <x:v>1</x:v>
      </x:c>
      <x:c r="U121" s="19" t="n"/>
      <x:c r="V121" s="19" t="n"/>
      <x:c r="W121" s="19" t="n"/>
      <x:c r="X121" s="19" t="n"/>
      <x:c r="Y121" s="20" t="n">
        <x:f>SUM(O121+Q121+S121+U121+W121)</x:f>
        <x:v>18</x:v>
      </x:c>
      <x:c r="Z121" s="20" t="n">
        <x:f>SUM(P121+R121+T121+V121+X121)</x:f>
        <x:v>5</x:v>
      </x:c>
      <x:c r="AA121" s="21" t="n">
        <x:f>Y121/(Y121+Z121)</x:f>
        <x:v>0.782608695652174</x:v>
      </x:c>
    </x:row>
    <x:row r="122">
      <x:c r="A122" s="22" t="n">
        <x:f>wimbledons_champions!A130</x:f>
        <x:v>1961</x:v>
      </x:c>
      <x:c r="B122" s="25" t="str">
        <x:f>wimbledons_champions!B130</x:f>
        <x:v>Women's</x:v>
      </x:c>
      <x:c r="C122" s="25" t="inlineStr">
        <x:is>
          <x:t xml:space="preserve">F.A.M. Mortimer</x:t>
        </x:is>
      </x:c>
      <x:c r="D122" s="22" t="inlineStr">
        <x:is>
          <x:t xml:space="preserve">GBR</x:t>
        </x:is>
      </x:c>
      <x:c r="E122" s="25" t="inlineStr">
        <x:is>
          <x:t xml:space="preserve">United Kingdom</x:t>
        </x:is>
      </x:c>
      <x:c r="F122" s="22" t="n">
        <x:v>7</x:v>
      </x:c>
      <x:c r="G122" s="22" t="n">
        <x:f>wimbledons_champions!G130</x:f>
        <x:v>96</x:v>
      </x:c>
      <x:c r="H122" s="25" t="str">
        <x:f>wimbledons_champions!H130</x:f>
        <x:v>4-6, 6-4, 7-5,</x:v>
      </x:c>
      <x:c r="I122" s="25" t="inlineStr">
        <x:is>
          <x:t xml:space="preserve">C.C. Truman</x:t>
        </x:is>
      </x:c>
      <x:c r="J122" s="22" t="inlineStr">
        <x:is>
          <x:t xml:space="preserve">GBR</x:t>
        </x:is>
      </x:c>
      <x:c r="K122" s="25" t="inlineStr">
        <x:is>
          <x:t xml:space="preserve">United Kingdom</x:t>
        </x:is>
      </x:c>
      <x:c r="L122" s="22" t="n">
        <x:v>6</x:v>
      </x:c>
      <x:c r="M122" s="18" t="n">
        <x:v>0.53125</x:v>
      </x:c>
      <x:c r="N122" s="18" t="n"/>
      <x:c r="O122" s="19" t="inlineStr">
        <x:is>
          <x:t xml:space="preserve">4</x:t>
        </x:is>
      </x:c>
      <x:c r="P122" s="19" t="n">
        <x:v>6</x:v>
      </x:c>
      <x:c r="Q122" s="19" t="n">
        <x:v>6</x:v>
      </x:c>
      <x:c r="R122" s="19" t="n">
        <x:v>4</x:v>
      </x:c>
      <x:c r="S122" s="19" t="n">
        <x:v>7</x:v>
      </x:c>
      <x:c r="T122" s="19" t="n">
        <x:v>5</x:v>
      </x:c>
      <x:c r="U122" s="19" t="n"/>
      <x:c r="V122" s="19" t="n"/>
      <x:c r="W122" s="19" t="n"/>
      <x:c r="X122" s="19" t="n"/>
      <x:c r="Y122" s="20" t="n">
        <x:f>SUM(O122+Q122+S122+U122+W122)</x:f>
        <x:v>17</x:v>
      </x:c>
      <x:c r="Z122" s="20" t="n">
        <x:f>SUM(P122+R122+T122+V122+X122)</x:f>
        <x:v>15</x:v>
      </x:c>
      <x:c r="AA122" s="21" t="n">
        <x:f>Y122/(Y122+Z122)</x:f>
        <x:v>0.53125</x:v>
      </x:c>
    </x:row>
    <x:row r="123">
      <x:c r="A123" s="22" t="n">
        <x:f>wimbledons_champions!A131</x:f>
        <x:v>1961</x:v>
      </x:c>
      <x:c r="B123" s="25" t="str">
        <x:f>wimbledons_champions!B131</x:f>
        <x:v>Men's</x:v>
      </x:c>
      <x:c r="C123" s="25" t="inlineStr">
        <x:is>
          <x:t xml:space="preserve">R.G. Laver</x:t>
        </x:is>
      </x:c>
      <x:c r="D123" s="22" t="inlineStr">
        <x:is>
          <x:t xml:space="preserve">AUS</x:t>
        </x:is>
      </x:c>
      <x:c r="E123" s="25" t="inlineStr">
        <x:is>
          <x:t xml:space="preserve">Australia</x:t>
        </x:is>
      </x:c>
      <x:c r="F123" s="22" t="n">
        <x:v>2</x:v>
      </x:c>
      <x:c r="G123" s="22" t="n">
        <x:f>wimbledons_champions!G131</x:f>
        <x:v>55</x:v>
      </x:c>
      <x:c r="H123" s="25" t="str">
        <x:f>wimbledons_champions!H131</x:f>
        <x:v>6-3, 6-1, 6-4</x:v>
      </x:c>
      <x:c r="I123" s="25" t="inlineStr">
        <x:is>
          <x:t xml:space="preserve">C.R. McKinley</x:t>
        </x:is>
      </x:c>
      <x:c r="J123" s="22" t="inlineStr">
        <x:is>
          <x:t xml:space="preserve">USA</x:t>
        </x:is>
      </x:c>
      <x:c r="K123" s="25" t="inlineStr">
        <x:is>
          <x:t xml:space="preserve">United States</x:t>
        </x:is>
      </x:c>
      <x:c r="L123" s="22" t="n">
        <x:v>8</x:v>
      </x:c>
      <x:c r="M123" s="18" t="n">
        <x:v>0.6923076923076923</x:v>
      </x:c>
      <x:c r="N123" s="18" t="n"/>
      <x:c r="O123" s="19" t="inlineStr">
        <x:is>
          <x:t xml:space="preserve">6</x:t>
        </x:is>
      </x:c>
      <x:c r="P123" s="19" t="n">
        <x:v>3</x:v>
      </x:c>
      <x:c r="Q123" s="19" t="n">
        <x:v>6</x:v>
      </x:c>
      <x:c r="R123" s="19" t="n">
        <x:v>1</x:v>
      </x:c>
      <x:c r="S123" s="19" t="n">
        <x:v>6</x:v>
      </x:c>
      <x:c r="T123" s="19" t="n">
        <x:v>4</x:v>
      </x:c>
      <x:c r="U123" s="19" t="n"/>
      <x:c r="V123" s="19" t="n"/>
      <x:c r="W123" s="19" t="n"/>
      <x:c r="X123" s="19" t="n"/>
      <x:c r="Y123" s="20" t="n">
        <x:f>SUM(O123+Q123+S123+U123+W123)</x:f>
        <x:v>18</x:v>
      </x:c>
      <x:c r="Z123" s="20" t="n">
        <x:f>SUM(P123+R123+T123+V123+X123)</x:f>
        <x:v>8</x:v>
      </x:c>
      <x:c r="AA123" s="21" t="n">
        <x:f>Y123/(Y123+Z123)</x:f>
        <x:v>0.6923076923076923</x:v>
      </x:c>
    </x:row>
    <x:row r="124">
      <x:c r="A124" s="22" t="n">
        <x:f>wimbledons_champions!A132</x:f>
        <x:v>1960</x:v>
      </x:c>
      <x:c r="B124" s="25" t="str">
        <x:f>wimbledons_champions!B132</x:f>
        <x:v>Women's</x:v>
      </x:c>
      <x:c r="C124" s="25" t="inlineStr">
        <x:is>
          <x:t xml:space="preserve">M.E.A. Bueno</x:t>
        </x:is>
      </x:c>
      <x:c r="D124" s="22" t="inlineStr">
        <x:is>
          <x:t xml:space="preserve">BRA</x:t>
        </x:is>
      </x:c>
      <x:c r="E124" s="25" t="inlineStr">
        <x:is>
          <x:t xml:space="preserve">Brazil</x:t>
        </x:is>
      </x:c>
      <x:c r="F124" s="22" t="n">
        <x:v>1</x:v>
      </x:c>
      <x:c r="G124" s="22" t="n">
        <x:f>wimbledons_champions!G132</x:f>
        <x:v>59</x:v>
      </x:c>
      <x:c r="H124" s="25" t="str">
        <x:f>wimbledons_champions!H132</x:f>
        <x:v>8-6, 6-0</x:v>
      </x:c>
      <x:c r="I124" s="25" t="inlineStr">
        <x:is>
          <x:t xml:space="preserve">S. Reynolds</x:t>
        </x:is>
      </x:c>
      <x:c r="J124" s="22" t="inlineStr">
        <x:is>
          <x:t xml:space="preserve">RSA</x:t>
        </x:is>
      </x:c>
      <x:c r="K124" s="25" t="inlineStr">
        <x:is>
          <x:t xml:space="preserve">South Africa</x:t>
        </x:is>
      </x:c>
      <x:c r="L124" s="22" t="n">
        <x:v>8</x:v>
      </x:c>
      <x:c r="M124" s="18" t="n">
        <x:v>0.7</x:v>
      </x:c>
      <x:c r="N124" s="18" t="n"/>
      <x:c r="O124" s="19" t="inlineStr">
        <x:is>
          <x:t xml:space="preserve">8</x:t>
        </x:is>
      </x:c>
      <x:c r="P124" s="19" t="n">
        <x:v>6</x:v>
      </x:c>
      <x:c r="Q124" s="19" t="n">
        <x:v>6</x:v>
      </x:c>
      <x:c r="R124" s="19" t="n">
        <x:v>0</x:v>
      </x:c>
      <x:c r="S124" s="19" t="n"/>
      <x:c r="T124" s="19" t="n"/>
      <x:c r="U124" s="19" t="n"/>
      <x:c r="V124" s="19" t="n"/>
      <x:c r="W124" s="19" t="n"/>
      <x:c r="X124" s="19" t="n"/>
      <x:c r="Y124" s="20" t="n">
        <x:f>SUM(O124+Q124+S124+U124+W124)</x:f>
        <x:v>14</x:v>
      </x:c>
      <x:c r="Z124" s="20" t="n">
        <x:f>SUM(P124+R124+T124+V124+X124)</x:f>
        <x:v>6</x:v>
      </x:c>
      <x:c r="AA124" s="21" t="n">
        <x:f>Y124/(Y124+Z124)</x:f>
        <x:v>0.7</x:v>
      </x:c>
    </x:row>
    <x:row r="125">
      <x:c r="A125" s="22" t="n">
        <x:f>wimbledons_champions!A133</x:f>
        <x:v>1960</x:v>
      </x:c>
      <x:c r="B125" s="25" t="str">
        <x:f>wimbledons_champions!B133</x:f>
        <x:v>Men's</x:v>
      </x:c>
      <x:c r="C125" s="25" t="inlineStr">
        <x:is>
          <x:t xml:space="preserve">N.A. Fraser</x:t>
        </x:is>
      </x:c>
      <x:c r="D125" s="22" t="inlineStr">
        <x:is>
          <x:t xml:space="preserve">AUS</x:t>
        </x:is>
      </x:c>
      <x:c r="E125" s="25" t="inlineStr">
        <x:is>
          <x:t xml:space="preserve">Australia</x:t>
        </x:is>
      </x:c>
      <x:c r="F125" s="22" t="n">
        <x:v>1</x:v>
      </x:c>
      <x:c r="G125" s="22" t="n">
        <x:f>wimbledons_champions!G133</x:f>
        <x:v>130</x:v>
      </x:c>
      <x:c r="H125" s="25" t="str">
        <x:f>wimbledons_champions!H133</x:f>
        <x:v>6-4, 3-6, 9-7, 7-5</x:v>
      </x:c>
      <x:c r="I125" s="25" t="inlineStr">
        <x:is>
          <x:t xml:space="preserve">R.G. Laver</x:t>
        </x:is>
      </x:c>
      <x:c r="J125" s="22" t="inlineStr">
        <x:is>
          <x:t xml:space="preserve">AUS</x:t>
        </x:is>
      </x:c>
      <x:c r="K125" s="25" t="inlineStr">
        <x:is>
          <x:t xml:space="preserve">Australia</x:t>
        </x:is>
      </x:c>
      <x:c r="L125" s="22" t="n">
        <x:v>3</x:v>
      </x:c>
      <x:c r="M125" s="18" t="n">
        <x:v>0.5319148936170213</x:v>
      </x:c>
      <x:c r="N125" s="18" t="n"/>
      <x:c r="O125" s="19" t="inlineStr">
        <x:is>
          <x:t xml:space="preserve">6</x:t>
        </x:is>
      </x:c>
      <x:c r="P125" s="19" t="n">
        <x:v>4</x:v>
      </x:c>
      <x:c r="Q125" s="19" t="n">
        <x:v>3</x:v>
      </x:c>
      <x:c r="R125" s="19" t="n">
        <x:v>6</x:v>
      </x:c>
      <x:c r="S125" s="19" t="n">
        <x:v>9</x:v>
      </x:c>
      <x:c r="T125" s="19" t="n">
        <x:v>7</x:v>
      </x:c>
      <x:c r="U125" s="19" t="n">
        <x:v>7</x:v>
      </x:c>
      <x:c r="V125" s="19" t="n">
        <x:v>5</x:v>
      </x:c>
      <x:c r="W125" s="19" t="n"/>
      <x:c r="X125" s="19" t="n"/>
      <x:c r="Y125" s="20" t="n">
        <x:f>SUM(O125+Q125+S125+U125+W125)</x:f>
        <x:v>25</x:v>
      </x:c>
      <x:c r="Z125" s="20" t="n">
        <x:f>SUM(P125+R125+T125+V125+X125)</x:f>
        <x:v>22</x:v>
      </x:c>
      <x:c r="AA125" s="21" t="n">
        <x:f>Y125/(Y125+Z125)</x:f>
        <x:v>0.5319148936170213</x:v>
      </x:c>
    </x:row>
    <x:row r="126">
      <x:c r="A126" s="22" t="n">
        <x:f>wimbledons_champions!A134</x:f>
        <x:v>1959</x:v>
      </x:c>
      <x:c r="B126" s="25" t="str">
        <x:f>wimbledons_champions!B134</x:f>
        <x:v>Women's</x:v>
      </x:c>
      <x:c r="C126" s="25" t="inlineStr">
        <x:is>
          <x:t xml:space="preserve">M.E.A. Bueno</x:t>
        </x:is>
      </x:c>
      <x:c r="D126" s="22" t="inlineStr">
        <x:is>
          <x:t xml:space="preserve">BRA</x:t>
        </x:is>
      </x:c>
      <x:c r="E126" s="25" t="inlineStr">
        <x:is>
          <x:t xml:space="preserve">Brazil</x:t>
        </x:is>
      </x:c>
      <x:c r="F126" s="22" t="n">
        <x:v>6</x:v>
      </x:c>
      <x:c r="G126" s="22" t="n">
        <x:f>wimbledons_champions!G134</x:f>
        <x:v>43</x:v>
      </x:c>
      <x:c r="H126" s="25" t="str">
        <x:f>wimbledons_champions!H134</x:f>
        <x:v>6-4, 6-3,</x:v>
      </x:c>
      <x:c r="I126" s="25" t="inlineStr">
        <x:is>
          <x:t xml:space="preserve">D.R. Hard</x:t>
        </x:is>
      </x:c>
      <x:c r="J126" s="22" t="inlineStr">
        <x:is>
          <x:t xml:space="preserve">USA</x:t>
        </x:is>
      </x:c>
      <x:c r="K126" s="25" t="inlineStr">
        <x:is>
          <x:t xml:space="preserve">United States</x:t>
        </x:is>
      </x:c>
      <x:c r="L126" s="22" t="n">
        <x:v>4</x:v>
      </x:c>
      <x:c r="M126" s="18" t="n">
        <x:v>0.631578947368421</x:v>
      </x:c>
      <x:c r="N126" s="18" t="n"/>
      <x:c r="O126" s="19" t="inlineStr">
        <x:is>
          <x:t xml:space="preserve">6</x:t>
        </x:is>
      </x:c>
      <x:c r="P126" s="19" t="n">
        <x:v>4</x:v>
      </x:c>
      <x:c r="Q126" s="19" t="n">
        <x:v>6</x:v>
      </x:c>
      <x:c r="R126" s="19" t="n">
        <x:v>3</x:v>
      </x:c>
      <x:c r="S126" s="19" t="n"/>
      <x:c r="T126" s="19" t="n"/>
      <x:c r="U126" s="19" t="n"/>
      <x:c r="V126" s="19" t="n"/>
      <x:c r="W126" s="19" t="n"/>
      <x:c r="X126" s="19" t="n"/>
      <x:c r="Y126" s="20" t="n">
        <x:f>SUM(O126+Q126+S126+U126+W126)</x:f>
        <x:v>12</x:v>
      </x:c>
      <x:c r="Z126" s="20" t="n">
        <x:f>SUM(P126+R126+T126+V126+X126)</x:f>
        <x:v>7</x:v>
      </x:c>
      <x:c r="AA126" s="21" t="n">
        <x:f>Y126/(Y126+Z126)</x:f>
        <x:v>0.631578947368421</x:v>
      </x:c>
    </x:row>
    <x:row r="127">
      <x:c r="A127" s="22" t="n">
        <x:f>wimbledons_champions!A135</x:f>
        <x:v>1959</x:v>
      </x:c>
      <x:c r="B127" s="25" t="str">
        <x:f>wimbledons_champions!B135</x:f>
        <x:v>Men's</x:v>
      </x:c>
      <x:c r="C127" s="25" t="inlineStr">
        <x:is>
          <x:t xml:space="preserve">A.R. Olmedo</x:t>
        </x:is>
      </x:c>
      <x:c r="D127" s="22" t="inlineStr">
        <x:is>
          <x:t xml:space="preserve">USA</x:t>
        </x:is>
      </x:c>
      <x:c r="E127" s="25" t="inlineStr">
        <x:is>
          <x:t xml:space="preserve">United States</x:t>
        </x:is>
      </x:c>
      <x:c r="F127" s="22" t="n">
        <x:v>1</x:v>
      </x:c>
      <x:c r="G127" s="22" t="n">
        <x:f>wimbledons_champions!G135</x:f>
        <x:v>71</x:v>
      </x:c>
      <x:c r="H127" s="25" t="str">
        <x:f>wimbledons_champions!H135</x:f>
        <x:v>6-4, 6-3, 6-4</x:v>
      </x:c>
      <x:c r="I127" s="25" t="inlineStr">
        <x:is>
          <x:t xml:space="preserve">R.G. Laver</x:t>
        </x:is>
      </x:c>
      <x:c r="J127" s="22" t="inlineStr">
        <x:is>
          <x:t xml:space="preserve">AUS</x:t>
        </x:is>
      </x:c>
      <x:c r="K127" s="25" t="inlineStr">
        <x:is>
          <x:t xml:space="preserve">Australia</x:t>
        </x:is>
      </x:c>
      <x:c r="L127" s="22" t="inlineStr">
        <x:is>
          <x:t xml:space="preserve">U</x:t>
        </x:is>
      </x:c>
      <x:c r="M127" s="18" t="n">
        <x:v>0.6206896551724138</x:v>
      </x:c>
      <x:c r="N127" s="18" t="n"/>
      <x:c r="O127" s="19" t="inlineStr">
        <x:is>
          <x:t xml:space="preserve">6</x:t>
        </x:is>
      </x:c>
      <x:c r="P127" s="19" t="n">
        <x:v>4</x:v>
      </x:c>
      <x:c r="Q127" s="19" t="n">
        <x:v>6</x:v>
      </x:c>
      <x:c r="R127" s="19" t="n">
        <x:v>3</x:v>
      </x:c>
      <x:c r="S127" s="19" t="n">
        <x:v>6</x:v>
      </x:c>
      <x:c r="T127" s="19" t="n">
        <x:v>4</x:v>
      </x:c>
      <x:c r="U127" s="19" t="n"/>
      <x:c r="V127" s="19" t="n"/>
      <x:c r="W127" s="19" t="n"/>
      <x:c r="X127" s="19" t="n"/>
      <x:c r="Y127" s="20" t="n">
        <x:f>SUM(O127+Q127+S127+U127+W127)</x:f>
        <x:v>18</x:v>
      </x:c>
      <x:c r="Z127" s="20" t="n">
        <x:f>SUM(P127+R127+T127+V127+X127)</x:f>
        <x:v>11</x:v>
      </x:c>
      <x:c r="AA127" s="21" t="n">
        <x:f>Y127/(Y127+Z127)</x:f>
        <x:v>0.6206896551724138</x:v>
      </x:c>
    </x:row>
    <x:row r="128">
      <x:c r="A128" s="22" t="n">
        <x:f>wimbledons_champions!A136</x:f>
        <x:v>1958</x:v>
      </x:c>
      <x:c r="B128" s="25" t="str">
        <x:f>wimbledons_champions!B136</x:f>
        <x:v>Women's</x:v>
      </x:c>
      <x:c r="C128" s="25" t="inlineStr">
        <x:is>
          <x:t xml:space="preserve">A. Gibson</x:t>
        </x:is>
      </x:c>
      <x:c r="D128" s="22" t="inlineStr">
        <x:is>
          <x:t xml:space="preserve">USA</x:t>
        </x:is>
      </x:c>
      <x:c r="E128" s="25" t="inlineStr">
        <x:is>
          <x:t xml:space="preserve">United States</x:t>
        </x:is>
      </x:c>
      <x:c r="F128" s="22" t="n">
        <x:v>1</x:v>
      </x:c>
      <x:c r="G128" s="22" t="n">
        <x:f>wimbledons_champions!G136</x:f>
        <x:v>62</x:v>
      </x:c>
      <x:c r="H128" s="25" t="str">
        <x:f>wimbledons_champions!H136</x:f>
        <x:v>8-6, 6-2,</x:v>
      </x:c>
      <x:c r="I128" s="25" t="inlineStr">
        <x:is>
          <x:t xml:space="preserve">F.A.M. Mortimer</x:t>
        </x:is>
      </x:c>
      <x:c r="J128" s="22" t="inlineStr">
        <x:is>
          <x:t xml:space="preserve">GBR</x:t>
        </x:is>
      </x:c>
      <x:c r="K128" s="25" t="inlineStr">
        <x:is>
          <x:t xml:space="preserve">United Kingdom</x:t>
        </x:is>
      </x:c>
      <x:c r="L128" s="22" t="inlineStr">
        <x:is>
          <x:t xml:space="preserve">U</x:t>
        </x:is>
      </x:c>
      <x:c r="M128" s="18" t="n">
        <x:v>0.6363636363636364</x:v>
      </x:c>
      <x:c r="N128" s="18" t="n"/>
      <x:c r="O128" s="19" t="inlineStr">
        <x:is>
          <x:t xml:space="preserve">8</x:t>
        </x:is>
      </x:c>
      <x:c r="P128" s="19" t="n">
        <x:v>6</x:v>
      </x:c>
      <x:c r="Q128" s="19" t="n">
        <x:v>6</x:v>
      </x:c>
      <x:c r="R128" s="19" t="n">
        <x:v>2</x:v>
      </x:c>
      <x:c r="S128" s="19" t="n"/>
      <x:c r="T128" s="19" t="n"/>
      <x:c r="U128" s="19" t="n"/>
      <x:c r="V128" s="19" t="n"/>
      <x:c r="W128" s="19" t="n"/>
      <x:c r="X128" s="19" t="n"/>
      <x:c r="Y128" s="20" t="n">
        <x:f>SUM(O128+Q128+S128+U128+W128)</x:f>
        <x:v>14</x:v>
      </x:c>
      <x:c r="Z128" s="20" t="n">
        <x:f>SUM(P128+R128+T128+V128+X128)</x:f>
        <x:v>8</x:v>
      </x:c>
      <x:c r="AA128" s="21" t="n">
        <x:f>Y128/(Y128+Z128)</x:f>
        <x:v>0.6363636363636364</x:v>
      </x:c>
    </x:row>
    <x:row r="129">
      <x:c r="A129" s="22" t="n">
        <x:f>wimbledons_champions!A137</x:f>
        <x:v>1958</x:v>
      </x:c>
      <x:c r="B129" s="25" t="str">
        <x:f>wimbledons_champions!B137</x:f>
        <x:v>Men's</x:v>
      </x:c>
      <x:c r="C129" s="25" t="inlineStr">
        <x:is>
          <x:t xml:space="preserve">A.J. Cooper</x:t>
        </x:is>
      </x:c>
      <x:c r="D129" s="22" t="inlineStr">
        <x:is>
          <x:t xml:space="preserve">AUS</x:t>
        </x:is>
      </x:c>
      <x:c r="E129" s="25" t="inlineStr">
        <x:is>
          <x:t xml:space="preserve">Australia</x:t>
        </x:is>
      </x:c>
      <x:c r="F129" s="22" t="n">
        <x:v>1</x:v>
      </x:c>
      <x:c r="G129" s="22" t="n">
        <x:f>wimbledons_champions!G137</x:f>
        <x:v>130</x:v>
      </x:c>
      <x:c r="H129" s="25" t="str">
        <x:f>wimbledons_champions!H137</x:f>
        <x:v>3-6, 6-3, 6-4, 13-11</x:v>
      </x:c>
      <x:c r="I129" s="25" t="inlineStr">
        <x:is>
          <x:t xml:space="preserve">N.A. Fraser</x:t>
        </x:is>
      </x:c>
      <x:c r="J129" s="22" t="inlineStr">
        <x:is>
          <x:t xml:space="preserve">AUS</x:t>
        </x:is>
      </x:c>
      <x:c r="K129" s="25" t="inlineStr">
        <x:is>
          <x:t xml:space="preserve">Australia</x:t>
        </x:is>
      </x:c>
      <x:c r="L129" s="22" t="n">
        <x:v>4</x:v>
      </x:c>
      <x:c r="M129" s="18" t="n">
        <x:v>0.5384615384615384</x:v>
      </x:c>
      <x:c r="N129" s="18" t="n"/>
      <x:c r="O129" s="19" t="inlineStr">
        <x:is>
          <x:t xml:space="preserve">3</x:t>
        </x:is>
      </x:c>
      <x:c r="P129" s="19" t="n">
        <x:v>6</x:v>
      </x:c>
      <x:c r="Q129" s="19" t="n">
        <x:v>6</x:v>
      </x:c>
      <x:c r="R129" s="19" t="n">
        <x:v>3</x:v>
      </x:c>
      <x:c r="S129" s="19" t="n">
        <x:v>6</x:v>
      </x:c>
      <x:c r="T129" s="19" t="n">
        <x:v>4</x:v>
      </x:c>
      <x:c r="U129" s="19" t="n">
        <x:v>13</x:v>
      </x:c>
      <x:c r="V129" s="19" t="n">
        <x:v>11</x:v>
      </x:c>
      <x:c r="W129" s="19" t="n"/>
      <x:c r="X129" s="19" t="n"/>
      <x:c r="Y129" s="20" t="n">
        <x:f>SUM(O129+Q129+S129+U129+W129)</x:f>
        <x:v>28</x:v>
      </x:c>
      <x:c r="Z129" s="20" t="n">
        <x:f>SUM(P129+R129+T129+V129+X129)</x:f>
        <x:v>24</x:v>
      </x:c>
      <x:c r="AA129" s="21" t="n">
        <x:f>Y129/(Y129+Z129)</x:f>
        <x:v>0.5384615384615384</x:v>
      </x:c>
    </x:row>
    <x:row r="130">
      <x:c r="A130" s="22" t="n">
        <x:f>wimbledons_champions!A138</x:f>
        <x:v>1957</x:v>
      </x:c>
      <x:c r="B130" s="25" t="str">
        <x:f>wimbledons_champions!B138</x:f>
        <x:v>Women's</x:v>
      </x:c>
      <x:c r="C130" s="25" t="inlineStr">
        <x:is>
          <x:t xml:space="preserve">A. Gibson</x:t>
        </x:is>
      </x:c>
      <x:c r="D130" s="22" t="inlineStr">
        <x:is>
          <x:t xml:space="preserve">USA</x:t>
        </x:is>
      </x:c>
      <x:c r="E130" s="25" t="inlineStr">
        <x:is>
          <x:t xml:space="preserve">United States</x:t>
        </x:is>
      </x:c>
      <x:c r="F130" s="22" t="n">
        <x:v>1</x:v>
      </x:c>
      <x:c r="G130" s="22" t="n">
        <x:f>wimbledons_champions!G138</x:f>
        <x:v>50</x:v>
      </x:c>
      <x:c r="H130" s="25" t="str">
        <x:f>wimbledons_champions!H138</x:f>
        <x:v>6-3, 6-2,</x:v>
      </x:c>
      <x:c r="I130" s="25" t="inlineStr">
        <x:is>
          <x:t xml:space="preserve">D.R. Hard</x:t>
        </x:is>
      </x:c>
      <x:c r="J130" s="22" t="inlineStr">
        <x:is>
          <x:t xml:space="preserve">USA</x:t>
        </x:is>
      </x:c>
      <x:c r="K130" s="25" t="inlineStr">
        <x:is>
          <x:t xml:space="preserve">United States</x:t>
        </x:is>
      </x:c>
      <x:c r="L130" s="22" t="n">
        <x:v>5</x:v>
      </x:c>
      <x:c r="M130" s="18" t="n">
        <x:v>0.7058823529411765</x:v>
      </x:c>
      <x:c r="N130" s="18" t="n"/>
      <x:c r="O130" s="19" t="inlineStr">
        <x:is>
          <x:t xml:space="preserve">6</x:t>
        </x:is>
      </x:c>
      <x:c r="P130" s="19" t="n">
        <x:v>3</x:v>
      </x:c>
      <x:c r="Q130" s="19" t="n">
        <x:v>6</x:v>
      </x:c>
      <x:c r="R130" s="19" t="n">
        <x:v>2</x:v>
      </x:c>
      <x:c r="S130" s="19" t="n"/>
      <x:c r="T130" s="19" t="n"/>
      <x:c r="U130" s="19" t="n"/>
      <x:c r="V130" s="19" t="n"/>
      <x:c r="W130" s="19" t="n"/>
      <x:c r="X130" s="19" t="n"/>
      <x:c r="Y130" s="20" t="n">
        <x:f>SUM(O130+Q130+S130+U130+W130)</x:f>
        <x:v>12</x:v>
      </x:c>
      <x:c r="Z130" s="20" t="n">
        <x:f>SUM(P130+R130+T130+V130+X130)</x:f>
        <x:v>5</x:v>
      </x:c>
      <x:c r="AA130" s="21" t="n">
        <x:f>Y130/(Y130+Z130)</x:f>
        <x:v>0.7058823529411765</x:v>
      </x:c>
    </x:row>
    <x:row r="131">
      <x:c r="A131" s="22" t="n">
        <x:f>wimbledons_champions!A139</x:f>
        <x:v>1957</x:v>
      </x:c>
      <x:c r="B131" s="25" t="str">
        <x:f>wimbledons_champions!B139</x:f>
        <x:v>Men's</x:v>
      </x:c>
      <x:c r="C131" s="25" t="inlineStr">
        <x:is>
          <x:t xml:space="preserve">L.A. Hoad</x:t>
        </x:is>
      </x:c>
      <x:c r="D131" s="22" t="inlineStr">
        <x:is>
          <x:t xml:space="preserve">AUS</x:t>
        </x:is>
      </x:c>
      <x:c r="E131" s="25" t="inlineStr">
        <x:is>
          <x:t xml:space="preserve">Australia</x:t>
        </x:is>
      </x:c>
      <x:c r="F131" s="22" t="n">
        <x:v>1</x:v>
      </x:c>
      <x:c r="G131" s="22" t="n">
        <x:f>wimbledons_champions!G139</x:f>
        <x:v>57</x:v>
      </x:c>
      <x:c r="H131" s="25" t="str">
        <x:f>wimbledons_champions!H139</x:f>
        <x:v>6-2, 6-1, 6-2</x:v>
      </x:c>
      <x:c r="I131" s="25" t="inlineStr">
        <x:is>
          <x:t xml:space="preserve">A.J. Cooper</x:t>
        </x:is>
      </x:c>
      <x:c r="J131" s="22" t="inlineStr">
        <x:is>
          <x:t xml:space="preserve">AUS</x:t>
        </x:is>
      </x:c>
      <x:c r="K131" s="25" t="inlineStr">
        <x:is>
          <x:t xml:space="preserve">Australia</x:t>
        </x:is>
      </x:c>
      <x:c r="L131" s="22" t="n">
        <x:v>2</x:v>
      </x:c>
      <x:c r="M131" s="18" t="n">
        <x:v>0.7826086956521739</x:v>
      </x:c>
      <x:c r="N131" s="18" t="n"/>
      <x:c r="O131" s="19" t="inlineStr">
        <x:is>
          <x:t xml:space="preserve">6</x:t>
        </x:is>
      </x:c>
      <x:c r="P131" s="19" t="n">
        <x:v>2</x:v>
      </x:c>
      <x:c r="Q131" s="19" t="n">
        <x:v>6</x:v>
      </x:c>
      <x:c r="R131" s="19" t="n">
        <x:v>1</x:v>
      </x:c>
      <x:c r="S131" s="19" t="n">
        <x:v>6</x:v>
      </x:c>
      <x:c r="T131" s="19" t="n">
        <x:v>2</x:v>
      </x:c>
      <x:c r="U131" s="19" t="n"/>
      <x:c r="V131" s="19" t="n"/>
      <x:c r="W131" s="19" t="n"/>
      <x:c r="X131" s="19" t="n"/>
      <x:c r="Y131" s="20" t="n">
        <x:f>SUM(O131+Q131+S131+U131+W131)</x:f>
        <x:v>18</x:v>
      </x:c>
      <x:c r="Z131" s="20" t="n">
        <x:f>SUM(P131+R131+T131+V131+X131)</x:f>
        <x:v>5</x:v>
      </x:c>
      <x:c r="AA131" s="21" t="n">
        <x:f>Y131/(Y131+Z131)</x:f>
        <x:v>0.782608695652174</x:v>
      </x:c>
    </x:row>
    <x:row r="132">
      <x:c r="A132" s="22" t="n">
        <x:f>wimbledons_champions!A140</x:f>
        <x:v>1956</x:v>
      </x:c>
      <x:c r="B132" s="25" t="str">
        <x:f>wimbledons_champions!B140</x:f>
        <x:v>Women's</x:v>
      </x:c>
      <x:c r="C132" s="25" t="inlineStr">
        <x:is>
          <x:t xml:space="preserve">S.J. Fry</x:t>
        </x:is>
      </x:c>
      <x:c r="D132" s="22" t="inlineStr">
        <x:is>
          <x:t xml:space="preserve">USA</x:t>
        </x:is>
      </x:c>
      <x:c r="E132" s="25" t="inlineStr">
        <x:is>
          <x:t xml:space="preserve">United States</x:t>
        </x:is>
      </x:c>
      <x:c r="F132" s="22" t="n">
        <x:v>5</x:v>
      </x:c>
      <x:c r="G132" s="22" t="n">
        <x:f>wimbledons_champions!G140</x:f>
        <x:v>50</x:v>
      </x:c>
      <x:c r="H132" s="25" t="str">
        <x:f>wimbledons_champions!H140</x:f>
        <x:v>6-3, 6-1,</x:v>
      </x:c>
      <x:c r="I132" s="25" t="inlineStr">
        <x:is>
          <x:t xml:space="preserve">A. Buxton</x:t>
        </x:is>
      </x:c>
      <x:c r="J132" s="22" t="inlineStr">
        <x:is>
          <x:t xml:space="preserve">GBR</x:t>
        </x:is>
      </x:c>
      <x:c r="K132" s="25" t="inlineStr">
        <x:is>
          <x:t xml:space="preserve">United Kingdom</x:t>
        </x:is>
      </x:c>
      <x:c r="L132" s="22" t="n">
        <x:v>6</x:v>
      </x:c>
      <x:c r="M132" s="18" t="n">
        <x:v>0.75</x:v>
      </x:c>
      <x:c r="N132" s="18" t="n"/>
      <x:c r="O132" s="19" t="inlineStr">
        <x:is>
          <x:t xml:space="preserve">6</x:t>
        </x:is>
      </x:c>
      <x:c r="P132" s="19" t="n">
        <x:v>3</x:v>
      </x:c>
      <x:c r="Q132" s="19" t="n">
        <x:v>6</x:v>
      </x:c>
      <x:c r="R132" s="19" t="n">
        <x:v>1</x:v>
      </x:c>
      <x:c r="S132" s="19" t="n"/>
      <x:c r="T132" s="19" t="n"/>
      <x:c r="U132" s="19" t="n"/>
      <x:c r="V132" s="19" t="n"/>
      <x:c r="W132" s="19" t="n"/>
      <x:c r="X132" s="19" t="n"/>
      <x:c r="Y132" s="20" t="n">
        <x:f>SUM(O132+Q132+S132+U132+W132)</x:f>
        <x:v>12</x:v>
      </x:c>
      <x:c r="Z132" s="20" t="n">
        <x:f>SUM(P132+R132+T132+V132+X132)</x:f>
        <x:v>4</x:v>
      </x:c>
      <x:c r="AA132" s="21" t="n">
        <x:f>Y132/(Y132+Z132)</x:f>
        <x:v>0.75</x:v>
      </x:c>
    </x:row>
    <x:row r="133">
      <x:c r="A133" s="22" t="n">
        <x:f>wimbledons_champions!A141</x:f>
        <x:v>1956</x:v>
      </x:c>
      <x:c r="B133" s="25" t="str">
        <x:f>wimbledons_champions!B141</x:f>
        <x:v>Men's</x:v>
      </x:c>
      <x:c r="C133" s="25" t="inlineStr">
        <x:is>
          <x:t xml:space="preserve">L.A. Hoad</x:t>
        </x:is>
      </x:c>
      <x:c r="D133" s="22" t="inlineStr">
        <x:is>
          <x:t xml:space="preserve">AUS</x:t>
        </x:is>
      </x:c>
      <x:c r="E133" s="25" t="inlineStr">
        <x:is>
          <x:t xml:space="preserve">Australia</x:t>
        </x:is>
      </x:c>
      <x:c r="F133" s="22" t="n">
        <x:v>1</x:v>
      </x:c>
      <x:c r="G133" s="22" t="n">
        <x:f>wimbledons_champions!G141</x:f>
        <x:v>117</x:v>
      </x:c>
      <x:c r="H133" s="25" t="str">
        <x:f>wimbledons_champions!H141</x:f>
        <x:v>6-2, 4-6, 7-5, 6-4</x:v>
      </x:c>
      <x:c r="I133" s="25" t="inlineStr">
        <x:is>
          <x:t xml:space="preserve">K.R. Rosewall</x:t>
        </x:is>
      </x:c>
      <x:c r="J133" s="22" t="inlineStr">
        <x:is>
          <x:t xml:space="preserve">AUS</x:t>
        </x:is>
      </x:c>
      <x:c r="K133" s="25" t="inlineStr">
        <x:is>
          <x:t xml:space="preserve">Australia</x:t>
        </x:is>
      </x:c>
      <x:c r="L133" s="22" t="n">
        <x:v>2</x:v>
      </x:c>
      <x:c r="M133" s="18" t="n">
        <x:v>0.575</x:v>
      </x:c>
      <x:c r="N133" s="18" t="n"/>
      <x:c r="O133" s="19" t="inlineStr">
        <x:is>
          <x:t xml:space="preserve">6</x:t>
        </x:is>
      </x:c>
      <x:c r="P133" s="19" t="n">
        <x:v>2</x:v>
      </x:c>
      <x:c r="Q133" s="19" t="n">
        <x:v>4</x:v>
      </x:c>
      <x:c r="R133" s="19" t="n">
        <x:v>6</x:v>
      </x:c>
      <x:c r="S133" s="19" t="n">
        <x:v>7</x:v>
      </x:c>
      <x:c r="T133" s="19" t="n">
        <x:v>5</x:v>
      </x:c>
      <x:c r="U133" s="19" t="n">
        <x:v>6</x:v>
      </x:c>
      <x:c r="V133" s="19" t="n">
        <x:v>4</x:v>
      </x:c>
      <x:c r="W133" s="19" t="n"/>
      <x:c r="X133" s="19" t="n"/>
      <x:c r="Y133" s="20" t="n">
        <x:f>SUM(O133+Q133+S133+U133+W133)</x:f>
        <x:v>23</x:v>
      </x:c>
      <x:c r="Z133" s="20" t="n">
        <x:f>SUM(P133+R133+T133+V133+X133)</x:f>
        <x:v>17</x:v>
      </x:c>
      <x:c r="AA133" s="21" t="n">
        <x:f>Y133/(Y133+Z133)</x:f>
        <x:v>0.575</x:v>
      </x:c>
    </x:row>
    <x:row r="134">
      <x:c r="A134" s="22" t="n">
        <x:f>wimbledons_champions!A142</x:f>
        <x:v>1955</x:v>
      </x:c>
      <x:c r="B134" s="25" t="str">
        <x:f>wimbledons_champions!B142</x:f>
        <x:v>Women's</x:v>
      </x:c>
      <x:c r="C134" s="25" t="inlineStr">
        <x:is>
          <x:t xml:space="preserve">A.L. Brough</x:t>
        </x:is>
      </x:c>
      <x:c r="D134" s="22" t="inlineStr">
        <x:is>
          <x:t xml:space="preserve">USA</x:t>
        </x:is>
      </x:c>
      <x:c r="E134" s="25" t="inlineStr">
        <x:is>
          <x:t xml:space="preserve">United States</x:t>
        </x:is>
      </x:c>
      <x:c r="F134" s="22" t="n">
        <x:v>2</x:v>
      </x:c>
      <x:c r="G134" s="22" t="n">
        <x:f>wimbledons_champions!G142</x:f>
        <x:v>90</x:v>
      </x:c>
      <x:c r="H134" s="25" t="str">
        <x:f>wimbledons_champions!H142</x:f>
        <x:v>7-5, 8-6,</x:v>
      </x:c>
      <x:c r="I134" s="25" t="inlineStr">
        <x:is>
          <x:t xml:space="preserve">J.G. Fleitz</x:t>
        </x:is>
      </x:c>
      <x:c r="J134" s="22" t="inlineStr">
        <x:is>
          <x:t xml:space="preserve">USA</x:t>
        </x:is>
      </x:c>
      <x:c r="K134" s="25" t="inlineStr">
        <x:is>
          <x:t xml:space="preserve">United States</x:t>
        </x:is>
      </x:c>
      <x:c r="L134" s="22" t="n">
        <x:v>3</x:v>
      </x:c>
      <x:c r="M134" s="18" t="n">
        <x:v>0.5769230769230769</x:v>
      </x:c>
      <x:c r="N134" s="18" t="n"/>
      <x:c r="O134" s="19" t="inlineStr">
        <x:is>
          <x:t xml:space="preserve">7</x:t>
        </x:is>
      </x:c>
      <x:c r="P134" s="19" t="n">
        <x:v>5</x:v>
      </x:c>
      <x:c r="Q134" s="19" t="n">
        <x:v>8</x:v>
      </x:c>
      <x:c r="R134" s="19" t="n">
        <x:v>6</x:v>
      </x:c>
      <x:c r="S134" s="19" t="n"/>
      <x:c r="T134" s="19" t="n"/>
      <x:c r="U134" s="19" t="n"/>
      <x:c r="V134" s="19" t="n"/>
      <x:c r="W134" s="19" t="n"/>
      <x:c r="X134" s="19" t="n"/>
      <x:c r="Y134" s="20" t="n">
        <x:f>SUM(O134+Q134+S134+U134+W134)</x:f>
        <x:v>15</x:v>
      </x:c>
      <x:c r="Z134" s="20" t="n">
        <x:f>SUM(P134+R134+T134+V134+X134)</x:f>
        <x:v>11</x:v>
      </x:c>
      <x:c r="AA134" s="21" t="n">
        <x:f>Y134/(Y134+Z134)</x:f>
        <x:v>0.5769230769230769</x:v>
      </x:c>
    </x:row>
    <x:row r="135">
      <x:c r="A135" s="22" t="n">
        <x:f>wimbledons_champions!A143</x:f>
        <x:v>1955</x:v>
      </x:c>
      <x:c r="B135" s="25" t="str">
        <x:f>wimbledons_champions!B143</x:f>
        <x:v>Men's</x:v>
      </x:c>
      <x:c r="C135" s="25" t="inlineStr">
        <x:is>
          <x:t xml:space="preserve">M.A. Trabert</x:t>
        </x:is>
      </x:c>
      <x:c r="D135" s="22" t="inlineStr">
        <x:is>
          <x:t xml:space="preserve">USA</x:t>
        </x:is>
      </x:c>
      <x:c r="E135" s="25" t="inlineStr">
        <x:is>
          <x:t xml:space="preserve">United States</x:t>
        </x:is>
      </x:c>
      <x:c r="F135" s="22" t="n">
        <x:v>1</x:v>
      </x:c>
      <x:c r="G135" s="22" t="n">
        <x:f>wimbledons_champions!G143</x:f>
        <x:v>73</x:v>
      </x:c>
      <x:c r="H135" s="25" t="str">
        <x:f>wimbledons_champions!H143</x:f>
        <x:v>6-3, 7-5, 6-1</x:v>
      </x:c>
      <x:c r="I135" s="25" t="inlineStr">
        <x:is>
          <x:t xml:space="preserve">K. Nielsen</x:t>
        </x:is>
      </x:c>
      <x:c r="J135" s="22" t="inlineStr">
        <x:is>
          <x:t xml:space="preserve">DEN</x:t>
        </x:is>
      </x:c>
      <x:c r="K135" s="25" t="inlineStr">
        <x:is>
          <x:t xml:space="preserve">Denmark</x:t>
        </x:is>
      </x:c>
      <x:c r="L135" s="22" t="inlineStr">
        <x:is>
          <x:t xml:space="preserve">U</x:t>
        </x:is>
      </x:c>
      <x:c r="M135" s="18" t="n">
        <x:v>0.6785714285714286</x:v>
      </x:c>
      <x:c r="N135" s="18" t="n"/>
      <x:c r="O135" s="19" t="inlineStr">
        <x:is>
          <x:t xml:space="preserve">6</x:t>
        </x:is>
      </x:c>
      <x:c r="P135" s="19" t="n">
        <x:v>3</x:v>
      </x:c>
      <x:c r="Q135" s="19" t="n">
        <x:v>7</x:v>
      </x:c>
      <x:c r="R135" s="19" t="n">
        <x:v>5</x:v>
      </x:c>
      <x:c r="S135" s="19" t="n">
        <x:v>6</x:v>
      </x:c>
      <x:c r="T135" s="19" t="n">
        <x:v>1</x:v>
      </x:c>
      <x:c r="U135" s="19" t="n"/>
      <x:c r="V135" s="19" t="n"/>
      <x:c r="W135" s="19" t="n"/>
      <x:c r="X135" s="19" t="n"/>
      <x:c r="Y135" s="20" t="n">
        <x:f>SUM(O135+Q135+S135+U135+W135)</x:f>
        <x:v>19</x:v>
      </x:c>
      <x:c r="Z135" s="20" t="n">
        <x:f>SUM(P135+R135+T135+V135+X135)</x:f>
        <x:v>9</x:v>
      </x:c>
      <x:c r="AA135" s="21" t="n">
        <x:f>Y135/(Y135+Z135)</x:f>
        <x:v>0.6785714285714286</x:v>
      </x:c>
    </x:row>
    <x:row r="136">
      <x:c r="A136" s="22" t="n">
        <x:f>wimbledons_champions!A144</x:f>
        <x:v>1954</x:v>
      </x:c>
      <x:c r="B136" s="25" t="str">
        <x:f>wimbledons_champions!B144</x:f>
        <x:v>Women's</x:v>
      </x:c>
      <x:c r="C136" s="25" t="inlineStr">
        <x:is>
          <x:t xml:space="preserve">M.C. Connolly</x:t>
        </x:is>
      </x:c>
      <x:c r="D136" s="22" t="inlineStr">
        <x:is>
          <x:t xml:space="preserve">USA</x:t>
        </x:is>
      </x:c>
      <x:c r="E136" s="25" t="inlineStr">
        <x:is>
          <x:t xml:space="preserve">United States</x:t>
        </x:is>
      </x:c>
      <x:c r="F136" s="22" t="n">
        <x:v>1</x:v>
      </x:c>
      <x:c r="G136" s="22" t="n">
        <x:f>wimbledons_champions!G144</x:f>
        <x:v>50</x:v>
      </x:c>
      <x:c r="H136" s="25" t="str">
        <x:f>wimbledons_champions!H144</x:f>
        <x:v>6-2, 7-5,</x:v>
      </x:c>
      <x:c r="I136" s="25" t="inlineStr">
        <x:is>
          <x:t xml:space="preserve">A.L. Brough</x:t>
        </x:is>
      </x:c>
      <x:c r="J136" s="22" t="inlineStr">
        <x:is>
          <x:t xml:space="preserve">USA</x:t>
        </x:is>
      </x:c>
      <x:c r="K136" s="25" t="inlineStr">
        <x:is>
          <x:t xml:space="preserve">United States</x:t>
        </x:is>
      </x:c>
      <x:c r="L136" s="22" t="n">
        <x:v>4</x:v>
      </x:c>
      <x:c r="M136" s="18" t="n">
        <x:v>0.65</x:v>
      </x:c>
      <x:c r="N136" s="18" t="n"/>
      <x:c r="O136" s="19" t="inlineStr">
        <x:is>
          <x:t xml:space="preserve">6</x:t>
        </x:is>
      </x:c>
      <x:c r="P136" s="19" t="n">
        <x:v>2</x:v>
      </x:c>
      <x:c r="Q136" s="19" t="n">
        <x:v>7</x:v>
      </x:c>
      <x:c r="R136" s="19" t="n">
        <x:v>5</x:v>
      </x:c>
      <x:c r="S136" s="19" t="n"/>
      <x:c r="T136" s="19" t="n"/>
      <x:c r="U136" s="19" t="n"/>
      <x:c r="V136" s="19" t="n"/>
      <x:c r="W136" s="19" t="n"/>
      <x:c r="X136" s="19" t="n"/>
      <x:c r="Y136" s="20" t="n">
        <x:f>SUM(O136+Q136+S136+U136+W136)</x:f>
        <x:v>13</x:v>
      </x:c>
      <x:c r="Z136" s="20" t="n">
        <x:f>SUM(P136+R136+T136+V136+X136)</x:f>
        <x:v>7</x:v>
      </x:c>
      <x:c r="AA136" s="21" t="n">
        <x:f>Y136/(Y136+Z136)</x:f>
        <x:v>0.65</x:v>
      </x:c>
    </x:row>
    <x:row r="137">
      <x:c r="A137" s="22" t="n">
        <x:f>wimbledons_champions!A145</x:f>
        <x:v>1954</x:v>
      </x:c>
      <x:c r="B137" s="25" t="str">
        <x:f>wimbledons_champions!B145</x:f>
        <x:v>Men's</x:v>
      </x:c>
      <x:c r="C137" s="25" t="inlineStr">
        <x:is>
          <x:t xml:space="preserve">J. Drobny</x:t>
        </x:is>
      </x:c>
      <x:c r="D137" s="22" t="inlineStr">
        <x:is>
          <x:t xml:space="preserve">CZE</x:t>
        </x:is>
      </x:c>
      <x:c r="E137" s="25" t="inlineStr">
        <x:is>
          <x:t xml:space="preserve">Czechia</x:t>
        </x:is>
      </x:c>
      <x:c r="F137" s="22" t="n">
        <x:v>11</x:v>
      </x:c>
      <x:c r="G137" s="22" t="n">
        <x:f>wimbledons_champions!G145</x:f>
        <x:v>157</x:v>
      </x:c>
      <x:c r="H137" s="25" t="str">
        <x:f>wimbledons_champions!H145</x:f>
        <x:v>13-11, 4-6, 6-2, 9-7</x:v>
      </x:c>
      <x:c r="I137" s="25" t="inlineStr">
        <x:is>
          <x:t xml:space="preserve">K.R. Rosewall</x:t>
        </x:is>
      </x:c>
      <x:c r="J137" s="22" t="inlineStr">
        <x:is>
          <x:t xml:space="preserve">AUS</x:t>
        </x:is>
      </x:c>
      <x:c r="K137" s="25" t="inlineStr">
        <x:is>
          <x:t xml:space="preserve">Australia</x:t>
        </x:is>
      </x:c>
      <x:c r="L137" s="22" t="n">
        <x:v>3</x:v>
      </x:c>
      <x:c r="M137" s="18" t="n">
        <x:v>0.5517241379310345</x:v>
      </x:c>
      <x:c r="N137" s="18" t="n"/>
      <x:c r="O137" s="19" t="inlineStr">
        <x:is>
          <x:t xml:space="preserve">13</x:t>
        </x:is>
      </x:c>
      <x:c r="P137" s="19" t="n">
        <x:v>11</x:v>
      </x:c>
      <x:c r="Q137" s="19" t="n">
        <x:v>4</x:v>
      </x:c>
      <x:c r="R137" s="19" t="n">
        <x:v>6</x:v>
      </x:c>
      <x:c r="S137" s="19" t="n">
        <x:v>6</x:v>
      </x:c>
      <x:c r="T137" s="19" t="n">
        <x:v>2</x:v>
      </x:c>
      <x:c r="U137" s="19" t="n">
        <x:v>9</x:v>
      </x:c>
      <x:c r="V137" s="19" t="n">
        <x:v>7</x:v>
      </x:c>
      <x:c r="W137" s="19" t="n"/>
      <x:c r="X137" s="19" t="n"/>
      <x:c r="Y137" s="20" t="n">
        <x:f>SUM(O137+Q137+S137+U137+W137)</x:f>
        <x:v>32</x:v>
      </x:c>
      <x:c r="Z137" s="20" t="n">
        <x:f>SUM(P137+R137+T137+V137+X137)</x:f>
        <x:v>26</x:v>
      </x:c>
      <x:c r="AA137" s="21" t="n">
        <x:f>Y137/(Y137+Z137)</x:f>
        <x:v>0.5517241379310345</x:v>
      </x:c>
    </x:row>
    <x:row r="138">
      <x:c r="A138" s="22" t="n">
        <x:f>wimbledons_champions!A146</x:f>
        <x:v>1953</x:v>
      </x:c>
      <x:c r="B138" s="25" t="str">
        <x:f>wimbledons_champions!B146</x:f>
        <x:v>Women's</x:v>
      </x:c>
      <x:c r="C138" s="25" t="inlineStr">
        <x:is>
          <x:t xml:space="preserve">M.C. Connolly</x:t>
        </x:is>
      </x:c>
      <x:c r="D138" s="22" t="inlineStr">
        <x:is>
          <x:t xml:space="preserve">USA</x:t>
        </x:is>
      </x:c>
      <x:c r="E138" s="25" t="inlineStr">
        <x:is>
          <x:t xml:space="preserve">United States</x:t>
        </x:is>
      </x:c>
      <x:c r="F138" s="22" t="n">
        <x:v>1</x:v>
      </x:c>
      <x:c r="G138" s="22" t="n">
        <x:f>wimbledons_champions!G146</x:f>
        <x:v>67</x:v>
      </x:c>
      <x:c r="H138" s="25" t="str">
        <x:f>wimbledons_champions!H146</x:f>
        <x:v>8-6, 7-5,</x:v>
      </x:c>
      <x:c r="I138" s="25" t="inlineStr">
        <x:is>
          <x:t xml:space="preserve">D.J. Hart</x:t>
        </x:is>
      </x:c>
      <x:c r="J138" s="22" t="inlineStr">
        <x:is>
          <x:t xml:space="preserve">USA</x:t>
        </x:is>
      </x:c>
      <x:c r="K138" s="25" t="inlineStr">
        <x:is>
          <x:t xml:space="preserve">United States</x:t>
        </x:is>
      </x:c>
      <x:c r="L138" s="22" t="n">
        <x:v>2</x:v>
      </x:c>
      <x:c r="M138" s="18" t="n">
        <x:v>0.5769230769230769</x:v>
      </x:c>
      <x:c r="N138" s="18" t="n"/>
      <x:c r="O138" s="19" t="inlineStr">
        <x:is>
          <x:t xml:space="preserve">8</x:t>
        </x:is>
      </x:c>
      <x:c r="P138" s="19" t="n">
        <x:v>6</x:v>
      </x:c>
      <x:c r="Q138" s="19" t="n">
        <x:v>7</x:v>
      </x:c>
      <x:c r="R138" s="19" t="n">
        <x:v>5</x:v>
      </x:c>
      <x:c r="S138" s="19" t="n"/>
      <x:c r="T138" s="19" t="n"/>
      <x:c r="U138" s="19" t="n"/>
      <x:c r="V138" s="19" t="n"/>
      <x:c r="W138" s="19" t="n"/>
      <x:c r="X138" s="19" t="n"/>
      <x:c r="Y138" s="20" t="n">
        <x:f>SUM(O138+Q138+S138+U138+W138)</x:f>
        <x:v>15</x:v>
      </x:c>
      <x:c r="Z138" s="20" t="n">
        <x:f>SUM(P138+R138+T138+V138+X138)</x:f>
        <x:v>11</x:v>
      </x:c>
      <x:c r="AA138" s="21" t="n">
        <x:f>Y138/(Y138+Z138)</x:f>
        <x:v>0.5769230769230769</x:v>
      </x:c>
    </x:row>
    <x:row r="139">
      <x:c r="A139" s="22" t="n">
        <x:f>wimbledons_champions!A147</x:f>
        <x:v>1953</x:v>
      </x:c>
      <x:c r="B139" s="25" t="str">
        <x:f>wimbledons_champions!B147</x:f>
        <x:v>Men's</x:v>
      </x:c>
      <x:c r="C139" s="25" t="inlineStr">
        <x:is>
          <x:t xml:space="preserve">E.V. Seixas</x:t>
        </x:is>
      </x:c>
      <x:c r="D139" s="22" t="inlineStr">
        <x:is>
          <x:t xml:space="preserve">USA</x:t>
        </x:is>
      </x:c>
      <x:c r="E139" s="25" t="inlineStr">
        <x:is>
          <x:t xml:space="preserve">United States</x:t>
        </x:is>
      </x:c>
      <x:c r="F139" s="22" t="n">
        <x:v>2</x:v>
      </x:c>
      <x:c r="G139" s="22" t="n">
        <x:f>wimbledons_champions!G147</x:f>
        <x:v>80</x:v>
      </x:c>
      <x:c r="H139" s="25" t="str">
        <x:f>wimbledons_champions!H147</x:f>
        <x:v>9-7, 6-3, 6-4</x:v>
      </x:c>
      <x:c r="I139" s="25" t="inlineStr">
        <x:is>
          <x:t xml:space="preserve">K. Nielsen</x:t>
        </x:is>
      </x:c>
      <x:c r="J139" s="22" t="inlineStr">
        <x:is>
          <x:t xml:space="preserve">DEN</x:t>
        </x:is>
      </x:c>
      <x:c r="K139" s="25" t="inlineStr">
        <x:is>
          <x:t xml:space="preserve">Denmark</x:t>
        </x:is>
      </x:c>
      <x:c r="L139" s="22" t="inlineStr">
        <x:is>
          <x:t xml:space="preserve">U</x:t>
        </x:is>
      </x:c>
      <x:c r="M139" s="18" t="n">
        <x:v>0.6</x:v>
      </x:c>
      <x:c r="N139" s="18" t="n"/>
      <x:c r="O139" s="19" t="inlineStr">
        <x:is>
          <x:t xml:space="preserve">9</x:t>
        </x:is>
      </x:c>
      <x:c r="P139" s="19" t="n">
        <x:v>7</x:v>
      </x:c>
      <x:c r="Q139" s="19" t="n">
        <x:v>6</x:v>
      </x:c>
      <x:c r="R139" s="19" t="n">
        <x:v>3</x:v>
      </x:c>
      <x:c r="S139" s="19" t="n">
        <x:v>6</x:v>
      </x:c>
      <x:c r="T139" s="19" t="n">
        <x:v>4</x:v>
      </x:c>
      <x:c r="U139" s="19" t="n"/>
      <x:c r="V139" s="19" t="n"/>
      <x:c r="W139" s="19" t="n"/>
      <x:c r="X139" s="19" t="n"/>
      <x:c r="Y139" s="20" t="n">
        <x:f>SUM(O139+Q139+S139+U139+W139)</x:f>
        <x:v>21</x:v>
      </x:c>
      <x:c r="Z139" s="20" t="n">
        <x:f>SUM(P139+R139+T139+V139+X139)</x:f>
        <x:v>14</x:v>
      </x:c>
      <x:c r="AA139" s="21" t="n">
        <x:f>Y139/(Y139+Z139)</x:f>
        <x:v>0.6</x:v>
      </x:c>
    </x:row>
    <x:row r="140">
      <x:c r="A140" s="22" t="n">
        <x:f>wimbledons_champions!A148</x:f>
        <x:v>1952</x:v>
      </x:c>
      <x:c r="B140" s="25" t="str">
        <x:f>wimbledons_champions!B148</x:f>
        <x:v>Women's</x:v>
      </x:c>
      <x:c r="C140" s="25" t="inlineStr">
        <x:is>
          <x:t xml:space="preserve">M.C. Connolly</x:t>
        </x:is>
      </x:c>
      <x:c r="D140" s="22" t="inlineStr">
        <x:is>
          <x:t xml:space="preserve">USA</x:t>
        </x:is>
      </x:c>
      <x:c r="E140" s="25" t="inlineStr">
        <x:is>
          <x:t xml:space="preserve">United States</x:t>
        </x:is>
      </x:c>
      <x:c r="F140" s="22" t="n">
        <x:v>2</x:v>
      </x:c>
      <x:c r="G140" s="22" t="n">
        <x:f>wimbledons_champions!G148</x:f>
        <x:v>65</x:v>
      </x:c>
      <x:c r="H140" s="25" t="str">
        <x:f>wimbledons_champions!H148</x:f>
        <x:v>7-5, 6-3,</x:v>
      </x:c>
      <x:c r="I140" s="25" t="inlineStr">
        <x:is>
          <x:t xml:space="preserve">A.L. Brough</x:t>
        </x:is>
      </x:c>
      <x:c r="J140" s="22" t="inlineStr">
        <x:is>
          <x:t xml:space="preserve">USA</x:t>
        </x:is>
      </x:c>
      <x:c r="K140" s="25" t="inlineStr">
        <x:is>
          <x:t xml:space="preserve">United States</x:t>
        </x:is>
      </x:c>
      <x:c r="L140" s="22" t="n">
        <x:v>4</x:v>
      </x:c>
      <x:c r="M140" s="18" t="n">
        <x:v>0.6190476190476191</x:v>
      </x:c>
      <x:c r="N140" s="18" t="n"/>
      <x:c r="O140" s="19" t="inlineStr">
        <x:is>
          <x:t xml:space="preserve">7</x:t>
        </x:is>
      </x:c>
      <x:c r="P140" s="19" t="n">
        <x:v>5</x:v>
      </x:c>
      <x:c r="Q140" s="19" t="n">
        <x:v>6</x:v>
      </x:c>
      <x:c r="R140" s="19" t="n">
        <x:v>3</x:v>
      </x:c>
      <x:c r="S140" s="19" t="n"/>
      <x:c r="T140" s="19" t="n"/>
      <x:c r="U140" s="19" t="n"/>
      <x:c r="V140" s="19" t="n"/>
      <x:c r="W140" s="19" t="n"/>
      <x:c r="X140" s="19" t="n"/>
      <x:c r="Y140" s="20" t="n">
        <x:f>SUM(O140+Q140+S140+U140+W140)</x:f>
        <x:v>13</x:v>
      </x:c>
      <x:c r="Z140" s="20" t="n">
        <x:f>SUM(P140+R140+T140+V140+X140)</x:f>
        <x:v>8</x:v>
      </x:c>
      <x:c r="AA140" s="21" t="n">
        <x:f>Y140/(Y140+Z140)</x:f>
        <x:v>0.6190476190476191</x:v>
      </x:c>
    </x:row>
    <x:row r="141">
      <x:c r="A141" s="22" t="n">
        <x:f>wimbledons_champions!A149</x:f>
        <x:v>1952</x:v>
      </x:c>
      <x:c r="B141" s="25" t="str">
        <x:f>wimbledons_champions!B149</x:f>
        <x:v>Men's</x:v>
      </x:c>
      <x:c r="C141" s="25" t="inlineStr">
        <x:is>
          <x:t xml:space="preserve">F.A. Sedgman</x:t>
        </x:is>
      </x:c>
      <x:c r="D141" s="22" t="inlineStr">
        <x:is>
          <x:t xml:space="preserve">AUS</x:t>
        </x:is>
      </x:c>
      <x:c r="E141" s="25" t="inlineStr">
        <x:is>
          <x:t xml:space="preserve">Australia</x:t>
        </x:is>
      </x:c>
      <x:c r="F141" s="22" t="n">
        <x:v>1</x:v>
      </x:c>
      <x:c r="G141" s="22" t="n">
        <x:f>wimbledons_champions!G149</x:f>
        <x:v>80</x:v>
      </x:c>
      <x:c r="H141" s="25" t="str">
        <x:f>wimbledons_champions!H149</x:f>
        <x:v>4-6, 6-2, 6-3, 6-2</x:v>
      </x:c>
      <x:c r="I141" s="25" t="inlineStr">
        <x:is>
          <x:t xml:space="preserve">J. Drobny</x:t>
        </x:is>
      </x:c>
      <x:c r="J141" s="22" t="inlineStr">
        <x:is>
          <x:t xml:space="preserve">CZE</x:t>
        </x:is>
      </x:c>
      <x:c r="K141" s="25" t="inlineStr">
        <x:is>
          <x:t xml:space="preserve">Czechia</x:t>
        </x:is>
      </x:c>
      <x:c r="L141" s="22" t="n">
        <x:v>2</x:v>
      </x:c>
      <x:c r="M141" s="18" t="n">
        <x:v>0.6285714285714286</x:v>
      </x:c>
      <x:c r="N141" s="18" t="n"/>
      <x:c r="O141" s="19" t="inlineStr">
        <x:is>
          <x:t xml:space="preserve">4</x:t>
        </x:is>
      </x:c>
      <x:c r="P141" s="19" t="n">
        <x:v>6</x:v>
      </x:c>
      <x:c r="Q141" s="19" t="n">
        <x:v>6</x:v>
      </x:c>
      <x:c r="R141" s="19" t="n">
        <x:v>2</x:v>
      </x:c>
      <x:c r="S141" s="19" t="n">
        <x:v>6</x:v>
      </x:c>
      <x:c r="T141" s="19" t="n">
        <x:v>3</x:v>
      </x:c>
      <x:c r="U141" s="19" t="n">
        <x:v>6</x:v>
      </x:c>
      <x:c r="V141" s="19" t="n">
        <x:v>2</x:v>
      </x:c>
      <x:c r="W141" s="19" t="n"/>
      <x:c r="X141" s="19" t="n"/>
      <x:c r="Y141" s="20" t="n">
        <x:f>SUM(O141+Q141+S141+U141+W141)</x:f>
        <x:v>22</x:v>
      </x:c>
      <x:c r="Z141" s="20" t="n">
        <x:f>SUM(P141+R141+T141+V141+X141)</x:f>
        <x:v>13</x:v>
      </x:c>
      <x:c r="AA141" s="21" t="n">
        <x:f>Y141/(Y141+Z141)</x:f>
        <x:v>0.6285714285714286</x:v>
      </x:c>
    </x:row>
    <x:row r="142">
      <x:c r="A142" s="22" t="n">
        <x:f>wimbledons_champions!A150</x:f>
        <x:v>1951</x:v>
      </x:c>
      <x:c r="B142" s="25" t="str">
        <x:f>wimbledons_champions!B150</x:f>
        <x:v>Women's</x:v>
      </x:c>
      <x:c r="C142" s="25" t="inlineStr">
        <x:is>
          <x:t xml:space="preserve">D.J. Hart</x:t>
        </x:is>
      </x:c>
      <x:c r="D142" s="22" t="inlineStr">
        <x:is>
          <x:t xml:space="preserve">USA</x:t>
        </x:is>
      </x:c>
      <x:c r="E142" s="25" t="inlineStr">
        <x:is>
          <x:t xml:space="preserve">United States</x:t>
        </x:is>
      </x:c>
      <x:c r="F142" s="22" t="n">
        <x:v>3</x:v>
      </x:c>
      <x:c r="G142" s="22" t="n">
        <x:f>wimbledons_champions!G150</x:f>
        <x:v>35</x:v>
      </x:c>
      <x:c r="H142" s="25" t="str">
        <x:f>wimbledons_champions!H150</x:f>
        <x:v>6-1, 6-0</x:v>
      </x:c>
      <x:c r="I142" s="25" t="inlineStr">
        <x:is>
          <x:t xml:space="preserve">S.J. Fry</x:t>
        </x:is>
      </x:c>
      <x:c r="J142" s="22" t="inlineStr">
        <x:is>
          <x:t xml:space="preserve">USA</x:t>
        </x:is>
      </x:c>
      <x:c r="K142" s="25" t="inlineStr">
        <x:is>
          <x:t xml:space="preserve">United States</x:t>
        </x:is>
      </x:c>
      <x:c r="L142" s="22" t="n">
        <x:v>4</x:v>
      </x:c>
      <x:c r="M142" s="18" t="n">
        <x:v>0.9230769230769231</x:v>
      </x:c>
      <x:c r="N142" s="18" t="n"/>
      <x:c r="O142" s="19" t="inlineStr">
        <x:is>
          <x:t xml:space="preserve">6</x:t>
        </x:is>
      </x:c>
      <x:c r="P142" s="19" t="n">
        <x:v>1</x:v>
      </x:c>
      <x:c r="Q142" s="19" t="n">
        <x:v>6</x:v>
      </x:c>
      <x:c r="R142" s="19" t="n">
        <x:v>0</x:v>
      </x:c>
      <x:c r="S142" s="19" t="n"/>
      <x:c r="T142" s="19" t="n"/>
      <x:c r="U142" s="19" t="n"/>
      <x:c r="V142" s="19" t="n"/>
      <x:c r="W142" s="19" t="n"/>
      <x:c r="X142" s="19" t="n"/>
      <x:c r="Y142" s="20" t="n">
        <x:f>SUM(O142+Q142+S142+U142+W142)</x:f>
        <x:v>12</x:v>
      </x:c>
      <x:c r="Z142" s="20" t="n">
        <x:f>SUM(P142+R142+T142+V142+X142)</x:f>
        <x:v>1</x:v>
      </x:c>
      <x:c r="AA142" s="21" t="n">
        <x:f>Y142/(Y142+Z142)</x:f>
        <x:v>0.9230769230769231</x:v>
      </x:c>
    </x:row>
    <x:row r="143">
      <x:c r="A143" s="22" t="n">
        <x:f>wimbledons_champions!A151</x:f>
        <x:v>1951</x:v>
      </x:c>
      <x:c r="B143" s="25" t="str">
        <x:f>wimbledons_champions!B151</x:f>
        <x:v>Men's</x:v>
      </x:c>
      <x:c r="C143" s="25" t="inlineStr">
        <x:is>
          <x:t xml:space="preserve">R. Savitt</x:t>
        </x:is>
      </x:c>
      <x:c r="D143" s="22" t="inlineStr">
        <x:is>
          <x:t xml:space="preserve">USA</x:t>
        </x:is>
      </x:c>
      <x:c r="E143" s="25" t="inlineStr">
        <x:is>
          <x:t xml:space="preserve">United States</x:t>
        </x:is>
      </x:c>
      <x:c r="F143" s="22" t="n">
        <x:v>6</x:v>
      </x:c>
      <x:c r="G143" s="22" t="n">
        <x:f>wimbledons_champions!G151</x:f>
        <x:v>62</x:v>
      </x:c>
      <x:c r="H143" s="25" t="str">
        <x:f>wimbledons_champions!H151</x:f>
        <x:v>6-4, 6-4, 6-4</x:v>
      </x:c>
      <x:c r="I143" s="25" t="inlineStr">
        <x:is>
          <x:t xml:space="preserve">K.B. McGregor</x:t>
        </x:is>
      </x:c>
      <x:c r="J143" s="22" t="inlineStr">
        <x:is>
          <x:t xml:space="preserve">AUS</x:t>
        </x:is>
      </x:c>
      <x:c r="K143" s="25" t="inlineStr">
        <x:is>
          <x:t xml:space="preserve">Australia</x:t>
        </x:is>
      </x:c>
      <x:c r="L143" s="22" t="n">
        <x:v>7</x:v>
      </x:c>
      <x:c r="M143" s="18" t="n">
        <x:v>0.6</x:v>
      </x:c>
      <x:c r="N143" s="18" t="n"/>
      <x:c r="O143" s="19" t="inlineStr">
        <x:is>
          <x:t xml:space="preserve">6</x:t>
        </x:is>
      </x:c>
      <x:c r="P143" s="19" t="n">
        <x:v>4</x:v>
      </x:c>
      <x:c r="Q143" s="19" t="n">
        <x:v>6</x:v>
      </x:c>
      <x:c r="R143" s="19" t="n">
        <x:v>4</x:v>
      </x:c>
      <x:c r="S143" s="19" t="n">
        <x:v>6</x:v>
      </x:c>
      <x:c r="T143" s="19" t="n">
        <x:v>4</x:v>
      </x:c>
      <x:c r="U143" s="19" t="n"/>
      <x:c r="V143" s="19" t="n"/>
      <x:c r="W143" s="19" t="n"/>
      <x:c r="X143" s="19" t="n"/>
      <x:c r="Y143" s="20" t="n">
        <x:f>SUM(O143+Q143+S143+U143+W143)</x:f>
        <x:v>18</x:v>
      </x:c>
      <x:c r="Z143" s="20" t="n">
        <x:f>SUM(P143+R143+T143+V143+X143)</x:f>
        <x:v>12</x:v>
      </x:c>
      <x:c r="AA143" s="21" t="n">
        <x:f>Y143/(Y143+Z143)</x:f>
        <x:v>0.6</x:v>
      </x:c>
    </x:row>
    <x:row r="144">
      <x:c r="A144" s="22" t="n">
        <x:f>wimbledons_champions!A152</x:f>
        <x:v>1950</x:v>
      </x:c>
      <x:c r="B144" s="25" t="str">
        <x:f>wimbledons_champions!B152</x:f>
        <x:v>Women's</x:v>
      </x:c>
      <x:c r="C144" s="25" t="inlineStr">
        <x:is>
          <x:t xml:space="preserve">A.L. Brough</x:t>
        </x:is>
      </x:c>
      <x:c r="D144" s="22" t="inlineStr">
        <x:is>
          <x:t xml:space="preserve">USA</x:t>
        </x:is>
      </x:c>
      <x:c r="E144" s="25" t="inlineStr">
        <x:is>
          <x:t xml:space="preserve">United States</x:t>
        </x:is>
      </x:c>
      <x:c r="F144" s="22" t="n">
        <x:v>1</x:v>
      </x:c>
      <x:c r="G144" s="22" t="n">
        <x:f>wimbledons_champions!G152</x:f>
        <x:v>62</x:v>
      </x:c>
      <x:c r="H144" s="25" t="str">
        <x:f>wimbledons_champions!H152</x:f>
        <x:v>6-1, 3-6, 6-1,</x:v>
      </x:c>
      <x:c r="I144" s="25" t="inlineStr">
        <x:is>
          <x:t xml:space="preserve">M. duPont</x:t>
        </x:is>
      </x:c>
      <x:c r="J144" s="22" t="inlineStr">
        <x:is>
          <x:t xml:space="preserve">USA</x:t>
        </x:is>
      </x:c>
      <x:c r="K144" s="25" t="inlineStr">
        <x:is>
          <x:t xml:space="preserve">United States</x:t>
        </x:is>
      </x:c>
      <x:c r="L144" s="22" t="n">
        <x:v>2</x:v>
      </x:c>
      <x:c r="M144" s="18" t="n">
        <x:v>0.6521739130434783</x:v>
      </x:c>
      <x:c r="N144" s="18" t="n"/>
      <x:c r="O144" s="19" t="inlineStr">
        <x:is>
          <x:t xml:space="preserve">6</x:t>
        </x:is>
      </x:c>
      <x:c r="P144" s="19" t="n">
        <x:v>1</x:v>
      </x:c>
      <x:c r="Q144" s="19" t="n">
        <x:v>3</x:v>
      </x:c>
      <x:c r="R144" s="19" t="n">
        <x:v>6</x:v>
      </x:c>
      <x:c r="S144" s="19" t="n">
        <x:v>6</x:v>
      </x:c>
      <x:c r="T144" s="19" t="n">
        <x:v>1</x:v>
      </x:c>
      <x:c r="U144" s="19" t="n"/>
      <x:c r="V144" s="19" t="n"/>
      <x:c r="W144" s="19" t="n"/>
      <x:c r="X144" s="19" t="n"/>
      <x:c r="Y144" s="20" t="n">
        <x:f>SUM(O144+Q144+S144+U144+W144)</x:f>
        <x:v>15</x:v>
      </x:c>
      <x:c r="Z144" s="20" t="n">
        <x:f>SUM(P144+R144+T144+V144+X144)</x:f>
        <x:v>8</x:v>
      </x:c>
      <x:c r="AA144" s="21" t="n">
        <x:f>Y144/(Y144+Z144)</x:f>
        <x:v>0.6521739130434783</x:v>
      </x:c>
    </x:row>
    <x:row r="145">
      <x:c r="A145" s="22" t="n">
        <x:f>wimbledons_champions!A153</x:f>
        <x:v>1950</x:v>
      </x:c>
      <x:c r="B145" s="25" t="str">
        <x:f>wimbledons_champions!B153</x:f>
        <x:v>Men's</x:v>
      </x:c>
      <x:c r="C145" s="25" t="inlineStr">
        <x:is>
          <x:t xml:space="preserve">J.E. Patty</x:t>
        </x:is>
      </x:c>
      <x:c r="D145" s="22" t="inlineStr">
        <x:is>
          <x:t xml:space="preserve">USA</x:t>
        </x:is>
      </x:c>
      <x:c r="E145" s="25" t="inlineStr">
        <x:is>
          <x:t xml:space="preserve">United States</x:t>
        </x:is>
      </x:c>
      <x:c r="F145" s="22" t="n">
        <x:v>5</x:v>
      </x:c>
      <x:c r="G145" s="22" t="n">
        <x:f>wimbledons_champions!G153</x:f>
        <x:v>120</x:v>
      </x:c>
      <x:c r="H145" s="25" t="str">
        <x:f>wimbledons_champions!H153</x:f>
        <x:v>6-1, 8-10, 6-2, 6-3</x:v>
      </x:c>
      <x:c r="I145" s="25" t="inlineStr">
        <x:is>
          <x:t xml:space="preserve">F.A. Sedgman</x:t>
        </x:is>
      </x:c>
      <x:c r="J145" s="22" t="inlineStr">
        <x:is>
          <x:t xml:space="preserve">AUS</x:t>
        </x:is>
      </x:c>
      <x:c r="K145" s="25" t="inlineStr">
        <x:is>
          <x:t xml:space="preserve">Australia</x:t>
        </x:is>
      </x:c>
      <x:c r="L145" s="22" t="n">
        <x:v>1</x:v>
      </x:c>
      <x:c r="M145" s="18" t="n">
        <x:v>0.6190476190476191</x:v>
      </x:c>
      <x:c r="N145" s="18" t="n"/>
      <x:c r="O145" s="19" t="inlineStr">
        <x:is>
          <x:t xml:space="preserve">6</x:t>
        </x:is>
      </x:c>
      <x:c r="P145" s="19" t="n">
        <x:v>1</x:v>
      </x:c>
      <x:c r="Q145" s="19" t="n">
        <x:v>8</x:v>
      </x:c>
      <x:c r="R145" s="19" t="n">
        <x:v>10</x:v>
      </x:c>
      <x:c r="S145" s="19" t="n">
        <x:v>6</x:v>
      </x:c>
      <x:c r="T145" s="19" t="n">
        <x:v>2</x:v>
      </x:c>
      <x:c r="U145" s="19" t="n">
        <x:v>6</x:v>
      </x:c>
      <x:c r="V145" s="19" t="n">
        <x:v>3</x:v>
      </x:c>
      <x:c r="W145" s="19" t="n"/>
      <x:c r="X145" s="19" t="n"/>
      <x:c r="Y145" s="20" t="n">
        <x:f>SUM(O145+Q145+S145+U145+W145)</x:f>
        <x:v>26</x:v>
      </x:c>
      <x:c r="Z145" s="20" t="n">
        <x:f>SUM(P145+R145+T145+V145+X145)</x:f>
        <x:v>16</x:v>
      </x:c>
      <x:c r="AA145" s="21" t="n">
        <x:f>Y145/(Y145+Z145)</x:f>
        <x:v>0.6190476190476191</x:v>
      </x:c>
    </x:row>
    <x:row r="146">
      <x:c r="A146" s="22" t="n">
        <x:f>wimbledons_champions!A154</x:f>
        <x:v>1949</x:v>
      </x:c>
      <x:c r="B146" s="25" t="str">
        <x:f>wimbledons_champions!B154</x:f>
        <x:v>Women's</x:v>
      </x:c>
      <x:c r="C146" s="25" t="inlineStr">
        <x:is>
          <x:t xml:space="preserve">A.L. Brough</x:t>
        </x:is>
      </x:c>
      <x:c r="D146" s="22" t="inlineStr">
        <x:is>
          <x:t xml:space="preserve">USA</x:t>
        </x:is>
      </x:c>
      <x:c r="E146" s="25" t="inlineStr">
        <x:is>
          <x:t xml:space="preserve">United States</x:t>
        </x:is>
      </x:c>
      <x:c r="F146" s="22" t="n">
        <x:v>1</x:v>
      </x:c>
      <x:c r="G146" s="22" t="n">
        <x:f>wimbledons_champions!G154</x:f>
        <x:v>120</x:v>
      </x:c>
      <x:c r="H146" s="25" t="str">
        <x:f>wimbledons_champions!H154</x:f>
        <x:v>10-8, 1-6, 10-8,</x:v>
      </x:c>
      <x:c r="I146" s="25" t="inlineStr">
        <x:is>
          <x:t xml:space="preserve">M. duPont</x:t>
        </x:is>
      </x:c>
      <x:c r="J146" s="22" t="inlineStr">
        <x:is>
          <x:t xml:space="preserve">USA</x:t>
        </x:is>
      </x:c>
      <x:c r="K146" s="25" t="inlineStr">
        <x:is>
          <x:t xml:space="preserve">United States</x:t>
        </x:is>
      </x:c>
      <x:c r="L146" s="22" t="n">
        <x:v>2</x:v>
      </x:c>
      <x:c r="M146" s="18" t="n">
        <x:v>0.4883720930232558</x:v>
      </x:c>
      <x:c r="N146" s="18" t="n"/>
      <x:c r="O146" s="19" t="inlineStr">
        <x:is>
          <x:t xml:space="preserve">10</x:t>
        </x:is>
      </x:c>
      <x:c r="P146" s="19" t="n">
        <x:v>8</x:v>
      </x:c>
      <x:c r="Q146" s="19" t="n">
        <x:v>1</x:v>
      </x:c>
      <x:c r="R146" s="19" t="n">
        <x:v>6</x:v>
      </x:c>
      <x:c r="S146" s="19" t="n">
        <x:v>10</x:v>
      </x:c>
      <x:c r="T146" s="19" t="n">
        <x:v>8</x:v>
      </x:c>
      <x:c r="U146" s="19" t="n"/>
      <x:c r="V146" s="19" t="n"/>
      <x:c r="W146" s="19" t="n"/>
      <x:c r="X146" s="19" t="n"/>
      <x:c r="Y146" s="20" t="n">
        <x:f>SUM(O146+Q146+S146+U146+W146)</x:f>
        <x:v>21</x:v>
      </x:c>
      <x:c r="Z146" s="20" t="n">
        <x:f>SUM(P146+R146+T146+V146+X146)</x:f>
        <x:v>22</x:v>
      </x:c>
      <x:c r="AA146" s="21" t="n">
        <x:f>Y146/(Y146+Z146)</x:f>
        <x:v>0.4883720930232558</x:v>
      </x:c>
    </x:row>
    <x:row r="147">
      <x:c r="A147" s="22" t="n">
        <x:f>wimbledons_champions!A155</x:f>
        <x:v>1949</x:v>
      </x:c>
      <x:c r="B147" s="25" t="str">
        <x:f>wimbledons_champions!B155</x:f>
        <x:v>Men's</x:v>
      </x:c>
      <x:c r="C147" s="25" t="inlineStr">
        <x:is>
          <x:t xml:space="preserve">F.R. Schroeder</x:t>
        </x:is>
      </x:c>
      <x:c r="D147" s="22" t="inlineStr">
        <x:is>
          <x:t xml:space="preserve">USA</x:t>
        </x:is>
      </x:c>
      <x:c r="E147" s="25" t="inlineStr">
        <x:is>
          <x:t xml:space="preserve">United States</x:t>
        </x:is>
      </x:c>
      <x:c r="F147" s="22" t="n">
        <x:v>1</x:v>
      </x:c>
      <x:c r="G147" s="22" t="n">
        <x:f>wimbledons_champions!G155</x:f>
        <x:v>100</x:v>
      </x:c>
      <x:c r="H147" s="25" t="str">
        <x:f>wimbledons_champions!H155</x:f>
        <x:v>3-6, 6-0, 6-3, 4-6, 6-4</x:v>
      </x:c>
      <x:c r="I147" s="25" t="inlineStr">
        <x:is>
          <x:t xml:space="preserve">J. Drobny</x:t>
        </x:is>
      </x:c>
      <x:c r="J147" s="22" t="inlineStr">
        <x:is>
          <x:t xml:space="preserve">CZE</x:t>
        </x:is>
      </x:c>
      <x:c r="K147" s="25" t="inlineStr">
        <x:is>
          <x:t xml:space="preserve">Czechia</x:t>
        </x:is>
      </x:c>
      <x:c r="L147" s="22" t="n">
        <x:v>6</x:v>
      </x:c>
      <x:c r="M147" s="18" t="n">
        <x:v>0.5681818181818182</x:v>
      </x:c>
      <x:c r="N147" s="18" t="n"/>
      <x:c r="O147" s="19" t="inlineStr">
        <x:is>
          <x:t xml:space="preserve">3</x:t>
        </x:is>
      </x:c>
      <x:c r="P147" s="19" t="n">
        <x:v>6</x:v>
      </x:c>
      <x:c r="Q147" s="19" t="n">
        <x:v>6</x:v>
      </x:c>
      <x:c r="R147" s="19" t="n">
        <x:v>0</x:v>
      </x:c>
      <x:c r="S147" s="19" t="n">
        <x:v>6</x:v>
      </x:c>
      <x:c r="T147" s="19" t="n">
        <x:v>3</x:v>
      </x:c>
      <x:c r="U147" s="19" t="n">
        <x:v>4</x:v>
      </x:c>
      <x:c r="V147" s="19" t="n">
        <x:v>6</x:v>
      </x:c>
      <x:c r="W147" s="19" t="inlineStr">
        <x:is>
          <x:t xml:space="preserve">6</x:t>
        </x:is>
      </x:c>
      <x:c r="X147" s="19" t="n">
        <x:v>4</x:v>
      </x:c>
      <x:c r="Y147" s="20" t="n">
        <x:f>SUM(O147+Q147+S147+U147+W147)</x:f>
        <x:v>25</x:v>
      </x:c>
      <x:c r="Z147" s="20" t="n">
        <x:f>SUM(P147+R147+T147+V147+X147)</x:f>
        <x:v>19</x:v>
      </x:c>
      <x:c r="AA147" s="21" t="n">
        <x:f>Y147/(Y147+Z147)</x:f>
        <x:v>0.5681818181818182</x:v>
      </x:c>
    </x:row>
    <x:row r="148">
      <x:c r="A148" s="22" t="n">
        <x:f>wimbledons_champions!A156</x:f>
        <x:v>1948</x:v>
      </x:c>
      <x:c r="B148" s="25" t="str">
        <x:f>wimbledons_champions!B156</x:f>
        <x:v>Women's</x:v>
      </x:c>
      <x:c r="C148" s="25" t="inlineStr">
        <x:is>
          <x:t xml:space="preserve">A.L. Brough</x:t>
        </x:is>
      </x:c>
      <x:c r="D148" s="22" t="inlineStr">
        <x:is>
          <x:t xml:space="preserve">USA</x:t>
        </x:is>
      </x:c>
      <x:c r="E148" s="25" t="inlineStr">
        <x:is>
          <x:t xml:space="preserve">United States</x:t>
        </x:is>
      </x:c>
      <x:c r="F148" s="22" t="n">
        <x:v>2</x:v>
      </x:c>
      <x:c r="G148" s="22" t="n">
        <x:f>wimbledons_champions!G156</x:f>
        <x:v>76</x:v>
      </x:c>
      <x:c r="H148" s="25" t="str">
        <x:f>wimbledons_champions!H156</x:f>
        <x:v>6-3, 8-6,</x:v>
      </x:c>
      <x:c r="I148" s="25" t="inlineStr">
        <x:is>
          <x:t xml:space="preserve">D.J. Hart</x:t>
        </x:is>
      </x:c>
      <x:c r="J148" s="22" t="inlineStr">
        <x:is>
          <x:t xml:space="preserve">USA</x:t>
        </x:is>
      </x:c>
      <x:c r="K148" s="25" t="inlineStr">
        <x:is>
          <x:t xml:space="preserve">United States</x:t>
        </x:is>
      </x:c>
      <x:c r="L148" s="22" t="n">
        <x:v>4</x:v>
      </x:c>
      <x:c r="M148" s="18" t="n">
        <x:v>0.6086956521739131</x:v>
      </x:c>
      <x:c r="N148" s="18" t="n"/>
      <x:c r="O148" s="19" t="inlineStr">
        <x:is>
          <x:t xml:space="preserve">6</x:t>
        </x:is>
      </x:c>
      <x:c r="P148" s="19" t="n">
        <x:v>3</x:v>
      </x:c>
      <x:c r="Q148" s="19" t="n">
        <x:v>8</x:v>
      </x:c>
      <x:c r="R148" s="19" t="n">
        <x:v>6</x:v>
      </x:c>
      <x:c r="S148" s="19" t="n"/>
      <x:c r="T148" s="19" t="n"/>
      <x:c r="U148" s="19" t="n"/>
      <x:c r="V148" s="19" t="n"/>
      <x:c r="W148" s="19" t="n"/>
      <x:c r="X148" s="19" t="n"/>
      <x:c r="Y148" s="20" t="n">
        <x:f>SUM(O148+Q148+S148+U148+W148)</x:f>
        <x:v>14</x:v>
      </x:c>
      <x:c r="Z148" s="20" t="n">
        <x:f>SUM(P148+R148+T148+V148+X148)</x:f>
        <x:v>9</x:v>
      </x:c>
      <x:c r="AA148" s="21" t="n">
        <x:f>Y148/(Y148+Z148)</x:f>
        <x:v>0.6086956521739131</x:v>
      </x:c>
    </x:row>
    <x:row r="149">
      <x:c r="A149" s="22" t="n">
        <x:f>wimbledons_champions!A157</x:f>
        <x:v>1948</x:v>
      </x:c>
      <x:c r="B149" s="25" t="str">
        <x:f>wimbledons_champions!B157</x:f>
        <x:v>Men's</x:v>
      </x:c>
      <x:c r="C149" s="25" t="inlineStr">
        <x:is>
          <x:t xml:space="preserve">R. Falkenburg</x:t>
        </x:is>
      </x:c>
      <x:c r="D149" s="22" t="inlineStr">
        <x:is>
          <x:t xml:space="preserve">USA</x:t>
        </x:is>
      </x:c>
      <x:c r="E149" s="25" t="inlineStr">
        <x:is>
          <x:t xml:space="preserve">United States</x:t>
        </x:is>
      </x:c>
      <x:c r="F149" s="22" t="n">
        <x:v>7</x:v>
      </x:c>
      <x:c r="G149" s="22" t="n">
        <x:f>wimbledons_champions!G157</x:f>
        <x:v>125</x:v>
      </x:c>
      <x:c r="H149" s="25" t="str">
        <x:f>wimbledons_champions!H157</x:f>
        <x:v>7-5, 0-6, 6-2, 3-6, 7-5</x:v>
      </x:c>
      <x:c r="I149" s="25" t="inlineStr">
        <x:is>
          <x:t xml:space="preserve">J.E. Bromwich</x:t>
        </x:is>
      </x:c>
      <x:c r="J149" s="22" t="inlineStr">
        <x:is>
          <x:t xml:space="preserve">AUS</x:t>
        </x:is>
      </x:c>
      <x:c r="K149" s="25" t="inlineStr">
        <x:is>
          <x:t xml:space="preserve">Australia</x:t>
        </x:is>
      </x:c>
      <x:c r="L149" s="22" t="n">
        <x:v>2</x:v>
      </x:c>
      <x:c r="M149" s="18" t="n">
        <x:v>0.4893617021276596</x:v>
      </x:c>
      <x:c r="N149" s="18" t="n"/>
      <x:c r="O149" s="19" t="inlineStr">
        <x:is>
          <x:t xml:space="preserve">7</x:t>
        </x:is>
      </x:c>
      <x:c r="P149" s="19" t="n">
        <x:v>5</x:v>
      </x:c>
      <x:c r="Q149" s="19" t="n">
        <x:v>0</x:v>
      </x:c>
      <x:c r="R149" s="19" t="n">
        <x:v>6</x:v>
      </x:c>
      <x:c r="S149" s="19" t="n">
        <x:v>6</x:v>
      </x:c>
      <x:c r="T149" s="19" t="n">
        <x:v>2</x:v>
      </x:c>
      <x:c r="U149" s="19" t="n">
        <x:v>3</x:v>
      </x:c>
      <x:c r="V149" s="19" t="n">
        <x:v>6</x:v>
      </x:c>
      <x:c r="W149" s="19" t="inlineStr">
        <x:is>
          <x:t xml:space="preserve">7</x:t>
        </x:is>
      </x:c>
      <x:c r="X149" s="19" t="n">
        <x:v>5</x:v>
      </x:c>
      <x:c r="Y149" s="20" t="n">
        <x:f>SUM(O149+Q149+S149+U149+W149)</x:f>
        <x:v>23</x:v>
      </x:c>
      <x:c r="Z149" s="20" t="n">
        <x:f>SUM(P149+R149+T149+V149+X149)</x:f>
        <x:v>24</x:v>
      </x:c>
      <x:c r="AA149" s="21" t="n">
        <x:f>Y149/(Y149+Z149)</x:f>
        <x:v>0.48936170212765956</x:v>
      </x:c>
    </x:row>
    <x:row r="150">
      <x:c r="A150" s="22" t="n">
        <x:f>wimbledons_champions!A158</x:f>
        <x:v>1947</x:v>
      </x:c>
      <x:c r="B150" s="25" t="str">
        <x:f>wimbledons_champions!B158</x:f>
        <x:v>Women's</x:v>
      </x:c>
      <x:c r="C150" s="25" t="inlineStr">
        <x:is>
          <x:t xml:space="preserve">M.E. Osborne</x:t>
        </x:is>
      </x:c>
      <x:c r="D150" s="22" t="inlineStr">
        <x:is>
          <x:t xml:space="preserve">USA</x:t>
        </x:is>
      </x:c>
      <x:c r="E150" s="25" t="inlineStr">
        <x:is>
          <x:t xml:space="preserve">United States</x:t>
        </x:is>
      </x:c>
      <x:c r="F150" s="22" t="n">
        <x:v>1</x:v>
      </x:c>
      <x:c r="G150" s="22" t="n">
        <x:f>wimbledons_champions!G158</x:f>
        <x:v>0</x:v>
      </x:c>
      <x:c r="H150" s="25" t="str">
        <x:f>wimbledons_champions!H158</x:f>
        <x:v>6-2, 6-4,</x:v>
      </x:c>
      <x:c r="I150" s="25" t="inlineStr">
        <x:is>
          <x:t xml:space="preserve">D.J. Hart</x:t>
        </x:is>
      </x:c>
      <x:c r="J150" s="22" t="inlineStr">
        <x:is>
          <x:t xml:space="preserve">USA</x:t>
        </x:is>
      </x:c>
      <x:c r="K150" s="25" t="inlineStr">
        <x:is>
          <x:t xml:space="preserve">United States</x:t>
        </x:is>
      </x:c>
      <x:c r="L150" s="22" t="n">
        <x:v>3</x:v>
      </x:c>
      <x:c r="M150" s="18" t="n">
        <x:v>0.6666666666666666</x:v>
      </x:c>
      <x:c r="N150" s="18" t="n"/>
      <x:c r="O150" s="19" t="inlineStr">
        <x:is>
          <x:t xml:space="preserve">6</x:t>
        </x:is>
      </x:c>
      <x:c r="P150" s="19" t="n">
        <x:v>2</x:v>
      </x:c>
      <x:c r="Q150" s="19" t="n">
        <x:v>6</x:v>
      </x:c>
      <x:c r="R150" s="19" t="n">
        <x:v>4</x:v>
      </x:c>
      <x:c r="S150" s="19" t="n"/>
      <x:c r="T150" s="19" t="n"/>
      <x:c r="U150" s="19" t="n"/>
      <x:c r="V150" s="19" t="n"/>
      <x:c r="W150" s="19" t="n"/>
      <x:c r="X150" s="19" t="n"/>
      <x:c r="Y150" s="20" t="n">
        <x:f>SUM(O150+Q150+S150+U150+W150)</x:f>
        <x:v>12</x:v>
      </x:c>
      <x:c r="Z150" s="20" t="n">
        <x:f>SUM(P150+R150+T150+V150+X150)</x:f>
        <x:v>6</x:v>
      </x:c>
      <x:c r="AA150" s="21" t="n">
        <x:f>Y150/(Y150+Z150)</x:f>
        <x:v>0.6666666666666666</x:v>
      </x:c>
    </x:row>
    <x:row r="151">
      <x:c r="A151" s="22" t="n">
        <x:f>wimbledons_champions!A159</x:f>
        <x:v>1947</x:v>
      </x:c>
      <x:c r="B151" s="25" t="str">
        <x:f>wimbledons_champions!B159</x:f>
        <x:v>Men's</x:v>
      </x:c>
      <x:c r="C151" s="25" t="inlineStr">
        <x:is>
          <x:t xml:space="preserve">J.A. Kramer</x:t>
        </x:is>
      </x:c>
      <x:c r="D151" s="22" t="inlineStr">
        <x:is>
          <x:t xml:space="preserve">USA</x:t>
        </x:is>
      </x:c>
      <x:c r="E151" s="25" t="inlineStr">
        <x:is>
          <x:t xml:space="preserve">United States</x:t>
        </x:is>
      </x:c>
      <x:c r="F151" s="22" t="n">
        <x:v>1</x:v>
      </x:c>
      <x:c r="G151" s="22" t="n">
        <x:f>wimbledons_champions!G159</x:f>
        <x:v>45</x:v>
      </x:c>
      <x:c r="H151" s="25" t="str">
        <x:f>wimbledons_champions!H159</x:f>
        <x:v>6-1, 6-3, 6-2</x:v>
      </x:c>
      <x:c r="I151" s="25" t="inlineStr">
        <x:is>
          <x:t xml:space="preserve">T.P. Brown</x:t>
        </x:is>
      </x:c>
      <x:c r="J151" s="22" t="inlineStr">
        <x:is>
          <x:t xml:space="preserve">USA</x:t>
        </x:is>
      </x:c>
      <x:c r="K151" s="25" t="inlineStr">
        <x:is>
          <x:t xml:space="preserve">United States</x:t>
        </x:is>
      </x:c>
      <x:c r="L151" s="22" t="n">
        <x:v>3</x:v>
      </x:c>
      <x:c r="M151" s="18" t="n">
        <x:v>0.75</x:v>
      </x:c>
      <x:c r="N151" s="18" t="n"/>
      <x:c r="O151" s="19" t="inlineStr">
        <x:is>
          <x:t xml:space="preserve">6</x:t>
        </x:is>
      </x:c>
      <x:c r="P151" s="19" t="n">
        <x:v>1</x:v>
      </x:c>
      <x:c r="Q151" s="19" t="n">
        <x:v>6</x:v>
      </x:c>
      <x:c r="R151" s="19" t="n">
        <x:v>3</x:v>
      </x:c>
      <x:c r="S151" s="19" t="n">
        <x:v>6</x:v>
      </x:c>
      <x:c r="T151" s="19" t="n">
        <x:v>2</x:v>
      </x:c>
      <x:c r="U151" s="19" t="n"/>
      <x:c r="V151" s="19" t="n"/>
      <x:c r="W151" s="19" t="n"/>
      <x:c r="X151" s="19" t="n"/>
      <x:c r="Y151" s="20" t="n">
        <x:f>SUM(O151+Q151+S151+U151+W151)</x:f>
        <x:v>18</x:v>
      </x:c>
      <x:c r="Z151" s="20" t="n">
        <x:f>SUM(P151+R151+T151+V151+X151)</x:f>
        <x:v>6</x:v>
      </x:c>
      <x:c r="AA151" s="21" t="n">
        <x:f>Y151/(Y151+Z151)</x:f>
        <x:v>0.75</x:v>
      </x:c>
    </x:row>
    <x:row r="152">
      <x:c r="A152" s="22" t="n">
        <x:f>wimbledons_champions!A160</x:f>
        <x:v>1946</x:v>
      </x:c>
      <x:c r="B152" s="25" t="str">
        <x:f>wimbledons_champions!B160</x:f>
        <x:v>Women's</x:v>
      </x:c>
      <x:c r="C152" s="25" t="inlineStr">
        <x:is>
          <x:t xml:space="preserve">P.M. Betz</x:t>
        </x:is>
      </x:c>
      <x:c r="D152" s="22" t="inlineStr">
        <x:is>
          <x:t xml:space="preserve">USA</x:t>
        </x:is>
      </x:c>
      <x:c r="E152" s="25" t="inlineStr">
        <x:is>
          <x:t xml:space="preserve">United States</x:t>
        </x:is>
      </x:c>
      <x:c r="F152" s="22" t="n">
        <x:v>1</x:v>
      </x:c>
      <x:c r="G152" s="22" t="n">
        <x:f>wimbledons_champions!G160</x:f>
        <x:v>0</x:v>
      </x:c>
      <x:c r="H152" s="25" t="str">
        <x:f>wimbledons_champions!H160</x:f>
        <x:v>6-2, 6-4,</x:v>
      </x:c>
      <x:c r="I152" s="25" t="inlineStr">
        <x:is>
          <x:t xml:space="preserve">A.L. Brough</x:t>
        </x:is>
      </x:c>
      <x:c r="J152" s="22" t="inlineStr">
        <x:is>
          <x:t xml:space="preserve">USA</x:t>
        </x:is>
      </x:c>
      <x:c r="K152" s="25" t="inlineStr">
        <x:is>
          <x:t xml:space="preserve">United States</x:t>
        </x:is>
      </x:c>
      <x:c r="L152" s="22" t="n">
        <x:v>3</x:v>
      </x:c>
      <x:c r="M152" s="18" t="n">
        <x:v>0.6666666666666666</x:v>
      </x:c>
      <x:c r="N152" s="18" t="n"/>
      <x:c r="O152" s="19" t="inlineStr">
        <x:is>
          <x:t xml:space="preserve">6</x:t>
        </x:is>
      </x:c>
      <x:c r="P152" s="19" t="n">
        <x:v>2</x:v>
      </x:c>
      <x:c r="Q152" s="19" t="n">
        <x:v>6</x:v>
      </x:c>
      <x:c r="R152" s="19" t="n">
        <x:v>4</x:v>
      </x:c>
      <x:c r="S152" s="19" t="n"/>
      <x:c r="T152" s="19" t="n"/>
      <x:c r="U152" s="19" t="n"/>
      <x:c r="V152" s="19" t="n"/>
      <x:c r="W152" s="19" t="n"/>
      <x:c r="X152" s="19" t="n"/>
      <x:c r="Y152" s="20" t="n">
        <x:f>SUM(O152+Q152+S152+U152+W152)</x:f>
        <x:v>12</x:v>
      </x:c>
      <x:c r="Z152" s="20" t="n">
        <x:f>SUM(P152+R152+T152+V152+X152)</x:f>
        <x:v>6</x:v>
      </x:c>
      <x:c r="AA152" s="21" t="n">
        <x:f>Y152/(Y152+Z152)</x:f>
        <x:v>0.6666666666666666</x:v>
      </x:c>
    </x:row>
    <x:row r="153">
      <x:c r="A153" s="22" t="n">
        <x:f>wimbledons_champions!A161</x:f>
        <x:v>1946</x:v>
      </x:c>
      <x:c r="B153" s="25" t="str">
        <x:f>wimbledons_champions!B161</x:f>
        <x:v>Men's</x:v>
      </x:c>
      <x:c r="C153" s="25" t="inlineStr">
        <x:is>
          <x:t xml:space="preserve">Y.F.M. Petra</x:t>
        </x:is>
      </x:c>
      <x:c r="D153" s="22" t="inlineStr">
        <x:is>
          <x:t xml:space="preserve">FRA</x:t>
        </x:is>
      </x:c>
      <x:c r="E153" s="25" t="inlineStr">
        <x:is>
          <x:t xml:space="preserve">France</x:t>
        </x:is>
      </x:c>
      <x:c r="F153" s="22" t="n">
        <x:v>5</x:v>
      </x:c>
      <x:c r="G153" s="22" t="n">
        <x:f>wimbledons_champions!G161</x:f>
        <x:v>0</x:v>
      </x:c>
      <x:c r="H153" s="25" t="str">
        <x:f>wimbledons_champions!H161</x:f>
        <x:v>6-2, 6-4, 7-9, 5-7, 6-4</x:v>
      </x:c>
      <x:c r="I153" s="25" t="inlineStr">
        <x:is>
          <x:t xml:space="preserve">G.E. Brown</x:t>
        </x:is>
      </x:c>
      <x:c r="J153" s="22" t="inlineStr">
        <x:is>
          <x:t xml:space="preserve">AUS</x:t>
        </x:is>
      </x:c>
      <x:c r="K153" s="25" t="inlineStr">
        <x:is>
          <x:t xml:space="preserve">Australia</x:t>
        </x:is>
      </x:c>
      <x:c r="L153" s="22" t="n">
        <x:v>3</x:v>
      </x:c>
      <x:c r="M153" s="18" t="n">
        <x:v>0.5357142857142857</x:v>
      </x:c>
      <x:c r="N153" s="18" t="n"/>
      <x:c r="O153" s="19" t="inlineStr">
        <x:is>
          <x:t xml:space="preserve">6</x:t>
        </x:is>
      </x:c>
      <x:c r="P153" s="19" t="n">
        <x:v>2</x:v>
      </x:c>
      <x:c r="Q153" s="19" t="n">
        <x:v>6</x:v>
      </x:c>
      <x:c r="R153" s="19" t="n">
        <x:v>4</x:v>
      </x:c>
      <x:c r="S153" s="19" t="n">
        <x:v>7</x:v>
      </x:c>
      <x:c r="T153" s="19" t="n">
        <x:v>9</x:v>
      </x:c>
      <x:c r="U153" s="19" t="n">
        <x:v>5</x:v>
      </x:c>
      <x:c r="V153" s="19" t="n">
        <x:v>7</x:v>
      </x:c>
      <x:c r="W153" s="19" t="inlineStr">
        <x:is>
          <x:t xml:space="preserve">6</x:t>
        </x:is>
      </x:c>
      <x:c r="X153" s="19" t="n">
        <x:v>4</x:v>
      </x:c>
      <x:c r="Y153" s="20" t="n">
        <x:f>SUM(O153+Q153+S153+U153+W153)</x:f>
        <x:v>30</x:v>
      </x:c>
      <x:c r="Z153" s="20" t="n">
        <x:f>SUM(P153+R153+T153+V153+X153)</x:f>
        <x:v>26</x:v>
      </x:c>
      <x:c r="AA153" s="21" t="n">
        <x:f>Y153/(Y153+Z153)</x:f>
        <x:v>0.5357142857142857</x:v>
      </x:c>
    </x:row>
    <x:row r="154">
      <x:c r="A154" s="22" t="n">
        <x:f>wimbledons_champions!A162</x:f>
        <x:v>1939</x:v>
      </x:c>
      <x:c r="B154" s="25" t="str">
        <x:f>wimbledons_champions!B162</x:f>
        <x:v>Women's</x:v>
      </x:c>
      <x:c r="C154" s="25" t="inlineStr">
        <x:is>
          <x:t xml:space="preserve">A. Marble</x:t>
        </x:is>
      </x:c>
      <x:c r="D154" s="22" t="inlineStr">
        <x:is>
          <x:t xml:space="preserve">USA</x:t>
        </x:is>
      </x:c>
      <x:c r="E154" s="25" t="inlineStr">
        <x:is>
          <x:t xml:space="preserve">United States</x:t>
        </x:is>
      </x:c>
      <x:c r="F154" s="22" t="n">
        <x:v>1</x:v>
      </x:c>
      <x:c r="G154" s="22" t="n">
        <x:f>wimbledons_champions!G162</x:f>
        <x:v>30</x:v>
      </x:c>
      <x:c r="H154" s="25" t="str">
        <x:f>wimbledons_champions!H162</x:f>
        <x:v>6-2, 6-0</x:v>
      </x:c>
      <x:c r="I154" s="25" t="inlineStr">
        <x:is>
          <x:t xml:space="preserve">K.E. Stammers</x:t>
        </x:is>
      </x:c>
      <x:c r="J154" s="22" t="inlineStr">
        <x:is>
          <x:t xml:space="preserve">GBR</x:t>
        </x:is>
      </x:c>
      <x:c r="K154" s="25" t="inlineStr">
        <x:is>
          <x:t xml:space="preserve">United Kingdom</x:t>
        </x:is>
      </x:c>
      <x:c r="L154" s="22" t="n">
        <x:v>6</x:v>
      </x:c>
      <x:c r="M154" s="18" t="n">
        <x:v>0.8571428571428571</x:v>
      </x:c>
      <x:c r="N154" s="18" t="n"/>
      <x:c r="O154" s="19" t="inlineStr">
        <x:is>
          <x:t xml:space="preserve">6</x:t>
        </x:is>
      </x:c>
      <x:c r="P154" s="19" t="n">
        <x:v>2</x:v>
      </x:c>
      <x:c r="Q154" s="19" t="n">
        <x:v>6</x:v>
      </x:c>
      <x:c r="R154" s="19" t="n">
        <x:v>0</x:v>
      </x:c>
      <x:c r="S154" s="19" t="n"/>
      <x:c r="T154" s="19" t="n"/>
      <x:c r="U154" s="19" t="n"/>
      <x:c r="V154" s="19" t="n"/>
      <x:c r="W154" s="19" t="n"/>
      <x:c r="X154" s="19" t="n"/>
      <x:c r="Y154" s="20" t="n">
        <x:f>SUM(O154+Q154+S154+U154+W154)</x:f>
        <x:v>12</x:v>
      </x:c>
      <x:c r="Z154" s="20" t="n">
        <x:f>SUM(P154+R154+T154+V154+X154)</x:f>
        <x:v>2</x:v>
      </x:c>
      <x:c r="AA154" s="21" t="n">
        <x:f>Y154/(Y154+Z154)</x:f>
        <x:v>0.8571428571428571</x:v>
      </x:c>
    </x:row>
    <x:row r="155">
      <x:c r="A155" s="22" t="n">
        <x:f>wimbledons_champions!A163</x:f>
        <x:v>1939</x:v>
      </x:c>
      <x:c r="B155" s="25" t="str">
        <x:f>wimbledons_champions!B163</x:f>
        <x:v>Men's</x:v>
      </x:c>
      <x:c r="C155" s="25" t="inlineStr">
        <x:is>
          <x:t xml:space="preserve">R.L. Riggs</x:t>
        </x:is>
      </x:c>
      <x:c r="D155" s="22" t="inlineStr">
        <x:is>
          <x:t xml:space="preserve">USA</x:t>
        </x:is>
      </x:c>
      <x:c r="E155" s="25" t="inlineStr">
        <x:is>
          <x:t xml:space="preserve">United States</x:t>
        </x:is>
      </x:c>
      <x:c r="F155" s="22" t="n">
        <x:v>2</x:v>
      </x:c>
      <x:c r="G155" s="22" t="n">
        <x:f>wimbledons_champions!G163</x:f>
        <x:v>135</x:v>
      </x:c>
      <x:c r="H155" s="25" t="str">
        <x:f>wimbledons_champions!H163</x:f>
        <x:v>2-6, 8-6, 3-6, 6-3, 6-2</x:v>
      </x:c>
      <x:c r="I155" s="25" t="inlineStr">
        <x:is>
          <x:t xml:space="preserve">E.T. Cooke</x:t>
        </x:is>
      </x:c>
      <x:c r="J155" s="22" t="inlineStr">
        <x:is>
          <x:t xml:space="preserve">USA</x:t>
        </x:is>
      </x:c>
      <x:c r="K155" s="25" t="inlineStr">
        <x:is>
          <x:t xml:space="preserve">United States</x:t>
        </x:is>
      </x:c>
      <x:c r="L155" s="22" t="n">
        <x:v>6</x:v>
      </x:c>
      <x:c r="M155" s="18" t="n">
        <x:v>0.5208333333333334</x:v>
      </x:c>
      <x:c r="N155" s="18" t="n"/>
      <x:c r="O155" s="19" t="inlineStr">
        <x:is>
          <x:t xml:space="preserve">2</x:t>
        </x:is>
      </x:c>
      <x:c r="P155" s="19" t="n">
        <x:v>6</x:v>
      </x:c>
      <x:c r="Q155" s="19" t="n">
        <x:v>8</x:v>
      </x:c>
      <x:c r="R155" s="19" t="n">
        <x:v>6</x:v>
      </x:c>
      <x:c r="S155" s="19" t="n">
        <x:v>3</x:v>
      </x:c>
      <x:c r="T155" s="19" t="n">
        <x:v>6</x:v>
      </x:c>
      <x:c r="U155" s="19" t="n">
        <x:v>6</x:v>
      </x:c>
      <x:c r="V155" s="19" t="n">
        <x:v>3</x:v>
      </x:c>
      <x:c r="W155" s="19" t="inlineStr">
        <x:is>
          <x:t xml:space="preserve">6</x:t>
        </x:is>
      </x:c>
      <x:c r="X155" s="19" t="n">
        <x:v>2</x:v>
      </x:c>
      <x:c r="Y155" s="20" t="n">
        <x:f>SUM(O155+Q155+S155+U155+W155)</x:f>
        <x:v>25</x:v>
      </x:c>
      <x:c r="Z155" s="20" t="n">
        <x:f>SUM(P155+R155+T155+V155+X155)</x:f>
        <x:v>23</x:v>
      </x:c>
      <x:c r="AA155" s="21" t="n">
        <x:f>Y155/(Y155+Z155)</x:f>
        <x:v>0.5208333333333334</x:v>
      </x:c>
    </x:row>
    <x:row r="156">
      <x:c r="A156" s="22" t="n">
        <x:f>wimbledons_champions!A164</x:f>
        <x:v>1938</x:v>
      </x:c>
      <x:c r="B156" s="25" t="str">
        <x:f>wimbledons_champions!B164</x:f>
        <x:v>Women's</x:v>
      </x:c>
      <x:c r="C156" s="25" t="inlineStr">
        <x:is>
          <x:t xml:space="preserve">H.W. Moody</x:t>
        </x:is>
      </x:c>
      <x:c r="D156" s="22" t="inlineStr">
        <x:is>
          <x:t xml:space="preserve">USA</x:t>
        </x:is>
      </x:c>
      <x:c r="E156" s="25" t="inlineStr">
        <x:is>
          <x:t xml:space="preserve">United States</x:t>
        </x:is>
      </x:c>
      <x:c r="F156" s="22" t="n">
        <x:v>1</x:v>
      </x:c>
      <x:c r="G156" s="22" t="n">
        <x:f>wimbledons_champions!G164</x:f>
        <x:v>0</x:v>
      </x:c>
      <x:c r="H156" s="25" t="str">
        <x:f>wimbledons_champions!H164</x:f>
        <x:v>6-4, 6-0</x:v>
      </x:c>
      <x:c r="I156" s="25" t="inlineStr">
        <x:is>
          <x:t xml:space="preserve">H.H. Jacobs</x:t>
        </x:is>
      </x:c>
      <x:c r="J156" s="22" t="inlineStr">
        <x:is>
          <x:t xml:space="preserve">USA</x:t>
        </x:is>
      </x:c>
      <x:c r="K156" s="25" t="inlineStr">
        <x:is>
          <x:t xml:space="preserve">United States</x:t>
        </x:is>
      </x:c>
      <x:c r="L156" s="22" t="inlineStr">
        <x:is>
          <x:t xml:space="preserve">U</x:t>
        </x:is>
      </x:c>
      <x:c r="M156" s="18" t="n">
        <x:v>0.75</x:v>
      </x:c>
      <x:c r="N156" s="18" t="n"/>
      <x:c r="O156" s="19" t="inlineStr">
        <x:is>
          <x:t xml:space="preserve">6</x:t>
        </x:is>
      </x:c>
      <x:c r="P156" s="19" t="n">
        <x:v>4</x:v>
      </x:c>
      <x:c r="Q156" s="19" t="n">
        <x:v>6</x:v>
      </x:c>
      <x:c r="R156" s="19" t="n">
        <x:v>0</x:v>
      </x:c>
      <x:c r="S156" s="19" t="n"/>
      <x:c r="T156" s="19" t="n"/>
      <x:c r="U156" s="19" t="n"/>
      <x:c r="V156" s="19" t="n"/>
      <x:c r="W156" s="19" t="n"/>
      <x:c r="X156" s="19" t="n"/>
      <x:c r="Y156" s="20" t="n">
        <x:f>SUM(O156+Q156+S156+U156+W156)</x:f>
        <x:v>12</x:v>
      </x:c>
      <x:c r="Z156" s="20" t="n">
        <x:f>SUM(P156+R156+T156+V156+X156)</x:f>
        <x:v>4</x:v>
      </x:c>
      <x:c r="AA156" s="21" t="n">
        <x:f>Y156/(Y156+Z156)</x:f>
        <x:v>0.75</x:v>
      </x:c>
    </x:row>
    <x:row r="157">
      <x:c r="A157" s="22" t="n">
        <x:f>wimbledons_champions!A165</x:f>
        <x:v>1938</x:v>
      </x:c>
      <x:c r="B157" s="25" t="str">
        <x:f>wimbledons_champions!B165</x:f>
        <x:v>Men's</x:v>
      </x:c>
      <x:c r="C157" s="25" t="inlineStr">
        <x:is>
          <x:t xml:space="preserve">J.D. Budge</x:t>
        </x:is>
      </x:c>
      <x:c r="D157" s="22" t="inlineStr">
        <x:is>
          <x:t xml:space="preserve">USA</x:t>
        </x:is>
      </x:c>
      <x:c r="E157" s="25" t="inlineStr">
        <x:is>
          <x:t xml:space="preserve">United States</x:t>
        </x:is>
      </x:c>
      <x:c r="F157" s="22" t="n">
        <x:v>1</x:v>
      </x:c>
      <x:c r="G157" s="22" t="n">
        <x:f>wimbledons_champions!G165</x:f>
        <x:v>59</x:v>
      </x:c>
      <x:c r="H157" s="25" t="str">
        <x:f>wimbledons_champions!H165</x:f>
        <x:v>6-1, 6-0, 6-3</x:v>
      </x:c>
      <x:c r="I157" s="25" t="inlineStr">
        <x:is>
          <x:t xml:space="preserve">H.W. Austin</x:t>
        </x:is>
      </x:c>
      <x:c r="J157" s="22" t="inlineStr">
        <x:is>
          <x:t xml:space="preserve">GBR</x:t>
        </x:is>
      </x:c>
      <x:c r="K157" s="25" t="inlineStr">
        <x:is>
          <x:t xml:space="preserve">United Kingdom</x:t>
        </x:is>
      </x:c>
      <x:c r="L157" s="22" t="n">
        <x:v>2</x:v>
      </x:c>
      <x:c r="M157" s="18" t="n">
        <x:v>0.8181818181818182</x:v>
      </x:c>
      <x:c r="N157" s="18" t="n"/>
      <x:c r="O157" s="19" t="inlineStr">
        <x:is>
          <x:t xml:space="preserve">6</x:t>
        </x:is>
      </x:c>
      <x:c r="P157" s="19" t="n">
        <x:v>1</x:v>
      </x:c>
      <x:c r="Q157" s="19" t="n">
        <x:v>6</x:v>
      </x:c>
      <x:c r="R157" s="19" t="n">
        <x:v>0</x:v>
      </x:c>
      <x:c r="S157" s="19" t="n">
        <x:v>6</x:v>
      </x:c>
      <x:c r="T157" s="19" t="n">
        <x:v>3</x:v>
      </x:c>
      <x:c r="U157" s="19" t="n"/>
      <x:c r="V157" s="19" t="n"/>
      <x:c r="W157" s="19" t="n"/>
      <x:c r="X157" s="19" t="n"/>
      <x:c r="Y157" s="20" t="n">
        <x:f>SUM(O157+Q157+S157+U157+W157)</x:f>
        <x:v>18</x:v>
      </x:c>
      <x:c r="Z157" s="20" t="n">
        <x:f>SUM(P157+R157+T157+V157+X157)</x:f>
        <x:v>4</x:v>
      </x:c>
      <x:c r="AA157" s="21" t="n">
        <x:f>Y157/(Y157+Z157)</x:f>
        <x:v>0.8181818181818182</x:v>
      </x:c>
    </x:row>
    <x:row r="158">
      <x:c r="A158" s="22" t="n">
        <x:f>wimbledons_champions!A166</x:f>
        <x:v>1937</x:v>
      </x:c>
      <x:c r="B158" s="25" t="str">
        <x:f>wimbledons_champions!B166</x:f>
        <x:v>Women's</x:v>
      </x:c>
      <x:c r="C158" s="25" t="inlineStr">
        <x:is>
          <x:t xml:space="preserve">D.E. Round</x:t>
        </x:is>
      </x:c>
      <x:c r="D158" s="22" t="inlineStr">
        <x:is>
          <x:t xml:space="preserve">GBR</x:t>
        </x:is>
      </x:c>
      <x:c r="E158" s="25" t="inlineStr">
        <x:is>
          <x:t xml:space="preserve">United Kingdom</x:t>
        </x:is>
      </x:c>
      <x:c r="F158" s="22" t="n">
        <x:v>7</x:v>
      </x:c>
      <x:c r="G158" s="22" t="n">
        <x:f>wimbledons_champions!G166</x:f>
        <x:v>60</x:v>
      </x:c>
      <x:c r="H158" s="25" t="str">
        <x:f>wimbledons_champions!H166</x:f>
        <x:v>6-2, 2-6, 7-5</x:v>
      </x:c>
      <x:c r="I158" s="25" t="inlineStr">
        <x:is>
          <x:t xml:space="preserve">J. Jedrzejowska</x:t>
        </x:is>
      </x:c>
      <x:c r="J158" s="22" t="inlineStr">
        <x:is>
          <x:t xml:space="preserve">POL</x:t>
        </x:is>
      </x:c>
      <x:c r="K158" s="25" t="inlineStr">
        <x:is>
          <x:t xml:space="preserve">Poland</x:t>
        </x:is>
      </x:c>
      <x:c r="L158" s="22" t="n">
        <x:v>4</x:v>
      </x:c>
      <x:c r="M158" s="18" t="n">
        <x:v>0.5357142857142857</x:v>
      </x:c>
      <x:c r="N158" s="18" t="n"/>
      <x:c r="O158" s="19" t="inlineStr">
        <x:is>
          <x:t xml:space="preserve">6</x:t>
        </x:is>
      </x:c>
      <x:c r="P158" s="19" t="n">
        <x:v>2</x:v>
      </x:c>
      <x:c r="Q158" s="19" t="n">
        <x:v>2</x:v>
      </x:c>
      <x:c r="R158" s="19" t="n">
        <x:v>6</x:v>
      </x:c>
      <x:c r="S158" s="19" t="n">
        <x:v>7</x:v>
      </x:c>
      <x:c r="T158" s="19" t="n">
        <x:v>5</x:v>
      </x:c>
      <x:c r="U158" s="19" t="n"/>
      <x:c r="V158" s="19" t="n"/>
      <x:c r="W158" s="19" t="n"/>
      <x:c r="X158" s="19" t="n"/>
      <x:c r="Y158" s="20" t="n">
        <x:f>SUM(O158+Q158+S158+U158+W158)</x:f>
        <x:v>15</x:v>
      </x:c>
      <x:c r="Z158" s="20" t="n">
        <x:f>SUM(P158+R158+T158+V158+X158)</x:f>
        <x:v>13</x:v>
      </x:c>
      <x:c r="AA158" s="21" t="n">
        <x:f>Y158/(Y158+Z158)</x:f>
        <x:v>0.5357142857142857</x:v>
      </x:c>
    </x:row>
    <x:row r="159">
      <x:c r="A159" s="22" t="n">
        <x:f>wimbledons_champions!A167</x:f>
        <x:v>1937</x:v>
      </x:c>
      <x:c r="B159" s="25" t="str">
        <x:f>wimbledons_champions!B167</x:f>
        <x:v>Men's</x:v>
      </x:c>
      <x:c r="C159" s="25" t="inlineStr">
        <x:is>
          <x:t xml:space="preserve">J.D. Budge</x:t>
        </x:is>
      </x:c>
      <x:c r="D159" s="22" t="inlineStr">
        <x:is>
          <x:t xml:space="preserve">USA</x:t>
        </x:is>
      </x:c>
      <x:c r="E159" s="25" t="inlineStr">
        <x:is>
          <x:t xml:space="preserve">United States</x:t>
        </x:is>
      </x:c>
      <x:c r="F159" s="22" t="n">
        <x:v>1</x:v>
      </x:c>
      <x:c r="G159" s="22" t="n">
        <x:f>wimbledons_champions!G167</x:f>
        <x:v>65</x:v>
      </x:c>
      <x:c r="H159" s="25" t="str">
        <x:f>wimbledons_champions!H167</x:f>
        <x:v>6-3, 6-4, 6-2</x:v>
      </x:c>
      <x:c r="I159" s="25" t="inlineStr">
        <x:is>
          <x:t xml:space="preserve">G. von Cramm</x:t>
        </x:is>
      </x:c>
      <x:c r="J159" s="22" t="inlineStr">
        <x:is>
          <x:t xml:space="preserve">GER</x:t>
        </x:is>
      </x:c>
      <x:c r="K159" s="25" t="inlineStr">
        <x:is>
          <x:t xml:space="preserve">Germany</x:t>
        </x:is>
      </x:c>
      <x:c r="L159" s="22" t="n">
        <x:v>2</x:v>
      </x:c>
      <x:c r="M159" s="18" t="n">
        <x:v>0.6666666666666666</x:v>
      </x:c>
      <x:c r="N159" s="18" t="n"/>
      <x:c r="O159" s="19" t="inlineStr">
        <x:is>
          <x:t xml:space="preserve">6</x:t>
        </x:is>
      </x:c>
      <x:c r="P159" s="19" t="n">
        <x:v>3</x:v>
      </x:c>
      <x:c r="Q159" s="19" t="n">
        <x:v>6</x:v>
      </x:c>
      <x:c r="R159" s="19" t="n">
        <x:v>4</x:v>
      </x:c>
      <x:c r="S159" s="19" t="n">
        <x:v>6</x:v>
      </x:c>
      <x:c r="T159" s="19" t="n">
        <x:v>2</x:v>
      </x:c>
      <x:c r="U159" s="19" t="n"/>
      <x:c r="V159" s="19" t="n"/>
      <x:c r="W159" s="19" t="n"/>
      <x:c r="X159" s="19" t="n"/>
      <x:c r="Y159" s="20" t="n">
        <x:f>SUM(O159+Q159+S159+U159+W159)</x:f>
        <x:v>18</x:v>
      </x:c>
      <x:c r="Z159" s="20" t="n">
        <x:f>SUM(P159+R159+T159+V159+X159)</x:f>
        <x:v>9</x:v>
      </x:c>
      <x:c r="AA159" s="21" t="n">
        <x:f>Y159/(Y159+Z159)</x:f>
        <x:v>0.6666666666666666</x:v>
      </x:c>
    </x:row>
    <x:row r="160">
      <x:c r="A160" s="22" t="n">
        <x:f>wimbledons_champions!A168</x:f>
        <x:v>1936</x:v>
      </x:c>
      <x:c r="B160" s="25" t="str">
        <x:f>wimbledons_champions!B168</x:f>
        <x:v>Women's</x:v>
      </x:c>
      <x:c r="C160" s="25" t="inlineStr">
        <x:is>
          <x:t xml:space="preserve">H.H. Jacobs</x:t>
        </x:is>
      </x:c>
      <x:c r="D160" s="22" t="inlineStr">
        <x:is>
          <x:t xml:space="preserve">USA</x:t>
        </x:is>
      </x:c>
      <x:c r="E160" s="25" t="inlineStr">
        <x:is>
          <x:t xml:space="preserve">United States</x:t>
        </x:is>
      </x:c>
      <x:c r="F160" s="22" t="n">
        <x:v>2</x:v>
      </x:c>
      <x:c r="G160" s="22" t="n">
        <x:f>wimbledons_champions!G168</x:f>
        <x:v>101</x:v>
      </x:c>
      <x:c r="H160" s="25" t="str">
        <x:f>wimbledons_champions!H168</x:f>
        <x:v>6-2, 4-6, 7-5</x:v>
      </x:c>
      <x:c r="I160" s="25" t="inlineStr">
        <x:is>
          <x:t xml:space="preserve">S. Sperling</x:t>
        </x:is>
      </x:c>
      <x:c r="J160" s="22" t="inlineStr">
        <x:is>
          <x:t xml:space="preserve">GER</x:t>
        </x:is>
      </x:c>
      <x:c r="K160" s="25" t="inlineStr">
        <x:is>
          <x:t xml:space="preserve">Germany</x:t>
        </x:is>
      </x:c>
      <x:c r="L160" s="22" t="n">
        <x:v>5</x:v>
      </x:c>
      <x:c r="M160" s="18" t="n">
        <x:v>0.5666666666666667</x:v>
      </x:c>
      <x:c r="N160" s="18" t="n"/>
      <x:c r="O160" s="19" t="inlineStr">
        <x:is>
          <x:t xml:space="preserve">6</x:t>
        </x:is>
      </x:c>
      <x:c r="P160" s="19" t="n">
        <x:v>2</x:v>
      </x:c>
      <x:c r="Q160" s="19" t="n">
        <x:v>4</x:v>
      </x:c>
      <x:c r="R160" s="19" t="n">
        <x:v>6</x:v>
      </x:c>
      <x:c r="S160" s="19" t="n">
        <x:v>7</x:v>
      </x:c>
      <x:c r="T160" s="19" t="n">
        <x:v>5</x:v>
      </x:c>
      <x:c r="U160" s="19" t="n"/>
      <x:c r="V160" s="19" t="n"/>
      <x:c r="W160" s="19" t="n"/>
      <x:c r="X160" s="19" t="n"/>
      <x:c r="Y160" s="20" t="n">
        <x:f>SUM(O160+Q160+S160+U160+W160)</x:f>
        <x:v>17</x:v>
      </x:c>
      <x:c r="Z160" s="20" t="n">
        <x:f>SUM(P160+R160+T160+V160+X160)</x:f>
        <x:v>13</x:v>
      </x:c>
      <x:c r="AA160" s="21" t="n">
        <x:f>Y160/(Y160+Z160)</x:f>
        <x:v>0.5666666666666667</x:v>
      </x:c>
    </x:row>
    <x:row r="161">
      <x:c r="A161" s="22" t="n">
        <x:f>wimbledons_champions!A169</x:f>
        <x:v>1936</x:v>
      </x:c>
      <x:c r="B161" s="25" t="str">
        <x:f>wimbledons_champions!B169</x:f>
        <x:v>Men's</x:v>
      </x:c>
      <x:c r="C161" s="25" t="inlineStr">
        <x:is>
          <x:t xml:space="preserve">F.J. Perry</x:t>
        </x:is>
      </x:c>
      <x:c r="D161" s="22" t="inlineStr">
        <x:is>
          <x:t xml:space="preserve">GBR</x:t>
        </x:is>
      </x:c>
      <x:c r="E161" s="25" t="inlineStr">
        <x:is>
          <x:t xml:space="preserve">United Kingdom</x:t>
        </x:is>
      </x:c>
      <x:c r="F161" s="22" t="n">
        <x:v>1</x:v>
      </x:c>
      <x:c r="G161" s="22" t="n">
        <x:f>wimbledons_champions!G169</x:f>
        <x:v>40</x:v>
      </x:c>
      <x:c r="H161" s="25" t="str">
        <x:f>wimbledons_champions!H169</x:f>
        <x:v>6-1, 6-1, 6-0</x:v>
      </x:c>
      <x:c r="I161" s="25" t="inlineStr">
        <x:is>
          <x:t xml:space="preserve">G. von Cramm</x:t>
        </x:is>
      </x:c>
      <x:c r="J161" s="22" t="inlineStr">
        <x:is>
          <x:t xml:space="preserve">GER</x:t>
        </x:is>
      </x:c>
      <x:c r="K161" s="25" t="inlineStr">
        <x:is>
          <x:t xml:space="preserve">Germany</x:t>
        </x:is>
      </x:c>
      <x:c r="L161" s="22" t="n">
        <x:v>2</x:v>
      </x:c>
      <x:c r="M161" s="18" t="n">
        <x:v>0.9</x:v>
      </x:c>
      <x:c r="N161" s="18" t="n"/>
      <x:c r="O161" s="19" t="inlineStr">
        <x:is>
          <x:t xml:space="preserve">6</x:t>
        </x:is>
      </x:c>
      <x:c r="P161" s="19" t="n">
        <x:v>1</x:v>
      </x:c>
      <x:c r="Q161" s="19" t="n">
        <x:v>6</x:v>
      </x:c>
      <x:c r="R161" s="19" t="n">
        <x:v>1</x:v>
      </x:c>
      <x:c r="S161" s="19" t="n">
        <x:v>6</x:v>
      </x:c>
      <x:c r="T161" s="19" t="n">
        <x:v>0</x:v>
      </x:c>
      <x:c r="U161" s="19" t="n"/>
      <x:c r="V161" s="19" t="n"/>
      <x:c r="W161" s="19" t="n"/>
      <x:c r="X161" s="19" t="n"/>
      <x:c r="Y161" s="20" t="n">
        <x:f>SUM(O161+Q161+S161+U161+W161)</x:f>
        <x:v>18</x:v>
      </x:c>
      <x:c r="Z161" s="20" t="n">
        <x:f>SUM(P161+R161+T161+V161+X161)</x:f>
        <x:v>2</x:v>
      </x:c>
      <x:c r="AA161" s="21" t="n">
        <x:f>Y161/(Y161+Z161)</x:f>
        <x:v>0.9</x:v>
      </x:c>
    </x:row>
    <x:row r="162">
      <x:c r="A162" s="22" t="n">
        <x:f>wimbledons_champions!A170</x:f>
        <x:v>1935</x:v>
      </x:c>
      <x:c r="B162" s="25" t="str">
        <x:f>wimbledons_champions!B170</x:f>
        <x:v>Women's</x:v>
      </x:c>
      <x:c r="C162" s="25" t="inlineStr">
        <x:is>
          <x:t xml:space="preserve">H.W. Moody</x:t>
        </x:is>
      </x:c>
      <x:c r="D162" s="22" t="inlineStr">
        <x:is>
          <x:t xml:space="preserve">USA</x:t>
        </x:is>
      </x:c>
      <x:c r="E162" s="25" t="inlineStr">
        <x:is>
          <x:t xml:space="preserve">United States</x:t>
        </x:is>
      </x:c>
      <x:c r="F162" s="22" t="n">
        <x:v>4</x:v>
      </x:c>
      <x:c r="G162" s="22" t="n">
        <x:f>wimbledons_champions!G170</x:f>
        <x:v>100</x:v>
      </x:c>
      <x:c r="H162" s="25" t="str">
        <x:f>wimbledons_champions!H170</x:f>
        <x:v>6-3, 3-6, 7-5</x:v>
      </x:c>
      <x:c r="I162" s="25" t="inlineStr">
        <x:is>
          <x:t xml:space="preserve">H.H. Jacobs</x:t>
        </x:is>
      </x:c>
      <x:c r="J162" s="22" t="inlineStr">
        <x:is>
          <x:t xml:space="preserve">USA</x:t>
        </x:is>
      </x:c>
      <x:c r="K162" s="25" t="inlineStr">
        <x:is>
          <x:t xml:space="preserve">United States</x:t>
        </x:is>
      </x:c>
      <x:c r="L162" s="22" t="n">
        <x:v>3</x:v>
      </x:c>
      <x:c r="M162" s="18" t="n">
        <x:v>0.5333333333333333</x:v>
      </x:c>
      <x:c r="N162" s="18" t="n"/>
      <x:c r="O162" s="19" t="inlineStr">
        <x:is>
          <x:t xml:space="preserve">6</x:t>
        </x:is>
      </x:c>
      <x:c r="P162" s="19" t="n">
        <x:v>3</x:v>
      </x:c>
      <x:c r="Q162" s="19" t="n">
        <x:v>3</x:v>
      </x:c>
      <x:c r="R162" s="19" t="n">
        <x:v>6</x:v>
      </x:c>
      <x:c r="S162" s="19" t="n">
        <x:v>7</x:v>
      </x:c>
      <x:c r="T162" s="19" t="n">
        <x:v>5</x:v>
      </x:c>
      <x:c r="U162" s="19" t="n"/>
      <x:c r="V162" s="19" t="n"/>
      <x:c r="W162" s="19" t="n"/>
      <x:c r="X162" s="19" t="n"/>
      <x:c r="Y162" s="20" t="n">
        <x:f>SUM(O162+Q162+S162+U162+W162)</x:f>
        <x:v>16</x:v>
      </x:c>
      <x:c r="Z162" s="20" t="n">
        <x:f>SUM(P162+R162+T162+V162+X162)</x:f>
        <x:v>14</x:v>
      </x:c>
      <x:c r="AA162" s="21" t="n">
        <x:f>Y162/(Y162+Z162)</x:f>
        <x:v>0.5333333333333333</x:v>
      </x:c>
    </x:row>
    <x:row r="163">
      <x:c r="A163" s="22" t="n">
        <x:f>wimbledons_champions!A171</x:f>
        <x:v>1935</x:v>
      </x:c>
      <x:c r="B163" s="25" t="str">
        <x:f>wimbledons_champions!B171</x:f>
        <x:v>Men's</x:v>
      </x:c>
      <x:c r="C163" s="25" t="inlineStr">
        <x:is>
          <x:t xml:space="preserve">F.J. Perry</x:t>
        </x:is>
      </x:c>
      <x:c r="D163" s="22" t="inlineStr">
        <x:is>
          <x:t xml:space="preserve">GBR</x:t>
        </x:is>
      </x:c>
      <x:c r="E163" s="25" t="inlineStr">
        <x:is>
          <x:t xml:space="preserve">United Kingdom</x:t>
        </x:is>
      </x:c>
      <x:c r="F163" s="22" t="n">
        <x:v>1</x:v>
      </x:c>
      <x:c r="G163" s="22" t="n">
        <x:f>wimbledons_champions!G171</x:f>
        <x:v>80</x:v>
      </x:c>
      <x:c r="H163" s="25" t="str">
        <x:f>wimbledons_champions!H171</x:f>
        <x:v>6-2, 6-4, 6-4</x:v>
      </x:c>
      <x:c r="I163" s="25" t="inlineStr">
        <x:is>
          <x:t xml:space="preserve">G. von Cramm</x:t>
        </x:is>
      </x:c>
      <x:c r="J163" s="22" t="inlineStr">
        <x:is>
          <x:t xml:space="preserve">GER</x:t>
        </x:is>
      </x:c>
      <x:c r="K163" s="25" t="inlineStr">
        <x:is>
          <x:t xml:space="preserve">Germany</x:t>
        </x:is>
      </x:c>
      <x:c r="L163" s="22" t="n">
        <x:v>2</x:v>
      </x:c>
      <x:c r="M163" s="18" t="n">
        <x:v>0.6428571428571429</x:v>
      </x:c>
      <x:c r="N163" s="18" t="n"/>
      <x:c r="O163" s="19" t="inlineStr">
        <x:is>
          <x:t xml:space="preserve">6</x:t>
        </x:is>
      </x:c>
      <x:c r="P163" s="19" t="n">
        <x:v>2</x:v>
      </x:c>
      <x:c r="Q163" s="19" t="n">
        <x:v>6</x:v>
      </x:c>
      <x:c r="R163" s="19" t="n">
        <x:v>4</x:v>
      </x:c>
      <x:c r="S163" s="19" t="n">
        <x:v>6</x:v>
      </x:c>
      <x:c r="T163" s="19" t="n">
        <x:v>4</x:v>
      </x:c>
      <x:c r="U163" s="19" t="n"/>
      <x:c r="V163" s="19" t="n"/>
      <x:c r="W163" s="19" t="n"/>
      <x:c r="X163" s="19" t="n"/>
      <x:c r="Y163" s="20" t="n">
        <x:f>SUM(O163+Q163+S163+U163+W163)</x:f>
        <x:v>18</x:v>
      </x:c>
      <x:c r="Z163" s="20" t="n">
        <x:f>SUM(P163+R163+T163+V163+X163)</x:f>
        <x:v>10</x:v>
      </x:c>
      <x:c r="AA163" s="21" t="n">
        <x:f>Y163/(Y163+Z163)</x:f>
        <x:v>0.6428571428571429</x:v>
      </x:c>
    </x:row>
    <x:row r="164">
      <x:c r="A164" s="22" t="n">
        <x:f>wimbledons_champions!A172</x:f>
        <x:v>1934</x:v>
      </x:c>
      <x:c r="B164" s="25" t="str">
        <x:f>wimbledons_champions!B172</x:f>
        <x:v>Women's</x:v>
      </x:c>
      <x:c r="C164" s="25" t="inlineStr">
        <x:is>
          <x:t xml:space="preserve">D.E. Round</x:t>
        </x:is>
      </x:c>
      <x:c r="D164" s="22" t="inlineStr">
        <x:is>
          <x:t xml:space="preserve">GBR</x:t>
        </x:is>
      </x:c>
      <x:c r="E164" s="25" t="inlineStr">
        <x:is>
          <x:t xml:space="preserve">United Kingdom</x:t>
        </x:is>
      </x:c>
      <x:c r="F164" s="22" t="n">
        <x:v>2</x:v>
      </x:c>
      <x:c r="G164" s="22" t="n">
        <x:f>wimbledons_champions!G172</x:f>
        <x:v>0</x:v>
      </x:c>
      <x:c r="H164" s="25" t="str">
        <x:f>wimbledons_champions!H172</x:f>
        <x:v>6-2, 5-7, 6-3</x:v>
      </x:c>
      <x:c r="I164" s="25" t="inlineStr">
        <x:is>
          <x:t xml:space="preserve">H.H. Jacobs</x:t>
        </x:is>
      </x:c>
      <x:c r="J164" s="22" t="inlineStr">
        <x:is>
          <x:t xml:space="preserve">USA</x:t>
        </x:is>
      </x:c>
      <x:c r="K164" s="25" t="inlineStr">
        <x:is>
          <x:t xml:space="preserve">United States</x:t>
        </x:is>
      </x:c>
      <x:c r="L164" s="22" t="n">
        <x:v>1</x:v>
      </x:c>
      <x:c r="M164" s="18" t="n">
        <x:v>0.5862068965517241</x:v>
      </x:c>
      <x:c r="N164" s="18" t="n"/>
      <x:c r="O164" s="19" t="inlineStr">
        <x:is>
          <x:t xml:space="preserve">6</x:t>
        </x:is>
      </x:c>
      <x:c r="P164" s="19" t="n">
        <x:v>2</x:v>
      </x:c>
      <x:c r="Q164" s="19" t="n">
        <x:v>5</x:v>
      </x:c>
      <x:c r="R164" s="19" t="n">
        <x:v>7</x:v>
      </x:c>
      <x:c r="S164" s="19" t="n">
        <x:v>6</x:v>
      </x:c>
      <x:c r="T164" s="19" t="n">
        <x:v>3</x:v>
      </x:c>
      <x:c r="U164" s="19" t="n"/>
      <x:c r="V164" s="19" t="n"/>
      <x:c r="W164" s="19" t="n"/>
      <x:c r="X164" s="19" t="n"/>
      <x:c r="Y164" s="20" t="n">
        <x:f>SUM(O164+Q164+S164+U164+W164)</x:f>
        <x:v>17</x:v>
      </x:c>
      <x:c r="Z164" s="20" t="n">
        <x:f>SUM(P164+R164+T164+V164+X164)</x:f>
        <x:v>12</x:v>
      </x:c>
      <x:c r="AA164" s="21" t="n">
        <x:f>Y164/(Y164+Z164)</x:f>
        <x:v>0.5862068965517241</x:v>
      </x:c>
    </x:row>
    <x:row r="165">
      <x:c r="A165" s="22" t="n">
        <x:f>wimbledons_champions!A173</x:f>
        <x:v>1934</x:v>
      </x:c>
      <x:c r="B165" s="25" t="str">
        <x:f>wimbledons_champions!B173</x:f>
        <x:v>Men's</x:v>
      </x:c>
      <x:c r="C165" s="25" t="inlineStr">
        <x:is>
          <x:t xml:space="preserve">F.J. Perry</x:t>
        </x:is>
      </x:c>
      <x:c r="D165" s="22" t="inlineStr">
        <x:is>
          <x:t xml:space="preserve">GBR</x:t>
        </x:is>
      </x:c>
      <x:c r="E165" s="25" t="inlineStr">
        <x:is>
          <x:t xml:space="preserve">United Kingdom</x:t>
        </x:is>
      </x:c>
      <x:c r="F165" s="22" t="n">
        <x:v>2</x:v>
      </x:c>
      <x:c r="G165" s="22" t="n">
        <x:f>wimbledons_champions!G173</x:f>
        <x:v>72</x:v>
      </x:c>
      <x:c r="H165" s="25" t="str">
        <x:f>wimbledons_champions!H173</x:f>
        <x:v>6-3, 6-0, 7-5</x:v>
      </x:c>
      <x:c r="I165" s="25" t="inlineStr">
        <x:is>
          <x:t xml:space="preserve">J.H. Crawford</x:t>
        </x:is>
      </x:c>
      <x:c r="J165" s="22" t="inlineStr">
        <x:is>
          <x:t xml:space="preserve">AUS</x:t>
        </x:is>
      </x:c>
      <x:c r="K165" s="25" t="inlineStr">
        <x:is>
          <x:t xml:space="preserve">Australia</x:t>
        </x:is>
      </x:c>
      <x:c r="L165" s="22" t="n">
        <x:v>1</x:v>
      </x:c>
      <x:c r="M165" s="18" t="n">
        <x:v>0.7037037037037037</x:v>
      </x:c>
      <x:c r="N165" s="18" t="n"/>
      <x:c r="O165" s="19" t="inlineStr">
        <x:is>
          <x:t xml:space="preserve">6</x:t>
        </x:is>
      </x:c>
      <x:c r="P165" s="19" t="n">
        <x:v>3</x:v>
      </x:c>
      <x:c r="Q165" s="19" t="n">
        <x:v>6</x:v>
      </x:c>
      <x:c r="R165" s="19" t="n">
        <x:v>0</x:v>
      </x:c>
      <x:c r="S165" s="19" t="n">
        <x:v>7</x:v>
      </x:c>
      <x:c r="T165" s="19" t="n">
        <x:v>5</x:v>
      </x:c>
      <x:c r="U165" s="19" t="n"/>
      <x:c r="V165" s="19" t="n"/>
      <x:c r="W165" s="19" t="n"/>
      <x:c r="X165" s="19" t="n"/>
      <x:c r="Y165" s="20" t="n">
        <x:f>SUM(O165+Q165+S165+U165+W165)</x:f>
        <x:v>19</x:v>
      </x:c>
      <x:c r="Z165" s="20" t="n">
        <x:f>SUM(P165+R165+T165+V165+X165)</x:f>
        <x:v>8</x:v>
      </x:c>
      <x:c r="AA165" s="21" t="n">
        <x:f>Y165/(Y165+Z165)</x:f>
        <x:v>0.7037037037037037</x:v>
      </x:c>
    </x:row>
    <x:row r="166">
      <x:c r="A166" s="22" t="n">
        <x:f>wimbledons_champions!A174</x:f>
        <x:v>1933</x:v>
      </x:c>
      <x:c r="B166" s="25" t="str">
        <x:f>wimbledons_champions!B174</x:f>
        <x:v>Women's</x:v>
      </x:c>
      <x:c r="C166" s="25" t="inlineStr">
        <x:is>
          <x:t xml:space="preserve">H.W. Moody</x:t>
        </x:is>
      </x:c>
      <x:c r="D166" s="22" t="inlineStr">
        <x:is>
          <x:t xml:space="preserve">USA</x:t>
        </x:is>
      </x:c>
      <x:c r="E166" s="25" t="inlineStr">
        <x:is>
          <x:t xml:space="preserve">United States</x:t>
        </x:is>
      </x:c>
      <x:c r="F166" s="22" t="n">
        <x:v>1</x:v>
      </x:c>
      <x:c r="G166" s="22" t="n">
        <x:f>wimbledons_champions!G174</x:f>
        <x:v>120</x:v>
      </x:c>
      <x:c r="H166" s="25" t="str">
        <x:f>wimbledons_champions!H174</x:f>
        <x:v>6-4, 6-8, 6-3</x:v>
      </x:c>
      <x:c r="I166" s="25" t="inlineStr">
        <x:is>
          <x:t xml:space="preserve">D.E. Round</x:t>
        </x:is>
      </x:c>
      <x:c r="J166" s="22" t="inlineStr">
        <x:is>
          <x:t xml:space="preserve">GBR</x:t>
        </x:is>
      </x:c>
      <x:c r="K166" s="25" t="inlineStr">
        <x:is>
          <x:t xml:space="preserve">United Kingdom</x:t>
        </x:is>
      </x:c>
      <x:c r="L166" s="22" t="n">
        <x:v>2</x:v>
      </x:c>
      <x:c r="M166" s="18" t="n">
        <x:v>0.5454545454545454</x:v>
      </x:c>
      <x:c r="N166" s="18" t="n"/>
      <x:c r="O166" s="19" t="inlineStr">
        <x:is>
          <x:t xml:space="preserve">6</x:t>
        </x:is>
      </x:c>
      <x:c r="P166" s="19" t="n">
        <x:v>4</x:v>
      </x:c>
      <x:c r="Q166" s="19" t="n">
        <x:v>6</x:v>
      </x:c>
      <x:c r="R166" s="19" t="n">
        <x:v>8</x:v>
      </x:c>
      <x:c r="S166" s="19" t="n">
        <x:v>6</x:v>
      </x:c>
      <x:c r="T166" s="19" t="n">
        <x:v>3</x:v>
      </x:c>
      <x:c r="U166" s="19" t="n"/>
      <x:c r="V166" s="19" t="n"/>
      <x:c r="W166" s="19" t="n"/>
      <x:c r="X166" s="19" t="n"/>
      <x:c r="Y166" s="20" t="n">
        <x:f>SUM(O166+Q166+S166+U166+W166)</x:f>
        <x:v>18</x:v>
      </x:c>
      <x:c r="Z166" s="20" t="n">
        <x:f>SUM(P166+R166+T166+V166+X166)</x:f>
        <x:v>15</x:v>
      </x:c>
      <x:c r="AA166" s="21" t="n">
        <x:f>Y166/(Y166+Z166)</x:f>
        <x:v>0.5454545454545454</x:v>
      </x:c>
    </x:row>
    <x:row r="167">
      <x:c r="A167" s="22" t="n">
        <x:f>wimbledons_champions!A175</x:f>
        <x:v>1933</x:v>
      </x:c>
      <x:c r="B167" s="25" t="str">
        <x:f>wimbledons_champions!B175</x:f>
        <x:v>Men's</x:v>
      </x:c>
      <x:c r="C167" s="25" t="inlineStr">
        <x:is>
          <x:t xml:space="preserve">J.H. Crawford</x:t>
        </x:is>
      </x:c>
      <x:c r="D167" s="22" t="inlineStr">
        <x:is>
          <x:t xml:space="preserve">AUS</x:t>
        </x:is>
      </x:c>
      <x:c r="E167" s="25" t="inlineStr">
        <x:is>
          <x:t xml:space="preserve">Australia</x:t>
        </x:is>
      </x:c>
      <x:c r="F167" s="22" t="n">
        <x:v>2</x:v>
      </x:c>
      <x:c r="G167" s="22" t="n">
        <x:f>wimbledons_champions!G175</x:f>
        <x:v>120</x:v>
      </x:c>
      <x:c r="H167" s="25" t="str">
        <x:f>wimbledons_champions!H175</x:f>
        <x:v>4-6, 11-9, 6-2, 2-6, 6-4</x:v>
      </x:c>
      <x:c r="I167" s="25" t="inlineStr">
        <x:is>
          <x:t xml:space="preserve">H.E. Vines</x:t>
        </x:is>
      </x:c>
      <x:c r="J167" s="22" t="inlineStr">
        <x:is>
          <x:t xml:space="preserve">USA</x:t>
        </x:is>
      </x:c>
      <x:c r="K167" s="25" t="inlineStr">
        <x:is>
          <x:t xml:space="preserve">United States</x:t>
        </x:is>
      </x:c>
      <x:c r="L167" s="22" t="n">
        <x:v>1</x:v>
      </x:c>
      <x:c r="M167" s="18" t="n">
        <x:v>0.5178571428571429</x:v>
      </x:c>
      <x:c r="N167" s="18" t="n"/>
      <x:c r="O167" s="19" t="inlineStr">
        <x:is>
          <x:t xml:space="preserve">4</x:t>
        </x:is>
      </x:c>
      <x:c r="P167" s="19" t="n">
        <x:v>6</x:v>
      </x:c>
      <x:c r="Q167" s="19" t="n">
        <x:v>11</x:v>
      </x:c>
      <x:c r="R167" s="19" t="n">
        <x:v>9</x:v>
      </x:c>
      <x:c r="S167" s="19" t="n">
        <x:v>6</x:v>
      </x:c>
      <x:c r="T167" s="19" t="n">
        <x:v>2</x:v>
      </x:c>
      <x:c r="U167" s="19" t="n">
        <x:v>2</x:v>
      </x:c>
      <x:c r="V167" s="19" t="n">
        <x:v>6</x:v>
      </x:c>
      <x:c r="W167" s="19" t="inlineStr">
        <x:is>
          <x:t xml:space="preserve">6</x:t>
        </x:is>
      </x:c>
      <x:c r="X167" s="19" t="n">
        <x:v>4</x:v>
      </x:c>
      <x:c r="Y167" s="20" t="n">
        <x:f>SUM(O167+Q167+S167+U167+W167)</x:f>
        <x:v>29</x:v>
      </x:c>
      <x:c r="Z167" s="20" t="n">
        <x:f>SUM(P167+R167+T167+V167+X167)</x:f>
        <x:v>27</x:v>
      </x:c>
      <x:c r="AA167" s="21" t="n">
        <x:f>Y167/(Y167+Z167)</x:f>
        <x:v>0.5178571428571429</x:v>
      </x:c>
    </x:row>
    <x:row r="168">
      <x:c r="A168" s="22" t="n">
        <x:f>wimbledons_champions!A176</x:f>
        <x:v>1932</x:v>
      </x:c>
      <x:c r="B168" s="25" t="str">
        <x:f>wimbledons_champions!B176</x:f>
        <x:v>Women's</x:v>
      </x:c>
      <x:c r="C168" s="25" t="inlineStr">
        <x:is>
          <x:t xml:space="preserve">H.W. Moody</x:t>
        </x:is>
      </x:c>
      <x:c r="D168" s="22" t="inlineStr">
        <x:is>
          <x:t xml:space="preserve">USA</x:t>
        </x:is>
      </x:c>
      <x:c r="E168" s="25" t="inlineStr">
        <x:is>
          <x:t xml:space="preserve">United States</x:t>
        </x:is>
      </x:c>
      <x:c r="F168" s="22" t="n">
        <x:v>1</x:v>
      </x:c>
      <x:c r="G168" s="22" t="n">
        <x:f>wimbledons_champions!G176</x:f>
        <x:v>50</x:v>
      </x:c>
      <x:c r="H168" s="25" t="str">
        <x:f>wimbledons_champions!H176</x:f>
        <x:v>6-3, 6-1</x:v>
      </x:c>
      <x:c r="I168" s="25" t="inlineStr">
        <x:is>
          <x:t xml:space="preserve">H.H. Jacobs</x:t>
        </x:is>
      </x:c>
      <x:c r="J168" s="22" t="inlineStr">
        <x:is>
          <x:t xml:space="preserve">USA</x:t>
        </x:is>
      </x:c>
      <x:c r="K168" s="25" t="inlineStr">
        <x:is>
          <x:t xml:space="preserve">United States</x:t>
        </x:is>
      </x:c>
      <x:c r="L168" s="22" t="n">
        <x:v>5</x:v>
      </x:c>
      <x:c r="M168" s="18" t="n">
        <x:v>0.75</x:v>
      </x:c>
      <x:c r="N168" s="18" t="n"/>
      <x:c r="O168" s="19" t="inlineStr">
        <x:is>
          <x:t xml:space="preserve">6</x:t>
        </x:is>
      </x:c>
      <x:c r="P168" s="19" t="n">
        <x:v>3</x:v>
      </x:c>
      <x:c r="Q168" s="19" t="n">
        <x:v>6</x:v>
      </x:c>
      <x:c r="R168" s="19" t="n">
        <x:v>1</x:v>
      </x:c>
      <x:c r="S168" s="19" t="n"/>
      <x:c r="T168" s="19" t="n"/>
      <x:c r="U168" s="19" t="n"/>
      <x:c r="V168" s="19" t="n"/>
      <x:c r="W168" s="19" t="n"/>
      <x:c r="X168" s="19" t="n"/>
      <x:c r="Y168" s="20" t="n">
        <x:f>SUM(O168+Q168+S168+U168+W168)</x:f>
        <x:v>12</x:v>
      </x:c>
      <x:c r="Z168" s="20" t="n">
        <x:f>SUM(P168+R168+T168+V168+X168)</x:f>
        <x:v>4</x:v>
      </x:c>
      <x:c r="AA168" s="21" t="n">
        <x:f>Y168/(Y168+Z168)</x:f>
        <x:v>0.75</x:v>
      </x:c>
    </x:row>
    <x:row r="169">
      <x:c r="A169" s="22" t="n">
        <x:f>wimbledons_champions!A177</x:f>
        <x:v>1932</x:v>
      </x:c>
      <x:c r="B169" s="25" t="str">
        <x:f>wimbledons_champions!B177</x:f>
        <x:v>Men's</x:v>
      </x:c>
      <x:c r="C169" s="25" t="inlineStr">
        <x:is>
          <x:t xml:space="preserve">H.E. Vines</x:t>
        </x:is>
      </x:c>
      <x:c r="D169" s="22" t="inlineStr">
        <x:is>
          <x:t xml:space="preserve">USA</x:t>
        </x:is>
      </x:c>
      <x:c r="E169" s="25" t="inlineStr">
        <x:is>
          <x:t xml:space="preserve">United States</x:t>
        </x:is>
      </x:c>
      <x:c r="F169" s="22" t="n">
        <x:v>2</x:v>
      </x:c>
      <x:c r="G169" s="22" t="n">
        <x:f>wimbledons_champions!G177</x:f>
        <x:v>50</x:v>
      </x:c>
      <x:c r="H169" s="25" t="str">
        <x:f>wimbledons_champions!H177</x:f>
        <x:v>6-2, 6-2, 6-0</x:v>
      </x:c>
      <x:c r="I169" s="25" t="inlineStr">
        <x:is>
          <x:t xml:space="preserve">H.W. Austin</x:t>
        </x:is>
      </x:c>
      <x:c r="J169" s="22" t="inlineStr">
        <x:is>
          <x:t xml:space="preserve">GBR</x:t>
        </x:is>
      </x:c>
      <x:c r="K169" s="25" t="inlineStr">
        <x:is>
          <x:t xml:space="preserve">United Kingdom</x:t>
        </x:is>
      </x:c>
      <x:c r="L169" s="22" t="n">
        <x:v>6</x:v>
      </x:c>
      <x:c r="M169" s="18" t="n">
        <x:v>0.8181818181818182</x:v>
      </x:c>
      <x:c r="N169" s="18" t="n"/>
      <x:c r="O169" s="19" t="inlineStr">
        <x:is>
          <x:t xml:space="preserve">6</x:t>
        </x:is>
      </x:c>
      <x:c r="P169" s="19" t="n">
        <x:v>2</x:v>
      </x:c>
      <x:c r="Q169" s="19" t="n">
        <x:v>6</x:v>
      </x:c>
      <x:c r="R169" s="19" t="n">
        <x:v>2</x:v>
      </x:c>
      <x:c r="S169" s="19" t="n">
        <x:v>6</x:v>
      </x:c>
      <x:c r="T169" s="19" t="n">
        <x:v>0</x:v>
      </x:c>
      <x:c r="U169" s="19" t="n"/>
      <x:c r="V169" s="19" t="n"/>
      <x:c r="W169" s="19" t="n"/>
      <x:c r="X169" s="19" t="n"/>
      <x:c r="Y169" s="20" t="n">
        <x:f>SUM(O169+Q169+S169+U169+W169)</x:f>
        <x:v>18</x:v>
      </x:c>
      <x:c r="Z169" s="20" t="n">
        <x:f>SUM(P169+R169+T169+V169+X169)</x:f>
        <x:v>4</x:v>
      </x:c>
      <x:c r="AA169" s="21" t="n">
        <x:f>Y169/(Y169+Z169)</x:f>
        <x:v>0.8181818181818182</x:v>
      </x:c>
    </x:row>
    <x:row r="170">
      <x:c r="A170" s="22" t="n">
        <x:f>wimbledons_champions!A178</x:f>
        <x:v>1931</x:v>
      </x:c>
      <x:c r="B170" s="25" t="str">
        <x:f>wimbledons_champions!B178</x:f>
        <x:v>Women's</x:v>
      </x:c>
      <x:c r="C170" s="25" t="inlineStr">
        <x:is>
          <x:t xml:space="preserve">C. Aussem</x:t>
        </x:is>
      </x:c>
      <x:c r="D170" s="22" t="inlineStr">
        <x:is>
          <x:t xml:space="preserve">GER</x:t>
        </x:is>
      </x:c>
      <x:c r="E170" s="25" t="inlineStr">
        <x:is>
          <x:t xml:space="preserve">Germany</x:t>
        </x:is>
      </x:c>
      <x:c r="F170" s="22" t="n">
        <x:v>1</x:v>
      </x:c>
      <x:c r="G170" s="22" t="n">
        <x:f>wimbledons_champions!G178</x:f>
        <x:v>0</x:v>
      </x:c>
      <x:c r="H170" s="25" t="str">
        <x:f>wimbledons_champions!H178</x:f>
        <x:v>6-2, 7-5</x:v>
      </x:c>
      <x:c r="I170" s="25" t="inlineStr">
        <x:is>
          <x:t xml:space="preserve">H. Krahwinkel</x:t>
        </x:is>
      </x:c>
      <x:c r="J170" s="22" t="inlineStr">
        <x:is>
          <x:t xml:space="preserve">GER</x:t>
        </x:is>
      </x:c>
      <x:c r="K170" s="25" t="inlineStr">
        <x:is>
          <x:t xml:space="preserve">Germany</x:t>
        </x:is>
      </x:c>
      <x:c r="L170" s="22" t="n">
        <x:v>4</x:v>
      </x:c>
      <x:c r="M170" s="18" t="n">
        <x:v>0.65</x:v>
      </x:c>
      <x:c r="N170" s="18" t="n"/>
      <x:c r="O170" s="19" t="inlineStr">
        <x:is>
          <x:t xml:space="preserve">6</x:t>
        </x:is>
      </x:c>
      <x:c r="P170" s="19" t="n">
        <x:v>2</x:v>
      </x:c>
      <x:c r="Q170" s="19" t="n">
        <x:v>7</x:v>
      </x:c>
      <x:c r="R170" s="19" t="n">
        <x:v>5</x:v>
      </x:c>
      <x:c r="S170" s="19" t="n"/>
      <x:c r="T170" s="19" t="n"/>
      <x:c r="U170" s="19" t="n"/>
      <x:c r="V170" s="19" t="n"/>
      <x:c r="W170" s="19" t="n"/>
      <x:c r="X170" s="19" t="n"/>
      <x:c r="Y170" s="20" t="n">
        <x:f>SUM(O170+Q170+S170+U170+W170)</x:f>
        <x:v>13</x:v>
      </x:c>
      <x:c r="Z170" s="20" t="n">
        <x:f>SUM(P170+R170+T170+V170+X170)</x:f>
        <x:v>7</x:v>
      </x:c>
      <x:c r="AA170" s="21" t="n">
        <x:f>Y170/(Y170+Z170)</x:f>
        <x:v>0.65</x:v>
      </x:c>
    </x:row>
    <x:row r="171">
      <x:c r="A171" s="22" t="n">
        <x:f>wimbledons_champions!A179</x:f>
        <x:v>1931</x:v>
      </x:c>
      <x:c r="B171" s="25" t="str">
        <x:f>wimbledons_champions!B179</x:f>
        <x:v>Men's</x:v>
      </x:c>
      <x:c r="C171" s="25" t="inlineStr">
        <x:is>
          <x:t xml:space="preserve">S.B.B. Wood</x:t>
        </x:is>
      </x:c>
      <x:c r="D171" s="22" t="inlineStr">
        <x:is>
          <x:t xml:space="preserve">USA</x:t>
        </x:is>
      </x:c>
      <x:c r="E171" s="25" t="inlineStr">
        <x:is>
          <x:t xml:space="preserve">United States</x:t>
        </x:is>
      </x:c>
      <x:c r="F171" s="22" t="n">
        <x:v>7</x:v>
      </x:c>
      <x:c r="G171" s="22" t="n">
        <x:f>wimbledons_champions!G179</x:f>
        <x:v>0</x:v>
      </x:c>
      <x:c r="H171" s="25" t="str">
        <x:f>wimbledons_champions!H179</x:f>
        <x:v>walk over</x:v>
      </x:c>
      <x:c r="I171" s="25" t="inlineStr">
        <x:is>
          <x:t xml:space="preserve">F.X. Shields</x:t>
        </x:is>
      </x:c>
      <x:c r="J171" s="22" t="inlineStr">
        <x:is>
          <x:t xml:space="preserve">USA</x:t>
        </x:is>
      </x:c>
      <x:c r="K171" s="25" t="inlineStr">
        <x:is>
          <x:t xml:space="preserve">United States</x:t>
        </x:is>
      </x:c>
      <x:c r="L171" s="22" t="n">
        <x:v>3</x:v>
      </x:c>
      <x:c r="M171" s="18" t="n">
        <x:v>1</x:v>
      </x:c>
      <x:c r="N171" s="18" t="n"/>
      <x:c r="O171" s="19" t="inlineStr">
        <x:is>
          <x:t xml:space="preserve">walkover</x:t>
        </x:is>
      </x:c>
      <x:c r="P171" s="19" t="n"/>
      <x:c r="Q171" s="19" t="n"/>
      <x:c r="R171" s="19" t="n"/>
      <x:c r="S171" s="19" t="n"/>
      <x:c r="T171" s="19" t="n"/>
      <x:c r="U171" s="19" t="n"/>
      <x:c r="V171" s="19" t="n"/>
      <x:c r="W171" s="19" t="n"/>
      <x:c r="X171" s="19" t="n"/>
      <x:c r="Y171" s="20" t="e">
        <x:f>IFERROR(SUM(O171+Q171+S171+U171+W171), )</x:f>
        <x:v>#VALUE!</x:v>
      </x:c>
      <x:c r="Z171" s="20" t="n">
        <x:f>SUM(P171+R171+T171+V171+X171)</x:f>
        <x:v>0</x:v>
      </x:c>
      <x:c r="AA171" s="21" t="e">
        <x:f>IFERROR(Y171/(Y171+Z171), )</x:f>
        <x:v>#VALUE!</x:v>
      </x:c>
    </x:row>
    <x:row r="172">
      <x:c r="A172" s="22" t="n">
        <x:f>wimbledons_champions!A180</x:f>
        <x:v>1930</x:v>
      </x:c>
      <x:c r="B172" s="25" t="str">
        <x:f>wimbledons_champions!B180</x:f>
        <x:v>Women's</x:v>
      </x:c>
      <x:c r="C172" s="25" t="inlineStr">
        <x:is>
          <x:t xml:space="preserve">H.W. Moody</x:t>
        </x:is>
      </x:c>
      <x:c r="D172" s="22" t="inlineStr">
        <x:is>
          <x:t xml:space="preserve">USA</x:t>
        </x:is>
      </x:c>
      <x:c r="E172" s="25" t="inlineStr">
        <x:is>
          <x:t xml:space="preserve">United States</x:t>
        </x:is>
      </x:c>
      <x:c r="F172" s="22" t="n">
        <x:v>1</x:v>
      </x:c>
      <x:c r="G172" s="22" t="n">
        <x:f>wimbledons_champions!G180</x:f>
        <x:v>0</x:v>
      </x:c>
      <x:c r="H172" s="25" t="str">
        <x:f>wimbledons_champions!H180</x:f>
        <x:v>6-2, 6-2</x:v>
      </x:c>
      <x:c r="I172" s="25" t="inlineStr">
        <x:is>
          <x:t xml:space="preserve">E.M. Ryan</x:t>
        </x:is>
      </x:c>
      <x:c r="J172" s="22" t="inlineStr">
        <x:is>
          <x:t xml:space="preserve">USA</x:t>
        </x:is>
      </x:c>
      <x:c r="K172" s="25" t="inlineStr">
        <x:is>
          <x:t xml:space="preserve">United States</x:t>
        </x:is>
      </x:c>
      <x:c r="L172" s="22" t="n">
        <x:v>8</x:v>
      </x:c>
      <x:c r="M172" s="18" t="n">
        <x:v>0.75</x:v>
      </x:c>
      <x:c r="N172" s="18" t="n"/>
      <x:c r="O172" s="19" t="inlineStr">
        <x:is>
          <x:t xml:space="preserve">6</x:t>
        </x:is>
      </x:c>
      <x:c r="P172" s="19" t="n">
        <x:v>2</x:v>
      </x:c>
      <x:c r="Q172" s="19" t="n">
        <x:v>6</x:v>
      </x:c>
      <x:c r="R172" s="19" t="n">
        <x:v>2</x:v>
      </x:c>
      <x:c r="S172" s="19" t="n"/>
      <x:c r="T172" s="19" t="n"/>
      <x:c r="U172" s="19" t="n"/>
      <x:c r="V172" s="19" t="n"/>
      <x:c r="W172" s="19" t="n"/>
      <x:c r="X172" s="19" t="n"/>
      <x:c r="Y172" s="20" t="n">
        <x:f>SUM(O172+Q172+S172+U172+W172)</x:f>
        <x:v>12</x:v>
      </x:c>
      <x:c r="Z172" s="20" t="n">
        <x:f>SUM(P172+R172+T172+V172+X172)</x:f>
        <x:v>4</x:v>
      </x:c>
      <x:c r="AA172" s="21" t="n">
        <x:f>Y172/(Y172+Z172)</x:f>
        <x:v>0.75</x:v>
      </x:c>
    </x:row>
    <x:row r="173">
      <x:c r="A173" s="22" t="n">
        <x:f>wimbledons_champions!A181</x:f>
        <x:v>1930</x:v>
      </x:c>
      <x:c r="B173" s="25" t="str">
        <x:f>wimbledons_champions!B181</x:f>
        <x:v>Men's</x:v>
      </x:c>
      <x:c r="C173" s="25" t="inlineStr">
        <x:is>
          <x:t xml:space="preserve">W.T. Tilden</x:t>
        </x:is>
      </x:c>
      <x:c r="D173" s="22" t="inlineStr">
        <x:is>
          <x:t xml:space="preserve">USA</x:t>
        </x:is>
      </x:c>
      <x:c r="E173" s="25" t="inlineStr">
        <x:is>
          <x:t xml:space="preserve">United States</x:t>
        </x:is>
      </x:c>
      <x:c r="F173" s="22" t="n">
        <x:v>2</x:v>
      </x:c>
      <x:c r="G173" s="22" t="n">
        <x:f>wimbledons_champions!G181</x:f>
        <x:v>70</x:v>
      </x:c>
      <x:c r="H173" s="25" t="str">
        <x:f>wimbledons_champions!H181</x:f>
        <x:v>6-3, 9-7, 6-4</x:v>
      </x:c>
      <x:c r="I173" s="25" t="inlineStr">
        <x:is>
          <x:t xml:space="preserve">W.L. Allison</x:t>
        </x:is>
      </x:c>
      <x:c r="J173" s="22" t="inlineStr">
        <x:is>
          <x:t xml:space="preserve">USA</x:t>
        </x:is>
      </x:c>
      <x:c r="K173" s="25" t="inlineStr">
        <x:is>
          <x:t xml:space="preserve">United States</x:t>
        </x:is>
      </x:c>
      <x:c r="L173" s="22" t="inlineStr">
        <x:is>
          <x:t xml:space="preserve">U</x:t>
        </x:is>
      </x:c>
      <x:c r="M173" s="18" t="n">
        <x:v>0.6</x:v>
      </x:c>
      <x:c r="N173" s="18" t="n"/>
      <x:c r="O173" s="19" t="inlineStr">
        <x:is>
          <x:t xml:space="preserve">6</x:t>
        </x:is>
      </x:c>
      <x:c r="P173" s="19" t="n">
        <x:v>3</x:v>
      </x:c>
      <x:c r="Q173" s="19" t="n">
        <x:v>9</x:v>
      </x:c>
      <x:c r="R173" s="19" t="n">
        <x:v>7</x:v>
      </x:c>
      <x:c r="S173" s="19" t="n">
        <x:v>6</x:v>
      </x:c>
      <x:c r="T173" s="19" t="n">
        <x:v>4</x:v>
      </x:c>
      <x:c r="U173" s="19" t="n"/>
      <x:c r="V173" s="19" t="n"/>
      <x:c r="W173" s="19" t="n"/>
      <x:c r="X173" s="19" t="n"/>
      <x:c r="Y173" s="20" t="n">
        <x:f>SUM(O173+Q173+S173+U173+W173)</x:f>
        <x:v>21</x:v>
      </x:c>
      <x:c r="Z173" s="20" t="n">
        <x:f>SUM(P173+R173+T173+V173+X173)</x:f>
        <x:v>14</x:v>
      </x:c>
      <x:c r="AA173" s="21" t="n">
        <x:f>Y173/(Y173+Z173)</x:f>
        <x:v>0.6</x:v>
      </x:c>
    </x:row>
    <x:row r="174">
      <x:c r="A174" s="22" t="n">
        <x:f>wimbledons_champions!A182</x:f>
        <x:v>1929</x:v>
      </x:c>
      <x:c r="B174" s="25" t="str">
        <x:f>wimbledons_champions!B182</x:f>
        <x:v>Women's</x:v>
      </x:c>
      <x:c r="C174" s="25" t="inlineStr">
        <x:is>
          <x:t xml:space="preserve">H.W. Moody</x:t>
        </x:is>
      </x:c>
      <x:c r="D174" s="22" t="inlineStr">
        <x:is>
          <x:t xml:space="preserve">USA</x:t>
        </x:is>
      </x:c>
      <x:c r="E174" s="25" t="inlineStr">
        <x:is>
          <x:t xml:space="preserve">United States</x:t>
        </x:is>
      </x:c>
      <x:c r="F174" s="22" t="n">
        <x:v>1</x:v>
      </x:c>
      <x:c r="G174" s="22" t="n">
        <x:f>wimbledons_champions!G182</x:f>
        <x:v>0</x:v>
      </x:c>
      <x:c r="H174" s="25" t="str">
        <x:f>wimbledons_champions!H182</x:f>
        <x:v>6-1, 6-2</x:v>
      </x:c>
      <x:c r="I174" s="25" t="inlineStr">
        <x:is>
          <x:t xml:space="preserve">H.H. Jacobs</x:t>
        </x:is>
      </x:c>
      <x:c r="J174" s="22" t="inlineStr">
        <x:is>
          <x:t xml:space="preserve">USA</x:t>
        </x:is>
      </x:c>
      <x:c r="K174" s="25" t="inlineStr">
        <x:is>
          <x:t xml:space="preserve">United States</x:t>
        </x:is>
      </x:c>
      <x:c r="L174" s="22" t="n">
        <x:v>5</x:v>
      </x:c>
      <x:c r="M174" s="18" t="n">
        <x:v>0.8</x:v>
      </x:c>
      <x:c r="N174" s="18" t="n"/>
      <x:c r="O174" s="19" t="inlineStr">
        <x:is>
          <x:t xml:space="preserve">6</x:t>
        </x:is>
      </x:c>
      <x:c r="P174" s="19" t="n">
        <x:v>1</x:v>
      </x:c>
      <x:c r="Q174" s="19" t="n">
        <x:v>6</x:v>
      </x:c>
      <x:c r="R174" s="19" t="n">
        <x:v>2</x:v>
      </x:c>
      <x:c r="S174" s="19" t="n"/>
      <x:c r="T174" s="19" t="n"/>
      <x:c r="U174" s="19" t="n"/>
      <x:c r="V174" s="19" t="n"/>
      <x:c r="W174" s="19" t="n"/>
      <x:c r="X174" s="19" t="n"/>
      <x:c r="Y174" s="20" t="n">
        <x:f>SUM(O174+Q174+S174+U174+W174)</x:f>
        <x:v>12</x:v>
      </x:c>
      <x:c r="Z174" s="20" t="n">
        <x:f>SUM(P174+R174+T174+V174+X174)</x:f>
        <x:v>3</x:v>
      </x:c>
      <x:c r="AA174" s="21" t="n">
        <x:f>Y174/(Y174+Z174)</x:f>
        <x:v>0.8</x:v>
      </x:c>
    </x:row>
    <x:row r="175">
      <x:c r="A175" s="22" t="n">
        <x:f>wimbledons_champions!A183</x:f>
        <x:v>1929</x:v>
      </x:c>
      <x:c r="B175" s="25" t="str">
        <x:f>wimbledons_champions!B183</x:f>
        <x:v>Men's</x:v>
      </x:c>
      <x:c r="C175" s="25" t="inlineStr">
        <x:is>
          <x:t xml:space="preserve">H.J. Cochet</x:t>
        </x:is>
      </x:c>
      <x:c r="D175" s="22" t="inlineStr">
        <x:is>
          <x:t xml:space="preserve">FRA</x:t>
        </x:is>
      </x:c>
      <x:c r="E175" s="25" t="inlineStr">
        <x:is>
          <x:t xml:space="preserve">France</x:t>
        </x:is>
      </x:c>
      <x:c r="F175" s="22" t="n">
        <x:v>1</x:v>
      </x:c>
      <x:c r="G175" s="22" t="n">
        <x:f>wimbledons_champions!G183</x:f>
        <x:v>60</x:v>
      </x:c>
      <x:c r="H175" s="25" t="str">
        <x:f>wimbledons_champions!H183</x:f>
        <x:v>6-4, 6-3, 6-4</x:v>
      </x:c>
      <x:c r="I175" s="25" t="inlineStr">
        <x:is>
          <x:t xml:space="preserve">J.R. Borotra</x:t>
        </x:is>
      </x:c>
      <x:c r="J175" s="22" t="inlineStr">
        <x:is>
          <x:t xml:space="preserve">FRA</x:t>
        </x:is>
      </x:c>
      <x:c r="K175" s="25" t="inlineStr">
        <x:is>
          <x:t xml:space="preserve">France</x:t>
        </x:is>
      </x:c>
      <x:c r="L175" s="22" t="n">
        <x:v>2</x:v>
      </x:c>
      <x:c r="M175" s="18" t="n">
        <x:v>0.6206896551724138</x:v>
      </x:c>
      <x:c r="N175" s="18" t="n"/>
      <x:c r="O175" s="19" t="inlineStr">
        <x:is>
          <x:t xml:space="preserve">6</x:t>
        </x:is>
      </x:c>
      <x:c r="P175" s="19" t="n">
        <x:v>4</x:v>
      </x:c>
      <x:c r="Q175" s="19" t="n">
        <x:v>6</x:v>
      </x:c>
      <x:c r="R175" s="19" t="n">
        <x:v>3</x:v>
      </x:c>
      <x:c r="S175" s="19" t="n">
        <x:v>6</x:v>
      </x:c>
      <x:c r="T175" s="19" t="n">
        <x:v>4</x:v>
      </x:c>
      <x:c r="U175" s="19" t="n"/>
      <x:c r="V175" s="19" t="n"/>
      <x:c r="W175" s="19" t="n"/>
      <x:c r="X175" s="19" t="n"/>
      <x:c r="Y175" s="20" t="n">
        <x:f>SUM(O175+Q175+S175+U175+W175)</x:f>
        <x:v>18</x:v>
      </x:c>
      <x:c r="Z175" s="20" t="n">
        <x:f>SUM(P175+R175+T175+V175+X175)</x:f>
        <x:v>11</x:v>
      </x:c>
      <x:c r="AA175" s="21" t="n">
        <x:f>Y175/(Y175+Z175)</x:f>
        <x:v>0.6206896551724138</x:v>
      </x:c>
    </x:row>
    <x:row r="176">
      <x:c r="A176" s="22" t="n">
        <x:f>wimbledons_champions!A184</x:f>
        <x:v>1928</x:v>
      </x:c>
      <x:c r="B176" s="25" t="str">
        <x:f>wimbledons_champions!B184</x:f>
        <x:v>Women's</x:v>
      </x:c>
      <x:c r="C176" s="25" t="inlineStr">
        <x:is>
          <x:t xml:space="preserve">H.W. Moody</x:t>
        </x:is>
      </x:c>
      <x:c r="D176" s="22" t="inlineStr">
        <x:is>
          <x:t xml:space="preserve">USA</x:t>
        </x:is>
      </x:c>
      <x:c r="E176" s="25" t="inlineStr">
        <x:is>
          <x:t xml:space="preserve">United States</x:t>
        </x:is>
      </x:c>
      <x:c r="F176" s="22" t="n">
        <x:v>1</x:v>
      </x:c>
      <x:c r="G176" s="22" t="n">
        <x:f>wimbledons_champions!G184</x:f>
        <x:v>0</x:v>
      </x:c>
      <x:c r="H176" s="25" t="str">
        <x:f>wimbledons_champions!H184</x:f>
        <x:v>6-2, 6-3</x:v>
      </x:c>
      <x:c r="I176" s="25" t="inlineStr">
        <x:is>
          <x:t xml:space="preserve">E.M. de Alvarez</x:t>
        </x:is>
      </x:c>
      <x:c r="J176" s="22" t="inlineStr">
        <x:is>
          <x:t xml:space="preserve">ESP</x:t>
        </x:is>
      </x:c>
      <x:c r="K176" s="25" t="inlineStr">
        <x:is>
          <x:t xml:space="preserve">Spain</x:t>
        </x:is>
      </x:c>
      <x:c r="L176" s="22" t="n">
        <x:v>2</x:v>
      </x:c>
      <x:c r="M176" s="18" t="n">
        <x:v>0.7058823529411765</x:v>
      </x:c>
      <x:c r="N176" s="18" t="n"/>
      <x:c r="O176" s="19" t="inlineStr">
        <x:is>
          <x:t xml:space="preserve">6</x:t>
        </x:is>
      </x:c>
      <x:c r="P176" s="19" t="n">
        <x:v>2</x:v>
      </x:c>
      <x:c r="Q176" s="19" t="n">
        <x:v>6</x:v>
      </x:c>
      <x:c r="R176" s="19" t="n">
        <x:v>3</x:v>
      </x:c>
      <x:c r="S176" s="19" t="n"/>
      <x:c r="T176" s="19" t="n"/>
      <x:c r="U176" s="19" t="n"/>
      <x:c r="V176" s="19" t="n"/>
      <x:c r="W176" s="19" t="n"/>
      <x:c r="X176" s="19" t="n"/>
      <x:c r="Y176" s="20" t="n">
        <x:f>SUM(O176+Q176+S176+U176+W176)</x:f>
        <x:v>12</x:v>
      </x:c>
      <x:c r="Z176" s="20" t="n">
        <x:f>SUM(P176+R176+T176+V176+X176)</x:f>
        <x:v>5</x:v>
      </x:c>
      <x:c r="AA176" s="21" t="n">
        <x:f>Y176/(Y176+Z176)</x:f>
        <x:v>0.7058823529411765</x:v>
      </x:c>
    </x:row>
    <x:row r="177">
      <x:c r="A177" s="22" t="n">
        <x:f>wimbledons_champions!A185</x:f>
        <x:v>1928</x:v>
      </x:c>
      <x:c r="B177" s="25" t="str">
        <x:f>wimbledons_champions!B185</x:f>
        <x:v>Men's</x:v>
      </x:c>
      <x:c r="C177" s="25" t="inlineStr">
        <x:is>
          <x:t xml:space="preserve">J.R. Lacoste</x:t>
        </x:is>
      </x:c>
      <x:c r="D177" s="22" t="inlineStr">
        <x:is>
          <x:t xml:space="preserve">FRA</x:t>
        </x:is>
      </x:c>
      <x:c r="E177" s="25" t="inlineStr">
        <x:is>
          <x:t xml:space="preserve">France</x:t>
        </x:is>
      </x:c>
      <x:c r="F177" s="22" t="n">
        <x:v>2</x:v>
      </x:c>
      <x:c r="G177" s="22" t="n">
        <x:f>wimbledons_champions!G185</x:f>
        <x:v>0</x:v>
      </x:c>
      <x:c r="H177" s="25" t="str">
        <x:f>wimbledons_champions!H185</x:f>
        <x:v>6-1, 4-6, 6-4, 6-2</x:v>
      </x:c>
      <x:c r="I177" s="25" t="inlineStr">
        <x:is>
          <x:t xml:space="preserve">H.J. Cochet</x:t>
        </x:is>
      </x:c>
      <x:c r="J177" s="22" t="inlineStr">
        <x:is>
          <x:t xml:space="preserve">FRA</x:t>
        </x:is>
      </x:c>
      <x:c r="K177" s="25" t="inlineStr">
        <x:is>
          <x:t xml:space="preserve">France</x:t>
        </x:is>
      </x:c>
      <x:c r="L177" s="22" t="n">
        <x:v>1</x:v>
      </x:c>
      <x:c r="M177" s="18" t="n">
        <x:v>0.6285714285714286</x:v>
      </x:c>
      <x:c r="N177" s="18" t="n"/>
      <x:c r="O177" s="19" t="inlineStr">
        <x:is>
          <x:t xml:space="preserve">6</x:t>
        </x:is>
      </x:c>
      <x:c r="P177" s="19" t="n">
        <x:v>1</x:v>
      </x:c>
      <x:c r="Q177" s="19" t="n">
        <x:v>4</x:v>
      </x:c>
      <x:c r="R177" s="19" t="n">
        <x:v>6</x:v>
      </x:c>
      <x:c r="S177" s="19" t="n">
        <x:v>6</x:v>
      </x:c>
      <x:c r="T177" s="19" t="n">
        <x:v>4</x:v>
      </x:c>
      <x:c r="U177" s="19" t="n">
        <x:v>6</x:v>
      </x:c>
      <x:c r="V177" s="19" t="n">
        <x:v>2</x:v>
      </x:c>
      <x:c r="W177" s="19" t="n"/>
      <x:c r="X177" s="19" t="n"/>
      <x:c r="Y177" s="20" t="n">
        <x:f>SUM(O177+Q177+S177+U177+W177)</x:f>
        <x:v>22</x:v>
      </x:c>
      <x:c r="Z177" s="20" t="n">
        <x:f>SUM(P177+R177+T177+V177+X177)</x:f>
        <x:v>13</x:v>
      </x:c>
      <x:c r="AA177" s="21" t="n">
        <x:f>Y177/(Y177+Z177)</x:f>
        <x:v>0.6285714285714286</x:v>
      </x:c>
    </x:row>
    <x:row r="178">
      <x:c r="A178" s="22" t="n">
        <x:f>wimbledons_champions!A186</x:f>
        <x:v>1927</x:v>
      </x:c>
      <x:c r="B178" s="25" t="str">
        <x:f>wimbledons_champions!B186</x:f>
        <x:v>Women's</x:v>
      </x:c>
      <x:c r="C178" s="25" t="inlineStr">
        <x:is>
          <x:t xml:space="preserve">H.W. Moody</x:t>
        </x:is>
      </x:c>
      <x:c r="D178" s="22" t="inlineStr">
        <x:is>
          <x:t xml:space="preserve">USA</x:t>
        </x:is>
      </x:c>
      <x:c r="E178" s="25" t="inlineStr">
        <x:is>
          <x:t xml:space="preserve">United States</x:t>
        </x:is>
      </x:c>
      <x:c r="F178" s="22" t="n">
        <x:v>1</x:v>
      </x:c>
      <x:c r="G178" s="22" t="n">
        <x:f>wimbledons_champions!G186</x:f>
        <x:v>0</x:v>
      </x:c>
      <x:c r="H178" s="25" t="str">
        <x:f>wimbledons_champions!H186</x:f>
        <x:v>6-2, 6-4</x:v>
      </x:c>
      <x:c r="I178" s="25" t="inlineStr">
        <x:is>
          <x:t xml:space="preserve">E.M. de Alvarez</x:t>
        </x:is>
      </x:c>
      <x:c r="J178" s="22" t="inlineStr">
        <x:is>
          <x:t xml:space="preserve">ESP</x:t>
        </x:is>
      </x:c>
      <x:c r="K178" s="25" t="inlineStr">
        <x:is>
          <x:t xml:space="preserve">Spain</x:t>
        </x:is>
      </x:c>
      <x:c r="L178" s="22" t="n">
        <x:v>4</x:v>
      </x:c>
      <x:c r="M178" s="18" t="n">
        <x:v>0.6666666666666666</x:v>
      </x:c>
      <x:c r="N178" s="18" t="n"/>
      <x:c r="O178" s="19" t="inlineStr">
        <x:is>
          <x:t xml:space="preserve">6</x:t>
        </x:is>
      </x:c>
      <x:c r="P178" s="19" t="n">
        <x:v>2</x:v>
      </x:c>
      <x:c r="Q178" s="19" t="n">
        <x:v>6</x:v>
      </x:c>
      <x:c r="R178" s="19" t="n">
        <x:v>4</x:v>
      </x:c>
      <x:c r="S178" s="19" t="n"/>
      <x:c r="T178" s="19" t="n"/>
      <x:c r="U178" s="19" t="n"/>
      <x:c r="V178" s="19" t="n"/>
      <x:c r="W178" s="19" t="n"/>
      <x:c r="X178" s="19" t="n"/>
      <x:c r="Y178" s="20" t="n">
        <x:f>SUM(O178+Q178+S178+U178+W178)</x:f>
        <x:v>12</x:v>
      </x:c>
      <x:c r="Z178" s="20" t="n">
        <x:f>SUM(P178+R178+T178+V178+X178)</x:f>
        <x:v>6</x:v>
      </x:c>
      <x:c r="AA178" s="21" t="n">
        <x:f>Y178/(Y178+Z178)</x:f>
        <x:v>0.6666666666666666</x:v>
      </x:c>
    </x:row>
    <x:row r="179">
      <x:c r="A179" s="22" t="n">
        <x:f>wimbledons_champions!A187</x:f>
        <x:v>1927</x:v>
      </x:c>
      <x:c r="B179" s="25" t="str">
        <x:f>wimbledons_champions!B187</x:f>
        <x:v>Men's</x:v>
      </x:c>
      <x:c r="C179" s="25" t="inlineStr">
        <x:is>
          <x:t xml:space="preserve">H.J. Cochet</x:t>
        </x:is>
      </x:c>
      <x:c r="D179" s="22" t="inlineStr">
        <x:is>
          <x:t xml:space="preserve">FRA</x:t>
        </x:is>
      </x:c>
      <x:c r="E179" s="25" t="inlineStr">
        <x:is>
          <x:t xml:space="preserve">France</x:t>
        </x:is>
      </x:c>
      <x:c r="F179" s="22" t="n">
        <x:v>4</x:v>
      </x:c>
      <x:c r="G179" s="22" t="n">
        <x:f>wimbledons_champions!G187</x:f>
        <x:v>0</x:v>
      </x:c>
      <x:c r="H179" s="25" t="str">
        <x:f>wimbledons_champions!H187</x:f>
        <x:v>4-6, 4-6, 6-3, 6-4, 7-5</x:v>
      </x:c>
      <x:c r="I179" s="25" t="inlineStr">
        <x:is>
          <x:t xml:space="preserve">J.R. Borotra</x:t>
        </x:is>
      </x:c>
      <x:c r="J179" s="22" t="inlineStr">
        <x:is>
          <x:t xml:space="preserve">FRA</x:t>
        </x:is>
      </x:c>
      <x:c r="K179" s="25" t="inlineStr">
        <x:is>
          <x:t xml:space="preserve">France</x:t>
        </x:is>
      </x:c>
      <x:c r="L179" s="22" t="n">
        <x:v>3</x:v>
      </x:c>
      <x:c r="M179" s="18" t="n">
        <x:v>0.5294117647058824</x:v>
      </x:c>
      <x:c r="N179" s="18" t="n"/>
      <x:c r="O179" s="19" t="inlineStr">
        <x:is>
          <x:t xml:space="preserve">4</x:t>
        </x:is>
      </x:c>
      <x:c r="P179" s="19" t="n">
        <x:v>6</x:v>
      </x:c>
      <x:c r="Q179" s="19" t="n">
        <x:v>4</x:v>
      </x:c>
      <x:c r="R179" s="19" t="n">
        <x:v>6</x:v>
      </x:c>
      <x:c r="S179" s="19" t="n">
        <x:v>6</x:v>
      </x:c>
      <x:c r="T179" s="19" t="n">
        <x:v>3</x:v>
      </x:c>
      <x:c r="U179" s="19" t="n">
        <x:v>6</x:v>
      </x:c>
      <x:c r="V179" s="19" t="n">
        <x:v>4</x:v>
      </x:c>
      <x:c r="W179" s="19" t="inlineStr">
        <x:is>
          <x:t xml:space="preserve">7</x:t>
        </x:is>
      </x:c>
      <x:c r="X179" s="19" t="n">
        <x:v>5</x:v>
      </x:c>
      <x:c r="Y179" s="20" t="n">
        <x:f>SUM(O179+Q179+S179+U179+W179)</x:f>
        <x:v>27</x:v>
      </x:c>
      <x:c r="Z179" s="20" t="n">
        <x:f>SUM(P179+R179+T179+V179+X179)</x:f>
        <x:v>24</x:v>
      </x:c>
      <x:c r="AA179" s="21" t="n">
        <x:f>Y179/(Y179+Z179)</x:f>
        <x:v>0.5294117647058824</x:v>
      </x:c>
    </x:row>
    <x:row r="180">
      <x:c r="A180" s="22" t="n">
        <x:f>wimbledons_champions!A188</x:f>
        <x:v>1926</x:v>
      </x:c>
      <x:c r="B180" s="25" t="str">
        <x:f>wimbledons_champions!B188</x:f>
        <x:v>Women's</x:v>
      </x:c>
      <x:c r="C180" s="25" t="inlineStr">
        <x:is>
          <x:t xml:space="preserve">L.A. Godfree</x:t>
        </x:is>
      </x:c>
      <x:c r="D180" s="22" t="inlineStr">
        <x:is>
          <x:t xml:space="preserve">GBR</x:t>
        </x:is>
      </x:c>
      <x:c r="E180" s="25" t="inlineStr">
        <x:is>
          <x:t xml:space="preserve">United Kingdom</x:t>
        </x:is>
      </x:c>
      <x:c r="G180" s="22" t="n">
        <x:f>wimbledons_champions!G188</x:f>
        <x:v>60</x:v>
      </x:c>
      <x:c r="H180" s="25" t="str">
        <x:f>wimbledons_champions!H188</x:f>
        <x:v>6-2, 4-6, 6-3</x:v>
      </x:c>
      <x:c r="I180" s="25" t="inlineStr">
        <x:is>
          <x:t xml:space="preserve">E.M. de Alvarez</x:t>
        </x:is>
      </x:c>
      <x:c r="J180" s="22" t="inlineStr">
        <x:is>
          <x:t xml:space="preserve">ESP</x:t>
        </x:is>
      </x:c>
      <x:c r="K180" s="25" t="inlineStr">
        <x:is>
          <x:t xml:space="preserve">Spain</x:t>
        </x:is>
      </x:c>
      <x:c r="M180" s="18" t="n">
        <x:v>0.5925925925925926</x:v>
      </x:c>
      <x:c r="N180" s="18" t="n"/>
      <x:c r="O180" s="19" t="inlineStr">
        <x:is>
          <x:t xml:space="preserve">6</x:t>
        </x:is>
      </x:c>
      <x:c r="P180" s="19" t="n">
        <x:v>2</x:v>
      </x:c>
      <x:c r="Q180" s="19" t="n">
        <x:v>4</x:v>
      </x:c>
      <x:c r="R180" s="19" t="n">
        <x:v>6</x:v>
      </x:c>
      <x:c r="S180" s="19" t="n">
        <x:v>6</x:v>
      </x:c>
      <x:c r="T180" s="19" t="n">
        <x:v>3</x:v>
      </x:c>
      <x:c r="U180" s="19" t="n"/>
      <x:c r="V180" s="19" t="n"/>
      <x:c r="W180" s="19" t="n"/>
      <x:c r="X180" s="19" t="n"/>
      <x:c r="Y180" s="20" t="n">
        <x:f>SUM(O180+Q180+S180+U180+W180)</x:f>
        <x:v>16</x:v>
      </x:c>
      <x:c r="Z180" s="20" t="n">
        <x:f>SUM(P180+R180+T180+V180+X180)</x:f>
        <x:v>11</x:v>
      </x:c>
      <x:c r="AA180" s="21" t="n">
        <x:f>Y180/(Y180+Z180)</x:f>
        <x:v>0.5925925925925926</x:v>
      </x:c>
    </x:row>
    <x:row r="181">
      <x:c r="A181" s="22" t="n">
        <x:f>wimbledons_champions!A189</x:f>
        <x:v>1926</x:v>
      </x:c>
      <x:c r="B181" s="25" t="str">
        <x:f>wimbledons_champions!B189</x:f>
        <x:v>Men's</x:v>
      </x:c>
      <x:c r="C181" s="25" t="inlineStr">
        <x:is>
          <x:t xml:space="preserve">J.R. Borotra</x:t>
        </x:is>
      </x:c>
      <x:c r="D181" s="22" t="inlineStr">
        <x:is>
          <x:t xml:space="preserve">FRA</x:t>
        </x:is>
      </x:c>
      <x:c r="E181" s="25" t="inlineStr">
        <x:is>
          <x:t xml:space="preserve">France</x:t>
        </x:is>
      </x:c>
      <x:c r="G181" s="22" t="n">
        <x:f>wimbledons_champions!G189</x:f>
        <x:v>65</x:v>
      </x:c>
      <x:c r="H181" s="25" t="str">
        <x:f>wimbledons_champions!H189</x:f>
        <x:v>8-6, 6-1, 6-3</x:v>
      </x:c>
      <x:c r="I181" s="25" t="inlineStr">
        <x:is>
          <x:t xml:space="preserve">H.O. Kinsey</x:t>
        </x:is>
      </x:c>
      <x:c r="J181" s="22" t="inlineStr">
        <x:is>
          <x:t xml:space="preserve">USA</x:t>
        </x:is>
      </x:c>
      <x:c r="K181" s="25" t="inlineStr">
        <x:is>
          <x:t xml:space="preserve">United States</x:t>
        </x:is>
      </x:c>
      <x:c r="M181" s="18" t="n">
        <x:v>0.6666666666666666</x:v>
      </x:c>
      <x:c r="N181" s="18" t="n"/>
      <x:c r="O181" s="19" t="inlineStr">
        <x:is>
          <x:t xml:space="preserve">8</x:t>
        </x:is>
      </x:c>
      <x:c r="P181" s="19" t="n">
        <x:v>6</x:v>
      </x:c>
      <x:c r="Q181" s="19" t="n">
        <x:v>6</x:v>
      </x:c>
      <x:c r="R181" s="19" t="n">
        <x:v>1</x:v>
      </x:c>
      <x:c r="S181" s="19" t="n">
        <x:v>6</x:v>
      </x:c>
      <x:c r="T181" s="19" t="n">
        <x:v>3</x:v>
      </x:c>
      <x:c r="U181" s="19" t="n"/>
      <x:c r="V181" s="19" t="n"/>
      <x:c r="W181" s="19" t="n"/>
      <x:c r="X181" s="19" t="n"/>
      <x:c r="Y181" s="20" t="n">
        <x:f>SUM(O181+Q181+S181+U181+W181)</x:f>
        <x:v>20</x:v>
      </x:c>
      <x:c r="Z181" s="20" t="n">
        <x:f>SUM(P181+R181+T181+V181+X181)</x:f>
        <x:v>10</x:v>
      </x:c>
      <x:c r="AA181" s="21" t="n">
        <x:f>Y181/(Y181+Z181)</x:f>
        <x:v>0.6666666666666666</x:v>
      </x:c>
    </x:row>
    <x:row r="182">
      <x:c r="A182" s="22" t="n">
        <x:f>wimbledons_champions!A190</x:f>
        <x:v>1925</x:v>
      </x:c>
      <x:c r="B182" s="25" t="str">
        <x:f>wimbledons_champions!B190</x:f>
        <x:v>Women's</x:v>
      </x:c>
      <x:c r="C182" s="25" t="inlineStr">
        <x:is>
          <x:t xml:space="preserve">S.R.F. Lenglen</x:t>
        </x:is>
      </x:c>
      <x:c r="D182" s="22" t="inlineStr">
        <x:is>
          <x:t xml:space="preserve">FRA</x:t>
        </x:is>
      </x:c>
      <x:c r="E182" s="25" t="inlineStr">
        <x:is>
          <x:t xml:space="preserve">France</x:t>
        </x:is>
      </x:c>
      <x:c r="G182" s="22" t="n">
        <x:f>wimbledons_champions!G190</x:f>
        <x:v>25</x:v>
      </x:c>
      <x:c r="H182" s="25" t="str">
        <x:f>wimbledons_champions!H190</x:f>
        <x:v>6-2, 6-0</x:v>
      </x:c>
      <x:c r="I182" s="25" t="inlineStr">
        <x:is>
          <x:t xml:space="preserve">J.C. Fry</x:t>
        </x:is>
      </x:c>
      <x:c r="J182" s="22" t="inlineStr">
        <x:is>
          <x:t xml:space="preserve">GBR</x:t>
        </x:is>
      </x:c>
      <x:c r="K182" s="25" t="inlineStr">
        <x:is>
          <x:t xml:space="preserve">United Kingdom</x:t>
        </x:is>
      </x:c>
      <x:c r="M182" s="18" t="n">
        <x:v>0.8571428571428571</x:v>
      </x:c>
      <x:c r="N182" s="18" t="n"/>
      <x:c r="O182" s="19" t="inlineStr">
        <x:is>
          <x:t xml:space="preserve">6</x:t>
        </x:is>
      </x:c>
      <x:c r="P182" s="19" t="n">
        <x:v>2</x:v>
      </x:c>
      <x:c r="Q182" s="19" t="n">
        <x:v>6</x:v>
      </x:c>
      <x:c r="R182" s="19" t="n">
        <x:v>0</x:v>
      </x:c>
      <x:c r="S182" s="19" t="n"/>
      <x:c r="T182" s="19" t="n"/>
      <x:c r="U182" s="19" t="n"/>
      <x:c r="V182" s="19" t="n"/>
      <x:c r="W182" s="19" t="n"/>
      <x:c r="X182" s="19" t="n"/>
      <x:c r="Y182" s="20" t="n">
        <x:f>SUM(O182+Q182+S182+U182+W182)</x:f>
        <x:v>12</x:v>
      </x:c>
      <x:c r="Z182" s="20" t="n">
        <x:f>SUM(P182+R182+T182+V182+X182)</x:f>
        <x:v>2</x:v>
      </x:c>
      <x:c r="AA182" s="21" t="n">
        <x:f>Y182/(Y182+Z182)</x:f>
        <x:v>0.8571428571428571</x:v>
      </x:c>
    </x:row>
    <x:row r="183">
      <x:c r="A183" s="22" t="n">
        <x:f>wimbledons_champions!A191</x:f>
        <x:v>1925</x:v>
      </x:c>
      <x:c r="B183" s="25" t="str">
        <x:f>wimbledons_champions!B191</x:f>
        <x:v>Men's</x:v>
      </x:c>
      <x:c r="C183" s="25" t="inlineStr">
        <x:is>
          <x:t xml:space="preserve">J.R. Lacoste</x:t>
        </x:is>
      </x:c>
      <x:c r="D183" s="22" t="inlineStr">
        <x:is>
          <x:t xml:space="preserve">FRA</x:t>
        </x:is>
      </x:c>
      <x:c r="E183" s="25" t="inlineStr">
        <x:is>
          <x:t xml:space="preserve">France</x:t>
        </x:is>
      </x:c>
      <x:c r="G183" s="22" t="n">
        <x:f>wimbledons_champions!G191</x:f>
        <x:v>0</x:v>
      </x:c>
      <x:c r="H183" s="25" t="str">
        <x:f>wimbledons_champions!H191</x:f>
        <x:v>6-3, 6-3, 4-6, 8-6</x:v>
      </x:c>
      <x:c r="I183" s="25" t="inlineStr">
        <x:is>
          <x:t xml:space="preserve">J.R. Borotra</x:t>
        </x:is>
      </x:c>
      <x:c r="J183" s="22" t="inlineStr">
        <x:is>
          <x:t xml:space="preserve">FRA</x:t>
        </x:is>
      </x:c>
      <x:c r="K183" s="25" t="inlineStr">
        <x:is>
          <x:t xml:space="preserve">France</x:t>
        </x:is>
      </x:c>
      <x:c r="M183" s="18" t="n">
        <x:v>0.5714285714285714</x:v>
      </x:c>
      <x:c r="N183" s="18" t="n"/>
      <x:c r="O183" s="19" t="inlineStr">
        <x:is>
          <x:t xml:space="preserve">6</x:t>
        </x:is>
      </x:c>
      <x:c r="P183" s="19" t="n">
        <x:v>3</x:v>
      </x:c>
      <x:c r="Q183" s="19" t="n">
        <x:v>6</x:v>
      </x:c>
      <x:c r="R183" s="19" t="n">
        <x:v>3</x:v>
      </x:c>
      <x:c r="S183" s="19" t="n">
        <x:v>4</x:v>
      </x:c>
      <x:c r="T183" s="19" t="n">
        <x:v>6</x:v>
      </x:c>
      <x:c r="U183" s="19" t="n">
        <x:v>8</x:v>
      </x:c>
      <x:c r="V183" s="19" t="n">
        <x:v>6</x:v>
      </x:c>
      <x:c r="W183" s="19" t="n"/>
      <x:c r="X183" s="19" t="n"/>
      <x:c r="Y183" s="20" t="n">
        <x:f>SUM(O183+Q183+S183+U183+W183)</x:f>
        <x:v>24</x:v>
      </x:c>
      <x:c r="Z183" s="20" t="n">
        <x:f>SUM(P183+R183+T183+V183+X183)</x:f>
        <x:v>18</x:v>
      </x:c>
      <x:c r="AA183" s="21" t="n">
        <x:f>Y183/(Y183+Z183)</x:f>
        <x:v>0.5714285714285714</x:v>
      </x:c>
    </x:row>
    <x:row r="184">
      <x:c r="A184" s="22" t="n">
        <x:f>wimbledons_champions!A192</x:f>
        <x:v>1924</x:v>
      </x:c>
      <x:c r="B184" s="25" t="str">
        <x:f>wimbledons_champions!B192</x:f>
        <x:v>Women's</x:v>
      </x:c>
      <x:c r="C184" s="25" t="inlineStr">
        <x:is>
          <x:t xml:space="preserve">K. McKane</x:t>
        </x:is>
      </x:c>
      <x:c r="D184" s="22" t="inlineStr">
        <x:is>
          <x:t xml:space="preserve">GBR</x:t>
        </x:is>
      </x:c>
      <x:c r="E184" s="25" t="inlineStr">
        <x:is>
          <x:t xml:space="preserve">United Kingdom</x:t>
        </x:is>
      </x:c>
      <x:c r="G184" s="22" t="n">
        <x:f>wimbledons_champions!G192</x:f>
        <x:v>75</x:v>
      </x:c>
      <x:c r="H184" s="25" t="str">
        <x:f>wimbledons_champions!H192</x:f>
        <x:v>4-6, 6-4, 6-4</x:v>
      </x:c>
      <x:c r="I184" s="25" t="inlineStr">
        <x:is>
          <x:t xml:space="preserve">H.W. Moody</x:t>
        </x:is>
      </x:c>
      <x:c r="J184" s="22" t="inlineStr">
        <x:is>
          <x:t xml:space="preserve">USA</x:t>
        </x:is>
      </x:c>
      <x:c r="K184" s="25" t="inlineStr">
        <x:is>
          <x:t xml:space="preserve">United States</x:t>
        </x:is>
      </x:c>
      <x:c r="M184" s="18" t="n">
        <x:v>0.5333333333333333</x:v>
      </x:c>
      <x:c r="N184" s="18" t="n"/>
      <x:c r="O184" s="19" t="inlineStr">
        <x:is>
          <x:t xml:space="preserve">4</x:t>
        </x:is>
      </x:c>
      <x:c r="P184" s="19" t="n">
        <x:v>6</x:v>
      </x:c>
      <x:c r="Q184" s="19" t="n">
        <x:v>6</x:v>
      </x:c>
      <x:c r="R184" s="19" t="n">
        <x:v>4</x:v>
      </x:c>
      <x:c r="S184" s="19" t="n">
        <x:v>6</x:v>
      </x:c>
      <x:c r="T184" s="19" t="n">
        <x:v>4</x:v>
      </x:c>
      <x:c r="U184" s="19" t="n"/>
      <x:c r="V184" s="19" t="n"/>
      <x:c r="W184" s="19" t="n"/>
      <x:c r="X184" s="19" t="n"/>
      <x:c r="Y184" s="20" t="n">
        <x:f>SUM(O184+Q184+S184+U184+W184)</x:f>
        <x:v>16</x:v>
      </x:c>
      <x:c r="Z184" s="20" t="n">
        <x:f>SUM(P184+R184+T184+V184+X184)</x:f>
        <x:v>14</x:v>
      </x:c>
      <x:c r="AA184" s="21" t="n">
        <x:f>Y184/(Y184+Z184)</x:f>
        <x:v>0.5333333333333333</x:v>
      </x:c>
    </x:row>
    <x:row r="185">
      <x:c r="A185" s="22" t="n">
        <x:f>wimbledons_champions!A193</x:f>
        <x:v>1924</x:v>
      </x:c>
      <x:c r="B185" s="25" t="str">
        <x:f>wimbledons_champions!B193</x:f>
        <x:v>Men's</x:v>
      </x:c>
      <x:c r="C185" s="25" t="inlineStr">
        <x:is>
          <x:t xml:space="preserve">J.R. Borotra</x:t>
        </x:is>
      </x:c>
      <x:c r="D185" s="22" t="inlineStr">
        <x:is>
          <x:t xml:space="preserve">FRA</x:t>
        </x:is>
      </x:c>
      <x:c r="E185" s="25" t="inlineStr">
        <x:is>
          <x:t xml:space="preserve">France</x:t>
        </x:is>
      </x:c>
      <x:c r="G185" s="22" t="n">
        <x:f>wimbledons_champions!G193</x:f>
        <x:v>80</x:v>
      </x:c>
      <x:c r="H185" s="25" t="str">
        <x:f>wimbledons_champions!H193</x:f>
        <x:v>6-1, 3-6, 6-1, 3-6, 6-4</x:v>
      </x:c>
      <x:c r="I185" s="25" t="inlineStr">
        <x:is>
          <x:t xml:space="preserve">J.R. Lacoste</x:t>
        </x:is>
      </x:c>
      <x:c r="J185" s="22" t="inlineStr">
        <x:is>
          <x:t xml:space="preserve">FRA</x:t>
        </x:is>
      </x:c>
      <x:c r="K185" s="25" t="inlineStr">
        <x:is>
          <x:t xml:space="preserve">France</x:t>
        </x:is>
      </x:c>
      <x:c r="M185" s="18" t="n">
        <x:v>0.5714285714285714</x:v>
      </x:c>
      <x:c r="N185" s="18" t="n"/>
      <x:c r="O185" s="19" t="inlineStr">
        <x:is>
          <x:t xml:space="preserve">6</x:t>
        </x:is>
      </x:c>
      <x:c r="P185" s="19" t="n">
        <x:v>1</x:v>
      </x:c>
      <x:c r="Q185" s="19" t="n">
        <x:v>3</x:v>
      </x:c>
      <x:c r="R185" s="19" t="n">
        <x:v>6</x:v>
      </x:c>
      <x:c r="S185" s="19" t="n">
        <x:v>6</x:v>
      </x:c>
      <x:c r="T185" s="19" t="n">
        <x:v>1</x:v>
      </x:c>
      <x:c r="U185" s="19" t="n">
        <x:v>3</x:v>
      </x:c>
      <x:c r="V185" s="19" t="n">
        <x:v>6</x:v>
      </x:c>
      <x:c r="W185" s="19" t="inlineStr">
        <x:is>
          <x:t xml:space="preserve">6</x:t>
        </x:is>
      </x:c>
      <x:c r="X185" s="19" t="n">
        <x:v>4</x:v>
      </x:c>
      <x:c r="Y185" s="20" t="n">
        <x:f>SUM(O185+Q185+S185+U185+W185)</x:f>
        <x:v>24</x:v>
      </x:c>
      <x:c r="Z185" s="20" t="n">
        <x:f>SUM(P185+R185+T185+V185+X185)</x:f>
        <x:v>18</x:v>
      </x:c>
      <x:c r="AA185" s="21" t="n">
        <x:f>Y185/(Y185+Z185)</x:f>
        <x:v>0.5714285714285714</x:v>
      </x:c>
    </x:row>
    <x:row r="186">
      <x:c r="A186" s="22" t="n">
        <x:f>wimbledons_champions!A194</x:f>
        <x:v>1923</x:v>
      </x:c>
      <x:c r="B186" s="25" t="str">
        <x:f>wimbledons_champions!B194</x:f>
        <x:v>Women's</x:v>
      </x:c>
      <x:c r="C186" s="25" t="inlineStr">
        <x:is>
          <x:t xml:space="preserve">S.R.F. Lenglen</x:t>
        </x:is>
      </x:c>
      <x:c r="D186" s="22" t="inlineStr">
        <x:is>
          <x:t xml:space="preserve">FRA</x:t>
        </x:is>
      </x:c>
      <x:c r="E186" s="25" t="inlineStr">
        <x:is>
          <x:t xml:space="preserve">France</x:t>
        </x:is>
      </x:c>
      <x:c r="G186" s="22" t="n">
        <x:f>wimbledons_champions!G194</x:f>
        <x:v>0</x:v>
      </x:c>
      <x:c r="H186" s="25" t="str">
        <x:f>wimbledons_champions!H194</x:f>
        <x:v>6-2, 6-2</x:v>
      </x:c>
      <x:c r="I186" s="25" t="inlineStr">
        <x:is>
          <x:t xml:space="preserve">K. McKane</x:t>
        </x:is>
      </x:c>
      <x:c r="J186" s="22" t="inlineStr">
        <x:is>
          <x:t xml:space="preserve">GBR</x:t>
        </x:is>
      </x:c>
      <x:c r="K186" s="25" t="inlineStr">
        <x:is>
          <x:t xml:space="preserve">United Kingdom</x:t>
        </x:is>
      </x:c>
      <x:c r="M186" s="18" t="n">
        <x:v>0.75</x:v>
      </x:c>
      <x:c r="N186" s="18" t="n"/>
      <x:c r="O186" s="19" t="inlineStr">
        <x:is>
          <x:t xml:space="preserve">6</x:t>
        </x:is>
      </x:c>
      <x:c r="P186" s="19" t="n">
        <x:v>2</x:v>
      </x:c>
      <x:c r="Q186" s="19" t="n">
        <x:v>6</x:v>
      </x:c>
      <x:c r="R186" s="19" t="n">
        <x:v>2</x:v>
      </x:c>
      <x:c r="S186" s="19" t="n"/>
      <x:c r="T186" s="19" t="n"/>
      <x:c r="U186" s="19" t="n"/>
      <x:c r="V186" s="19" t="n"/>
      <x:c r="W186" s="19" t="n"/>
      <x:c r="X186" s="19" t="n"/>
      <x:c r="Y186" s="20" t="n">
        <x:f>SUM(O186+Q186+S186+U186+W186)</x:f>
        <x:v>12</x:v>
      </x:c>
      <x:c r="Z186" s="20" t="n">
        <x:f>SUM(P186+R186+T186+V186+X186)</x:f>
        <x:v>4</x:v>
      </x:c>
      <x:c r="AA186" s="21" t="n">
        <x:f>Y186/(Y186+Z186)</x:f>
        <x:v>0.75</x:v>
      </x:c>
    </x:row>
    <x:row r="187">
      <x:c r="A187" s="22" t="n">
        <x:f>wimbledons_champions!A195</x:f>
        <x:v>1923</x:v>
      </x:c>
      <x:c r="B187" s="25" t="str">
        <x:f>wimbledons_champions!B195</x:f>
        <x:v>Men's</x:v>
      </x:c>
      <x:c r="C187" s="25" t="inlineStr">
        <x:is>
          <x:t xml:space="preserve">W. M. Johnston</x:t>
        </x:is>
      </x:c>
      <x:c r="D187" s="22" t="inlineStr">
        <x:is>
          <x:t xml:space="preserve">USA</x:t>
        </x:is>
      </x:c>
      <x:c r="E187" s="25" t="inlineStr">
        <x:is>
          <x:t xml:space="preserve">United States</x:t>
        </x:is>
      </x:c>
      <x:c r="G187" s="22" t="n">
        <x:f>wimbledons_champions!G195</x:f>
        <x:v>46</x:v>
      </x:c>
      <x:c r="H187" s="25" t="str">
        <x:f>wimbledons_champions!H195</x:f>
        <x:v>6-0, 6-3, 6-1</x:v>
      </x:c>
      <x:c r="I187" s="25" t="inlineStr">
        <x:is>
          <x:t xml:space="preserve">F.T. Hunter</x:t>
        </x:is>
      </x:c>
      <x:c r="J187" s="22" t="inlineStr">
        <x:is>
          <x:t xml:space="preserve">USA</x:t>
        </x:is>
      </x:c>
      <x:c r="K187" s="25" t="inlineStr">
        <x:is>
          <x:t xml:space="preserve">United States</x:t>
        </x:is>
      </x:c>
      <x:c r="M187" s="18" t="n">
        <x:v>0.8181818181818182</x:v>
      </x:c>
      <x:c r="N187" s="18" t="n"/>
      <x:c r="O187" s="19" t="inlineStr">
        <x:is>
          <x:t xml:space="preserve">6</x:t>
        </x:is>
      </x:c>
      <x:c r="P187" s="19" t="n">
        <x:v>0</x:v>
      </x:c>
      <x:c r="Q187" s="19" t="n">
        <x:v>6</x:v>
      </x:c>
      <x:c r="R187" s="19" t="n">
        <x:v>3</x:v>
      </x:c>
      <x:c r="S187" s="19" t="n">
        <x:v>6</x:v>
      </x:c>
      <x:c r="T187" s="19" t="n">
        <x:v>1</x:v>
      </x:c>
      <x:c r="U187" s="19" t="n"/>
      <x:c r="V187" s="19" t="n"/>
      <x:c r="W187" s="19" t="n"/>
      <x:c r="X187" s="19" t="n"/>
      <x:c r="Y187" s="20" t="n">
        <x:f>SUM(O187+Q187+S187+U187+W187)</x:f>
        <x:v>18</x:v>
      </x:c>
      <x:c r="Z187" s="20" t="n">
        <x:f>SUM(P187+R187+T187+V187+X187)</x:f>
        <x:v>4</x:v>
      </x:c>
      <x:c r="AA187" s="21" t="n">
        <x:f>Y187/(Y187+Z187)</x:f>
        <x:v>0.8181818181818182</x:v>
      </x:c>
    </x:row>
    <x:row r="188">
      <x:c r="A188" s="22" t="n">
        <x:f>wimbledons_champions!A196</x:f>
        <x:v>1922</x:v>
      </x:c>
      <x:c r="B188" s="25" t="str">
        <x:f>wimbledons_champions!B196</x:f>
        <x:v>Women's</x:v>
      </x:c>
      <x:c r="C188" s="25" t="inlineStr">
        <x:is>
          <x:t xml:space="preserve">S.R.F. Lenglen</x:t>
        </x:is>
      </x:c>
      <x:c r="D188" s="22" t="inlineStr">
        <x:is>
          <x:t xml:space="preserve">FRA</x:t>
        </x:is>
      </x:c>
      <x:c r="E188" s="25" t="inlineStr">
        <x:is>
          <x:t xml:space="preserve">France</x:t>
        </x:is>
      </x:c>
      <x:c r="G188" s="22" t="n">
        <x:f>wimbledons_champions!G196</x:f>
        <x:v>23</x:v>
      </x:c>
      <x:c r="H188" s="25" t="str">
        <x:f>wimbledons_champions!H196</x:f>
        <x:v>6-2, 6-0</x:v>
      </x:c>
      <x:c r="I188" s="25" t="inlineStr">
        <x:is>
          <x:t xml:space="preserve">F.I. Mallory</x:t>
        </x:is>
      </x:c>
      <x:c r="J188" s="22" t="inlineStr">
        <x:is>
          <x:t xml:space="preserve">USA</x:t>
        </x:is>
      </x:c>
      <x:c r="K188" s="25" t="inlineStr">
        <x:is>
          <x:t xml:space="preserve">United States</x:t>
        </x:is>
      </x:c>
      <x:c r="M188" s="18" t="n">
        <x:v>0.8571428571428571</x:v>
      </x:c>
      <x:c r="N188" s="18" t="n"/>
      <x:c r="O188" s="19" t="inlineStr">
        <x:is>
          <x:t xml:space="preserve">6</x:t>
        </x:is>
      </x:c>
      <x:c r="P188" s="19" t="n">
        <x:v>2</x:v>
      </x:c>
      <x:c r="Q188" s="19" t="n">
        <x:v>6</x:v>
      </x:c>
      <x:c r="R188" s="19" t="n">
        <x:v>0</x:v>
      </x:c>
      <x:c r="S188" s="19" t="n"/>
      <x:c r="T188" s="19" t="n"/>
      <x:c r="U188" s="19" t="n"/>
      <x:c r="V188" s="19" t="n"/>
      <x:c r="W188" s="19" t="n"/>
      <x:c r="X188" s="19" t="n"/>
      <x:c r="Y188" s="20" t="n">
        <x:f>SUM(O188+Q188+S188+U188+W188)</x:f>
        <x:v>12</x:v>
      </x:c>
      <x:c r="Z188" s="20" t="n">
        <x:f>SUM(P188+R188+T188+V188+X188)</x:f>
        <x:v>2</x:v>
      </x:c>
      <x:c r="AA188" s="21" t="n">
        <x:f>Y188/(Y188+Z188)</x:f>
        <x:v>0.8571428571428571</x:v>
      </x:c>
    </x:row>
    <x:row r="189">
      <x:c r="A189" s="22" t="n">
        <x:f>wimbledons_champions!A197</x:f>
        <x:v>1922</x:v>
      </x:c>
      <x:c r="B189" s="25" t="str">
        <x:f>wimbledons_champions!B197</x:f>
        <x:v>Men's</x:v>
      </x:c>
      <x:c r="C189" s="25" t="inlineStr">
        <x:is>
          <x:t xml:space="preserve">G.L. Patterson</x:t>
        </x:is>
      </x:c>
      <x:c r="D189" s="22" t="inlineStr">
        <x:is>
          <x:t xml:space="preserve">AUS</x:t>
        </x:is>
      </x:c>
      <x:c r="E189" s="25" t="inlineStr">
        <x:is>
          <x:t xml:space="preserve">Australia</x:t>
        </x:is>
      </x:c>
      <x:c r="G189" s="22" t="n">
        <x:f>wimbledons_champions!G197</x:f>
        <x:v>0</x:v>
      </x:c>
      <x:c r="H189" s="25" t="str">
        <x:f>wimbledons_champions!H197</x:f>
        <x:v>6-3, 6-4, 6-2</x:v>
      </x:c>
      <x:c r="I189" s="25" t="inlineStr">
        <x:is>
          <x:t xml:space="preserve">R. Lycett</x:t>
        </x:is>
      </x:c>
      <x:c r="J189" s="22" t="inlineStr">
        <x:is>
          <x:t xml:space="preserve">GBR</x:t>
        </x:is>
      </x:c>
      <x:c r="K189" s="25" t="inlineStr">
        <x:is>
          <x:t xml:space="preserve">United Kingdom</x:t>
        </x:is>
      </x:c>
      <x:c r="M189" s="18" t="n">
        <x:v>0.6666666666666666</x:v>
      </x:c>
      <x:c r="N189" s="18" t="n"/>
      <x:c r="O189" s="19" t="inlineStr">
        <x:is>
          <x:t xml:space="preserve">6</x:t>
        </x:is>
      </x:c>
      <x:c r="P189" s="19" t="n">
        <x:v>3</x:v>
      </x:c>
      <x:c r="Q189" s="19" t="n">
        <x:v>6</x:v>
      </x:c>
      <x:c r="R189" s="19" t="n">
        <x:v>4</x:v>
      </x:c>
      <x:c r="S189" s="19" t="n">
        <x:v>6</x:v>
      </x:c>
      <x:c r="T189" s="19" t="n">
        <x:v>2</x:v>
      </x:c>
      <x:c r="U189" s="19" t="n"/>
      <x:c r="V189" s="19" t="n"/>
      <x:c r="W189" s="19" t="n"/>
      <x:c r="X189" s="19" t="n"/>
      <x:c r="Y189" s="20" t="n">
        <x:f>SUM(O189+Q189+S189+U189+W189)</x:f>
        <x:v>18</x:v>
      </x:c>
      <x:c r="Z189" s="20" t="n">
        <x:f>SUM(P189+R189+T189+V189+X189)</x:f>
        <x:v>9</x:v>
      </x:c>
      <x:c r="AA189" s="21" t="n">
        <x:f>Y189/(Y189+Z189)</x:f>
        <x:v>0.6666666666666666</x:v>
      </x:c>
    </x:row>
    <x:row r="190">
      <x:c r="A190" s="22" t="n">
        <x:f>wimbledons_champions!A198</x:f>
        <x:v>1921</x:v>
      </x:c>
      <x:c r="B190" s="25" t="str">
        <x:f>wimbledons_champions!B198</x:f>
        <x:v>Women's</x:v>
      </x:c>
      <x:c r="C190" s="25" t="inlineStr">
        <x:is>
          <x:t xml:space="preserve">S.R.F. Lenglen</x:t>
        </x:is>
      </x:c>
      <x:c r="D190" s="22" t="inlineStr">
        <x:is>
          <x:t xml:space="preserve">FRA</x:t>
        </x:is>
      </x:c>
      <x:c r="E190" s="25" t="inlineStr">
        <x:is>
          <x:t xml:space="preserve">France</x:t>
        </x:is>
      </x:c>
      <x:c r="G190" s="22" t="n">
        <x:f>wimbledons_champions!G198</x:f>
        <x:v>0</x:v>
      </x:c>
      <x:c r="H190" s="25" t="str">
        <x:f>wimbledons_champions!H198</x:f>
        <x:v>6-2, 6-0</x:v>
      </x:c>
      <x:c r="I190" s="25" t="inlineStr">
        <x:is>
          <x:t xml:space="preserve">E.M. Ryan</x:t>
        </x:is>
      </x:c>
      <x:c r="J190" s="22" t="inlineStr">
        <x:is>
          <x:t xml:space="preserve">USA</x:t>
        </x:is>
      </x:c>
      <x:c r="K190" s="25" t="inlineStr">
        <x:is>
          <x:t xml:space="preserve">United States</x:t>
        </x:is>
      </x:c>
      <x:c r="M190" s="18" t="n">
        <x:v>0.8571428571428571</x:v>
      </x:c>
      <x:c r="N190" s="18" t="n"/>
      <x:c r="O190" s="19" t="inlineStr">
        <x:is>
          <x:t xml:space="preserve">6</x:t>
        </x:is>
      </x:c>
      <x:c r="P190" s="19" t="n">
        <x:v>2</x:v>
      </x:c>
      <x:c r="Q190" s="19" t="n">
        <x:v>6</x:v>
      </x:c>
      <x:c r="R190" s="19" t="n">
        <x:v>0</x:v>
      </x:c>
      <x:c r="S190" s="19" t="n"/>
      <x:c r="T190" s="19" t="n"/>
      <x:c r="U190" s="19" t="n"/>
      <x:c r="V190" s="19" t="n"/>
      <x:c r="W190" s="19" t="n"/>
      <x:c r="X190" s="19" t="n"/>
      <x:c r="Y190" s="20" t="n">
        <x:f>SUM(O190+Q190+S190+U190+W190)</x:f>
        <x:v>12</x:v>
      </x:c>
      <x:c r="Z190" s="20" t="n">
        <x:f>SUM(P190+R190+T190+V190+X190)</x:f>
        <x:v>2</x:v>
      </x:c>
      <x:c r="AA190" s="21" t="n">
        <x:f>Y190/(Y190+Z190)</x:f>
        <x:v>0.8571428571428571</x:v>
      </x:c>
    </x:row>
    <x:row r="191">
      <x:c r="A191" s="22" t="n">
        <x:f>wimbledons_champions!A199</x:f>
        <x:v>1921</x:v>
      </x:c>
      <x:c r="B191" s="25" t="str">
        <x:f>wimbledons_champions!B199</x:f>
        <x:v>Men's</x:v>
      </x:c>
      <x:c r="C191" s="25" t="inlineStr">
        <x:is>
          <x:t xml:space="preserve">W.T. Tilden</x:t>
        </x:is>
      </x:c>
      <x:c r="D191" s="22" t="inlineStr">
        <x:is>
          <x:t xml:space="preserve">USA</x:t>
        </x:is>
      </x:c>
      <x:c r="E191" s="25" t="inlineStr">
        <x:is>
          <x:t xml:space="preserve">United States</x:t>
        </x:is>
      </x:c>
      <x:c r="G191" s="22" t="n">
        <x:f>wimbledons_champions!G199</x:f>
        <x:v>0</x:v>
      </x:c>
      <x:c r="H191" s="25" t="str">
        <x:f>wimbledons_champions!H199</x:f>
        <x:v>4-6, 2-6, 6-1, 6-0, 7-5</x:v>
      </x:c>
      <x:c r="I191" s="25" t="inlineStr">
        <x:is>
          <x:t xml:space="preserve">B.I.C. Norton</x:t>
        </x:is>
      </x:c>
      <x:c r="J191" s="22" t="inlineStr">
        <x:is>
          <x:t xml:space="preserve">RSA</x:t>
        </x:is>
      </x:c>
      <x:c r="K191" s="25" t="inlineStr">
        <x:is>
          <x:t xml:space="preserve">South Africa</x:t>
        </x:is>
      </x:c>
      <x:c r="M191" s="18" t="n">
        <x:v>0.5813953488372093</x:v>
      </x:c>
      <x:c r="N191" s="18" t="n"/>
      <x:c r="O191" s="19" t="inlineStr">
        <x:is>
          <x:t xml:space="preserve">4</x:t>
        </x:is>
      </x:c>
      <x:c r="P191" s="19" t="n">
        <x:v>6</x:v>
      </x:c>
      <x:c r="Q191" s="19" t="n">
        <x:v>2</x:v>
      </x:c>
      <x:c r="R191" s="19" t="n">
        <x:v>6</x:v>
      </x:c>
      <x:c r="S191" s="19" t="n">
        <x:v>6</x:v>
      </x:c>
      <x:c r="T191" s="19" t="n">
        <x:v>1</x:v>
      </x:c>
      <x:c r="U191" s="19" t="n">
        <x:v>6</x:v>
      </x:c>
      <x:c r="V191" s="19" t="n">
        <x:v>0</x:v>
      </x:c>
      <x:c r="W191" s="19" t="inlineStr">
        <x:is>
          <x:t xml:space="preserve">7</x:t>
        </x:is>
      </x:c>
      <x:c r="X191" s="19" t="n">
        <x:v>5</x:v>
      </x:c>
      <x:c r="Y191" s="20" t="n">
        <x:f>SUM(O191+Q191+S191+U191+W191)</x:f>
        <x:v>25</x:v>
      </x:c>
      <x:c r="Z191" s="20" t="n">
        <x:f>SUM(P191+R191+T191+V191+X191)</x:f>
        <x:v>18</x:v>
      </x:c>
      <x:c r="AA191" s="21" t="n">
        <x:f>Y191/(Y191+Z191)</x:f>
        <x:v>0.5813953488372093</x:v>
      </x:c>
    </x:row>
    <x:row r="192">
      <x:c r="A192" s="22" t="n">
        <x:f>wimbledons_champions!A200</x:f>
        <x:v>1920</x:v>
      </x:c>
      <x:c r="B192" s="25" t="str">
        <x:f>wimbledons_champions!B200</x:f>
        <x:v>Women's</x:v>
      </x:c>
      <x:c r="C192" s="25" t="inlineStr">
        <x:is>
          <x:t xml:space="preserve">S.R.F. Lenglen</x:t>
        </x:is>
      </x:c>
      <x:c r="D192" s="22" t="inlineStr">
        <x:is>
          <x:t xml:space="preserve">FRA</x:t>
        </x:is>
      </x:c>
      <x:c r="E192" s="25" t="inlineStr">
        <x:is>
          <x:t xml:space="preserve">France</x:t>
        </x:is>
      </x:c>
      <x:c r="G192" s="22" t="n">
        <x:f>wimbledons_champions!G200</x:f>
        <x:v>0</x:v>
      </x:c>
      <x:c r="H192" s="25" t="str">
        <x:f>wimbledons_champions!H200</x:f>
        <x:v>6-3, 6-0</x:v>
      </x:c>
      <x:c r="I192" s="25" t="inlineStr">
        <x:is>
          <x:t xml:space="preserve">D.L. Chambers</x:t>
        </x:is>
      </x:c>
      <x:c r="J192" s="22" t="inlineStr">
        <x:is>
          <x:t xml:space="preserve">GBR</x:t>
        </x:is>
      </x:c>
      <x:c r="K192" s="25" t="inlineStr">
        <x:is>
          <x:t xml:space="preserve">United Kingdom</x:t>
        </x:is>
      </x:c>
      <x:c r="M192" s="18" t="n">
        <x:v>0.8</x:v>
      </x:c>
      <x:c r="N192" s="18" t="n"/>
      <x:c r="O192" s="19" t="inlineStr">
        <x:is>
          <x:t xml:space="preserve">6</x:t>
        </x:is>
      </x:c>
      <x:c r="P192" s="19" t="n">
        <x:v>3</x:v>
      </x:c>
      <x:c r="Q192" s="19" t="n">
        <x:v>6</x:v>
      </x:c>
      <x:c r="R192" s="19" t="n">
        <x:v>0</x:v>
      </x:c>
      <x:c r="S192" s="19" t="n"/>
      <x:c r="T192" s="19" t="n"/>
      <x:c r="U192" s="19" t="n"/>
      <x:c r="V192" s="19" t="n"/>
      <x:c r="W192" s="19" t="n"/>
      <x:c r="X192" s="19" t="n"/>
      <x:c r="Y192" s="20" t="n">
        <x:f>SUM(O192+Q192+S192+U192+W192)</x:f>
        <x:v>12</x:v>
      </x:c>
      <x:c r="Z192" s="20" t="n">
        <x:f>SUM(P192+R192+T192+V192+X192)</x:f>
        <x:v>3</x:v>
      </x:c>
      <x:c r="AA192" s="21" t="n">
        <x:f>Y192/(Y192+Z192)</x:f>
        <x:v>0.8</x:v>
      </x:c>
    </x:row>
    <x:row r="193">
      <x:c r="A193" s="22" t="n">
        <x:f>wimbledons_champions!A201</x:f>
        <x:v>1920</x:v>
      </x:c>
      <x:c r="B193" s="25" t="str">
        <x:f>wimbledons_champions!B201</x:f>
        <x:v>Men's</x:v>
      </x:c>
      <x:c r="C193" s="25" t="inlineStr">
        <x:is>
          <x:t xml:space="preserve">W.T. Tilden</x:t>
        </x:is>
      </x:c>
      <x:c r="D193" s="22" t="inlineStr">
        <x:is>
          <x:t xml:space="preserve">USA</x:t>
        </x:is>
      </x:c>
      <x:c r="E193" s="25" t="inlineStr">
        <x:is>
          <x:t xml:space="preserve">United States</x:t>
        </x:is>
      </x:c>
      <x:c r="G193" s="22" t="n">
        <x:f>wimbledons_champions!G201</x:f>
        <x:v>0</x:v>
      </x:c>
      <x:c r="H193" s="25" t="str">
        <x:f>wimbledons_champions!H201</x:f>
        <x:v>2-6, 6-3, 6-2, 6-4</x:v>
      </x:c>
      <x:c r="I193" s="25" t="inlineStr">
        <x:is>
          <x:t xml:space="preserve">G.L. Patterson</x:t>
        </x:is>
      </x:c>
      <x:c r="J193" s="22" t="inlineStr">
        <x:is>
          <x:t xml:space="preserve">AUS</x:t>
        </x:is>
      </x:c>
      <x:c r="K193" s="25" t="inlineStr">
        <x:is>
          <x:t xml:space="preserve">Australia</x:t>
        </x:is>
      </x:c>
      <x:c r="M193" s="18" t="n">
        <x:v>0.5714285714285714</x:v>
      </x:c>
      <x:c r="N193" s="18" t="n"/>
      <x:c r="O193" s="19" t="inlineStr">
        <x:is>
          <x:t xml:space="preserve">2</x:t>
        </x:is>
      </x:c>
      <x:c r="P193" s="19" t="n">
        <x:v>6</x:v>
      </x:c>
      <x:c r="Q193" s="19" t="n">
        <x:v>6</x:v>
      </x:c>
      <x:c r="R193" s="19" t="n">
        <x:v>3</x:v>
      </x:c>
      <x:c r="S193" s="19" t="n">
        <x:v>6</x:v>
      </x:c>
      <x:c r="T193" s="19" t="n">
        <x:v>2</x:v>
      </x:c>
      <x:c r="U193" s="19" t="n">
        <x:v>6</x:v>
      </x:c>
      <x:c r="V193" s="19" t="n">
        <x:v>4</x:v>
      </x:c>
      <x:c r="W193" s="19" t="n"/>
      <x:c r="X193" s="19" t="n"/>
      <x:c r="Y193" s="20" t="n">
        <x:f>SUM(O193+Q193+S193+U193+W193)</x:f>
        <x:v>20</x:v>
      </x:c>
      <x:c r="Z193" s="20" t="n">
        <x:f>SUM(P193+R193+T193+V193+X193)</x:f>
        <x:v>15</x:v>
      </x:c>
      <x:c r="AA193" s="21" t="n">
        <x:f>Y193/(Y193+Z193)</x:f>
        <x:v>0.5714285714285714</x:v>
      </x:c>
    </x:row>
    <x:row r="194">
      <x:c r="A194" s="22" t="n">
        <x:f>wimbledons_champions!A202</x:f>
        <x:v>1919</x:v>
      </x:c>
      <x:c r="B194" s="25" t="str">
        <x:f>wimbledons_champions!B202</x:f>
        <x:v>Women's</x:v>
      </x:c>
      <x:c r="C194" s="25" t="inlineStr">
        <x:is>
          <x:t xml:space="preserve">S.R.F. Lenglen</x:t>
        </x:is>
      </x:c>
      <x:c r="D194" s="22" t="inlineStr">
        <x:is>
          <x:t xml:space="preserve">FRA</x:t>
        </x:is>
      </x:c>
      <x:c r="E194" s="25" t="inlineStr">
        <x:is>
          <x:t xml:space="preserve">France</x:t>
        </x:is>
      </x:c>
      <x:c r="G194" s="22" t="n">
        <x:f>wimbledons_champions!G202</x:f>
        <x:v>125</x:v>
      </x:c>
      <x:c r="H194" s="25" t="str">
        <x:f>wimbledons_champions!H202</x:f>
        <x:v>10-8, 4-6, 9-7</x:v>
      </x:c>
      <x:c r="I194" s="25" t="inlineStr">
        <x:is>
          <x:t xml:space="preserve">D.L. Chambers</x:t>
        </x:is>
      </x:c>
      <x:c r="J194" s="22" t="inlineStr">
        <x:is>
          <x:t xml:space="preserve">GBR</x:t>
        </x:is>
      </x:c>
      <x:c r="K194" s="25" t="inlineStr">
        <x:is>
          <x:t xml:space="preserve">United Kingdom</x:t>
        </x:is>
      </x:c>
      <x:c r="M194" s="18" t="n">
        <x:v>0.5227272727272727</x:v>
      </x:c>
      <x:c r="N194" s="18" t="n"/>
      <x:c r="O194" s="19" t="inlineStr">
        <x:is>
          <x:t xml:space="preserve">10</x:t>
        </x:is>
      </x:c>
      <x:c r="P194" s="19" t="n">
        <x:v>8</x:v>
      </x:c>
      <x:c r="Q194" s="19" t="n">
        <x:v>4</x:v>
      </x:c>
      <x:c r="R194" s="19" t="n">
        <x:v>6</x:v>
      </x:c>
      <x:c r="S194" s="19" t="n">
        <x:v>9</x:v>
      </x:c>
      <x:c r="T194" s="19" t="n">
        <x:v>7</x:v>
      </x:c>
      <x:c r="U194" s="19" t="n"/>
      <x:c r="V194" s="19" t="n"/>
      <x:c r="W194" s="19" t="n"/>
      <x:c r="X194" s="19" t="n"/>
      <x:c r="Y194" s="20" t="n">
        <x:f>SUM(O194+Q194+S194+U194+W194)</x:f>
        <x:v>23</x:v>
      </x:c>
      <x:c r="Z194" s="20" t="n">
        <x:f>SUM(P194+R194+T194+V194+X194)</x:f>
        <x:v>21</x:v>
      </x:c>
      <x:c r="AA194" s="21" t="n">
        <x:f>Y194/(Y194+Z194)</x:f>
        <x:v>0.5227272727272727</x:v>
      </x:c>
    </x:row>
    <x:row r="195">
      <x:c r="A195" s="22" t="n">
        <x:f>wimbledons_champions!A203</x:f>
        <x:v>1919</x:v>
      </x:c>
      <x:c r="B195" s="25" t="str">
        <x:f>wimbledons_champions!B203</x:f>
        <x:v>Men's</x:v>
      </x:c>
      <x:c r="C195" s="25" t="inlineStr">
        <x:is>
          <x:t xml:space="preserve">G.L. Patterson</x:t>
        </x:is>
      </x:c>
      <x:c r="D195" s="22" t="inlineStr">
        <x:is>
          <x:t xml:space="preserve">AUS</x:t>
        </x:is>
      </x:c>
      <x:c r="E195" s="25" t="inlineStr">
        <x:is>
          <x:t xml:space="preserve">Australia</x:t>
        </x:is>
      </x:c>
      <x:c r="G195" s="22" t="n">
        <x:f>wimbledons_champions!G203</x:f>
        <x:v>0</x:v>
      </x:c>
      <x:c r="H195" s="25" t="str">
        <x:f>wimbledons_champions!H203</x:f>
        <x:v>6-3, 7-5, 6-2</x:v>
      </x:c>
      <x:c r="I195" s="25" t="inlineStr">
        <x:is>
          <x:t xml:space="preserve">N.E. Brookes</x:t>
        </x:is>
      </x:c>
      <x:c r="J195" s="22" t="inlineStr">
        <x:is>
          <x:t xml:space="preserve">AUS</x:t>
        </x:is>
      </x:c>
      <x:c r="K195" s="25" t="inlineStr">
        <x:is>
          <x:t xml:space="preserve">Australia</x:t>
        </x:is>
      </x:c>
      <x:c r="M195" s="18" t="n">
        <x:v>0.6551724137931034</x:v>
      </x:c>
      <x:c r="N195" s="18" t="n"/>
      <x:c r="O195" s="19" t="inlineStr">
        <x:is>
          <x:t xml:space="preserve">6</x:t>
        </x:is>
      </x:c>
      <x:c r="P195" s="19" t="n">
        <x:v>3</x:v>
      </x:c>
      <x:c r="Q195" s="19" t="n">
        <x:v>7</x:v>
      </x:c>
      <x:c r="R195" s="19" t="n">
        <x:v>5</x:v>
      </x:c>
      <x:c r="S195" s="19" t="n">
        <x:v>6</x:v>
      </x:c>
      <x:c r="T195" s="19" t="n">
        <x:v>2</x:v>
      </x:c>
      <x:c r="U195" s="19" t="n"/>
      <x:c r="V195" s="19" t="n"/>
      <x:c r="W195" s="19" t="n"/>
      <x:c r="X195" s="19" t="n"/>
      <x:c r="Y195" s="20" t="n">
        <x:f>SUM(O195+Q195+S195+U195+W195)</x:f>
        <x:v>19</x:v>
      </x:c>
      <x:c r="Z195" s="20" t="n">
        <x:f>SUM(P195+R195+T195+V195+X195)</x:f>
        <x:v>10</x:v>
      </x:c>
      <x:c r="AA195" s="21" t="n">
        <x:f>Y195/(Y195+Z195)</x:f>
        <x:v>0.6551724137931034</x:v>
      </x:c>
    </x:row>
    <x:row r="196">
      <x:c r="A196" s="22" t="n">
        <x:f>wimbledons_champions!A204</x:f>
        <x:v>1914</x:v>
      </x:c>
      <x:c r="B196" s="25" t="str">
        <x:f>wimbledons_champions!B204</x:f>
        <x:v>Women's</x:v>
      </x:c>
      <x:c r="C196" s="25" t="inlineStr">
        <x:is>
          <x:t xml:space="preserve">D.L. Chambers</x:t>
        </x:is>
      </x:c>
      <x:c r="D196" s="22" t="inlineStr">
        <x:is>
          <x:t xml:space="preserve">GBR</x:t>
        </x:is>
      </x:c>
      <x:c r="E196" s="25" t="inlineStr">
        <x:is>
          <x:t xml:space="preserve">United Kingdom</x:t>
        </x:is>
      </x:c>
      <x:c r="G196" s="22" t="n">
        <x:f>wimbledons_champions!G204</x:f>
        <x:v>0</x:v>
      </x:c>
      <x:c r="H196" s="25" t="str">
        <x:f>wimbledons_champions!H204</x:f>
        <x:v>7-5, 6-4</x:v>
      </x:c>
      <x:c r="I196" s="25" t="inlineStr">
        <x:is>
          <x:t xml:space="preserve">D.T.R. Larcombe</x:t>
        </x:is>
      </x:c>
      <x:c r="J196" s="22" t="inlineStr">
        <x:is>
          <x:t xml:space="preserve">GBR</x:t>
        </x:is>
      </x:c>
      <x:c r="K196" s="25" t="inlineStr">
        <x:is>
          <x:t xml:space="preserve">United Kingdom</x:t>
        </x:is>
      </x:c>
      <x:c r="M196" s="18" t="n">
        <x:v>0.5909090909090909</x:v>
      </x:c>
      <x:c r="N196" s="18" t="n"/>
      <x:c r="O196" s="19" t="inlineStr">
        <x:is>
          <x:t xml:space="preserve">7</x:t>
        </x:is>
      </x:c>
      <x:c r="P196" s="19" t="n">
        <x:v>5</x:v>
      </x:c>
      <x:c r="Q196" s="19" t="n">
        <x:v>6</x:v>
      </x:c>
      <x:c r="R196" s="19" t="n">
        <x:v>4</x:v>
      </x:c>
      <x:c r="S196" s="19" t="n"/>
      <x:c r="T196" s="19" t="n"/>
      <x:c r="U196" s="19" t="n"/>
      <x:c r="V196" s="19" t="n"/>
      <x:c r="W196" s="19" t="n"/>
      <x:c r="X196" s="19" t="n"/>
      <x:c r="Y196" s="20" t="n">
        <x:f>SUM(O196+Q196+S196+U196+W196)</x:f>
        <x:v>13</x:v>
      </x:c>
      <x:c r="Z196" s="20" t="n">
        <x:f>SUM(P196+R196+T196+V196+X196)</x:f>
        <x:v>9</x:v>
      </x:c>
      <x:c r="AA196" s="21" t="n">
        <x:f>Y196/(Y196+Z196)</x:f>
        <x:v>0.5909090909090909</x:v>
      </x:c>
    </x:row>
    <x:row r="197">
      <x:c r="A197" s="22" t="n">
        <x:f>wimbledons_champions!A205</x:f>
        <x:v>1914</x:v>
      </x:c>
      <x:c r="B197" s="25" t="str">
        <x:f>wimbledons_champions!B205</x:f>
        <x:v>Men's</x:v>
      </x:c>
      <x:c r="C197" s="25" t="inlineStr">
        <x:is>
          <x:t xml:space="preserve">N.E. Brookes</x:t>
        </x:is>
      </x:c>
      <x:c r="D197" s="22" t="inlineStr">
        <x:is>
          <x:t xml:space="preserve">AUS</x:t>
        </x:is>
      </x:c>
      <x:c r="E197" s="25" t="inlineStr">
        <x:is>
          <x:t xml:space="preserve">Australia</x:t>
        </x:is>
      </x:c>
      <x:c r="G197" s="22" t="n">
        <x:f>wimbledons_champions!G205</x:f>
        <x:v>0</x:v>
      </x:c>
      <x:c r="H197" s="25" t="str">
        <x:f>wimbledons_champions!H205</x:f>
        <x:v>6-4, 6-4, 7-5</x:v>
      </x:c>
      <x:c r="I197" s="25" t="inlineStr">
        <x:is>
          <x:t xml:space="preserve">A.F. Wilding</x:t>
        </x:is>
      </x:c>
      <x:c r="J197" s="22" t="inlineStr">
        <x:is>
          <x:t xml:space="preserve">NZL</x:t>
        </x:is>
      </x:c>
      <x:c r="K197" s="25" t="inlineStr">
        <x:is>
          <x:t xml:space="preserve">New Zealand</x:t>
        </x:is>
      </x:c>
      <x:c r="M197" s="18" t="n">
        <x:v>0.59375</x:v>
      </x:c>
      <x:c r="N197" s="18" t="n"/>
      <x:c r="O197" s="19" t="inlineStr">
        <x:is>
          <x:t xml:space="preserve">6</x:t>
        </x:is>
      </x:c>
      <x:c r="P197" s="19" t="n">
        <x:v>4</x:v>
      </x:c>
      <x:c r="Q197" s="19" t="n">
        <x:v>6</x:v>
      </x:c>
      <x:c r="R197" s="19" t="n">
        <x:v>4</x:v>
      </x:c>
      <x:c r="S197" s="19" t="n">
        <x:v>7</x:v>
      </x:c>
      <x:c r="T197" s="19" t="n">
        <x:v>5</x:v>
      </x:c>
      <x:c r="U197" s="19" t="n"/>
      <x:c r="V197" s="19" t="n"/>
      <x:c r="W197" s="19" t="n"/>
      <x:c r="X197" s="19" t="n"/>
      <x:c r="Y197" s="20" t="n">
        <x:f>SUM(O197+Q197+S197+U197+W197)</x:f>
        <x:v>19</x:v>
      </x:c>
      <x:c r="Z197" s="20" t="n">
        <x:f>SUM(P197+R197+T197+V197+X197)</x:f>
        <x:v>13</x:v>
      </x:c>
      <x:c r="AA197" s="21" t="n">
        <x:f>Y197/(Y197+Z197)</x:f>
        <x:v>0.59375</x:v>
      </x:c>
    </x:row>
    <x:row r="198">
      <x:c r="A198" s="22" t="n">
        <x:f>wimbledons_champions!A206</x:f>
        <x:v>1913</x:v>
      </x:c>
      <x:c r="B198" s="25" t="str">
        <x:f>wimbledons_champions!B206</x:f>
        <x:v>Women's</x:v>
      </x:c>
      <x:c r="C198" s="25" t="inlineStr">
        <x:is>
          <x:t xml:space="preserve">D.L. Chambers</x:t>
        </x:is>
      </x:c>
      <x:c r="D198" s="22" t="inlineStr">
        <x:is>
          <x:t xml:space="preserve">GBR</x:t>
        </x:is>
      </x:c>
      <x:c r="E198" s="25" t="inlineStr">
        <x:is>
          <x:t xml:space="preserve">United Kingdom</x:t>
        </x:is>
      </x:c>
      <x:c r="G198" s="22" t="n">
        <x:f>wimbledons_champions!G206</x:f>
        <x:v>0</x:v>
      </x:c>
      <x:c r="H198" s="25" t="str">
        <x:f>wimbledons_champions!H206</x:f>
        <x:v>6-0, 6-4</x:v>
      </x:c>
      <x:c r="I198" s="25" t="inlineStr">
        <x:is>
          <x:t xml:space="preserve">R.J. McNair</x:t>
        </x:is>
      </x:c>
      <x:c r="J198" s="22" t="inlineStr">
        <x:is>
          <x:t xml:space="preserve">GBR</x:t>
        </x:is>
      </x:c>
      <x:c r="K198" s="25" t="inlineStr">
        <x:is>
          <x:t xml:space="preserve">United Kingdom</x:t>
        </x:is>
      </x:c>
      <x:c r="M198" s="18" t="n">
        <x:v>0.75</x:v>
      </x:c>
      <x:c r="N198" s="18" t="n"/>
      <x:c r="O198" s="19" t="inlineStr">
        <x:is>
          <x:t xml:space="preserve">6</x:t>
        </x:is>
      </x:c>
      <x:c r="P198" s="19" t="n">
        <x:v>0</x:v>
      </x:c>
      <x:c r="Q198" s="19" t="n">
        <x:v>6</x:v>
      </x:c>
      <x:c r="R198" s="19" t="n">
        <x:v>4</x:v>
      </x:c>
      <x:c r="S198" s="19" t="n"/>
      <x:c r="T198" s="19" t="n"/>
      <x:c r="U198" s="19" t="n"/>
      <x:c r="V198" s="19" t="n"/>
      <x:c r="W198" s="19" t="n"/>
      <x:c r="X198" s="19" t="n"/>
      <x:c r="Y198" s="20" t="n">
        <x:f>SUM(O198+Q198+S198+U198+W198)</x:f>
        <x:v>12</x:v>
      </x:c>
      <x:c r="Z198" s="20" t="n">
        <x:f>SUM(P198+R198+T198+V198+X198)</x:f>
        <x:v>4</x:v>
      </x:c>
      <x:c r="AA198" s="21" t="n">
        <x:f>Y198/(Y198+Z198)</x:f>
        <x:v>0.75</x:v>
      </x:c>
    </x:row>
    <x:row r="199">
      <x:c r="A199" s="22" t="n">
        <x:f>wimbledons_champions!A207</x:f>
        <x:v>1913</x:v>
      </x:c>
      <x:c r="B199" s="25" t="str">
        <x:f>wimbledons_champions!B207</x:f>
        <x:v>Men's</x:v>
      </x:c>
      <x:c r="C199" s="25" t="inlineStr">
        <x:is>
          <x:t xml:space="preserve">A.F. Wilding</x:t>
        </x:is>
      </x:c>
      <x:c r="D199" s="22" t="inlineStr">
        <x:is>
          <x:t xml:space="preserve">NZL</x:t>
        </x:is>
      </x:c>
      <x:c r="E199" s="25" t="inlineStr">
        <x:is>
          <x:t xml:space="preserve">New Zealand</x:t>
        </x:is>
      </x:c>
      <x:c r="G199" s="22" t="n">
        <x:f>wimbledons_champions!G207</x:f>
        <x:v>0</x:v>
      </x:c>
      <x:c r="H199" s="25" t="str">
        <x:f>wimbledons_champions!H207</x:f>
        <x:v>8-6, 6-3, 10-8</x:v>
      </x:c>
      <x:c r="I199" s="25" t="inlineStr">
        <x:is>
          <x:t xml:space="preserve">M.E. McLoughlin</x:t>
        </x:is>
      </x:c>
      <x:c r="J199" s="22" t="inlineStr">
        <x:is>
          <x:t xml:space="preserve">USA</x:t>
        </x:is>
      </x:c>
      <x:c r="K199" s="25" t="inlineStr">
        <x:is>
          <x:t xml:space="preserve">United States</x:t>
        </x:is>
      </x:c>
      <x:c r="M199" s="18" t="n">
        <x:v>0.5853658536585366</x:v>
      </x:c>
      <x:c r="N199" s="18" t="n"/>
      <x:c r="O199" s="19" t="inlineStr">
        <x:is>
          <x:t xml:space="preserve">8</x:t>
        </x:is>
      </x:c>
      <x:c r="P199" s="19" t="n">
        <x:v>6</x:v>
      </x:c>
      <x:c r="Q199" s="19" t="n">
        <x:v>6</x:v>
      </x:c>
      <x:c r="R199" s="19" t="n">
        <x:v>3</x:v>
      </x:c>
      <x:c r="S199" s="19" t="n">
        <x:v>10</x:v>
      </x:c>
      <x:c r="T199" s="19" t="n">
        <x:v>8</x:v>
      </x:c>
      <x:c r="U199" s="19" t="n"/>
      <x:c r="V199" s="19" t="n"/>
      <x:c r="W199" s="19" t="n"/>
      <x:c r="X199" s="19" t="n"/>
      <x:c r="Y199" s="20" t="n">
        <x:f>SUM(O199+Q199+S199+U199+W199)</x:f>
        <x:v>24</x:v>
      </x:c>
      <x:c r="Z199" s="20" t="n">
        <x:f>SUM(P199+R199+T199+V199+X199)</x:f>
        <x:v>17</x:v>
      </x:c>
      <x:c r="AA199" s="21" t="n">
        <x:f>Y199/(Y199+Z199)</x:f>
        <x:v>0.5853658536585366</x:v>
      </x:c>
    </x:row>
    <x:row r="200">
      <x:c r="A200" s="22" t="n">
        <x:f>wimbledons_champions!A208</x:f>
        <x:v>1912</x:v>
      </x:c>
      <x:c r="B200" s="25" t="str">
        <x:f>wimbledons_champions!B208</x:f>
        <x:v>Women's</x:v>
      </x:c>
      <x:c r="C200" s="25" t="inlineStr">
        <x:is>
          <x:t xml:space="preserve">D.T.R. Larcombe</x:t>
        </x:is>
      </x:c>
      <x:c r="D200" s="22" t="inlineStr">
        <x:is>
          <x:t xml:space="preserve">GBR</x:t>
        </x:is>
      </x:c>
      <x:c r="E200" s="25" t="inlineStr">
        <x:is>
          <x:t xml:space="preserve">United Kingdom</x:t>
        </x:is>
      </x:c>
      <x:c r="G200" s="22" t="n">
        <x:f>wimbledons_champions!G208</x:f>
        <x:v>0</x:v>
      </x:c>
      <x:c r="H200" s="25" t="str">
        <x:f>wimbledons_champions!H208</x:f>
        <x:v>6-3, 6-1</x:v>
      </x:c>
      <x:c r="I200" s="25" t="inlineStr">
        <x:is>
          <x:t xml:space="preserve">C.R. Cooper</x:t>
        </x:is>
      </x:c>
      <x:c r="J200" s="22" t="inlineStr">
        <x:is>
          <x:t xml:space="preserve">GBR</x:t>
        </x:is>
      </x:c>
      <x:c r="K200" s="25" t="inlineStr">
        <x:is>
          <x:t xml:space="preserve">United Kingdom</x:t>
        </x:is>
      </x:c>
      <x:c r="M200" s="18" t="n">
        <x:v>0.75</x:v>
      </x:c>
      <x:c r="N200" s="18" t="n"/>
      <x:c r="O200" s="19" t="inlineStr">
        <x:is>
          <x:t xml:space="preserve">6</x:t>
        </x:is>
      </x:c>
      <x:c r="P200" s="19" t="n">
        <x:v>3</x:v>
      </x:c>
      <x:c r="Q200" s="19" t="n">
        <x:v>6</x:v>
      </x:c>
      <x:c r="R200" s="19" t="n">
        <x:v>1</x:v>
      </x:c>
      <x:c r="S200" s="19" t="n"/>
      <x:c r="T200" s="19" t="n"/>
      <x:c r="U200" s="19" t="n"/>
      <x:c r="V200" s="19" t="n"/>
      <x:c r="W200" s="19" t="n"/>
      <x:c r="X200" s="19" t="n"/>
      <x:c r="Y200" s="20" t="n">
        <x:f>SUM(O200+Q200+S200+U200+W200)</x:f>
        <x:v>12</x:v>
      </x:c>
      <x:c r="Z200" s="20" t="n">
        <x:f>SUM(P200+R200+T200+V200+X200)</x:f>
        <x:v>4</x:v>
      </x:c>
      <x:c r="AA200" s="21" t="n">
        <x:f>Y200/(Y200+Z200)</x:f>
        <x:v>0.75</x:v>
      </x:c>
    </x:row>
    <x:row r="201">
      <x:c r="A201" s="22" t="n">
        <x:f>wimbledons_champions!A209</x:f>
        <x:v>1912</x:v>
      </x:c>
      <x:c r="B201" s="25" t="str">
        <x:f>wimbledons_champions!B209</x:f>
        <x:v>Men's</x:v>
      </x:c>
      <x:c r="C201" s="25" t="inlineStr">
        <x:is>
          <x:t xml:space="preserve">A.F. Wilding</x:t>
        </x:is>
      </x:c>
      <x:c r="D201" s="22" t="inlineStr">
        <x:is>
          <x:t xml:space="preserve">NZL</x:t>
        </x:is>
      </x:c>
      <x:c r="E201" s="25" t="inlineStr">
        <x:is>
          <x:t xml:space="preserve">New Zealand</x:t>
        </x:is>
      </x:c>
      <x:c r="G201" s="22" t="n">
        <x:f>wimbledons_champions!G209</x:f>
        <x:v>0</x:v>
      </x:c>
      <x:c r="H201" s="25" t="str">
        <x:f>wimbledons_champions!H209</x:f>
        <x:v>6-4, 6-4, 4-6, 6-4</x:v>
      </x:c>
      <x:c r="I201" s="25" t="inlineStr">
        <x:is>
          <x:t xml:space="preserve">A.W. Gore</x:t>
        </x:is>
      </x:c>
      <x:c r="J201" s="22" t="inlineStr">
        <x:is>
          <x:t xml:space="preserve">GBR</x:t>
        </x:is>
      </x:c>
      <x:c r="K201" s="25" t="inlineStr">
        <x:is>
          <x:t xml:space="preserve">United Kingdom</x:t>
        </x:is>
      </x:c>
      <x:c r="M201" s="18" t="n">
        <x:v>0.55</x:v>
      </x:c>
      <x:c r="N201" s="18" t="n"/>
      <x:c r="O201" s="19" t="inlineStr">
        <x:is>
          <x:t xml:space="preserve">6</x:t>
        </x:is>
      </x:c>
      <x:c r="P201" s="19" t="n">
        <x:v>4</x:v>
      </x:c>
      <x:c r="Q201" s="19" t="n">
        <x:v>6</x:v>
      </x:c>
      <x:c r="R201" s="19" t="n">
        <x:v>4</x:v>
      </x:c>
      <x:c r="S201" s="19" t="n">
        <x:v>4</x:v>
      </x:c>
      <x:c r="T201" s="19" t="n">
        <x:v>6</x:v>
      </x:c>
      <x:c r="U201" s="19" t="n">
        <x:v>6</x:v>
      </x:c>
      <x:c r="V201" s="19" t="n">
        <x:v>4</x:v>
      </x:c>
      <x:c r="W201" s="19" t="n"/>
      <x:c r="X201" s="19" t="n"/>
      <x:c r="Y201" s="20" t="n">
        <x:f>SUM(O201+Q201+S201+U201+W201)</x:f>
        <x:v>22</x:v>
      </x:c>
      <x:c r="Z201" s="20" t="n">
        <x:f>SUM(P201+R201+T201+V201+X201)</x:f>
        <x:v>18</x:v>
      </x:c>
      <x:c r="AA201" s="21" t="n">
        <x:f>Y201/(Y201+Z201)</x:f>
        <x:v>0.55</x:v>
      </x:c>
    </x:row>
    <x:row r="202">
      <x:c r="A202" s="22" t="n">
        <x:f>wimbledons_champions!A210</x:f>
        <x:v>1911</x:v>
      </x:c>
      <x:c r="B202" s="25" t="str">
        <x:f>wimbledons_champions!B210</x:f>
        <x:v>Women's</x:v>
      </x:c>
      <x:c r="C202" s="25" t="inlineStr">
        <x:is>
          <x:t xml:space="preserve">D.L. Chambers</x:t>
        </x:is>
      </x:c>
      <x:c r="D202" s="22" t="inlineStr">
        <x:is>
          <x:t xml:space="preserve">GBR</x:t>
        </x:is>
      </x:c>
      <x:c r="E202" s="25" t="inlineStr">
        <x:is>
          <x:t xml:space="preserve">United Kingdom</x:t>
        </x:is>
      </x:c>
      <x:c r="G202" s="22" t="n">
        <x:f>wimbledons_champions!G210</x:f>
        <x:v>25</x:v>
      </x:c>
      <x:c r="H202" s="25" t="str">
        <x:f>wimbledons_champions!H210</x:f>
        <x:v>6-0, 6-0</x:v>
      </x:c>
      <x:c r="I202" s="25" t="inlineStr">
        <x:is>
          <x:t xml:space="preserve">P.D.H. Boothby</x:t>
        </x:is>
      </x:c>
      <x:c r="J202" s="22" t="inlineStr">
        <x:is>
          <x:t xml:space="preserve">GBR</x:t>
        </x:is>
      </x:c>
      <x:c r="K202" s="25" t="inlineStr">
        <x:is>
          <x:t xml:space="preserve">United Kingdom</x:t>
        </x:is>
      </x:c>
      <x:c r="M202" s="18" t="n">
        <x:v>1</x:v>
      </x:c>
      <x:c r="N202" s="18" t="n"/>
      <x:c r="O202" s="19" t="inlineStr">
        <x:is>
          <x:t xml:space="preserve">6</x:t>
        </x:is>
      </x:c>
      <x:c r="P202" s="19" t="n">
        <x:v>0</x:v>
      </x:c>
      <x:c r="Q202" s="19" t="n">
        <x:v>6</x:v>
      </x:c>
      <x:c r="R202" s="19" t="n">
        <x:v>0</x:v>
      </x:c>
      <x:c r="S202" s="19" t="n"/>
      <x:c r="T202" s="19" t="n"/>
      <x:c r="U202" s="19" t="n"/>
      <x:c r="V202" s="19" t="n"/>
      <x:c r="W202" s="19" t="n"/>
      <x:c r="X202" s="19" t="n"/>
      <x:c r="Y202" s="20" t="n">
        <x:f>SUM(O202+Q202+S202+U202+W202)</x:f>
        <x:v>12</x:v>
      </x:c>
      <x:c r="Z202" s="20" t="n">
        <x:f>SUM(P202+R202+T202+V202+X202)</x:f>
        <x:v>0</x:v>
      </x:c>
      <x:c r="AA202" s="21" t="n">
        <x:f>Y202/(Y202+Z202)</x:f>
        <x:v>1</x:v>
      </x:c>
    </x:row>
    <x:row r="203">
      <x:c r="A203" s="22" t="n">
        <x:f>wimbledons_champions!A211</x:f>
        <x:v>1911</x:v>
      </x:c>
      <x:c r="B203" s="25" t="str">
        <x:f>wimbledons_champions!B211</x:f>
        <x:v>Men's</x:v>
      </x:c>
      <x:c r="C203" s="25" t="inlineStr">
        <x:is>
          <x:t xml:space="preserve">A.F. Wilding</x:t>
        </x:is>
      </x:c>
      <x:c r="D203" s="22" t="inlineStr">
        <x:is>
          <x:t xml:space="preserve">NZL</x:t>
        </x:is>
      </x:c>
      <x:c r="E203" s="25" t="inlineStr">
        <x:is>
          <x:t xml:space="preserve">New Zealand</x:t>
        </x:is>
      </x:c>
      <x:c r="G203" s="22" t="n">
        <x:f>wimbledons_champions!G211</x:f>
        <x:v>0</x:v>
      </x:c>
      <x:c r="H203" s="25" t="str">
        <x:f>wimbledons_champions!H211</x:f>
        <x:v>6-4, 4-6, 2-6, 6-2, retd</x:v>
      </x:c>
      <x:c r="I203" s="25" t="inlineStr">
        <x:is>
          <x:t xml:space="preserve">H.R. Barrett</x:t>
        </x:is>
      </x:c>
      <x:c r="J203" s="22" t="inlineStr">
        <x:is>
          <x:t xml:space="preserve">GBR</x:t>
        </x:is>
      </x:c>
      <x:c r="K203" s="25" t="inlineStr">
        <x:is>
          <x:t xml:space="preserve">United Kingdom</x:t>
        </x:is>
      </x:c>
      <x:c r="M203" s="18" t="n">
        <x:v>0.5</x:v>
      </x:c>
      <x:c r="N203" s="18" t="n"/>
      <x:c r="O203" s="19" t="inlineStr">
        <x:is>
          <x:t xml:space="preserve">6</x:t>
        </x:is>
      </x:c>
      <x:c r="P203" s="19" t="n">
        <x:v>4</x:v>
      </x:c>
      <x:c r="Q203" s="19" t="n">
        <x:v>4</x:v>
      </x:c>
      <x:c r="R203" s="19" t="n">
        <x:v>6</x:v>
      </x:c>
      <x:c r="S203" s="19" t="n">
        <x:v>2</x:v>
      </x:c>
      <x:c r="T203" s="19" t="n">
        <x:v>6</x:v>
      </x:c>
      <x:c r="U203" s="19" t="n">
        <x:v>6</x:v>
      </x:c>
      <x:c r="V203" s="19" t="n">
        <x:v>2</x:v>
      </x:c>
      <x:c r="W203" s="19" t="inlineStr">
        <x:is>
          <x:t xml:space="preserve">retd</x:t>
        </x:is>
      </x:c>
      <x:c r="X203" s="19" t="n"/>
      <x:c r="Y203" s="20" t="n">
        <x:f>SUM(O203+Q203+S203+U203)</x:f>
        <x:v>18</x:v>
      </x:c>
      <x:c r="Z203" s="20" t="n">
        <x:f>SUM(P203+R203+T203+V203+X203)</x:f>
        <x:v>18</x:v>
      </x:c>
      <x:c r="AA203" s="21" t="n">
        <x:f>Y203/(Y203+Z203)</x:f>
        <x:v>0.5</x:v>
      </x:c>
    </x:row>
    <x:row r="204">
      <x:c r="A204" s="22" t="n">
        <x:f>wimbledons_champions!A212</x:f>
        <x:v>1910</x:v>
      </x:c>
      <x:c r="B204" s="25" t="str">
        <x:f>wimbledons_champions!B212</x:f>
        <x:v>Women's</x:v>
      </x:c>
      <x:c r="C204" s="25" t="inlineStr">
        <x:is>
          <x:t xml:space="preserve">D.L. Chambers</x:t>
        </x:is>
      </x:c>
      <x:c r="D204" s="22" t="inlineStr">
        <x:is>
          <x:t xml:space="preserve">GBR</x:t>
        </x:is>
      </x:c>
      <x:c r="E204" s="25" t="inlineStr">
        <x:is>
          <x:t xml:space="preserve">United Kingdom</x:t>
        </x:is>
      </x:c>
      <x:c r="G204" s="22" t="n">
        <x:f>wimbledons_champions!G212</x:f>
        <x:v>0</x:v>
      </x:c>
      <x:c r="H204" s="25" t="str">
        <x:f>wimbledons_champions!H212</x:f>
        <x:v>6-2, 6-2</x:v>
      </x:c>
      <x:c r="I204" s="25" t="inlineStr">
        <x:is>
          <x:t xml:space="preserve">P.D.H. Boothby</x:t>
        </x:is>
      </x:c>
      <x:c r="J204" s="22" t="inlineStr">
        <x:is>
          <x:t xml:space="preserve">GBR</x:t>
        </x:is>
      </x:c>
      <x:c r="K204" s="25" t="inlineStr">
        <x:is>
          <x:t xml:space="preserve">United Kingdom</x:t>
        </x:is>
      </x:c>
      <x:c r="M204" s="18" t="n">
        <x:v>0.75</x:v>
      </x:c>
      <x:c r="N204" s="18" t="n"/>
      <x:c r="O204" s="19" t="inlineStr">
        <x:is>
          <x:t xml:space="preserve">6</x:t>
        </x:is>
      </x:c>
      <x:c r="P204" s="19" t="n">
        <x:v>2</x:v>
      </x:c>
      <x:c r="Q204" s="19" t="n">
        <x:v>6</x:v>
      </x:c>
      <x:c r="R204" s="19" t="n">
        <x:v>2</x:v>
      </x:c>
      <x:c r="S204" s="19" t="n"/>
      <x:c r="T204" s="19" t="n"/>
      <x:c r="U204" s="19" t="n"/>
      <x:c r="V204" s="19" t="n"/>
      <x:c r="W204" s="19" t="n"/>
      <x:c r="X204" s="19" t="n"/>
      <x:c r="Y204" s="20" t="n">
        <x:f>SUM(O204+Q204+S204+U204+W204)</x:f>
        <x:v>12</x:v>
      </x:c>
      <x:c r="Z204" s="20" t="n">
        <x:f>SUM(P204+R204+T204+V204+X204)</x:f>
        <x:v>4</x:v>
      </x:c>
      <x:c r="AA204" s="21" t="n">
        <x:f>Y204/(Y204+Z204)</x:f>
        <x:v>0.75</x:v>
      </x:c>
    </x:row>
    <x:row r="205">
      <x:c r="A205" s="22" t="n">
        <x:f>wimbledons_champions!A213</x:f>
        <x:v>1910</x:v>
      </x:c>
      <x:c r="B205" s="25" t="str">
        <x:f>wimbledons_champions!B213</x:f>
        <x:v>Men's</x:v>
      </x:c>
      <x:c r="C205" s="25" t="inlineStr">
        <x:is>
          <x:t xml:space="preserve">A.F. Wilding</x:t>
        </x:is>
      </x:c>
      <x:c r="D205" s="22" t="inlineStr">
        <x:is>
          <x:t xml:space="preserve">NZL</x:t>
        </x:is>
      </x:c>
      <x:c r="E205" s="25" t="inlineStr">
        <x:is>
          <x:t xml:space="preserve">New Zealand</x:t>
        </x:is>
      </x:c>
      <x:c r="G205" s="22" t="n">
        <x:f>wimbledons_champions!G213</x:f>
        <x:v>0</x:v>
      </x:c>
      <x:c r="H205" s="25" t="str">
        <x:f>wimbledons_champions!H213</x:f>
        <x:v>6-4, 7-5, 4-6, 6-2</x:v>
      </x:c>
      <x:c r="I205" s="25" t="inlineStr">
        <x:is>
          <x:t xml:space="preserve">A.W. Gore</x:t>
        </x:is>
      </x:c>
      <x:c r="J205" s="22" t="inlineStr">
        <x:is>
          <x:t xml:space="preserve">GBR</x:t>
        </x:is>
      </x:c>
      <x:c r="K205" s="25" t="inlineStr">
        <x:is>
          <x:t xml:space="preserve">United Kingdom</x:t>
        </x:is>
      </x:c>
      <x:c r="M205" s="18" t="n">
        <x:v>0.575</x:v>
      </x:c>
      <x:c r="N205" s="18" t="n"/>
      <x:c r="O205" s="19" t="inlineStr">
        <x:is>
          <x:t xml:space="preserve">6</x:t>
        </x:is>
      </x:c>
      <x:c r="P205" s="19" t="n">
        <x:v>4</x:v>
      </x:c>
      <x:c r="Q205" s="19" t="n">
        <x:v>7</x:v>
      </x:c>
      <x:c r="R205" s="19" t="n">
        <x:v>5</x:v>
      </x:c>
      <x:c r="S205" s="19" t="n">
        <x:v>4</x:v>
      </x:c>
      <x:c r="T205" s="19" t="n">
        <x:v>6</x:v>
      </x:c>
      <x:c r="U205" s="19" t="n">
        <x:v>6</x:v>
      </x:c>
      <x:c r="V205" s="19" t="n">
        <x:v>2</x:v>
      </x:c>
      <x:c r="W205" s="19" t="n"/>
      <x:c r="X205" s="19" t="n"/>
      <x:c r="Y205" s="20" t="n">
        <x:f>SUM(O205+Q205+S205+U205+W205)</x:f>
        <x:v>23</x:v>
      </x:c>
      <x:c r="Z205" s="20" t="n">
        <x:f>SUM(P205+R205+T205+V205+X205)</x:f>
        <x:v>17</x:v>
      </x:c>
      <x:c r="AA205" s="21" t="n">
        <x:f>Y205/(Y205+Z205)</x:f>
        <x:v>0.575</x:v>
      </x:c>
    </x:row>
    <x:row r="206">
      <x:c r="A206" s="22" t="n">
        <x:f>wimbledons_champions!A214</x:f>
        <x:v>1909</x:v>
      </x:c>
      <x:c r="B206" s="25" t="str">
        <x:f>wimbledons_champions!B214</x:f>
        <x:v>Women's</x:v>
      </x:c>
      <x:c r="C206" s="25" t="inlineStr">
        <x:is>
          <x:t xml:space="preserve">P.D.H. Boothby</x:t>
        </x:is>
      </x:c>
      <x:c r="D206" s="22" t="inlineStr">
        <x:is>
          <x:t xml:space="preserve">GBR</x:t>
        </x:is>
      </x:c>
      <x:c r="E206" s="25" t="inlineStr">
        <x:is>
          <x:t xml:space="preserve">United Kingdom</x:t>
        </x:is>
      </x:c>
      <x:c r="G206" s="22" t="n">
        <x:f>wimbledons_champions!G214</x:f>
        <x:v>0</x:v>
      </x:c>
      <x:c r="H206" s="25" t="str">
        <x:f>wimbledons_champions!H214</x:f>
        <x:v>6-4, 4-6, 8-6</x:v>
      </x:c>
      <x:c r="I206" s="25" t="inlineStr">
        <x:is>
          <x:t xml:space="preserve">A.M. Morton</x:t>
        </x:is>
      </x:c>
      <x:c r="J206" s="22" t="inlineStr">
        <x:is>
          <x:t xml:space="preserve">GBR</x:t>
        </x:is>
      </x:c>
      <x:c r="K206" s="25" t="inlineStr">
        <x:is>
          <x:t xml:space="preserve">United Kingdom</x:t>
        </x:is>
      </x:c>
      <x:c r="M206" s="18" t="n">
        <x:v>0.5294117647058824</x:v>
      </x:c>
      <x:c r="N206" s="18" t="n"/>
      <x:c r="O206" s="19" t="inlineStr">
        <x:is>
          <x:t xml:space="preserve">6</x:t>
        </x:is>
      </x:c>
      <x:c r="P206" s="19" t="n">
        <x:v>4</x:v>
      </x:c>
      <x:c r="Q206" s="19" t="n">
        <x:v>4</x:v>
      </x:c>
      <x:c r="R206" s="19" t="n">
        <x:v>6</x:v>
      </x:c>
      <x:c r="S206" s="19" t="n">
        <x:v>8</x:v>
      </x:c>
      <x:c r="T206" s="19" t="n">
        <x:v>6</x:v>
      </x:c>
      <x:c r="U206" s="19" t="n"/>
      <x:c r="V206" s="19" t="n"/>
      <x:c r="W206" s="19" t="n"/>
      <x:c r="X206" s="19" t="n"/>
      <x:c r="Y206" s="20" t="n">
        <x:f>SUM(O206+Q206+S206+U206+W206)</x:f>
        <x:v>18</x:v>
      </x:c>
      <x:c r="Z206" s="20" t="n">
        <x:f>SUM(P206+R206+T206+V206+X206)</x:f>
        <x:v>16</x:v>
      </x:c>
      <x:c r="AA206" s="21" t="n">
        <x:f>Y206/(Y206+Z206)</x:f>
        <x:v>0.5294117647058824</x:v>
      </x:c>
    </x:row>
    <x:row r="207">
      <x:c r="A207" s="22" t="n">
        <x:f>wimbledons_champions!A215</x:f>
        <x:v>1909</x:v>
      </x:c>
      <x:c r="B207" s="25" t="str">
        <x:f>wimbledons_champions!B215</x:f>
        <x:v>Men's</x:v>
      </x:c>
      <x:c r="C207" s="25" t="inlineStr">
        <x:is>
          <x:t xml:space="preserve">A.W. Gore</x:t>
        </x:is>
      </x:c>
      <x:c r="D207" s="22" t="inlineStr">
        <x:is>
          <x:t xml:space="preserve">GBR</x:t>
        </x:is>
      </x:c>
      <x:c r="E207" s="25" t="inlineStr">
        <x:is>
          <x:t xml:space="preserve">United Kingdom</x:t>
        </x:is>
      </x:c>
      <x:c r="G207" s="22" t="n">
        <x:f>wimbledons_champions!G215</x:f>
        <x:v>95</x:v>
      </x:c>
      <x:c r="H207" s="25" t="str">
        <x:f>wimbledons_champions!H215</x:f>
        <x:v>6-8, 1-6, 6-2, 6-2, 6-2</x:v>
      </x:c>
      <x:c r="I207" s="25" t="inlineStr">
        <x:is>
          <x:t xml:space="preserve">M.J.G. Ritchie</x:t>
        </x:is>
      </x:c>
      <x:c r="J207" s="22" t="inlineStr">
        <x:is>
          <x:t xml:space="preserve">GBR</x:t>
        </x:is>
      </x:c>
      <x:c r="K207" s="25" t="inlineStr">
        <x:is>
          <x:t xml:space="preserve">United Kingdom</x:t>
        </x:is>
      </x:c>
      <x:c r="M207" s="18" t="n">
        <x:v>0.5555555555555556</x:v>
      </x:c>
      <x:c r="N207" s="18" t="n"/>
      <x:c r="O207" s="19" t="inlineStr">
        <x:is>
          <x:t xml:space="preserve">6</x:t>
        </x:is>
      </x:c>
      <x:c r="P207" s="19" t="n">
        <x:v>8</x:v>
      </x:c>
      <x:c r="Q207" s="19" t="n">
        <x:v>1</x:v>
      </x:c>
      <x:c r="R207" s="19" t="n">
        <x:v>6</x:v>
      </x:c>
      <x:c r="S207" s="19" t="n">
        <x:v>6</x:v>
      </x:c>
      <x:c r="T207" s="19" t="n">
        <x:v>2</x:v>
      </x:c>
      <x:c r="U207" s="19" t="n">
        <x:v>6</x:v>
      </x:c>
      <x:c r="V207" s="19" t="n">
        <x:v>2</x:v>
      </x:c>
      <x:c r="W207" s="19" t="inlineStr">
        <x:is>
          <x:t xml:space="preserve">6</x:t>
        </x:is>
      </x:c>
      <x:c r="X207" s="19" t="n">
        <x:v>2</x:v>
      </x:c>
      <x:c r="Y207" s="20" t="n">
        <x:f>SUM(O207+Q207+S207+U207+W207)</x:f>
        <x:v>25</x:v>
      </x:c>
      <x:c r="Z207" s="20" t="n">
        <x:f>SUM(P207+R207+T207+V207+X207)</x:f>
        <x:v>20</x:v>
      </x:c>
      <x:c r="AA207" s="21" t="n">
        <x:f>Y207/(Y207+Z207)</x:f>
        <x:v>0.5555555555555556</x:v>
      </x:c>
    </x:row>
    <x:row r="208">
      <x:c r="A208" s="22" t="n">
        <x:f>wimbledons_champions!A216</x:f>
        <x:v>1908</x:v>
      </x:c>
      <x:c r="B208" s="25" t="str">
        <x:f>wimbledons_champions!B216</x:f>
        <x:v>Women's</x:v>
      </x:c>
      <x:c r="C208" s="25" t="inlineStr">
        <x:is>
          <x:t xml:space="preserve">C.R. Cooper</x:t>
        </x:is>
      </x:c>
      <x:c r="D208" s="22" t="inlineStr">
        <x:is>
          <x:t xml:space="preserve">GBR</x:t>
        </x:is>
      </x:c>
      <x:c r="E208" s="25" t="inlineStr">
        <x:is>
          <x:t xml:space="preserve">United Kingdom</x:t>
        </x:is>
      </x:c>
      <x:c r="G208" s="22" t="n">
        <x:f>wimbledons_champions!G216</x:f>
        <x:v>0</x:v>
      </x:c>
      <x:c r="H208" s="25" t="str">
        <x:f>wimbledons_champions!H216</x:f>
        <x:v>6-4, 6-4</x:v>
      </x:c>
      <x:c r="I208" s="25" t="inlineStr">
        <x:is>
          <x:t xml:space="preserve">A.M. Morton</x:t>
        </x:is>
      </x:c>
      <x:c r="J208" s="22" t="inlineStr">
        <x:is>
          <x:t xml:space="preserve">GBR</x:t>
        </x:is>
      </x:c>
      <x:c r="K208" s="25" t="inlineStr">
        <x:is>
          <x:t xml:space="preserve">United Kingdom</x:t>
        </x:is>
      </x:c>
      <x:c r="M208" s="18" t="n">
        <x:v>0.6</x:v>
      </x:c>
      <x:c r="N208" s="18" t="n"/>
      <x:c r="O208" s="19" t="inlineStr">
        <x:is>
          <x:t xml:space="preserve">6</x:t>
        </x:is>
      </x:c>
      <x:c r="P208" s="19" t="n">
        <x:v>4</x:v>
      </x:c>
      <x:c r="Q208" s="19" t="n">
        <x:v>6</x:v>
      </x:c>
      <x:c r="R208" s="19" t="n">
        <x:v>4</x:v>
      </x:c>
      <x:c r="S208" s="19" t="n"/>
      <x:c r="T208" s="19" t="n"/>
      <x:c r="U208" s="19" t="n"/>
      <x:c r="V208" s="19" t="n"/>
      <x:c r="W208" s="19" t="n"/>
      <x:c r="X208" s="19" t="n"/>
      <x:c r="Y208" s="20" t="n">
        <x:f>SUM(O208+Q208+S208+U208+W208)</x:f>
        <x:v>12</x:v>
      </x:c>
      <x:c r="Z208" s="20" t="n">
        <x:f>SUM(P208+R208+T208+V208+X208)</x:f>
        <x:v>8</x:v>
      </x:c>
      <x:c r="AA208" s="21" t="n">
        <x:f>Y208/(Y208+Z208)</x:f>
        <x:v>0.6</x:v>
      </x:c>
    </x:row>
    <x:row r="209">
      <x:c r="A209" s="22" t="n">
        <x:f>wimbledons_champions!A217</x:f>
        <x:v>1908</x:v>
      </x:c>
      <x:c r="B209" s="25" t="str">
        <x:f>wimbledons_champions!B217</x:f>
        <x:v>Men's</x:v>
      </x:c>
      <x:c r="C209" s="25" t="inlineStr">
        <x:is>
          <x:t xml:space="preserve">A.W. Gore</x:t>
        </x:is>
      </x:c>
      <x:c r="D209" s="22" t="inlineStr">
        <x:is>
          <x:t xml:space="preserve">GBR</x:t>
        </x:is>
      </x:c>
      <x:c r="E209" s="25" t="inlineStr">
        <x:is>
          <x:t xml:space="preserve">United Kingdom</x:t>
        </x:is>
      </x:c>
      <x:c r="G209" s="22" t="n">
        <x:f>wimbledons_champions!G217</x:f>
        <x:v>0</x:v>
      </x:c>
      <x:c r="H209" s="25" t="str">
        <x:f>wimbledons_champions!H217</x:f>
        <x:v>6-3, 6-2, 4-6, 3-6, 6-4</x:v>
      </x:c>
      <x:c r="I209" s="25" t="inlineStr">
        <x:is>
          <x:t xml:space="preserve">H.R. Barrett</x:t>
        </x:is>
      </x:c>
      <x:c r="J209" s="22" t="inlineStr">
        <x:is>
          <x:t xml:space="preserve">GBR</x:t>
        </x:is>
      </x:c>
      <x:c r="K209" s="25" t="inlineStr">
        <x:is>
          <x:t xml:space="preserve">United Kingdom</x:t>
        </x:is>
      </x:c>
      <x:c r="M209" s="18" t="n">
        <x:v>0.5434782608695652</x:v>
      </x:c>
      <x:c r="N209" s="18" t="n"/>
      <x:c r="O209" s="19" t="inlineStr">
        <x:is>
          <x:t xml:space="preserve">6</x:t>
        </x:is>
      </x:c>
      <x:c r="P209" s="19" t="n">
        <x:v>3</x:v>
      </x:c>
      <x:c r="Q209" s="19" t="n">
        <x:v>6</x:v>
      </x:c>
      <x:c r="R209" s="19" t="n">
        <x:v>2</x:v>
      </x:c>
      <x:c r="S209" s="19" t="n">
        <x:v>4</x:v>
      </x:c>
      <x:c r="T209" s="19" t="n">
        <x:v>6</x:v>
      </x:c>
      <x:c r="U209" s="19" t="n">
        <x:v>3</x:v>
      </x:c>
      <x:c r="V209" s="19" t="n">
        <x:v>6</x:v>
      </x:c>
      <x:c r="W209" s="19" t="inlineStr">
        <x:is>
          <x:t xml:space="preserve">6</x:t>
        </x:is>
      </x:c>
      <x:c r="X209" s="19" t="n">
        <x:v>4</x:v>
      </x:c>
      <x:c r="Y209" s="20" t="n">
        <x:f>SUM(O209+Q209+S209+U209+W209)</x:f>
        <x:v>25</x:v>
      </x:c>
      <x:c r="Z209" s="20" t="n">
        <x:f>SUM(P209+R209+T209+V209+X209)</x:f>
        <x:v>21</x:v>
      </x:c>
      <x:c r="AA209" s="21" t="n">
        <x:f>Y209/(Y209+Z209)</x:f>
        <x:v>0.5434782608695652</x:v>
      </x:c>
    </x:row>
    <x:row r="210">
      <x:c r="A210" s="22" t="n">
        <x:f>wimbledons_champions!A218</x:f>
        <x:v>1907</x:v>
      </x:c>
      <x:c r="B210" s="25" t="str">
        <x:f>wimbledons_champions!B218</x:f>
        <x:v>Women's</x:v>
      </x:c>
      <x:c r="C210" s="25" t="inlineStr">
        <x:is>
          <x:t xml:space="preserve">M.G. Sutton</x:t>
        </x:is>
      </x:c>
      <x:c r="D210" s="22" t="inlineStr">
        <x:is>
          <x:t xml:space="preserve">USA</x:t>
        </x:is>
      </x:c>
      <x:c r="E210" s="25" t="inlineStr">
        <x:is>
          <x:t xml:space="preserve">United States</x:t>
        </x:is>
      </x:c>
      <x:c r="G210" s="22" t="n">
        <x:f>wimbledons_champions!G218</x:f>
        <x:v>0</x:v>
      </x:c>
      <x:c r="H210" s="25" t="str">
        <x:f>wimbledons_champions!H218</x:f>
        <x:v>6-1, 6-4</x:v>
      </x:c>
      <x:c r="I210" s="25" t="inlineStr">
        <x:is>
          <x:t xml:space="preserve">D.L. Chambers</x:t>
        </x:is>
      </x:c>
      <x:c r="J210" s="22" t="inlineStr">
        <x:is>
          <x:t xml:space="preserve">GBR</x:t>
        </x:is>
      </x:c>
      <x:c r="K210" s="25" t="inlineStr">
        <x:is>
          <x:t xml:space="preserve">United Kingdom</x:t>
        </x:is>
      </x:c>
      <x:c r="M210" s="18" t="n">
        <x:v>0.7058823529411765</x:v>
      </x:c>
      <x:c r="N210" s="18" t="n"/>
      <x:c r="O210" s="19" t="inlineStr">
        <x:is>
          <x:t xml:space="preserve">6</x:t>
        </x:is>
      </x:c>
      <x:c r="P210" s="19" t="n">
        <x:v>1</x:v>
      </x:c>
      <x:c r="Q210" s="19" t="n">
        <x:v>6</x:v>
      </x:c>
      <x:c r="R210" s="19" t="n">
        <x:v>4</x:v>
      </x:c>
      <x:c r="S210" s="19" t="n"/>
      <x:c r="T210" s="19" t="n"/>
      <x:c r="U210" s="19" t="n"/>
      <x:c r="V210" s="19" t="n"/>
      <x:c r="W210" s="19" t="n"/>
      <x:c r="X210" s="19" t="n"/>
      <x:c r="Y210" s="20" t="n">
        <x:f>SUM(O210+Q210+S210+U210+W210)</x:f>
        <x:v>12</x:v>
      </x:c>
      <x:c r="Z210" s="20" t="n">
        <x:f>SUM(P210+R210+T210+V210+X210)</x:f>
        <x:v>5</x:v>
      </x:c>
      <x:c r="AA210" s="21" t="n">
        <x:f>Y210/(Y210+Z210)</x:f>
        <x:v>0.7058823529411765</x:v>
      </x:c>
    </x:row>
    <x:row r="211">
      <x:c r="A211" s="22" t="n">
        <x:f>wimbledons_champions!A219</x:f>
        <x:v>1907</x:v>
      </x:c>
      <x:c r="B211" s="25" t="str">
        <x:f>wimbledons_champions!B219</x:f>
        <x:v>Men's</x:v>
      </x:c>
      <x:c r="C211" s="25" t="inlineStr">
        <x:is>
          <x:t xml:space="preserve">N.E. Brookes</x:t>
        </x:is>
      </x:c>
      <x:c r="D211" s="22" t="inlineStr">
        <x:is>
          <x:t xml:space="preserve">AUS</x:t>
        </x:is>
      </x:c>
      <x:c r="E211" s="25" t="inlineStr">
        <x:is>
          <x:t xml:space="preserve">Australia</x:t>
        </x:is>
      </x:c>
      <x:c r="G211" s="22" t="n">
        <x:f>wimbledons_champions!G219</x:f>
        <x:v>0</x:v>
      </x:c>
      <x:c r="H211" s="25" t="str">
        <x:f>wimbledons_champions!H219</x:f>
        <x:v>6-4, 6-2, 6-2</x:v>
      </x:c>
      <x:c r="I211" s="25" t="inlineStr">
        <x:is>
          <x:t xml:space="preserve">A.W. Gore</x:t>
        </x:is>
      </x:c>
      <x:c r="J211" s="22" t="inlineStr">
        <x:is>
          <x:t xml:space="preserve">GBR</x:t>
        </x:is>
      </x:c>
      <x:c r="K211" s="25" t="inlineStr">
        <x:is>
          <x:t xml:space="preserve">United Kingdom</x:t>
        </x:is>
      </x:c>
      <x:c r="M211" s="18" t="n">
        <x:v>0.6923076923076923</x:v>
      </x:c>
      <x:c r="N211" s="18" t="n"/>
      <x:c r="O211" s="19" t="inlineStr">
        <x:is>
          <x:t xml:space="preserve">6</x:t>
        </x:is>
      </x:c>
      <x:c r="P211" s="19" t="n">
        <x:v>4</x:v>
      </x:c>
      <x:c r="Q211" s="19" t="n">
        <x:v>6</x:v>
      </x:c>
      <x:c r="R211" s="19" t="n">
        <x:v>2</x:v>
      </x:c>
      <x:c r="S211" s="19" t="n">
        <x:v>6</x:v>
      </x:c>
      <x:c r="T211" s="19" t="n">
        <x:v>2</x:v>
      </x:c>
      <x:c r="U211" s="19" t="n"/>
      <x:c r="V211" s="19" t="n"/>
      <x:c r="W211" s="19" t="n"/>
      <x:c r="X211" s="19" t="n"/>
      <x:c r="Y211" s="20" t="n">
        <x:f>SUM(O211+Q211+S211+U211+W211)</x:f>
        <x:v>18</x:v>
      </x:c>
      <x:c r="Z211" s="20" t="n">
        <x:f>SUM(P211+R211+T211+V211+X211)</x:f>
        <x:v>8</x:v>
      </x:c>
      <x:c r="AA211" s="21" t="n">
        <x:f>Y211/(Y211+Z211)</x:f>
        <x:v>0.6923076923076923</x:v>
      </x:c>
    </x:row>
    <x:row r="212">
      <x:c r="A212" s="22" t="n">
        <x:f>wimbledons_champions!A220</x:f>
        <x:v>1906</x:v>
      </x:c>
      <x:c r="B212" s="25" t="str">
        <x:f>wimbledons_champions!B220</x:f>
        <x:v>Women's</x:v>
      </x:c>
      <x:c r="C212" s="25" t="inlineStr">
        <x:is>
          <x:t xml:space="preserve">D.L. Chambers</x:t>
        </x:is>
      </x:c>
      <x:c r="D212" s="22" t="inlineStr">
        <x:is>
          <x:t xml:space="preserve">GBR</x:t>
        </x:is>
      </x:c>
      <x:c r="E212" s="25" t="inlineStr">
        <x:is>
          <x:t xml:space="preserve">United Kingdom</x:t>
        </x:is>
      </x:c>
      <x:c r="G212" s="22" t="n">
        <x:f>wimbledons_champions!G220</x:f>
        <x:v>57</x:v>
      </x:c>
      <x:c r="H212" s="25" t="str">
        <x:f>wimbledons_champions!H220</x:f>
        <x:v>6-3, 9-7</x:v>
      </x:c>
      <x:c r="I212" s="25" t="inlineStr">
        <x:is>
          <x:t xml:space="preserve">M.G. Sutton</x:t>
        </x:is>
      </x:c>
      <x:c r="J212" s="22" t="inlineStr">
        <x:is>
          <x:t xml:space="preserve">USA</x:t>
        </x:is>
      </x:c>
      <x:c r="K212" s="25" t="inlineStr">
        <x:is>
          <x:t xml:space="preserve">United States</x:t>
        </x:is>
      </x:c>
      <x:c r="M212" s="18" t="n">
        <x:v>0.6</x:v>
      </x:c>
      <x:c r="N212" s="18" t="n"/>
      <x:c r="O212" s="19" t="inlineStr">
        <x:is>
          <x:t xml:space="preserve">6</x:t>
        </x:is>
      </x:c>
      <x:c r="P212" s="19" t="n">
        <x:v>3</x:v>
      </x:c>
      <x:c r="Q212" s="19" t="n">
        <x:v>9</x:v>
      </x:c>
      <x:c r="R212" s="19" t="n">
        <x:v>7</x:v>
      </x:c>
      <x:c r="S212" s="19" t="n"/>
      <x:c r="T212" s="19" t="n"/>
      <x:c r="U212" s="19" t="n"/>
      <x:c r="V212" s="19" t="n"/>
      <x:c r="W212" s="19" t="n"/>
      <x:c r="X212" s="19" t="n"/>
      <x:c r="Y212" s="20" t="n">
        <x:f>SUM(O212+Q212+S212+U212+W212)</x:f>
        <x:v>15</x:v>
      </x:c>
      <x:c r="Z212" s="20" t="n">
        <x:f>SUM(P212+R212+T212+V212+X212)</x:f>
        <x:v>10</x:v>
      </x:c>
      <x:c r="AA212" s="21" t="n">
        <x:f>Y212/(Y212+Z212)</x:f>
        <x:v>0.6</x:v>
      </x:c>
    </x:row>
    <x:row r="213">
      <x:c r="A213" s="22" t="n">
        <x:f>wimbledons_champions!A221</x:f>
        <x:v>1906</x:v>
      </x:c>
      <x:c r="B213" s="25" t="str">
        <x:f>wimbledons_champions!B221</x:f>
        <x:v>Men's</x:v>
      </x:c>
      <x:c r="C213" s="25" t="inlineStr">
        <x:is>
          <x:t xml:space="preserve">H.L. Doherty</x:t>
        </x:is>
      </x:c>
      <x:c r="D213" s="22" t="inlineStr">
        <x:is>
          <x:t xml:space="preserve">GBR</x:t>
        </x:is>
      </x:c>
      <x:c r="E213" s="25" t="inlineStr">
        <x:is>
          <x:t xml:space="preserve">United Kingdom</x:t>
        </x:is>
      </x:c>
      <x:c r="G213" s="22" t="n">
        <x:f>wimbledons_champions!G221</x:f>
        <x:v>74</x:v>
      </x:c>
      <x:c r="H213" s="25" t="str">
        <x:f>wimbledons_champions!H221</x:f>
        <x:v>6-4, 4-6, 6-2, 6-3</x:v>
      </x:c>
      <x:c r="I213" s="25" t="inlineStr">
        <x:is>
          <x:t xml:space="preserve">F.L. Riseley</x:t>
        </x:is>
      </x:c>
      <x:c r="J213" s="22" t="inlineStr">
        <x:is>
          <x:t xml:space="preserve">GBR</x:t>
        </x:is>
      </x:c>
      <x:c r="K213" s="25" t="inlineStr">
        <x:is>
          <x:t xml:space="preserve">United Kingdom</x:t>
        </x:is>
      </x:c>
      <x:c r="M213" s="18" t="n">
        <x:v>0.5945945945945946</x:v>
      </x:c>
      <x:c r="N213" s="18" t="n"/>
      <x:c r="O213" s="19" t="inlineStr">
        <x:is>
          <x:t xml:space="preserve">6</x:t>
        </x:is>
      </x:c>
      <x:c r="P213" s="19" t="n">
        <x:v>4</x:v>
      </x:c>
      <x:c r="Q213" s="19" t="n">
        <x:v>4</x:v>
      </x:c>
      <x:c r="R213" s="19" t="n">
        <x:v>6</x:v>
      </x:c>
      <x:c r="S213" s="19" t="n">
        <x:v>6</x:v>
      </x:c>
      <x:c r="T213" s="19" t="n">
        <x:v>2</x:v>
      </x:c>
      <x:c r="U213" s="19" t="n">
        <x:v>6</x:v>
      </x:c>
      <x:c r="V213" s="19" t="n">
        <x:v>3</x:v>
      </x:c>
      <x:c r="W213" s="19" t="n"/>
      <x:c r="X213" s="19" t="n"/>
      <x:c r="Y213" s="20" t="n">
        <x:f>SUM(O213+Q213+S213+U213+W213)</x:f>
        <x:v>22</x:v>
      </x:c>
      <x:c r="Z213" s="20" t="n">
        <x:f>SUM(P213+R213+T213+V213+X213)</x:f>
        <x:v>15</x:v>
      </x:c>
      <x:c r="AA213" s="21" t="n">
        <x:f>Y213/(Y213+Z213)</x:f>
        <x:v>0.5945945945945946</x:v>
      </x:c>
    </x:row>
    <x:row r="214">
      <x:c r="A214" s="22" t="n">
        <x:f>wimbledons_champions!A222</x:f>
        <x:v>1905</x:v>
      </x:c>
      <x:c r="B214" s="25" t="str">
        <x:f>wimbledons_champions!B222</x:f>
        <x:v>Women's</x:v>
      </x:c>
      <x:c r="C214" s="25" t="inlineStr">
        <x:is>
          <x:t xml:space="preserve">M.G. Sutton</x:t>
        </x:is>
      </x:c>
      <x:c r="D214" s="22" t="inlineStr">
        <x:is>
          <x:t xml:space="preserve">USA</x:t>
        </x:is>
      </x:c>
      <x:c r="E214" s="25" t="inlineStr">
        <x:is>
          <x:t xml:space="preserve">United States</x:t>
        </x:is>
      </x:c>
      <x:c r="G214" s="22" t="n">
        <x:f>wimbledons_champions!G222</x:f>
        <x:v>0</x:v>
      </x:c>
      <x:c r="H214" s="25" t="str">
        <x:f>wimbledons_champions!H222</x:f>
        <x:v>6-3, 6-4</x:v>
      </x:c>
      <x:c r="I214" s="25" t="inlineStr">
        <x:is>
          <x:t xml:space="preserve">D.L. Chambers</x:t>
        </x:is>
      </x:c>
      <x:c r="J214" s="22" t="inlineStr">
        <x:is>
          <x:t xml:space="preserve">GBR</x:t>
        </x:is>
      </x:c>
      <x:c r="K214" s="25" t="inlineStr">
        <x:is>
          <x:t xml:space="preserve">United Kingdom</x:t>
        </x:is>
      </x:c>
      <x:c r="M214" s="18" t="n">
        <x:v>0.631578947368421</x:v>
      </x:c>
      <x:c r="N214" s="18" t="n"/>
      <x:c r="O214" s="19" t="inlineStr">
        <x:is>
          <x:t xml:space="preserve">6</x:t>
        </x:is>
      </x:c>
      <x:c r="P214" s="19" t="n">
        <x:v>3</x:v>
      </x:c>
      <x:c r="Q214" s="19" t="n">
        <x:v>6</x:v>
      </x:c>
      <x:c r="R214" s="19" t="n">
        <x:v>4</x:v>
      </x:c>
      <x:c r="S214" s="19" t="n"/>
      <x:c r="T214" s="19" t="n"/>
      <x:c r="U214" s="19" t="n"/>
      <x:c r="V214" s="19" t="n"/>
      <x:c r="W214" s="19" t="n"/>
      <x:c r="X214" s="19" t="n"/>
      <x:c r="Y214" s="20" t="n">
        <x:f>SUM(O214+Q214+S214+U214+W214)</x:f>
        <x:v>12</x:v>
      </x:c>
      <x:c r="Z214" s="20" t="n">
        <x:f>SUM(P214+R214+T214+V214+X214)</x:f>
        <x:v>7</x:v>
      </x:c>
      <x:c r="AA214" s="21" t="n">
        <x:f>Y214/(Y214+Z214)</x:f>
        <x:v>0.631578947368421</x:v>
      </x:c>
    </x:row>
    <x:row r="215">
      <x:c r="A215" s="22" t="n">
        <x:f>wimbledons_champions!A223</x:f>
        <x:v>1905</x:v>
      </x:c>
      <x:c r="B215" s="25" t="str">
        <x:f>wimbledons_champions!B223</x:f>
        <x:v>Men's</x:v>
      </x:c>
      <x:c r="C215" s="25" t="inlineStr">
        <x:is>
          <x:t xml:space="preserve">H.L. Doherty</x:t>
        </x:is>
      </x:c>
      <x:c r="D215" s="22" t="inlineStr">
        <x:is>
          <x:t xml:space="preserve">GBR</x:t>
        </x:is>
      </x:c>
      <x:c r="E215" s="25" t="inlineStr">
        <x:is>
          <x:t xml:space="preserve">United Kingdom</x:t>
        </x:is>
      </x:c>
      <x:c r="G215" s="22" t="n">
        <x:f>wimbledons_champions!G223</x:f>
        <x:v>65</x:v>
      </x:c>
      <x:c r="H215" s="25" t="str">
        <x:f>wimbledons_champions!H223</x:f>
        <x:v>8-6, 6-2, 6-4</x:v>
      </x:c>
      <x:c r="I215" s="25" t="inlineStr">
        <x:is>
          <x:t xml:space="preserve">N.E. Brookes</x:t>
        </x:is>
      </x:c>
      <x:c r="J215" s="22" t="inlineStr">
        <x:is>
          <x:t xml:space="preserve">AUS</x:t>
        </x:is>
      </x:c>
      <x:c r="K215" s="25" t="inlineStr">
        <x:is>
          <x:t xml:space="preserve">Australia</x:t>
        </x:is>
      </x:c>
      <x:c r="M215" s="18" t="n">
        <x:v>0.625</x:v>
      </x:c>
      <x:c r="N215" s="18" t="n"/>
      <x:c r="O215" s="19" t="inlineStr">
        <x:is>
          <x:t xml:space="preserve">8</x:t>
        </x:is>
      </x:c>
      <x:c r="P215" s="19" t="n">
        <x:v>6</x:v>
      </x:c>
      <x:c r="Q215" s="19" t="n">
        <x:v>6</x:v>
      </x:c>
      <x:c r="R215" s="19" t="n">
        <x:v>2</x:v>
      </x:c>
      <x:c r="S215" s="19" t="n">
        <x:v>6</x:v>
      </x:c>
      <x:c r="T215" s="19" t="n">
        <x:v>4</x:v>
      </x:c>
      <x:c r="U215" s="19" t="n"/>
      <x:c r="V215" s="19" t="n"/>
      <x:c r="W215" s="19" t="n"/>
      <x:c r="X215" s="19" t="n"/>
      <x:c r="Y215" s="20" t="n">
        <x:f>SUM(O215+Q215+S215+U215+W215)</x:f>
        <x:v>20</x:v>
      </x:c>
      <x:c r="Z215" s="20" t="n">
        <x:f>SUM(P215+R215+T215+V215+X215)</x:f>
        <x:v>12</x:v>
      </x:c>
      <x:c r="AA215" s="21" t="n">
        <x:f>Y215/(Y215+Z215)</x:f>
        <x:v>0.625</x:v>
      </x:c>
    </x:row>
    <x:row r="216">
      <x:c r="A216" s="22" t="n">
        <x:f>wimbledons_champions!A224</x:f>
        <x:v>1904</x:v>
      </x:c>
      <x:c r="B216" s="25" t="str">
        <x:f>wimbledons_champions!B224</x:f>
        <x:v>Women's</x:v>
      </x:c>
      <x:c r="C216" s="25" t="inlineStr">
        <x:is>
          <x:t xml:space="preserve">D.L. Chambers</x:t>
        </x:is>
      </x:c>
      <x:c r="D216" s="22" t="inlineStr">
        <x:is>
          <x:t xml:space="preserve">GBR</x:t>
        </x:is>
      </x:c>
      <x:c r="E216" s="25" t="inlineStr">
        <x:is>
          <x:t xml:space="preserve">United Kingdom</x:t>
        </x:is>
      </x:c>
      <x:c r="G216" s="22" t="n">
        <x:f>wimbledons_champions!G224</x:f>
        <x:v>0</x:v>
      </x:c>
      <x:c r="H216" s="25" t="str">
        <x:f>wimbledons_champions!H224</x:f>
        <x:v>6-0, 6-3</x:v>
      </x:c>
      <x:c r="I216" s="25" t="inlineStr">
        <x:is>
          <x:t xml:space="preserve">C.R. Cooper</x:t>
        </x:is>
      </x:c>
      <x:c r="J216" s="22" t="inlineStr">
        <x:is>
          <x:t xml:space="preserve">GBR</x:t>
        </x:is>
      </x:c>
      <x:c r="K216" s="25" t="inlineStr">
        <x:is>
          <x:t xml:space="preserve">United Kingdom</x:t>
        </x:is>
      </x:c>
      <x:c r="M216" s="18" t="n">
        <x:v>0.8</x:v>
      </x:c>
      <x:c r="N216" s="18" t="n"/>
      <x:c r="O216" s="19" t="inlineStr">
        <x:is>
          <x:t xml:space="preserve">6</x:t>
        </x:is>
      </x:c>
      <x:c r="P216" s="19" t="n">
        <x:v>0</x:v>
      </x:c>
      <x:c r="Q216" s="19" t="n">
        <x:v>6</x:v>
      </x:c>
      <x:c r="R216" s="19" t="n">
        <x:v>3</x:v>
      </x:c>
      <x:c r="S216" s="19" t="n"/>
      <x:c r="T216" s="19" t="n"/>
      <x:c r="U216" s="19" t="n"/>
      <x:c r="V216" s="19" t="n"/>
      <x:c r="W216" s="19" t="n"/>
      <x:c r="X216" s="19" t="n"/>
      <x:c r="Y216" s="20" t="n">
        <x:f>SUM(O216+Q216+S216+U216+W216)</x:f>
        <x:v>12</x:v>
      </x:c>
      <x:c r="Z216" s="20" t="n">
        <x:f>SUM(P216+R216+T216+V216+X216)</x:f>
        <x:v>3</x:v>
      </x:c>
      <x:c r="AA216" s="21" t="n">
        <x:f>Y216/(Y216+Z216)</x:f>
        <x:v>0.8</x:v>
      </x:c>
    </x:row>
    <x:row r="217">
      <x:c r="A217" s="22" t="n">
        <x:f>wimbledons_champions!A225</x:f>
        <x:v>1904</x:v>
      </x:c>
      <x:c r="B217" s="25" t="str">
        <x:f>wimbledons_champions!B225</x:f>
        <x:v>Men's</x:v>
      </x:c>
      <x:c r="C217" s="25" t="inlineStr">
        <x:is>
          <x:t xml:space="preserve">H.L. Doherty</x:t>
        </x:is>
      </x:c>
      <x:c r="D217" s="22" t="inlineStr">
        <x:is>
          <x:t xml:space="preserve">GBR</x:t>
        </x:is>
      </x:c>
      <x:c r="E217" s="25" t="inlineStr">
        <x:is>
          <x:t xml:space="preserve">United Kingdom</x:t>
        </x:is>
      </x:c>
      <x:c r="G217" s="22" t="n">
        <x:f>wimbledons_champions!G225</x:f>
        <x:v>0</x:v>
      </x:c>
      <x:c r="H217" s="25" t="str">
        <x:f>wimbledons_champions!H225</x:f>
        <x:v>6-1, 7-5, 8-6</x:v>
      </x:c>
      <x:c r="I217" s="25" t="inlineStr">
        <x:is>
          <x:t xml:space="preserve">F.L. Riseley</x:t>
        </x:is>
      </x:c>
      <x:c r="J217" s="22" t="inlineStr">
        <x:is>
          <x:t xml:space="preserve">GBR</x:t>
        </x:is>
      </x:c>
      <x:c r="K217" s="25" t="inlineStr">
        <x:is>
          <x:t xml:space="preserve">United Kingdom</x:t>
        </x:is>
      </x:c>
      <x:c r="M217" s="18" t="n">
        <x:v>0.6363636363636364</x:v>
      </x:c>
      <x:c r="N217" s="18" t="n"/>
      <x:c r="O217" s="19" t="inlineStr">
        <x:is>
          <x:t xml:space="preserve">6</x:t>
        </x:is>
      </x:c>
      <x:c r="P217" s="19" t="n">
        <x:v>1</x:v>
      </x:c>
      <x:c r="Q217" s="19" t="n">
        <x:v>7</x:v>
      </x:c>
      <x:c r="R217" s="19" t="n">
        <x:v>5</x:v>
      </x:c>
      <x:c r="S217" s="19" t="n">
        <x:v>8</x:v>
      </x:c>
      <x:c r="T217" s="19" t="n">
        <x:v>6</x:v>
      </x:c>
      <x:c r="U217" s="19" t="n"/>
      <x:c r="V217" s="19" t="n"/>
      <x:c r="W217" s="19" t="n"/>
      <x:c r="X217" s="19" t="n"/>
      <x:c r="Y217" s="20" t="n">
        <x:f>SUM(O217+Q217+S217+U217+W217)</x:f>
        <x:v>21</x:v>
      </x:c>
      <x:c r="Z217" s="20" t="n">
        <x:f>SUM(P217+R217+T217+V217+X217)</x:f>
        <x:v>12</x:v>
      </x:c>
      <x:c r="AA217" s="21" t="n">
        <x:f>Y217/(Y217+Z217)</x:f>
        <x:v>0.6363636363636364</x:v>
      </x:c>
    </x:row>
    <x:row r="218">
      <x:c r="A218" s="22" t="n">
        <x:f>wimbledons_champions!A226</x:f>
        <x:v>1903</x:v>
      </x:c>
      <x:c r="B218" s="25" t="str">
        <x:f>wimbledons_champions!B226</x:f>
        <x:v>Women's</x:v>
      </x:c>
      <x:c r="C218" s="25" t="inlineStr">
        <x:is>
          <x:t xml:space="preserve">D.L. Chambers</x:t>
        </x:is>
      </x:c>
      <x:c r="D218" s="22" t="inlineStr">
        <x:is>
          <x:t xml:space="preserve">GBR</x:t>
        </x:is>
      </x:c>
      <x:c r="E218" s="25" t="inlineStr">
        <x:is>
          <x:t xml:space="preserve">United Kingdom</x:t>
        </x:is>
      </x:c>
      <x:c r="G218" s="22" t="n">
        <x:f>wimbledons_champions!G226</x:f>
        <x:v>0</x:v>
      </x:c>
      <x:c r="H218" s="25" t="str">
        <x:f>wimbledons_champions!H226</x:f>
        <x:v>4-6, 6-4, 6-2</x:v>
      </x:c>
      <x:c r="I218" s="25" t="inlineStr">
        <x:is>
          <x:t xml:space="preserve">E.W. Thomson</x:t>
        </x:is>
      </x:c>
      <x:c r="J218" s="22" t="inlineStr">
        <x:is>
          <x:t xml:space="preserve">GBR</x:t>
        </x:is>
      </x:c>
      <x:c r="K218" s="25" t="inlineStr">
        <x:is>
          <x:t xml:space="preserve">United Kingdom</x:t>
        </x:is>
      </x:c>
      <x:c r="M218" s="18" t="n">
        <x:v>0.5714285714285714</x:v>
      </x:c>
      <x:c r="N218" s="18" t="n"/>
      <x:c r="O218" s="19" t="inlineStr">
        <x:is>
          <x:t xml:space="preserve">4</x:t>
        </x:is>
      </x:c>
      <x:c r="P218" s="19" t="n">
        <x:v>6</x:v>
      </x:c>
      <x:c r="Q218" s="19" t="n">
        <x:v>6</x:v>
      </x:c>
      <x:c r="R218" s="19" t="n">
        <x:v>4</x:v>
      </x:c>
      <x:c r="S218" s="19" t="n">
        <x:v>6</x:v>
      </x:c>
      <x:c r="T218" s="19" t="n">
        <x:v>2</x:v>
      </x:c>
      <x:c r="U218" s="19" t="n"/>
      <x:c r="V218" s="19" t="n"/>
      <x:c r="W218" s="19" t="n"/>
      <x:c r="X218" s="19" t="n"/>
      <x:c r="Y218" s="20" t="n">
        <x:f>SUM(O218+Q218+S218+U218+W218)</x:f>
        <x:v>16</x:v>
      </x:c>
      <x:c r="Z218" s="20" t="n">
        <x:f>SUM(P218+R218+T218+V218+X218)</x:f>
        <x:v>12</x:v>
      </x:c>
      <x:c r="AA218" s="21" t="n">
        <x:f>Y218/(Y218+Z218)</x:f>
        <x:v>0.5714285714285714</x:v>
      </x:c>
    </x:row>
    <x:row r="219">
      <x:c r="A219" s="22" t="n">
        <x:f>wimbledons_champions!A227</x:f>
        <x:v>1903</x:v>
      </x:c>
      <x:c r="B219" s="25" t="str">
        <x:f>wimbledons_champions!B227</x:f>
        <x:v>Men's</x:v>
      </x:c>
      <x:c r="C219" s="25" t="inlineStr">
        <x:is>
          <x:t xml:space="preserve">H.L. Doherty</x:t>
        </x:is>
      </x:c>
      <x:c r="D219" s="22" t="inlineStr">
        <x:is>
          <x:t xml:space="preserve">GBR</x:t>
        </x:is>
      </x:c>
      <x:c r="E219" s="25" t="inlineStr">
        <x:is>
          <x:t xml:space="preserve">United Kingdom</x:t>
        </x:is>
      </x:c>
      <x:c r="G219" s="22" t="n">
        <x:f>wimbledons_champions!G227</x:f>
        <x:v>0</x:v>
      </x:c>
      <x:c r="H219" s="25" t="str">
        <x:f>wimbledons_champions!H227</x:f>
        <x:v>7-5, 6-3, 6-0</x:v>
      </x:c>
      <x:c r="I219" s="25" t="inlineStr">
        <x:is>
          <x:t xml:space="preserve">F.L. Riseley</x:t>
        </x:is>
      </x:c>
      <x:c r="J219" s="22" t="inlineStr">
        <x:is>
          <x:t xml:space="preserve">GBR</x:t>
        </x:is>
      </x:c>
      <x:c r="K219" s="25" t="inlineStr">
        <x:is>
          <x:t xml:space="preserve">United Kingdom</x:t>
        </x:is>
      </x:c>
      <x:c r="M219" s="18" t="n">
        <x:v>0.7037037037037037</x:v>
      </x:c>
      <x:c r="N219" s="18" t="n"/>
      <x:c r="O219" s="19" t="inlineStr">
        <x:is>
          <x:t xml:space="preserve">7</x:t>
        </x:is>
      </x:c>
      <x:c r="P219" s="19" t="n">
        <x:v>5</x:v>
      </x:c>
      <x:c r="Q219" s="19" t="n">
        <x:v>6</x:v>
      </x:c>
      <x:c r="R219" s="19" t="n">
        <x:v>3</x:v>
      </x:c>
      <x:c r="S219" s="19" t="n">
        <x:v>6</x:v>
      </x:c>
      <x:c r="T219" s="19" t="n">
        <x:v>0</x:v>
      </x:c>
      <x:c r="U219" s="19" t="n"/>
      <x:c r="V219" s="19" t="n"/>
      <x:c r="W219" s="19" t="n"/>
      <x:c r="X219" s="19" t="n"/>
      <x:c r="Y219" s="20" t="n">
        <x:f>SUM(O219+Q219+S219+U219+W219)</x:f>
        <x:v>19</x:v>
      </x:c>
      <x:c r="Z219" s="20" t="n">
        <x:f>SUM(P219+R219+T219+V219+X219)</x:f>
        <x:v>8</x:v>
      </x:c>
      <x:c r="AA219" s="21" t="n">
        <x:f>Y219/(Y219+Z219)</x:f>
        <x:v>0.7037037037037037</x:v>
      </x:c>
    </x:row>
    <x:row r="220">
      <x:c r="A220" s="22" t="n">
        <x:f>wimbledons_champions!A228</x:f>
        <x:v>1902</x:v>
      </x:c>
      <x:c r="B220" s="25" t="str">
        <x:f>wimbledons_champions!B228</x:f>
        <x:v>Women's</x:v>
      </x:c>
      <x:c r="C220" s="25" t="inlineStr">
        <x:is>
          <x:t xml:space="preserve">M.E. Robb</x:t>
        </x:is>
      </x:c>
      <x:c r="D220" s="22" t="inlineStr">
        <x:is>
          <x:t xml:space="preserve">GBR</x:t>
        </x:is>
      </x:c>
      <x:c r="E220" s="25" t="inlineStr">
        <x:is>
          <x:t xml:space="preserve">United Kingdom</x:t>
        </x:is>
      </x:c>
      <x:c r="G220" s="22" t="n">
        <x:f>wimbledons_champions!G228</x:f>
        <x:v>0</x:v>
      </x:c>
      <x:c r="H220" s="25" t="str">
        <x:f>wimbledons_champions!H228</x:f>
        <x:v>7-5, 6-1</x:v>
      </x:c>
      <x:c r="I220" s="25" t="inlineStr">
        <x:is>
          <x:t xml:space="preserve">C.R. Cooper</x:t>
        </x:is>
      </x:c>
      <x:c r="J220" s="22" t="inlineStr">
        <x:is>
          <x:t xml:space="preserve">GBR</x:t>
        </x:is>
      </x:c>
      <x:c r="K220" s="25" t="inlineStr">
        <x:is>
          <x:t xml:space="preserve">United Kingdom</x:t>
        </x:is>
      </x:c>
      <x:c r="M220" s="18" t="n">
        <x:v>0.6842105263157895</x:v>
      </x:c>
      <x:c r="N220" s="18" t="n"/>
      <x:c r="O220" s="19" t="inlineStr">
        <x:is>
          <x:t xml:space="preserve">7</x:t>
        </x:is>
      </x:c>
      <x:c r="P220" s="19" t="n">
        <x:v>5</x:v>
      </x:c>
      <x:c r="Q220" s="19" t="n">
        <x:v>6</x:v>
      </x:c>
      <x:c r="R220" s="19" t="n">
        <x:v>1</x:v>
      </x:c>
      <x:c r="S220" s="19" t="n"/>
      <x:c r="T220" s="19" t="n"/>
      <x:c r="U220" s="19" t="n"/>
      <x:c r="V220" s="19" t="n"/>
      <x:c r="W220" s="19" t="n"/>
      <x:c r="X220" s="19" t="n"/>
      <x:c r="Y220" s="20" t="n">
        <x:f>SUM(O220+Q220+S220+U220+W220)</x:f>
        <x:v>13</x:v>
      </x:c>
      <x:c r="Z220" s="20" t="n">
        <x:f>SUM(P220+R220+T220+V220+X220)</x:f>
        <x:v>6</x:v>
      </x:c>
      <x:c r="AA220" s="21" t="n">
        <x:f>Y220/(Y220+Z220)</x:f>
        <x:v>0.6842105263157895</x:v>
      </x:c>
    </x:row>
    <x:row r="221">
      <x:c r="A221" s="22" t="n">
        <x:f>wimbledons_champions!A229</x:f>
        <x:v>1902</x:v>
      </x:c>
      <x:c r="B221" s="25" t="str">
        <x:f>wimbledons_champions!B229</x:f>
        <x:v>Men's</x:v>
      </x:c>
      <x:c r="C221" s="25" t="inlineStr">
        <x:is>
          <x:t xml:space="preserve">H.L. Doherty</x:t>
        </x:is>
      </x:c>
      <x:c r="D221" s="22" t="inlineStr">
        <x:is>
          <x:t xml:space="preserve">GBR</x:t>
        </x:is>
      </x:c>
      <x:c r="E221" s="25" t="inlineStr">
        <x:is>
          <x:t xml:space="preserve">United Kingdom</x:t>
        </x:is>
      </x:c>
      <x:c r="G221" s="22" t="n">
        <x:f>wimbledons_champions!G229</x:f>
        <x:v>84</x:v>
      </x:c>
      <x:c r="H221" s="25" t="str">
        <x:f>wimbledons_champions!H229</x:f>
        <x:v>6-4, 6-3, 3-6, 6-0</x:v>
      </x:c>
      <x:c r="I221" s="25" t="inlineStr">
        <x:is>
          <x:t xml:space="preserve">A.W. Gore</x:t>
        </x:is>
      </x:c>
      <x:c r="J221" s="22" t="inlineStr">
        <x:is>
          <x:t xml:space="preserve">GBR</x:t>
        </x:is>
      </x:c>
      <x:c r="K221" s="25" t="inlineStr">
        <x:is>
          <x:t xml:space="preserve">United Kingdom</x:t>
        </x:is>
      </x:c>
      <x:c r="M221" s="18" t="n">
        <x:v>0.6176470588235294</x:v>
      </x:c>
      <x:c r="N221" s="18" t="n"/>
      <x:c r="O221" s="19" t="inlineStr">
        <x:is>
          <x:t xml:space="preserve">6</x:t>
        </x:is>
      </x:c>
      <x:c r="P221" s="19" t="n">
        <x:v>4</x:v>
      </x:c>
      <x:c r="Q221" s="19" t="n">
        <x:v>6</x:v>
      </x:c>
      <x:c r="R221" s="19" t="n">
        <x:v>3</x:v>
      </x:c>
      <x:c r="S221" s="19" t="n">
        <x:v>3</x:v>
      </x:c>
      <x:c r="T221" s="19" t="n">
        <x:v>6</x:v>
      </x:c>
      <x:c r="U221" s="19" t="n">
        <x:v>6</x:v>
      </x:c>
      <x:c r="V221" s="19" t="n">
        <x:v>0</x:v>
      </x:c>
      <x:c r="W221" s="19" t="n"/>
      <x:c r="X221" s="19" t="n"/>
      <x:c r="Y221" s="20" t="n">
        <x:f>SUM(O221+Q221+S221+U221+W221)</x:f>
        <x:v>21</x:v>
      </x:c>
      <x:c r="Z221" s="20" t="n">
        <x:f>SUM(P221+R221+T221+V221+X221)</x:f>
        <x:v>13</x:v>
      </x:c>
      <x:c r="AA221" s="21" t="n">
        <x:f>Y221/(Y221+Z221)</x:f>
        <x:v>0.6176470588235294</x:v>
      </x:c>
    </x:row>
    <x:row r="222">
      <x:c r="A222" s="22" t="n">
        <x:f>wimbledons_champions!A230</x:f>
        <x:v>1901</x:v>
      </x:c>
      <x:c r="B222" s="25" t="str">
        <x:f>wimbledons_champions!B230</x:f>
        <x:v>Women's</x:v>
      </x:c>
      <x:c r="C222" s="25" t="inlineStr">
        <x:is>
          <x:t xml:space="preserve">C.R. Cooper</x:t>
        </x:is>
      </x:c>
      <x:c r="D222" s="22" t="inlineStr">
        <x:is>
          <x:t xml:space="preserve">GBR</x:t>
        </x:is>
      </x:c>
      <x:c r="E222" s="25" t="inlineStr">
        <x:is>
          <x:t xml:space="preserve">United Kingdom</x:t>
        </x:is>
      </x:c>
      <x:c r="G222" s="22" t="n">
        <x:f>wimbledons_champions!G230</x:f>
        <x:v>0</x:v>
      </x:c>
      <x:c r="H222" s="25" t="str">
        <x:f>wimbledons_champions!H230</x:f>
        <x:v>6-2, 6-2</x:v>
      </x:c>
      <x:c r="I222" s="25" t="inlineStr">
        <x:is>
          <x:t xml:space="preserve">G.W. Hillyard</x:t>
        </x:is>
      </x:c>
      <x:c r="J222" s="22" t="inlineStr">
        <x:is>
          <x:t xml:space="preserve">GBR</x:t>
        </x:is>
      </x:c>
      <x:c r="K222" s="25" t="inlineStr">
        <x:is>
          <x:t xml:space="preserve">United Kingdom</x:t>
        </x:is>
      </x:c>
      <x:c r="M222" s="18" t="n">
        <x:v>0.75</x:v>
      </x:c>
      <x:c r="N222" s="18" t="n"/>
      <x:c r="O222" s="19" t="inlineStr">
        <x:is>
          <x:t xml:space="preserve">6</x:t>
        </x:is>
      </x:c>
      <x:c r="P222" s="19" t="n">
        <x:v>2</x:v>
      </x:c>
      <x:c r="Q222" s="19" t="n">
        <x:v>6</x:v>
      </x:c>
      <x:c r="R222" s="19" t="n">
        <x:v>2</x:v>
      </x:c>
      <x:c r="S222" s="19" t="n"/>
      <x:c r="T222" s="19" t="n"/>
      <x:c r="U222" s="19" t="n"/>
      <x:c r="V222" s="19" t="n"/>
      <x:c r="W222" s="19" t="n"/>
      <x:c r="X222" s="19" t="n"/>
      <x:c r="Y222" s="20" t="n">
        <x:f>SUM(O222+Q222+S222+U222+W222)</x:f>
        <x:v>12</x:v>
      </x:c>
      <x:c r="Z222" s="20" t="n">
        <x:f>SUM(P222+R222+T222+V222+X222)</x:f>
        <x:v>4</x:v>
      </x:c>
      <x:c r="AA222" s="21" t="n">
        <x:f>Y222/(Y222+Z222)</x:f>
        <x:v>0.75</x:v>
      </x:c>
    </x:row>
    <x:row r="223">
      <x:c r="A223" s="22" t="n">
        <x:f>wimbledons_champions!A231</x:f>
        <x:v>1901</x:v>
      </x:c>
      <x:c r="B223" s="25" t="str">
        <x:f>wimbledons_champions!B231</x:f>
        <x:v>Men's</x:v>
      </x:c>
      <x:c r="C223" s="25" t="inlineStr">
        <x:is>
          <x:t xml:space="preserve">A.W. Gore</x:t>
        </x:is>
      </x:c>
      <x:c r="D223" s="22" t="inlineStr">
        <x:is>
          <x:t xml:space="preserve">GBR</x:t>
        </x:is>
      </x:c>
      <x:c r="E223" s="25" t="inlineStr">
        <x:is>
          <x:t xml:space="preserve">United Kingdom</x:t>
        </x:is>
      </x:c>
      <x:c r="G223" s="22" t="n">
        <x:f>wimbledons_champions!G231</x:f>
        <x:v>95</x:v>
      </x:c>
      <x:c r="H223" s="25" t="str">
        <x:f>wimbledons_champions!H231</x:f>
        <x:v>4-6, 7-5, 6-4, 6-4</x:v>
      </x:c>
      <x:c r="I223" s="25" t="inlineStr">
        <x:is>
          <x:t xml:space="preserve">R.F. Doherty</x:t>
        </x:is>
      </x:c>
      <x:c r="J223" s="22" t="inlineStr">
        <x:is>
          <x:t xml:space="preserve">GBR</x:t>
        </x:is>
      </x:c>
      <x:c r="K223" s="25" t="inlineStr">
        <x:is>
          <x:t xml:space="preserve">United Kingdom</x:t>
        </x:is>
      </x:c>
      <x:c r="M223" s="18" t="n">
        <x:v>0.5476190476190477</x:v>
      </x:c>
      <x:c r="N223" s="18" t="n"/>
      <x:c r="O223" s="19" t="inlineStr">
        <x:is>
          <x:t xml:space="preserve">4</x:t>
        </x:is>
      </x:c>
      <x:c r="P223" s="19" t="n">
        <x:v>6</x:v>
      </x:c>
      <x:c r="Q223" s="19" t="n">
        <x:v>7</x:v>
      </x:c>
      <x:c r="R223" s="19" t="n">
        <x:v>5</x:v>
      </x:c>
      <x:c r="S223" s="19" t="n">
        <x:v>6</x:v>
      </x:c>
      <x:c r="T223" s="19" t="n">
        <x:v>4</x:v>
      </x:c>
      <x:c r="U223" s="19" t="n">
        <x:v>6</x:v>
      </x:c>
      <x:c r="V223" s="19" t="n">
        <x:v>4</x:v>
      </x:c>
      <x:c r="W223" s="19" t="n"/>
      <x:c r="X223" s="19" t="n"/>
      <x:c r="Y223" s="20" t="n">
        <x:f>SUM(O223+Q223+S223+U223+W223)</x:f>
        <x:v>23</x:v>
      </x:c>
      <x:c r="Z223" s="20" t="n">
        <x:f>SUM(P223+R223+T223+V223+X223)</x:f>
        <x:v>19</x:v>
      </x:c>
      <x:c r="AA223" s="21" t="n">
        <x:f>Y223/(Y223+Z223)</x:f>
        <x:v>0.5476190476190477</x:v>
      </x:c>
    </x:row>
    <x:row r="224">
      <x:c r="A224" s="22" t="n">
        <x:f>wimbledons_champions!A232</x:f>
        <x:v>1900</x:v>
      </x:c>
      <x:c r="B224" s="25" t="str">
        <x:f>wimbledons_champions!B232</x:f>
        <x:v>Women's</x:v>
      </x:c>
      <x:c r="C224" s="25" t="inlineStr">
        <x:is>
          <x:t xml:space="preserve">G.W. Hillyard</x:t>
        </x:is>
      </x:c>
      <x:c r="D224" s="22" t="inlineStr">
        <x:is>
          <x:t xml:space="preserve">GBR</x:t>
        </x:is>
      </x:c>
      <x:c r="E224" s="25" t="inlineStr">
        <x:is>
          <x:t xml:space="preserve">United Kingdom</x:t>
        </x:is>
      </x:c>
      <x:c r="G224" s="22" t="n">
        <x:f>wimbledons_champions!G232</x:f>
        <x:v>0</x:v>
      </x:c>
      <x:c r="H224" s="25" t="str">
        <x:f>wimbledons_champions!H232</x:f>
        <x:v>4-6, 6-4, 6-4</x:v>
      </x:c>
      <x:c r="I224" s="25" t="inlineStr">
        <x:is>
          <x:t xml:space="preserve">C.R. Cooper</x:t>
        </x:is>
      </x:c>
      <x:c r="J224" s="22" t="inlineStr">
        <x:is>
          <x:t xml:space="preserve">GBR</x:t>
        </x:is>
      </x:c>
      <x:c r="K224" s="25" t="inlineStr">
        <x:is>
          <x:t xml:space="preserve">United Kingdom</x:t>
        </x:is>
      </x:c>
      <x:c r="M224" s="18" t="n">
        <x:v>0.5333333333333333</x:v>
      </x:c>
      <x:c r="N224" s="18" t="n"/>
      <x:c r="O224" s="19" t="inlineStr">
        <x:is>
          <x:t xml:space="preserve">4</x:t>
        </x:is>
      </x:c>
      <x:c r="P224" s="19" t="n">
        <x:v>6</x:v>
      </x:c>
      <x:c r="Q224" s="19" t="n">
        <x:v>6</x:v>
      </x:c>
      <x:c r="R224" s="19" t="n">
        <x:v>4</x:v>
      </x:c>
      <x:c r="S224" s="19" t="n">
        <x:v>6</x:v>
      </x:c>
      <x:c r="T224" s="19" t="n">
        <x:v>4</x:v>
      </x:c>
      <x:c r="U224" s="19" t="n"/>
      <x:c r="V224" s="19" t="n"/>
      <x:c r="W224" s="19" t="n"/>
      <x:c r="X224" s="19" t="n"/>
      <x:c r="Y224" s="20" t="n">
        <x:f>SUM(O224+Q224+S224+U224+W224)</x:f>
        <x:v>16</x:v>
      </x:c>
      <x:c r="Z224" s="20" t="n">
        <x:f>SUM(P224+R224+T224+V224+X224)</x:f>
        <x:v>14</x:v>
      </x:c>
      <x:c r="AA224" s="21" t="n">
        <x:f>Y224/(Y224+Z224)</x:f>
        <x:v>0.5333333333333333</x:v>
      </x:c>
    </x:row>
    <x:row r="225">
      <x:c r="A225" s="22" t="n">
        <x:f>wimbledons_champions!A233</x:f>
        <x:v>1900</x:v>
      </x:c>
      <x:c r="B225" s="25" t="str">
        <x:f>wimbledons_champions!B233</x:f>
        <x:v>Men's</x:v>
      </x:c>
      <x:c r="C225" s="25" t="inlineStr">
        <x:is>
          <x:t xml:space="preserve">R.F. Doherty</x:t>
        </x:is>
      </x:c>
      <x:c r="D225" s="22" t="inlineStr">
        <x:is>
          <x:t xml:space="preserve">GBR</x:t>
        </x:is>
      </x:c>
      <x:c r="E225" s="25" t="inlineStr">
        <x:is>
          <x:t xml:space="preserve">United Kingdom</x:t>
        </x:is>
      </x:c>
      <x:c r="G225" s="22" t="n">
        <x:f>wimbledons_champions!G233</x:f>
        <x:v>0</x:v>
      </x:c>
      <x:c r="H225" s="25" t="str">
        <x:f>wimbledons_champions!H233</x:f>
        <x:v>6-8, 6-3, 6-1, 6-2</x:v>
      </x:c>
      <x:c r="I225" s="25" t="inlineStr">
        <x:is>
          <x:t xml:space="preserve">S.H. Smith</x:t>
        </x:is>
      </x:c>
      <x:c r="J225" s="22" t="inlineStr">
        <x:is>
          <x:t xml:space="preserve">GBR</x:t>
        </x:is>
      </x:c>
      <x:c r="K225" s="25" t="inlineStr">
        <x:is>
          <x:t xml:space="preserve">United Kingdom</x:t>
        </x:is>
      </x:c>
      <x:c r="M225" s="18" t="n">
        <x:v>0.631578947368421</x:v>
      </x:c>
      <x:c r="N225" s="18" t="n"/>
      <x:c r="O225" s="19" t="inlineStr">
        <x:is>
          <x:t xml:space="preserve">6</x:t>
        </x:is>
      </x:c>
      <x:c r="P225" s="19" t="n">
        <x:v>8</x:v>
      </x:c>
      <x:c r="Q225" s="19" t="n">
        <x:v>6</x:v>
      </x:c>
      <x:c r="R225" s="19" t="n">
        <x:v>3</x:v>
      </x:c>
      <x:c r="S225" s="19" t="n">
        <x:v>6</x:v>
      </x:c>
      <x:c r="T225" s="19" t="n">
        <x:v>1</x:v>
      </x:c>
      <x:c r="U225" s="19" t="n">
        <x:v>6</x:v>
      </x:c>
      <x:c r="V225" s="19" t="n">
        <x:v>2</x:v>
      </x:c>
      <x:c r="W225" s="19" t="n"/>
      <x:c r="X225" s="19" t="n"/>
      <x:c r="Y225" s="20" t="n">
        <x:f>SUM(O225+Q225+S225+U225+W225)</x:f>
        <x:v>24</x:v>
      </x:c>
      <x:c r="Z225" s="20" t="n">
        <x:f>SUM(P225+R225+T225+V225+X225)</x:f>
        <x:v>14</x:v>
      </x:c>
      <x:c r="AA225" s="21" t="n">
        <x:f>Y225/(Y225+Z225)</x:f>
        <x:v>0.631578947368421</x:v>
      </x:c>
    </x:row>
    <x:row r="226">
      <x:c r="A226" s="22" t="n">
        <x:f>wimbledons_champions!A234</x:f>
        <x:v>1899</x:v>
      </x:c>
      <x:c r="B226" s="25" t="str">
        <x:f>wimbledons_champions!B234</x:f>
        <x:v>Women's</x:v>
      </x:c>
      <x:c r="C226" s="25" t="inlineStr">
        <x:is>
          <x:t xml:space="preserve">G.W. Hillyard</x:t>
        </x:is>
      </x:c>
      <x:c r="D226" s="22" t="inlineStr">
        <x:is>
          <x:t xml:space="preserve">GBR</x:t>
        </x:is>
      </x:c>
      <x:c r="E226" s="25" t="inlineStr">
        <x:is>
          <x:t xml:space="preserve">United Kingdom</x:t>
        </x:is>
      </x:c>
      <x:c r="G226" s="22" t="n">
        <x:f>wimbledons_champions!G234</x:f>
        <x:v>0</x:v>
      </x:c>
      <x:c r="H226" s="25" t="str">
        <x:f>wimbledons_champions!H234</x:f>
        <x:v>6-2, 6-3</x:v>
      </x:c>
      <x:c r="I226" s="25" t="inlineStr">
        <x:is>
          <x:t xml:space="preserve">C.R. Cooper</x:t>
        </x:is>
      </x:c>
      <x:c r="J226" s="22" t="inlineStr">
        <x:is>
          <x:t xml:space="preserve">GBR</x:t>
        </x:is>
      </x:c>
      <x:c r="K226" s="25" t="inlineStr">
        <x:is>
          <x:t xml:space="preserve">United Kingdom</x:t>
        </x:is>
      </x:c>
      <x:c r="M226" s="18" t="n">
        <x:v>0.7058823529411765</x:v>
      </x:c>
      <x:c r="N226" s="18" t="n"/>
      <x:c r="O226" s="19" t="inlineStr">
        <x:is>
          <x:t xml:space="preserve">6</x:t>
        </x:is>
      </x:c>
      <x:c r="P226" s="19" t="n">
        <x:v>2</x:v>
      </x:c>
      <x:c r="Q226" s="19" t="n">
        <x:v>6</x:v>
      </x:c>
      <x:c r="R226" s="19" t="n">
        <x:v>3</x:v>
      </x:c>
      <x:c r="S226" s="19" t="n"/>
      <x:c r="T226" s="19" t="n"/>
      <x:c r="U226" s="19" t="n"/>
      <x:c r="V226" s="19" t="n"/>
      <x:c r="W226" s="19" t="n"/>
      <x:c r="X226" s="19" t="n"/>
      <x:c r="Y226" s="20" t="n">
        <x:f>SUM(O226+Q226+S226+U226+W226)</x:f>
        <x:v>12</x:v>
      </x:c>
      <x:c r="Z226" s="20" t="n">
        <x:f>SUM(P226+R226+T226+V226+X226)</x:f>
        <x:v>5</x:v>
      </x:c>
      <x:c r="AA226" s="21" t="n">
        <x:f>Y226/(Y226+Z226)</x:f>
        <x:v>0.7058823529411765</x:v>
      </x:c>
    </x:row>
    <x:row r="227">
      <x:c r="A227" s="22" t="n">
        <x:f>wimbledons_champions!A235</x:f>
        <x:v>1899</x:v>
      </x:c>
      <x:c r="B227" s="25" t="str">
        <x:f>wimbledons_champions!B235</x:f>
        <x:v>Men's</x:v>
      </x:c>
      <x:c r="C227" s="25" t="inlineStr">
        <x:is>
          <x:t xml:space="preserve">R.F. Doherty</x:t>
        </x:is>
      </x:c>
      <x:c r="D227" s="22" t="inlineStr">
        <x:is>
          <x:t xml:space="preserve">GBR</x:t>
        </x:is>
      </x:c>
      <x:c r="E227" s="25" t="inlineStr">
        <x:is>
          <x:t xml:space="preserve">United Kingdom</x:t>
        </x:is>
      </x:c>
      <x:c r="G227" s="22" t="n">
        <x:f>wimbledons_champions!G235</x:f>
        <x:v>0</x:v>
      </x:c>
      <x:c r="H227" s="25" t="str">
        <x:f>wimbledons_champions!H235</x:f>
        <x:v>1-6, 4-6, 6-3, 6-3, 6-3</x:v>
      </x:c>
      <x:c r="I227" s="25" t="inlineStr">
        <x:is>
          <x:t xml:space="preserve">A.W. Gore</x:t>
        </x:is>
      </x:c>
      <x:c r="J227" s="22" t="inlineStr">
        <x:is>
          <x:t xml:space="preserve">GBR</x:t>
        </x:is>
      </x:c>
      <x:c r="K227" s="25" t="inlineStr">
        <x:is>
          <x:t xml:space="preserve">United Kingdom</x:t>
        </x:is>
      </x:c>
      <x:c r="M227" s="18" t="n">
        <x:v>0.5227272727272727</x:v>
      </x:c>
      <x:c r="N227" s="18" t="n"/>
      <x:c r="O227" s="19" t="inlineStr">
        <x:is>
          <x:t xml:space="preserve">1</x:t>
        </x:is>
      </x:c>
      <x:c r="P227" s="19" t="n">
        <x:v>6</x:v>
      </x:c>
      <x:c r="Q227" s="19" t="n">
        <x:v>4</x:v>
      </x:c>
      <x:c r="R227" s="19" t="n">
        <x:v>6</x:v>
      </x:c>
      <x:c r="S227" s="19" t="n">
        <x:v>6</x:v>
      </x:c>
      <x:c r="T227" s="19" t="n">
        <x:v>3</x:v>
      </x:c>
      <x:c r="U227" s="19" t="n">
        <x:v>6</x:v>
      </x:c>
      <x:c r="V227" s="19" t="n">
        <x:v>3</x:v>
      </x:c>
      <x:c r="W227" s="19" t="inlineStr">
        <x:is>
          <x:t xml:space="preserve">6</x:t>
        </x:is>
      </x:c>
      <x:c r="X227" s="19" t="n">
        <x:v>3</x:v>
      </x:c>
      <x:c r="Y227" s="20" t="n">
        <x:f>SUM(O227+Q227+S227+U227+W227)</x:f>
        <x:v>23</x:v>
      </x:c>
      <x:c r="Z227" s="20" t="n">
        <x:f>SUM(P227+R227+T227+V227+X227)</x:f>
        <x:v>21</x:v>
      </x:c>
      <x:c r="AA227" s="21" t="n">
        <x:f>Y227/(Y227+Z227)</x:f>
        <x:v>0.5227272727272727</x:v>
      </x:c>
    </x:row>
    <x:row r="228">
      <x:c r="A228" s="22" t="n">
        <x:f>wimbledons_champions!A236</x:f>
        <x:v>1898</x:v>
      </x:c>
      <x:c r="B228" s="25" t="str">
        <x:f>wimbledons_champions!B236</x:f>
        <x:v>Women's</x:v>
      </x:c>
      <x:c r="C228" s="25" t="inlineStr">
        <x:is>
          <x:t xml:space="preserve">C.R. Cooper</x:t>
        </x:is>
      </x:c>
      <x:c r="D228" s="22" t="inlineStr">
        <x:is>
          <x:t xml:space="preserve">GBR</x:t>
        </x:is>
      </x:c>
      <x:c r="E228" s="25" t="inlineStr">
        <x:is>
          <x:t xml:space="preserve">United Kingdom</x:t>
        </x:is>
      </x:c>
      <x:c r="G228" s="22" t="n">
        <x:f>wimbledons_champions!G236</x:f>
        <x:v>0</x:v>
      </x:c>
      <x:c r="H228" s="25" t="str">
        <x:f>wimbledons_champions!H236</x:f>
        <x:v>6-4, 6-4</x:v>
      </x:c>
      <x:c r="I228" s="25" t="inlineStr">
        <x:is>
          <x:t xml:space="preserve">M.L.Martin</x:t>
        </x:is>
      </x:c>
      <x:c r="J228" s="22" t="inlineStr">
        <x:is>
          <x:t xml:space="preserve">GBR</x:t>
        </x:is>
      </x:c>
      <x:c r="K228" s="25" t="inlineStr">
        <x:is>
          <x:t xml:space="preserve">United Kingdom</x:t>
        </x:is>
      </x:c>
      <x:c r="M228" s="18" t="n">
        <x:v>0.6</x:v>
      </x:c>
      <x:c r="N228" s="18" t="n"/>
      <x:c r="O228" s="19" t="inlineStr">
        <x:is>
          <x:t xml:space="preserve">6</x:t>
        </x:is>
      </x:c>
      <x:c r="P228" s="19" t="n">
        <x:v>4</x:v>
      </x:c>
      <x:c r="Q228" s="19" t="n">
        <x:v>6</x:v>
      </x:c>
      <x:c r="R228" s="19" t="n">
        <x:v>4</x:v>
      </x:c>
      <x:c r="S228" s="19" t="n"/>
      <x:c r="T228" s="19" t="n"/>
      <x:c r="U228" s="19" t="n"/>
      <x:c r="V228" s="19" t="n"/>
      <x:c r="W228" s="19" t="n"/>
      <x:c r="X228" s="19" t="n"/>
      <x:c r="Y228" s="20" t="n">
        <x:f>SUM(O228+Q228+S228+U228+W228)</x:f>
        <x:v>12</x:v>
      </x:c>
      <x:c r="Z228" s="20" t="n">
        <x:f>SUM(P228+R228+T228+V228+X228)</x:f>
        <x:v>8</x:v>
      </x:c>
      <x:c r="AA228" s="21" t="n">
        <x:f>Y228/(Y228+Z228)</x:f>
        <x:v>0.6</x:v>
      </x:c>
    </x:row>
    <x:row r="229">
      <x:c r="A229" s="22" t="n">
        <x:f>wimbledons_champions!A237</x:f>
        <x:v>1898</x:v>
      </x:c>
      <x:c r="B229" s="25" t="str">
        <x:f>wimbledons_champions!B237</x:f>
        <x:v>Men's</x:v>
      </x:c>
      <x:c r="C229" s="25" t="inlineStr">
        <x:is>
          <x:t xml:space="preserve">R.F. Doherty</x:t>
        </x:is>
      </x:c>
      <x:c r="D229" s="22" t="inlineStr">
        <x:is>
          <x:t xml:space="preserve">GBR</x:t>
        </x:is>
      </x:c>
      <x:c r="E229" s="25" t="inlineStr">
        <x:is>
          <x:t xml:space="preserve">United Kingdom</x:t>
        </x:is>
      </x:c>
      <x:c r="G229" s="22" t="n">
        <x:f>wimbledons_champions!G237</x:f>
        <x:v>55</x:v>
      </x:c>
      <x:c r="H229" s="25" t="str">
        <x:f>wimbledons_champions!H237</x:f>
        <x:v>6-3, 6-3, 2-6, 5-7, 6-1</x:v>
      </x:c>
      <x:c r="I229" s="25" t="inlineStr">
        <x:is>
          <x:t xml:space="preserve">H.L. Doherty</x:t>
        </x:is>
      </x:c>
      <x:c r="J229" s="22" t="inlineStr">
        <x:is>
          <x:t xml:space="preserve">GBR</x:t>
        </x:is>
      </x:c>
      <x:c r="K229" s="25" t="inlineStr">
        <x:is>
          <x:t xml:space="preserve">United Kingdom</x:t>
        </x:is>
      </x:c>
      <x:c r="M229" s="18" t="n">
        <x:v>0.5555555555555556</x:v>
      </x:c>
      <x:c r="N229" s="18" t="n"/>
      <x:c r="O229" s="19" t="inlineStr">
        <x:is>
          <x:t xml:space="preserve">6</x:t>
        </x:is>
      </x:c>
      <x:c r="P229" s="19" t="n">
        <x:v>3</x:v>
      </x:c>
      <x:c r="Q229" s="19" t="n">
        <x:v>6</x:v>
      </x:c>
      <x:c r="R229" s="19" t="n">
        <x:v>3</x:v>
      </x:c>
      <x:c r="S229" s="19" t="n">
        <x:v>2</x:v>
      </x:c>
      <x:c r="T229" s="19" t="n">
        <x:v>6</x:v>
      </x:c>
      <x:c r="U229" s="19" t="n">
        <x:v>5</x:v>
      </x:c>
      <x:c r="V229" s="19" t="n">
        <x:v>7</x:v>
      </x:c>
      <x:c r="W229" s="19" t="inlineStr">
        <x:is>
          <x:t xml:space="preserve">6</x:t>
        </x:is>
      </x:c>
      <x:c r="X229" s="19" t="n">
        <x:v>1</x:v>
      </x:c>
      <x:c r="Y229" s="20" t="n">
        <x:f>SUM(O229+Q229+S229+U229+W229)</x:f>
        <x:v>25</x:v>
      </x:c>
      <x:c r="Z229" s="20" t="n">
        <x:f>SUM(P229+R229+T229+V229+X229)</x:f>
        <x:v>20</x:v>
      </x:c>
      <x:c r="AA229" s="21" t="n">
        <x:f>Y229/(Y229+Z229)</x:f>
        <x:v>0.5555555555555556</x:v>
      </x:c>
    </x:row>
    <x:row r="230">
      <x:c r="A230" s="22" t="n">
        <x:f>wimbledons_champions!A238</x:f>
        <x:v>1897</x:v>
      </x:c>
      <x:c r="B230" s="25" t="str">
        <x:f>wimbledons_champions!B238</x:f>
        <x:v>Women's</x:v>
      </x:c>
      <x:c r="C230" s="25" t="inlineStr">
        <x:is>
          <x:t xml:space="preserve">G.W. Hillyard</x:t>
        </x:is>
      </x:c>
      <x:c r="D230" s="22" t="inlineStr">
        <x:is>
          <x:t xml:space="preserve">GBR</x:t>
        </x:is>
      </x:c>
      <x:c r="E230" s="25" t="inlineStr">
        <x:is>
          <x:t xml:space="preserve">United Kingdom</x:t>
        </x:is>
      </x:c>
      <x:c r="G230" s="22" t="n">
        <x:f>wimbledons_champions!G238</x:f>
        <x:v>0</x:v>
      </x:c>
      <x:c r="H230" s="25" t="str">
        <x:f>wimbledons_champions!H238</x:f>
        <x:v>5-7, 7-5, 6-2</x:v>
      </x:c>
      <x:c r="I230" s="25" t="inlineStr">
        <x:is>
          <x:t xml:space="preserve">C.R. Cooper</x:t>
        </x:is>
      </x:c>
      <x:c r="J230" s="22" t="inlineStr">
        <x:is>
          <x:t xml:space="preserve">GBR</x:t>
        </x:is>
      </x:c>
      <x:c r="K230" s="25" t="inlineStr">
        <x:is>
          <x:t xml:space="preserve">United Kingdom</x:t>
        </x:is>
      </x:c>
      <x:c r="M230" s="18" t="n">
        <x:v>0.5625</x:v>
      </x:c>
      <x:c r="N230" s="18" t="n"/>
      <x:c r="O230" s="19" t="inlineStr">
        <x:is>
          <x:t xml:space="preserve">5</x:t>
        </x:is>
      </x:c>
      <x:c r="P230" s="19" t="n">
        <x:v>7</x:v>
      </x:c>
      <x:c r="Q230" s="19" t="n">
        <x:v>7</x:v>
      </x:c>
      <x:c r="R230" s="19" t="n">
        <x:v>5</x:v>
      </x:c>
      <x:c r="S230" s="19" t="n">
        <x:v>6</x:v>
      </x:c>
      <x:c r="T230" s="19" t="n">
        <x:v>2</x:v>
      </x:c>
      <x:c r="U230" s="19" t="n"/>
      <x:c r="V230" s="19" t="n"/>
      <x:c r="W230" s="19" t="n"/>
      <x:c r="X230" s="19" t="n"/>
      <x:c r="Y230" s="20" t="n">
        <x:f>SUM(O230+Q230+S230+U230+W230)</x:f>
        <x:v>18</x:v>
      </x:c>
      <x:c r="Z230" s="20" t="n">
        <x:f>SUM(P230+R230+T230+V230+X230)</x:f>
        <x:v>14</x:v>
      </x:c>
      <x:c r="AA230" s="21" t="n">
        <x:f>Y230/(Y230+Z230)</x:f>
        <x:v>0.5625</x:v>
      </x:c>
    </x:row>
    <x:row r="231">
      <x:c r="A231" s="22" t="n">
        <x:f>wimbledons_champions!A239</x:f>
        <x:v>1897</x:v>
      </x:c>
      <x:c r="B231" s="25" t="str">
        <x:f>wimbledons_champions!B239</x:f>
        <x:v>Men's</x:v>
      </x:c>
      <x:c r="C231" s="25" t="inlineStr">
        <x:is>
          <x:t xml:space="preserve">R.F. Doherty</x:t>
        </x:is>
      </x:c>
      <x:c r="D231" s="22" t="inlineStr">
        <x:is>
          <x:t xml:space="preserve">GBR</x:t>
        </x:is>
      </x:c>
      <x:c r="E231" s="25" t="inlineStr">
        <x:is>
          <x:t xml:space="preserve">United Kingdom</x:t>
        </x:is>
      </x:c>
      <x:c r="G231" s="22" t="n">
        <x:f>wimbledons_champions!G239</x:f>
        <x:v>67</x:v>
      </x:c>
      <x:c r="H231" s="25" t="str">
        <x:f>wimbledons_champions!H239</x:f>
        <x:v>6-4, 6-4, 6-3</x:v>
      </x:c>
      <x:c r="I231" s="25" t="inlineStr">
        <x:is>
          <x:t xml:space="preserve">H.S. Mahony</x:t>
        </x:is>
      </x:c>
      <x:c r="J231" s="22" t="inlineStr">
        <x:is>
          <x:t xml:space="preserve">GBR</x:t>
        </x:is>
      </x:c>
      <x:c r="K231" s="25" t="inlineStr">
        <x:is>
          <x:t xml:space="preserve">United Kingdom</x:t>
        </x:is>
      </x:c>
      <x:c r="M231" s="18" t="n">
        <x:v>0.6206896551724138</x:v>
      </x:c>
      <x:c r="N231" s="18" t="n"/>
      <x:c r="O231" s="19" t="inlineStr">
        <x:is>
          <x:t xml:space="preserve">6</x:t>
        </x:is>
      </x:c>
      <x:c r="P231" s="19" t="n">
        <x:v>4</x:v>
      </x:c>
      <x:c r="Q231" s="19" t="n">
        <x:v>6</x:v>
      </x:c>
      <x:c r="R231" s="19" t="n">
        <x:v>4</x:v>
      </x:c>
      <x:c r="S231" s="19" t="n">
        <x:v>6</x:v>
      </x:c>
      <x:c r="T231" s="19" t="n">
        <x:v>3</x:v>
      </x:c>
      <x:c r="U231" s="19" t="n"/>
      <x:c r="V231" s="19" t="n"/>
      <x:c r="W231" s="19" t="n"/>
      <x:c r="X231" s="19" t="n"/>
      <x:c r="Y231" s="20" t="n">
        <x:f>SUM(O231+Q231+S231+U231+W231)</x:f>
        <x:v>18</x:v>
      </x:c>
      <x:c r="Z231" s="20" t="n">
        <x:f>SUM(P231+R231+T231+V231+X231)</x:f>
        <x:v>11</x:v>
      </x:c>
      <x:c r="AA231" s="21" t="n">
        <x:f>Y231/(Y231+Z231)</x:f>
        <x:v>0.6206896551724138</x:v>
      </x:c>
    </x:row>
    <x:row r="232">
      <x:c r="A232" s="22" t="n">
        <x:f>wimbledons_champions!A240</x:f>
        <x:v>1896</x:v>
      </x:c>
      <x:c r="B232" s="25" t="str">
        <x:f>wimbledons_champions!B240</x:f>
        <x:v>Women's</x:v>
      </x:c>
      <x:c r="C232" s="25" t="inlineStr">
        <x:is>
          <x:t xml:space="preserve">C.R. Cooper</x:t>
        </x:is>
      </x:c>
      <x:c r="D232" s="22" t="inlineStr">
        <x:is>
          <x:t xml:space="preserve">GBR</x:t>
        </x:is>
      </x:c>
      <x:c r="E232" s="25" t="inlineStr">
        <x:is>
          <x:t xml:space="preserve">United Kingdom</x:t>
        </x:is>
      </x:c>
      <x:c r="G232" s="22" t="n">
        <x:f>wimbledons_champions!G240</x:f>
        <x:v>0</x:v>
      </x:c>
      <x:c r="H232" s="25" t="str">
        <x:f>wimbledons_champions!H240</x:f>
        <x:v>6-2, 6-3</x:v>
      </x:c>
      <x:c r="I232" s="25" t="inlineStr">
        <x:is>
          <x:t xml:space="preserve">W.H. Pickering</x:t>
        </x:is>
      </x:c>
      <x:c r="J232" s="22" t="inlineStr">
        <x:is>
          <x:t xml:space="preserve">GBR</x:t>
        </x:is>
      </x:c>
      <x:c r="K232" s="25" t="inlineStr">
        <x:is>
          <x:t xml:space="preserve">United Kingdom</x:t>
        </x:is>
      </x:c>
      <x:c r="M232" s="18" t="n">
        <x:v>0.7058823529411765</x:v>
      </x:c>
      <x:c r="N232" s="18" t="n"/>
      <x:c r="O232" s="19" t="inlineStr">
        <x:is>
          <x:t xml:space="preserve">6</x:t>
        </x:is>
      </x:c>
      <x:c r="P232" s="19" t="n">
        <x:v>2</x:v>
      </x:c>
      <x:c r="Q232" s="19" t="n">
        <x:v>6</x:v>
      </x:c>
      <x:c r="R232" s="19" t="n">
        <x:v>3</x:v>
      </x:c>
      <x:c r="S232" s="19" t="n"/>
      <x:c r="T232" s="19" t="n"/>
      <x:c r="U232" s="19" t="n"/>
      <x:c r="V232" s="19" t="n"/>
      <x:c r="W232" s="19" t="n"/>
      <x:c r="X232" s="19" t="n"/>
      <x:c r="Y232" s="20" t="n">
        <x:f>SUM(O232+Q232+S232+U232+W232)</x:f>
        <x:v>12</x:v>
      </x:c>
      <x:c r="Z232" s="20" t="n">
        <x:f>SUM(P232+R232+T232+V232+X232)</x:f>
        <x:v>5</x:v>
      </x:c>
      <x:c r="AA232" s="21" t="n">
        <x:f>Y232/(Y232+Z232)</x:f>
        <x:v>0.7058823529411765</x:v>
      </x:c>
    </x:row>
    <x:row r="233">
      <x:c r="A233" s="22" t="n">
        <x:f>wimbledons_champions!A241</x:f>
        <x:v>1896</x:v>
      </x:c>
      <x:c r="B233" s="25" t="str">
        <x:f>wimbledons_champions!B241</x:f>
        <x:v>Men's</x:v>
      </x:c>
      <x:c r="C233" s="25" t="inlineStr">
        <x:is>
          <x:t xml:space="preserve">H.S. Mahony</x:t>
        </x:is>
      </x:c>
      <x:c r="D233" s="22" t="inlineStr">
        <x:is>
          <x:t xml:space="preserve">GBR</x:t>
        </x:is>
      </x:c>
      <x:c r="E233" s="25" t="inlineStr">
        <x:is>
          <x:t xml:space="preserve">United Kingdom</x:t>
        </x:is>
      </x:c>
      <x:c r="G233" s="22" t="n">
        <x:f>wimbledons_champions!G241</x:f>
        <x:v>120</x:v>
      </x:c>
      <x:c r="H233" s="25" t="str">
        <x:f>wimbledons_champions!H241</x:f>
        <x:v>6-2, 6-8, 5-7, 8-6, 6-3</x:v>
      </x:c>
      <x:c r="I233" s="25" t="inlineStr">
        <x:is>
          <x:t xml:space="preserve">W. Baddeley</x:t>
        </x:is>
      </x:c>
      <x:c r="J233" s="22" t="inlineStr">
        <x:is>
          <x:t xml:space="preserve">GBR</x:t>
        </x:is>
      </x:c>
      <x:c r="K233" s="25" t="inlineStr">
        <x:is>
          <x:t xml:space="preserve">United Kingdom</x:t>
        </x:is>
      </x:c>
      <x:c r="M233" s="18" t="n">
        <x:v>0.543859649122807</x:v>
      </x:c>
      <x:c r="N233" s="18" t="n"/>
      <x:c r="O233" s="19" t="inlineStr">
        <x:is>
          <x:t xml:space="preserve">6</x:t>
        </x:is>
      </x:c>
      <x:c r="P233" s="19" t="n">
        <x:v>2</x:v>
      </x:c>
      <x:c r="Q233" s="19" t="n">
        <x:v>6</x:v>
      </x:c>
      <x:c r="R233" s="19" t="n">
        <x:v>8</x:v>
      </x:c>
      <x:c r="S233" s="19" t="n">
        <x:v>5</x:v>
      </x:c>
      <x:c r="T233" s="19" t="n">
        <x:v>7</x:v>
      </x:c>
      <x:c r="U233" s="19" t="n">
        <x:v>8</x:v>
      </x:c>
      <x:c r="V233" s="19" t="n">
        <x:v>6</x:v>
      </x:c>
      <x:c r="W233" s="19" t="inlineStr">
        <x:is>
          <x:t xml:space="preserve">6</x:t>
        </x:is>
      </x:c>
      <x:c r="X233" s="19" t="n">
        <x:v>3</x:v>
      </x:c>
      <x:c r="Y233" s="20" t="n">
        <x:f>SUM(O233+Q233+S233+U233+W233)</x:f>
        <x:v>31</x:v>
      </x:c>
      <x:c r="Z233" s="20" t="n">
        <x:f>SUM(P233+R233+T233+V233+X233)</x:f>
        <x:v>26</x:v>
      </x:c>
      <x:c r="AA233" s="21" t="n">
        <x:f>Y233/(Y233+Z233)</x:f>
        <x:v>0.543859649122807</x:v>
      </x:c>
    </x:row>
    <x:row r="234">
      <x:c r="A234" s="22" t="n">
        <x:f>wimbledons_champions!A242</x:f>
        <x:v>1895</x:v>
      </x:c>
      <x:c r="B234" s="25" t="str">
        <x:f>wimbledons_champions!B242</x:f>
        <x:v>Women's</x:v>
      </x:c>
      <x:c r="C234" s="25" t="inlineStr">
        <x:is>
          <x:t xml:space="preserve">C.R. Cooper</x:t>
        </x:is>
      </x:c>
      <x:c r="D234" s="22" t="inlineStr">
        <x:is>
          <x:t xml:space="preserve">GBR</x:t>
        </x:is>
      </x:c>
      <x:c r="E234" s="25" t="inlineStr">
        <x:is>
          <x:t xml:space="preserve">United Kingdom</x:t>
        </x:is>
      </x:c>
      <x:c r="G234" s="22" t="n">
        <x:f>wimbledons_champions!G242</x:f>
        <x:v>0</x:v>
      </x:c>
      <x:c r="H234" s="25" t="str">
        <x:f>wimbledons_champions!H242</x:f>
        <x:v>7-5, 8-6</x:v>
      </x:c>
      <x:c r="I234" s="25" t="inlineStr">
        <x:is>
          <x:t xml:space="preserve">H. Jackson</x:t>
        </x:is>
      </x:c>
      <x:c r="J234" s="22" t="inlineStr">
        <x:is>
          <x:t xml:space="preserve">GBR</x:t>
        </x:is>
      </x:c>
      <x:c r="K234" s="25" t="inlineStr">
        <x:is>
          <x:t xml:space="preserve">United Kingdom</x:t>
        </x:is>
      </x:c>
      <x:c r="M234" s="18" t="n">
        <x:v>0.5769230769230769</x:v>
      </x:c>
      <x:c r="N234" s="18" t="n"/>
      <x:c r="O234" s="19" t="inlineStr">
        <x:is>
          <x:t xml:space="preserve">7</x:t>
        </x:is>
      </x:c>
      <x:c r="P234" s="19" t="n">
        <x:v>5</x:v>
      </x:c>
      <x:c r="Q234" s="19" t="n">
        <x:v>8</x:v>
      </x:c>
      <x:c r="R234" s="19" t="n">
        <x:v>6</x:v>
      </x:c>
      <x:c r="S234" s="19" t="n"/>
      <x:c r="T234" s="19" t="n"/>
      <x:c r="U234" s="19" t="n"/>
      <x:c r="V234" s="19" t="n"/>
      <x:c r="W234" s="19" t="n"/>
      <x:c r="X234" s="19" t="n"/>
      <x:c r="Y234" s="20" t="n">
        <x:f>SUM(O234+Q234+S234+U234+W234)</x:f>
        <x:v>15</x:v>
      </x:c>
      <x:c r="Z234" s="20" t="n">
        <x:f>SUM(P234+R234+T234+V234+X234)</x:f>
        <x:v>11</x:v>
      </x:c>
      <x:c r="AA234" s="21" t="n">
        <x:f>Y234/(Y234+Z234)</x:f>
        <x:v>0.5769230769230769</x:v>
      </x:c>
    </x:row>
    <x:row r="235">
      <x:c r="A235" s="22" t="n">
        <x:f>wimbledons_champions!A243</x:f>
        <x:v>1895</x:v>
      </x:c>
      <x:c r="B235" s="25" t="str">
        <x:f>wimbledons_champions!B243</x:f>
        <x:v>Men's</x:v>
      </x:c>
      <x:c r="C235" s="25" t="inlineStr">
        <x:is>
          <x:t xml:space="preserve">W. Baddeley</x:t>
        </x:is>
      </x:c>
      <x:c r="D235" s="22" t="inlineStr">
        <x:is>
          <x:t xml:space="preserve">GBR</x:t>
        </x:is>
      </x:c>
      <x:c r="E235" s="25" t="inlineStr">
        <x:is>
          <x:t xml:space="preserve">United Kingdom</x:t>
        </x:is>
      </x:c>
      <x:c r="G235" s="22" t="n">
        <x:f>wimbledons_champions!G243</x:f>
        <x:v>95</x:v>
      </x:c>
      <x:c r="H235" s="25" t="str">
        <x:f>wimbledons_champions!H243</x:f>
        <x:v>4-6, 2-6, 8-6, 6-2, 6-3</x:v>
      </x:c>
      <x:c r="I235" s="25" t="inlineStr">
        <x:is>
          <x:t xml:space="preserve">W.V. Eaves</x:t>
        </x:is>
      </x:c>
      <x:c r="J235" s="22" t="inlineStr">
        <x:is>
          <x:t xml:space="preserve">GBR</x:t>
        </x:is>
      </x:c>
      <x:c r="K235" s="25" t="inlineStr">
        <x:is>
          <x:t xml:space="preserve">United Kingdom</x:t>
        </x:is>
      </x:c>
      <x:c r="M235" s="18" t="n">
        <x:v>0.5306122448979592</x:v>
      </x:c>
      <x:c r="N235" s="18" t="n"/>
      <x:c r="O235" s="19" t="inlineStr">
        <x:is>
          <x:t xml:space="preserve">4</x:t>
        </x:is>
      </x:c>
      <x:c r="P235" s="19" t="n">
        <x:v>6</x:v>
      </x:c>
      <x:c r="Q235" s="19" t="n">
        <x:v>2</x:v>
      </x:c>
      <x:c r="R235" s="19" t="n">
        <x:v>6</x:v>
      </x:c>
      <x:c r="S235" s="19" t="n">
        <x:v>8</x:v>
      </x:c>
      <x:c r="T235" s="19" t="n">
        <x:v>6</x:v>
      </x:c>
      <x:c r="U235" s="19" t="n">
        <x:v>6</x:v>
      </x:c>
      <x:c r="V235" s="19" t="n">
        <x:v>2</x:v>
      </x:c>
      <x:c r="W235" s="19" t="inlineStr">
        <x:is>
          <x:t xml:space="preserve">6</x:t>
        </x:is>
      </x:c>
      <x:c r="X235" s="19" t="n">
        <x:v>3</x:v>
      </x:c>
      <x:c r="Y235" s="20" t="n">
        <x:f>SUM(O235+Q235+S235+U235+W235)</x:f>
        <x:v>26</x:v>
      </x:c>
      <x:c r="Z235" s="20" t="n">
        <x:f>SUM(P235+R235+T235+V235+X235)</x:f>
        <x:v>23</x:v>
      </x:c>
      <x:c r="AA235" s="21" t="n">
        <x:f>Y235/(Y235+Z235)</x:f>
        <x:v>0.5306122448979592</x:v>
      </x:c>
    </x:row>
    <x:row r="236">
      <x:c r="A236" s="22" t="n">
        <x:f>wimbledons_champions!A244</x:f>
        <x:v>1894</x:v>
      </x:c>
      <x:c r="B236" s="25" t="str">
        <x:f>wimbledons_champions!B244</x:f>
        <x:v>Women's</x:v>
      </x:c>
      <x:c r="C236" s="25" t="inlineStr">
        <x:is>
          <x:t xml:space="preserve">G.W. Hillyard</x:t>
        </x:is>
      </x:c>
      <x:c r="D236" s="22" t="inlineStr">
        <x:is>
          <x:t xml:space="preserve">GBR</x:t>
        </x:is>
      </x:c>
      <x:c r="E236" s="25" t="inlineStr">
        <x:is>
          <x:t xml:space="preserve">United Kingdom</x:t>
        </x:is>
      </x:c>
      <x:c r="G236" s="22" t="n">
        <x:f>wimbledons_champions!G244</x:f>
        <x:v>0</x:v>
      </x:c>
      <x:c r="H236" s="25" t="str">
        <x:f>wimbledons_champions!H244</x:f>
        <x:v>6-1, 6-1</x:v>
      </x:c>
      <x:c r="I236" s="25" t="inlineStr">
        <x:is>
          <x:t xml:space="preserve">E.L. Austin</x:t>
        </x:is>
      </x:c>
      <x:c r="J236" s="22" t="inlineStr">
        <x:is>
          <x:t xml:space="preserve">GBR</x:t>
        </x:is>
      </x:c>
      <x:c r="K236" s="25" t="inlineStr">
        <x:is>
          <x:t xml:space="preserve">United Kingdom</x:t>
        </x:is>
      </x:c>
      <x:c r="M236" s="18" t="n">
        <x:v>0.8571428571428571</x:v>
      </x:c>
      <x:c r="N236" s="18" t="n"/>
      <x:c r="O236" s="19" t="inlineStr">
        <x:is>
          <x:t xml:space="preserve">6</x:t>
        </x:is>
      </x:c>
      <x:c r="P236" s="19" t="n">
        <x:v>1</x:v>
      </x:c>
      <x:c r="Q236" s="19" t="n">
        <x:v>6</x:v>
      </x:c>
      <x:c r="R236" s="19" t="n">
        <x:v>1</x:v>
      </x:c>
      <x:c r="S236" s="19" t="n"/>
      <x:c r="T236" s="19" t="n"/>
      <x:c r="U236" s="19" t="n"/>
      <x:c r="V236" s="19" t="n"/>
      <x:c r="W236" s="19" t="n"/>
      <x:c r="X236" s="19" t="n"/>
      <x:c r="Y236" s="20" t="n">
        <x:f>SUM(O236+Q236+S236+U236+W236)</x:f>
        <x:v>12</x:v>
      </x:c>
      <x:c r="Z236" s="20" t="n">
        <x:f>SUM(P236+R236+T236+V236+X236)</x:f>
        <x:v>2</x:v>
      </x:c>
      <x:c r="AA236" s="21" t="n">
        <x:f>Y236/(Y236+Z236)</x:f>
        <x:v>0.8571428571428571</x:v>
      </x:c>
    </x:row>
    <x:row r="237">
      <x:c r="A237" s="22" t="n">
        <x:f>wimbledons_champions!A245</x:f>
        <x:v>1894</x:v>
      </x:c>
      <x:c r="B237" s="25" t="str">
        <x:f>wimbledons_champions!B245</x:f>
        <x:v>Men's</x:v>
      </x:c>
      <x:c r="C237" s="25" t="inlineStr">
        <x:is>
          <x:t xml:space="preserve">J. Pim</x:t>
        </x:is>
      </x:c>
      <x:c r="D237" s="22" t="inlineStr">
        <x:is>
          <x:t xml:space="preserve">GBR</x:t>
        </x:is>
      </x:c>
      <x:c r="E237" s="25" t="inlineStr">
        <x:is>
          <x:t xml:space="preserve">United Kingdom</x:t>
        </x:is>
      </x:c>
      <x:c r="G237" s="22" t="n">
        <x:f>wimbledons_champions!G245</x:f>
        <x:v>117</x:v>
      </x:c>
      <x:c r="H237" s="25" t="str">
        <x:f>wimbledons_champions!H245</x:f>
        <x:v>10-8, 6-2, 8-6</x:v>
      </x:c>
      <x:c r="I237" s="25" t="inlineStr">
        <x:is>
          <x:t xml:space="preserve">W. Baddeley</x:t>
        </x:is>
      </x:c>
      <x:c r="J237" s="22" t="inlineStr">
        <x:is>
          <x:t xml:space="preserve">GBR</x:t>
        </x:is>
      </x:c>
      <x:c r="K237" s="25" t="inlineStr">
        <x:is>
          <x:t xml:space="preserve">United Kingdom</x:t>
        </x:is>
      </x:c>
      <x:c r="M237" s="18" t="n">
        <x:v>0.6</x:v>
      </x:c>
      <x:c r="N237" s="18" t="n"/>
      <x:c r="O237" s="19" t="inlineStr">
        <x:is>
          <x:t xml:space="preserve">10</x:t>
        </x:is>
      </x:c>
      <x:c r="P237" s="19" t="n">
        <x:v>8</x:v>
      </x:c>
      <x:c r="Q237" s="19" t="n">
        <x:v>6</x:v>
      </x:c>
      <x:c r="R237" s="19" t="n">
        <x:v>2</x:v>
      </x:c>
      <x:c r="S237" s="19" t="n">
        <x:v>8</x:v>
      </x:c>
      <x:c r="T237" s="19" t="n">
        <x:v>6</x:v>
      </x:c>
      <x:c r="U237" s="19" t="n"/>
      <x:c r="V237" s="19" t="n"/>
      <x:c r="W237" s="19" t="n"/>
      <x:c r="X237" s="19" t="n"/>
      <x:c r="Y237" s="20" t="n">
        <x:f>SUM(O237+Q237+S237+U237+W237)</x:f>
        <x:v>24</x:v>
      </x:c>
      <x:c r="Z237" s="20" t="n">
        <x:f>SUM(P237+R237+T237+V237+X237)</x:f>
        <x:v>16</x:v>
      </x:c>
      <x:c r="AA237" s="21" t="n">
        <x:f>Y237/(Y237+Z237)</x:f>
        <x:v>0.6</x:v>
      </x:c>
    </x:row>
    <x:row r="238">
      <x:c r="A238" s="22" t="n">
        <x:f>wimbledons_champions!A246</x:f>
        <x:v>1893</x:v>
      </x:c>
      <x:c r="B238" s="25" t="str">
        <x:f>wimbledons_champions!B246</x:f>
        <x:v>Women's</x:v>
      </x:c>
      <x:c r="C238" s="25" t="inlineStr">
        <x:is>
          <x:t xml:space="preserve">C. Dod</x:t>
        </x:is>
      </x:c>
      <x:c r="D238" s="22" t="inlineStr">
        <x:is>
          <x:t xml:space="preserve">GBR</x:t>
        </x:is>
      </x:c>
      <x:c r="E238" s="25" t="inlineStr">
        <x:is>
          <x:t xml:space="preserve">United Kingdom</x:t>
        </x:is>
      </x:c>
      <x:c r="G238" s="22" t="n">
        <x:f>wimbledons_champions!G246</x:f>
        <x:v>0</x:v>
      </x:c>
      <x:c r="H238" s="25" t="str">
        <x:f>wimbledons_champions!H246</x:f>
        <x:v>6-8, 6-1, 6-4</x:v>
      </x:c>
      <x:c r="I238" s="25" t="inlineStr">
        <x:is>
          <x:t xml:space="preserve">G.W. Hillyard</x:t>
        </x:is>
      </x:c>
      <x:c r="J238" s="22" t="inlineStr">
        <x:is>
          <x:t xml:space="preserve">GBR</x:t>
        </x:is>
      </x:c>
      <x:c r="K238" s="25" t="inlineStr">
        <x:is>
          <x:t xml:space="preserve">United Kingdom</x:t>
        </x:is>
      </x:c>
      <x:c r="M238" s="18" t="n">
        <x:v>0.5806451612903226</x:v>
      </x:c>
      <x:c r="N238" s="18" t="n"/>
      <x:c r="O238" s="19" t="inlineStr">
        <x:is>
          <x:t xml:space="preserve">6</x:t>
        </x:is>
      </x:c>
      <x:c r="P238" s="19" t="n">
        <x:v>8</x:v>
      </x:c>
      <x:c r="Q238" s="19" t="n">
        <x:v>6</x:v>
      </x:c>
      <x:c r="R238" s="19" t="n">
        <x:v>1</x:v>
      </x:c>
      <x:c r="S238" s="19" t="n">
        <x:v>6</x:v>
      </x:c>
      <x:c r="T238" s="19" t="n">
        <x:v>4</x:v>
      </x:c>
      <x:c r="U238" s="19" t="n"/>
      <x:c r="V238" s="19" t="n"/>
      <x:c r="W238" s="19" t="n"/>
      <x:c r="X238" s="19" t="n"/>
      <x:c r="Y238" s="20" t="n">
        <x:f>SUM(O238+Q238+S238+U238+W238)</x:f>
        <x:v>18</x:v>
      </x:c>
      <x:c r="Z238" s="20" t="n">
        <x:f>SUM(P238+R238+T238+V238+X238)</x:f>
        <x:v>13</x:v>
      </x:c>
      <x:c r="AA238" s="21" t="n">
        <x:f>Y238/(Y238+Z238)</x:f>
        <x:v>0.5806451612903226</x:v>
      </x:c>
    </x:row>
    <x:row r="239">
      <x:c r="A239" s="22" t="n">
        <x:f>wimbledons_champions!A247</x:f>
        <x:v>1893</x:v>
      </x:c>
      <x:c r="B239" s="25" t="str">
        <x:f>wimbledons_champions!B247</x:f>
        <x:v>Men's</x:v>
      </x:c>
      <x:c r="C239" s="25" t="inlineStr">
        <x:is>
          <x:t xml:space="preserve">J. Pim</x:t>
        </x:is>
      </x:c>
      <x:c r="D239" s="22" t="inlineStr">
        <x:is>
          <x:t xml:space="preserve">GBR</x:t>
        </x:is>
      </x:c>
      <x:c r="E239" s="25" t="inlineStr">
        <x:is>
          <x:t xml:space="preserve">United Kingdom</x:t>
        </x:is>
      </x:c>
      <x:c r="G239" s="22" t="n">
        <x:f>wimbledons_champions!G247</x:f>
        <x:v>65</x:v>
      </x:c>
      <x:c r="H239" s="25" t="str">
        <x:f>wimbledons_champions!H247</x:f>
        <x:v>3-6, 6-1, 6-3, 6-2</x:v>
      </x:c>
      <x:c r="I239" s="25" t="inlineStr">
        <x:is>
          <x:t xml:space="preserve">W. Baddeley</x:t>
        </x:is>
      </x:c>
      <x:c r="J239" s="22" t="inlineStr">
        <x:is>
          <x:t xml:space="preserve">GBR</x:t>
        </x:is>
      </x:c>
      <x:c r="K239" s="25" t="inlineStr">
        <x:is>
          <x:t xml:space="preserve">United Kingdom</x:t>
        </x:is>
      </x:c>
      <x:c r="M239" s="18" t="n">
        <x:v>0.6363636363636364</x:v>
      </x:c>
      <x:c r="N239" s="18" t="n"/>
      <x:c r="O239" s="19" t="inlineStr">
        <x:is>
          <x:t xml:space="preserve">3</x:t>
        </x:is>
      </x:c>
      <x:c r="P239" s="19" t="n">
        <x:v>6</x:v>
      </x:c>
      <x:c r="Q239" s="19" t="n">
        <x:v>6</x:v>
      </x:c>
      <x:c r="R239" s="19" t="n">
        <x:v>1</x:v>
      </x:c>
      <x:c r="S239" s="19" t="n">
        <x:v>6</x:v>
      </x:c>
      <x:c r="T239" s="19" t="n">
        <x:v>3</x:v>
      </x:c>
      <x:c r="U239" s="19" t="n">
        <x:v>6</x:v>
      </x:c>
      <x:c r="V239" s="19" t="n">
        <x:v>2</x:v>
      </x:c>
      <x:c r="W239" s="19" t="n"/>
      <x:c r="X239" s="19" t="n"/>
      <x:c r="Y239" s="20" t="n">
        <x:f>SUM(O239+Q239+S239+U239+W239)</x:f>
        <x:v>21</x:v>
      </x:c>
      <x:c r="Z239" s="20" t="n">
        <x:f>SUM(P239+R239+T239+V239+X239)</x:f>
        <x:v>12</x:v>
      </x:c>
      <x:c r="AA239" s="21" t="n">
        <x:f>Y239/(Y239+Z239)</x:f>
        <x:v>0.6363636363636364</x:v>
      </x:c>
    </x:row>
    <x:row r="240">
      <x:c r="A240" s="22" t="n">
        <x:f>wimbledons_champions!A248</x:f>
        <x:v>1892</x:v>
      </x:c>
      <x:c r="B240" s="25" t="str">
        <x:f>wimbledons_champions!B248</x:f>
        <x:v>Women's</x:v>
      </x:c>
      <x:c r="C240" s="25" t="inlineStr">
        <x:is>
          <x:t xml:space="preserve">C. Dod</x:t>
        </x:is>
      </x:c>
      <x:c r="D240" s="22" t="inlineStr">
        <x:is>
          <x:t xml:space="preserve">GBR</x:t>
        </x:is>
      </x:c>
      <x:c r="E240" s="25" t="inlineStr">
        <x:is>
          <x:t xml:space="preserve">United Kingdom</x:t>
        </x:is>
      </x:c>
      <x:c r="G240" s="22" t="n">
        <x:f>wimbledons_champions!G248</x:f>
        <x:v>0</x:v>
      </x:c>
      <x:c r="H240" s="25" t="str">
        <x:f>wimbledons_champions!H248</x:f>
        <x:v>6-1, 6-1</x:v>
      </x:c>
      <x:c r="I240" s="25" t="inlineStr">
        <x:is>
          <x:t xml:space="preserve">G.W. Hillyard</x:t>
        </x:is>
      </x:c>
      <x:c r="J240" s="22" t="inlineStr">
        <x:is>
          <x:t xml:space="preserve">GBR</x:t>
        </x:is>
      </x:c>
      <x:c r="K240" s="25" t="inlineStr">
        <x:is>
          <x:t xml:space="preserve">United Kingdom</x:t>
        </x:is>
      </x:c>
      <x:c r="M240" s="18" t="n">
        <x:v>0.8571428571428571</x:v>
      </x:c>
      <x:c r="N240" s="18" t="n"/>
      <x:c r="O240" s="19" t="inlineStr">
        <x:is>
          <x:t xml:space="preserve">6</x:t>
        </x:is>
      </x:c>
      <x:c r="P240" s="19" t="n">
        <x:v>1</x:v>
      </x:c>
      <x:c r="Q240" s="19" t="n">
        <x:v>6</x:v>
      </x:c>
      <x:c r="R240" s="19" t="n">
        <x:v>1</x:v>
      </x:c>
      <x:c r="S240" s="19" t="n"/>
      <x:c r="T240" s="19" t="n"/>
      <x:c r="U240" s="19" t="n"/>
      <x:c r="V240" s="19" t="n"/>
      <x:c r="W240" s="19" t="n"/>
      <x:c r="X240" s="19" t="n"/>
      <x:c r="Y240" s="20" t="n">
        <x:f>SUM(O240+Q240+S240+U240+W240)</x:f>
        <x:v>12</x:v>
      </x:c>
      <x:c r="Z240" s="20" t="n">
        <x:f>SUM(P240+R240+T240+V240+X240)</x:f>
        <x:v>2</x:v>
      </x:c>
      <x:c r="AA240" s="21" t="n">
        <x:f>Y240/(Y240+Z240)</x:f>
        <x:v>0.8571428571428571</x:v>
      </x:c>
    </x:row>
    <x:row r="241">
      <x:c r="A241" s="22" t="n">
        <x:f>wimbledons_champions!A249</x:f>
        <x:v>1892</x:v>
      </x:c>
      <x:c r="B241" s="25" t="str">
        <x:f>wimbledons_champions!B249</x:f>
        <x:v>Men's</x:v>
      </x:c>
      <x:c r="C241" s="25" t="inlineStr">
        <x:is>
          <x:t xml:space="preserve">W. Baddeley</x:t>
        </x:is>
      </x:c>
      <x:c r="D241" s="22" t="inlineStr">
        <x:is>
          <x:t xml:space="preserve">GBR</x:t>
        </x:is>
      </x:c>
      <x:c r="E241" s="25" t="inlineStr">
        <x:is>
          <x:t xml:space="preserve">United Kingdom</x:t>
        </x:is>
      </x:c>
      <x:c r="G241" s="22" t="n">
        <x:f>wimbledons_champions!G249</x:f>
        <x:v>75</x:v>
      </x:c>
      <x:c r="H241" s="25" t="str">
        <x:f>wimbledons_champions!H249</x:f>
        <x:v>4-6, 6-3, 6-3, 6-2</x:v>
      </x:c>
      <x:c r="I241" s="25" t="inlineStr">
        <x:is>
          <x:t xml:space="preserve">J. Pim</x:t>
        </x:is>
      </x:c>
      <x:c r="J241" s="22" t="inlineStr">
        <x:is>
          <x:t xml:space="preserve">GBR</x:t>
        </x:is>
      </x:c>
      <x:c r="K241" s="25" t="inlineStr">
        <x:is>
          <x:t xml:space="preserve">United Kingdom</x:t>
        </x:is>
      </x:c>
      <x:c r="M241" s="18" t="n">
        <x:v>0.6111111111111112</x:v>
      </x:c>
      <x:c r="N241" s="18" t="n"/>
      <x:c r="O241" s="19" t="inlineStr">
        <x:is>
          <x:t xml:space="preserve">4</x:t>
        </x:is>
      </x:c>
      <x:c r="P241" s="19" t="n">
        <x:v>6</x:v>
      </x:c>
      <x:c r="Q241" s="19" t="n">
        <x:v>6</x:v>
      </x:c>
      <x:c r="R241" s="19" t="n">
        <x:v>3</x:v>
      </x:c>
      <x:c r="S241" s="19" t="n">
        <x:v>6</x:v>
      </x:c>
      <x:c r="T241" s="19" t="n">
        <x:v>3</x:v>
      </x:c>
      <x:c r="U241" s="19" t="n">
        <x:v>6</x:v>
      </x:c>
      <x:c r="V241" s="19" t="n">
        <x:v>2</x:v>
      </x:c>
      <x:c r="W241" s="19" t="n"/>
      <x:c r="X241" s="19" t="n"/>
      <x:c r="Y241" s="20" t="n">
        <x:f>SUM(O241+Q241+S241+U241+W241)</x:f>
        <x:v>22</x:v>
      </x:c>
      <x:c r="Z241" s="20" t="n">
        <x:f>SUM(P241+R241+T241+V241+X241)</x:f>
        <x:v>14</x:v>
      </x:c>
      <x:c r="AA241" s="21" t="n">
        <x:f>Y241/(Y241+Z241)</x:f>
        <x:v>0.6111111111111112</x:v>
      </x:c>
    </x:row>
    <x:row r="242">
      <x:c r="A242" s="22" t="n">
        <x:f>wimbledons_champions!A250</x:f>
        <x:v>1891</x:v>
      </x:c>
      <x:c r="B242" s="25" t="str">
        <x:f>wimbledons_champions!B250</x:f>
        <x:v>Women's</x:v>
      </x:c>
      <x:c r="C242" s="25" t="inlineStr">
        <x:is>
          <x:t xml:space="preserve">C. Dod</x:t>
        </x:is>
      </x:c>
      <x:c r="D242" s="22" t="inlineStr">
        <x:is>
          <x:t xml:space="preserve">GBR</x:t>
        </x:is>
      </x:c>
      <x:c r="E242" s="25" t="inlineStr">
        <x:is>
          <x:t xml:space="preserve">United Kingdom</x:t>
        </x:is>
      </x:c>
      <x:c r="G242" s="22" t="n">
        <x:f>wimbledons_champions!G250</x:f>
        <x:v>0</x:v>
      </x:c>
      <x:c r="H242" s="25" t="str">
        <x:f>wimbledons_champions!H250</x:f>
        <x:v>6-2, 6-1</x:v>
      </x:c>
      <x:c r="I242" s="25" t="inlineStr">
        <x:is>
          <x:t xml:space="preserve">G.W. Hillyard</x:t>
        </x:is>
      </x:c>
      <x:c r="J242" s="22" t="inlineStr">
        <x:is>
          <x:t xml:space="preserve">GBR</x:t>
        </x:is>
      </x:c>
      <x:c r="K242" s="25" t="inlineStr">
        <x:is>
          <x:t xml:space="preserve">United Kingdom</x:t>
        </x:is>
      </x:c>
      <x:c r="M242" s="18" t="n">
        <x:v>0.8</x:v>
      </x:c>
      <x:c r="N242" s="18" t="n"/>
      <x:c r="O242" s="19" t="inlineStr">
        <x:is>
          <x:t xml:space="preserve">6</x:t>
        </x:is>
      </x:c>
      <x:c r="P242" s="19" t="n">
        <x:v>2</x:v>
      </x:c>
      <x:c r="Q242" s="19" t="n">
        <x:v>6</x:v>
      </x:c>
      <x:c r="R242" s="19" t="n">
        <x:v>1</x:v>
      </x:c>
      <x:c r="S242" s="19" t="n"/>
      <x:c r="T242" s="19" t="n"/>
      <x:c r="U242" s="19" t="n"/>
      <x:c r="V242" s="19" t="n"/>
      <x:c r="W242" s="19" t="n"/>
      <x:c r="X242" s="19" t="n"/>
      <x:c r="Y242" s="20" t="n">
        <x:f>SUM(O242+Q242+S242+U242+W242)</x:f>
        <x:v>12</x:v>
      </x:c>
      <x:c r="Z242" s="20" t="n">
        <x:f>SUM(P242+R242+T242+V242+X242)</x:f>
        <x:v>3</x:v>
      </x:c>
      <x:c r="AA242" s="21" t="n">
        <x:f>Y242/(Y242+Z242)</x:f>
        <x:v>0.8</x:v>
      </x:c>
    </x:row>
    <x:row r="243">
      <x:c r="A243" s="22" t="n">
        <x:f>wimbledons_champions!A251</x:f>
        <x:v>1891</x:v>
      </x:c>
      <x:c r="B243" s="25" t="str">
        <x:f>wimbledons_champions!B251</x:f>
        <x:v>Men's</x:v>
      </x:c>
      <x:c r="C243" s="25" t="inlineStr">
        <x:is>
          <x:t xml:space="preserve">W. Baddeley</x:t>
        </x:is>
      </x:c>
      <x:c r="D243" s="22" t="inlineStr">
        <x:is>
          <x:t xml:space="preserve">GBR</x:t>
        </x:is>
      </x:c>
      <x:c r="E243" s="25" t="inlineStr">
        <x:is>
          <x:t xml:space="preserve">United Kingdom</x:t>
        </x:is>
      </x:c>
      <x:c r="G243" s="22" t="n">
        <x:f>wimbledons_champions!G251</x:f>
        <x:v>0</x:v>
      </x:c>
      <x:c r="H243" s="25" t="str">
        <x:f>wimbledons_champions!H251</x:f>
        <x:v>6-4, 1-6, 7-5, 6-0</x:v>
      </x:c>
      <x:c r="I243" s="25" t="inlineStr">
        <x:is>
          <x:t xml:space="preserve">J. Pim</x:t>
        </x:is>
      </x:c>
      <x:c r="J243" s="22" t="inlineStr">
        <x:is>
          <x:t xml:space="preserve">GBR</x:t>
        </x:is>
      </x:c>
      <x:c r="K243" s="25" t="inlineStr">
        <x:is>
          <x:t xml:space="preserve">United Kingdom</x:t>
        </x:is>
      </x:c>
      <x:c r="M243" s="18" t="n">
        <x:v>0.5714285714285714</x:v>
      </x:c>
      <x:c r="N243" s="18" t="n"/>
      <x:c r="O243" s="19" t="inlineStr">
        <x:is>
          <x:t xml:space="preserve">6</x:t>
        </x:is>
      </x:c>
      <x:c r="P243" s="19" t="n">
        <x:v>4</x:v>
      </x:c>
      <x:c r="Q243" s="19" t="n">
        <x:v>1</x:v>
      </x:c>
      <x:c r="R243" s="19" t="n">
        <x:v>6</x:v>
      </x:c>
      <x:c r="S243" s="19" t="n">
        <x:v>7</x:v>
      </x:c>
      <x:c r="T243" s="19" t="n">
        <x:v>5</x:v>
      </x:c>
      <x:c r="U243" s="19" t="n">
        <x:v>6</x:v>
      </x:c>
      <x:c r="V243" s="19" t="n">
        <x:v>0</x:v>
      </x:c>
      <x:c r="W243" s="19" t="n"/>
      <x:c r="X243" s="19" t="n"/>
      <x:c r="Y243" s="20" t="n">
        <x:f>SUM(O243+Q243+S243+U243+W243)</x:f>
        <x:v>20</x:v>
      </x:c>
      <x:c r="Z243" s="20" t="n">
        <x:f>SUM(P243+R243+T243+V243+X243)</x:f>
        <x:v>15</x:v>
      </x:c>
      <x:c r="AA243" s="21" t="n">
        <x:f>Y243/(Y243+Z243)</x:f>
        <x:v>0.5714285714285714</x:v>
      </x:c>
    </x:row>
    <x:row r="244">
      <x:c r="A244" s="22" t="n">
        <x:f>wimbledons_champions!A252</x:f>
        <x:v>1890</x:v>
      </x:c>
      <x:c r="B244" s="25" t="str">
        <x:f>wimbledons_champions!B252</x:f>
        <x:v>Women's</x:v>
      </x:c>
      <x:c r="C244" s="25" t="inlineStr">
        <x:is>
          <x:t xml:space="preserve">H.G.B. Rice</x:t>
        </x:is>
      </x:c>
      <x:c r="D244" s="22" t="inlineStr">
        <x:is>
          <x:t xml:space="preserve">GBR</x:t>
        </x:is>
      </x:c>
      <x:c r="E244" s="25" t="inlineStr">
        <x:is>
          <x:t xml:space="preserve">United Kingdom</x:t>
        </x:is>
      </x:c>
      <x:c r="G244" s="22" t="n">
        <x:f>wimbledons_champions!G252</x:f>
        <x:v>0</x:v>
      </x:c>
      <x:c r="H244" s="25" t="str">
        <x:f>wimbledons_champions!H252</x:f>
        <x:v>6-4, 6-1</x:v>
      </x:c>
      <x:c r="I244" s="25" t="inlineStr">
        <x:is>
          <x:t xml:space="preserve">M. Jacks</x:t>
        </x:is>
      </x:c>
      <x:c r="J244" s="22" t="inlineStr">
        <x:is>
          <x:t xml:space="preserve">GBR</x:t>
        </x:is>
      </x:c>
      <x:c r="K244" s="25" t="inlineStr">
        <x:is>
          <x:t xml:space="preserve">United Kingdom</x:t>
        </x:is>
      </x:c>
      <x:c r="M244" s="18" t="n">
        <x:v>0.7058823529411765</x:v>
      </x:c>
      <x:c r="N244" s="18" t="n"/>
      <x:c r="O244" s="19" t="inlineStr">
        <x:is>
          <x:t xml:space="preserve">6</x:t>
        </x:is>
      </x:c>
      <x:c r="P244" s="19" t="n">
        <x:v>4</x:v>
      </x:c>
      <x:c r="Q244" s="19" t="n">
        <x:v>6</x:v>
      </x:c>
      <x:c r="R244" s="19" t="n">
        <x:v>1</x:v>
      </x:c>
      <x:c r="S244" s="19" t="n"/>
      <x:c r="T244" s="19" t="n"/>
      <x:c r="U244" s="19" t="n"/>
      <x:c r="V244" s="19" t="n"/>
      <x:c r="W244" s="19" t="n"/>
      <x:c r="X244" s="19" t="n"/>
      <x:c r="Y244" s="20" t="n">
        <x:f>SUM(O244+Q244+S244+U244+W244)</x:f>
        <x:v>12</x:v>
      </x:c>
      <x:c r="Z244" s="20" t="n">
        <x:f>SUM(P244+R244+T244+V244+X244)</x:f>
        <x:v>5</x:v>
      </x:c>
      <x:c r="AA244" s="21" t="n">
        <x:f>Y244/(Y244+Z244)</x:f>
        <x:v>0.7058823529411765</x:v>
      </x:c>
    </x:row>
    <x:row r="245">
      <x:c r="A245" s="22" t="n">
        <x:f>wimbledons_champions!A253</x:f>
        <x:v>1890</x:v>
      </x:c>
      <x:c r="B245" s="25" t="str">
        <x:f>wimbledons_champions!B253</x:f>
        <x:v>Men's</x:v>
      </x:c>
      <x:c r="C245" s="25" t="inlineStr">
        <x:is>
          <x:t xml:space="preserve">W.J. Hamilton</x:t>
        </x:is>
      </x:c>
      <x:c r="D245" s="22" t="inlineStr">
        <x:is>
          <x:t xml:space="preserve">GBR</x:t>
        </x:is>
      </x:c>
      <x:c r="E245" s="25" t="inlineStr">
        <x:is>
          <x:t xml:space="preserve">United Kingdom</x:t>
        </x:is>
      </x:c>
      <x:c r="G245" s="22" t="n">
        <x:f>wimbledons_champions!G253</x:f>
        <x:v>96</x:v>
      </x:c>
      <x:c r="H245" s="25" t="str">
        <x:f>wimbledons_champions!H253</x:f>
        <x:v>6-8, 6-2, 3-6, 6-1, 6-1</x:v>
      </x:c>
      <x:c r="I245" s="25" t="inlineStr">
        <x:is>
          <x:t xml:space="preserve">W.C. Renshaw</x:t>
        </x:is>
      </x:c>
      <x:c r="J245" s="22" t="inlineStr">
        <x:is>
          <x:t xml:space="preserve">GBR</x:t>
        </x:is>
      </x:c>
      <x:c r="K245" s="25" t="inlineStr">
        <x:is>
          <x:t xml:space="preserve">United Kingdom</x:t>
        </x:is>
      </x:c>
      <x:c r="M245" s="18" t="n">
        <x:v>0.6</x:v>
      </x:c>
      <x:c r="N245" s="18" t="n"/>
      <x:c r="O245" s="19" t="inlineStr">
        <x:is>
          <x:t xml:space="preserve">6</x:t>
        </x:is>
      </x:c>
      <x:c r="P245" s="19" t="n">
        <x:v>8</x:v>
      </x:c>
      <x:c r="Q245" s="19" t="n">
        <x:v>6</x:v>
      </x:c>
      <x:c r="R245" s="19" t="n">
        <x:v>2</x:v>
      </x:c>
      <x:c r="S245" s="19" t="n">
        <x:v>3</x:v>
      </x:c>
      <x:c r="T245" s="19" t="n">
        <x:v>6</x:v>
      </x:c>
      <x:c r="U245" s="19" t="n">
        <x:v>6</x:v>
      </x:c>
      <x:c r="V245" s="19" t="n">
        <x:v>1</x:v>
      </x:c>
      <x:c r="W245" s="19" t="inlineStr">
        <x:is>
          <x:t xml:space="preserve">6</x:t>
        </x:is>
      </x:c>
      <x:c r="X245" s="19" t="n">
        <x:v>1</x:v>
      </x:c>
      <x:c r="Y245" s="20" t="n">
        <x:f>SUM(O245+Q245+S245+U245+W245)</x:f>
        <x:v>27</x:v>
      </x:c>
      <x:c r="Z245" s="20" t="n">
        <x:f>SUM(P245+R245+T245+V245+X245)</x:f>
        <x:v>18</x:v>
      </x:c>
      <x:c r="AA245" s="21" t="n">
        <x:f>Y245/(Y245+Z245)</x:f>
        <x:v>0.6</x:v>
      </x:c>
    </x:row>
    <x:row r="246">
      <x:c r="A246" s="22" t="n">
        <x:f>wimbledons_champions!A254</x:f>
        <x:v>1889</x:v>
      </x:c>
      <x:c r="B246" s="25" t="str">
        <x:f>wimbledons_champions!B254</x:f>
        <x:v>Women's</x:v>
      </x:c>
      <x:c r="C246" s="25" t="inlineStr">
        <x:is>
          <x:t xml:space="preserve">G.W. Hillyard</x:t>
        </x:is>
      </x:c>
      <x:c r="D246" s="22" t="inlineStr">
        <x:is>
          <x:t xml:space="preserve">GBR</x:t>
        </x:is>
      </x:c>
      <x:c r="E246" s="25" t="inlineStr">
        <x:is>
          <x:t xml:space="preserve">United Kingdom</x:t>
        </x:is>
      </x:c>
      <x:c r="G246" s="22" t="n">
        <x:f>wimbledons_champions!G254</x:f>
        <x:v>0</x:v>
      </x:c>
      <x:c r="H246" s="25" t="str">
        <x:f>wimbledons_champions!H254</x:f>
        <x:v>4-6, 8-6, 6-4</x:v>
      </x:c>
      <x:c r="I246" s="25" t="inlineStr">
        <x:is>
          <x:t xml:space="preserve">H.G.B. Rice</x:t>
        </x:is>
      </x:c>
      <x:c r="J246" s="22" t="inlineStr">
        <x:is>
          <x:t xml:space="preserve">GBR</x:t>
        </x:is>
      </x:c>
      <x:c r="K246" s="25" t="inlineStr">
        <x:is>
          <x:t xml:space="preserve">United Kingdom</x:t>
        </x:is>
      </x:c>
      <x:c r="M246" s="18" t="n">
        <x:v>0.5294117647058824</x:v>
      </x:c>
      <x:c r="N246" s="18" t="n"/>
      <x:c r="O246" s="19" t="inlineStr">
        <x:is>
          <x:t xml:space="preserve">4</x:t>
        </x:is>
      </x:c>
      <x:c r="P246" s="19" t="n">
        <x:v>6</x:v>
      </x:c>
      <x:c r="Q246" s="19" t="n">
        <x:v>8</x:v>
      </x:c>
      <x:c r="R246" s="19" t="n">
        <x:v>6</x:v>
      </x:c>
      <x:c r="S246" s="19" t="n">
        <x:v>6</x:v>
      </x:c>
      <x:c r="T246" s="19" t="n">
        <x:v>4</x:v>
      </x:c>
      <x:c r="U246" s="19" t="n"/>
      <x:c r="V246" s="19" t="n"/>
      <x:c r="W246" s="19" t="n"/>
      <x:c r="X246" s="19" t="n"/>
      <x:c r="Y246" s="20" t="n">
        <x:f>SUM(O246+Q246+S246+U246+W246)</x:f>
        <x:v>18</x:v>
      </x:c>
      <x:c r="Z246" s="20" t="n">
        <x:f>SUM(P246+R246+T246+V246+X246)</x:f>
        <x:v>16</x:v>
      </x:c>
      <x:c r="AA246" s="21" t="n">
        <x:f>Y246/(Y246+Z246)</x:f>
        <x:v>0.5294117647058824</x:v>
      </x:c>
    </x:row>
    <x:row r="247">
      <x:c r="A247" s="22" t="n">
        <x:f>wimbledons_champions!A255</x:f>
        <x:v>1889</x:v>
      </x:c>
      <x:c r="B247" s="25" t="str">
        <x:f>wimbledons_champions!B255</x:f>
        <x:v>Men's</x:v>
      </x:c>
      <x:c r="C247" s="25" t="inlineStr">
        <x:is>
          <x:t xml:space="preserve">W.C. Renshaw</x:t>
        </x:is>
      </x:c>
      <x:c r="D247" s="22" t="inlineStr">
        <x:is>
          <x:t xml:space="preserve">GBR</x:t>
        </x:is>
      </x:c>
      <x:c r="E247" s="25" t="inlineStr">
        <x:is>
          <x:t xml:space="preserve">United Kingdom</x:t>
        </x:is>
      </x:c>
      <x:c r="G247" s="22" t="n">
        <x:f>wimbledons_champions!G255</x:f>
        <x:v>63</x:v>
      </x:c>
      <x:c r="H247" s="25" t="str">
        <x:f>wimbledons_champions!H255</x:f>
        <x:v>6-4, 6-1, 3-6, 6-0</x:v>
      </x:c>
      <x:c r="I247" s="25" t="inlineStr">
        <x:is>
          <x:t xml:space="preserve">J.E. Renshaw</x:t>
        </x:is>
      </x:c>
      <x:c r="J247" s="22" t="inlineStr">
        <x:is>
          <x:t xml:space="preserve">GBR</x:t>
        </x:is>
      </x:c>
      <x:c r="K247" s="25" t="inlineStr">
        <x:is>
          <x:t xml:space="preserve">United Kingdom</x:t>
        </x:is>
      </x:c>
      <x:c r="M247" s="18" t="n">
        <x:v>0.65625</x:v>
      </x:c>
      <x:c r="N247" s="18" t="n"/>
      <x:c r="O247" s="19" t="inlineStr">
        <x:is>
          <x:t xml:space="preserve">6</x:t>
        </x:is>
      </x:c>
      <x:c r="P247" s="19" t="n">
        <x:v>4</x:v>
      </x:c>
      <x:c r="Q247" s="19" t="n">
        <x:v>6</x:v>
      </x:c>
      <x:c r="R247" s="19" t="n">
        <x:v>1</x:v>
      </x:c>
      <x:c r="S247" s="19" t="n">
        <x:v>3</x:v>
      </x:c>
      <x:c r="T247" s="19" t="n">
        <x:v>6</x:v>
      </x:c>
      <x:c r="U247" s="19" t="n">
        <x:v>6</x:v>
      </x:c>
      <x:c r="V247" s="19" t="n">
        <x:v>0</x:v>
      </x:c>
      <x:c r="W247" s="19" t="n"/>
      <x:c r="X247" s="19" t="n"/>
      <x:c r="Y247" s="20" t="n">
        <x:f>SUM(O247+Q247+S247+U247+W247)</x:f>
        <x:v>21</x:v>
      </x:c>
      <x:c r="Z247" s="20" t="n">
        <x:f>SUM(P247+R247+T247+V247+X247)</x:f>
        <x:v>11</x:v>
      </x:c>
      <x:c r="AA247" s="21" t="n">
        <x:f>Y247/(Y247+Z247)</x:f>
        <x:v>0.65625</x:v>
      </x:c>
    </x:row>
    <x:row r="248">
      <x:c r="A248" s="22" t="n">
        <x:f>wimbledons_champions!A256</x:f>
        <x:v>1888</x:v>
      </x:c>
      <x:c r="B248" s="25" t="str">
        <x:f>wimbledons_champions!B256</x:f>
        <x:v>Women's</x:v>
      </x:c>
      <x:c r="C248" s="25" t="inlineStr">
        <x:is>
          <x:t xml:space="preserve">C. Dod</x:t>
        </x:is>
      </x:c>
      <x:c r="D248" s="22" t="inlineStr">
        <x:is>
          <x:t xml:space="preserve">GBR</x:t>
        </x:is>
      </x:c>
      <x:c r="E248" s="25" t="inlineStr">
        <x:is>
          <x:t xml:space="preserve">United Kingdom</x:t>
        </x:is>
      </x:c>
      <x:c r="G248" s="22" t="n">
        <x:f>wimbledons_champions!G256</x:f>
        <x:v>0</x:v>
      </x:c>
      <x:c r="H248" s="25" t="str">
        <x:f>wimbledons_champions!H256</x:f>
        <x:v>6-3, 6-3</x:v>
      </x:c>
      <x:c r="I248" s="25" t="inlineStr">
        <x:is>
          <x:t xml:space="preserve">G.W. Hillyard</x:t>
        </x:is>
      </x:c>
      <x:c r="J248" s="22" t="inlineStr">
        <x:is>
          <x:t xml:space="preserve">GBR</x:t>
        </x:is>
      </x:c>
      <x:c r="K248" s="25" t="inlineStr">
        <x:is>
          <x:t xml:space="preserve">United Kingdom</x:t>
        </x:is>
      </x:c>
      <x:c r="M248" s="18" t="n">
        <x:v>0.6666666666666666</x:v>
      </x:c>
      <x:c r="N248" s="18" t="n"/>
      <x:c r="O248" s="19" t="inlineStr">
        <x:is>
          <x:t xml:space="preserve">6</x:t>
        </x:is>
      </x:c>
      <x:c r="P248" s="19" t="n">
        <x:v>3</x:v>
      </x:c>
      <x:c r="Q248" s="19" t="n">
        <x:v>6</x:v>
      </x:c>
      <x:c r="R248" s="19" t="n">
        <x:v>3</x:v>
      </x:c>
      <x:c r="S248" s="19" t="n"/>
      <x:c r="T248" s="19" t="n"/>
      <x:c r="U248" s="19" t="n"/>
      <x:c r="V248" s="19" t="n"/>
      <x:c r="W248" s="19" t="n"/>
      <x:c r="X248" s="19" t="n"/>
      <x:c r="Y248" s="20" t="n">
        <x:f>SUM(O248+Q248+S248+U248+W248)</x:f>
        <x:v>12</x:v>
      </x:c>
      <x:c r="Z248" s="20" t="n">
        <x:f>SUM(P248+R248+T248+V248+X248)</x:f>
        <x:v>6</x:v>
      </x:c>
      <x:c r="AA248" s="21" t="n">
        <x:f>Y248/(Y248+Z248)</x:f>
        <x:v>0.6666666666666666</x:v>
      </x:c>
    </x:row>
    <x:row r="249">
      <x:c r="A249" s="22" t="n">
        <x:f>wimbledons_champions!A257</x:f>
        <x:v>1888</x:v>
      </x:c>
      <x:c r="B249" s="25" t="str">
        <x:f>wimbledons_champions!B257</x:f>
        <x:v>Men's</x:v>
      </x:c>
      <x:c r="C249" s="25" t="inlineStr">
        <x:is>
          <x:t xml:space="preserve">J.E. Renshaw</x:t>
        </x:is>
      </x:c>
      <x:c r="D249" s="22" t="inlineStr">
        <x:is>
          <x:t xml:space="preserve">GBR</x:t>
        </x:is>
      </x:c>
      <x:c r="E249" s="25" t="inlineStr">
        <x:is>
          <x:t xml:space="preserve">United Kingdom</x:t>
        </x:is>
      </x:c>
      <x:c r="G249" s="22" t="n">
        <x:f>wimbledons_champions!G257</x:f>
        <x:v>51</x:v>
      </x:c>
      <x:c r="H249" s="25" t="str">
        <x:f>wimbledons_champions!H257</x:f>
        <x:v>6-3, 7-5, 6-0</x:v>
      </x:c>
      <x:c r="I249" s="25" t="inlineStr">
        <x:is>
          <x:t xml:space="preserve">H.F. Lawford</x:t>
        </x:is>
      </x:c>
      <x:c r="J249" s="22" t="inlineStr">
        <x:is>
          <x:t xml:space="preserve">GBR</x:t>
        </x:is>
      </x:c>
      <x:c r="K249" s="25" t="inlineStr">
        <x:is>
          <x:t xml:space="preserve">United Kingdom</x:t>
        </x:is>
      </x:c>
      <x:c r="M249" s="18" t="n">
        <x:v>0.7037037037037037</x:v>
      </x:c>
      <x:c r="N249" s="18" t="n"/>
      <x:c r="O249" s="19" t="inlineStr">
        <x:is>
          <x:t xml:space="preserve">6</x:t>
        </x:is>
      </x:c>
      <x:c r="P249" s="19" t="n">
        <x:v>3</x:v>
      </x:c>
      <x:c r="Q249" s="19" t="n">
        <x:v>7</x:v>
      </x:c>
      <x:c r="R249" s="19" t="n">
        <x:v>5</x:v>
      </x:c>
      <x:c r="S249" s="19" t="n">
        <x:v>6</x:v>
      </x:c>
      <x:c r="T249" s="19" t="n">
        <x:v>0</x:v>
      </x:c>
      <x:c r="U249" s="19" t="n"/>
      <x:c r="V249" s="19" t="n"/>
      <x:c r="W249" s="19" t="n"/>
      <x:c r="X249" s="19" t="n"/>
      <x:c r="Y249" s="20" t="n">
        <x:f>SUM(O249+Q249+S249+U249+W249)</x:f>
        <x:v>19</x:v>
      </x:c>
      <x:c r="Z249" s="20" t="n">
        <x:f>SUM(P249+R249+T249+V249+X249)</x:f>
        <x:v>8</x:v>
      </x:c>
      <x:c r="AA249" s="21" t="n">
        <x:f>Y249/(Y249+Z249)</x:f>
        <x:v>0.7037037037037037</x:v>
      </x:c>
    </x:row>
    <x:row r="250">
      <x:c r="A250" s="22" t="n">
        <x:f>wimbledons_champions!A258</x:f>
        <x:v>1887</x:v>
      </x:c>
      <x:c r="B250" s="25" t="str">
        <x:f>wimbledons_champions!B258</x:f>
        <x:v>Women's</x:v>
      </x:c>
      <x:c r="C250" s="25" t="inlineStr">
        <x:is>
          <x:t xml:space="preserve">C. Dod</x:t>
        </x:is>
      </x:c>
      <x:c r="D250" s="22" t="inlineStr">
        <x:is>
          <x:t xml:space="preserve">GBR</x:t>
        </x:is>
      </x:c>
      <x:c r="E250" s="25" t="inlineStr">
        <x:is>
          <x:t xml:space="preserve">United Kingdom</x:t>
        </x:is>
      </x:c>
      <x:c r="G250" s="22" t="n">
        <x:f>wimbledons_champions!G258</x:f>
        <x:v>0</x:v>
      </x:c>
      <x:c r="H250" s="25" t="str">
        <x:f>wimbledons_champions!H258</x:f>
        <x:v>6-2, 6-0</x:v>
      </x:c>
      <x:c r="I250" s="25" t="inlineStr">
        <x:is>
          <x:t xml:space="preserve">G.W. Hillyard</x:t>
        </x:is>
      </x:c>
      <x:c r="J250" s="22" t="inlineStr">
        <x:is>
          <x:t xml:space="preserve">GBR</x:t>
        </x:is>
      </x:c>
      <x:c r="K250" s="25" t="inlineStr">
        <x:is>
          <x:t xml:space="preserve">United Kingdom</x:t>
        </x:is>
      </x:c>
      <x:c r="M250" s="18" t="n">
        <x:v>0.8571428571428571</x:v>
      </x:c>
      <x:c r="N250" s="18" t="n"/>
      <x:c r="O250" s="19" t="inlineStr">
        <x:is>
          <x:t xml:space="preserve">6</x:t>
        </x:is>
      </x:c>
      <x:c r="P250" s="19" t="n">
        <x:v>2</x:v>
      </x:c>
      <x:c r="Q250" s="19" t="n">
        <x:v>6</x:v>
      </x:c>
      <x:c r="R250" s="19" t="n">
        <x:v>0</x:v>
      </x:c>
      <x:c r="S250" s="19" t="n"/>
      <x:c r="T250" s="19" t="n"/>
      <x:c r="U250" s="19" t="n"/>
      <x:c r="V250" s="19" t="n"/>
      <x:c r="W250" s="19" t="n"/>
      <x:c r="X250" s="19" t="n"/>
      <x:c r="Y250" s="20" t="n">
        <x:f>SUM(O250+Q250+S250+U250+W250)</x:f>
        <x:v>12</x:v>
      </x:c>
      <x:c r="Z250" s="20" t="n">
        <x:f>SUM(P250+R250+T250+V250+X250)</x:f>
        <x:v>2</x:v>
      </x:c>
      <x:c r="AA250" s="21" t="n">
        <x:f>Y250/(Y250+Z250)</x:f>
        <x:v>0.8571428571428571</x:v>
      </x:c>
    </x:row>
    <x:row r="251">
      <x:c r="A251" s="22" t="n">
        <x:f>wimbledons_champions!A259</x:f>
        <x:v>1887</x:v>
      </x:c>
      <x:c r="B251" s="25" t="str">
        <x:f>wimbledons_champions!B259</x:f>
        <x:v>Men's</x:v>
      </x:c>
      <x:c r="C251" s="25" t="inlineStr">
        <x:is>
          <x:t xml:space="preserve">H.F. Lawford</x:t>
        </x:is>
      </x:c>
      <x:c r="D251" s="22" t="inlineStr">
        <x:is>
          <x:t xml:space="preserve">GBR</x:t>
        </x:is>
      </x:c>
      <x:c r="E251" s="25" t="inlineStr">
        <x:is>
          <x:t xml:space="preserve">United Kingdom</x:t>
        </x:is>
      </x:c>
      <x:c r="G251" s="22" t="n">
        <x:f>wimbledons_champions!G259</x:f>
        <x:v>120</x:v>
      </x:c>
      <x:c r="H251" s="25" t="str">
        <x:f>wimbledons_champions!H259</x:f>
        <x:v>1-6, 6-3, 3-6, 6-4, 6-4</x:v>
      </x:c>
      <x:c r="I251" s="25" t="inlineStr">
        <x:is>
          <x:t xml:space="preserve">J.E. Renshaw</x:t>
        </x:is>
      </x:c>
      <x:c r="J251" s="22" t="inlineStr">
        <x:is>
          <x:t xml:space="preserve">GBR</x:t>
        </x:is>
      </x:c>
      <x:c r="K251" s="25" t="inlineStr">
        <x:is>
          <x:t xml:space="preserve">United Kingdom</x:t>
        </x:is>
      </x:c>
      <x:c r="M251" s="18" t="n">
        <x:v>0.4888888888888889</x:v>
      </x:c>
      <x:c r="N251" s="18" t="n"/>
      <x:c r="O251" s="19" t="inlineStr">
        <x:is>
          <x:t xml:space="preserve">1</x:t>
        </x:is>
      </x:c>
      <x:c r="P251" s="19" t="n">
        <x:v>6</x:v>
      </x:c>
      <x:c r="Q251" s="19" t="n">
        <x:v>6</x:v>
      </x:c>
      <x:c r="R251" s="19" t="n">
        <x:v>3</x:v>
      </x:c>
      <x:c r="S251" s="19" t="n">
        <x:v>3</x:v>
      </x:c>
      <x:c r="T251" s="19" t="n">
        <x:v>6</x:v>
      </x:c>
      <x:c r="U251" s="19" t="n">
        <x:v>6</x:v>
      </x:c>
      <x:c r="V251" s="19" t="n">
        <x:v>4</x:v>
      </x:c>
      <x:c r="W251" s="19" t="inlineStr">
        <x:is>
          <x:t xml:space="preserve">6</x:t>
        </x:is>
      </x:c>
      <x:c r="X251" s="19" t="n">
        <x:v>4</x:v>
      </x:c>
      <x:c r="Y251" s="20" t="n">
        <x:f>SUM(O251+Q251+S251+U251+W251)</x:f>
        <x:v>22</x:v>
      </x:c>
      <x:c r="Z251" s="20" t="n">
        <x:f>SUM(P251+R251+T251+V251+X251)</x:f>
        <x:v>23</x:v>
      </x:c>
      <x:c r="AA251" s="21" t="n">
        <x:f>Y251/(Y251+Z251)</x:f>
        <x:v>0.4888888888888889</x:v>
      </x:c>
    </x:row>
    <x:row r="252">
      <x:c r="A252" s="22" t="n">
        <x:f>wimbledons_champions!A260</x:f>
        <x:v>1886</x:v>
      </x:c>
      <x:c r="B252" s="25" t="str">
        <x:f>wimbledons_champions!B260</x:f>
        <x:v>Women's</x:v>
      </x:c>
      <x:c r="C252" s="25" t="inlineStr">
        <x:is>
          <x:t xml:space="preserve">G.W. Hillyard</x:t>
        </x:is>
      </x:c>
      <x:c r="D252" s="22" t="inlineStr">
        <x:is>
          <x:t xml:space="preserve">GBR</x:t>
        </x:is>
      </x:c>
      <x:c r="E252" s="25" t="inlineStr">
        <x:is>
          <x:t xml:space="preserve">United Kingdom</x:t>
        </x:is>
      </x:c>
      <x:c r="G252" s="22" t="n">
        <x:f>wimbledons_champions!G260</x:f>
        <x:v>0</x:v>
      </x:c>
      <x:c r="H252" s="25" t="str">
        <x:f>wimbledons_champions!H260</x:f>
        <x:v>6-3, 6-3</x:v>
      </x:c>
      <x:c r="I252" s="25" t="inlineStr">
        <x:is>
          <x:t xml:space="preserve">M.E.E. Watson</x:t>
        </x:is>
      </x:c>
      <x:c r="J252" s="22" t="inlineStr">
        <x:is>
          <x:t xml:space="preserve">GBR</x:t>
        </x:is>
      </x:c>
      <x:c r="K252" s="25" t="inlineStr">
        <x:is>
          <x:t xml:space="preserve">United Kingdom</x:t>
        </x:is>
      </x:c>
      <x:c r="M252" s="18" t="n">
        <x:v>0.6666666666666666</x:v>
      </x:c>
      <x:c r="N252" s="18" t="n"/>
      <x:c r="O252" s="19" t="inlineStr">
        <x:is>
          <x:t xml:space="preserve">6</x:t>
        </x:is>
      </x:c>
      <x:c r="P252" s="19" t="n">
        <x:v>3</x:v>
      </x:c>
      <x:c r="Q252" s="19" t="n">
        <x:v>6</x:v>
      </x:c>
      <x:c r="R252" s="19" t="n">
        <x:v>3</x:v>
      </x:c>
      <x:c r="S252" s="19" t="n"/>
      <x:c r="T252" s="19" t="n"/>
      <x:c r="U252" s="19" t="n"/>
      <x:c r="V252" s="19" t="n"/>
      <x:c r="W252" s="19" t="n"/>
      <x:c r="X252" s="19" t="n"/>
      <x:c r="Y252" s="20" t="n">
        <x:f>SUM(O252+Q252+S252+U252+W252)</x:f>
        <x:v>12</x:v>
      </x:c>
      <x:c r="Z252" s="20" t="n">
        <x:f>SUM(P252+R252+T252+V252+X252)</x:f>
        <x:v>6</x:v>
      </x:c>
      <x:c r="AA252" s="21" t="n">
        <x:f>Y252/(Y252+Z252)</x:f>
        <x:v>0.6666666666666666</x:v>
      </x:c>
    </x:row>
    <x:row r="253">
      <x:c r="A253" s="22" t="n">
        <x:f>wimbledons_champions!A261</x:f>
        <x:v>1886</x:v>
      </x:c>
      <x:c r="B253" s="25" t="str">
        <x:f>wimbledons_champions!B261</x:f>
        <x:v>Men's</x:v>
      </x:c>
      <x:c r="C253" s="25" t="inlineStr">
        <x:is>
          <x:t xml:space="preserve">W.C. Renshaw</x:t>
        </x:is>
      </x:c>
      <x:c r="D253" s="22" t="inlineStr">
        <x:is>
          <x:t xml:space="preserve">GBR</x:t>
        </x:is>
      </x:c>
      <x:c r="E253" s="25" t="inlineStr">
        <x:is>
          <x:t xml:space="preserve">United Kingdom</x:t>
        </x:is>
      </x:c>
      <x:c r="G253" s="22" t="n">
        <x:f>wimbledons_champions!G261</x:f>
        <x:v>96</x:v>
      </x:c>
      <x:c r="H253" s="25" t="str">
        <x:f>wimbledons_champions!H261</x:f>
        <x:v>6-0, 5-7, 6-3, 6-4</x:v>
      </x:c>
      <x:c r="I253" s="25" t="inlineStr">
        <x:is>
          <x:t xml:space="preserve">H.F. Lawford</x:t>
        </x:is>
      </x:c>
      <x:c r="J253" s="22" t="inlineStr">
        <x:is>
          <x:t xml:space="preserve">GBR</x:t>
        </x:is>
      </x:c>
      <x:c r="K253" s="25" t="inlineStr">
        <x:is>
          <x:t xml:space="preserve">United Kingdom</x:t>
        </x:is>
      </x:c>
      <x:c r="M253" s="18" t="n">
        <x:v>0.6216216216216216</x:v>
      </x:c>
      <x:c r="N253" s="18" t="n"/>
      <x:c r="O253" s="19" t="inlineStr">
        <x:is>
          <x:t xml:space="preserve">6</x:t>
        </x:is>
      </x:c>
      <x:c r="P253" s="19" t="n">
        <x:v>0</x:v>
      </x:c>
      <x:c r="Q253" s="19" t="n">
        <x:v>5</x:v>
      </x:c>
      <x:c r="R253" s="19" t="n">
        <x:v>7</x:v>
      </x:c>
      <x:c r="S253" s="19" t="n">
        <x:v>6</x:v>
      </x:c>
      <x:c r="T253" s="19" t="n">
        <x:v>3</x:v>
      </x:c>
      <x:c r="U253" s="19" t="n">
        <x:v>6</x:v>
      </x:c>
      <x:c r="V253" s="19" t="n">
        <x:v>4</x:v>
      </x:c>
      <x:c r="W253" s="19" t="n"/>
      <x:c r="X253" s="19" t="n"/>
      <x:c r="Y253" s="20" t="n">
        <x:f>SUM(O253+Q253+S253+U253+W253)</x:f>
        <x:v>23</x:v>
      </x:c>
      <x:c r="Z253" s="20" t="n">
        <x:f>SUM(P253+R253+T253+V253+X253)</x:f>
        <x:v>14</x:v>
      </x:c>
      <x:c r="AA253" s="21" t="n">
        <x:f>Y253/(Y253+Z253)</x:f>
        <x:v>0.6216216216216216</x:v>
      </x:c>
    </x:row>
    <x:row r="254">
      <x:c r="A254" s="22" t="n">
        <x:f>wimbledons_champions!A262</x:f>
        <x:v>1885</x:v>
      </x:c>
      <x:c r="B254" s="25" t="str">
        <x:f>wimbledons_champions!B262</x:f>
        <x:v>Women's</x:v>
      </x:c>
      <x:c r="C254" s="25" t="inlineStr">
        <x:is>
          <x:t xml:space="preserve">M.E.E. Watson</x:t>
        </x:is>
      </x:c>
      <x:c r="D254" s="22" t="inlineStr">
        <x:is>
          <x:t xml:space="preserve">GBR</x:t>
        </x:is>
      </x:c>
      <x:c r="E254" s="25" t="inlineStr">
        <x:is>
          <x:t xml:space="preserve">United Kingdom</x:t>
        </x:is>
      </x:c>
      <x:c r="G254" s="22" t="n">
        <x:f>wimbledons_champions!G262</x:f>
        <x:v>0</x:v>
      </x:c>
      <x:c r="H254" s="25" t="str">
        <x:f>wimbledons_champions!H262</x:f>
        <x:v>6-1, 7-5</x:v>
      </x:c>
      <x:c r="I254" s="25" t="inlineStr">
        <x:is>
          <x:t xml:space="preserve">G.W. Hillyard</x:t>
        </x:is>
      </x:c>
      <x:c r="J254" s="22" t="inlineStr">
        <x:is>
          <x:t xml:space="preserve">GBR</x:t>
        </x:is>
      </x:c>
      <x:c r="K254" s="25" t="inlineStr">
        <x:is>
          <x:t xml:space="preserve">United Kingdom</x:t>
        </x:is>
      </x:c>
      <x:c r="M254" s="18" t="n">
        <x:v>0.6842105263157895</x:v>
      </x:c>
      <x:c r="N254" s="18" t="n"/>
      <x:c r="O254" s="19" t="inlineStr">
        <x:is>
          <x:t xml:space="preserve">6</x:t>
        </x:is>
      </x:c>
      <x:c r="P254" s="19" t="n">
        <x:v>1</x:v>
      </x:c>
      <x:c r="Q254" s="19" t="n">
        <x:v>7</x:v>
      </x:c>
      <x:c r="R254" s="19" t="n">
        <x:v>5</x:v>
      </x:c>
      <x:c r="S254" s="19" t="n"/>
      <x:c r="T254" s="19" t="n"/>
      <x:c r="U254" s="19" t="n"/>
      <x:c r="V254" s="19" t="n"/>
      <x:c r="W254" s="19" t="n"/>
      <x:c r="X254" s="19" t="n"/>
      <x:c r="Y254" s="20" t="n">
        <x:f>SUM(O254+Q254+S254+U254+W254)</x:f>
        <x:v>13</x:v>
      </x:c>
      <x:c r="Z254" s="20" t="n">
        <x:f>SUM(P254+R254+T254+V254+X254)</x:f>
        <x:v>6</x:v>
      </x:c>
      <x:c r="AA254" s="21" t="n">
        <x:f>Y254/(Y254+Z254)</x:f>
        <x:v>0.6842105263157895</x:v>
      </x:c>
    </x:row>
    <x:row r="255">
      <x:c r="A255" s="22" t="n">
        <x:f>wimbledons_champions!A263</x:f>
        <x:v>1885</x:v>
      </x:c>
      <x:c r="B255" s="25" t="str">
        <x:f>wimbledons_champions!B263</x:f>
        <x:v>Men's</x:v>
      </x:c>
      <x:c r="C255" s="25" t="inlineStr">
        <x:is>
          <x:t xml:space="preserve">W.C. Renshaw</x:t>
        </x:is>
      </x:c>
      <x:c r="D255" s="22" t="inlineStr">
        <x:is>
          <x:t xml:space="preserve">GBR</x:t>
        </x:is>
      </x:c>
      <x:c r="E255" s="25" t="inlineStr">
        <x:is>
          <x:t xml:space="preserve">United Kingdom</x:t>
        </x:is>
      </x:c>
      <x:c r="G255" s="22" t="n">
        <x:f>wimbledons_champions!G263</x:f>
        <x:v>122</x:v>
      </x:c>
      <x:c r="H255" s="25" t="str">
        <x:f>wimbledons_champions!H263</x:f>
        <x:v>7-5, 6-2, 4-6, 7-5</x:v>
      </x:c>
      <x:c r="I255" s="25" t="inlineStr">
        <x:is>
          <x:t xml:space="preserve">H.F. Lawford</x:t>
        </x:is>
      </x:c>
      <x:c r="J255" s="22" t="inlineStr">
        <x:is>
          <x:t xml:space="preserve">GBR</x:t>
        </x:is>
      </x:c>
      <x:c r="K255" s="25" t="inlineStr">
        <x:is>
          <x:t xml:space="preserve">United Kingdom</x:t>
        </x:is>
      </x:c>
      <x:c r="M255" s="18" t="n">
        <x:v>0.5714285714285714</x:v>
      </x:c>
      <x:c r="N255" s="18" t="n"/>
      <x:c r="O255" s="19" t="inlineStr">
        <x:is>
          <x:t xml:space="preserve">7</x:t>
        </x:is>
      </x:c>
      <x:c r="P255" s="19" t="n">
        <x:v>5</x:v>
      </x:c>
      <x:c r="Q255" s="19" t="n">
        <x:v>6</x:v>
      </x:c>
      <x:c r="R255" s="19" t="n">
        <x:v>2</x:v>
      </x:c>
      <x:c r="S255" s="19" t="n">
        <x:v>4</x:v>
      </x:c>
      <x:c r="T255" s="19" t="n">
        <x:v>6</x:v>
      </x:c>
      <x:c r="U255" s="19" t="n">
        <x:v>7</x:v>
      </x:c>
      <x:c r="V255" s="19" t="n">
        <x:v>5</x:v>
      </x:c>
      <x:c r="W255" s="19" t="n"/>
      <x:c r="X255" s="19" t="n"/>
      <x:c r="Y255" s="20" t="n">
        <x:f>SUM(O255+Q255+S255+U255+W255)</x:f>
        <x:v>24</x:v>
      </x:c>
      <x:c r="Z255" s="20" t="n">
        <x:f>SUM(P255+R255+T255+V255+X255)</x:f>
        <x:v>18</x:v>
      </x:c>
      <x:c r="AA255" s="21" t="n">
        <x:f>Y255/(Y255+Z255)</x:f>
        <x:v>0.5714285714285714</x:v>
      </x:c>
    </x:row>
    <x:row r="256">
      <x:c r="A256" s="22" t="n">
        <x:f>wimbledons_champions!A264</x:f>
        <x:v>1884</x:v>
      </x:c>
      <x:c r="B256" s="25" t="str">
        <x:f>wimbledons_champions!B264</x:f>
        <x:v>Women's</x:v>
      </x:c>
      <x:c r="C256" s="25" t="inlineStr">
        <x:is>
          <x:t xml:space="preserve">M.E.E. Watson</x:t>
        </x:is>
      </x:c>
      <x:c r="D256" s="22" t="inlineStr">
        <x:is>
          <x:t xml:space="preserve">GBR</x:t>
        </x:is>
      </x:c>
      <x:c r="E256" s="25" t="inlineStr">
        <x:is>
          <x:t xml:space="preserve">United Kingdom</x:t>
        </x:is>
      </x:c>
      <x:c r="G256" s="22" t="n">
        <x:f>wimbledons_champions!G264</x:f>
        <x:v>0</x:v>
      </x:c>
      <x:c r="H256" s="25" t="str">
        <x:f>wimbledons_champions!H264</x:f>
        <x:v>6-8, 6-3, 6-3</x:v>
      </x:c>
      <x:c r="I256" s="25" t="inlineStr">
        <x:is>
          <x:t xml:space="preserve">L.M. Watson</x:t>
        </x:is>
      </x:c>
      <x:c r="J256" s="22" t="inlineStr">
        <x:is>
          <x:t xml:space="preserve">GBR</x:t>
        </x:is>
      </x:c>
      <x:c r="K256" s="25" t="inlineStr">
        <x:is>
          <x:t xml:space="preserve">United Kingdom</x:t>
        </x:is>
      </x:c>
      <x:c r="M256" s="18" t="n">
        <x:v>0.5625</x:v>
      </x:c>
      <x:c r="N256" s="18" t="n"/>
      <x:c r="O256" s="19" t="inlineStr">
        <x:is>
          <x:t xml:space="preserve">6</x:t>
        </x:is>
      </x:c>
      <x:c r="P256" s="19" t="n">
        <x:v>8</x:v>
      </x:c>
      <x:c r="Q256" s="19" t="n">
        <x:v>6</x:v>
      </x:c>
      <x:c r="R256" s="19" t="n">
        <x:v>3</x:v>
      </x:c>
      <x:c r="S256" s="19" t="n">
        <x:v>6</x:v>
      </x:c>
      <x:c r="T256" s="19" t="n">
        <x:v>3</x:v>
      </x:c>
      <x:c r="U256" s="19" t="n"/>
      <x:c r="V256" s="19" t="n"/>
      <x:c r="W256" s="19" t="n"/>
      <x:c r="X256" s="19" t="n"/>
      <x:c r="Y256" s="20" t="n">
        <x:f>SUM(O256+Q256+S256+U256+W256)</x:f>
        <x:v>18</x:v>
      </x:c>
      <x:c r="Z256" s="20" t="n">
        <x:f>SUM(P256+R256+T256+V256+X256)</x:f>
        <x:v>14</x:v>
      </x:c>
      <x:c r="AA256" s="21" t="n">
        <x:f>Y256/(Y256+Z256)</x:f>
        <x:v>0.5625</x:v>
      </x:c>
    </x:row>
    <x:row r="257">
      <x:c r="A257" s="22" t="n">
        <x:f>wimbledons_champions!A265</x:f>
        <x:v>1884</x:v>
      </x:c>
      <x:c r="B257" s="25" t="str">
        <x:f>wimbledons_champions!B265</x:f>
        <x:v>Men's</x:v>
      </x:c>
      <x:c r="C257" s="25" t="inlineStr">
        <x:is>
          <x:t xml:space="preserve">W.C. Renshaw</x:t>
        </x:is>
      </x:c>
      <x:c r="D257" s="22" t="inlineStr">
        <x:is>
          <x:t xml:space="preserve">GBR</x:t>
        </x:is>
      </x:c>
      <x:c r="E257" s="25" t="inlineStr">
        <x:is>
          <x:t xml:space="preserve">United Kingdom</x:t>
        </x:is>
      </x:c>
      <x:c r="G257" s="22" t="n">
        <x:f>wimbledons_champions!G265</x:f>
        <x:v>69</x:v>
      </x:c>
      <x:c r="H257" s="25" t="str">
        <x:f>wimbledons_champions!H265</x:f>
        <x:v>6-0, 6-4, 9-7</x:v>
      </x:c>
      <x:c r="I257" s="25" t="inlineStr">
        <x:is>
          <x:t xml:space="preserve">H.F. Lawford</x:t>
        </x:is>
      </x:c>
      <x:c r="J257" s="22" t="inlineStr">
        <x:is>
          <x:t xml:space="preserve">GBR</x:t>
        </x:is>
      </x:c>
      <x:c r="K257" s="25" t="inlineStr">
        <x:is>
          <x:t xml:space="preserve">United Kingdom</x:t>
        </x:is>
      </x:c>
      <x:c r="M257" s="18" t="n">
        <x:v>0.65625</x:v>
      </x:c>
      <x:c r="N257" s="18" t="n"/>
      <x:c r="O257" s="19" t="inlineStr">
        <x:is>
          <x:t xml:space="preserve">6</x:t>
        </x:is>
      </x:c>
      <x:c r="P257" s="19" t="n">
        <x:v>0</x:v>
      </x:c>
      <x:c r="Q257" s="19" t="n">
        <x:v>6</x:v>
      </x:c>
      <x:c r="R257" s="19" t="n">
        <x:v>4</x:v>
      </x:c>
      <x:c r="S257" s="19" t="n">
        <x:v>9</x:v>
      </x:c>
      <x:c r="T257" s="19" t="n">
        <x:v>7</x:v>
      </x:c>
      <x:c r="U257" s="19" t="n"/>
      <x:c r="V257" s="19" t="n"/>
      <x:c r="W257" s="19" t="n"/>
      <x:c r="X257" s="19" t="n"/>
      <x:c r="Y257" s="20" t="n">
        <x:f>SUM(O257+Q257+S257+U257+W257)</x:f>
        <x:v>21</x:v>
      </x:c>
      <x:c r="Z257" s="20" t="n">
        <x:f>SUM(P257+R257+T257+V257+X257)</x:f>
        <x:v>11</x:v>
      </x:c>
      <x:c r="AA257" s="21" t="n">
        <x:f>Y257/(Y257+Z257)</x:f>
        <x:v>0.65625</x:v>
      </x:c>
    </x:row>
    <x:row r="258">
      <x:c r="A258" s="22" t="n">
        <x:f>wimbledons_champions!A266</x:f>
        <x:v>1883</x:v>
      </x:c>
      <x:c r="B258" s="25" t="str">
        <x:f>wimbledons_champions!B266</x:f>
        <x:v>Men's</x:v>
      </x:c>
      <x:c r="C258" s="25" t="inlineStr">
        <x:is>
          <x:t xml:space="preserve">W.C. Renshaw</x:t>
        </x:is>
      </x:c>
      <x:c r="D258" s="22" t="inlineStr">
        <x:is>
          <x:t xml:space="preserve">GBR</x:t>
        </x:is>
      </x:c>
      <x:c r="E258" s="25" t="inlineStr">
        <x:is>
          <x:t xml:space="preserve">United Kingdom</x:t>
        </x:is>
      </x:c>
      <x:c r="G258" s="22" t="n">
        <x:f>wimbledons_champions!G266</x:f>
        <x:v>89</x:v>
      </x:c>
      <x:c r="H258" s="25" t="str">
        <x:f>wimbledons_champions!H266</x:f>
        <x:v>2-6, 6-3, 6-3, 4-6, 6-3</x:v>
      </x:c>
      <x:c r="I258" s="25" t="inlineStr">
        <x:is>
          <x:t xml:space="preserve">J.E. Renshaw</x:t>
        </x:is>
      </x:c>
      <x:c r="J258" s="22" t="inlineStr">
        <x:is>
          <x:t xml:space="preserve">GBR</x:t>
        </x:is>
      </x:c>
      <x:c r="K258" s="25" t="inlineStr">
        <x:is>
          <x:t xml:space="preserve">United Kingdom</x:t>
        </x:is>
      </x:c>
      <x:c r="M258" s="18" t="n">
        <x:v>0.5333333333333333</x:v>
      </x:c>
      <x:c r="N258" s="18" t="n"/>
      <x:c r="O258" s="19" t="inlineStr">
        <x:is>
          <x:t xml:space="preserve">2</x:t>
        </x:is>
      </x:c>
      <x:c r="P258" s="19" t="n">
        <x:v>6</x:v>
      </x:c>
      <x:c r="Q258" s="19" t="n">
        <x:v>6</x:v>
      </x:c>
      <x:c r="R258" s="19" t="n">
        <x:v>3</x:v>
      </x:c>
      <x:c r="S258" s="19" t="n">
        <x:v>6</x:v>
      </x:c>
      <x:c r="T258" s="19" t="n">
        <x:v>3</x:v>
      </x:c>
      <x:c r="U258" s="19" t="n">
        <x:v>4</x:v>
      </x:c>
      <x:c r="V258" s="19" t="n">
        <x:v>6</x:v>
      </x:c>
      <x:c r="W258" s="19" t="inlineStr">
        <x:is>
          <x:t xml:space="preserve">6</x:t>
        </x:is>
      </x:c>
      <x:c r="X258" s="19" t="n">
        <x:v>3</x:v>
      </x:c>
      <x:c r="Y258" s="20" t="n">
        <x:f>SUM(O258+Q258+S258+U258+W258)</x:f>
        <x:v>24</x:v>
      </x:c>
      <x:c r="Z258" s="20" t="n">
        <x:f>SUM(P258+R258+T258+V258+X258)</x:f>
        <x:v>21</x:v>
      </x:c>
      <x:c r="AA258" s="21" t="n">
        <x:f>Y258/(Y258+Z258)</x:f>
        <x:v>0.5333333333333333</x:v>
      </x:c>
    </x:row>
    <x:row r="259">
      <x:c r="A259" s="22" t="n">
        <x:f>wimbledons_champions!A267</x:f>
        <x:v>1882</x:v>
      </x:c>
      <x:c r="B259" s="25" t="str">
        <x:f>wimbledons_champions!B267</x:f>
        <x:v>Men's</x:v>
      </x:c>
      <x:c r="C259" s="25" t="inlineStr">
        <x:is>
          <x:t xml:space="preserve">W.C. Renshaw</x:t>
        </x:is>
      </x:c>
      <x:c r="D259" s="22" t="inlineStr">
        <x:is>
          <x:t xml:space="preserve">GBR</x:t>
        </x:is>
      </x:c>
      <x:c r="E259" s="25" t="inlineStr">
        <x:is>
          <x:t xml:space="preserve">United Kingdom</x:t>
        </x:is>
      </x:c>
      <x:c r="G259" s="22" t="n">
        <x:f>wimbledons_champions!G267</x:f>
        <x:v>85</x:v>
      </x:c>
      <x:c r="H259" s="25" t="str">
        <x:f>wimbledons_champions!H267</x:f>
        <x:v>6-1, 2-6, 4-6, 6-2, 6-2</x:v>
      </x:c>
      <x:c r="I259" s="25" t="inlineStr">
        <x:is>
          <x:t xml:space="preserve">J.E. Renshaw</x:t>
        </x:is>
      </x:c>
      <x:c r="J259" s="22" t="inlineStr">
        <x:is>
          <x:t xml:space="preserve">GBR</x:t>
        </x:is>
      </x:c>
      <x:c r="K259" s="25" t="inlineStr">
        <x:is>
          <x:t xml:space="preserve">United Kingdom</x:t>
        </x:is>
      </x:c>
      <x:c r="M259" s="18" t="n">
        <x:v>0.5853658536585366</x:v>
      </x:c>
      <x:c r="N259" s="18" t="n"/>
      <x:c r="O259" s="19" t="inlineStr">
        <x:is>
          <x:t xml:space="preserve">6</x:t>
        </x:is>
      </x:c>
      <x:c r="P259" s="19" t="n">
        <x:v>1</x:v>
      </x:c>
      <x:c r="Q259" s="19" t="n">
        <x:v>2</x:v>
      </x:c>
      <x:c r="R259" s="19" t="n">
        <x:v>6</x:v>
      </x:c>
      <x:c r="S259" s="19" t="n">
        <x:v>4</x:v>
      </x:c>
      <x:c r="T259" s="19" t="n">
        <x:v>6</x:v>
      </x:c>
      <x:c r="U259" s="19" t="n">
        <x:v>6</x:v>
      </x:c>
      <x:c r="V259" s="19" t="n">
        <x:v>2</x:v>
      </x:c>
      <x:c r="W259" s="19" t="inlineStr">
        <x:is>
          <x:t xml:space="preserve">6</x:t>
        </x:is>
      </x:c>
      <x:c r="X259" s="19" t="n">
        <x:v>2</x:v>
      </x:c>
      <x:c r="Y259" s="20" t="n">
        <x:f>SUM(O259+Q259+S259+U259+W259)</x:f>
        <x:v>24</x:v>
      </x:c>
      <x:c r="Z259" s="20" t="n">
        <x:f>SUM(P259+R259+T259+V259+X259)</x:f>
        <x:v>17</x:v>
      </x:c>
      <x:c r="AA259" s="21" t="n">
        <x:f>Y259/(Y259+Z259)</x:f>
        <x:v>0.5853658536585366</x:v>
      </x:c>
    </x:row>
    <x:row r="260">
      <x:c r="A260" s="22" t="n">
        <x:f>wimbledons_champions!A268</x:f>
        <x:v>1881</x:v>
      </x:c>
      <x:c r="B260" s="25" t="str">
        <x:f>wimbledons_champions!B268</x:f>
        <x:v>Men's</x:v>
      </x:c>
      <x:c r="C260" s="25" t="inlineStr">
        <x:is>
          <x:t xml:space="preserve">W.C. Renshaw</x:t>
        </x:is>
      </x:c>
      <x:c r="D260" s="22" t="inlineStr">
        <x:is>
          <x:t xml:space="preserve">GBR</x:t>
        </x:is>
      </x:c>
      <x:c r="E260" s="25" t="inlineStr">
        <x:is>
          <x:t xml:space="preserve">United Kingdom</x:t>
        </x:is>
      </x:c>
      <x:c r="G260" s="22" t="n">
        <x:f>wimbledons_champions!G268</x:f>
        <x:v>37</x:v>
      </x:c>
      <x:c r="H260" s="25" t="str">
        <x:f>wimbledons_champions!H268</x:f>
        <x:v>6-0, 6-1, 6-1</x:v>
      </x:c>
      <x:c r="I260" s="25" t="inlineStr">
        <x:is>
          <x:t xml:space="preserve">J.T. Hartley</x:t>
        </x:is>
      </x:c>
      <x:c r="J260" s="22" t="inlineStr">
        <x:is>
          <x:t xml:space="preserve">GBR</x:t>
        </x:is>
      </x:c>
      <x:c r="K260" s="25" t="inlineStr">
        <x:is>
          <x:t xml:space="preserve">United Kingdom</x:t>
        </x:is>
      </x:c>
      <x:c r="M260" s="18" t="n">
        <x:v>0.9</x:v>
      </x:c>
      <x:c r="N260" s="18" t="n"/>
      <x:c r="O260" s="19" t="inlineStr">
        <x:is>
          <x:t xml:space="preserve">6</x:t>
        </x:is>
      </x:c>
      <x:c r="P260" s="19" t="n">
        <x:v>0</x:v>
      </x:c>
      <x:c r="Q260" s="19" t="n">
        <x:v>6</x:v>
      </x:c>
      <x:c r="R260" s="19" t="n">
        <x:v>1</x:v>
      </x:c>
      <x:c r="S260" s="19" t="n">
        <x:v>6</x:v>
      </x:c>
      <x:c r="T260" s="19" t="n">
        <x:v>1</x:v>
      </x:c>
      <x:c r="U260" s="19" t="n"/>
      <x:c r="V260" s="19" t="n"/>
      <x:c r="W260" s="19" t="n"/>
      <x:c r="X260" s="19" t="n"/>
      <x:c r="Y260" s="20" t="n">
        <x:f>SUM(O260+Q260+S260+U260+W260)</x:f>
        <x:v>18</x:v>
      </x:c>
      <x:c r="Z260" s="20" t="n">
        <x:f>SUM(P260+R260+T260+V260+X260)</x:f>
        <x:v>2</x:v>
      </x:c>
      <x:c r="AA260" s="21" t="n">
        <x:f>Y260/(Y260+Z260)</x:f>
        <x:v>0.9</x:v>
      </x:c>
    </x:row>
    <x:row r="261">
      <x:c r="A261" s="22" t="n">
        <x:f>wimbledons_champions!A269</x:f>
        <x:v>1880</x:v>
      </x:c>
      <x:c r="B261" s="25" t="str">
        <x:f>wimbledons_champions!B269</x:f>
        <x:v>Men's</x:v>
      </x:c>
      <x:c r="C261" s="25" t="inlineStr">
        <x:is>
          <x:t xml:space="preserve">J.T. Hartley</x:t>
        </x:is>
      </x:c>
      <x:c r="D261" s="22" t="inlineStr">
        <x:is>
          <x:t xml:space="preserve">GBR</x:t>
        </x:is>
      </x:c>
      <x:c r="E261" s="25" t="inlineStr">
        <x:is>
          <x:t xml:space="preserve">United Kingdom</x:t>
        </x:is>
      </x:c>
      <x:c r="G261" s="22" t="n">
        <x:f>wimbledons_champions!G269</x:f>
        <x:v>0</x:v>
      </x:c>
      <x:c r="H261" s="25" t="str">
        <x:f>wimbledons_champions!H269</x:f>
        <x:v>6-3, 6-2, 2-6, 6-3</x:v>
      </x:c>
      <x:c r="I261" s="25" t="inlineStr">
        <x:is>
          <x:t xml:space="preserve">H.F. Lawford</x:t>
        </x:is>
      </x:c>
      <x:c r="J261" s="22" t="inlineStr">
        <x:is>
          <x:t xml:space="preserve">GBR</x:t>
        </x:is>
      </x:c>
      <x:c r="K261" s="25" t="inlineStr">
        <x:is>
          <x:t xml:space="preserve">United Kingdom</x:t>
        </x:is>
      </x:c>
      <x:c r="M261" s="18" t="n">
        <x:v>0.5882352941176471</x:v>
      </x:c>
      <x:c r="N261" s="18" t="n"/>
      <x:c r="O261" s="19" t="inlineStr">
        <x:is>
          <x:t xml:space="preserve">6</x:t>
        </x:is>
      </x:c>
      <x:c r="P261" s="19" t="n">
        <x:v>3</x:v>
      </x:c>
      <x:c r="Q261" s="19" t="n">
        <x:v>6</x:v>
      </x:c>
      <x:c r="R261" s="19" t="n">
        <x:v>2</x:v>
      </x:c>
      <x:c r="S261" s="19" t="n">
        <x:v>2</x:v>
      </x:c>
      <x:c r="T261" s="19" t="n">
        <x:v>6</x:v>
      </x:c>
      <x:c r="U261" s="19" t="n">
        <x:v>6</x:v>
      </x:c>
      <x:c r="V261" s="19" t="n">
        <x:v>3</x:v>
      </x:c>
      <x:c r="W261" s="19" t="n"/>
      <x:c r="X261" s="19" t="n"/>
      <x:c r="Y261" s="20" t="n">
        <x:f>SUM(O261+Q261+S261+U261+W261)</x:f>
        <x:v>20</x:v>
      </x:c>
      <x:c r="Z261" s="20" t="n">
        <x:f>SUM(P261+R261+T261+V261+X261)</x:f>
        <x:v>14</x:v>
      </x:c>
      <x:c r="AA261" s="21" t="n">
        <x:f>Y261/(Y261+Z261)</x:f>
        <x:v>0.5882352941176471</x:v>
      </x:c>
    </x:row>
    <x:row r="262">
      <x:c r="A262" s="22" t="n">
        <x:f>wimbledons_champions!A270</x:f>
        <x:v>1879</x:v>
      </x:c>
      <x:c r="B262" s="25" t="str">
        <x:f>wimbledons_champions!B270</x:f>
        <x:v>Men's</x:v>
      </x:c>
      <x:c r="C262" s="25" t="inlineStr">
        <x:is>
          <x:t xml:space="preserve">J.T. Hartley</x:t>
        </x:is>
      </x:c>
      <x:c r="D262" s="22" t="inlineStr">
        <x:is>
          <x:t xml:space="preserve">GBR</x:t>
        </x:is>
      </x:c>
      <x:c r="E262" s="25" t="inlineStr">
        <x:is>
          <x:t xml:space="preserve">United Kingdom</x:t>
        </x:is>
      </x:c>
      <x:c r="G262" s="22" t="n">
        <x:f>wimbledons_champions!G270</x:f>
        <x:v>0</x:v>
      </x:c>
      <x:c r="H262" s="25" t="str">
        <x:f>wimbledons_champions!H270</x:f>
        <x:v>6-2, 6-4, 6-2</x:v>
      </x:c>
      <x:c r="I262" s="25" t="inlineStr">
        <x:is>
          <x:t xml:space="preserve">V.T.St.L. Goold</x:t>
        </x:is>
      </x:c>
      <x:c r="J262" s="22" t="inlineStr">
        <x:is>
          <x:t xml:space="preserve">GBR</x:t>
        </x:is>
      </x:c>
      <x:c r="K262" s="25" t="inlineStr">
        <x:is>
          <x:t xml:space="preserve">United Kingdom</x:t>
        </x:is>
      </x:c>
      <x:c r="M262" s="18" t="n">
        <x:v>0.6923076923076923</x:v>
      </x:c>
      <x:c r="N262" s="18" t="n"/>
      <x:c r="O262" s="19" t="inlineStr">
        <x:is>
          <x:t xml:space="preserve">6</x:t>
        </x:is>
      </x:c>
      <x:c r="P262" s="19" t="n">
        <x:v>2</x:v>
      </x:c>
      <x:c r="Q262" s="19" t="n">
        <x:v>6</x:v>
      </x:c>
      <x:c r="R262" s="19" t="n">
        <x:v>4</x:v>
      </x:c>
      <x:c r="S262" s="19" t="n">
        <x:v>6</x:v>
      </x:c>
      <x:c r="T262" s="19" t="n">
        <x:v>2</x:v>
      </x:c>
      <x:c r="U262" s="19" t="n"/>
      <x:c r="V262" s="19" t="n"/>
      <x:c r="W262" s="19" t="n"/>
      <x:c r="X262" s="19" t="n"/>
      <x:c r="Y262" s="20" t="n">
        <x:f>SUM(O262+Q262+S262+U262+W262)</x:f>
        <x:v>18</x:v>
      </x:c>
      <x:c r="Z262" s="20" t="n">
        <x:f>SUM(P262+R262+T262+V262+X262)</x:f>
        <x:v>8</x:v>
      </x:c>
      <x:c r="AA262" s="21" t="n">
        <x:f>Y262/(Y262+Z262)</x:f>
        <x:v>0.6923076923076923</x:v>
      </x:c>
    </x:row>
    <x:row r="263">
      <x:c r="A263" s="22" t="n">
        <x:f>wimbledons_champions!A271</x:f>
        <x:v>1878</x:v>
      </x:c>
      <x:c r="B263" s="25" t="str">
        <x:f>wimbledons_champions!B271</x:f>
        <x:v>Men's</x:v>
      </x:c>
      <x:c r="C263" s="25" t="inlineStr">
        <x:is>
          <x:t xml:space="preserve">P.F. Hadow</x:t>
        </x:is>
      </x:c>
      <x:c r="D263" s="22" t="inlineStr">
        <x:is>
          <x:t xml:space="preserve">GBR</x:t>
        </x:is>
      </x:c>
      <x:c r="E263" s="25" t="inlineStr">
        <x:is>
          <x:t xml:space="preserve">United Kingdom</x:t>
        </x:is>
      </x:c>
      <x:c r="G263" s="22" t="n">
        <x:f>wimbledons_champions!G271</x:f>
        <x:v>0</x:v>
      </x:c>
      <x:c r="H263" s="25" t="str">
        <x:f>wimbledons_champions!H271</x:f>
        <x:v>7-5, 6-1, 9-7</x:v>
      </x:c>
      <x:c r="I263" s="25" t="inlineStr">
        <x:is>
          <x:t xml:space="preserve">S.W. Gore</x:t>
        </x:is>
      </x:c>
      <x:c r="J263" s="22" t="inlineStr">
        <x:is>
          <x:t xml:space="preserve">GBR</x:t>
        </x:is>
      </x:c>
      <x:c r="K263" s="25" t="inlineStr">
        <x:is>
          <x:t xml:space="preserve">United Kingdom</x:t>
        </x:is>
      </x:c>
      <x:c r="M263" s="18" t="n">
        <x:v>0.6285714285714286</x:v>
      </x:c>
      <x:c r="N263" s="18" t="n"/>
      <x:c r="O263" s="19" t="inlineStr">
        <x:is>
          <x:t xml:space="preserve">7</x:t>
        </x:is>
      </x:c>
      <x:c r="P263" s="19" t="n">
        <x:v>5</x:v>
      </x:c>
      <x:c r="Q263" s="19" t="n">
        <x:v>6</x:v>
      </x:c>
      <x:c r="R263" s="19" t="n">
        <x:v>1</x:v>
      </x:c>
      <x:c r="S263" s="19" t="n">
        <x:v>9</x:v>
      </x:c>
      <x:c r="T263" s="19" t="n">
        <x:v>7</x:v>
      </x:c>
      <x:c r="U263" s="19" t="n"/>
      <x:c r="V263" s="19" t="n"/>
      <x:c r="W263" s="19" t="n"/>
      <x:c r="X263" s="19" t="n"/>
      <x:c r="Y263" s="20" t="n">
        <x:f>SUM(O263+Q263+S263+U263+W263)</x:f>
        <x:v>22</x:v>
      </x:c>
      <x:c r="Z263" s="20" t="n">
        <x:f>SUM(P263+R263+T263+V263+X263)</x:f>
        <x:v>13</x:v>
      </x:c>
      <x:c r="AA263" s="21" t="n">
        <x:f>Y263/(Y263+Z263)</x:f>
        <x:v>0.6285714285714286</x:v>
      </x:c>
    </x:row>
    <x:row r="264">
      <x:c r="A264" s="22" t="n">
        <x:f>wimbledons_champions!A272</x:f>
        <x:v>1877</x:v>
      </x:c>
      <x:c r="B264" s="25" t="str">
        <x:f>wimbledons_champions!B272</x:f>
        <x:v>Men's</x:v>
      </x:c>
      <x:c r="C264" s="25" t="inlineStr">
        <x:is>
          <x:t xml:space="preserve">S.W. Gore</x:t>
        </x:is>
      </x:c>
      <x:c r="D264" s="22" t="inlineStr">
        <x:is>
          <x:t xml:space="preserve">GBR</x:t>
        </x:is>
      </x:c>
      <x:c r="E264" s="25" t="inlineStr">
        <x:is>
          <x:t xml:space="preserve">United Kingdom</x:t>
        </x:is>
      </x:c>
      <x:c r="G264" s="22" t="n">
        <x:f>wimbledons_champions!G272</x:f>
        <x:v>48</x:v>
      </x:c>
      <x:c r="H264" s="25" t="str">
        <x:f>wimbledons_champions!H272</x:f>
        <x:v>6-1, 6-2, 6-4</x:v>
      </x:c>
      <x:c r="I264" s="25" t="inlineStr">
        <x:is>
          <x:t xml:space="preserve">W.C. Marshall</x:t>
        </x:is>
      </x:c>
      <x:c r="J264" s="22" t="inlineStr">
        <x:is>
          <x:t xml:space="preserve">GBR</x:t>
        </x:is>
      </x:c>
      <x:c r="K264" s="25" t="inlineStr">
        <x:is>
          <x:t xml:space="preserve">United Kingdom</x:t>
        </x:is>
      </x:c>
      <x:c r="M264" s="18" t="n">
        <x:v>0.72</x:v>
      </x:c>
      <x:c r="N264" s="18" t="n"/>
      <x:c r="O264" s="19" t="inlineStr">
        <x:is>
          <x:t xml:space="preserve">6</x:t>
        </x:is>
      </x:c>
      <x:c r="P264" s="19" t="n">
        <x:v>1</x:v>
      </x:c>
      <x:c r="Q264" s="19" t="n">
        <x:v>6</x:v>
      </x:c>
      <x:c r="R264" s="19" t="n">
        <x:v>2</x:v>
      </x:c>
      <x:c r="S264" s="19" t="n">
        <x:v>6</x:v>
      </x:c>
      <x:c r="T264" s="19" t="n">
        <x:v>4</x:v>
      </x:c>
      <x:c r="U264" s="19" t="n"/>
      <x:c r="V264" s="19" t="n"/>
      <x:c r="W264" s="19" t="n"/>
      <x:c r="X264" s="19" t="n"/>
      <x:c r="Y264" s="20" t="n">
        <x:f>SUM(O264+Q264+S264+U264+W264)</x:f>
        <x:v>18</x:v>
      </x:c>
      <x:c r="Z264" s="20" t="n">
        <x:f>SUM(P264+R264+T264+V264+X264)</x:f>
        <x:v>7</x:v>
      </x:c>
      <x:c r="AA264" s="21" t="n">
        <x:f>Y264/(Y264+Z264)</x:f>
        <x:v>0.72</x:v>
      </x:c>
    </x:row>
  </x:sheetData>
  <x:pageMargins left="0.7" right="0.7" top="0.75" bottom="0.75" header="0.3" footer="0.3"/>
  <x:tableParts count="1">
    <x:tablePart xmlns:r="http://schemas.openxmlformats.org/officeDocument/2006/relationships" r:id="Rc7ab2ba60b4d4fa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.600000381469727"/>
  <x:cols>
    <x:col min="1" max="1" width="5" customWidth="1"/>
    <x:col min="2" max="2" width="16" customWidth="1"/>
    <x:col min="3" max="3" width="15.69140625" customWidth="1"/>
    <x:col min="4" max="5" width="20.53515625" customWidth="1"/>
    <x:col min="6" max="6" width="15" customWidth="1"/>
    <x:col min="7" max="7" width="5.4609375" customWidth="1"/>
    <x:col min="8" max="8" width="30.4609375" customWidth="1"/>
    <x:col min="9" max="9" width="20.69140625" customWidth="1"/>
    <x:col min="10" max="11" width="21" customWidth="1"/>
    <x:col min="12" max="12" width="15.4609375" customWidth="1"/>
  </x:cols>
  <x:sheetData>
    <x:row r="1">
      <x:c r="A1" s="15" t="inlineStr">
        <x:is>
          <x:t xml:space="preserve">Year</x:t>
        </x:is>
      </x:c>
      <x:c r="B1" s="15" t="inlineStr">
        <x:is>
          <x:t xml:space="preserve">Gender</x:t>
        </x:is>
      </x:c>
      <x:c r="C1" s="15" t="inlineStr">
        <x:is>
          <x:t xml:space="preserve">Champion</x:t>
        </x:is>
      </x:c>
      <x:c r="D1" s="15" t="inlineStr">
        <x:is>
          <x:t xml:space="preserve">Champion Nationality</x:t>
        </x:is>
      </x:c>
      <x:c r="E1" s="15" t="inlineStr">
        <x:is>
          <x:t xml:space="preserve">Champion Country</x:t>
        </x:is>
      </x:c>
      <x:c r="F1" s="15" t="inlineStr">
        <x:is>
          <x:t xml:space="preserve">Champion Seed</x:t>
        </x:is>
      </x:c>
      <x:c r="G1" s="15" t="inlineStr">
        <x:is>
          <x:t xml:space="preserve">Mins</x:t>
        </x:is>
      </x:c>
      <x:c r="H1" s="15" t="inlineStr">
        <x:is>
          <x:t xml:space="preserve">Score</x:t>
        </x:is>
      </x:c>
      <x:c r="I1" s="15" t="inlineStr">
        <x:is>
          <x:t xml:space="preserve">Runner-up</x:t>
        </x:is>
      </x:c>
      <x:c r="J1" s="15" t="inlineStr">
        <x:is>
          <x:t xml:space="preserve">Runner-up Nationality</x:t>
        </x:is>
      </x:c>
      <x:c r="K1" s="15" t="inlineStr">
        <x:is>
          <x:t xml:space="preserve">Runner-up Country</x:t>
        </x:is>
      </x:c>
      <x:c r="L1" s="15" t="inlineStr">
        <x:is>
          <x:t xml:space="preserve">Runner-up Seed</x:t>
        </x:is>
      </x:c>
    </x:row>
    <x:row r="2">
      <x:c r="A2" t="n">
        <x:v>2019</x:v>
      </x:c>
      <x:c r="B2" t="inlineStr">
        <x:is>
          <x:t xml:space="preserve">Women's</x:t>
        </x:is>
      </x:c>
      <x:c r="C2" t="inlineStr">
        <x:is>
          <x:t xml:space="preserve">S.Halep</x:t>
        </x:is>
      </x:c>
      <x:c r="D2" t="inlineStr">
        <x:is>
          <x:t xml:space="preserve">ROU</x:t>
        </x:is>
      </x:c>
      <x:c r="E2" t="inlineStr">
        <x:is>
          <x:t xml:space="preserve">Romania</x:t>
        </x:is>
      </x:c>
      <x:c r="F2" t="n">
        <x:v>7</x:v>
      </x:c>
      <x:c r="G2" t="n">
        <x:v>56</x:v>
      </x:c>
      <x:c r="H2" t="inlineStr">
        <x:is>
          <x:t xml:space="preserve">6-2,6-2</x:t>
        </x:is>
      </x:c>
      <x:c r="I2" t="inlineStr">
        <x:is>
          <x:t xml:space="preserve">S. Williams</x:t>
        </x:is>
      </x:c>
      <x:c r="J2" t="inlineStr">
        <x:is>
          <x:t xml:space="preserve">USA</x:t>
        </x:is>
      </x:c>
      <x:c r="K2" t="inlineStr">
        <x:is>
          <x:t xml:space="preserve">United States</x:t>
        </x:is>
      </x:c>
      <x:c r="L2" t="n">
        <x:v>11</x:v>
      </x:c>
    </x:row>
    <x:row r="3">
      <x:c r="A3" t="n">
        <x:v>2019</x:v>
      </x:c>
      <x:c r="B3" t="inlineStr">
        <x:is>
          <x:t xml:space="preserve">Men's</x:t>
        </x:is>
      </x:c>
      <x:c r="C3" t="inlineStr">
        <x:is>
          <x:t xml:space="preserve">N. Djokovic</x:t>
        </x:is>
      </x:c>
      <x:c r="D3" t="inlineStr">
        <x:is>
          <x:t xml:space="preserve">SRB</x:t>
        </x:is>
      </x:c>
      <x:c r="E3" t="inlineStr">
        <x:is>
          <x:t xml:space="preserve">Serbia</x:t>
        </x:is>
      </x:c>
      <x:c r="F3" t="n">
        <x:v>1</x:v>
      </x:c>
      <x:c r="G3" t="n">
        <x:v>297</x:v>
      </x:c>
      <x:c r="H3" t="inlineStr">
        <x:is>
          <x:t xml:space="preserve">7-6,1-6,7-6,4-6,7-6</x:t>
        </x:is>
      </x:c>
      <x:c r="I3" t="inlineStr">
        <x:is>
          <x:t xml:space="preserve">R. Federer</x:t>
        </x:is>
      </x:c>
      <x:c r="J3" t="inlineStr">
        <x:is>
          <x:t xml:space="preserve">SUI</x:t>
        </x:is>
      </x:c>
      <x:c r="K3" t="inlineStr">
        <x:is>
          <x:t xml:space="preserve">Switzerland</x:t>
        </x:is>
      </x:c>
      <x:c r="L3" t="n">
        <x:v>2</x:v>
      </x:c>
    </x:row>
    <x:row r="4">
      <x:c r="A4" t="n">
        <x:v>2018</x:v>
      </x:c>
      <x:c r="B4" t="inlineStr">
        <x:is>
          <x:t xml:space="preserve">Women's</x:t>
        </x:is>
      </x:c>
      <x:c r="C4" t="inlineStr">
        <x:is>
          <x:t xml:space="preserve">A.Kerber</x:t>
        </x:is>
      </x:c>
      <x:c r="D4" t="inlineStr">
        <x:is>
          <x:t xml:space="preserve">GER</x:t>
        </x:is>
      </x:c>
      <x:c r="E4" t="inlineStr">
        <x:is>
          <x:t xml:space="preserve">Germany</x:t>
        </x:is>
      </x:c>
      <x:c r="F4" t="n">
        <x:v>11</x:v>
      </x:c>
      <x:c r="G4" t="n">
        <x:v>65</x:v>
      </x:c>
      <x:c r="H4" t="inlineStr">
        <x:is>
          <x:t xml:space="preserve">6-3,6-3</x:t>
        </x:is>
      </x:c>
      <x:c r="I4" t="inlineStr">
        <x:is>
          <x:t xml:space="preserve">S. Williams</x:t>
        </x:is>
      </x:c>
      <x:c r="J4" t="inlineStr">
        <x:is>
          <x:t xml:space="preserve">USA</x:t>
        </x:is>
      </x:c>
      <x:c r="K4" t="inlineStr">
        <x:is>
          <x:t xml:space="preserve">United States</x:t>
        </x:is>
      </x:c>
      <x:c r="L4" t="n">
        <x:v>25</x:v>
      </x:c>
    </x:row>
    <x:row r="5">
      <x:c r="A5" t="n">
        <x:v>2018</x:v>
      </x:c>
      <x:c r="B5" t="inlineStr">
        <x:is>
          <x:t xml:space="preserve">Men's</x:t>
        </x:is>
      </x:c>
      <x:c r="C5" t="inlineStr">
        <x:is>
          <x:t xml:space="preserve">N. Djokovic</x:t>
        </x:is>
      </x:c>
      <x:c r="D5" t="inlineStr">
        <x:is>
          <x:t xml:space="preserve">SRB</x:t>
        </x:is>
      </x:c>
      <x:c r="E5" t="inlineStr">
        <x:is>
          <x:t xml:space="preserve">Serbia</x:t>
        </x:is>
      </x:c>
      <x:c r="F5" t="n">
        <x:v>12</x:v>
      </x:c>
      <x:c r="G5" t="n">
        <x:v>170</x:v>
      </x:c>
      <x:c r="H5" t="inlineStr">
        <x:is>
          <x:t xml:space="preserve">6-2,6-2,7-6</x:t>
        </x:is>
      </x:c>
      <x:c r="I5" t="inlineStr">
        <x:is>
          <x:t xml:space="preserve">K.Anderson</x:t>
        </x:is>
      </x:c>
      <x:c r="J5" t="inlineStr">
        <x:is>
          <x:t xml:space="preserve">RSA</x:t>
        </x:is>
      </x:c>
      <x:c r="K5" t="inlineStr">
        <x:is>
          <x:t xml:space="preserve">South Africa</x:t>
        </x:is>
      </x:c>
      <x:c r="L5" t="n">
        <x:v>8</x:v>
      </x:c>
    </x:row>
    <x:row r="6">
      <x:c r="A6" t="n">
        <x:v>2017</x:v>
      </x:c>
      <x:c r="B6" t="inlineStr">
        <x:is>
          <x:t xml:space="preserve">Women's</x:t>
        </x:is>
      </x:c>
      <x:c r="C6" t="inlineStr">
        <x:is>
          <x:t xml:space="preserve">G.Muguruza</x:t>
        </x:is>
      </x:c>
      <x:c r="D6" t="inlineStr">
        <x:is>
          <x:t xml:space="preserve">ESP</x:t>
        </x:is>
      </x:c>
      <x:c r="E6" t="inlineStr">
        <x:is>
          <x:t xml:space="preserve">Spain</x:t>
        </x:is>
      </x:c>
      <x:c r="F6" t="n">
        <x:v>14</x:v>
      </x:c>
      <x:c r="G6" t="n">
        <x:v>77</x:v>
      </x:c>
      <x:c r="H6" t="inlineStr">
        <x:is>
          <x:t xml:space="preserve">7-5,6-0</x:t>
        </x:is>
      </x:c>
      <x:c r="I6" t="inlineStr">
        <x:is>
          <x:t xml:space="preserve">V.E.S Williams</x:t>
        </x:is>
      </x:c>
      <x:c r="J6" t="inlineStr">
        <x:is>
          <x:t xml:space="preserve">USA</x:t>
        </x:is>
      </x:c>
      <x:c r="K6" t="inlineStr">
        <x:is>
          <x:t xml:space="preserve">United States</x:t>
        </x:is>
      </x:c>
      <x:c r="L6" t="n">
        <x:v>10</x:v>
      </x:c>
    </x:row>
    <x:row r="7">
      <x:c r="A7" t="n">
        <x:v>2017</x:v>
      </x:c>
      <x:c r="B7" t="inlineStr">
        <x:is>
          <x:t xml:space="preserve">Men's</x:t>
        </x:is>
      </x:c>
      <x:c r="C7" t="inlineStr">
        <x:is>
          <x:t xml:space="preserve">R. Federer</x:t>
        </x:is>
      </x:c>
      <x:c r="D7" t="inlineStr">
        <x:is>
          <x:t xml:space="preserve">SUI</x:t>
        </x:is>
      </x:c>
      <x:c r="E7" t="inlineStr">
        <x:is>
          <x:t xml:space="preserve">Switzerland</x:t>
        </x:is>
      </x:c>
      <x:c r="F7" t="n">
        <x:v>3</x:v>
      </x:c>
      <x:c r="G7" t="n">
        <x:v>101</x:v>
      </x:c>
      <x:c r="H7" t="inlineStr">
        <x:is>
          <x:t xml:space="preserve">6-3,6-1,6-4</x:t>
        </x:is>
      </x:c>
      <x:c r="I7" t="inlineStr">
        <x:is>
          <x:t xml:space="preserve">M.Cilic</x:t>
        </x:is>
      </x:c>
      <x:c r="J7" t="inlineStr">
        <x:is>
          <x:t xml:space="preserve">HRV</x:t>
        </x:is>
      </x:c>
      <x:c r="K7" t="inlineStr">
        <x:is>
          <x:t xml:space="preserve">Croatiaatia</x:t>
        </x:is>
      </x:c>
      <x:c r="L7" t="n">
        <x:v>7</x:v>
      </x:c>
    </x:row>
    <x:row r="8">
      <x:c r="A8" t="n">
        <x:v>2016</x:v>
      </x:c>
      <x:c r="B8" t="inlineStr">
        <x:is>
          <x:t xml:space="preserve">Women's</x:t>
        </x:is>
      </x:c>
      <x:c r="C8" t="inlineStr">
        <x:is>
          <x:t xml:space="preserve">S. Williams</x:t>
        </x:is>
      </x:c>
      <x:c r="D8" t="inlineStr">
        <x:is>
          <x:t xml:space="preserve">USA</x:t>
        </x:is>
      </x:c>
      <x:c r="E8" t="inlineStr">
        <x:is>
          <x:t xml:space="preserve">United States</x:t>
        </x:is>
      </x:c>
      <x:c r="F8" t="n">
        <x:v>1</x:v>
      </x:c>
      <x:c r="G8" t="n">
        <x:v>83</x:v>
      </x:c>
      <x:c r="H8" t="inlineStr">
        <x:is>
          <x:t xml:space="preserve">7-5, 6-3</x:t>
        </x:is>
      </x:c>
      <x:c r="I8" t="inlineStr">
        <x:is>
          <x:t xml:space="preserve">A. Kerber</x:t>
        </x:is>
      </x:c>
      <x:c r="J8" t="inlineStr">
        <x:is>
          <x:t xml:space="preserve">GER</x:t>
        </x:is>
      </x:c>
      <x:c r="K8" t="inlineStr">
        <x:is>
          <x:t xml:space="preserve">Germany</x:t>
        </x:is>
      </x:c>
      <x:c r="L8" t="n">
        <x:v>4</x:v>
      </x:c>
    </x:row>
    <x:row r="9">
      <x:c r="A9" t="n">
        <x:v>2016</x:v>
      </x:c>
      <x:c r="B9" t="inlineStr">
        <x:is>
          <x:t xml:space="preserve">Men's</x:t>
        </x:is>
      </x:c>
      <x:c r="C9" t="inlineStr">
        <x:is>
          <x:t xml:space="preserve">A. Murray</x:t>
        </x:is>
      </x:c>
      <x:c r="D9" t="inlineStr">
        <x:is>
          <x:t xml:space="preserve">GBR</x:t>
        </x:is>
      </x:c>
      <x:c r="E9" t="inlineStr">
        <x:is>
          <x:t xml:space="preserve">United Kingdom</x:t>
        </x:is>
      </x:c>
      <x:c r="F9" t="n">
        <x:v>2</x:v>
      </x:c>
      <x:c r="G9" t="n">
        <x:v>170</x:v>
      </x:c>
      <x:c r="H9" t="inlineStr">
        <x:is>
          <x:t xml:space="preserve">6-4, 7-6, 7-6</x:t>
        </x:is>
      </x:c>
      <x:c r="I9" t="inlineStr">
        <x:is>
          <x:t xml:space="preserve">M. Raonic</x:t>
        </x:is>
      </x:c>
      <x:c r="J9" t="inlineStr">
        <x:is>
          <x:t xml:space="preserve">CND</x:t>
        </x:is>
      </x:c>
      <x:c r="K9" t="inlineStr">
        <x:is>
          <x:t xml:space="preserve">Canada</x:t>
        </x:is>
      </x:c>
      <x:c r="L9" t="n">
        <x:v>6</x:v>
      </x:c>
    </x:row>
    <x:row r="10">
      <x:c r="A10" t="n">
        <x:v>2015</x:v>
      </x:c>
      <x:c r="B10" t="inlineStr">
        <x:is>
          <x:t xml:space="preserve">Women's</x:t>
        </x:is>
      </x:c>
      <x:c r="C10" t="inlineStr">
        <x:is>
          <x:t xml:space="preserve">S. Williams</x:t>
        </x:is>
      </x:c>
      <x:c r="D10" t="inlineStr">
        <x:is>
          <x:t xml:space="preserve">USA</x:t>
        </x:is>
      </x:c>
      <x:c r="E10" t="inlineStr">
        <x:is>
          <x:t xml:space="preserve">United States</x:t>
        </x:is>
      </x:c>
      <x:c r="F10" t="n">
        <x:v>1</x:v>
      </x:c>
      <x:c r="G10" t="n">
        <x:v>83</x:v>
      </x:c>
      <x:c r="H10" t="inlineStr">
        <x:is>
          <x:t xml:space="preserve">6-4, 6-4</x:t>
        </x:is>
      </x:c>
      <x:c r="I10" t="inlineStr">
        <x:is>
          <x:t xml:space="preserve">G. Muguruza</x:t>
        </x:is>
      </x:c>
      <x:c r="J10" t="inlineStr">
        <x:is>
          <x:t xml:space="preserve">ESP</x:t>
        </x:is>
      </x:c>
      <x:c r="K10" t="inlineStr">
        <x:is>
          <x:t xml:space="preserve">Spain</x:t>
        </x:is>
      </x:c>
      <x:c r="L10" t="n">
        <x:v>20</x:v>
      </x:c>
    </x:row>
    <x:row r="11">
      <x:c r="A11" t="n">
        <x:v>2015</x:v>
      </x:c>
      <x:c r="B11" t="inlineStr">
        <x:is>
          <x:t xml:space="preserve">Men's</x:t>
        </x:is>
      </x:c>
      <x:c r="C11" t="inlineStr">
        <x:is>
          <x:t xml:space="preserve">N. Djokovic</x:t>
        </x:is>
      </x:c>
      <x:c r="D11" t="inlineStr">
        <x:is>
          <x:t xml:space="preserve">SRB</x:t>
        </x:is>
      </x:c>
      <x:c r="E11" t="inlineStr">
        <x:is>
          <x:t xml:space="preserve">Serbia</x:t>
        </x:is>
      </x:c>
      <x:c r="F11" t="n">
        <x:v>1</x:v>
      </x:c>
      <x:c r="G11" t="n">
        <x:v>176</x:v>
      </x:c>
      <x:c r="H11" t="inlineStr">
        <x:is>
          <x:t xml:space="preserve">7-6, 6-7, 6-4, 6-3</x:t>
        </x:is>
      </x:c>
      <x:c r="I11" t="inlineStr">
        <x:is>
          <x:t xml:space="preserve">R. Federer</x:t>
        </x:is>
      </x:c>
      <x:c r="J11" t="inlineStr">
        <x:is>
          <x:t xml:space="preserve">SUI</x:t>
        </x:is>
      </x:c>
      <x:c r="K11" t="inlineStr">
        <x:is>
          <x:t xml:space="preserve">Switzerland</x:t>
        </x:is>
      </x:c>
      <x:c r="L11" t="n">
        <x:v>2</x:v>
      </x:c>
    </x:row>
    <x:row r="12">
      <x:c r="A12" t="n">
        <x:v>2014</x:v>
      </x:c>
      <x:c r="B12" t="inlineStr">
        <x:is>
          <x:t xml:space="preserve">Women's</x:t>
        </x:is>
      </x:c>
      <x:c r="C12" t="inlineStr">
        <x:is>
          <x:t xml:space="preserve">P. Kvitová</x:t>
        </x:is>
      </x:c>
      <x:c r="D12" t="inlineStr">
        <x:is>
          <x:t xml:space="preserve">CZE</x:t>
        </x:is>
      </x:c>
      <x:c r="E12" t="inlineStr">
        <x:is>
          <x:t xml:space="preserve">Czechia</x:t>
        </x:is>
      </x:c>
      <x:c r="F12" t="n">
        <x:v>6</x:v>
      </x:c>
      <x:c r="G12" t="n">
        <x:v>55</x:v>
      </x:c>
      <x:c r="H12" t="inlineStr">
        <x:is>
          <x:t xml:space="preserve">6-3, 6-0</x:t>
        </x:is>
      </x:c>
      <x:c r="I12" t="inlineStr">
        <x:is>
          <x:t xml:space="preserve">E. Bouchard</x:t>
        </x:is>
      </x:c>
      <x:c r="J12" t="inlineStr">
        <x:is>
          <x:t xml:space="preserve">CND</x:t>
        </x:is>
      </x:c>
      <x:c r="K12" t="inlineStr">
        <x:is>
          <x:t xml:space="preserve">Canada</x:t>
        </x:is>
      </x:c>
      <x:c r="L12" t="n">
        <x:v>13</x:v>
      </x:c>
    </x:row>
    <x:row r="13">
      <x:c r="A13" t="n">
        <x:v>2014</x:v>
      </x:c>
      <x:c r="B13" t="inlineStr">
        <x:is>
          <x:t xml:space="preserve">Men's</x:t>
        </x:is>
      </x:c>
      <x:c r="C13" t="inlineStr">
        <x:is>
          <x:t xml:space="preserve">N. Djokovic</x:t>
        </x:is>
      </x:c>
      <x:c r="D13" t="inlineStr">
        <x:is>
          <x:t xml:space="preserve">SRB</x:t>
        </x:is>
      </x:c>
      <x:c r="E13" t="inlineStr">
        <x:is>
          <x:t xml:space="preserve">Serbia</x:t>
        </x:is>
      </x:c>
      <x:c r="F13" t="n">
        <x:v>1</x:v>
      </x:c>
      <x:c r="G13" t="n">
        <x:v>236</x:v>
      </x:c>
      <x:c r="H13" t="inlineStr">
        <x:is>
          <x:t xml:space="preserve">6-7, 6-4, 7-64, 5-7, 6-4</x:t>
        </x:is>
      </x:c>
      <x:c r="I13" t="inlineStr">
        <x:is>
          <x:t xml:space="preserve">R. Federer</x:t>
        </x:is>
      </x:c>
      <x:c r="J13" t="inlineStr">
        <x:is>
          <x:t xml:space="preserve">SUI</x:t>
        </x:is>
      </x:c>
      <x:c r="K13" t="inlineStr">
        <x:is>
          <x:t xml:space="preserve">Switzerland</x:t>
        </x:is>
      </x:c>
      <x:c r="L13" t="n">
        <x:v>4</x:v>
      </x:c>
    </x:row>
    <x:row r="14">
      <x:c r="A14" t="n">
        <x:v>2013</x:v>
      </x:c>
      <x:c r="B14" t="inlineStr">
        <x:is>
          <x:t xml:space="preserve">Women's</x:t>
        </x:is>
      </x:c>
      <x:c r="C14" t="inlineStr">
        <x:is>
          <x:t xml:space="preserve">M. Bartoli</x:t>
        </x:is>
      </x:c>
      <x:c r="D14" t="inlineStr">
        <x:is>
          <x:t xml:space="preserve">FRA</x:t>
        </x:is>
      </x:c>
      <x:c r="E14" t="inlineStr">
        <x:is>
          <x:t xml:space="preserve">France</x:t>
        </x:is>
      </x:c>
      <x:c r="F14" t="n">
        <x:v>15</x:v>
      </x:c>
      <x:c r="G14" t="n">
        <x:v>81</x:v>
      </x:c>
      <x:c r="H14" t="inlineStr">
        <x:is>
          <x:t xml:space="preserve">6-2,1-6,6-4</x:t>
        </x:is>
      </x:c>
      <x:c r="I14" t="inlineStr">
        <x:is>
          <x:t xml:space="preserve">S. Lisicki</x:t>
        </x:is>
      </x:c>
      <x:c r="J14" t="inlineStr">
        <x:is>
          <x:t xml:space="preserve">GER</x:t>
        </x:is>
      </x:c>
      <x:c r="K14" t="inlineStr">
        <x:is>
          <x:t xml:space="preserve">Germany</x:t>
        </x:is>
      </x:c>
      <x:c r="L14" t="n">
        <x:v>23</x:v>
      </x:c>
    </x:row>
    <x:row r="15">
      <x:c r="A15" t="n">
        <x:v>2013</x:v>
      </x:c>
      <x:c r="B15" t="inlineStr">
        <x:is>
          <x:t xml:space="preserve">Men's</x:t>
        </x:is>
      </x:c>
      <x:c r="C15" t="inlineStr">
        <x:is>
          <x:t xml:space="preserve">A. Murray</x:t>
        </x:is>
      </x:c>
      <x:c r="D15" t="inlineStr">
        <x:is>
          <x:t xml:space="preserve">GBR</x:t>
        </x:is>
      </x:c>
      <x:c r="E15" t="inlineStr">
        <x:is>
          <x:t xml:space="preserve">United Kingdom</x:t>
        </x:is>
      </x:c>
      <x:c r="F15" t="n">
        <x:v>2</x:v>
      </x:c>
      <x:c r="G15" t="n">
        <x:v>134</x:v>
      </x:c>
      <x:c r="H15" t="inlineStr">
        <x:is>
          <x:t xml:space="preserve">6-4, 7-5, 6-4</x:t>
        </x:is>
      </x:c>
      <x:c r="I15" t="inlineStr">
        <x:is>
          <x:t xml:space="preserve">N. Djokovic</x:t>
        </x:is>
      </x:c>
      <x:c r="J15" t="inlineStr">
        <x:is>
          <x:t xml:space="preserve">SRB</x:t>
        </x:is>
      </x:c>
      <x:c r="K15" t="inlineStr">
        <x:is>
          <x:t xml:space="preserve">Serbia</x:t>
        </x:is>
      </x:c>
      <x:c r="L15" t="n">
        <x:v>1</x:v>
      </x:c>
    </x:row>
    <x:row r="16">
      <x:c r="A16" t="n">
        <x:v>2012</x:v>
      </x:c>
      <x:c r="B16" t="inlineStr">
        <x:is>
          <x:t xml:space="preserve">Women's</x:t>
        </x:is>
      </x:c>
      <x:c r="C16" t="inlineStr">
        <x:is>
          <x:t xml:space="preserve">S. Williams</x:t>
        </x:is>
      </x:c>
      <x:c r="D16" t="inlineStr">
        <x:is>
          <x:t xml:space="preserve">USA</x:t>
        </x:is>
      </x:c>
      <x:c r="E16" t="inlineStr">
        <x:is>
          <x:t xml:space="preserve">United States</x:t>
        </x:is>
      </x:c>
      <x:c r="F16" t="n">
        <x:v>6</x:v>
      </x:c>
      <x:c r="G16" t="n">
        <x:v>122</x:v>
      </x:c>
      <x:c r="H16" t="inlineStr">
        <x:is>
          <x:t xml:space="preserve">6-1, 5-7, 6-2</x:t>
        </x:is>
      </x:c>
      <x:c r="I16" t="inlineStr">
        <x:is>
          <x:t xml:space="preserve">A. Radwańska</x:t>
        </x:is>
      </x:c>
      <x:c r="J16" t="inlineStr">
        <x:is>
          <x:t xml:space="preserve">POL</x:t>
        </x:is>
      </x:c>
      <x:c r="K16" t="inlineStr">
        <x:is>
          <x:t xml:space="preserve">Poland</x:t>
        </x:is>
      </x:c>
      <x:c r="L16" t="n">
        <x:v>3</x:v>
      </x:c>
    </x:row>
    <x:row r="17">
      <x:c r="A17" t="n">
        <x:v>2012</x:v>
      </x:c>
      <x:c r="B17" t="inlineStr">
        <x:is>
          <x:t xml:space="preserve">Men's</x:t>
        </x:is>
      </x:c>
      <x:c r="C17" t="inlineStr">
        <x:is>
          <x:t xml:space="preserve">R. Federer</x:t>
        </x:is>
      </x:c>
      <x:c r="D17" t="inlineStr">
        <x:is>
          <x:t xml:space="preserve">SUI</x:t>
        </x:is>
      </x:c>
      <x:c r="E17" t="inlineStr">
        <x:is>
          <x:t xml:space="preserve">Switzerland</x:t>
        </x:is>
      </x:c>
      <x:c r="F17" t="n">
        <x:v>3</x:v>
      </x:c>
      <x:c r="G17" t="n">
        <x:v>204</x:v>
      </x:c>
      <x:c r="H17" t="inlineStr">
        <x:is>
          <x:t xml:space="preserve">4-6, 7-5, 6-3, 6-4</x:t>
        </x:is>
      </x:c>
      <x:c r="I17" t="inlineStr">
        <x:is>
          <x:t xml:space="preserve">A. Murray</x:t>
        </x:is>
      </x:c>
      <x:c r="J17" t="inlineStr">
        <x:is>
          <x:t xml:space="preserve">GBR</x:t>
        </x:is>
      </x:c>
      <x:c r="K17" t="inlineStr">
        <x:is>
          <x:t xml:space="preserve">United Kingdom</x:t>
        </x:is>
      </x:c>
      <x:c r="L17" t="n">
        <x:v>4</x:v>
      </x:c>
    </x:row>
    <x:row r="18">
      <x:c r="A18" t="n">
        <x:v>2011</x:v>
      </x:c>
      <x:c r="B18" t="inlineStr">
        <x:is>
          <x:t xml:space="preserve">Women's</x:t>
        </x:is>
      </x:c>
      <x:c r="C18" t="inlineStr">
        <x:is>
          <x:t xml:space="preserve">P.Kvitova</x:t>
        </x:is>
      </x:c>
      <x:c r="D18" t="inlineStr">
        <x:is>
          <x:t xml:space="preserve">CZE</x:t>
        </x:is>
      </x:c>
      <x:c r="E18" t="inlineStr">
        <x:is>
          <x:t xml:space="preserve">Czechia</x:t>
        </x:is>
      </x:c>
      <x:c r="F18" t="n">
        <x:v>8</x:v>
      </x:c>
      <x:c r="G18" t="n">
        <x:v>85</x:v>
      </x:c>
      <x:c r="H18" t="inlineStr">
        <x:is>
          <x:t xml:space="preserve">6-3, 6-4</x:t>
        </x:is>
      </x:c>
      <x:c r="I18" t="inlineStr">
        <x:is>
          <x:t xml:space="preserve">M. Sharapova</x:t>
        </x:is>
      </x:c>
      <x:c r="J18" t="inlineStr">
        <x:is>
          <x:t xml:space="preserve">RUS</x:t>
        </x:is>
      </x:c>
      <x:c r="K18" t="inlineStr">
        <x:is>
          <x:t xml:space="preserve">Russia</x:t>
        </x:is>
      </x:c>
      <x:c r="L18" t="n">
        <x:v>5</x:v>
      </x:c>
    </x:row>
    <x:row r="19">
      <x:c r="A19" t="n">
        <x:v>2011</x:v>
      </x:c>
      <x:c r="B19" t="inlineStr">
        <x:is>
          <x:t xml:space="preserve">Men's</x:t>
        </x:is>
      </x:c>
      <x:c r="C19" t="inlineStr">
        <x:is>
          <x:t xml:space="preserve">N. Djokovic</x:t>
        </x:is>
      </x:c>
      <x:c r="D19" t="inlineStr">
        <x:is>
          <x:t xml:space="preserve">SRB</x:t>
        </x:is>
      </x:c>
      <x:c r="E19" t="inlineStr">
        <x:is>
          <x:t xml:space="preserve">Serbia</x:t>
        </x:is>
      </x:c>
      <x:c r="F19" t="n">
        <x:v>2</x:v>
      </x:c>
      <x:c r="G19" t="n">
        <x:v>148</x:v>
      </x:c>
      <x:c r="H19" t="inlineStr">
        <x:is>
          <x:t xml:space="preserve">6-4 6-1 1-6 6-3</x:t>
        </x:is>
      </x:c>
      <x:c r="I19" t="inlineStr">
        <x:is>
          <x:t xml:space="preserve">R. Nadal</x:t>
        </x:is>
      </x:c>
      <x:c r="J19" t="inlineStr">
        <x:is>
          <x:t xml:space="preserve">ESP</x:t>
        </x:is>
      </x:c>
      <x:c r="K19" t="inlineStr">
        <x:is>
          <x:t xml:space="preserve">Spain</x:t>
        </x:is>
      </x:c>
      <x:c r="L19" t="n">
        <x:v>1</x:v>
      </x:c>
    </x:row>
    <x:row r="20">
      <x:c r="A20" t="n">
        <x:v>2010</x:v>
      </x:c>
      <x:c r="B20" t="inlineStr">
        <x:is>
          <x:t xml:space="preserve">Women's</x:t>
        </x:is>
      </x:c>
      <x:c r="C20" t="inlineStr">
        <x:is>
          <x:t xml:space="preserve">S. Williams</x:t>
        </x:is>
      </x:c>
      <x:c r="D20" t="inlineStr">
        <x:is>
          <x:t xml:space="preserve">USA</x:t>
        </x:is>
      </x:c>
      <x:c r="E20" t="inlineStr">
        <x:is>
          <x:t xml:space="preserve">United States</x:t>
        </x:is>
      </x:c>
      <x:c r="F20" t="n">
        <x:v>1</x:v>
      </x:c>
      <x:c r="G20" t="n">
        <x:v>66</x:v>
      </x:c>
      <x:c r="H20" t="inlineStr">
        <x:is>
          <x:t xml:space="preserve">6-3, 6-2</x:t>
        </x:is>
      </x:c>
      <x:c r="I20" t="inlineStr">
        <x:is>
          <x:t xml:space="preserve">V. Zvonareva</x:t>
        </x:is>
      </x:c>
      <x:c r="J20" t="inlineStr">
        <x:is>
          <x:t xml:space="preserve">RUS</x:t>
        </x:is>
      </x:c>
      <x:c r="K20" t="inlineStr">
        <x:is>
          <x:t xml:space="preserve">Russia</x:t>
        </x:is>
      </x:c>
      <x:c r="L20" t="n">
        <x:v>21</x:v>
      </x:c>
    </x:row>
    <x:row r="21">
      <x:c r="A21" t="n">
        <x:v>2010</x:v>
      </x:c>
      <x:c r="B21" t="inlineStr">
        <x:is>
          <x:t xml:space="preserve">Men's</x:t>
        </x:is>
      </x:c>
      <x:c r="C21" t="inlineStr">
        <x:is>
          <x:t xml:space="preserve">R. Nadal</x:t>
        </x:is>
      </x:c>
      <x:c r="D21" t="inlineStr">
        <x:is>
          <x:t xml:space="preserve">ESP</x:t>
        </x:is>
      </x:c>
      <x:c r="E21" t="inlineStr">
        <x:is>
          <x:t xml:space="preserve">Spain</x:t>
        </x:is>
      </x:c>
      <x:c r="F21" t="n">
        <x:v>2</x:v>
      </x:c>
      <x:c r="G21" t="n">
        <x:v>133</x:v>
      </x:c>
      <x:c r="H21" t="inlineStr">
        <x:is>
          <x:t xml:space="preserve">6-3, 7-5, 6-4</x:t>
        </x:is>
      </x:c>
      <x:c r="I21" t="inlineStr">
        <x:is>
          <x:t xml:space="preserve">T. Berdych</x:t>
        </x:is>
      </x:c>
      <x:c r="J21" t="inlineStr">
        <x:is>
          <x:t xml:space="preserve">CZ</x:t>
        </x:is>
      </x:c>
      <x:c r="K21" t="inlineStr">
        <x:is>
          <x:t xml:space="preserve">Czechia</x:t>
        </x:is>
      </x:c>
      <x:c r="L21" t="n">
        <x:v>12</x:v>
      </x:c>
    </x:row>
    <x:row r="22">
      <x:c r="A22" t="n">
        <x:v>2009</x:v>
      </x:c>
      <x:c r="B22" t="inlineStr">
        <x:is>
          <x:t xml:space="preserve">Women's</x:t>
        </x:is>
      </x:c>
      <x:c r="C22" t="inlineStr">
        <x:is>
          <x:t xml:space="preserve">S. Williams</x:t>
        </x:is>
      </x:c>
      <x:c r="D22" t="inlineStr">
        <x:is>
          <x:t xml:space="preserve">USA</x:t>
        </x:is>
      </x:c>
      <x:c r="E22" t="inlineStr">
        <x:is>
          <x:t xml:space="preserve">United States</x:t>
        </x:is>
      </x:c>
      <x:c r="F22" t="n">
        <x:v>2</x:v>
      </x:c>
      <x:c r="G22" t="n">
        <x:v>87</x:v>
      </x:c>
      <x:c r="H22" t="inlineStr">
        <x:is>
          <x:t xml:space="preserve">7-6 (7-3), 6-2</x:t>
        </x:is>
      </x:c>
      <x:c r="I22" t="inlineStr">
        <x:is>
          <x:t xml:space="preserve">V.E.S. Williams</x:t>
        </x:is>
      </x:c>
      <x:c r="J22" t="inlineStr">
        <x:is>
          <x:t xml:space="preserve">USA</x:t>
        </x:is>
      </x:c>
      <x:c r="K22" t="inlineStr">
        <x:is>
          <x:t xml:space="preserve">United States</x:t>
        </x:is>
      </x:c>
      <x:c r="L22" t="n">
        <x:v>3</x:v>
      </x:c>
    </x:row>
    <x:row r="23">
      <x:c r="A23" t="n">
        <x:v>2009</x:v>
      </x:c>
      <x:c r="B23" t="inlineStr">
        <x:is>
          <x:t xml:space="preserve">Men's</x:t>
        </x:is>
      </x:c>
      <x:c r="C23" t="inlineStr">
        <x:is>
          <x:t xml:space="preserve">R. Federer</x:t>
        </x:is>
      </x:c>
      <x:c r="D23" t="inlineStr">
        <x:is>
          <x:t xml:space="preserve">SUI</x:t>
        </x:is>
      </x:c>
      <x:c r="E23" t="inlineStr">
        <x:is>
          <x:t xml:space="preserve">Switzerland</x:t>
        </x:is>
      </x:c>
      <x:c r="F23" t="n">
        <x:v>2</x:v>
      </x:c>
      <x:c r="G23" t="n">
        <x:v>256</x:v>
      </x:c>
      <x:c r="H23" t="inlineStr">
        <x:is>
          <x:t xml:space="preserve">5-7, 7-6 (8-6), 7-6 (7-5), 3-6, 16-14</x:t>
        </x:is>
      </x:c>
      <x:c r="I23" t="inlineStr">
        <x:is>
          <x:t xml:space="preserve">A. Roddick</x:t>
        </x:is>
      </x:c>
      <x:c r="J23" t="inlineStr">
        <x:is>
          <x:t xml:space="preserve">USA</x:t>
        </x:is>
      </x:c>
      <x:c r="K23" t="inlineStr">
        <x:is>
          <x:t xml:space="preserve">United States</x:t>
        </x:is>
      </x:c>
      <x:c r="L23" t="n">
        <x:v>6</x:v>
      </x:c>
    </x:row>
    <x:row r="24">
      <x:c r="A24" t="n">
        <x:v>2008</x:v>
      </x:c>
      <x:c r="B24" t="inlineStr">
        <x:is>
          <x:t xml:space="preserve">Women's</x:t>
        </x:is>
      </x:c>
      <x:c r="C24" t="inlineStr">
        <x:is>
          <x:t xml:space="preserve">V.E.S. Williams</x:t>
        </x:is>
      </x:c>
      <x:c r="D24" t="inlineStr">
        <x:is>
          <x:t xml:space="preserve">USA</x:t>
        </x:is>
      </x:c>
      <x:c r="E24" t="inlineStr">
        <x:is>
          <x:t xml:space="preserve">United States</x:t>
        </x:is>
      </x:c>
      <x:c r="F24" t="n">
        <x:v>7</x:v>
      </x:c>
      <x:c r="G24" t="n">
        <x:v>111</x:v>
      </x:c>
      <x:c r="H24" t="inlineStr">
        <x:is>
          <x:t xml:space="preserve">7-5, 6-4</x:t>
        </x:is>
      </x:c>
      <x:c r="I24" t="inlineStr">
        <x:is>
          <x:t xml:space="preserve">S. Williams</x:t>
        </x:is>
      </x:c>
      <x:c r="J24" t="inlineStr">
        <x:is>
          <x:t xml:space="preserve">USA</x:t>
        </x:is>
      </x:c>
      <x:c r="K24" t="inlineStr">
        <x:is>
          <x:t xml:space="preserve">United States</x:t>
        </x:is>
      </x:c>
      <x:c r="L24" t="n">
        <x:v>6</x:v>
      </x:c>
    </x:row>
    <x:row r="25">
      <x:c r="A25" t="n">
        <x:v>2008</x:v>
      </x:c>
      <x:c r="B25" t="inlineStr">
        <x:is>
          <x:t xml:space="preserve">Men's</x:t>
        </x:is>
      </x:c>
      <x:c r="C25" t="inlineStr">
        <x:is>
          <x:t xml:space="preserve">R. Nadal</x:t>
        </x:is>
      </x:c>
      <x:c r="D25" t="inlineStr">
        <x:is>
          <x:t xml:space="preserve">ESP</x:t>
        </x:is>
      </x:c>
      <x:c r="E25" t="inlineStr">
        <x:is>
          <x:t xml:space="preserve">Spain</x:t>
        </x:is>
      </x:c>
      <x:c r="F25" t="n">
        <x:v>2</x:v>
      </x:c>
      <x:c r="G25" t="n">
        <x:v>288</x:v>
      </x:c>
      <x:c r="H25" t="inlineStr">
        <x:is>
          <x:t xml:space="preserve">6-4, 6-4, 6-7 (5-7), 6-7 (8-10), 9-7</x:t>
        </x:is>
      </x:c>
      <x:c r="I25" t="inlineStr">
        <x:is>
          <x:t xml:space="preserve">R. Federer</x:t>
        </x:is>
      </x:c>
      <x:c r="J25" t="inlineStr">
        <x:is>
          <x:t xml:space="preserve">SUI</x:t>
        </x:is>
      </x:c>
      <x:c r="K25" t="inlineStr">
        <x:is>
          <x:t xml:space="preserve">Switzerland</x:t>
        </x:is>
      </x:c>
      <x:c r="L25" t="n">
        <x:v>1</x:v>
      </x:c>
    </x:row>
    <x:row r="26">
      <x:c r="A26" t="n">
        <x:v>2007</x:v>
      </x:c>
      <x:c r="B26" t="inlineStr">
        <x:is>
          <x:t xml:space="preserve">Women's</x:t>
        </x:is>
      </x:c>
      <x:c r="C26" t="inlineStr">
        <x:is>
          <x:t xml:space="preserve">V.E.S. Williams</x:t>
        </x:is>
      </x:c>
      <x:c r="D26" t="inlineStr">
        <x:is>
          <x:t xml:space="preserve">USA</x:t>
        </x:is>
      </x:c>
      <x:c r="E26" t="inlineStr">
        <x:is>
          <x:t xml:space="preserve">United States</x:t>
        </x:is>
      </x:c>
      <x:c r="F26" t="n">
        <x:v>23</x:v>
      </x:c>
      <x:c r="G26" t="n">
        <x:v>90</x:v>
      </x:c>
      <x:c r="H26" t="inlineStr">
        <x:is>
          <x:t xml:space="preserve">6-4, 6-1</x:t>
        </x:is>
      </x:c>
      <x:c r="I26" t="inlineStr">
        <x:is>
          <x:t xml:space="preserve">M. Bartoli</x:t>
        </x:is>
      </x:c>
      <x:c r="J26" t="inlineStr">
        <x:is>
          <x:t xml:space="preserve">FRA</x:t>
        </x:is>
      </x:c>
      <x:c r="K26" t="inlineStr">
        <x:is>
          <x:t xml:space="preserve">France</x:t>
        </x:is>
      </x:c>
      <x:c r="L26" t="n">
        <x:v>18</x:v>
      </x:c>
    </x:row>
    <x:row r="27">
      <x:c r="A27" t="n">
        <x:v>2007</x:v>
      </x:c>
      <x:c r="B27" t="inlineStr">
        <x:is>
          <x:t xml:space="preserve">Men's</x:t>
        </x:is>
      </x:c>
      <x:c r="C27" t="inlineStr">
        <x:is>
          <x:t xml:space="preserve">R. Federer</x:t>
        </x:is>
      </x:c>
      <x:c r="D27" t="inlineStr">
        <x:is>
          <x:t xml:space="preserve">SUI</x:t>
        </x:is>
      </x:c>
      <x:c r="E27" t="inlineStr">
        <x:is>
          <x:t xml:space="preserve">Switzerland</x:t>
        </x:is>
      </x:c>
      <x:c r="F27" t="n">
        <x:v>1</x:v>
      </x:c>
      <x:c r="G27" t="n">
        <x:v>225</x:v>
      </x:c>
      <x:c r="H27" t="inlineStr">
        <x:is>
          <x:t xml:space="preserve">7-6 (9-7), 4-6, 7-6 (7-3), 2-6, 6-2</x:t>
        </x:is>
      </x:c>
      <x:c r="I27" t="inlineStr">
        <x:is>
          <x:t xml:space="preserve">R. Nadal</x:t>
        </x:is>
      </x:c>
      <x:c r="J27" t="inlineStr">
        <x:is>
          <x:t xml:space="preserve">ESP</x:t>
        </x:is>
      </x:c>
      <x:c r="K27" t="inlineStr">
        <x:is>
          <x:t xml:space="preserve">Spain</x:t>
        </x:is>
      </x:c>
      <x:c r="L27" t="n">
        <x:v>2</x:v>
      </x:c>
    </x:row>
    <x:row r="28">
      <x:c r="A28" t="n">
        <x:v>2006</x:v>
      </x:c>
      <x:c r="B28" t="inlineStr">
        <x:is>
          <x:t xml:space="preserve">Women's</x:t>
        </x:is>
      </x:c>
      <x:c r="C28" t="inlineStr">
        <x:is>
          <x:t xml:space="preserve">A. Mauresmo</x:t>
        </x:is>
      </x:c>
      <x:c r="D28" t="inlineStr">
        <x:is>
          <x:t xml:space="preserve">FRA</x:t>
        </x:is>
      </x:c>
      <x:c r="E28" t="inlineStr">
        <x:is>
          <x:t xml:space="preserve">France</x:t>
        </x:is>
      </x:c>
      <x:c r="F28" t="n">
        <x:v>1</x:v>
      </x:c>
      <x:c r="G28" t="n">
        <x:v>122</x:v>
      </x:c>
      <x:c r="H28" t="inlineStr">
        <x:is>
          <x:t xml:space="preserve">2-6, 6-3, 6-4</x:t>
        </x:is>
      </x:c>
      <x:c r="I28" t="inlineStr">
        <x:is>
          <x:t xml:space="preserve">P-Y Hardenne</x:t>
        </x:is>
      </x:c>
      <x:c r="J28" t="inlineStr">
        <x:is>
          <x:t xml:space="preserve">BEL</x:t>
        </x:is>
      </x:c>
      <x:c r="K28" t="inlineStr">
        <x:is>
          <x:t xml:space="preserve">Belgium</x:t>
        </x:is>
      </x:c>
      <x:c r="L28" t="n">
        <x:v>3</x:v>
      </x:c>
    </x:row>
    <x:row r="29">
      <x:c r="A29" t="n">
        <x:v>2006</x:v>
      </x:c>
      <x:c r="B29" t="inlineStr">
        <x:is>
          <x:t xml:space="preserve">Men's</x:t>
        </x:is>
      </x:c>
      <x:c r="C29" t="inlineStr">
        <x:is>
          <x:t xml:space="preserve">R. Federer</x:t>
        </x:is>
      </x:c>
      <x:c r="D29" t="inlineStr">
        <x:is>
          <x:t xml:space="preserve">SUI</x:t>
        </x:is>
      </x:c>
      <x:c r="E29" t="inlineStr">
        <x:is>
          <x:t xml:space="preserve">Switzerland</x:t>
        </x:is>
      </x:c>
      <x:c r="F29" t="n">
        <x:v>1</x:v>
      </x:c>
      <x:c r="G29" t="n">
        <x:v>170</x:v>
      </x:c>
      <x:c r="H29" t="inlineStr">
        <x:is>
          <x:t xml:space="preserve">6-0, 7-6 (7-5), 6-7 (2-7), 6-3</x:t>
        </x:is>
      </x:c>
      <x:c r="I29" t="inlineStr">
        <x:is>
          <x:t xml:space="preserve">R. Nadal</x:t>
        </x:is>
      </x:c>
      <x:c r="J29" t="inlineStr">
        <x:is>
          <x:t xml:space="preserve">ESP</x:t>
        </x:is>
      </x:c>
      <x:c r="K29" t="inlineStr">
        <x:is>
          <x:t xml:space="preserve">Spain</x:t>
        </x:is>
      </x:c>
      <x:c r="L29" t="n">
        <x:v>2</x:v>
      </x:c>
    </x:row>
    <x:row r="30">
      <x:c r="A30" t="n">
        <x:v>2005</x:v>
      </x:c>
      <x:c r="B30" t="inlineStr">
        <x:is>
          <x:t xml:space="preserve">Women's</x:t>
        </x:is>
      </x:c>
      <x:c r="C30" t="inlineStr">
        <x:is>
          <x:t xml:space="preserve">V.E.S. Williams</x:t>
        </x:is>
      </x:c>
      <x:c r="D30" t="inlineStr">
        <x:is>
          <x:t xml:space="preserve">USA</x:t>
        </x:is>
      </x:c>
      <x:c r="E30" t="inlineStr">
        <x:is>
          <x:t xml:space="preserve">United States</x:t>
        </x:is>
      </x:c>
      <x:c r="F30" t="n">
        <x:v>14</x:v>
      </x:c>
      <x:c r="G30" t="n">
        <x:v>166</x:v>
      </x:c>
      <x:c r="H30" t="inlineStr">
        <x:is>
          <x:t xml:space="preserve">4-6, 7-6 (7-4), 9-7</x:t>
        </x:is>
      </x:c>
      <x:c r="I30" t="inlineStr">
        <x:is>
          <x:t xml:space="preserve">L. Davenport</x:t>
        </x:is>
      </x:c>
      <x:c r="J30" t="inlineStr">
        <x:is>
          <x:t xml:space="preserve">USA</x:t>
        </x:is>
      </x:c>
      <x:c r="K30" t="inlineStr">
        <x:is>
          <x:t xml:space="preserve">United States</x:t>
        </x:is>
      </x:c>
      <x:c r="L30" t="n">
        <x:v>1</x:v>
      </x:c>
    </x:row>
    <x:row r="31">
      <x:c r="A31" t="n">
        <x:v>2005</x:v>
      </x:c>
      <x:c r="B31" t="inlineStr">
        <x:is>
          <x:t xml:space="preserve">Men's</x:t>
        </x:is>
      </x:c>
      <x:c r="C31" t="inlineStr">
        <x:is>
          <x:t xml:space="preserve">R. Federer</x:t>
        </x:is>
      </x:c>
      <x:c r="D31" t="inlineStr">
        <x:is>
          <x:t xml:space="preserve">SUI</x:t>
        </x:is>
      </x:c>
      <x:c r="E31" t="inlineStr">
        <x:is>
          <x:t xml:space="preserve">Switzerland</x:t>
        </x:is>
      </x:c>
      <x:c r="F31" t="n">
        <x:v>1</x:v>
      </x:c>
      <x:c r="G31" t="n">
        <x:v>101</x:v>
      </x:c>
      <x:c r="H31" t="inlineStr">
        <x:is>
          <x:t xml:space="preserve">6-2, 7-6 (7-2), 6-4</x:t>
        </x:is>
      </x:c>
      <x:c r="I31" t="inlineStr">
        <x:is>
          <x:t xml:space="preserve">A. Roddick</x:t>
        </x:is>
      </x:c>
      <x:c r="J31" t="inlineStr">
        <x:is>
          <x:t xml:space="preserve">USA</x:t>
        </x:is>
      </x:c>
      <x:c r="K31" t="inlineStr">
        <x:is>
          <x:t xml:space="preserve">United States</x:t>
        </x:is>
      </x:c>
      <x:c r="L31" t="n">
        <x:v>2</x:v>
      </x:c>
    </x:row>
    <x:row r="32">
      <x:c r="A32" t="n">
        <x:v>2004</x:v>
      </x:c>
      <x:c r="B32" t="inlineStr">
        <x:is>
          <x:t xml:space="preserve">Women's</x:t>
        </x:is>
      </x:c>
      <x:c r="C32" t="inlineStr">
        <x:is>
          <x:t xml:space="preserve">M. Sharapova</x:t>
        </x:is>
      </x:c>
      <x:c r="D32" t="inlineStr">
        <x:is>
          <x:t xml:space="preserve">RUS</x:t>
        </x:is>
      </x:c>
      <x:c r="E32" t="inlineStr">
        <x:is>
          <x:t xml:space="preserve">Russia</x:t>
        </x:is>
      </x:c>
      <x:c r="F32" t="n">
        <x:v>13</x:v>
      </x:c>
      <x:c r="G32" t="n">
        <x:v>74</x:v>
      </x:c>
      <x:c r="H32" t="inlineStr">
        <x:is>
          <x:t xml:space="preserve">6-1, 6-4</x:t>
        </x:is>
      </x:c>
      <x:c r="I32" t="inlineStr">
        <x:is>
          <x:t xml:space="preserve">S. Williams</x:t>
        </x:is>
      </x:c>
      <x:c r="J32" t="inlineStr">
        <x:is>
          <x:t xml:space="preserve">USA</x:t>
        </x:is>
      </x:c>
      <x:c r="K32" t="inlineStr">
        <x:is>
          <x:t xml:space="preserve">United States</x:t>
        </x:is>
      </x:c>
      <x:c r="L32" t="n">
        <x:v>1</x:v>
      </x:c>
    </x:row>
    <x:row r="33">
      <x:c r="A33" t="n">
        <x:v>2004</x:v>
      </x:c>
      <x:c r="B33" t="inlineStr">
        <x:is>
          <x:t xml:space="preserve">Men's</x:t>
        </x:is>
      </x:c>
      <x:c r="C33" t="inlineStr">
        <x:is>
          <x:t xml:space="preserve">R. Federer</x:t>
        </x:is>
      </x:c>
      <x:c r="D33" t="inlineStr">
        <x:is>
          <x:t xml:space="preserve">SUI</x:t>
        </x:is>
      </x:c>
      <x:c r="E33" t="inlineStr">
        <x:is>
          <x:t xml:space="preserve">Switzerland</x:t>
        </x:is>
      </x:c>
      <x:c r="F33" t="n">
        <x:v>1</x:v>
      </x:c>
      <x:c r="G33" t="n">
        <x:v>151</x:v>
      </x:c>
      <x:c r="H33" t="inlineStr">
        <x:is>
          <x:t xml:space="preserve">4-6, 7-5, 7-6 (7-3), 6-4</x:t>
        </x:is>
      </x:c>
      <x:c r="I33" t="inlineStr">
        <x:is>
          <x:t xml:space="preserve">A. Roddick</x:t>
        </x:is>
      </x:c>
      <x:c r="J33" t="inlineStr">
        <x:is>
          <x:t xml:space="preserve">USA</x:t>
        </x:is>
      </x:c>
      <x:c r="K33" t="inlineStr">
        <x:is>
          <x:t xml:space="preserve">United States</x:t>
        </x:is>
      </x:c>
      <x:c r="L33" t="n">
        <x:v>2</x:v>
      </x:c>
    </x:row>
    <x:row r="34">
      <x:c r="A34" t="n">
        <x:v>2003</x:v>
      </x:c>
      <x:c r="B34" t="inlineStr">
        <x:is>
          <x:t xml:space="preserve">Women's</x:t>
        </x:is>
      </x:c>
      <x:c r="C34" t="inlineStr">
        <x:is>
          <x:t xml:space="preserve">S. Williams</x:t>
        </x:is>
      </x:c>
      <x:c r="D34" t="inlineStr">
        <x:is>
          <x:t xml:space="preserve">USA</x:t>
        </x:is>
      </x:c>
      <x:c r="E34" t="inlineStr">
        <x:is>
          <x:t xml:space="preserve">United States</x:t>
        </x:is>
      </x:c>
      <x:c r="F34" t="n">
        <x:v>1</x:v>
      </x:c>
      <x:c r="G34" t="n">
        <x:v>123</x:v>
      </x:c>
      <x:c r="H34" t="inlineStr">
        <x:is>
          <x:t xml:space="preserve">4-6, 6-4, 6-2</x:t>
        </x:is>
      </x:c>
      <x:c r="I34" t="inlineStr">
        <x:is>
          <x:t xml:space="preserve">V.E.S. Williams</x:t>
        </x:is>
      </x:c>
      <x:c r="J34" t="inlineStr">
        <x:is>
          <x:t xml:space="preserve">USA</x:t>
        </x:is>
      </x:c>
      <x:c r="K34" t="inlineStr">
        <x:is>
          <x:t xml:space="preserve">United States</x:t>
        </x:is>
      </x:c>
      <x:c r="L34" t="n">
        <x:v>4</x:v>
      </x:c>
    </x:row>
    <x:row r="35">
      <x:c r="A35" t="n">
        <x:v>2003</x:v>
      </x:c>
      <x:c r="B35" t="inlineStr">
        <x:is>
          <x:t xml:space="preserve">Men's</x:t>
        </x:is>
      </x:c>
      <x:c r="C35" t="inlineStr">
        <x:is>
          <x:t xml:space="preserve">R. Federer</x:t>
        </x:is>
      </x:c>
      <x:c r="D35" t="inlineStr">
        <x:is>
          <x:t xml:space="preserve">SUI</x:t>
        </x:is>
      </x:c>
      <x:c r="E35" t="inlineStr">
        <x:is>
          <x:t xml:space="preserve">Switzerland</x:t>
        </x:is>
      </x:c>
      <x:c r="F35" t="n">
        <x:v>4</x:v>
      </x:c>
      <x:c r="G35" t="n">
        <x:v>119</x:v>
      </x:c>
      <x:c r="H35" t="inlineStr">
        <x:is>
          <x:t xml:space="preserve">7-6 (7-5), 6-2, 7-6 (7-3)</x:t>
        </x:is>
      </x:c>
      <x:c r="I35" t="inlineStr">
        <x:is>
          <x:t xml:space="preserve">M. Philippousis</x:t>
        </x:is>
      </x:c>
      <x:c r="J35" t="inlineStr">
        <x:is>
          <x:t xml:space="preserve">AUS</x:t>
        </x:is>
      </x:c>
      <x:c r="K35" t="inlineStr">
        <x:is>
          <x:t xml:space="preserve">Australia</x:t>
        </x:is>
      </x:c>
      <x:c r="L35" t="inlineStr">
        <x:is>
          <x:t xml:space="preserve">U</x:t>
        </x:is>
      </x:c>
    </x:row>
    <x:row r="36">
      <x:c r="A36" t="n">
        <x:v>2002</x:v>
      </x:c>
      <x:c r="B36" t="inlineStr">
        <x:is>
          <x:t xml:space="preserve">Women's</x:t>
        </x:is>
      </x:c>
      <x:c r="C36" t="inlineStr">
        <x:is>
          <x:t xml:space="preserve">S. Williams</x:t>
        </x:is>
      </x:c>
      <x:c r="D36" t="inlineStr">
        <x:is>
          <x:t xml:space="preserve">USA</x:t>
        </x:is>
      </x:c>
      <x:c r="E36" t="inlineStr">
        <x:is>
          <x:t xml:space="preserve">United States</x:t>
        </x:is>
      </x:c>
      <x:c r="F36" t="n">
        <x:v>2</x:v>
      </x:c>
      <x:c r="G36" t="n">
        <x:v>78</x:v>
      </x:c>
      <x:c r="H36" t="inlineStr">
        <x:is>
          <x:t xml:space="preserve">7-6 (7-4), 6-3</x:t>
        </x:is>
      </x:c>
      <x:c r="I36" t="inlineStr">
        <x:is>
          <x:t xml:space="preserve">V.E.S. Williams</x:t>
        </x:is>
      </x:c>
      <x:c r="J36" t="inlineStr">
        <x:is>
          <x:t xml:space="preserve">USA</x:t>
        </x:is>
      </x:c>
      <x:c r="K36" t="inlineStr">
        <x:is>
          <x:t xml:space="preserve">United States</x:t>
        </x:is>
      </x:c>
      <x:c r="L36" t="n">
        <x:v>1</x:v>
      </x:c>
    </x:row>
    <x:row r="37">
      <x:c r="A37" t="n">
        <x:v>2002</x:v>
      </x:c>
      <x:c r="B37" t="inlineStr">
        <x:is>
          <x:t xml:space="preserve">Men's</x:t>
        </x:is>
      </x:c>
      <x:c r="C37" t="inlineStr">
        <x:is>
          <x:t xml:space="preserve">L.G. Hewitt</x:t>
        </x:is>
      </x:c>
      <x:c r="D37" t="inlineStr">
        <x:is>
          <x:t xml:space="preserve">AUS</x:t>
        </x:is>
      </x:c>
      <x:c r="E37" t="inlineStr">
        <x:is>
          <x:t xml:space="preserve">Australia</x:t>
        </x:is>
      </x:c>
      <x:c r="F37" t="n">
        <x:v>1</x:v>
      </x:c>
      <x:c r="G37" t="n">
        <x:v>116</x:v>
      </x:c>
      <x:c r="H37" t="inlineStr">
        <x:is>
          <x:t xml:space="preserve">6-1, 6-3, 6-2</x:t>
        </x:is>
      </x:c>
      <x:c r="I37" t="inlineStr">
        <x:is>
          <x:t xml:space="preserve">D.P. Nalbandian</x:t>
        </x:is>
      </x:c>
      <x:c r="J37" t="inlineStr">
        <x:is>
          <x:t xml:space="preserve">ARG</x:t>
        </x:is>
      </x:c>
      <x:c r="K37" t="inlineStr">
        <x:is>
          <x:t xml:space="preserve">Argentina</x:t>
        </x:is>
      </x:c>
      <x:c r="L37" t="n">
        <x:v>28</x:v>
      </x:c>
    </x:row>
    <x:row r="38">
      <x:c r="A38" t="n">
        <x:v>2001</x:v>
      </x:c>
      <x:c r="B38" t="inlineStr">
        <x:is>
          <x:t xml:space="preserve">Women's</x:t>
        </x:is>
      </x:c>
      <x:c r="C38" t="inlineStr">
        <x:is>
          <x:t xml:space="preserve">V.E.S. Williams</x:t>
        </x:is>
      </x:c>
      <x:c r="D38" t="inlineStr">
        <x:is>
          <x:t xml:space="preserve">USA</x:t>
        </x:is>
      </x:c>
      <x:c r="E38" t="inlineStr">
        <x:is>
          <x:t xml:space="preserve">United States</x:t>
        </x:is>
      </x:c>
      <x:c r="F38" t="n">
        <x:v>2</x:v>
      </x:c>
      <x:c r="G38" t="n">
        <x:v>69</x:v>
      </x:c>
      <x:c r="H38" t="inlineStr">
        <x:is>
          <x:t xml:space="preserve">6-1, 3-6, 6-0</x:t>
        </x:is>
      </x:c>
      <x:c r="I38" t="inlineStr">
        <x:is>
          <x:t xml:space="preserve">J. Henin</x:t>
        </x:is>
      </x:c>
      <x:c r="J38" t="inlineStr">
        <x:is>
          <x:t xml:space="preserve">BEL</x:t>
        </x:is>
      </x:c>
      <x:c r="K38" t="inlineStr">
        <x:is>
          <x:t xml:space="preserve">Belgium</x:t>
        </x:is>
      </x:c>
      <x:c r="L38" t="n">
        <x:v>8</x:v>
      </x:c>
    </x:row>
    <x:row r="39">
      <x:c r="A39" t="n">
        <x:v>2001</x:v>
      </x:c>
      <x:c r="B39" t="inlineStr">
        <x:is>
          <x:t xml:space="preserve">Men's</x:t>
        </x:is>
      </x:c>
      <x:c r="C39" t="inlineStr">
        <x:is>
          <x:t xml:space="preserve">G.S. Ivanisevic</x:t>
        </x:is>
      </x:c>
      <x:c r="D39" t="inlineStr">
        <x:is>
          <x:t xml:space="preserve">CRO</x:t>
        </x:is>
      </x:c>
      <x:c r="E39" t="inlineStr">
        <x:is>
          <x:t xml:space="preserve">Croatia</x:t>
        </x:is>
      </x:c>
      <x:c r="G39" t="n">
        <x:v>182</x:v>
      </x:c>
      <x:c r="H39" t="inlineStr">
        <x:is>
          <x:t xml:space="preserve">6-3, 3-6, 6-3, 2-6, 9-7</x:t>
        </x:is>
      </x:c>
      <x:c r="I39" t="inlineStr">
        <x:is>
          <x:t xml:space="preserve">P.M. Rafter</x:t>
        </x:is>
      </x:c>
      <x:c r="J39" t="inlineStr">
        <x:is>
          <x:t xml:space="preserve">AUS</x:t>
        </x:is>
      </x:c>
      <x:c r="K39" t="inlineStr">
        <x:is>
          <x:t xml:space="preserve">Australia</x:t>
        </x:is>
      </x:c>
      <x:c r="L39" t="n">
        <x:v>3</x:v>
      </x:c>
    </x:row>
    <x:row r="40">
      <x:c r="A40" t="n">
        <x:v>2000</x:v>
      </x:c>
      <x:c r="B40" t="inlineStr">
        <x:is>
          <x:t xml:space="preserve">Women's</x:t>
        </x:is>
      </x:c>
      <x:c r="C40" t="inlineStr">
        <x:is>
          <x:t xml:space="preserve">V.E.S. Williams</x:t>
        </x:is>
      </x:c>
      <x:c r="D40" t="inlineStr">
        <x:is>
          <x:t xml:space="preserve">USA</x:t>
        </x:is>
      </x:c>
      <x:c r="E40" t="inlineStr">
        <x:is>
          <x:t xml:space="preserve">United States</x:t>
        </x:is>
      </x:c>
      <x:c r="F40" t="n">
        <x:v>5</x:v>
      </x:c>
      <x:c r="G40" t="n">
        <x:v>84</x:v>
      </x:c>
      <x:c r="H40" t="inlineStr">
        <x:is>
          <x:t xml:space="preserve">6-3, 7-6 (7-3)</x:t>
        </x:is>
      </x:c>
      <x:c r="I40" t="inlineStr">
        <x:is>
          <x:t xml:space="preserve">L.A. Davenport</x:t>
        </x:is>
      </x:c>
      <x:c r="J40" t="inlineStr">
        <x:is>
          <x:t xml:space="preserve">USA</x:t>
        </x:is>
      </x:c>
      <x:c r="K40" t="inlineStr">
        <x:is>
          <x:t xml:space="preserve">United States</x:t>
        </x:is>
      </x:c>
      <x:c r="L40" t="n">
        <x:v>2</x:v>
      </x:c>
    </x:row>
    <x:row r="41">
      <x:c r="A41" t="n">
        <x:v>2000</x:v>
      </x:c>
      <x:c r="B41" t="inlineStr">
        <x:is>
          <x:t xml:space="preserve">Men's</x:t>
        </x:is>
      </x:c>
      <x:c r="C41" t="inlineStr">
        <x:is>
          <x:t xml:space="preserve">P. Sampras</x:t>
        </x:is>
      </x:c>
      <x:c r="D41" t="inlineStr">
        <x:is>
          <x:t xml:space="preserve">USA</x:t>
        </x:is>
      </x:c>
      <x:c r="E41" t="inlineStr">
        <x:is>
          <x:t xml:space="preserve">United States</x:t>
        </x:is>
      </x:c>
      <x:c r="F41" t="n">
        <x:v>1</x:v>
      </x:c>
      <x:c r="G41" t="n">
        <x:v>182</x:v>
      </x:c>
      <x:c r="H41" t="inlineStr">
        <x:is>
          <x:t xml:space="preserve">6-7 (10-12), 7-6 (7-5), 6-4, 6-2</x:t>
        </x:is>
      </x:c>
      <x:c r="I41" t="inlineStr">
        <x:is>
          <x:t xml:space="preserve">P.M. Rafter</x:t>
        </x:is>
      </x:c>
      <x:c r="J41" t="inlineStr">
        <x:is>
          <x:t xml:space="preserve">AUS</x:t>
        </x:is>
      </x:c>
      <x:c r="K41" t="inlineStr">
        <x:is>
          <x:t xml:space="preserve">Australia</x:t>
        </x:is>
      </x:c>
      <x:c r="L41" t="n">
        <x:v>12</x:v>
      </x:c>
    </x:row>
    <x:row r="42">
      <x:c r="A42" t="n">
        <x:v>1999</x:v>
      </x:c>
      <x:c r="B42" t="inlineStr">
        <x:is>
          <x:t xml:space="preserve">Women's</x:t>
        </x:is>
      </x:c>
      <x:c r="C42" t="inlineStr">
        <x:is>
          <x:t xml:space="preserve">L.A. Davenport</x:t>
        </x:is>
      </x:c>
      <x:c r="D42" t="inlineStr">
        <x:is>
          <x:t xml:space="preserve">USA</x:t>
        </x:is>
      </x:c>
      <x:c r="E42" t="inlineStr">
        <x:is>
          <x:t xml:space="preserve">United States</x:t>
        </x:is>
      </x:c>
      <x:c r="F42" t="n">
        <x:v>3</x:v>
      </x:c>
      <x:c r="G42" t="n">
        <x:v>75</x:v>
      </x:c>
      <x:c r="H42" t="inlineStr">
        <x:is>
          <x:t xml:space="preserve">6-4, 7-5</x:t>
        </x:is>
      </x:c>
      <x:c r="I42" t="inlineStr">
        <x:is>
          <x:t xml:space="preserve">S.M. Graf</x:t>
        </x:is>
      </x:c>
      <x:c r="J42" t="inlineStr">
        <x:is>
          <x:t xml:space="preserve">GER</x:t>
        </x:is>
      </x:c>
      <x:c r="K42" t="inlineStr">
        <x:is>
          <x:t xml:space="preserve">Germany</x:t>
        </x:is>
      </x:c>
      <x:c r="L42" t="n">
        <x:v>2</x:v>
      </x:c>
    </x:row>
    <x:row r="43">
      <x:c r="A43" t="n">
        <x:v>1999</x:v>
      </x:c>
      <x:c r="B43" t="inlineStr">
        <x:is>
          <x:t xml:space="preserve">Men's</x:t>
        </x:is>
      </x:c>
      <x:c r="C43" t="inlineStr">
        <x:is>
          <x:t xml:space="preserve">P. Sampras</x:t>
        </x:is>
      </x:c>
      <x:c r="D43" t="inlineStr">
        <x:is>
          <x:t xml:space="preserve">USA</x:t>
        </x:is>
      </x:c>
      <x:c r="E43" t="inlineStr">
        <x:is>
          <x:t xml:space="preserve">United States</x:t>
        </x:is>
      </x:c>
      <x:c r="F43" t="n">
        <x:v>1</x:v>
      </x:c>
      <x:c r="G43" t="n">
        <x:v>115</x:v>
      </x:c>
      <x:c r="H43" t="inlineStr">
        <x:is>
          <x:t xml:space="preserve">6-3, 6-4, 7-5</x:t>
        </x:is>
      </x:c>
      <x:c r="I43" t="inlineStr">
        <x:is>
          <x:t xml:space="preserve">A.K. Agassi</x:t>
        </x:is>
      </x:c>
      <x:c r="J43" t="inlineStr">
        <x:is>
          <x:t xml:space="preserve">USA</x:t>
        </x:is>
      </x:c>
      <x:c r="K43" t="inlineStr">
        <x:is>
          <x:t xml:space="preserve">United States</x:t>
        </x:is>
      </x:c>
      <x:c r="L43" t="n">
        <x:v>4</x:v>
      </x:c>
    </x:row>
    <x:row r="44">
      <x:c r="A44" t="n">
        <x:v>1998</x:v>
      </x:c>
      <x:c r="B44" t="inlineStr">
        <x:is>
          <x:t xml:space="preserve">Women's</x:t>
        </x:is>
      </x:c>
      <x:c r="C44" t="inlineStr">
        <x:is>
          <x:t xml:space="preserve">J. Novotna</x:t>
        </x:is>
      </x:c>
      <x:c r="D44" t="inlineStr">
        <x:is>
          <x:t xml:space="preserve">CZE</x:t>
        </x:is>
      </x:c>
      <x:c r="E44" t="inlineStr">
        <x:is>
          <x:t xml:space="preserve">Czechia</x:t>
        </x:is>
      </x:c>
      <x:c r="F44" t="n">
        <x:v>3</x:v>
      </x:c>
      <x:c r="G44" t="n">
        <x:v>94</x:v>
      </x:c>
      <x:c r="H44" t="inlineStr">
        <x:is>
          <x:t xml:space="preserve">6-4, 7-6 (7-2)</x:t>
        </x:is>
      </x:c>
      <x:c r="I44" t="inlineStr">
        <x:is>
          <x:t xml:space="preserve">N. Tauziat</x:t>
        </x:is>
      </x:c>
      <x:c r="J44" t="inlineStr">
        <x:is>
          <x:t xml:space="preserve">FRA</x:t>
        </x:is>
      </x:c>
      <x:c r="K44" t="inlineStr">
        <x:is>
          <x:t xml:space="preserve">France</x:t>
        </x:is>
      </x:c>
      <x:c r="L44" t="n">
        <x:v>16</x:v>
      </x:c>
    </x:row>
    <x:row r="45">
      <x:c r="A45" t="n">
        <x:v>1998</x:v>
      </x:c>
      <x:c r="B45" t="inlineStr">
        <x:is>
          <x:t xml:space="preserve">Men's</x:t>
        </x:is>
      </x:c>
      <x:c r="C45" t="inlineStr">
        <x:is>
          <x:t xml:space="preserve">P. Sampras</x:t>
        </x:is>
      </x:c>
      <x:c r="D45" t="inlineStr">
        <x:is>
          <x:t xml:space="preserve">USA</x:t>
        </x:is>
      </x:c>
      <x:c r="E45" t="inlineStr">
        <x:is>
          <x:t xml:space="preserve">United States</x:t>
        </x:is>
      </x:c>
      <x:c r="F45" t="n">
        <x:v>1</x:v>
      </x:c>
      <x:c r="G45" t="n">
        <x:v>172</x:v>
      </x:c>
      <x:c r="H45" t="inlineStr">
        <x:is>
          <x:t xml:space="preserve">6-7 (2-7), 7-6 (11-9), 6-4, 3-6, 6-2</x:t>
        </x:is>
      </x:c>
      <x:c r="I45" t="inlineStr">
        <x:is>
          <x:t xml:space="preserve">G.S. Ivanisevic</x:t>
        </x:is>
      </x:c>
      <x:c r="J45" t="inlineStr">
        <x:is>
          <x:t xml:space="preserve">CRO</x:t>
        </x:is>
      </x:c>
      <x:c r="K45" t="inlineStr">
        <x:is>
          <x:t xml:space="preserve">Croatia</x:t>
        </x:is>
      </x:c>
      <x:c r="L45" t="n">
        <x:v>14</x:v>
      </x:c>
    </x:row>
    <x:row r="46">
      <x:c r="A46" t="n">
        <x:v>1997</x:v>
      </x:c>
      <x:c r="B46" t="inlineStr">
        <x:is>
          <x:t xml:space="preserve">Women's</x:t>
        </x:is>
      </x:c>
      <x:c r="C46" t="inlineStr">
        <x:is>
          <x:t xml:space="preserve">M. Hingis</x:t>
        </x:is>
      </x:c>
      <x:c r="D46" t="inlineStr">
        <x:is>
          <x:t xml:space="preserve">SUI</x:t>
        </x:is>
      </x:c>
      <x:c r="E46" t="inlineStr">
        <x:is>
          <x:t xml:space="preserve">Switzerland</x:t>
        </x:is>
      </x:c>
      <x:c r="F46" t="n">
        <x:v>1</x:v>
      </x:c>
      <x:c r="G46" t="n">
        <x:v>110</x:v>
      </x:c>
      <x:c r="H46" t="inlineStr">
        <x:is>
          <x:t xml:space="preserve">2-6, 6-3, 6-3</x:t>
        </x:is>
      </x:c>
      <x:c r="I46" t="inlineStr">
        <x:is>
          <x:t xml:space="preserve">J. Novotna</x:t>
        </x:is>
      </x:c>
      <x:c r="J46" t="inlineStr">
        <x:is>
          <x:t xml:space="preserve">CZE</x:t>
        </x:is>
      </x:c>
      <x:c r="K46" t="inlineStr">
        <x:is>
          <x:t xml:space="preserve">Czechia</x:t>
        </x:is>
      </x:c>
      <x:c r="L46" t="n">
        <x:v>3</x:v>
      </x:c>
    </x:row>
    <x:row r="47">
      <x:c r="A47" t="n">
        <x:v>1997</x:v>
      </x:c>
      <x:c r="B47" t="inlineStr">
        <x:is>
          <x:t xml:space="preserve">Men's</x:t>
        </x:is>
      </x:c>
      <x:c r="C47" t="inlineStr">
        <x:is>
          <x:t xml:space="preserve">P. Sampras</x:t>
        </x:is>
      </x:c>
      <x:c r="D47" t="inlineStr">
        <x:is>
          <x:t xml:space="preserve">USA</x:t>
        </x:is>
      </x:c>
      <x:c r="E47" t="inlineStr">
        <x:is>
          <x:t xml:space="preserve">United States</x:t>
        </x:is>
      </x:c>
      <x:c r="F47" t="n">
        <x:v>1</x:v>
      </x:c>
      <x:c r="G47" t="n">
        <x:v>94</x:v>
      </x:c>
      <x:c r="H47" t="inlineStr">
        <x:is>
          <x:t xml:space="preserve">6-4, 6-2, 6-4</x:t>
        </x:is>
      </x:c>
      <x:c r="I47" t="inlineStr">
        <x:is>
          <x:t xml:space="preserve">C.A. Pioline</x:t>
        </x:is>
      </x:c>
      <x:c r="J47" t="inlineStr">
        <x:is>
          <x:t xml:space="preserve">FRA</x:t>
        </x:is>
      </x:c>
      <x:c r="K47" t="inlineStr">
        <x:is>
          <x:t xml:space="preserve">France</x:t>
        </x:is>
      </x:c>
      <x:c r="L47" t="inlineStr">
        <x:is>
          <x:t xml:space="preserve">U</x:t>
        </x:is>
      </x:c>
    </x:row>
    <x:row r="48">
      <x:c r="A48" t="n">
        <x:v>1996</x:v>
      </x:c>
      <x:c r="B48" t="inlineStr">
        <x:is>
          <x:t xml:space="preserve">Women's</x:t>
        </x:is>
      </x:c>
      <x:c r="C48" t="inlineStr">
        <x:is>
          <x:t xml:space="preserve">S.M. Graf</x:t>
        </x:is>
      </x:c>
      <x:c r="D48" t="inlineStr">
        <x:is>
          <x:t xml:space="preserve">GER</x:t>
        </x:is>
      </x:c>
      <x:c r="E48" t="inlineStr">
        <x:is>
          <x:t xml:space="preserve">Germany</x:t>
        </x:is>
      </x:c>
      <x:c r="F48" t="n">
        <x:v>1</x:v>
      </x:c>
      <x:c r="G48" t="n">
        <x:v>88</x:v>
      </x:c>
      <x:c r="H48" t="inlineStr">
        <x:is>
          <x:t xml:space="preserve">6-3, 7-5,</x:t>
        </x:is>
      </x:c>
      <x:c r="I48" t="inlineStr">
        <x:is>
          <x:t xml:space="preserve">A.I.M. Sanchez Vicario</x:t>
        </x:is>
      </x:c>
      <x:c r="J48" t="inlineStr">
        <x:is>
          <x:t xml:space="preserve">ESP</x:t>
        </x:is>
      </x:c>
      <x:c r="K48" t="inlineStr">
        <x:is>
          <x:t xml:space="preserve">Spain</x:t>
        </x:is>
      </x:c>
      <x:c r="L48" t="n">
        <x:v>4</x:v>
      </x:c>
    </x:row>
    <x:row r="49">
      <x:c r="A49" t="n">
        <x:v>1996</x:v>
      </x:c>
      <x:c r="B49" t="inlineStr">
        <x:is>
          <x:t xml:space="preserve">Men's</x:t>
        </x:is>
      </x:c>
      <x:c r="C49" t="inlineStr">
        <x:is>
          <x:t xml:space="preserve">R.P.S. Krajicek</x:t>
        </x:is>
      </x:c>
      <x:c r="D49" t="inlineStr">
        <x:is>
          <x:t xml:space="preserve">NED</x:t>
        </x:is>
      </x:c>
      <x:c r="E49" t="inlineStr">
        <x:is>
          <x:t xml:space="preserve">Netherlands</x:t>
        </x:is>
      </x:c>
      <x:c r="G49" t="n">
        <x:v>94</x:v>
      </x:c>
      <x:c r="H49" t="inlineStr">
        <x:is>
          <x:t xml:space="preserve">6-3, 6-4, 6-3</x:t>
        </x:is>
      </x:c>
      <x:c r="I49" t="inlineStr">
        <x:is>
          <x:t xml:space="preserve">M.O. Washington</x:t>
        </x:is>
      </x:c>
      <x:c r="J49" t="inlineStr">
        <x:is>
          <x:t xml:space="preserve">USA</x:t>
        </x:is>
      </x:c>
      <x:c r="K49" t="inlineStr">
        <x:is>
          <x:t xml:space="preserve">United States</x:t>
        </x:is>
      </x:c>
      <x:c r="L49" t="inlineStr">
        <x:is>
          <x:t xml:space="preserve">U</x:t>
        </x:is>
      </x:c>
    </x:row>
    <x:row r="50">
      <x:c r="A50" t="n">
        <x:v>1995</x:v>
      </x:c>
      <x:c r="B50" t="inlineStr">
        <x:is>
          <x:t xml:space="preserve">Women's</x:t>
        </x:is>
      </x:c>
      <x:c r="C50" t="inlineStr">
        <x:is>
          <x:t xml:space="preserve">S.M. Graf</x:t>
        </x:is>
      </x:c>
      <x:c r="D50" t="inlineStr">
        <x:is>
          <x:t xml:space="preserve">GER</x:t>
        </x:is>
      </x:c>
      <x:c r="E50" t="inlineStr">
        <x:is>
          <x:t xml:space="preserve">Germany</x:t>
        </x:is>
      </x:c>
      <x:c r="F50" t="n">
        <x:v>1</x:v>
      </x:c>
      <x:c r="G50" t="n">
        <x:v>122</x:v>
      </x:c>
      <x:c r="H50" t="inlineStr">
        <x:is>
          <x:t xml:space="preserve">4-6, 6-1, 7-5,</x:t>
        </x:is>
      </x:c>
      <x:c r="I50" t="inlineStr">
        <x:is>
          <x:t xml:space="preserve">A.I.M. Sanchez Vicario</x:t>
        </x:is>
      </x:c>
      <x:c r="J50" t="inlineStr">
        <x:is>
          <x:t xml:space="preserve">ESP</x:t>
        </x:is>
      </x:c>
      <x:c r="K50" t="inlineStr">
        <x:is>
          <x:t xml:space="preserve">Spain</x:t>
        </x:is>
      </x:c>
      <x:c r="L50" t="n">
        <x:v>2</x:v>
      </x:c>
    </x:row>
    <x:row r="51">
      <x:c r="A51" t="n">
        <x:v>1995</x:v>
      </x:c>
      <x:c r="B51" t="inlineStr">
        <x:is>
          <x:t xml:space="preserve">Men's</x:t>
        </x:is>
      </x:c>
      <x:c r="C51" t="inlineStr">
        <x:is>
          <x:t xml:space="preserve">P. Sampras</x:t>
        </x:is>
      </x:c>
      <x:c r="D51" t="inlineStr">
        <x:is>
          <x:t xml:space="preserve">USA</x:t>
        </x:is>
      </x:c>
      <x:c r="E51" t="inlineStr">
        <x:is>
          <x:t xml:space="preserve">United States</x:t>
        </x:is>
      </x:c>
      <x:c r="F51" t="n">
        <x:v>2</x:v>
      </x:c>
      <x:c r="G51" t="n">
        <x:v>149</x:v>
      </x:c>
      <x:c r="H51" t="inlineStr">
        <x:is>
          <x:t xml:space="preserve">6-7 (5-7), 6-2, 6-4, 6-2</x:t>
        </x:is>
      </x:c>
      <x:c r="I51" t="inlineStr">
        <x:is>
          <x:t xml:space="preserve">B.F. Becker</x:t>
        </x:is>
      </x:c>
      <x:c r="J51" t="inlineStr">
        <x:is>
          <x:t xml:space="preserve">GER</x:t>
        </x:is>
      </x:c>
      <x:c r="K51" t="inlineStr">
        <x:is>
          <x:t xml:space="preserve">Germany</x:t>
        </x:is>
      </x:c>
      <x:c r="L51" t="n">
        <x:v>3</x:v>
      </x:c>
    </x:row>
    <x:row r="52">
      <x:c r="A52" t="n">
        <x:v>1994</x:v>
      </x:c>
      <x:c r="B52" t="inlineStr">
        <x:is>
          <x:t xml:space="preserve">Women's</x:t>
        </x:is>
      </x:c>
      <x:c r="C52" t="inlineStr">
        <x:is>
          <x:t xml:space="preserve">I.C. Martinez</x:t>
        </x:is>
      </x:c>
      <x:c r="D52" t="inlineStr">
        <x:is>
          <x:t xml:space="preserve">ESP</x:t>
        </x:is>
      </x:c>
      <x:c r="E52" t="inlineStr">
        <x:is>
          <x:t xml:space="preserve">Spain</x:t>
        </x:is>
      </x:c>
      <x:c r="F52" t="n">
        <x:v>3</x:v>
      </x:c>
      <x:c r="G52" t="n">
        <x:v>119</x:v>
      </x:c>
      <x:c r="H52" t="inlineStr">
        <x:is>
          <x:t xml:space="preserve">6-4, 3-6, 6-3,</x:t>
        </x:is>
      </x:c>
      <x:c r="I52" t="inlineStr">
        <x:is>
          <x:t xml:space="preserve">M. Navratilova</x:t>
        </x:is>
      </x:c>
      <x:c r="J52" t="inlineStr">
        <x:is>
          <x:t xml:space="preserve">USA</x:t>
        </x:is>
      </x:c>
      <x:c r="K52" t="inlineStr">
        <x:is>
          <x:t xml:space="preserve">United States</x:t>
        </x:is>
      </x:c>
      <x:c r="L52" t="n">
        <x:v>4</x:v>
      </x:c>
    </x:row>
    <x:row r="53">
      <x:c r="A53" t="n">
        <x:v>1994</x:v>
      </x:c>
      <x:c r="B53" t="inlineStr">
        <x:is>
          <x:t xml:space="preserve">Men's</x:t>
        </x:is>
      </x:c>
      <x:c r="C53" t="inlineStr">
        <x:is>
          <x:t xml:space="preserve">P. Sampras</x:t>
        </x:is>
      </x:c>
      <x:c r="D53" t="inlineStr">
        <x:is>
          <x:t xml:space="preserve">USA</x:t>
        </x:is>
      </x:c>
      <x:c r="E53" t="inlineStr">
        <x:is>
          <x:t xml:space="preserve">United States</x:t>
        </x:is>
      </x:c>
      <x:c r="F53" t="n">
        <x:v>1</x:v>
      </x:c>
      <x:c r="G53" t="n">
        <x:v>115</x:v>
      </x:c>
      <x:c r="H53" t="inlineStr">
        <x:is>
          <x:t xml:space="preserve">7-6 (7-2), 7-6 (7-5), 6-0</x:t>
        </x:is>
      </x:c>
      <x:c r="I53" t="inlineStr">
        <x:is>
          <x:t xml:space="preserve">G.S. Ivanisevic</x:t>
        </x:is>
      </x:c>
      <x:c r="J53" t="inlineStr">
        <x:is>
          <x:t xml:space="preserve">CRO</x:t>
        </x:is>
      </x:c>
      <x:c r="K53" t="inlineStr">
        <x:is>
          <x:t xml:space="preserve">Croatia</x:t>
        </x:is>
      </x:c>
      <x:c r="L53" t="n">
        <x:v>4</x:v>
      </x:c>
    </x:row>
    <x:row r="54">
      <x:c r="A54" t="n">
        <x:v>1993</x:v>
      </x:c>
      <x:c r="B54" t="inlineStr">
        <x:is>
          <x:t xml:space="preserve">Women's</x:t>
        </x:is>
      </x:c>
      <x:c r="C54" t="inlineStr">
        <x:is>
          <x:t xml:space="preserve">S.M. Graf</x:t>
        </x:is>
      </x:c>
      <x:c r="D54" t="inlineStr">
        <x:is>
          <x:t xml:space="preserve">GER</x:t>
        </x:is>
      </x:c>
      <x:c r="E54" t="inlineStr">
        <x:is>
          <x:t xml:space="preserve">Germany</x:t>
        </x:is>
      </x:c>
      <x:c r="F54" t="n">
        <x:v>1</x:v>
      </x:c>
      <x:c r="G54" t="n">
        <x:v>134</x:v>
      </x:c>
      <x:c r="H54" t="inlineStr">
        <x:is>
          <x:t xml:space="preserve">7-6 (8-6), 1-6, 6-4,</x:t>
        </x:is>
      </x:c>
      <x:c r="I54" t="inlineStr">
        <x:is>
          <x:t xml:space="preserve">J. Novotna</x:t>
        </x:is>
      </x:c>
      <x:c r="J54" t="inlineStr">
        <x:is>
          <x:t xml:space="preserve">CZE</x:t>
        </x:is>
      </x:c>
      <x:c r="K54" t="inlineStr">
        <x:is>
          <x:t xml:space="preserve">Czechia</x:t>
        </x:is>
      </x:c>
      <x:c r="L54" t="n">
        <x:v>8</x:v>
      </x:c>
    </x:row>
    <x:row r="55">
      <x:c r="A55" t="n">
        <x:v>1993</x:v>
      </x:c>
      <x:c r="B55" t="inlineStr">
        <x:is>
          <x:t xml:space="preserve">Men's</x:t>
        </x:is>
      </x:c>
      <x:c r="C55" t="inlineStr">
        <x:is>
          <x:t xml:space="preserve">P. Sampras</x:t>
        </x:is>
      </x:c>
      <x:c r="D55" t="inlineStr">
        <x:is>
          <x:t xml:space="preserve">USA</x:t>
        </x:is>
      </x:c>
      <x:c r="E55" t="inlineStr">
        <x:is>
          <x:t xml:space="preserve">United States</x:t>
        </x:is>
      </x:c>
      <x:c r="F55" t="n">
        <x:v>1</x:v>
      </x:c>
      <x:c r="G55" t="n">
        <x:v>178</x:v>
      </x:c>
      <x:c r="H55" t="inlineStr">
        <x:is>
          <x:t xml:space="preserve">7-6 (7-3), 7-6 (8-6), 3-6, 6-3</x:t>
        </x:is>
      </x:c>
      <x:c r="I55" t="inlineStr">
        <x:is>
          <x:t xml:space="preserve">J.S. Courier</x:t>
        </x:is>
      </x:c>
      <x:c r="J55" t="inlineStr">
        <x:is>
          <x:t xml:space="preserve">USA</x:t>
        </x:is>
      </x:c>
      <x:c r="K55" t="inlineStr">
        <x:is>
          <x:t xml:space="preserve">United States</x:t>
        </x:is>
      </x:c>
      <x:c r="L55" t="n">
        <x:v>3</x:v>
      </x:c>
    </x:row>
    <x:row r="56">
      <x:c r="A56" t="n">
        <x:v>1992</x:v>
      </x:c>
      <x:c r="B56" t="inlineStr">
        <x:is>
          <x:t xml:space="preserve">Women's</x:t>
        </x:is>
      </x:c>
      <x:c r="C56" t="inlineStr">
        <x:is>
          <x:t xml:space="preserve">S.M. Graf</x:t>
        </x:is>
      </x:c>
      <x:c r="D56" t="inlineStr">
        <x:is>
          <x:t xml:space="preserve">GER</x:t>
        </x:is>
      </x:c>
      <x:c r="E56" t="inlineStr">
        <x:is>
          <x:t xml:space="preserve">Germany</x:t>
        </x:is>
      </x:c>
      <x:c r="F56" t="n">
        <x:v>2</x:v>
      </x:c>
      <x:c r="G56" t="n">
        <x:v>58</x:v>
      </x:c>
      <x:c r="H56" t="inlineStr">
        <x:is>
          <x:t xml:space="preserve">6-2, 6-1,</x:t>
        </x:is>
      </x:c>
      <x:c r="I56" t="inlineStr">
        <x:is>
          <x:t xml:space="preserve">M. Seles</x:t>
        </x:is>
      </x:c>
      <x:c r="J56" t="inlineStr">
        <x:is>
          <x:t xml:space="preserve">YUG</x:t>
        </x:is>
      </x:c>
      <x:c r="K56" t="inlineStr">
        <x:is>
          <x:t xml:space="preserve">Yugoslavia</x:t>
        </x:is>
      </x:c>
      <x:c r="L56" t="n">
        <x:v>1</x:v>
      </x:c>
    </x:row>
    <x:row r="57">
      <x:c r="A57" t="n">
        <x:v>1992</x:v>
      </x:c>
      <x:c r="B57" t="inlineStr">
        <x:is>
          <x:t xml:space="preserve">Men's</x:t>
        </x:is>
      </x:c>
      <x:c r="C57" t="inlineStr">
        <x:is>
          <x:t xml:space="preserve">A.K. Agassi</x:t>
        </x:is>
      </x:c>
      <x:c r="D57" t="inlineStr">
        <x:is>
          <x:t xml:space="preserve">USA</x:t>
        </x:is>
      </x:c>
      <x:c r="E57" t="inlineStr">
        <x:is>
          <x:t xml:space="preserve">United States</x:t>
        </x:is>
      </x:c>
      <x:c r="F57" t="n">
        <x:v>12</x:v>
      </x:c>
      <x:c r="G57" t="n">
        <x:v>170</x:v>
      </x:c>
      <x:c r="H57" t="inlineStr">
        <x:is>
          <x:t xml:space="preserve">6-7 (8-10), 6-4, 6-4, 1-6, 6-4</x:t>
        </x:is>
      </x:c>
      <x:c r="I57" t="inlineStr">
        <x:is>
          <x:t xml:space="preserve">G.S. Ivanisevic</x:t>
        </x:is>
      </x:c>
      <x:c r="J57" t="inlineStr">
        <x:is>
          <x:t xml:space="preserve">CRO</x:t>
        </x:is>
      </x:c>
      <x:c r="K57" t="inlineStr">
        <x:is>
          <x:t xml:space="preserve">Croatia</x:t>
        </x:is>
      </x:c>
      <x:c r="L57" t="n">
        <x:v>8</x:v>
      </x:c>
    </x:row>
    <x:row r="58">
      <x:c r="A58" t="n">
        <x:v>1991</x:v>
      </x:c>
      <x:c r="B58" t="inlineStr">
        <x:is>
          <x:t xml:space="preserve">Women's</x:t>
        </x:is>
      </x:c>
      <x:c r="C58" t="inlineStr">
        <x:is>
          <x:t xml:space="preserve">S.M. Graf</x:t>
        </x:is>
      </x:c>
      <x:c r="D58" t="inlineStr">
        <x:is>
          <x:t xml:space="preserve">GER</x:t>
        </x:is>
      </x:c>
      <x:c r="E58" t="inlineStr">
        <x:is>
          <x:t xml:space="preserve">Germany</x:t>
        </x:is>
      </x:c>
      <x:c r="F58" t="n">
        <x:v>1</x:v>
      </x:c>
      <x:c r="G58" t="n">
        <x:v>127</x:v>
      </x:c>
      <x:c r="H58" t="inlineStr">
        <x:is>
          <x:t xml:space="preserve">6-4, 3-6, 8-6,</x:t>
        </x:is>
      </x:c>
      <x:c r="I58" t="inlineStr">
        <x:is>
          <x:t xml:space="preserve">G.B. Sabatini</x:t>
        </x:is>
      </x:c>
      <x:c r="J58" t="inlineStr">
        <x:is>
          <x:t xml:space="preserve">ARG</x:t>
        </x:is>
      </x:c>
      <x:c r="K58" t="inlineStr">
        <x:is>
          <x:t xml:space="preserve">Argentina</x:t>
        </x:is>
      </x:c>
      <x:c r="L58" t="n">
        <x:v>2</x:v>
      </x:c>
    </x:row>
    <x:row r="59">
      <x:c r="A59" t="n">
        <x:v>1991</x:v>
      </x:c>
      <x:c r="B59" t="inlineStr">
        <x:is>
          <x:t xml:space="preserve">Men's</x:t>
        </x:is>
      </x:c>
      <x:c r="C59" t="inlineStr">
        <x:is>
          <x:t xml:space="preserve">M.D. Stich</x:t>
        </x:is>
      </x:c>
      <x:c r="D59" t="inlineStr">
        <x:is>
          <x:t xml:space="preserve">GER</x:t>
        </x:is>
      </x:c>
      <x:c r="E59" t="inlineStr">
        <x:is>
          <x:t xml:space="preserve">Germany</x:t>
        </x:is>
      </x:c>
      <x:c r="F59" t="n">
        <x:v>6</x:v>
      </x:c>
      <x:c r="G59" t="n">
        <x:v>153</x:v>
      </x:c>
      <x:c r="H59" t="inlineStr">
        <x:is>
          <x:t xml:space="preserve">6-4, 7-6 (7-4), 6-4</x:t>
        </x:is>
      </x:c>
      <x:c r="I59" t="inlineStr">
        <x:is>
          <x:t xml:space="preserve">B.F. Becker</x:t>
        </x:is>
      </x:c>
      <x:c r="J59" t="inlineStr">
        <x:is>
          <x:t xml:space="preserve">GER</x:t>
        </x:is>
      </x:c>
      <x:c r="K59" t="inlineStr">
        <x:is>
          <x:t xml:space="preserve">Germany</x:t>
        </x:is>
      </x:c>
      <x:c r="L59" t="n">
        <x:v>2</x:v>
      </x:c>
    </x:row>
    <x:row r="60">
      <x:c r="A60" t="n">
        <x:v>1990</x:v>
      </x:c>
      <x:c r="B60" t="inlineStr">
        <x:is>
          <x:t xml:space="preserve">Women's</x:t>
        </x:is>
      </x:c>
      <x:c r="C60" t="inlineStr">
        <x:is>
          <x:t xml:space="preserve">M. Navratilova</x:t>
        </x:is>
      </x:c>
      <x:c r="D60" t="inlineStr">
        <x:is>
          <x:t xml:space="preserve">USA</x:t>
        </x:is>
      </x:c>
      <x:c r="E60" t="inlineStr">
        <x:is>
          <x:t xml:space="preserve">United States</x:t>
        </x:is>
      </x:c>
      <x:c r="F60" t="n">
        <x:v>2</x:v>
      </x:c>
      <x:c r="G60" t="n">
        <x:v>75</x:v>
      </x:c>
      <x:c r="H60" t="inlineStr">
        <x:is>
          <x:t xml:space="preserve">6-4, 6-1,</x:t>
        </x:is>
      </x:c>
      <x:c r="I60" t="inlineStr">
        <x:is>
          <x:t xml:space="preserve">Z.L. Garrison</x:t>
        </x:is>
      </x:c>
      <x:c r="J60" t="inlineStr">
        <x:is>
          <x:t xml:space="preserve">USA</x:t>
        </x:is>
      </x:c>
      <x:c r="K60" t="inlineStr">
        <x:is>
          <x:t xml:space="preserve">United States</x:t>
        </x:is>
      </x:c>
      <x:c r="L60" t="n">
        <x:v>5</x:v>
      </x:c>
    </x:row>
    <x:row r="61">
      <x:c r="A61" t="n">
        <x:v>1990</x:v>
      </x:c>
      <x:c r="B61" t="inlineStr">
        <x:is>
          <x:t xml:space="preserve">Men's</x:t>
        </x:is>
      </x:c>
      <x:c r="C61" t="inlineStr">
        <x:is>
          <x:t xml:space="preserve">S.B. Edberg</x:t>
        </x:is>
      </x:c>
      <x:c r="D61" t="inlineStr">
        <x:is>
          <x:t xml:space="preserve">SWE</x:t>
        </x:is>
      </x:c>
      <x:c r="E61" t="inlineStr">
        <x:is>
          <x:t xml:space="preserve">Sweden</x:t>
        </x:is>
      </x:c>
      <x:c r="F61" t="n">
        <x:v>3</x:v>
      </x:c>
      <x:c r="G61" t="n">
        <x:v>178</x:v>
      </x:c>
      <x:c r="H61" t="inlineStr">
        <x:is>
          <x:t xml:space="preserve">6-2, 6-2, 3-6, 3-6, 6-4</x:t>
        </x:is>
      </x:c>
      <x:c r="I61" t="inlineStr">
        <x:is>
          <x:t xml:space="preserve">B.F. Becker</x:t>
        </x:is>
      </x:c>
      <x:c r="J61" t="inlineStr">
        <x:is>
          <x:t xml:space="preserve">GER</x:t>
        </x:is>
      </x:c>
      <x:c r="K61" t="inlineStr">
        <x:is>
          <x:t xml:space="preserve">Germany</x:t>
        </x:is>
      </x:c>
      <x:c r="L61" t="n">
        <x:v>2</x:v>
      </x:c>
    </x:row>
    <x:row r="62">
      <x:c r="A62" t="n">
        <x:v>1989</x:v>
      </x:c>
      <x:c r="B62" t="inlineStr">
        <x:is>
          <x:t xml:space="preserve">Women's</x:t>
        </x:is>
      </x:c>
      <x:c r="C62" t="inlineStr">
        <x:is>
          <x:t xml:space="preserve">S.M. Graf</x:t>
        </x:is>
      </x:c>
      <x:c r="D62" t="inlineStr">
        <x:is>
          <x:t xml:space="preserve">GER</x:t>
        </x:is>
      </x:c>
      <x:c r="E62" t="inlineStr">
        <x:is>
          <x:t xml:space="preserve">Germany</x:t>
        </x:is>
      </x:c>
      <x:c r="F62" t="n">
        <x:v>1</x:v>
      </x:c>
      <x:c r="G62" t="n">
        <x:v>92</x:v>
      </x:c>
      <x:c r="H62" t="inlineStr">
        <x:is>
          <x:t xml:space="preserve">6-2, 6-7 (1-7), 6-1,</x:t>
        </x:is>
      </x:c>
      <x:c r="I62" t="inlineStr">
        <x:is>
          <x:t xml:space="preserve">M. Navratilova</x:t>
        </x:is>
      </x:c>
      <x:c r="J62" t="inlineStr">
        <x:is>
          <x:t xml:space="preserve">USA</x:t>
        </x:is>
      </x:c>
      <x:c r="K62" t="inlineStr">
        <x:is>
          <x:t xml:space="preserve">United States</x:t>
        </x:is>
      </x:c>
      <x:c r="L62" t="n">
        <x:v>2</x:v>
      </x:c>
    </x:row>
    <x:row r="63">
      <x:c r="A63" t="n">
        <x:v>1989</x:v>
      </x:c>
      <x:c r="B63" t="inlineStr">
        <x:is>
          <x:t xml:space="preserve">Men's</x:t>
        </x:is>
      </x:c>
      <x:c r="C63" t="inlineStr">
        <x:is>
          <x:t xml:space="preserve">B.F. Becker</x:t>
        </x:is>
      </x:c>
      <x:c r="D63" t="inlineStr">
        <x:is>
          <x:t xml:space="preserve">GER</x:t>
        </x:is>
      </x:c>
      <x:c r="E63" t="inlineStr">
        <x:is>
          <x:t xml:space="preserve">Germany</x:t>
        </x:is>
      </x:c>
      <x:c r="F63" t="n">
        <x:v>3</x:v>
      </x:c>
      <x:c r="G63" t="n">
        <x:v>132</x:v>
      </x:c>
      <x:c r="H63" t="inlineStr">
        <x:is>
          <x:t xml:space="preserve">6-0, 7-6 (7-1), 6-4</x:t>
        </x:is>
      </x:c>
      <x:c r="I63" t="inlineStr">
        <x:is>
          <x:t xml:space="preserve">S.B. Edberg</x:t>
        </x:is>
      </x:c>
      <x:c r="J63" t="inlineStr">
        <x:is>
          <x:t xml:space="preserve">SWE</x:t>
        </x:is>
      </x:c>
      <x:c r="K63" t="inlineStr">
        <x:is>
          <x:t xml:space="preserve">SweDenmark</x:t>
        </x:is>
      </x:c>
      <x:c r="L63" t="n">
        <x:v>2</x:v>
      </x:c>
    </x:row>
    <x:row r="64">
      <x:c r="A64" t="n">
        <x:v>1988</x:v>
      </x:c>
      <x:c r="B64" t="inlineStr">
        <x:is>
          <x:t xml:space="preserve">Women's</x:t>
        </x:is>
      </x:c>
      <x:c r="C64" t="inlineStr">
        <x:is>
          <x:t xml:space="preserve">S.M. Graf</x:t>
        </x:is>
      </x:c>
      <x:c r="D64" t="inlineStr">
        <x:is>
          <x:t xml:space="preserve">GER</x:t>
        </x:is>
      </x:c>
      <x:c r="E64" t="inlineStr">
        <x:is>
          <x:t xml:space="preserve">Germany</x:t>
        </x:is>
      </x:c>
      <x:c r="F64" t="n">
        <x:v>1</x:v>
      </x:c>
      <x:c r="G64" t="n">
        <x:v>93</x:v>
      </x:c>
      <x:c r="H64" t="inlineStr">
        <x:is>
          <x:t xml:space="preserve">5-7, 6-2, 6-1,</x:t>
        </x:is>
      </x:c>
      <x:c r="I64" t="inlineStr">
        <x:is>
          <x:t xml:space="preserve">M. Navratilova</x:t>
        </x:is>
      </x:c>
      <x:c r="J64" t="inlineStr">
        <x:is>
          <x:t xml:space="preserve">USA</x:t>
        </x:is>
      </x:c>
      <x:c r="K64" t="inlineStr">
        <x:is>
          <x:t xml:space="preserve">United States</x:t>
        </x:is>
      </x:c>
      <x:c r="L64" t="n">
        <x:v>2</x:v>
      </x:c>
    </x:row>
    <x:row r="65">
      <x:c r="A65" t="n">
        <x:v>1988</x:v>
      </x:c>
      <x:c r="B65" t="inlineStr">
        <x:is>
          <x:t xml:space="preserve">Men's</x:t>
        </x:is>
      </x:c>
      <x:c r="C65" t="inlineStr">
        <x:is>
          <x:t xml:space="preserve">S.B. Edberg</x:t>
        </x:is>
      </x:c>
      <x:c r="D65" t="inlineStr">
        <x:is>
          <x:t xml:space="preserve">SWE</x:t>
        </x:is>
      </x:c>
      <x:c r="E65" t="inlineStr">
        <x:is>
          <x:t xml:space="preserve">Sweden</x:t>
        </x:is>
      </x:c>
      <x:c r="F65" t="n">
        <x:v>3</x:v>
      </x:c>
      <x:c r="G65" t="n">
        <x:v>170</x:v>
      </x:c>
      <x:c r="H65" t="inlineStr">
        <x:is>
          <x:t xml:space="preserve">4-6, 7-6 (7-2), 6-4, 6-2</x:t>
        </x:is>
      </x:c>
      <x:c r="I65" t="inlineStr">
        <x:is>
          <x:t xml:space="preserve">B.F. Becker</x:t>
        </x:is>
      </x:c>
      <x:c r="J65" t="inlineStr">
        <x:is>
          <x:t xml:space="preserve">GER</x:t>
        </x:is>
      </x:c>
      <x:c r="K65" t="inlineStr">
        <x:is>
          <x:t xml:space="preserve">Germany</x:t>
        </x:is>
      </x:c>
      <x:c r="L65" t="n">
        <x:v>6</x:v>
      </x:c>
    </x:row>
    <x:row r="66">
      <x:c r="A66" t="n">
        <x:v>1987</x:v>
      </x:c>
      <x:c r="B66" t="inlineStr">
        <x:is>
          <x:t xml:space="preserve">Women's</x:t>
        </x:is>
      </x:c>
      <x:c r="C66" t="inlineStr">
        <x:is>
          <x:t xml:space="preserve">M. Navratilova</x:t>
        </x:is>
      </x:c>
      <x:c r="D66" t="inlineStr">
        <x:is>
          <x:t xml:space="preserve">USA</x:t>
        </x:is>
      </x:c>
      <x:c r="E66" t="inlineStr">
        <x:is>
          <x:t xml:space="preserve">United States</x:t>
        </x:is>
      </x:c>
      <x:c r="F66" t="n">
        <x:v>1</x:v>
      </x:c>
      <x:c r="G66" t="n">
        <x:v>69</x:v>
      </x:c>
      <x:c r="H66" t="inlineStr">
        <x:is>
          <x:t xml:space="preserve">7-5, 6-3,</x:t>
        </x:is>
      </x:c>
      <x:c r="I66" t="inlineStr">
        <x:is>
          <x:t xml:space="preserve">S.M. Graf</x:t>
        </x:is>
      </x:c>
      <x:c r="J66" t="inlineStr">
        <x:is>
          <x:t xml:space="preserve">GER</x:t>
        </x:is>
      </x:c>
      <x:c r="K66" t="inlineStr">
        <x:is>
          <x:t xml:space="preserve">Germany</x:t>
        </x:is>
      </x:c>
      <x:c r="L66" t="n">
        <x:v>2</x:v>
      </x:c>
    </x:row>
    <x:row r="67">
      <x:c r="A67" t="n">
        <x:v>1987</x:v>
      </x:c>
      <x:c r="B67" t="inlineStr">
        <x:is>
          <x:t xml:space="preserve">Men's</x:t>
        </x:is>
      </x:c>
      <x:c r="C67" t="inlineStr">
        <x:is>
          <x:t xml:space="preserve">P.H. Cash</x:t>
        </x:is>
      </x:c>
      <x:c r="D67" t="inlineStr">
        <x:is>
          <x:t xml:space="preserve">AUS</x:t>
        </x:is>
      </x:c>
      <x:c r="E67" t="inlineStr">
        <x:is>
          <x:t xml:space="preserve">Australia</x:t>
        </x:is>
      </x:c>
      <x:c r="F67" t="n">
        <x:v>11</x:v>
      </x:c>
      <x:c r="G67" t="n">
        <x:v>165</x:v>
      </x:c>
      <x:c r="H67" t="inlineStr">
        <x:is>
          <x:t xml:space="preserve">7-6 (7-5), 6-2, 7-5</x:t>
        </x:is>
      </x:c>
      <x:c r="I67" t="inlineStr">
        <x:is>
          <x:t xml:space="preserve">I. Lendl</x:t>
        </x:is>
      </x:c>
      <x:c r="J67" t="inlineStr">
        <x:is>
          <x:t xml:space="preserve">TCH</x:t>
        </x:is>
      </x:c>
      <x:c r="K67" t="inlineStr">
        <x:is>
          <x:t xml:space="preserve">Czechoslovakia</x:t>
        </x:is>
      </x:c>
      <x:c r="L67" t="n">
        <x:v>2</x:v>
      </x:c>
    </x:row>
    <x:row r="68">
      <x:c r="A68" t="n">
        <x:v>1986</x:v>
      </x:c>
      <x:c r="B68" t="inlineStr">
        <x:is>
          <x:t xml:space="preserve">Women's</x:t>
        </x:is>
      </x:c>
      <x:c r="C68" t="inlineStr">
        <x:is>
          <x:t xml:space="preserve">M. Navratilova</x:t>
        </x:is>
      </x:c>
      <x:c r="D68" t="inlineStr">
        <x:is>
          <x:t xml:space="preserve">USA</x:t>
        </x:is>
      </x:c>
      <x:c r="E68" t="inlineStr">
        <x:is>
          <x:t xml:space="preserve">United States</x:t>
        </x:is>
      </x:c>
      <x:c r="F68" t="n">
        <x:v>1</x:v>
      </x:c>
      <x:c r="G68" t="n">
        <x:v>72</x:v>
      </x:c>
      <x:c r="H68" t="inlineStr">
        <x:is>
          <x:t xml:space="preserve">7-6 (7-1), 6-3,</x:t>
        </x:is>
      </x:c>
      <x:c r="I68" t="inlineStr">
        <x:is>
          <x:t xml:space="preserve">H. Mandlikova</x:t>
        </x:is>
      </x:c>
      <x:c r="J68" t="inlineStr">
        <x:is>
          <x:t xml:space="preserve">TCH</x:t>
        </x:is>
      </x:c>
      <x:c r="K68" t="inlineStr">
        <x:is>
          <x:t xml:space="preserve">Czechoslovakia</x:t>
        </x:is>
      </x:c>
      <x:c r="L68" t="n">
        <x:v>3</x:v>
      </x:c>
    </x:row>
    <x:row r="69">
      <x:c r="A69" t="n">
        <x:v>1986</x:v>
      </x:c>
      <x:c r="B69" t="inlineStr">
        <x:is>
          <x:t xml:space="preserve">Men's</x:t>
        </x:is>
      </x:c>
      <x:c r="C69" t="inlineStr">
        <x:is>
          <x:t xml:space="preserve">B.F. Becker</x:t>
        </x:is>
      </x:c>
      <x:c r="D69" t="inlineStr">
        <x:is>
          <x:t xml:space="preserve">GER</x:t>
        </x:is>
      </x:c>
      <x:c r="E69" t="inlineStr">
        <x:is>
          <x:t xml:space="preserve">Germany</x:t>
        </x:is>
      </x:c>
      <x:c r="F69" t="n">
        <x:v>4</x:v>
      </x:c>
      <x:c r="G69" t="n">
        <x:v>122</x:v>
      </x:c>
      <x:c r="H69" t="inlineStr">
        <x:is>
          <x:t xml:space="preserve">6-4, 6-3, 7-5</x:t>
        </x:is>
      </x:c>
      <x:c r="I69" t="inlineStr">
        <x:is>
          <x:t xml:space="preserve">I. Lendl</x:t>
        </x:is>
      </x:c>
      <x:c r="J69" t="inlineStr">
        <x:is>
          <x:t xml:space="preserve">TCH</x:t>
        </x:is>
      </x:c>
      <x:c r="K69" t="inlineStr">
        <x:is>
          <x:t xml:space="preserve">Czechoslovakia</x:t>
        </x:is>
      </x:c>
      <x:c r="L69" t="n">
        <x:v>1</x:v>
      </x:c>
    </x:row>
    <x:row r="70">
      <x:c r="A70" t="n">
        <x:v>1985</x:v>
      </x:c>
      <x:c r="B70" t="inlineStr">
        <x:is>
          <x:t xml:space="preserve">Women's</x:t>
        </x:is>
      </x:c>
      <x:c r="C70" t="inlineStr">
        <x:is>
          <x:t xml:space="preserve">M. Navratilova</x:t>
        </x:is>
      </x:c>
      <x:c r="D70" t="inlineStr">
        <x:is>
          <x:t xml:space="preserve">USA</x:t>
        </x:is>
      </x:c>
      <x:c r="E70" t="inlineStr">
        <x:is>
          <x:t xml:space="preserve">United States</x:t>
        </x:is>
      </x:c>
      <x:c r="F70" t="n">
        <x:v>1</x:v>
      </x:c>
      <x:c r="G70" t="n">
        <x:v>107</x:v>
      </x:c>
      <x:c r="H70" t="inlineStr">
        <x:is>
          <x:t xml:space="preserve">4-6, 6-3, 6-2,</x:t>
        </x:is>
      </x:c>
      <x:c r="I70" t="inlineStr">
        <x:is>
          <x:t xml:space="preserve">J.M. Lloyd</x:t>
        </x:is>
      </x:c>
      <x:c r="J70" t="inlineStr">
        <x:is>
          <x:t xml:space="preserve">USA</x:t>
        </x:is>
      </x:c>
      <x:c r="K70" t="inlineStr">
        <x:is>
          <x:t xml:space="preserve">United States</x:t>
        </x:is>
      </x:c>
      <x:c r="L70" t="n">
        <x:v>1</x:v>
      </x:c>
    </x:row>
    <x:row r="71">
      <x:c r="A71" t="n">
        <x:v>1985</x:v>
      </x:c>
      <x:c r="B71" t="inlineStr">
        <x:is>
          <x:t xml:space="preserve">Men's</x:t>
        </x:is>
      </x:c>
      <x:c r="C71" t="inlineStr">
        <x:is>
          <x:t xml:space="preserve">B.F. Becker</x:t>
        </x:is>
      </x:c>
      <x:c r="D71" t="inlineStr">
        <x:is>
          <x:t xml:space="preserve">GER</x:t>
        </x:is>
      </x:c>
      <x:c r="E71" t="inlineStr">
        <x:is>
          <x:t xml:space="preserve">Germany</x:t>
        </x:is>
      </x:c>
      <x:c r="G71" t="n">
        <x:v>198</x:v>
      </x:c>
      <x:c r="H71" t="inlineStr">
        <x:is>
          <x:t xml:space="preserve">6-3, 6-7 (4-7), 7-6 (7-3), 6-4</x:t>
        </x:is>
      </x:c>
      <x:c r="I71" t="inlineStr">
        <x:is>
          <x:t xml:space="preserve">K.M. Curren</x:t>
        </x:is>
      </x:c>
      <x:c r="J71" t="inlineStr">
        <x:is>
          <x:t xml:space="preserve">USA</x:t>
        </x:is>
      </x:c>
      <x:c r="K71" t="inlineStr">
        <x:is>
          <x:t xml:space="preserve">United States</x:t>
        </x:is>
      </x:c>
      <x:c r="L71" t="n">
        <x:v>8</x:v>
      </x:c>
    </x:row>
    <x:row r="72">
      <x:c r="A72" t="n">
        <x:v>1984</x:v>
      </x:c>
      <x:c r="B72" t="inlineStr">
        <x:is>
          <x:t xml:space="preserve">Women's</x:t>
        </x:is>
      </x:c>
      <x:c r="C72" t="inlineStr">
        <x:is>
          <x:t xml:space="preserve">M. Navratilova</x:t>
        </x:is>
      </x:c>
      <x:c r="D72" t="inlineStr">
        <x:is>
          <x:t xml:space="preserve">USA</x:t>
        </x:is>
      </x:c>
      <x:c r="E72" t="inlineStr">
        <x:is>
          <x:t xml:space="preserve">United States</x:t>
        </x:is>
      </x:c>
      <x:c r="F72" t="n">
        <x:v>1</x:v>
      </x:c>
      <x:c r="G72" t="n">
        <x:v>84</x:v>
      </x:c>
      <x:c r="H72" t="inlineStr">
        <x:is>
          <x:t xml:space="preserve">7-6 (7-5), 6-2,</x:t>
        </x:is>
      </x:c>
      <x:c r="I72" t="inlineStr">
        <x:is>
          <x:t xml:space="preserve">J.M. Lloyd</x:t>
        </x:is>
      </x:c>
      <x:c r="J72" t="inlineStr">
        <x:is>
          <x:t xml:space="preserve">USA</x:t>
        </x:is>
      </x:c>
      <x:c r="K72" t="inlineStr">
        <x:is>
          <x:t xml:space="preserve">United States</x:t>
        </x:is>
      </x:c>
      <x:c r="L72" t="n">
        <x:v>2</x:v>
      </x:c>
    </x:row>
    <x:row r="73">
      <x:c r="A73" t="n">
        <x:v>1984</x:v>
      </x:c>
      <x:c r="B73" t="inlineStr">
        <x:is>
          <x:t xml:space="preserve">Men's</x:t>
        </x:is>
      </x:c>
      <x:c r="C73" t="inlineStr">
        <x:is>
          <x:t xml:space="preserve">J.P. McEnroe</x:t>
        </x:is>
      </x:c>
      <x:c r="D73" t="inlineStr">
        <x:is>
          <x:t xml:space="preserve">USA</x:t>
        </x:is>
      </x:c>
      <x:c r="E73" t="inlineStr">
        <x:is>
          <x:t xml:space="preserve">United States</x:t>
        </x:is>
      </x:c>
      <x:c r="F73" t="n">
        <x:v>1</x:v>
      </x:c>
      <x:c r="G73" t="n">
        <x:v>80</x:v>
      </x:c>
      <x:c r="H73" t="inlineStr">
        <x:is>
          <x:t xml:space="preserve">6-1, 6-1, 6-2</x:t>
        </x:is>
      </x:c>
      <x:c r="I73" t="inlineStr">
        <x:is>
          <x:t xml:space="preserve">J.S. Connors</x:t>
        </x:is>
      </x:c>
      <x:c r="J73" t="inlineStr">
        <x:is>
          <x:t xml:space="preserve">USA</x:t>
        </x:is>
      </x:c>
      <x:c r="K73" t="inlineStr">
        <x:is>
          <x:t xml:space="preserve">United States</x:t>
        </x:is>
      </x:c>
      <x:c r="L73" t="n">
        <x:v>3</x:v>
      </x:c>
    </x:row>
    <x:row r="74">
      <x:c r="A74" t="n">
        <x:v>1983</x:v>
      </x:c>
      <x:c r="B74" t="inlineStr">
        <x:is>
          <x:t xml:space="preserve">Women's</x:t>
        </x:is>
      </x:c>
      <x:c r="C74" t="inlineStr">
        <x:is>
          <x:t xml:space="preserve">M. Navratilova</x:t>
        </x:is>
      </x:c>
      <x:c r="D74" t="inlineStr">
        <x:is>
          <x:t xml:space="preserve">USA</x:t>
        </x:is>
      </x:c>
      <x:c r="E74" t="inlineStr">
        <x:is>
          <x:t xml:space="preserve">United States</x:t>
        </x:is>
      </x:c>
      <x:c r="F74" t="n">
        <x:v>1</x:v>
      </x:c>
      <x:c r="G74" t="n">
        <x:v>54</x:v>
      </x:c>
      <x:c r="H74" t="inlineStr">
        <x:is>
          <x:t xml:space="preserve">6-0, 6-3,</x:t>
        </x:is>
      </x:c>
      <x:c r="I74" t="inlineStr">
        <x:is>
          <x:t xml:space="preserve">A. Jaeger</x:t>
        </x:is>
      </x:c>
      <x:c r="J74" t="inlineStr">
        <x:is>
          <x:t xml:space="preserve">USA</x:t>
        </x:is>
      </x:c>
      <x:c r="K74" t="inlineStr">
        <x:is>
          <x:t xml:space="preserve">United States</x:t>
        </x:is>
      </x:c>
      <x:c r="L74" t="n">
        <x:v>3</x:v>
      </x:c>
    </x:row>
    <x:row r="75">
      <x:c r="A75" t="n">
        <x:v>1983</x:v>
      </x:c>
      <x:c r="B75" t="inlineStr">
        <x:is>
          <x:t xml:space="preserve">Men's</x:t>
        </x:is>
      </x:c>
      <x:c r="C75" t="inlineStr">
        <x:is>
          <x:t xml:space="preserve">J.P. McEnroe</x:t>
        </x:is>
      </x:c>
      <x:c r="D75" t="inlineStr">
        <x:is>
          <x:t xml:space="preserve">USA</x:t>
        </x:is>
      </x:c>
      <x:c r="E75" t="inlineStr">
        <x:is>
          <x:t xml:space="preserve">United States</x:t>
        </x:is>
      </x:c>
      <x:c r="F75" t="n">
        <x:v>2</x:v>
      </x:c>
      <x:c r="G75" t="n">
        <x:v>85</x:v>
      </x:c>
      <x:c r="H75" t="inlineStr">
        <x:is>
          <x:t xml:space="preserve">6-2, 6-2, 6-2</x:t>
        </x:is>
      </x:c>
      <x:c r="I75" t="inlineStr">
        <x:is>
          <x:t xml:space="preserve">C.J. Lewis</x:t>
        </x:is>
      </x:c>
      <x:c r="J75" t="inlineStr">
        <x:is>
          <x:t xml:space="preserve">NZL</x:t>
        </x:is>
      </x:c>
      <x:c r="K75" t="inlineStr">
        <x:is>
          <x:t xml:space="preserve">New Zealand</x:t>
        </x:is>
      </x:c>
      <x:c r="L75" t="inlineStr">
        <x:is>
          <x:t xml:space="preserve">U</x:t>
        </x:is>
      </x:c>
    </x:row>
    <x:row r="76">
      <x:c r="A76" t="n">
        <x:v>1982</x:v>
      </x:c>
      <x:c r="B76" t="inlineStr">
        <x:is>
          <x:t xml:space="preserve">Women's</x:t>
        </x:is>
      </x:c>
      <x:c r="C76" t="inlineStr">
        <x:is>
          <x:t xml:space="preserve">M. Navratilova</x:t>
        </x:is>
      </x:c>
      <x:c r="D76" t="inlineStr">
        <x:is>
          <x:t xml:space="preserve">USA</x:t>
        </x:is>
      </x:c>
      <x:c r="E76" t="inlineStr">
        <x:is>
          <x:t xml:space="preserve">United States</x:t>
        </x:is>
      </x:c>
      <x:c r="F76" t="n">
        <x:v>1</x:v>
      </x:c>
      <x:c r="G76" t="n">
        <x:v>87</x:v>
      </x:c>
      <x:c r="H76" t="inlineStr">
        <x:is>
          <x:t xml:space="preserve">6-1, 3-6, 6-2,</x:t>
        </x:is>
      </x:c>
      <x:c r="I76" t="inlineStr">
        <x:is>
          <x:t xml:space="preserve">J.M. Lloyd</x:t>
        </x:is>
      </x:c>
      <x:c r="J76" t="inlineStr">
        <x:is>
          <x:t xml:space="preserve">USA</x:t>
        </x:is>
      </x:c>
      <x:c r="K76" t="inlineStr">
        <x:is>
          <x:t xml:space="preserve">United States</x:t>
        </x:is>
      </x:c>
      <x:c r="L76" t="n">
        <x:v>2</x:v>
      </x:c>
    </x:row>
    <x:row r="77">
      <x:c r="A77" t="n">
        <x:v>1982</x:v>
      </x:c>
      <x:c r="B77" t="inlineStr">
        <x:is>
          <x:t xml:space="preserve">Men's</x:t>
        </x:is>
      </x:c>
      <x:c r="C77" t="inlineStr">
        <x:is>
          <x:t xml:space="preserve">J.S. Connors</x:t>
        </x:is>
      </x:c>
      <x:c r="D77" t="inlineStr">
        <x:is>
          <x:t xml:space="preserve">USA</x:t>
        </x:is>
      </x:c>
      <x:c r="E77" t="inlineStr">
        <x:is>
          <x:t xml:space="preserve">United States</x:t>
        </x:is>
      </x:c>
      <x:c r="F77" t="n">
        <x:v>2</x:v>
      </x:c>
      <x:c r="G77" t="n">
        <x:v>256</x:v>
      </x:c>
      <x:c r="H77" t="inlineStr">
        <x:is>
          <x:t xml:space="preserve">3-6, 6-3, 6-7 (2-7), 7-6 (7-5), 6-4</x:t>
        </x:is>
      </x:c>
      <x:c r="I77" t="inlineStr">
        <x:is>
          <x:t xml:space="preserve">J.P. McEnroe</x:t>
        </x:is>
      </x:c>
      <x:c r="J77" t="inlineStr">
        <x:is>
          <x:t xml:space="preserve">USA</x:t>
        </x:is>
      </x:c>
      <x:c r="K77" t="inlineStr">
        <x:is>
          <x:t xml:space="preserve">United States</x:t>
        </x:is>
      </x:c>
      <x:c r="L77" t="n">
        <x:v>1</x:v>
      </x:c>
    </x:row>
    <x:row r="78">
      <x:c r="A78" t="n">
        <x:v>1981</x:v>
      </x:c>
      <x:c r="B78" t="inlineStr">
        <x:is>
          <x:t xml:space="preserve">Women's</x:t>
        </x:is>
      </x:c>
      <x:c r="C78" t="inlineStr">
        <x:is>
          <x:t xml:space="preserve">J.M. Lloyd</x:t>
        </x:is>
      </x:c>
      <x:c r="D78" t="inlineStr">
        <x:is>
          <x:t xml:space="preserve">USA</x:t>
        </x:is>
      </x:c>
      <x:c r="E78" t="inlineStr">
        <x:is>
          <x:t xml:space="preserve">United States</x:t>
        </x:is>
      </x:c>
      <x:c r="F78" t="n">
        <x:v>1</x:v>
      </x:c>
      <x:c r="G78" t="n">
        <x:v>60</x:v>
      </x:c>
      <x:c r="H78" t="inlineStr">
        <x:is>
          <x:t xml:space="preserve">6-2, 6-2,</x:t>
        </x:is>
      </x:c>
      <x:c r="I78" t="inlineStr">
        <x:is>
          <x:t xml:space="preserve">H. Mandlikova</x:t>
        </x:is>
      </x:c>
      <x:c r="J78" t="inlineStr">
        <x:is>
          <x:t xml:space="preserve">TCH</x:t>
        </x:is>
      </x:c>
      <x:c r="K78" t="inlineStr">
        <x:is>
          <x:t xml:space="preserve">Czechoslovakia</x:t>
        </x:is>
      </x:c>
      <x:c r="L78" t="n">
        <x:v>2</x:v>
      </x:c>
    </x:row>
    <x:row r="79">
      <x:c r="A79" t="n">
        <x:v>1981</x:v>
      </x:c>
      <x:c r="B79" t="inlineStr">
        <x:is>
          <x:t xml:space="preserve">Men's</x:t>
        </x:is>
      </x:c>
      <x:c r="C79" t="inlineStr">
        <x:is>
          <x:t xml:space="preserve">J.P. McEnroe</x:t>
        </x:is>
      </x:c>
      <x:c r="D79" t="inlineStr">
        <x:is>
          <x:t xml:space="preserve">USA</x:t>
        </x:is>
      </x:c>
      <x:c r="E79" t="inlineStr">
        <x:is>
          <x:t xml:space="preserve">United States</x:t>
        </x:is>
      </x:c>
      <x:c r="F79" t="n">
        <x:v>2</x:v>
      </x:c>
      <x:c r="G79" t="n">
        <x:v>202</x:v>
      </x:c>
      <x:c r="H79" t="inlineStr">
        <x:is>
          <x:t xml:space="preserve">4-6, 7-6 (7-1), 7-6 (7-4), 6-4</x:t>
        </x:is>
      </x:c>
      <x:c r="I79" t="inlineStr">
        <x:is>
          <x:t xml:space="preserve">B.R. Borg</x:t>
        </x:is>
      </x:c>
      <x:c r="J79" t="inlineStr">
        <x:is>
          <x:t xml:space="preserve">SWE</x:t>
        </x:is>
      </x:c>
      <x:c r="K79" t="inlineStr">
        <x:is>
          <x:t xml:space="preserve">SweDenmark</x:t>
        </x:is>
      </x:c>
      <x:c r="L79" t="n">
        <x:v>1</x:v>
      </x:c>
    </x:row>
    <x:row r="80">
      <x:c r="A80" t="n">
        <x:v>1980</x:v>
      </x:c>
      <x:c r="B80" t="inlineStr">
        <x:is>
          <x:t xml:space="preserve">Women's</x:t>
        </x:is>
      </x:c>
      <x:c r="C80" t="inlineStr">
        <x:is>
          <x:t xml:space="preserve">R.A. Cawley</x:t>
        </x:is>
      </x:c>
      <x:c r="D80" t="inlineStr">
        <x:is>
          <x:t xml:space="preserve">AUS</x:t>
        </x:is>
      </x:c>
      <x:c r="E80" t="inlineStr">
        <x:is>
          <x:t xml:space="preserve">Australia</x:t>
        </x:is>
      </x:c>
      <x:c r="F80" t="n">
        <x:v>4</x:v>
      </x:c>
      <x:c r="G80" t="n">
        <x:v>93</x:v>
      </x:c>
      <x:c r="H80" t="inlineStr">
        <x:is>
          <x:t xml:space="preserve">6-1, 7-6 (7-4)</x:t>
        </x:is>
      </x:c>
      <x:c r="I80" t="inlineStr">
        <x:is>
          <x:t xml:space="preserve">J.M. Lloyd</x:t>
        </x:is>
      </x:c>
      <x:c r="J80" t="inlineStr">
        <x:is>
          <x:t xml:space="preserve">USA</x:t>
        </x:is>
      </x:c>
      <x:c r="K80" t="inlineStr">
        <x:is>
          <x:t xml:space="preserve">United States</x:t>
        </x:is>
      </x:c>
      <x:c r="L80" t="n">
        <x:v>3</x:v>
      </x:c>
    </x:row>
    <x:row r="81">
      <x:c r="A81" t="n">
        <x:v>1980</x:v>
      </x:c>
      <x:c r="B81" t="inlineStr">
        <x:is>
          <x:t xml:space="preserve">Men's</x:t>
        </x:is>
      </x:c>
      <x:c r="C81" t="inlineStr">
        <x:is>
          <x:t xml:space="preserve">B.R. Borg</x:t>
        </x:is>
      </x:c>
      <x:c r="D81" t="inlineStr">
        <x:is>
          <x:t xml:space="preserve">SWE</x:t>
        </x:is>
      </x:c>
      <x:c r="E81" t="inlineStr">
        <x:is>
          <x:t xml:space="preserve">Sweden</x:t>
        </x:is>
      </x:c>
      <x:c r="F81" t="n">
        <x:v>1</x:v>
      </x:c>
      <x:c r="G81" t="n">
        <x:v>233</x:v>
      </x:c>
      <x:c r="H81" t="inlineStr">
        <x:is>
          <x:t xml:space="preserve">1-6, 7-5, 6-3, 6-7 (16-18), 8-6</x:t>
        </x:is>
      </x:c>
      <x:c r="I81" t="inlineStr">
        <x:is>
          <x:t xml:space="preserve">J.P. McEnroe</x:t>
        </x:is>
      </x:c>
      <x:c r="J81" t="inlineStr">
        <x:is>
          <x:t xml:space="preserve">USA</x:t>
        </x:is>
      </x:c>
      <x:c r="K81" t="inlineStr">
        <x:is>
          <x:t xml:space="preserve">United States</x:t>
        </x:is>
      </x:c>
      <x:c r="L81" t="n">
        <x:v>2</x:v>
      </x:c>
    </x:row>
    <x:row r="82">
      <x:c r="A82" t="n">
        <x:v>1979</x:v>
      </x:c>
      <x:c r="B82" t="inlineStr">
        <x:is>
          <x:t xml:space="preserve">Women's</x:t>
        </x:is>
      </x:c>
      <x:c r="C82" t="inlineStr">
        <x:is>
          <x:t xml:space="preserve">M. Navratilova</x:t>
        </x:is>
      </x:c>
      <x:c r="D82" t="inlineStr">
        <x:is>
          <x:t xml:space="preserve">USA</x:t>
        </x:is>
      </x:c>
      <x:c r="E82" t="inlineStr">
        <x:is>
          <x:t xml:space="preserve">United States</x:t>
        </x:is>
      </x:c>
      <x:c r="F82" t="n">
        <x:v>1</x:v>
      </x:c>
      <x:c r="G82" t="n">
        <x:v>60</x:v>
      </x:c>
      <x:c r="H82" t="inlineStr">
        <x:is>
          <x:t xml:space="preserve">6-4, 6-4,</x:t>
        </x:is>
      </x:c>
      <x:c r="I82" t="inlineStr">
        <x:is>
          <x:t xml:space="preserve">J.M. Lloyd</x:t>
        </x:is>
      </x:c>
      <x:c r="J82" t="inlineStr">
        <x:is>
          <x:t xml:space="preserve">USA</x:t>
        </x:is>
      </x:c>
      <x:c r="K82" t="inlineStr">
        <x:is>
          <x:t xml:space="preserve">United States</x:t>
        </x:is>
      </x:c>
      <x:c r="L82" t="n">
        <x:v>2</x:v>
      </x:c>
    </x:row>
    <x:row r="83">
      <x:c r="A83" t="n">
        <x:v>1979</x:v>
      </x:c>
      <x:c r="B83" t="inlineStr">
        <x:is>
          <x:t xml:space="preserve">Men's</x:t>
        </x:is>
      </x:c>
      <x:c r="C83" t="inlineStr">
        <x:is>
          <x:t xml:space="preserve">B.R. Borg</x:t>
        </x:is>
      </x:c>
      <x:c r="D83" t="inlineStr">
        <x:is>
          <x:t xml:space="preserve">SWE</x:t>
        </x:is>
      </x:c>
      <x:c r="E83" t="inlineStr">
        <x:is>
          <x:t xml:space="preserve">Sweden</x:t>
        </x:is>
      </x:c>
      <x:c r="F83" t="n">
        <x:v>1</x:v>
      </x:c>
      <x:c r="G83" t="n">
        <x:v>169</x:v>
      </x:c>
      <x:c r="H83" t="inlineStr">
        <x:is>
          <x:t xml:space="preserve">6-7(4-7), 6-1, 3-6, 6-3, 6-4</x:t>
        </x:is>
      </x:c>
      <x:c r="I83" t="inlineStr">
        <x:is>
          <x:t xml:space="preserve">R. Tanner</x:t>
        </x:is>
      </x:c>
      <x:c r="J83" t="inlineStr">
        <x:is>
          <x:t xml:space="preserve">USA</x:t>
        </x:is>
      </x:c>
      <x:c r="K83" t="inlineStr">
        <x:is>
          <x:t xml:space="preserve">United States</x:t>
        </x:is>
      </x:c>
      <x:c r="L83" t="n">
        <x:v>5</x:v>
      </x:c>
    </x:row>
    <x:row r="84">
      <x:c r="A84" t="n">
        <x:v>1978</x:v>
      </x:c>
      <x:c r="B84" t="inlineStr">
        <x:is>
          <x:t xml:space="preserve">Women's</x:t>
        </x:is>
      </x:c>
      <x:c r="C84" t="inlineStr">
        <x:is>
          <x:t xml:space="preserve">M. Navratilova</x:t>
        </x:is>
      </x:c>
      <x:c r="D84" t="inlineStr">
        <x:is>
          <x:t xml:space="preserve">USA</x:t>
        </x:is>
      </x:c>
      <x:c r="E84" t="inlineStr">
        <x:is>
          <x:t xml:space="preserve">United States</x:t>
        </x:is>
      </x:c>
      <x:c r="F84" t="n">
        <x:v>2</x:v>
      </x:c>
      <x:c r="G84" t="n">
        <x:v>102</x:v>
      </x:c>
      <x:c r="H84" t="inlineStr">
        <x:is>
          <x:t xml:space="preserve">2-6, 6-4, 7-5,</x:t>
        </x:is>
      </x:c>
      <x:c r="I84" t="inlineStr">
        <x:is>
          <x:t xml:space="preserve">C.M. Evert</x:t>
        </x:is>
      </x:c>
      <x:c r="J84" t="inlineStr">
        <x:is>
          <x:t xml:space="preserve">USA</x:t>
        </x:is>
      </x:c>
      <x:c r="K84" t="inlineStr">
        <x:is>
          <x:t xml:space="preserve">United States</x:t>
        </x:is>
      </x:c>
      <x:c r="L84" t="n">
        <x:v>1</x:v>
      </x:c>
    </x:row>
    <x:row r="85">
      <x:c r="A85" t="n">
        <x:v>1978</x:v>
      </x:c>
      <x:c r="B85" t="inlineStr">
        <x:is>
          <x:t xml:space="preserve">Men's</x:t>
        </x:is>
      </x:c>
      <x:c r="C85" t="inlineStr">
        <x:is>
          <x:t xml:space="preserve">B.R. Borg</x:t>
        </x:is>
      </x:c>
      <x:c r="D85" t="inlineStr">
        <x:is>
          <x:t xml:space="preserve">SWE</x:t>
        </x:is>
      </x:c>
      <x:c r="E85" t="inlineStr">
        <x:is>
          <x:t xml:space="preserve">Sweden</x:t>
        </x:is>
      </x:c>
      <x:c r="F85" t="n">
        <x:v>1</x:v>
      </x:c>
      <x:c r="G85" t="n">
        <x:v>108</x:v>
      </x:c>
      <x:c r="H85" t="inlineStr">
        <x:is>
          <x:t xml:space="preserve">6-2, 6-2, 6-3</x:t>
        </x:is>
      </x:c>
      <x:c r="I85" t="inlineStr">
        <x:is>
          <x:t xml:space="preserve">J.S. Connors</x:t>
        </x:is>
      </x:c>
      <x:c r="J85" t="inlineStr">
        <x:is>
          <x:t xml:space="preserve">USA</x:t>
        </x:is>
      </x:c>
      <x:c r="K85" t="inlineStr">
        <x:is>
          <x:t xml:space="preserve">United States</x:t>
        </x:is>
      </x:c>
      <x:c r="L85" t="n">
        <x:v>2</x:v>
      </x:c>
    </x:row>
    <x:row r="86">
      <x:c r="A86" t="n">
        <x:v>1977</x:v>
      </x:c>
      <x:c r="B86" t="inlineStr">
        <x:is>
          <x:t xml:space="preserve">Women's</x:t>
        </x:is>
      </x:c>
      <x:c r="C86" t="inlineStr">
        <x:is>
          <x:t xml:space="preserve">S.V. Wade</x:t>
        </x:is>
      </x:c>
      <x:c r="D86" t="inlineStr">
        <x:is>
          <x:t xml:space="preserve">GBR</x:t>
        </x:is>
      </x:c>
      <x:c r="E86" t="inlineStr">
        <x:is>
          <x:t xml:space="preserve">United Kingdom</x:t>
        </x:is>
      </x:c>
      <x:c r="F86" t="n">
        <x:v>3</x:v>
      </x:c>
      <x:c r="G86" t="n">
        <x:v>98</x:v>
      </x:c>
      <x:c r="H86" t="inlineStr">
        <x:is>
          <x:t xml:space="preserve">4-6, 6-3, 6-1,</x:t>
        </x:is>
      </x:c>
      <x:c r="I86" t="inlineStr">
        <x:is>
          <x:t xml:space="preserve">B.F. Stove</x:t>
        </x:is>
      </x:c>
      <x:c r="J86" t="inlineStr">
        <x:is>
          <x:t xml:space="preserve">NED</x:t>
        </x:is>
      </x:c>
      <x:c r="K86" t="inlineStr">
        <x:is>
          <x:t xml:space="preserve">Netherlands</x:t>
        </x:is>
      </x:c>
      <x:c r="L86" t="n">
        <x:v>7</x:v>
      </x:c>
    </x:row>
    <x:row r="87">
      <x:c r="A87" t="n">
        <x:v>1977</x:v>
      </x:c>
      <x:c r="B87" t="inlineStr">
        <x:is>
          <x:t xml:space="preserve">Men's</x:t>
        </x:is>
      </x:c>
      <x:c r="C87" t="inlineStr">
        <x:is>
          <x:t xml:space="preserve">B.R. Borg</x:t>
        </x:is>
      </x:c>
      <x:c r="D87" t="inlineStr">
        <x:is>
          <x:t xml:space="preserve">SWE</x:t>
        </x:is>
      </x:c>
      <x:c r="E87" t="inlineStr">
        <x:is>
          <x:t xml:space="preserve">Sweden</x:t>
        </x:is>
      </x:c>
      <x:c r="F87" t="n">
        <x:v>2</x:v>
      </x:c>
      <x:c r="G87" t="n">
        <x:v>194</x:v>
      </x:c>
      <x:c r="H87" t="inlineStr">
        <x:is>
          <x:t xml:space="preserve">3-6, 6-2, 6-1, 5-7, 6-4</x:t>
        </x:is>
      </x:c>
      <x:c r="I87" t="inlineStr">
        <x:is>
          <x:t xml:space="preserve">J.S. Connors</x:t>
        </x:is>
      </x:c>
      <x:c r="J87" t="inlineStr">
        <x:is>
          <x:t xml:space="preserve">USA</x:t>
        </x:is>
      </x:c>
      <x:c r="K87" t="inlineStr">
        <x:is>
          <x:t xml:space="preserve">United States</x:t>
        </x:is>
      </x:c>
      <x:c r="L87" t="n">
        <x:v>1</x:v>
      </x:c>
    </x:row>
    <x:row r="88">
      <x:c r="A88" t="n">
        <x:v>1976</x:v>
      </x:c>
      <x:c r="B88" t="inlineStr">
        <x:is>
          <x:t xml:space="preserve">Women's</x:t>
        </x:is>
      </x:c>
      <x:c r="C88" t="inlineStr">
        <x:is>
          <x:t xml:space="preserve">C.M. Evert</x:t>
        </x:is>
      </x:c>
      <x:c r="D88" t="inlineStr">
        <x:is>
          <x:t xml:space="preserve">USA</x:t>
        </x:is>
      </x:c>
      <x:c r="E88" t="inlineStr">
        <x:is>
          <x:t xml:space="preserve">United States</x:t>
        </x:is>
      </x:c>
      <x:c r="F88" t="n">
        <x:v>1</x:v>
      </x:c>
      <x:c r="G88" t="n">
        <x:v>120</x:v>
      </x:c>
      <x:c r="H88" t="inlineStr">
        <x:is>
          <x:t xml:space="preserve">6-3, 4-6, 8-6,</x:t>
        </x:is>
      </x:c>
      <x:c r="I88" t="inlineStr">
        <x:is>
          <x:t xml:space="preserve">R.A. Cawley</x:t>
        </x:is>
      </x:c>
      <x:c r="J88" t="inlineStr">
        <x:is>
          <x:t xml:space="preserve">AUS</x:t>
        </x:is>
      </x:c>
      <x:c r="K88" t="inlineStr">
        <x:is>
          <x:t xml:space="preserve">Australia</x:t>
        </x:is>
      </x:c>
      <x:c r="L88" t="n">
        <x:v>2</x:v>
      </x:c>
    </x:row>
    <x:row r="89">
      <x:c r="A89" t="n">
        <x:v>1976</x:v>
      </x:c>
      <x:c r="B89" t="inlineStr">
        <x:is>
          <x:t xml:space="preserve">Men's</x:t>
        </x:is>
      </x:c>
      <x:c r="C89" t="inlineStr">
        <x:is>
          <x:t xml:space="preserve">B.R. Borg</x:t>
        </x:is>
      </x:c>
      <x:c r="D89" t="inlineStr">
        <x:is>
          <x:t xml:space="preserve">SWE</x:t>
        </x:is>
      </x:c>
      <x:c r="E89" t="inlineStr">
        <x:is>
          <x:t xml:space="preserve">Sweden</x:t>
        </x:is>
      </x:c>
      <x:c r="F89" t="n">
        <x:v>4</x:v>
      </x:c>
      <x:c r="G89" t="n">
        <x:v>110</x:v>
      </x:c>
      <x:c r="H89" t="inlineStr">
        <x:is>
          <x:t xml:space="preserve">6-4, 6-2, 9-7</x:t>
        </x:is>
      </x:c>
      <x:c r="I89" t="inlineStr">
        <x:is>
          <x:t xml:space="preserve">I. Nastase</x:t>
        </x:is>
      </x:c>
      <x:c r="J89" t="inlineStr">
        <x:is>
          <x:t xml:space="preserve">ROM</x:t>
        </x:is>
      </x:c>
      <x:c r="K89" t="inlineStr">
        <x:is>
          <x:t xml:space="preserve">Romania</x:t>
        </x:is>
      </x:c>
      <x:c r="L89" t="n">
        <x:v>3</x:v>
      </x:c>
    </x:row>
    <x:row r="90">
      <x:c r="A90" t="n">
        <x:v>1975</x:v>
      </x:c>
      <x:c r="B90" t="inlineStr">
        <x:is>
          <x:t xml:space="preserve">Women's</x:t>
        </x:is>
      </x:c>
      <x:c r="C90" t="inlineStr">
        <x:is>
          <x:t xml:space="preserve">L.W. King</x:t>
        </x:is>
      </x:c>
      <x:c r="D90" t="inlineStr">
        <x:is>
          <x:t xml:space="preserve">USA</x:t>
        </x:is>
      </x:c>
      <x:c r="E90" t="inlineStr">
        <x:is>
          <x:t xml:space="preserve">United States</x:t>
        </x:is>
      </x:c>
      <x:c r="F90" t="n">
        <x:v>3</x:v>
      </x:c>
      <x:c r="G90" t="n">
        <x:v>38</x:v>
      </x:c>
      <x:c r="H90" t="inlineStr">
        <x:is>
          <x:t xml:space="preserve">6-0, 6-1,</x:t>
        </x:is>
      </x:c>
      <x:c r="I90" t="inlineStr">
        <x:is>
          <x:t xml:space="preserve">R.A. Cawley</x:t>
        </x:is>
      </x:c>
      <x:c r="J90" t="inlineStr">
        <x:is>
          <x:t xml:space="preserve">AUS</x:t>
        </x:is>
      </x:c>
      <x:c r="K90" t="inlineStr">
        <x:is>
          <x:t xml:space="preserve">Australia</x:t>
        </x:is>
      </x:c>
      <x:c r="L90" t="n">
        <x:v>4</x:v>
      </x:c>
    </x:row>
    <x:row r="91">
      <x:c r="A91" t="n">
        <x:v>1975</x:v>
      </x:c>
      <x:c r="B91" t="inlineStr">
        <x:is>
          <x:t xml:space="preserve">Men's</x:t>
        </x:is>
      </x:c>
      <x:c r="C91" t="inlineStr">
        <x:is>
          <x:t xml:space="preserve">A.R. Ashe</x:t>
        </x:is>
      </x:c>
      <x:c r="D91" t="inlineStr">
        <x:is>
          <x:t xml:space="preserve">USA</x:t>
        </x:is>
      </x:c>
      <x:c r="E91" t="inlineStr">
        <x:is>
          <x:t xml:space="preserve">United States</x:t>
        </x:is>
      </x:c>
      <x:c r="F91" t="n">
        <x:v>6</x:v>
      </x:c>
      <x:c r="G91" t="n">
        <x:v>125</x:v>
      </x:c>
      <x:c r="H91" t="inlineStr">
        <x:is>
          <x:t xml:space="preserve">6-1, 6-1, 5-7, 6-4</x:t>
        </x:is>
      </x:c>
      <x:c r="I91" t="inlineStr">
        <x:is>
          <x:t xml:space="preserve">J.S. Connors</x:t>
        </x:is>
      </x:c>
      <x:c r="J91" t="inlineStr">
        <x:is>
          <x:t xml:space="preserve">USA</x:t>
        </x:is>
      </x:c>
      <x:c r="K91" t="inlineStr">
        <x:is>
          <x:t xml:space="preserve">United States</x:t>
        </x:is>
      </x:c>
      <x:c r="L91" t="n">
        <x:v>1</x:v>
      </x:c>
    </x:row>
    <x:row r="92">
      <x:c r="A92" t="n">
        <x:v>1974</x:v>
      </x:c>
      <x:c r="B92" t="inlineStr">
        <x:is>
          <x:t xml:space="preserve">Women's</x:t>
        </x:is>
      </x:c>
      <x:c r="C92" t="inlineStr">
        <x:is>
          <x:t xml:space="preserve">C.M. Evert</x:t>
        </x:is>
      </x:c>
      <x:c r="D92" t="inlineStr">
        <x:is>
          <x:t xml:space="preserve">USA</x:t>
        </x:is>
      </x:c>
      <x:c r="E92" t="inlineStr">
        <x:is>
          <x:t xml:space="preserve">United States</x:t>
        </x:is>
      </x:c>
      <x:c r="F92" t="n">
        <x:v>2</x:v>
      </x:c>
      <x:c r="G92" t="n">
        <x:v>59</x:v>
      </x:c>
      <x:c r="H92" t="inlineStr">
        <x:is>
          <x:t xml:space="preserve">6-0, 6-4</x:t>
        </x:is>
      </x:c>
      <x:c r="I92" t="inlineStr">
        <x:is>
          <x:t xml:space="preserve">O.V. Morozova</x:t>
        </x:is>
      </x:c>
      <x:c r="J92" t="inlineStr">
        <x:is>
          <x:t xml:space="preserve">URS</x:t>
        </x:is>
      </x:c>
      <x:c r="K92" t="inlineStr">
        <x:is>
          <x:t xml:space="preserve">Soviet Union</x:t>
        </x:is>
      </x:c>
      <x:c r="L92" t="n">
        <x:v>8</x:v>
      </x:c>
    </x:row>
    <x:row r="93">
      <x:c r="A93" t="n">
        <x:v>1974</x:v>
      </x:c>
      <x:c r="B93" t="inlineStr">
        <x:is>
          <x:t xml:space="preserve">Men's</x:t>
        </x:is>
      </x:c>
      <x:c r="C93" t="inlineStr">
        <x:is>
          <x:t xml:space="preserve">J.S. Connors</x:t>
        </x:is>
      </x:c>
      <x:c r="D93" t="inlineStr">
        <x:is>
          <x:t xml:space="preserve">USA</x:t>
        </x:is>
      </x:c>
      <x:c r="E93" t="inlineStr">
        <x:is>
          <x:t xml:space="preserve">United States</x:t>
        </x:is>
      </x:c>
      <x:c r="F93" t="n">
        <x:v>3</x:v>
      </x:c>
      <x:c r="G93" t="n">
        <x:v>93</x:v>
      </x:c>
      <x:c r="H93" t="inlineStr">
        <x:is>
          <x:t xml:space="preserve">6-1, 6-1, 6-4</x:t>
        </x:is>
      </x:c>
      <x:c r="I93" t="inlineStr">
        <x:is>
          <x:t xml:space="preserve">K.R. Rosewall</x:t>
        </x:is>
      </x:c>
      <x:c r="J93" t="inlineStr">
        <x:is>
          <x:t xml:space="preserve">AUS</x:t>
        </x:is>
      </x:c>
      <x:c r="K93" t="inlineStr">
        <x:is>
          <x:t xml:space="preserve">Australia</x:t>
        </x:is>
      </x:c>
      <x:c r="L93" t="n">
        <x:v>9</x:v>
      </x:c>
    </x:row>
    <x:row r="94">
      <x:c r="A94" t="n">
        <x:v>1973</x:v>
      </x:c>
      <x:c r="B94" t="inlineStr">
        <x:is>
          <x:t xml:space="preserve">Women's</x:t>
        </x:is>
      </x:c>
      <x:c r="C94" t="inlineStr">
        <x:is>
          <x:t xml:space="preserve">L.W. King</x:t>
        </x:is>
      </x:c>
      <x:c r="D94" t="inlineStr">
        <x:is>
          <x:t xml:space="preserve">USA</x:t>
        </x:is>
      </x:c>
      <x:c r="E94" t="inlineStr">
        <x:is>
          <x:t xml:space="preserve">United States</x:t>
        </x:is>
      </x:c>
      <x:c r="F94" t="n">
        <x:v>2</x:v>
      </x:c>
      <x:c r="G94" t="n">
        <x:v>53</x:v>
      </x:c>
      <x:c r="H94" t="inlineStr">
        <x:is>
          <x:t xml:space="preserve">6-0, 7-5</x:t>
        </x:is>
      </x:c>
      <x:c r="I94" t="inlineStr">
        <x:is>
          <x:t xml:space="preserve">C.M. Evert</x:t>
        </x:is>
      </x:c>
      <x:c r="J94" t="inlineStr">
        <x:is>
          <x:t xml:space="preserve">USA</x:t>
        </x:is>
      </x:c>
      <x:c r="K94" t="inlineStr">
        <x:is>
          <x:t xml:space="preserve">United States</x:t>
        </x:is>
      </x:c>
      <x:c r="L94" t="n">
        <x:v>4</x:v>
      </x:c>
    </x:row>
    <x:row r="95">
      <x:c r="A95" t="n">
        <x:v>1973</x:v>
      </x:c>
      <x:c r="B95" t="inlineStr">
        <x:is>
          <x:t xml:space="preserve">Men's</x:t>
        </x:is>
      </x:c>
      <x:c r="C95" t="inlineStr">
        <x:is>
          <x:t xml:space="preserve">J. Kodes</x:t>
        </x:is>
      </x:c>
      <x:c r="D95" t="inlineStr">
        <x:is>
          <x:t xml:space="preserve">CZE</x:t>
        </x:is>
      </x:c>
      <x:c r="E95" t="inlineStr">
        <x:is>
          <x:t xml:space="preserve">Czechia</x:t>
        </x:is>
      </x:c>
      <x:c r="F95" t="n">
        <x:v>2</x:v>
      </x:c>
      <x:c r="G95" t="n">
        <x:v>110</x:v>
      </x:c>
      <x:c r="H95" t="inlineStr">
        <x:is>
          <x:t xml:space="preserve">6-1, 9-8(7-5), 6-3</x:t>
        </x:is>
      </x:c>
      <x:c r="I95" t="inlineStr">
        <x:is>
          <x:t xml:space="preserve">A. Metreveli</x:t>
        </x:is>
      </x:c>
      <x:c r="J95" t="inlineStr">
        <x:is>
          <x:t xml:space="preserve">URS</x:t>
        </x:is>
      </x:c>
      <x:c r="K95" t="inlineStr">
        <x:is>
          <x:t xml:space="preserve">Soviet Union</x:t>
        </x:is>
      </x:c>
      <x:c r="L95" t="n">
        <x:v>4</x:v>
      </x:c>
    </x:row>
    <x:row r="96">
      <x:c r="A96" t="n">
        <x:v>1972</x:v>
      </x:c>
      <x:c r="B96" t="inlineStr">
        <x:is>
          <x:t xml:space="preserve">Women's</x:t>
        </x:is>
      </x:c>
      <x:c r="C96" t="inlineStr">
        <x:is>
          <x:t xml:space="preserve">L.W. King</x:t>
        </x:is>
      </x:c>
      <x:c r="D96" t="inlineStr">
        <x:is>
          <x:t xml:space="preserve">USA</x:t>
        </x:is>
      </x:c>
      <x:c r="E96" t="inlineStr">
        <x:is>
          <x:t xml:space="preserve">United States</x:t>
        </x:is>
      </x:c>
      <x:c r="F96" t="n">
        <x:v>2</x:v>
      </x:c>
      <x:c r="G96" t="n">
        <x:v>50</x:v>
      </x:c>
      <x:c r="H96" t="inlineStr">
        <x:is>
          <x:t xml:space="preserve">6-3, 6-3,</x:t>
        </x:is>
      </x:c>
      <x:c r="I96" t="inlineStr">
        <x:is>
          <x:t xml:space="preserve">E.F. Goolagong</x:t>
        </x:is>
      </x:c>
      <x:c r="J96" t="inlineStr">
        <x:is>
          <x:t xml:space="preserve">AUS</x:t>
        </x:is>
      </x:c>
      <x:c r="K96" t="inlineStr">
        <x:is>
          <x:t xml:space="preserve">Australia</x:t>
        </x:is>
      </x:c>
      <x:c r="L96" t="n">
        <x:v>1</x:v>
      </x:c>
    </x:row>
    <x:row r="97">
      <x:c r="A97" t="n">
        <x:v>1972</x:v>
      </x:c>
      <x:c r="B97" t="inlineStr">
        <x:is>
          <x:t xml:space="preserve">Men's</x:t>
        </x:is>
      </x:c>
      <x:c r="C97" t="inlineStr">
        <x:is>
          <x:t xml:space="preserve">S.R. Smith</x:t>
        </x:is>
      </x:c>
      <x:c r="D97" t="inlineStr">
        <x:is>
          <x:t xml:space="preserve">USA</x:t>
        </x:is>
      </x:c>
      <x:c r="E97" t="inlineStr">
        <x:is>
          <x:t xml:space="preserve">United States</x:t>
        </x:is>
      </x:c>
      <x:c r="F97" t="n">
        <x:v>1</x:v>
      </x:c>
      <x:c r="G97" t="n">
        <x:v>161</x:v>
      </x:c>
      <x:c r="H97" t="inlineStr">
        <x:is>
          <x:t xml:space="preserve">4-6, 6-3, 6-3, 4-6, 7-5</x:t>
        </x:is>
      </x:c>
      <x:c r="I97" t="inlineStr">
        <x:is>
          <x:t xml:space="preserve">I. Nastase</x:t>
        </x:is>
      </x:c>
      <x:c r="J97" t="inlineStr">
        <x:is>
          <x:t xml:space="preserve">ROM</x:t>
        </x:is>
      </x:c>
      <x:c r="K97" t="inlineStr">
        <x:is>
          <x:t xml:space="preserve">Romania</x:t>
        </x:is>
      </x:c>
      <x:c r="L97" t="n">
        <x:v>2</x:v>
      </x:c>
    </x:row>
    <x:row r="98">
      <x:c r="A98" t="n">
        <x:v>1971</x:v>
      </x:c>
      <x:c r="B98" t="inlineStr">
        <x:is>
          <x:t xml:space="preserve">Women's</x:t>
        </x:is>
      </x:c>
      <x:c r="C98" t="inlineStr">
        <x:is>
          <x:t xml:space="preserve">E.F. Goolagong</x:t>
        </x:is>
      </x:c>
      <x:c r="D98" t="inlineStr">
        <x:is>
          <x:t xml:space="preserve">AUS</x:t>
        </x:is>
      </x:c>
      <x:c r="E98" t="inlineStr">
        <x:is>
          <x:t xml:space="preserve">Australia</x:t>
        </x:is>
      </x:c>
      <x:c r="F98" t="n">
        <x:v>3</x:v>
      </x:c>
      <x:c r="G98" t="n">
        <x:v>62</x:v>
      </x:c>
      <x:c r="H98" t="inlineStr">
        <x:is>
          <x:t xml:space="preserve">6-4, 6-1,</x:t>
        </x:is>
      </x:c>
      <x:c r="I98" t="inlineStr">
        <x:is>
          <x:t xml:space="preserve">B.M. Court</x:t>
        </x:is>
      </x:c>
      <x:c r="J98" t="inlineStr">
        <x:is>
          <x:t xml:space="preserve">AUS</x:t>
        </x:is>
      </x:c>
      <x:c r="K98" t="inlineStr">
        <x:is>
          <x:t xml:space="preserve">Australia</x:t>
        </x:is>
      </x:c>
      <x:c r="L98" t="n">
        <x:v>1</x:v>
      </x:c>
    </x:row>
    <x:row r="99">
      <x:c r="A99" t="n">
        <x:v>1971</x:v>
      </x:c>
      <x:c r="B99" t="inlineStr">
        <x:is>
          <x:t xml:space="preserve">Men's</x:t>
        </x:is>
      </x:c>
      <x:c r="C99" t="inlineStr">
        <x:is>
          <x:t xml:space="preserve">J.D. Newcombe</x:t>
        </x:is>
      </x:c>
      <x:c r="D99" t="inlineStr">
        <x:is>
          <x:t xml:space="preserve">AUS</x:t>
        </x:is>
      </x:c>
      <x:c r="E99" t="inlineStr">
        <x:is>
          <x:t xml:space="preserve">Australia</x:t>
        </x:is>
      </x:c>
      <x:c r="F99" t="n">
        <x:v>2</x:v>
      </x:c>
      <x:c r="G99" t="n">
        <x:v>170</x:v>
      </x:c>
      <x:c r="H99" t="inlineStr">
        <x:is>
          <x:t xml:space="preserve">6-3, 5-7, 2-6, 6-4, 6-4</x:t>
        </x:is>
      </x:c>
      <x:c r="I99" t="inlineStr">
        <x:is>
          <x:t xml:space="preserve">S.R. Smith</x:t>
        </x:is>
      </x:c>
      <x:c r="J99" t="inlineStr">
        <x:is>
          <x:t xml:space="preserve">USA</x:t>
        </x:is>
      </x:c>
      <x:c r="K99" t="inlineStr">
        <x:is>
          <x:t xml:space="preserve">United States</x:t>
        </x:is>
      </x:c>
      <x:c r="L99" t="n">
        <x:v>4</x:v>
      </x:c>
    </x:row>
    <x:row r="100">
      <x:c r="A100" t="n">
        <x:v>1970</x:v>
      </x:c>
      <x:c r="B100" t="inlineStr">
        <x:is>
          <x:t xml:space="preserve">Women's</x:t>
        </x:is>
      </x:c>
      <x:c r="C100" t="inlineStr">
        <x:is>
          <x:t xml:space="preserve">B.M. Court</x:t>
        </x:is>
      </x:c>
      <x:c r="D100" t="inlineStr">
        <x:is>
          <x:t xml:space="preserve">AUS</x:t>
        </x:is>
      </x:c>
      <x:c r="E100" t="inlineStr">
        <x:is>
          <x:t xml:space="preserve">Australia</x:t>
        </x:is>
      </x:c>
      <x:c r="F100" t="n">
        <x:v>1</x:v>
      </x:c>
      <x:c r="G100" t="n">
        <x:v>148</x:v>
      </x:c>
      <x:c r="H100" t="inlineStr">
        <x:is>
          <x:t xml:space="preserve">14-12, 11-9,</x:t>
        </x:is>
      </x:c>
      <x:c r="I100" t="inlineStr">
        <x:is>
          <x:t xml:space="preserve">L.W. King</x:t>
        </x:is>
      </x:c>
      <x:c r="J100" t="inlineStr">
        <x:is>
          <x:t xml:space="preserve">USA</x:t>
        </x:is>
      </x:c>
      <x:c r="K100" t="inlineStr">
        <x:is>
          <x:t xml:space="preserve">United States</x:t>
        </x:is>
      </x:c>
      <x:c r="L100" t="n">
        <x:v>2</x:v>
      </x:c>
    </x:row>
    <x:row r="101">
      <x:c r="A101" t="n">
        <x:v>1970</x:v>
      </x:c>
      <x:c r="B101" t="inlineStr">
        <x:is>
          <x:t xml:space="preserve">Men's</x:t>
        </x:is>
      </x:c>
      <x:c r="C101" t="inlineStr">
        <x:is>
          <x:t xml:space="preserve">J.D. Newcombe</x:t>
        </x:is>
      </x:c>
      <x:c r="D101" t="inlineStr">
        <x:is>
          <x:t xml:space="preserve">AUS</x:t>
        </x:is>
      </x:c>
      <x:c r="E101" t="inlineStr">
        <x:is>
          <x:t xml:space="preserve">Australia</x:t>
        </x:is>
      </x:c>
      <x:c r="F101" t="n">
        <x:v>2</x:v>
      </x:c>
      <x:c r="G101" t="n">
        <x:v>163</x:v>
      </x:c>
      <x:c r="H101" t="inlineStr">
        <x:is>
          <x:t xml:space="preserve">5-7, 6-3, 6-2, 3-6, 6-1</x:t>
        </x:is>
      </x:c>
      <x:c r="I101" t="inlineStr">
        <x:is>
          <x:t xml:space="preserve">K.R. Rosewall</x:t>
        </x:is>
      </x:c>
      <x:c r="J101" t="inlineStr">
        <x:is>
          <x:t xml:space="preserve">AUS</x:t>
        </x:is>
      </x:c>
      <x:c r="K101" t="inlineStr">
        <x:is>
          <x:t xml:space="preserve">Australia</x:t>
        </x:is>
      </x:c>
      <x:c r="L101" t="n">
        <x:v>5</x:v>
      </x:c>
    </x:row>
    <x:row r="102">
      <x:c r="A102" t="n">
        <x:v>1969</x:v>
      </x:c>
      <x:c r="B102" t="inlineStr">
        <x:is>
          <x:t xml:space="preserve">Women's</x:t>
        </x:is>
      </x:c>
      <x:c r="C102" t="inlineStr">
        <x:is>
          <x:t xml:space="preserve">P.F. Jones</x:t>
        </x:is>
      </x:c>
      <x:c r="D102" t="inlineStr">
        <x:is>
          <x:t xml:space="preserve">GBR</x:t>
        </x:is>
      </x:c>
      <x:c r="E102" t="inlineStr">
        <x:is>
          <x:t xml:space="preserve">United Kingdom</x:t>
        </x:is>
      </x:c>
      <x:c r="F102" t="n">
        <x:v>4</x:v>
      </x:c>
      <x:c r="G102" t="n">
        <x:v>71</x:v>
      </x:c>
      <x:c r="H102" t="inlineStr">
        <x:is>
          <x:t xml:space="preserve">3-6, 6-3, 6-2,</x:t>
        </x:is>
      </x:c>
      <x:c r="I102" t="inlineStr">
        <x:is>
          <x:t xml:space="preserve">L.W. King</x:t>
        </x:is>
      </x:c>
      <x:c r="J102" t="inlineStr">
        <x:is>
          <x:t xml:space="preserve">USA</x:t>
        </x:is>
      </x:c>
      <x:c r="K102" t="inlineStr">
        <x:is>
          <x:t xml:space="preserve">United States</x:t>
        </x:is>
      </x:c>
      <x:c r="L102" t="n">
        <x:v>2</x:v>
      </x:c>
    </x:row>
    <x:row r="103">
      <x:c r="A103" t="n">
        <x:v>1969</x:v>
      </x:c>
      <x:c r="B103" t="inlineStr">
        <x:is>
          <x:t xml:space="preserve">Men's</x:t>
        </x:is>
      </x:c>
      <x:c r="C103" t="inlineStr">
        <x:is>
          <x:t xml:space="preserve">R.G. Laver</x:t>
        </x:is>
      </x:c>
      <x:c r="D103" t="inlineStr">
        <x:is>
          <x:t xml:space="preserve">AUS</x:t>
        </x:is>
      </x:c>
      <x:c r="E103" t="inlineStr">
        <x:is>
          <x:t xml:space="preserve">Australia</x:t>
        </x:is>
      </x:c>
      <x:c r="F103" t="n">
        <x:v>1</x:v>
      </x:c>
      <x:c r="G103" t="n">
        <x:v>136</x:v>
      </x:c>
      <x:c r="H103" t="inlineStr">
        <x:is>
          <x:t xml:space="preserve">6-4, 5-7, 6-4, 6-4</x:t>
        </x:is>
      </x:c>
      <x:c r="I103" t="inlineStr">
        <x:is>
          <x:t xml:space="preserve">J.D. Newcombe</x:t>
        </x:is>
      </x:c>
      <x:c r="J103" t="inlineStr">
        <x:is>
          <x:t xml:space="preserve">AUS</x:t>
        </x:is>
      </x:c>
      <x:c r="K103" t="inlineStr">
        <x:is>
          <x:t xml:space="preserve">Australia</x:t>
        </x:is>
      </x:c>
      <x:c r="L103" t="n">
        <x:v>6</x:v>
      </x:c>
    </x:row>
    <x:row r="104">
      <x:c r="A104" t="n">
        <x:v>1968</x:v>
      </x:c>
      <x:c r="B104" t="inlineStr">
        <x:is>
          <x:t xml:space="preserve">Women's</x:t>
        </x:is>
      </x:c>
      <x:c r="C104" t="inlineStr">
        <x:is>
          <x:t xml:space="preserve">L.W. King</x:t>
        </x:is>
      </x:c>
      <x:c r="D104" t="inlineStr">
        <x:is>
          <x:t xml:space="preserve">USA</x:t>
        </x:is>
      </x:c>
      <x:c r="E104" t="inlineStr">
        <x:is>
          <x:t xml:space="preserve">United States</x:t>
        </x:is>
      </x:c>
      <x:c r="F104" t="n">
        <x:v>1</x:v>
      </x:c>
      <x:c r="G104" t="n">
        <x:v>69</x:v>
      </x:c>
      <x:c r="H104" t="inlineStr">
        <x:is>
          <x:t xml:space="preserve">9-7, 7-5,</x:t>
        </x:is>
      </x:c>
      <x:c r="I104" t="inlineStr">
        <x:is>
          <x:t xml:space="preserve">J.A.M. Tegart</x:t>
        </x:is>
      </x:c>
      <x:c r="J104" t="inlineStr">
        <x:is>
          <x:t xml:space="preserve">AUS</x:t>
        </x:is>
      </x:c>
      <x:c r="K104" t="inlineStr">
        <x:is>
          <x:t xml:space="preserve">Australia</x:t>
        </x:is>
      </x:c>
      <x:c r="L104" t="n">
        <x:v>7</x:v>
      </x:c>
    </x:row>
    <x:row r="105">
      <x:c r="A105" t="n">
        <x:v>1968</x:v>
      </x:c>
      <x:c r="B105" t="inlineStr">
        <x:is>
          <x:t xml:space="preserve">Men's</x:t>
        </x:is>
      </x:c>
      <x:c r="C105" t="inlineStr">
        <x:is>
          <x:t xml:space="preserve">R.G. Laver</x:t>
        </x:is>
      </x:c>
      <x:c r="D105" t="inlineStr">
        <x:is>
          <x:t xml:space="preserve">AUS</x:t>
        </x:is>
      </x:c>
      <x:c r="E105" t="inlineStr">
        <x:is>
          <x:t xml:space="preserve">Australia</x:t>
        </x:is>
      </x:c>
      <x:c r="F105" t="n">
        <x:v>1</x:v>
      </x:c>
      <x:c r="G105" t="n">
        <x:v>60</x:v>
      </x:c>
      <x:c r="H105" t="inlineStr">
        <x:is>
          <x:t xml:space="preserve">6-3, 6-4, 6-2</x:t>
        </x:is>
      </x:c>
      <x:c r="I105" t="inlineStr">
        <x:is>
          <x:t xml:space="preserve">A.D. Roche</x:t>
        </x:is>
      </x:c>
      <x:c r="J105" t="inlineStr">
        <x:is>
          <x:t xml:space="preserve">AUS</x:t>
        </x:is>
      </x:c>
      <x:c r="K105" t="inlineStr">
        <x:is>
          <x:t xml:space="preserve">Australia</x:t>
        </x:is>
      </x:c>
      <x:c r="L105" t="n">
        <x:v>15</x:v>
      </x:c>
    </x:row>
    <x:row r="106">
      <x:c r="A106" t="n">
        <x:v>1967</x:v>
      </x:c>
      <x:c r="B106" t="inlineStr">
        <x:is>
          <x:t xml:space="preserve">Women's</x:t>
        </x:is>
      </x:c>
      <x:c r="C106" t="inlineStr">
        <x:is>
          <x:t xml:space="preserve">L.W. King</x:t>
        </x:is>
      </x:c>
      <x:c r="D106" t="inlineStr">
        <x:is>
          <x:t xml:space="preserve">USA</x:t>
        </x:is>
      </x:c>
      <x:c r="E106" t="inlineStr">
        <x:is>
          <x:t xml:space="preserve">United States</x:t>
        </x:is>
      </x:c>
      <x:c r="F106" t="n">
        <x:v>1</x:v>
      </x:c>
      <x:c r="G106" t="n">
        <x:v>60</x:v>
      </x:c>
      <x:c r="H106" t="inlineStr">
        <x:is>
          <x:t xml:space="preserve">6-3, 6-4,</x:t>
        </x:is>
      </x:c>
      <x:c r="I106" t="inlineStr">
        <x:is>
          <x:t xml:space="preserve">P.F. Jones</x:t>
        </x:is>
      </x:c>
      <x:c r="J106" t="inlineStr">
        <x:is>
          <x:t xml:space="preserve">GBR</x:t>
        </x:is>
      </x:c>
      <x:c r="K106" t="inlineStr">
        <x:is>
          <x:t xml:space="preserve">United Kingdom</x:t>
        </x:is>
      </x:c>
      <x:c r="L106" t="n">
        <x:v>3</x:v>
      </x:c>
    </x:row>
    <x:row r="107">
      <x:c r="A107" t="n">
        <x:v>1967</x:v>
      </x:c>
      <x:c r="B107" t="inlineStr">
        <x:is>
          <x:t xml:space="preserve">Men's</x:t>
        </x:is>
      </x:c>
      <x:c r="C107" t="inlineStr">
        <x:is>
          <x:t xml:space="preserve">J.D. Newcombe</x:t>
        </x:is>
      </x:c>
      <x:c r="D107" t="inlineStr">
        <x:is>
          <x:t xml:space="preserve">AUS</x:t>
        </x:is>
      </x:c>
      <x:c r="E107" t="inlineStr">
        <x:is>
          <x:t xml:space="preserve">Australia</x:t>
        </x:is>
      </x:c>
      <x:c r="F107" t="n">
        <x:v>3</x:v>
      </x:c>
      <x:c r="G107" t="n">
        <x:v>71</x:v>
      </x:c>
      <x:c r="H107" t="inlineStr">
        <x:is>
          <x:t xml:space="preserve">6-3, 6-1, 6-1</x:t>
        </x:is>
      </x:c>
      <x:c r="I107" t="inlineStr">
        <x:is>
          <x:t xml:space="preserve">W.P. Bungert</x:t>
        </x:is>
      </x:c>
      <x:c r="J107" t="inlineStr">
        <x:is>
          <x:t xml:space="preserve">GER</x:t>
        </x:is>
      </x:c>
      <x:c r="K107" t="inlineStr">
        <x:is>
          <x:t xml:space="preserve">Germany</x:t>
        </x:is>
      </x:c>
      <x:c r="L107" t="inlineStr">
        <x:is>
          <x:t xml:space="preserve">U</x:t>
        </x:is>
      </x:c>
    </x:row>
    <x:row r="108">
      <x:c r="A108" t="n">
        <x:v>1966</x:v>
      </x:c>
      <x:c r="B108" t="inlineStr">
        <x:is>
          <x:t xml:space="preserve">Women's</x:t>
        </x:is>
      </x:c>
      <x:c r="C108" t="inlineStr">
        <x:is>
          <x:t xml:space="preserve">L.W. King</x:t>
        </x:is>
      </x:c>
      <x:c r="D108" t="inlineStr">
        <x:is>
          <x:t xml:space="preserve">USA</x:t>
        </x:is>
      </x:c>
      <x:c r="E108" t="inlineStr">
        <x:is>
          <x:t xml:space="preserve">United States</x:t>
        </x:is>
      </x:c>
      <x:c r="F108" t="n">
        <x:v>4</x:v>
      </x:c>
      <x:c r="G108" t="n">
        <x:v>68</x:v>
      </x:c>
      <x:c r="H108" t="inlineStr">
        <x:is>
          <x:t xml:space="preserve">6-3, 3-6, 6-1,</x:t>
        </x:is>
      </x:c>
      <x:c r="I108" t="inlineStr">
        <x:is>
          <x:t xml:space="preserve">M.E.A. Bueno</x:t>
        </x:is>
      </x:c>
      <x:c r="J108" t="inlineStr">
        <x:is>
          <x:t xml:space="preserve">BRA</x:t>
        </x:is>
      </x:c>
      <x:c r="K108" t="inlineStr">
        <x:is>
          <x:t xml:space="preserve">Brazil</x:t>
        </x:is>
      </x:c>
      <x:c r="L108" t="n">
        <x:v>2</x:v>
      </x:c>
    </x:row>
    <x:row r="109">
      <x:c r="A109" t="n">
        <x:v>1966</x:v>
      </x:c>
      <x:c r="B109" t="inlineStr">
        <x:is>
          <x:t xml:space="preserve">Men's</x:t>
        </x:is>
      </x:c>
      <x:c r="C109" t="inlineStr">
        <x:is>
          <x:t xml:space="preserve">M.M. Santana</x:t>
        </x:is>
      </x:c>
      <x:c r="D109" t="inlineStr">
        <x:is>
          <x:t xml:space="preserve">ESP</x:t>
        </x:is>
      </x:c>
      <x:c r="E109" t="inlineStr">
        <x:is>
          <x:t xml:space="preserve">Spain</x:t>
        </x:is>
      </x:c>
      <x:c r="F109" t="n">
        <x:v>4</x:v>
      </x:c>
      <x:c r="G109" t="n">
        <x:v>104</x:v>
      </x:c>
      <x:c r="H109" t="inlineStr">
        <x:is>
          <x:t xml:space="preserve">6-4, 11-9, 6-4</x:t>
        </x:is>
      </x:c>
      <x:c r="I109" t="inlineStr">
        <x:is>
          <x:t xml:space="preserve">R.D. Ralston</x:t>
        </x:is>
      </x:c>
      <x:c r="J109" t="inlineStr">
        <x:is>
          <x:t xml:space="preserve">USA</x:t>
        </x:is>
      </x:c>
      <x:c r="K109" t="inlineStr">
        <x:is>
          <x:t xml:space="preserve">United States</x:t>
        </x:is>
      </x:c>
      <x:c r="L109" t="n">
        <x:v>6</x:v>
      </x:c>
    </x:row>
    <x:row r="110">
      <x:c r="A110" t="n">
        <x:v>1965</x:v>
      </x:c>
      <x:c r="B110" t="inlineStr">
        <x:is>
          <x:t xml:space="preserve">Women's</x:t>
        </x:is>
      </x:c>
      <x:c r="C110" t="inlineStr">
        <x:is>
          <x:t xml:space="preserve">M. Smith</x:t>
        </x:is>
      </x:c>
      <x:c r="D110" t="inlineStr">
        <x:is>
          <x:t xml:space="preserve">AUS</x:t>
        </x:is>
      </x:c>
      <x:c r="E110" t="inlineStr">
        <x:is>
          <x:t xml:space="preserve">Australia</x:t>
        </x:is>
      </x:c>
      <x:c r="F110" t="n">
        <x:v>2</x:v>
      </x:c>
      <x:c r="G110" t="n">
        <x:v>56</x:v>
      </x:c>
      <x:c r="H110" t="inlineStr">
        <x:is>
          <x:t xml:space="preserve">6-4, 7-5,</x:t>
        </x:is>
      </x:c>
      <x:c r="I110" t="inlineStr">
        <x:is>
          <x:t xml:space="preserve">M.E.A. Bueno</x:t>
        </x:is>
      </x:c>
      <x:c r="J110" t="inlineStr">
        <x:is>
          <x:t xml:space="preserve">BRA</x:t>
        </x:is>
      </x:c>
      <x:c r="K110" t="inlineStr">
        <x:is>
          <x:t xml:space="preserve">Brazil</x:t>
        </x:is>
      </x:c>
      <x:c r="L110" t="n">
        <x:v>1</x:v>
      </x:c>
    </x:row>
    <x:row r="111">
      <x:c r="A111" t="n">
        <x:v>1965</x:v>
      </x:c>
      <x:c r="B111" t="inlineStr">
        <x:is>
          <x:t xml:space="preserve">Men's</x:t>
        </x:is>
      </x:c>
      <x:c r="C111" t="inlineStr">
        <x:is>
          <x:t xml:space="preserve">R.S. Emerson</x:t>
        </x:is>
      </x:c>
      <x:c r="D111" t="inlineStr">
        <x:is>
          <x:t xml:space="preserve">AUS</x:t>
        </x:is>
      </x:c>
      <x:c r="E111" t="inlineStr">
        <x:is>
          <x:t xml:space="preserve">Australia</x:t>
        </x:is>
      </x:c>
      <x:c r="F111" t="n">
        <x:v>1</x:v>
      </x:c>
      <x:c r="G111" t="n">
        <x:v>67</x:v>
      </x:c>
      <x:c r="H111" t="inlineStr">
        <x:is>
          <x:t xml:space="preserve">6-2, 6-4, 6-4</x:t>
        </x:is>
      </x:c>
      <x:c r="I111" t="inlineStr">
        <x:is>
          <x:t xml:space="preserve">F.S. Stolle</x:t>
        </x:is>
      </x:c>
      <x:c r="J111" t="inlineStr">
        <x:is>
          <x:t xml:space="preserve">AUS</x:t>
        </x:is>
      </x:c>
      <x:c r="K111" t="inlineStr">
        <x:is>
          <x:t xml:space="preserve">Australia</x:t>
        </x:is>
      </x:c>
      <x:c r="L111" t="n">
        <x:v>2</x:v>
      </x:c>
    </x:row>
    <x:row r="112">
      <x:c r="A112" t="n">
        <x:v>1964</x:v>
      </x:c>
      <x:c r="B112" t="inlineStr">
        <x:is>
          <x:t xml:space="preserve">Women's</x:t>
        </x:is>
      </x:c>
      <x:c r="C112" t="inlineStr">
        <x:is>
          <x:t xml:space="preserve">M.E.A. Bueno</x:t>
        </x:is>
      </x:c>
      <x:c r="D112" t="inlineStr">
        <x:is>
          <x:t xml:space="preserve">BRA</x:t>
        </x:is>
      </x:c>
      <x:c r="E112" t="inlineStr">
        <x:is>
          <x:t xml:space="preserve">Brazil</x:t>
        </x:is>
      </x:c>
      <x:c r="F112" t="n">
        <x:v>2</x:v>
      </x:c>
      <x:c r="G112" t="n">
        <x:v>90</x:v>
      </x:c>
      <x:c r="H112" t="inlineStr">
        <x:is>
          <x:t xml:space="preserve">6-4, 7-9, 6-3,</x:t>
        </x:is>
      </x:c>
      <x:c r="I112" t="inlineStr">
        <x:is>
          <x:t xml:space="preserve">M. Smith</x:t>
        </x:is>
      </x:c>
      <x:c r="J112" t="inlineStr">
        <x:is>
          <x:t xml:space="preserve">AUS</x:t>
        </x:is>
      </x:c>
      <x:c r="K112" t="inlineStr">
        <x:is>
          <x:t xml:space="preserve">Australia</x:t>
        </x:is>
      </x:c>
      <x:c r="L112" t="n">
        <x:v>1</x:v>
      </x:c>
    </x:row>
    <x:row r="113">
      <x:c r="A113" t="n">
        <x:v>1964</x:v>
      </x:c>
      <x:c r="B113" t="inlineStr">
        <x:is>
          <x:t xml:space="preserve">Men's</x:t>
        </x:is>
      </x:c>
      <x:c r="C113" t="inlineStr">
        <x:is>
          <x:t xml:space="preserve">R.S. Emerson</x:t>
        </x:is>
      </x:c>
      <x:c r="D113" t="inlineStr">
        <x:is>
          <x:t xml:space="preserve">AUS</x:t>
        </x:is>
      </x:c>
      <x:c r="E113" t="inlineStr">
        <x:is>
          <x:t xml:space="preserve">Australia</x:t>
        </x:is>
      </x:c>
      <x:c r="F113" t="n">
        <x:v>1</x:v>
      </x:c>
      <x:c r="G113" t="n">
        <x:v>127</x:v>
      </x:c>
      <x:c r="H113" t="inlineStr">
        <x:is>
          <x:t xml:space="preserve">6-4, 12-10, 4-6, 6-3</x:t>
        </x:is>
      </x:c>
      <x:c r="I113" t="inlineStr">
        <x:is>
          <x:t xml:space="preserve">F.S. Stolle</x:t>
        </x:is>
      </x:c>
      <x:c r="J113" t="inlineStr">
        <x:is>
          <x:t xml:space="preserve">AUS</x:t>
        </x:is>
      </x:c>
      <x:c r="K113" t="inlineStr">
        <x:is>
          <x:t xml:space="preserve">Australia</x:t>
        </x:is>
      </x:c>
      <x:c r="L113" t="n">
        <x:v>6</x:v>
      </x:c>
    </x:row>
    <x:row r="114">
      <x:c r="A114" t="n">
        <x:v>1963</x:v>
      </x:c>
      <x:c r="B114" t="inlineStr">
        <x:is>
          <x:t xml:space="preserve">Women's</x:t>
        </x:is>
      </x:c>
      <x:c r="C114" t="inlineStr">
        <x:is>
          <x:t xml:space="preserve">M. Smith</x:t>
        </x:is>
      </x:c>
      <x:c r="D114" t="inlineStr">
        <x:is>
          <x:t xml:space="preserve">AUS</x:t>
        </x:is>
      </x:c>
      <x:c r="E114" t="inlineStr">
        <x:is>
          <x:t xml:space="preserve">Australia</x:t>
        </x:is>
      </x:c>
      <x:c r="F114" t="n">
        <x:v>1</x:v>
      </x:c>
      <x:c r="G114" t="n">
        <x:v>51</x:v>
      </x:c>
      <x:c r="H114" t="inlineStr">
        <x:is>
          <x:t xml:space="preserve">6-3, 6-4,</x:t>
        </x:is>
      </x:c>
      <x:c r="I114" t="inlineStr">
        <x:is>
          <x:t xml:space="preserve">B.J. Moffitt</x:t>
        </x:is>
      </x:c>
      <x:c r="J114" t="inlineStr">
        <x:is>
          <x:t xml:space="preserve">USA</x:t>
        </x:is>
      </x:c>
      <x:c r="K114" t="inlineStr">
        <x:is>
          <x:t xml:space="preserve">United States</x:t>
        </x:is>
      </x:c>
    </x:row>
    <x:row r="115">
      <x:c r="A115" t="n">
        <x:v>1963</x:v>
      </x:c>
      <x:c r="B115" t="inlineStr">
        <x:is>
          <x:t xml:space="preserve">Men's</x:t>
        </x:is>
      </x:c>
      <x:c r="C115" t="inlineStr">
        <x:is>
          <x:t xml:space="preserve">C.R. McKinley</x:t>
        </x:is>
      </x:c>
      <x:c r="D115" t="inlineStr">
        <x:is>
          <x:t xml:space="preserve">USA</x:t>
        </x:is>
      </x:c>
      <x:c r="E115" t="inlineStr">
        <x:is>
          <x:t xml:space="preserve">United States</x:t>
        </x:is>
      </x:c>
      <x:c r="F115" t="n">
        <x:v>4</x:v>
      </x:c>
      <x:c r="G115" t="n">
        <x:v>78</x:v>
      </x:c>
      <x:c r="H115" t="inlineStr">
        <x:is>
          <x:t xml:space="preserve">9-7, 6-1, 6-4</x:t>
        </x:is>
      </x:c>
      <x:c r="I115" t="inlineStr">
        <x:is>
          <x:t xml:space="preserve">F.S. Stolle</x:t>
        </x:is>
      </x:c>
      <x:c r="J115" t="inlineStr">
        <x:is>
          <x:t xml:space="preserve">AUS</x:t>
        </x:is>
      </x:c>
      <x:c r="K115" t="inlineStr">
        <x:is>
          <x:t xml:space="preserve">Australia</x:t>
        </x:is>
      </x:c>
      <x:c r="L115" t="inlineStr">
        <x:is>
          <x:t xml:space="preserve">U</x:t>
        </x:is>
      </x:c>
    </x:row>
    <x:row r="116">
      <x:c r="A116" t="n">
        <x:v>1962</x:v>
      </x:c>
      <x:c r="B116" t="inlineStr">
        <x:is>
          <x:t xml:space="preserve">Women's</x:t>
        </x:is>
      </x:c>
      <x:c r="C116" t="inlineStr">
        <x:is>
          <x:t xml:space="preserve">J.R. Susman</x:t>
        </x:is>
      </x:c>
      <x:c r="D116" t="inlineStr">
        <x:is>
          <x:t xml:space="preserve">USA</x:t>
        </x:is>
      </x:c>
      <x:c r="E116" t="inlineStr">
        <x:is>
          <x:t xml:space="preserve">United States</x:t>
        </x:is>
      </x:c>
      <x:c r="F116" t="n">
        <x:v>8</x:v>
      </x:c>
      <x:c r="G116" t="n">
        <x:v>57</x:v>
      </x:c>
      <x:c r="H116" t="inlineStr">
        <x:is>
          <x:t xml:space="preserve">6-4, 6-4,</x:t>
        </x:is>
      </x:c>
      <x:c r="I116" t="inlineStr">
        <x:is>
          <x:t xml:space="preserve">C. Sukova</x:t>
        </x:is>
      </x:c>
      <x:c r="J116" t="inlineStr">
        <x:is>
          <x:t xml:space="preserve">TCH</x:t>
        </x:is>
      </x:c>
      <x:c r="K116" t="inlineStr">
        <x:is>
          <x:t xml:space="preserve">Czechoslovakia</x:t>
        </x:is>
      </x:c>
    </x:row>
    <x:row r="117">
      <x:c r="A117" t="n">
        <x:v>1962</x:v>
      </x:c>
      <x:c r="B117" t="inlineStr">
        <x:is>
          <x:t xml:space="preserve">Men's</x:t>
        </x:is>
      </x:c>
      <x:c r="C117" t="inlineStr">
        <x:is>
          <x:t xml:space="preserve">R.G. Laver</x:t>
        </x:is>
      </x:c>
      <x:c r="D117" t="inlineStr">
        <x:is>
          <x:t xml:space="preserve">AUS</x:t>
        </x:is>
      </x:c>
      <x:c r="E117" t="inlineStr">
        <x:is>
          <x:t xml:space="preserve">Australia</x:t>
        </x:is>
      </x:c>
      <x:c r="F117" t="n">
        <x:v>1</x:v>
      </x:c>
      <x:c r="G117" t="n">
        <x:v>51</x:v>
      </x:c>
      <x:c r="H117" t="inlineStr">
        <x:is>
          <x:t xml:space="preserve">6-2, 6-2, 6-1</x:t>
        </x:is>
      </x:c>
      <x:c r="I117" t="inlineStr">
        <x:is>
          <x:t xml:space="preserve">M.F. Mulligan</x:t>
        </x:is>
      </x:c>
      <x:c r="J117" t="inlineStr">
        <x:is>
          <x:t xml:space="preserve">AUS</x:t>
        </x:is>
      </x:c>
      <x:c r="K117" t="inlineStr">
        <x:is>
          <x:t xml:space="preserve">Australia</x:t>
        </x:is>
      </x:c>
      <x:c r="L117" t="inlineStr">
        <x:is>
          <x:t xml:space="preserve">U</x:t>
        </x:is>
      </x:c>
    </x:row>
    <x:row r="118">
      <x:c r="A118" t="n">
        <x:v>1961</x:v>
      </x:c>
      <x:c r="B118" t="inlineStr">
        <x:is>
          <x:t xml:space="preserve">Women's</x:t>
        </x:is>
      </x:c>
      <x:c r="C118" t="inlineStr">
        <x:is>
          <x:t xml:space="preserve">F.A.M. Mortimer</x:t>
        </x:is>
      </x:c>
      <x:c r="D118" t="inlineStr">
        <x:is>
          <x:t xml:space="preserve">GBR</x:t>
        </x:is>
      </x:c>
      <x:c r="E118" t="inlineStr">
        <x:is>
          <x:t xml:space="preserve">United Kingdom</x:t>
        </x:is>
      </x:c>
      <x:c r="F118" t="n">
        <x:v>7</x:v>
      </x:c>
      <x:c r="G118" t="n">
        <x:v>96</x:v>
      </x:c>
      <x:c r="H118" t="inlineStr">
        <x:is>
          <x:t xml:space="preserve">4-6, 6-4, 7-5,</x:t>
        </x:is>
      </x:c>
      <x:c r="I118" t="inlineStr">
        <x:is>
          <x:t xml:space="preserve">C.C. Truman</x:t>
        </x:is>
      </x:c>
      <x:c r="J118" t="inlineStr">
        <x:is>
          <x:t xml:space="preserve">GBR</x:t>
        </x:is>
      </x:c>
      <x:c r="K118" t="inlineStr">
        <x:is>
          <x:t xml:space="preserve">United Kingdom</x:t>
        </x:is>
      </x:c>
      <x:c r="L118" t="n">
        <x:v>6</x:v>
      </x:c>
    </x:row>
    <x:row r="119">
      <x:c r="A119" t="n">
        <x:v>1961</x:v>
      </x:c>
      <x:c r="B119" t="inlineStr">
        <x:is>
          <x:t xml:space="preserve">Men's</x:t>
        </x:is>
      </x:c>
      <x:c r="C119" t="inlineStr">
        <x:is>
          <x:t xml:space="preserve">R.G. Laver</x:t>
        </x:is>
      </x:c>
      <x:c r="D119" t="inlineStr">
        <x:is>
          <x:t xml:space="preserve">AUS</x:t>
        </x:is>
      </x:c>
      <x:c r="E119" t="inlineStr">
        <x:is>
          <x:t xml:space="preserve">Australia</x:t>
        </x:is>
      </x:c>
      <x:c r="F119" t="n">
        <x:v>2</x:v>
      </x:c>
      <x:c r="G119" t="n">
        <x:v>55</x:v>
      </x:c>
      <x:c r="H119" t="inlineStr">
        <x:is>
          <x:t xml:space="preserve">6-3, 6-1, 6-4</x:t>
        </x:is>
      </x:c>
      <x:c r="I119" t="inlineStr">
        <x:is>
          <x:t xml:space="preserve">C.R. McKinley</x:t>
        </x:is>
      </x:c>
      <x:c r="J119" t="inlineStr">
        <x:is>
          <x:t xml:space="preserve">USA</x:t>
        </x:is>
      </x:c>
      <x:c r="K119" t="inlineStr">
        <x:is>
          <x:t xml:space="preserve">United States</x:t>
        </x:is>
      </x:c>
      <x:c r="L119" t="n">
        <x:v>8</x:v>
      </x:c>
    </x:row>
    <x:row r="120">
      <x:c r="A120" t="n">
        <x:v>1960</x:v>
      </x:c>
      <x:c r="B120" t="inlineStr">
        <x:is>
          <x:t xml:space="preserve">Women's</x:t>
        </x:is>
      </x:c>
      <x:c r="C120" t="inlineStr">
        <x:is>
          <x:t xml:space="preserve">M.E.A. Bueno</x:t>
        </x:is>
      </x:c>
      <x:c r="D120" t="inlineStr">
        <x:is>
          <x:t xml:space="preserve">BRA</x:t>
        </x:is>
      </x:c>
      <x:c r="E120" t="inlineStr">
        <x:is>
          <x:t xml:space="preserve">Brazil</x:t>
        </x:is>
      </x:c>
      <x:c r="F120" t="n">
        <x:v>1</x:v>
      </x:c>
      <x:c r="G120" t="n">
        <x:v>59</x:v>
      </x:c>
      <x:c r="H120" t="inlineStr">
        <x:is>
          <x:t xml:space="preserve">8-6, 6-0</x:t>
        </x:is>
      </x:c>
      <x:c r="I120" t="inlineStr">
        <x:is>
          <x:t xml:space="preserve">S. Reynolds</x:t>
        </x:is>
      </x:c>
      <x:c r="J120" t="inlineStr">
        <x:is>
          <x:t xml:space="preserve">RSA</x:t>
        </x:is>
      </x:c>
      <x:c r="K120" t="inlineStr">
        <x:is>
          <x:t xml:space="preserve">South Africa</x:t>
        </x:is>
      </x:c>
      <x:c r="L120" t="n">
        <x:v>8</x:v>
      </x:c>
    </x:row>
    <x:row r="121">
      <x:c r="A121" t="n">
        <x:v>1960</x:v>
      </x:c>
      <x:c r="B121" t="inlineStr">
        <x:is>
          <x:t xml:space="preserve">Men's</x:t>
        </x:is>
      </x:c>
      <x:c r="C121" t="inlineStr">
        <x:is>
          <x:t xml:space="preserve">N.A. Fraser</x:t>
        </x:is>
      </x:c>
      <x:c r="D121" t="inlineStr">
        <x:is>
          <x:t xml:space="preserve">AUS</x:t>
        </x:is>
      </x:c>
      <x:c r="E121" t="inlineStr">
        <x:is>
          <x:t xml:space="preserve">Australia</x:t>
        </x:is>
      </x:c>
      <x:c r="F121" t="n">
        <x:v>1</x:v>
      </x:c>
      <x:c r="G121" t="n">
        <x:v>130</x:v>
      </x:c>
      <x:c r="H121" t="inlineStr">
        <x:is>
          <x:t xml:space="preserve">6-4, 3-6, 9-7, 7-5</x:t>
        </x:is>
      </x:c>
      <x:c r="I121" t="inlineStr">
        <x:is>
          <x:t xml:space="preserve">R.G. Laver</x:t>
        </x:is>
      </x:c>
      <x:c r="J121" t="inlineStr">
        <x:is>
          <x:t xml:space="preserve">AUS</x:t>
        </x:is>
      </x:c>
      <x:c r="K121" t="inlineStr">
        <x:is>
          <x:t xml:space="preserve">Australia</x:t>
        </x:is>
      </x:c>
      <x:c r="L121" t="n">
        <x:v>3</x:v>
      </x:c>
    </x:row>
    <x:row r="122">
      <x:c r="A122" t="n">
        <x:v>1959</x:v>
      </x:c>
      <x:c r="B122" t="inlineStr">
        <x:is>
          <x:t xml:space="preserve">Women's</x:t>
        </x:is>
      </x:c>
      <x:c r="C122" t="inlineStr">
        <x:is>
          <x:t xml:space="preserve">M.E.A. Bueno</x:t>
        </x:is>
      </x:c>
      <x:c r="D122" t="inlineStr">
        <x:is>
          <x:t xml:space="preserve">BRA</x:t>
        </x:is>
      </x:c>
      <x:c r="E122" t="inlineStr">
        <x:is>
          <x:t xml:space="preserve">Brazil</x:t>
        </x:is>
      </x:c>
      <x:c r="F122" t="n">
        <x:v>6</x:v>
      </x:c>
      <x:c r="G122" t="n">
        <x:v>43</x:v>
      </x:c>
      <x:c r="H122" t="inlineStr">
        <x:is>
          <x:t xml:space="preserve">6-4, 6-3,</x:t>
        </x:is>
      </x:c>
      <x:c r="I122" t="inlineStr">
        <x:is>
          <x:t xml:space="preserve">D.R. Hard</x:t>
        </x:is>
      </x:c>
      <x:c r="J122" t="inlineStr">
        <x:is>
          <x:t xml:space="preserve">USA</x:t>
        </x:is>
      </x:c>
      <x:c r="K122" t="inlineStr">
        <x:is>
          <x:t xml:space="preserve">United States</x:t>
        </x:is>
      </x:c>
      <x:c r="L122" t="n">
        <x:v>4</x:v>
      </x:c>
    </x:row>
    <x:row r="123">
      <x:c r="A123" t="n">
        <x:v>1959</x:v>
      </x:c>
      <x:c r="B123" t="inlineStr">
        <x:is>
          <x:t xml:space="preserve">Men's</x:t>
        </x:is>
      </x:c>
      <x:c r="C123" t="inlineStr">
        <x:is>
          <x:t xml:space="preserve">A.R. Olmedo</x:t>
        </x:is>
      </x:c>
      <x:c r="D123" t="inlineStr">
        <x:is>
          <x:t xml:space="preserve">USA</x:t>
        </x:is>
      </x:c>
      <x:c r="E123" t="inlineStr">
        <x:is>
          <x:t xml:space="preserve">United States</x:t>
        </x:is>
      </x:c>
      <x:c r="F123" t="n">
        <x:v>1</x:v>
      </x:c>
      <x:c r="G123" t="n">
        <x:v>71</x:v>
      </x:c>
      <x:c r="H123" t="inlineStr">
        <x:is>
          <x:t xml:space="preserve">6-4, 6-3, 6-4</x:t>
        </x:is>
      </x:c>
      <x:c r="I123" t="inlineStr">
        <x:is>
          <x:t xml:space="preserve">R.G. Laver</x:t>
        </x:is>
      </x:c>
      <x:c r="J123" t="inlineStr">
        <x:is>
          <x:t xml:space="preserve">AUS</x:t>
        </x:is>
      </x:c>
      <x:c r="K123" t="inlineStr">
        <x:is>
          <x:t xml:space="preserve">Australia</x:t>
        </x:is>
      </x:c>
      <x:c r="L123" t="inlineStr">
        <x:is>
          <x:t xml:space="preserve">U</x:t>
        </x:is>
      </x:c>
    </x:row>
    <x:row r="124">
      <x:c r="A124" t="n">
        <x:v>1958</x:v>
      </x:c>
      <x:c r="B124" t="inlineStr">
        <x:is>
          <x:t xml:space="preserve">Women's</x:t>
        </x:is>
      </x:c>
      <x:c r="C124" t="inlineStr">
        <x:is>
          <x:t xml:space="preserve">A. Gibson</x:t>
        </x:is>
      </x:c>
      <x:c r="D124" t="inlineStr">
        <x:is>
          <x:t xml:space="preserve">USA</x:t>
        </x:is>
      </x:c>
      <x:c r="E124" t="inlineStr">
        <x:is>
          <x:t xml:space="preserve">United States</x:t>
        </x:is>
      </x:c>
      <x:c r="F124" t="n">
        <x:v>1</x:v>
      </x:c>
      <x:c r="G124" t="n">
        <x:v>62</x:v>
      </x:c>
      <x:c r="H124" t="inlineStr">
        <x:is>
          <x:t xml:space="preserve">8-6, 6-2,</x:t>
        </x:is>
      </x:c>
      <x:c r="I124" t="inlineStr">
        <x:is>
          <x:t xml:space="preserve">F.A.M. Mortimer</x:t>
        </x:is>
      </x:c>
      <x:c r="J124" t="inlineStr">
        <x:is>
          <x:t xml:space="preserve">GBR</x:t>
        </x:is>
      </x:c>
      <x:c r="K124" t="inlineStr">
        <x:is>
          <x:t xml:space="preserve">United Kingdom</x:t>
        </x:is>
      </x:c>
    </x:row>
    <x:row r="125">
      <x:c r="A125" t="n">
        <x:v>1958</x:v>
      </x:c>
      <x:c r="B125" t="inlineStr">
        <x:is>
          <x:t xml:space="preserve">Men's</x:t>
        </x:is>
      </x:c>
      <x:c r="C125" t="inlineStr">
        <x:is>
          <x:t xml:space="preserve">A.J. Cooper</x:t>
        </x:is>
      </x:c>
      <x:c r="D125" t="inlineStr">
        <x:is>
          <x:t xml:space="preserve">AUS</x:t>
        </x:is>
      </x:c>
      <x:c r="E125" t="inlineStr">
        <x:is>
          <x:t xml:space="preserve">Australia</x:t>
        </x:is>
      </x:c>
      <x:c r="F125" t="n">
        <x:v>1</x:v>
      </x:c>
      <x:c r="G125" t="n">
        <x:v>130</x:v>
      </x:c>
      <x:c r="H125" t="inlineStr">
        <x:is>
          <x:t xml:space="preserve">3-6, 6-3, 6-4, 13-11</x:t>
        </x:is>
      </x:c>
      <x:c r="I125" t="inlineStr">
        <x:is>
          <x:t xml:space="preserve">N.A. Fraser</x:t>
        </x:is>
      </x:c>
      <x:c r="J125" t="inlineStr">
        <x:is>
          <x:t xml:space="preserve">AUS</x:t>
        </x:is>
      </x:c>
      <x:c r="K125" t="inlineStr">
        <x:is>
          <x:t xml:space="preserve">Australia</x:t>
        </x:is>
      </x:c>
      <x:c r="L125" t="n">
        <x:v>4</x:v>
      </x:c>
    </x:row>
    <x:row r="126">
      <x:c r="A126" t="n">
        <x:v>1957</x:v>
      </x:c>
      <x:c r="B126" t="inlineStr">
        <x:is>
          <x:t xml:space="preserve">Women's</x:t>
        </x:is>
      </x:c>
      <x:c r="C126" t="inlineStr">
        <x:is>
          <x:t xml:space="preserve">A. Gibson</x:t>
        </x:is>
      </x:c>
      <x:c r="D126" t="inlineStr">
        <x:is>
          <x:t xml:space="preserve">USA</x:t>
        </x:is>
      </x:c>
      <x:c r="E126" t="inlineStr">
        <x:is>
          <x:t xml:space="preserve">United States</x:t>
        </x:is>
      </x:c>
      <x:c r="F126" t="n">
        <x:v>1</x:v>
      </x:c>
      <x:c r="G126" t="n">
        <x:v>50</x:v>
      </x:c>
      <x:c r="H126" t="inlineStr">
        <x:is>
          <x:t xml:space="preserve">6-3, 6-2,</x:t>
        </x:is>
      </x:c>
      <x:c r="I126" t="inlineStr">
        <x:is>
          <x:t xml:space="preserve">D.R. Hard</x:t>
        </x:is>
      </x:c>
      <x:c r="J126" t="inlineStr">
        <x:is>
          <x:t xml:space="preserve">USA</x:t>
        </x:is>
      </x:c>
      <x:c r="K126" t="inlineStr">
        <x:is>
          <x:t xml:space="preserve">United States</x:t>
        </x:is>
      </x:c>
      <x:c r="L126" t="n">
        <x:v>5</x:v>
      </x:c>
    </x:row>
    <x:row r="127">
      <x:c r="A127" t="n">
        <x:v>1957</x:v>
      </x:c>
      <x:c r="B127" t="inlineStr">
        <x:is>
          <x:t xml:space="preserve">Men's</x:t>
        </x:is>
      </x:c>
      <x:c r="C127" t="inlineStr">
        <x:is>
          <x:t xml:space="preserve">L.A. Hoad</x:t>
        </x:is>
      </x:c>
      <x:c r="D127" t="inlineStr">
        <x:is>
          <x:t xml:space="preserve">AUS</x:t>
        </x:is>
      </x:c>
      <x:c r="E127" t="inlineStr">
        <x:is>
          <x:t xml:space="preserve">Australia</x:t>
        </x:is>
      </x:c>
      <x:c r="F127" t="n">
        <x:v>1</x:v>
      </x:c>
      <x:c r="G127" t="n">
        <x:v>57</x:v>
      </x:c>
      <x:c r="H127" t="inlineStr">
        <x:is>
          <x:t xml:space="preserve">6-2, 6-1, 6-2</x:t>
        </x:is>
      </x:c>
      <x:c r="I127" t="inlineStr">
        <x:is>
          <x:t xml:space="preserve">A.J. Cooper</x:t>
        </x:is>
      </x:c>
      <x:c r="J127" t="inlineStr">
        <x:is>
          <x:t xml:space="preserve">AUS</x:t>
        </x:is>
      </x:c>
      <x:c r="K127" t="inlineStr">
        <x:is>
          <x:t xml:space="preserve">Australia</x:t>
        </x:is>
      </x:c>
      <x:c r="L127" t="n">
        <x:v>2</x:v>
      </x:c>
    </x:row>
    <x:row r="128">
      <x:c r="A128" t="n">
        <x:v>1956</x:v>
      </x:c>
      <x:c r="B128" t="inlineStr">
        <x:is>
          <x:t xml:space="preserve">Women's</x:t>
        </x:is>
      </x:c>
      <x:c r="C128" t="inlineStr">
        <x:is>
          <x:t xml:space="preserve">S.J. Fry</x:t>
        </x:is>
      </x:c>
      <x:c r="D128" t="inlineStr">
        <x:is>
          <x:t xml:space="preserve">USA</x:t>
        </x:is>
      </x:c>
      <x:c r="E128" t="inlineStr">
        <x:is>
          <x:t xml:space="preserve">United States</x:t>
        </x:is>
      </x:c>
      <x:c r="F128" t="n">
        <x:v>5</x:v>
      </x:c>
      <x:c r="G128" t="n">
        <x:v>50</x:v>
      </x:c>
      <x:c r="H128" t="inlineStr">
        <x:is>
          <x:t xml:space="preserve">6-3, 6-1,</x:t>
        </x:is>
      </x:c>
      <x:c r="I128" t="inlineStr">
        <x:is>
          <x:t xml:space="preserve">A. Buxton</x:t>
        </x:is>
      </x:c>
      <x:c r="J128" t="inlineStr">
        <x:is>
          <x:t xml:space="preserve">GBR</x:t>
        </x:is>
      </x:c>
      <x:c r="K128" t="inlineStr">
        <x:is>
          <x:t xml:space="preserve">United Kingdom</x:t>
        </x:is>
      </x:c>
      <x:c r="L128" t="n">
        <x:v>6</x:v>
      </x:c>
    </x:row>
    <x:row r="129">
      <x:c r="A129" t="n">
        <x:v>1956</x:v>
      </x:c>
      <x:c r="B129" t="inlineStr">
        <x:is>
          <x:t xml:space="preserve">Men's</x:t>
        </x:is>
      </x:c>
      <x:c r="C129" t="inlineStr">
        <x:is>
          <x:t xml:space="preserve">L.A. Hoad</x:t>
        </x:is>
      </x:c>
      <x:c r="D129" t="inlineStr">
        <x:is>
          <x:t xml:space="preserve">AUS</x:t>
        </x:is>
      </x:c>
      <x:c r="E129" t="inlineStr">
        <x:is>
          <x:t xml:space="preserve">Australia</x:t>
        </x:is>
      </x:c>
      <x:c r="F129" t="n">
        <x:v>1</x:v>
      </x:c>
      <x:c r="G129" t="n">
        <x:v>117</x:v>
      </x:c>
      <x:c r="H129" t="inlineStr">
        <x:is>
          <x:t xml:space="preserve">6-2, 4-6, 7-5, 6-4</x:t>
        </x:is>
      </x:c>
      <x:c r="I129" t="inlineStr">
        <x:is>
          <x:t xml:space="preserve">K.R. Rosewall</x:t>
        </x:is>
      </x:c>
      <x:c r="J129" t="inlineStr">
        <x:is>
          <x:t xml:space="preserve">AUS</x:t>
        </x:is>
      </x:c>
      <x:c r="K129" t="inlineStr">
        <x:is>
          <x:t xml:space="preserve">Australia</x:t>
        </x:is>
      </x:c>
      <x:c r="L129" t="n">
        <x:v>2</x:v>
      </x:c>
    </x:row>
    <x:row r="130">
      <x:c r="A130" t="n">
        <x:v>1955</x:v>
      </x:c>
      <x:c r="B130" t="inlineStr">
        <x:is>
          <x:t xml:space="preserve">Women's</x:t>
        </x:is>
      </x:c>
      <x:c r="C130" t="inlineStr">
        <x:is>
          <x:t xml:space="preserve">A.L. Brough</x:t>
        </x:is>
      </x:c>
      <x:c r="D130" t="inlineStr">
        <x:is>
          <x:t xml:space="preserve">USA</x:t>
        </x:is>
      </x:c>
      <x:c r="E130" t="inlineStr">
        <x:is>
          <x:t xml:space="preserve">United States</x:t>
        </x:is>
      </x:c>
      <x:c r="F130" t="n">
        <x:v>2</x:v>
      </x:c>
      <x:c r="G130" t="n">
        <x:v>90</x:v>
      </x:c>
      <x:c r="H130" t="inlineStr">
        <x:is>
          <x:t xml:space="preserve">7-5, 8-6,</x:t>
        </x:is>
      </x:c>
      <x:c r="I130" t="inlineStr">
        <x:is>
          <x:t xml:space="preserve">J.G. Fleitz</x:t>
        </x:is>
      </x:c>
      <x:c r="J130" t="inlineStr">
        <x:is>
          <x:t xml:space="preserve">USA</x:t>
        </x:is>
      </x:c>
      <x:c r="K130" t="inlineStr">
        <x:is>
          <x:t xml:space="preserve">United States</x:t>
        </x:is>
      </x:c>
      <x:c r="L130" t="n">
        <x:v>3</x:v>
      </x:c>
    </x:row>
    <x:row r="131">
      <x:c r="A131" t="n">
        <x:v>1955</x:v>
      </x:c>
      <x:c r="B131" t="inlineStr">
        <x:is>
          <x:t xml:space="preserve">Men's</x:t>
        </x:is>
      </x:c>
      <x:c r="C131" t="inlineStr">
        <x:is>
          <x:t xml:space="preserve">M.A. Trabert</x:t>
        </x:is>
      </x:c>
      <x:c r="D131" t="inlineStr">
        <x:is>
          <x:t xml:space="preserve">USA</x:t>
        </x:is>
      </x:c>
      <x:c r="E131" t="inlineStr">
        <x:is>
          <x:t xml:space="preserve">United States</x:t>
        </x:is>
      </x:c>
      <x:c r="F131" t="n">
        <x:v>1</x:v>
      </x:c>
      <x:c r="G131" t="n">
        <x:v>73</x:v>
      </x:c>
      <x:c r="H131" t="inlineStr">
        <x:is>
          <x:t xml:space="preserve">6-3, 7-5, 6-1</x:t>
        </x:is>
      </x:c>
      <x:c r="I131" t="inlineStr">
        <x:is>
          <x:t xml:space="preserve">K. Nielsen</x:t>
        </x:is>
      </x:c>
      <x:c r="J131" t="inlineStr">
        <x:is>
          <x:t xml:space="preserve">DEN</x:t>
        </x:is>
      </x:c>
      <x:c r="K131" t="inlineStr">
        <x:is>
          <x:t xml:space="preserve">Denmark</x:t>
        </x:is>
      </x:c>
      <x:c r="L131" t="inlineStr">
        <x:is>
          <x:t xml:space="preserve">U</x:t>
        </x:is>
      </x:c>
    </x:row>
    <x:row r="132">
      <x:c r="A132" t="n">
        <x:v>1954</x:v>
      </x:c>
      <x:c r="B132" t="inlineStr">
        <x:is>
          <x:t xml:space="preserve">Women's</x:t>
        </x:is>
      </x:c>
      <x:c r="C132" t="inlineStr">
        <x:is>
          <x:t xml:space="preserve">M.C. Connolly</x:t>
        </x:is>
      </x:c>
      <x:c r="D132" t="inlineStr">
        <x:is>
          <x:t xml:space="preserve">USA</x:t>
        </x:is>
      </x:c>
      <x:c r="E132" t="inlineStr">
        <x:is>
          <x:t xml:space="preserve">United States</x:t>
        </x:is>
      </x:c>
      <x:c r="F132" t="n">
        <x:v>1</x:v>
      </x:c>
      <x:c r="G132" t="n">
        <x:v>50</x:v>
      </x:c>
      <x:c r="H132" t="inlineStr">
        <x:is>
          <x:t xml:space="preserve">6-2, 7-5,</x:t>
        </x:is>
      </x:c>
      <x:c r="I132" t="inlineStr">
        <x:is>
          <x:t xml:space="preserve">A.L. Brough</x:t>
        </x:is>
      </x:c>
      <x:c r="J132" t="inlineStr">
        <x:is>
          <x:t xml:space="preserve">USA</x:t>
        </x:is>
      </x:c>
      <x:c r="K132" t="inlineStr">
        <x:is>
          <x:t xml:space="preserve">United States</x:t>
        </x:is>
      </x:c>
      <x:c r="L132" t="n">
        <x:v>4</x:v>
      </x:c>
    </x:row>
    <x:row r="133">
      <x:c r="A133" t="n">
        <x:v>1954</x:v>
      </x:c>
      <x:c r="B133" t="inlineStr">
        <x:is>
          <x:t xml:space="preserve">Men's</x:t>
        </x:is>
      </x:c>
      <x:c r="C133" t="inlineStr">
        <x:is>
          <x:t xml:space="preserve">J. Drobny</x:t>
        </x:is>
      </x:c>
      <x:c r="D133" t="inlineStr">
        <x:is>
          <x:t xml:space="preserve">CZE</x:t>
        </x:is>
      </x:c>
      <x:c r="E133" t="inlineStr">
        <x:is>
          <x:t xml:space="preserve">Czechia</x:t>
        </x:is>
      </x:c>
      <x:c r="F133" t="n">
        <x:v>11</x:v>
      </x:c>
      <x:c r="G133" t="n">
        <x:v>157</x:v>
      </x:c>
      <x:c r="H133" t="inlineStr">
        <x:is>
          <x:t xml:space="preserve">13-11, 4-6, 6-2, 9-7</x:t>
        </x:is>
      </x:c>
      <x:c r="I133" t="inlineStr">
        <x:is>
          <x:t xml:space="preserve">K.R. Rosewall</x:t>
        </x:is>
      </x:c>
      <x:c r="J133" t="inlineStr">
        <x:is>
          <x:t xml:space="preserve">AUS</x:t>
        </x:is>
      </x:c>
      <x:c r="K133" t="inlineStr">
        <x:is>
          <x:t xml:space="preserve">Australia</x:t>
        </x:is>
      </x:c>
      <x:c r="L133" t="n">
        <x:v>3</x:v>
      </x:c>
    </x:row>
    <x:row r="134">
      <x:c r="A134" t="n">
        <x:v>1953</x:v>
      </x:c>
      <x:c r="B134" t="inlineStr">
        <x:is>
          <x:t xml:space="preserve">Women's</x:t>
        </x:is>
      </x:c>
      <x:c r="C134" t="inlineStr">
        <x:is>
          <x:t xml:space="preserve">M.C. Connolly</x:t>
        </x:is>
      </x:c>
      <x:c r="D134" t="inlineStr">
        <x:is>
          <x:t xml:space="preserve">USA</x:t>
        </x:is>
      </x:c>
      <x:c r="E134" t="inlineStr">
        <x:is>
          <x:t xml:space="preserve">United States</x:t>
        </x:is>
      </x:c>
      <x:c r="F134" t="n">
        <x:v>1</x:v>
      </x:c>
      <x:c r="G134" t="n">
        <x:v>67</x:v>
      </x:c>
      <x:c r="H134" t="inlineStr">
        <x:is>
          <x:t xml:space="preserve">8-6, 7-5,</x:t>
        </x:is>
      </x:c>
      <x:c r="I134" t="inlineStr">
        <x:is>
          <x:t xml:space="preserve">D.J. Hart</x:t>
        </x:is>
      </x:c>
      <x:c r="J134" t="inlineStr">
        <x:is>
          <x:t xml:space="preserve">USA</x:t>
        </x:is>
      </x:c>
      <x:c r="K134" t="inlineStr">
        <x:is>
          <x:t xml:space="preserve">United States</x:t>
        </x:is>
      </x:c>
      <x:c r="L134" t="n">
        <x:v>2</x:v>
      </x:c>
    </x:row>
    <x:row r="135">
      <x:c r="A135" t="n">
        <x:v>1953</x:v>
      </x:c>
      <x:c r="B135" t="inlineStr">
        <x:is>
          <x:t xml:space="preserve">Men's</x:t>
        </x:is>
      </x:c>
      <x:c r="C135" t="inlineStr">
        <x:is>
          <x:t xml:space="preserve">E.V. Seixas</x:t>
        </x:is>
      </x:c>
      <x:c r="D135" t="inlineStr">
        <x:is>
          <x:t xml:space="preserve">USA</x:t>
        </x:is>
      </x:c>
      <x:c r="E135" t="inlineStr">
        <x:is>
          <x:t xml:space="preserve">United States</x:t>
        </x:is>
      </x:c>
      <x:c r="F135" t="n">
        <x:v>2</x:v>
      </x:c>
      <x:c r="G135" t="n">
        <x:v>80</x:v>
      </x:c>
      <x:c r="H135" t="inlineStr">
        <x:is>
          <x:t xml:space="preserve">9-7, 6-3, 6-4</x:t>
        </x:is>
      </x:c>
      <x:c r="I135" t="inlineStr">
        <x:is>
          <x:t xml:space="preserve">K. Nielsen</x:t>
        </x:is>
      </x:c>
      <x:c r="J135" t="inlineStr">
        <x:is>
          <x:t xml:space="preserve">DEN</x:t>
        </x:is>
      </x:c>
      <x:c r="K135" t="inlineStr">
        <x:is>
          <x:t xml:space="preserve">Denmark</x:t>
        </x:is>
      </x:c>
      <x:c r="L135" t="inlineStr">
        <x:is>
          <x:t xml:space="preserve">U</x:t>
        </x:is>
      </x:c>
    </x:row>
    <x:row r="136">
      <x:c r="A136" t="n">
        <x:v>1952</x:v>
      </x:c>
      <x:c r="B136" t="inlineStr">
        <x:is>
          <x:t xml:space="preserve">Women's</x:t>
        </x:is>
      </x:c>
      <x:c r="C136" t="inlineStr">
        <x:is>
          <x:t xml:space="preserve">M.C. Connolly</x:t>
        </x:is>
      </x:c>
      <x:c r="D136" t="inlineStr">
        <x:is>
          <x:t xml:space="preserve">USA</x:t>
        </x:is>
      </x:c>
      <x:c r="E136" t="inlineStr">
        <x:is>
          <x:t xml:space="preserve">United States</x:t>
        </x:is>
      </x:c>
      <x:c r="F136" t="n">
        <x:v>2</x:v>
      </x:c>
      <x:c r="G136" t="n">
        <x:v>65</x:v>
      </x:c>
      <x:c r="H136" t="inlineStr">
        <x:is>
          <x:t xml:space="preserve">7-5, 6-3,</x:t>
        </x:is>
      </x:c>
      <x:c r="I136" t="inlineStr">
        <x:is>
          <x:t xml:space="preserve">A.L. Brough</x:t>
        </x:is>
      </x:c>
      <x:c r="J136" t="inlineStr">
        <x:is>
          <x:t xml:space="preserve">USA</x:t>
        </x:is>
      </x:c>
      <x:c r="K136" t="inlineStr">
        <x:is>
          <x:t xml:space="preserve">United States</x:t>
        </x:is>
      </x:c>
      <x:c r="L136" t="n">
        <x:v>4</x:v>
      </x:c>
    </x:row>
    <x:row r="137">
      <x:c r="A137" t="n">
        <x:v>1952</x:v>
      </x:c>
      <x:c r="B137" t="inlineStr">
        <x:is>
          <x:t xml:space="preserve">Men's</x:t>
        </x:is>
      </x:c>
      <x:c r="C137" t="inlineStr">
        <x:is>
          <x:t xml:space="preserve">F.A. Sedgman</x:t>
        </x:is>
      </x:c>
      <x:c r="D137" t="inlineStr">
        <x:is>
          <x:t xml:space="preserve">AUS</x:t>
        </x:is>
      </x:c>
      <x:c r="E137" t="inlineStr">
        <x:is>
          <x:t xml:space="preserve">Australia</x:t>
        </x:is>
      </x:c>
      <x:c r="F137" t="n">
        <x:v>1</x:v>
      </x:c>
      <x:c r="G137" t="n">
        <x:v>80</x:v>
      </x:c>
      <x:c r="H137" t="inlineStr">
        <x:is>
          <x:t xml:space="preserve">4-6, 6-2, 6-3, 6-2</x:t>
        </x:is>
      </x:c>
      <x:c r="I137" t="inlineStr">
        <x:is>
          <x:t xml:space="preserve">J. Drobny</x:t>
        </x:is>
      </x:c>
      <x:c r="J137" t="inlineStr">
        <x:is>
          <x:t xml:space="preserve">CZE</x:t>
        </x:is>
      </x:c>
      <x:c r="K137" t="inlineStr">
        <x:is>
          <x:t xml:space="preserve">Czechia</x:t>
        </x:is>
      </x:c>
      <x:c r="L137" t="n">
        <x:v>2</x:v>
      </x:c>
    </x:row>
    <x:row r="138">
      <x:c r="A138" t="n">
        <x:v>1951</x:v>
      </x:c>
      <x:c r="B138" t="inlineStr">
        <x:is>
          <x:t xml:space="preserve">Women's</x:t>
        </x:is>
      </x:c>
      <x:c r="C138" t="inlineStr">
        <x:is>
          <x:t xml:space="preserve">D.J. Hart</x:t>
        </x:is>
      </x:c>
      <x:c r="D138" t="inlineStr">
        <x:is>
          <x:t xml:space="preserve">USA</x:t>
        </x:is>
      </x:c>
      <x:c r="E138" t="inlineStr">
        <x:is>
          <x:t xml:space="preserve">United States</x:t>
        </x:is>
      </x:c>
      <x:c r="F138" t="n">
        <x:v>3</x:v>
      </x:c>
      <x:c r="G138" t="n">
        <x:v>35</x:v>
      </x:c>
      <x:c r="H138" t="inlineStr">
        <x:is>
          <x:t xml:space="preserve">6-1, 6-0</x:t>
        </x:is>
      </x:c>
      <x:c r="I138" t="inlineStr">
        <x:is>
          <x:t xml:space="preserve">S.J. Fry</x:t>
        </x:is>
      </x:c>
      <x:c r="J138" t="inlineStr">
        <x:is>
          <x:t xml:space="preserve">USA</x:t>
        </x:is>
      </x:c>
      <x:c r="K138" t="inlineStr">
        <x:is>
          <x:t xml:space="preserve">United States</x:t>
        </x:is>
      </x:c>
      <x:c r="L138" t="n">
        <x:v>4</x:v>
      </x:c>
    </x:row>
    <x:row r="139">
      <x:c r="A139" t="n">
        <x:v>1951</x:v>
      </x:c>
      <x:c r="B139" t="inlineStr">
        <x:is>
          <x:t xml:space="preserve">Men's</x:t>
        </x:is>
      </x:c>
      <x:c r="C139" t="inlineStr">
        <x:is>
          <x:t xml:space="preserve">R. Savitt</x:t>
        </x:is>
      </x:c>
      <x:c r="D139" t="inlineStr">
        <x:is>
          <x:t xml:space="preserve">USA</x:t>
        </x:is>
      </x:c>
      <x:c r="E139" t="inlineStr">
        <x:is>
          <x:t xml:space="preserve">United States</x:t>
        </x:is>
      </x:c>
      <x:c r="F139" t="n">
        <x:v>6</x:v>
      </x:c>
      <x:c r="G139" t="n">
        <x:v>62</x:v>
      </x:c>
      <x:c r="H139" t="inlineStr">
        <x:is>
          <x:t xml:space="preserve">6-4, 6-4, 6-4</x:t>
        </x:is>
      </x:c>
      <x:c r="I139" t="inlineStr">
        <x:is>
          <x:t xml:space="preserve">K.B. McGregor</x:t>
        </x:is>
      </x:c>
      <x:c r="J139" t="inlineStr">
        <x:is>
          <x:t xml:space="preserve">AUS</x:t>
        </x:is>
      </x:c>
      <x:c r="K139" t="inlineStr">
        <x:is>
          <x:t xml:space="preserve">Australia</x:t>
        </x:is>
      </x:c>
      <x:c r="L139" t="n">
        <x:v>7</x:v>
      </x:c>
    </x:row>
    <x:row r="140">
      <x:c r="A140" t="n">
        <x:v>1950</x:v>
      </x:c>
      <x:c r="B140" t="inlineStr">
        <x:is>
          <x:t xml:space="preserve">Women's</x:t>
        </x:is>
      </x:c>
      <x:c r="C140" t="inlineStr">
        <x:is>
          <x:t xml:space="preserve">A.L. Brough</x:t>
        </x:is>
      </x:c>
      <x:c r="D140" t="inlineStr">
        <x:is>
          <x:t xml:space="preserve">USA</x:t>
        </x:is>
      </x:c>
      <x:c r="E140" t="inlineStr">
        <x:is>
          <x:t xml:space="preserve">United States</x:t>
        </x:is>
      </x:c>
      <x:c r="F140" t="n">
        <x:v>1</x:v>
      </x:c>
      <x:c r="G140" t="n">
        <x:v>62</x:v>
      </x:c>
      <x:c r="H140" t="inlineStr">
        <x:is>
          <x:t xml:space="preserve">6-1, 3-6, 6-1,</x:t>
        </x:is>
      </x:c>
      <x:c r="I140" t="inlineStr">
        <x:is>
          <x:t xml:space="preserve">W. du Pont</x:t>
        </x:is>
      </x:c>
      <x:c r="J140" t="inlineStr">
        <x:is>
          <x:t xml:space="preserve">USA</x:t>
        </x:is>
      </x:c>
      <x:c r="K140" t="inlineStr">
        <x:is>
          <x:t xml:space="preserve">United States</x:t>
        </x:is>
      </x:c>
      <x:c r="L140" t="n">
        <x:v>2</x:v>
      </x:c>
    </x:row>
    <x:row r="141">
      <x:c r="A141" t="n">
        <x:v>1950</x:v>
      </x:c>
      <x:c r="B141" t="inlineStr">
        <x:is>
          <x:t xml:space="preserve">Men's</x:t>
        </x:is>
      </x:c>
      <x:c r="C141" t="inlineStr">
        <x:is>
          <x:t xml:space="preserve">J.E. Patty</x:t>
        </x:is>
      </x:c>
      <x:c r="D141" t="inlineStr">
        <x:is>
          <x:t xml:space="preserve">USA</x:t>
        </x:is>
      </x:c>
      <x:c r="E141" t="inlineStr">
        <x:is>
          <x:t xml:space="preserve">United States</x:t>
        </x:is>
      </x:c>
      <x:c r="F141" t="n">
        <x:v>5</x:v>
      </x:c>
      <x:c r="G141" t="n">
        <x:v>120</x:v>
      </x:c>
      <x:c r="H141" t="inlineStr">
        <x:is>
          <x:t xml:space="preserve">6-1, 8-10, 6-2, 6-3</x:t>
        </x:is>
      </x:c>
      <x:c r="I141" t="inlineStr">
        <x:is>
          <x:t xml:space="preserve">F.A. Sedgman</x:t>
        </x:is>
      </x:c>
      <x:c r="J141" t="inlineStr">
        <x:is>
          <x:t xml:space="preserve">AUS</x:t>
        </x:is>
      </x:c>
      <x:c r="K141" t="inlineStr">
        <x:is>
          <x:t xml:space="preserve">Australia</x:t>
        </x:is>
      </x:c>
      <x:c r="L141" t="n">
        <x:v>1</x:v>
      </x:c>
    </x:row>
    <x:row r="142">
      <x:c r="A142" t="n">
        <x:v>1949</x:v>
      </x:c>
      <x:c r="B142" t="inlineStr">
        <x:is>
          <x:t xml:space="preserve">Women's</x:t>
        </x:is>
      </x:c>
      <x:c r="C142" t="inlineStr">
        <x:is>
          <x:t xml:space="preserve">A.L. Brough</x:t>
        </x:is>
      </x:c>
      <x:c r="D142" t="inlineStr">
        <x:is>
          <x:t xml:space="preserve">USA</x:t>
        </x:is>
      </x:c>
      <x:c r="E142" t="inlineStr">
        <x:is>
          <x:t xml:space="preserve">United States</x:t>
        </x:is>
      </x:c>
      <x:c r="F142" t="n">
        <x:v>1</x:v>
      </x:c>
      <x:c r="G142" t="n">
        <x:v>120</x:v>
      </x:c>
      <x:c r="H142" t="inlineStr">
        <x:is>
          <x:t xml:space="preserve">10-8, 1-6, 10-8,</x:t>
        </x:is>
      </x:c>
      <x:c r="I142" t="inlineStr">
        <x:is>
          <x:t xml:space="preserve">W. du Pont</x:t>
        </x:is>
      </x:c>
      <x:c r="J142" t="inlineStr">
        <x:is>
          <x:t xml:space="preserve">USA</x:t>
        </x:is>
      </x:c>
      <x:c r="K142" t="inlineStr">
        <x:is>
          <x:t xml:space="preserve">United States</x:t>
        </x:is>
      </x:c>
      <x:c r="L142" t="n">
        <x:v>2</x:v>
      </x:c>
    </x:row>
    <x:row r="143">
      <x:c r="A143" t="n">
        <x:v>1949</x:v>
      </x:c>
      <x:c r="B143" t="inlineStr">
        <x:is>
          <x:t xml:space="preserve">Men's</x:t>
        </x:is>
      </x:c>
      <x:c r="C143" t="inlineStr">
        <x:is>
          <x:t xml:space="preserve">F.R. Schroeder</x:t>
        </x:is>
      </x:c>
      <x:c r="D143" t="inlineStr">
        <x:is>
          <x:t xml:space="preserve">USA</x:t>
        </x:is>
      </x:c>
      <x:c r="E143" t="inlineStr">
        <x:is>
          <x:t xml:space="preserve">United States</x:t>
        </x:is>
      </x:c>
      <x:c r="F143" t="n">
        <x:v>1</x:v>
      </x:c>
      <x:c r="G143" t="n">
        <x:v>100</x:v>
      </x:c>
      <x:c r="H143" t="inlineStr">
        <x:is>
          <x:t xml:space="preserve">3-6, 6-0, 6-3, 4-6, 6-4</x:t>
        </x:is>
      </x:c>
      <x:c r="I143" t="inlineStr">
        <x:is>
          <x:t xml:space="preserve">J. Drobny</x:t>
        </x:is>
      </x:c>
      <x:c r="J143" t="inlineStr">
        <x:is>
          <x:t xml:space="preserve">CZE</x:t>
        </x:is>
      </x:c>
      <x:c r="K143" t="inlineStr">
        <x:is>
          <x:t xml:space="preserve">Czechia</x:t>
        </x:is>
      </x:c>
      <x:c r="L143" t="n">
        <x:v>6</x:v>
      </x:c>
    </x:row>
    <x:row r="144">
      <x:c r="A144" t="n">
        <x:v>1948</x:v>
      </x:c>
      <x:c r="B144" t="inlineStr">
        <x:is>
          <x:t xml:space="preserve">Women's</x:t>
        </x:is>
      </x:c>
      <x:c r="C144" t="inlineStr">
        <x:is>
          <x:t xml:space="preserve">A.L. Brough</x:t>
        </x:is>
      </x:c>
      <x:c r="D144" t="inlineStr">
        <x:is>
          <x:t xml:space="preserve">USA</x:t>
        </x:is>
      </x:c>
      <x:c r="E144" t="inlineStr">
        <x:is>
          <x:t xml:space="preserve">United States</x:t>
        </x:is>
      </x:c>
      <x:c r="F144" t="n">
        <x:v>2</x:v>
      </x:c>
      <x:c r="G144" t="n">
        <x:v>76</x:v>
      </x:c>
      <x:c r="H144" t="inlineStr">
        <x:is>
          <x:t xml:space="preserve">6-3, 8-6,</x:t>
        </x:is>
      </x:c>
      <x:c r="I144" t="inlineStr">
        <x:is>
          <x:t xml:space="preserve">D.J. Hart</x:t>
        </x:is>
      </x:c>
      <x:c r="J144" t="inlineStr">
        <x:is>
          <x:t xml:space="preserve">USA</x:t>
        </x:is>
      </x:c>
      <x:c r="K144" t="inlineStr">
        <x:is>
          <x:t xml:space="preserve">United States</x:t>
        </x:is>
      </x:c>
      <x:c r="L144" t="n">
        <x:v>4</x:v>
      </x:c>
    </x:row>
    <x:row r="145">
      <x:c r="A145" t="n">
        <x:v>1948</x:v>
      </x:c>
      <x:c r="B145" t="inlineStr">
        <x:is>
          <x:t xml:space="preserve">Men's</x:t>
        </x:is>
      </x:c>
      <x:c r="C145" t="inlineStr">
        <x:is>
          <x:t xml:space="preserve">R. Falkenburg</x:t>
        </x:is>
      </x:c>
      <x:c r="D145" t="inlineStr">
        <x:is>
          <x:t xml:space="preserve">USA</x:t>
        </x:is>
      </x:c>
      <x:c r="E145" t="inlineStr">
        <x:is>
          <x:t xml:space="preserve">United States</x:t>
        </x:is>
      </x:c>
      <x:c r="F145" t="n">
        <x:v>7</x:v>
      </x:c>
      <x:c r="G145" t="n">
        <x:v>125</x:v>
      </x:c>
      <x:c r="H145" t="inlineStr">
        <x:is>
          <x:t xml:space="preserve">7-5, 0-6, 6-2, 3-6, 7-5</x:t>
        </x:is>
      </x:c>
      <x:c r="I145" t="inlineStr">
        <x:is>
          <x:t xml:space="preserve">J.E. Bromwich</x:t>
        </x:is>
      </x:c>
      <x:c r="J145" t="inlineStr">
        <x:is>
          <x:t xml:space="preserve">AUS</x:t>
        </x:is>
      </x:c>
      <x:c r="K145" t="inlineStr">
        <x:is>
          <x:t xml:space="preserve">Australia</x:t>
        </x:is>
      </x:c>
      <x:c r="L145" t="n">
        <x:v>2</x:v>
      </x:c>
    </x:row>
    <x:row r="146">
      <x:c r="A146" t="n">
        <x:v>1947</x:v>
      </x:c>
      <x:c r="B146" t="inlineStr">
        <x:is>
          <x:t xml:space="preserve">Women's</x:t>
        </x:is>
      </x:c>
      <x:c r="C146" t="inlineStr">
        <x:is>
          <x:t xml:space="preserve">M.E. Osborne</x:t>
        </x:is>
      </x:c>
      <x:c r="D146" t="inlineStr">
        <x:is>
          <x:t xml:space="preserve">USA</x:t>
        </x:is>
      </x:c>
      <x:c r="E146" t="inlineStr">
        <x:is>
          <x:t xml:space="preserve">United States</x:t>
        </x:is>
      </x:c>
      <x:c r="F146" t="n">
        <x:v>1</x:v>
      </x:c>
      <x:c r="H146" t="inlineStr">
        <x:is>
          <x:t xml:space="preserve">6-2, 6-4,</x:t>
        </x:is>
      </x:c>
      <x:c r="I146" t="inlineStr">
        <x:is>
          <x:t xml:space="preserve">D.J. Hart</x:t>
        </x:is>
      </x:c>
      <x:c r="J146" t="inlineStr">
        <x:is>
          <x:t xml:space="preserve">USA</x:t>
        </x:is>
      </x:c>
      <x:c r="K146" t="inlineStr">
        <x:is>
          <x:t xml:space="preserve">United States</x:t>
        </x:is>
      </x:c>
      <x:c r="L146" t="n">
        <x:v>3</x:v>
      </x:c>
    </x:row>
    <x:row r="147">
      <x:c r="A147" t="n">
        <x:v>1947</x:v>
      </x:c>
      <x:c r="B147" t="inlineStr">
        <x:is>
          <x:t xml:space="preserve">Men's</x:t>
        </x:is>
      </x:c>
      <x:c r="C147" t="inlineStr">
        <x:is>
          <x:t xml:space="preserve">J.A. Kramer</x:t>
        </x:is>
      </x:c>
      <x:c r="D147" t="inlineStr">
        <x:is>
          <x:t xml:space="preserve">USA</x:t>
        </x:is>
      </x:c>
      <x:c r="E147" t="inlineStr">
        <x:is>
          <x:t xml:space="preserve">United States</x:t>
        </x:is>
      </x:c>
      <x:c r="F147" t="n">
        <x:v>1</x:v>
      </x:c>
      <x:c r="G147" t="n">
        <x:v>45</x:v>
      </x:c>
      <x:c r="H147" t="inlineStr">
        <x:is>
          <x:t xml:space="preserve">6-1, 6-3, 6-2</x:t>
        </x:is>
      </x:c>
      <x:c r="I147" t="inlineStr">
        <x:is>
          <x:t xml:space="preserve">T.P. Brown</x:t>
        </x:is>
      </x:c>
      <x:c r="J147" t="inlineStr">
        <x:is>
          <x:t xml:space="preserve">USA</x:t>
        </x:is>
      </x:c>
      <x:c r="K147" t="inlineStr">
        <x:is>
          <x:t xml:space="preserve">United States</x:t>
        </x:is>
      </x:c>
      <x:c r="L147" t="n">
        <x:v>3</x:v>
      </x:c>
    </x:row>
    <x:row r="148">
      <x:c r="A148" t="n">
        <x:v>1946</x:v>
      </x:c>
      <x:c r="B148" t="inlineStr">
        <x:is>
          <x:t xml:space="preserve">Women's</x:t>
        </x:is>
      </x:c>
      <x:c r="C148" t="inlineStr">
        <x:is>
          <x:t xml:space="preserve">P.M. Betz</x:t>
        </x:is>
      </x:c>
      <x:c r="D148" t="inlineStr">
        <x:is>
          <x:t xml:space="preserve">USA</x:t>
        </x:is>
      </x:c>
      <x:c r="E148" t="inlineStr">
        <x:is>
          <x:t xml:space="preserve">United States</x:t>
        </x:is>
      </x:c>
      <x:c r="F148" t="n">
        <x:v>1</x:v>
      </x:c>
      <x:c r="H148" t="inlineStr">
        <x:is>
          <x:t xml:space="preserve">6-2, 6-4,</x:t>
        </x:is>
      </x:c>
      <x:c r="I148" t="inlineStr">
        <x:is>
          <x:t xml:space="preserve">A.L. Brough</x:t>
        </x:is>
      </x:c>
      <x:c r="J148" t="inlineStr">
        <x:is>
          <x:t xml:space="preserve">USA</x:t>
        </x:is>
      </x:c>
      <x:c r="K148" t="inlineStr">
        <x:is>
          <x:t xml:space="preserve">United States</x:t>
        </x:is>
      </x:c>
      <x:c r="L148" t="n">
        <x:v>3</x:v>
      </x:c>
    </x:row>
    <x:row r="149">
      <x:c r="A149" t="n">
        <x:v>1946</x:v>
      </x:c>
      <x:c r="B149" t="inlineStr">
        <x:is>
          <x:t xml:space="preserve">Men's</x:t>
        </x:is>
      </x:c>
      <x:c r="C149" t="inlineStr">
        <x:is>
          <x:t xml:space="preserve">Y.F.M. Petra</x:t>
        </x:is>
      </x:c>
      <x:c r="D149" t="inlineStr">
        <x:is>
          <x:t xml:space="preserve">FRA</x:t>
        </x:is>
      </x:c>
      <x:c r="E149" t="inlineStr">
        <x:is>
          <x:t xml:space="preserve">France</x:t>
        </x:is>
      </x:c>
      <x:c r="F149" t="n">
        <x:v>5</x:v>
      </x:c>
      <x:c r="H149" t="inlineStr">
        <x:is>
          <x:t xml:space="preserve">6-2, 6-4, 7-9, 5-7, 6-4</x:t>
        </x:is>
      </x:c>
      <x:c r="I149" t="inlineStr">
        <x:is>
          <x:t xml:space="preserve">G.E. Brown</x:t>
        </x:is>
      </x:c>
      <x:c r="J149" t="inlineStr">
        <x:is>
          <x:t xml:space="preserve">AUS</x:t>
        </x:is>
      </x:c>
      <x:c r="K149" t="inlineStr">
        <x:is>
          <x:t xml:space="preserve">Australia</x:t>
        </x:is>
      </x:c>
      <x:c r="L149" t="n">
        <x:v>3</x:v>
      </x:c>
    </x:row>
    <x:row r="150">
      <x:c r="A150" t="n">
        <x:v>1939</x:v>
      </x:c>
      <x:c r="B150" t="inlineStr">
        <x:is>
          <x:t xml:space="preserve">Women's</x:t>
        </x:is>
      </x:c>
      <x:c r="C150" t="inlineStr">
        <x:is>
          <x:t xml:space="preserve">A. Marble</x:t>
        </x:is>
      </x:c>
      <x:c r="D150" t="inlineStr">
        <x:is>
          <x:t xml:space="preserve">USA</x:t>
        </x:is>
      </x:c>
      <x:c r="E150" t="inlineStr">
        <x:is>
          <x:t xml:space="preserve">United States</x:t>
        </x:is>
      </x:c>
      <x:c r="F150" t="n">
        <x:v>1</x:v>
      </x:c>
      <x:c r="G150" t="n">
        <x:v>30</x:v>
      </x:c>
      <x:c r="H150" t="inlineStr">
        <x:is>
          <x:t xml:space="preserve">6-2, 6-0</x:t>
        </x:is>
      </x:c>
      <x:c r="I150" t="inlineStr">
        <x:is>
          <x:t xml:space="preserve">K.E. Stammers</x:t>
        </x:is>
      </x:c>
      <x:c r="J150" t="inlineStr">
        <x:is>
          <x:t xml:space="preserve">GBR</x:t>
        </x:is>
      </x:c>
      <x:c r="K150" t="inlineStr">
        <x:is>
          <x:t xml:space="preserve">United Kingdom</x:t>
        </x:is>
      </x:c>
      <x:c r="L150" t="n">
        <x:v>6</x:v>
      </x:c>
    </x:row>
    <x:row r="151">
      <x:c r="A151" t="n">
        <x:v>1939</x:v>
      </x:c>
      <x:c r="B151" t="inlineStr">
        <x:is>
          <x:t xml:space="preserve">Men's</x:t>
        </x:is>
      </x:c>
      <x:c r="C151" t="inlineStr">
        <x:is>
          <x:t xml:space="preserve">R.L. Riggs</x:t>
        </x:is>
      </x:c>
      <x:c r="D151" t="inlineStr">
        <x:is>
          <x:t xml:space="preserve">USA</x:t>
        </x:is>
      </x:c>
      <x:c r="E151" t="inlineStr">
        <x:is>
          <x:t xml:space="preserve">United States</x:t>
        </x:is>
      </x:c>
      <x:c r="F151" t="n">
        <x:v>2</x:v>
      </x:c>
      <x:c r="G151" t="n">
        <x:v>135</x:v>
      </x:c>
      <x:c r="H151" t="inlineStr">
        <x:is>
          <x:t xml:space="preserve">2-6, 8-6, 3-6, 6-3, 6-2</x:t>
        </x:is>
      </x:c>
      <x:c r="I151" t="inlineStr">
        <x:is>
          <x:t xml:space="preserve">E.T. Cooke</x:t>
        </x:is>
      </x:c>
      <x:c r="J151" t="inlineStr">
        <x:is>
          <x:t xml:space="preserve">USA</x:t>
        </x:is>
      </x:c>
      <x:c r="K151" t="inlineStr">
        <x:is>
          <x:t xml:space="preserve">United States</x:t>
        </x:is>
      </x:c>
      <x:c r="L151" t="n">
        <x:v>6</x:v>
      </x:c>
    </x:row>
    <x:row r="152">
      <x:c r="A152" t="n">
        <x:v>1938</x:v>
      </x:c>
      <x:c r="B152" t="inlineStr">
        <x:is>
          <x:t xml:space="preserve">Women's</x:t>
        </x:is>
      </x:c>
      <x:c r="C152" t="inlineStr">
        <x:is>
          <x:t xml:space="preserve">F.S. Moody</x:t>
        </x:is>
      </x:c>
      <x:c r="D152" t="inlineStr">
        <x:is>
          <x:t xml:space="preserve">USA</x:t>
        </x:is>
      </x:c>
      <x:c r="E152" t="inlineStr">
        <x:is>
          <x:t xml:space="preserve">United States</x:t>
        </x:is>
      </x:c>
      <x:c r="F152" t="n">
        <x:v>1</x:v>
      </x:c>
      <x:c r="H152" t="inlineStr">
        <x:is>
          <x:t xml:space="preserve">6-4, 6-0</x:t>
        </x:is>
      </x:c>
      <x:c r="I152" t="inlineStr">
        <x:is>
          <x:t xml:space="preserve">H.H. Jacobs</x:t>
        </x:is>
      </x:c>
      <x:c r="J152" t="inlineStr">
        <x:is>
          <x:t xml:space="preserve">USA</x:t>
        </x:is>
      </x:c>
      <x:c r="K152" t="inlineStr">
        <x:is>
          <x:t xml:space="preserve">United States</x:t>
        </x:is>
      </x:c>
    </x:row>
    <x:row r="153">
      <x:c r="A153" t="n">
        <x:v>1938</x:v>
      </x:c>
      <x:c r="B153" t="inlineStr">
        <x:is>
          <x:t xml:space="preserve">Men's</x:t>
        </x:is>
      </x:c>
      <x:c r="C153" t="inlineStr">
        <x:is>
          <x:t xml:space="preserve">J.D. Budge</x:t>
        </x:is>
      </x:c>
      <x:c r="D153" t="inlineStr">
        <x:is>
          <x:t xml:space="preserve">USA</x:t>
        </x:is>
      </x:c>
      <x:c r="E153" t="inlineStr">
        <x:is>
          <x:t xml:space="preserve">United States</x:t>
        </x:is>
      </x:c>
      <x:c r="F153" t="n">
        <x:v>1</x:v>
      </x:c>
      <x:c r="G153" t="n">
        <x:v>59</x:v>
      </x:c>
      <x:c r="H153" t="inlineStr">
        <x:is>
          <x:t xml:space="preserve">6-1, 6-0, 6-3</x:t>
        </x:is>
      </x:c>
      <x:c r="I153" t="inlineStr">
        <x:is>
          <x:t xml:space="preserve">H.W. Austin</x:t>
        </x:is>
      </x:c>
      <x:c r="J153" t="inlineStr">
        <x:is>
          <x:t xml:space="preserve">GBR</x:t>
        </x:is>
      </x:c>
      <x:c r="K153" t="inlineStr">
        <x:is>
          <x:t xml:space="preserve">United Kingdom</x:t>
        </x:is>
      </x:c>
      <x:c r="L153" t="n">
        <x:v>2</x:v>
      </x:c>
    </x:row>
    <x:row r="154">
      <x:c r="A154" t="n">
        <x:v>1937</x:v>
      </x:c>
      <x:c r="B154" t="inlineStr">
        <x:is>
          <x:t xml:space="preserve">Women's</x:t>
        </x:is>
      </x:c>
      <x:c r="C154" t="inlineStr">
        <x:is>
          <x:t xml:space="preserve">D.E. Round</x:t>
        </x:is>
      </x:c>
      <x:c r="D154" t="inlineStr">
        <x:is>
          <x:t xml:space="preserve">GBR</x:t>
        </x:is>
      </x:c>
      <x:c r="E154" t="inlineStr">
        <x:is>
          <x:t xml:space="preserve">United Kingdom</x:t>
        </x:is>
      </x:c>
      <x:c r="F154" t="n">
        <x:v>7</x:v>
      </x:c>
      <x:c r="G154" t="n">
        <x:v>60</x:v>
      </x:c>
      <x:c r="H154" t="inlineStr">
        <x:is>
          <x:t xml:space="preserve">6-2, 2-6, 7-5</x:t>
        </x:is>
      </x:c>
      <x:c r="I154" t="inlineStr">
        <x:is>
          <x:t xml:space="preserve">J. Jedrzejowska</x:t>
        </x:is>
      </x:c>
      <x:c r="J154" t="inlineStr">
        <x:is>
          <x:t xml:space="preserve">POL</x:t>
        </x:is>
      </x:c>
      <x:c r="K154" t="inlineStr">
        <x:is>
          <x:t xml:space="preserve">Poland</x:t>
        </x:is>
      </x:c>
      <x:c r="L154" t="n">
        <x:v>4</x:v>
      </x:c>
    </x:row>
    <x:row r="155">
      <x:c r="A155" t="n">
        <x:v>1937</x:v>
      </x:c>
      <x:c r="B155" t="inlineStr">
        <x:is>
          <x:t xml:space="preserve">Men's</x:t>
        </x:is>
      </x:c>
      <x:c r="C155" t="inlineStr">
        <x:is>
          <x:t xml:space="preserve">J.D. Budge</x:t>
        </x:is>
      </x:c>
      <x:c r="D155" t="inlineStr">
        <x:is>
          <x:t xml:space="preserve">USA</x:t>
        </x:is>
      </x:c>
      <x:c r="E155" t="inlineStr">
        <x:is>
          <x:t xml:space="preserve">United States</x:t>
        </x:is>
      </x:c>
      <x:c r="F155" t="n">
        <x:v>1</x:v>
      </x:c>
      <x:c r="G155" t="n">
        <x:v>65</x:v>
      </x:c>
      <x:c r="H155" t="inlineStr">
        <x:is>
          <x:t xml:space="preserve">6-3, 6-4, 6-2</x:t>
        </x:is>
      </x:c>
      <x:c r="I155" t="inlineStr">
        <x:is>
          <x:t xml:space="preserve">G. von Cramm</x:t>
        </x:is>
      </x:c>
      <x:c r="J155" t="inlineStr">
        <x:is>
          <x:t xml:space="preserve">GER</x:t>
        </x:is>
      </x:c>
      <x:c r="K155" t="inlineStr">
        <x:is>
          <x:t xml:space="preserve">Germany</x:t>
        </x:is>
      </x:c>
      <x:c r="L155" t="n">
        <x:v>2</x:v>
      </x:c>
    </x:row>
    <x:row r="156">
      <x:c r="A156" t="n">
        <x:v>1936</x:v>
      </x:c>
      <x:c r="B156" t="inlineStr">
        <x:is>
          <x:t xml:space="preserve">Women's</x:t>
        </x:is>
      </x:c>
      <x:c r="C156" t="inlineStr">
        <x:is>
          <x:t xml:space="preserve">H.H. Jacobs</x:t>
        </x:is>
      </x:c>
      <x:c r="D156" t="inlineStr">
        <x:is>
          <x:t xml:space="preserve">USA</x:t>
        </x:is>
      </x:c>
      <x:c r="E156" t="inlineStr">
        <x:is>
          <x:t xml:space="preserve">United States</x:t>
        </x:is>
      </x:c>
      <x:c r="F156" t="n">
        <x:v>2</x:v>
      </x:c>
      <x:c r="G156" t="n">
        <x:v>101</x:v>
      </x:c>
      <x:c r="H156" t="inlineStr">
        <x:is>
          <x:t xml:space="preserve">6-2, 4-6, 7-5</x:t>
        </x:is>
      </x:c>
      <x:c r="I156" t="inlineStr">
        <x:is>
          <x:t xml:space="preserve">S. Sperling</x:t>
        </x:is>
      </x:c>
      <x:c r="J156" t="inlineStr">
        <x:is>
          <x:t xml:space="preserve">GER</x:t>
        </x:is>
      </x:c>
      <x:c r="K156" t="inlineStr">
        <x:is>
          <x:t xml:space="preserve">Germany</x:t>
        </x:is>
      </x:c>
      <x:c r="L156" t="n">
        <x:v>5</x:v>
      </x:c>
    </x:row>
    <x:row r="157">
      <x:c r="A157" t="n">
        <x:v>1936</x:v>
      </x:c>
      <x:c r="B157" t="inlineStr">
        <x:is>
          <x:t xml:space="preserve">Men's</x:t>
        </x:is>
      </x:c>
      <x:c r="C157" t="inlineStr">
        <x:is>
          <x:t xml:space="preserve">F.J. Perry</x:t>
        </x:is>
      </x:c>
      <x:c r="D157" t="inlineStr">
        <x:is>
          <x:t xml:space="preserve">GBR</x:t>
        </x:is>
      </x:c>
      <x:c r="E157" t="inlineStr">
        <x:is>
          <x:t xml:space="preserve">United Kingdom</x:t>
        </x:is>
      </x:c>
      <x:c r="F157" t="n">
        <x:v>1</x:v>
      </x:c>
      <x:c r="G157" t="n">
        <x:v>40</x:v>
      </x:c>
      <x:c r="H157" t="inlineStr">
        <x:is>
          <x:t xml:space="preserve">6-1, 6-1, 6-0</x:t>
        </x:is>
      </x:c>
      <x:c r="I157" t="inlineStr">
        <x:is>
          <x:t xml:space="preserve">G. von Cramm</x:t>
        </x:is>
      </x:c>
      <x:c r="J157" t="inlineStr">
        <x:is>
          <x:t xml:space="preserve">GER</x:t>
        </x:is>
      </x:c>
      <x:c r="K157" t="inlineStr">
        <x:is>
          <x:t xml:space="preserve">Germany</x:t>
        </x:is>
      </x:c>
      <x:c r="L157" t="n">
        <x:v>2</x:v>
      </x:c>
    </x:row>
    <x:row r="158">
      <x:c r="A158" t="n">
        <x:v>1935</x:v>
      </x:c>
      <x:c r="B158" t="inlineStr">
        <x:is>
          <x:t xml:space="preserve">Women's</x:t>
        </x:is>
      </x:c>
      <x:c r="C158" t="inlineStr">
        <x:is>
          <x:t xml:space="preserve">F.S. Moody</x:t>
        </x:is>
      </x:c>
      <x:c r="D158" t="inlineStr">
        <x:is>
          <x:t xml:space="preserve">USA</x:t>
        </x:is>
      </x:c>
      <x:c r="E158" t="inlineStr">
        <x:is>
          <x:t xml:space="preserve">United States</x:t>
        </x:is>
      </x:c>
      <x:c r="F158" t="n">
        <x:v>4</x:v>
      </x:c>
      <x:c r="G158" t="n">
        <x:v>100</x:v>
      </x:c>
      <x:c r="H158" t="inlineStr">
        <x:is>
          <x:t xml:space="preserve">6-3, 3-6, 7-5</x:t>
        </x:is>
      </x:c>
      <x:c r="I158" t="inlineStr">
        <x:is>
          <x:t xml:space="preserve">H.H. Jacobs</x:t>
        </x:is>
      </x:c>
      <x:c r="J158" t="inlineStr">
        <x:is>
          <x:t xml:space="preserve">USA</x:t>
        </x:is>
      </x:c>
      <x:c r="K158" t="inlineStr">
        <x:is>
          <x:t xml:space="preserve">United States</x:t>
        </x:is>
      </x:c>
      <x:c r="L158" t="n">
        <x:v>3</x:v>
      </x:c>
    </x:row>
    <x:row r="159">
      <x:c r="A159" t="n">
        <x:v>1935</x:v>
      </x:c>
      <x:c r="B159" t="inlineStr">
        <x:is>
          <x:t xml:space="preserve">Men's</x:t>
        </x:is>
      </x:c>
      <x:c r="C159" t="inlineStr">
        <x:is>
          <x:t xml:space="preserve">F.J. Perry</x:t>
        </x:is>
      </x:c>
      <x:c r="D159" t="inlineStr">
        <x:is>
          <x:t xml:space="preserve">GBR</x:t>
        </x:is>
      </x:c>
      <x:c r="E159" t="inlineStr">
        <x:is>
          <x:t xml:space="preserve">United Kingdom</x:t>
        </x:is>
      </x:c>
      <x:c r="F159" t="n">
        <x:v>1</x:v>
      </x:c>
      <x:c r="G159" t="n">
        <x:v>80</x:v>
      </x:c>
      <x:c r="H159" t="inlineStr">
        <x:is>
          <x:t xml:space="preserve">6-2, 6-4, 6-4</x:t>
        </x:is>
      </x:c>
      <x:c r="I159" t="inlineStr">
        <x:is>
          <x:t xml:space="preserve">G. von Cramm</x:t>
        </x:is>
      </x:c>
      <x:c r="J159" t="inlineStr">
        <x:is>
          <x:t xml:space="preserve">GER</x:t>
        </x:is>
      </x:c>
      <x:c r="K159" t="inlineStr">
        <x:is>
          <x:t xml:space="preserve">Germany</x:t>
        </x:is>
      </x:c>
      <x:c r="L159" t="n">
        <x:v>2</x:v>
      </x:c>
    </x:row>
    <x:row r="160">
      <x:c r="A160" t="n">
        <x:v>1934</x:v>
      </x:c>
      <x:c r="B160" t="inlineStr">
        <x:is>
          <x:t xml:space="preserve">Women's</x:t>
        </x:is>
      </x:c>
      <x:c r="C160" t="inlineStr">
        <x:is>
          <x:t xml:space="preserve">D.E. Round</x:t>
        </x:is>
      </x:c>
      <x:c r="D160" t="inlineStr">
        <x:is>
          <x:t xml:space="preserve">GBR</x:t>
        </x:is>
      </x:c>
      <x:c r="E160" t="inlineStr">
        <x:is>
          <x:t xml:space="preserve">United Kingdom</x:t>
        </x:is>
      </x:c>
      <x:c r="F160" t="n">
        <x:v>2</x:v>
      </x:c>
      <x:c r="H160" t="inlineStr">
        <x:is>
          <x:t xml:space="preserve">6-2, 5-7, 6-3</x:t>
        </x:is>
      </x:c>
      <x:c r="I160" t="inlineStr">
        <x:is>
          <x:t xml:space="preserve">H.H. Jacobs</x:t>
        </x:is>
      </x:c>
      <x:c r="J160" t="inlineStr">
        <x:is>
          <x:t xml:space="preserve">USA</x:t>
        </x:is>
      </x:c>
      <x:c r="K160" t="inlineStr">
        <x:is>
          <x:t xml:space="preserve">United States</x:t>
        </x:is>
      </x:c>
      <x:c r="L160" t="n">
        <x:v>1</x:v>
      </x:c>
    </x:row>
    <x:row r="161">
      <x:c r="A161" t="n">
        <x:v>1934</x:v>
      </x:c>
      <x:c r="B161" t="inlineStr">
        <x:is>
          <x:t xml:space="preserve">Men's</x:t>
        </x:is>
      </x:c>
      <x:c r="C161" t="inlineStr">
        <x:is>
          <x:t xml:space="preserve">F.J. Perry</x:t>
        </x:is>
      </x:c>
      <x:c r="D161" t="inlineStr">
        <x:is>
          <x:t xml:space="preserve">GBR</x:t>
        </x:is>
      </x:c>
      <x:c r="E161" t="inlineStr">
        <x:is>
          <x:t xml:space="preserve">United Kingdom</x:t>
        </x:is>
      </x:c>
      <x:c r="F161" t="n">
        <x:v>2</x:v>
      </x:c>
      <x:c r="G161" t="n">
        <x:v>72</x:v>
      </x:c>
      <x:c r="H161" t="inlineStr">
        <x:is>
          <x:t xml:space="preserve">6-3, 6-0, 7-5</x:t>
        </x:is>
      </x:c>
      <x:c r="I161" t="inlineStr">
        <x:is>
          <x:t xml:space="preserve">J.H. Crawford</x:t>
        </x:is>
      </x:c>
      <x:c r="J161" t="inlineStr">
        <x:is>
          <x:t xml:space="preserve">AUS</x:t>
        </x:is>
      </x:c>
      <x:c r="K161" t="inlineStr">
        <x:is>
          <x:t xml:space="preserve">Australia</x:t>
        </x:is>
      </x:c>
      <x:c r="L161" t="n">
        <x:v>1</x:v>
      </x:c>
    </x:row>
    <x:row r="162">
      <x:c r="A162" t="n">
        <x:v>1933</x:v>
      </x:c>
      <x:c r="B162" t="inlineStr">
        <x:is>
          <x:t xml:space="preserve">Women's</x:t>
        </x:is>
      </x:c>
      <x:c r="C162" t="inlineStr">
        <x:is>
          <x:t xml:space="preserve">F.S. Moody</x:t>
        </x:is>
      </x:c>
      <x:c r="D162" t="inlineStr">
        <x:is>
          <x:t xml:space="preserve">USA</x:t>
        </x:is>
      </x:c>
      <x:c r="E162" t="inlineStr">
        <x:is>
          <x:t xml:space="preserve">United States</x:t>
        </x:is>
      </x:c>
      <x:c r="F162" t="n">
        <x:v>1</x:v>
      </x:c>
      <x:c r="G162" t="n">
        <x:v>120</x:v>
      </x:c>
      <x:c r="H162" t="inlineStr">
        <x:is>
          <x:t xml:space="preserve">6-4, 6-8, 6-3</x:t>
        </x:is>
      </x:c>
      <x:c r="I162" t="inlineStr">
        <x:is>
          <x:t xml:space="preserve">D.E. Round</x:t>
        </x:is>
      </x:c>
      <x:c r="J162" t="inlineStr">
        <x:is>
          <x:t xml:space="preserve">GBR</x:t>
        </x:is>
      </x:c>
      <x:c r="K162" t="inlineStr">
        <x:is>
          <x:t xml:space="preserve">United Kingdom</x:t>
        </x:is>
      </x:c>
      <x:c r="L162" t="n">
        <x:v>2</x:v>
      </x:c>
    </x:row>
    <x:row r="163">
      <x:c r="A163" t="n">
        <x:v>1933</x:v>
      </x:c>
      <x:c r="B163" t="inlineStr">
        <x:is>
          <x:t xml:space="preserve">Men's</x:t>
        </x:is>
      </x:c>
      <x:c r="C163" t="inlineStr">
        <x:is>
          <x:t xml:space="preserve">J.H. Crawford</x:t>
        </x:is>
      </x:c>
      <x:c r="D163" t="inlineStr">
        <x:is>
          <x:t xml:space="preserve">AUS</x:t>
        </x:is>
      </x:c>
      <x:c r="E163" t="inlineStr">
        <x:is>
          <x:t xml:space="preserve">Australia</x:t>
        </x:is>
      </x:c>
      <x:c r="F163" t="n">
        <x:v>2</x:v>
      </x:c>
      <x:c r="G163" t="n">
        <x:v>120</x:v>
      </x:c>
      <x:c r="H163" t="inlineStr">
        <x:is>
          <x:t xml:space="preserve">4-6, 11-9, 6-2, 2-6, 6-4</x:t>
        </x:is>
      </x:c>
      <x:c r="I163" t="inlineStr">
        <x:is>
          <x:t xml:space="preserve">H.E. Vines</x:t>
        </x:is>
      </x:c>
      <x:c r="J163" t="inlineStr">
        <x:is>
          <x:t xml:space="preserve">USA</x:t>
        </x:is>
      </x:c>
      <x:c r="K163" t="inlineStr">
        <x:is>
          <x:t xml:space="preserve">United States</x:t>
        </x:is>
      </x:c>
      <x:c r="L163" t="n">
        <x:v>1</x:v>
      </x:c>
    </x:row>
    <x:row r="164">
      <x:c r="A164" t="n">
        <x:v>1932</x:v>
      </x:c>
      <x:c r="B164" t="inlineStr">
        <x:is>
          <x:t xml:space="preserve">Women's</x:t>
        </x:is>
      </x:c>
      <x:c r="C164" t="inlineStr">
        <x:is>
          <x:t xml:space="preserve">F.S. Moody</x:t>
        </x:is>
      </x:c>
      <x:c r="D164" t="inlineStr">
        <x:is>
          <x:t xml:space="preserve">USA</x:t>
        </x:is>
      </x:c>
      <x:c r="E164" t="inlineStr">
        <x:is>
          <x:t xml:space="preserve">United States</x:t>
        </x:is>
      </x:c>
      <x:c r="F164" t="n">
        <x:v>1</x:v>
      </x:c>
      <x:c r="G164" t="n">
        <x:v>50</x:v>
      </x:c>
      <x:c r="H164" t="inlineStr">
        <x:is>
          <x:t xml:space="preserve">6-3, 6-1</x:t>
        </x:is>
      </x:c>
      <x:c r="I164" t="inlineStr">
        <x:is>
          <x:t xml:space="preserve">H.H. Jacobs</x:t>
        </x:is>
      </x:c>
      <x:c r="J164" t="inlineStr">
        <x:is>
          <x:t xml:space="preserve">USA</x:t>
        </x:is>
      </x:c>
      <x:c r="K164" t="inlineStr">
        <x:is>
          <x:t xml:space="preserve">United States</x:t>
        </x:is>
      </x:c>
      <x:c r="L164" t="n">
        <x:v>5</x:v>
      </x:c>
    </x:row>
    <x:row r="165">
      <x:c r="A165" t="n">
        <x:v>1932</x:v>
      </x:c>
      <x:c r="B165" t="inlineStr">
        <x:is>
          <x:t xml:space="preserve">Men's</x:t>
        </x:is>
      </x:c>
      <x:c r="C165" t="inlineStr">
        <x:is>
          <x:t xml:space="preserve">H.E.Vines</x:t>
        </x:is>
      </x:c>
      <x:c r="D165" t="inlineStr">
        <x:is>
          <x:t xml:space="preserve">USA</x:t>
        </x:is>
      </x:c>
      <x:c r="E165" t="inlineStr">
        <x:is>
          <x:t xml:space="preserve">United States</x:t>
        </x:is>
      </x:c>
      <x:c r="F165" t="n">
        <x:v>2</x:v>
      </x:c>
      <x:c r="G165" t="n">
        <x:v>50</x:v>
      </x:c>
      <x:c r="H165" t="inlineStr">
        <x:is>
          <x:t xml:space="preserve">6-2, 6-2, 6-0</x:t>
        </x:is>
      </x:c>
      <x:c r="I165" t="inlineStr">
        <x:is>
          <x:t xml:space="preserve">H.W. Austin</x:t>
        </x:is>
      </x:c>
      <x:c r="J165" t="inlineStr">
        <x:is>
          <x:t xml:space="preserve">GBR</x:t>
        </x:is>
      </x:c>
      <x:c r="K165" t="inlineStr">
        <x:is>
          <x:t xml:space="preserve">United Kingdom</x:t>
        </x:is>
      </x:c>
      <x:c r="L165" t="n">
        <x:v>6</x:v>
      </x:c>
    </x:row>
    <x:row r="166">
      <x:c r="A166" t="n">
        <x:v>1931</x:v>
      </x:c>
      <x:c r="B166" t="inlineStr">
        <x:is>
          <x:t xml:space="preserve">Women's</x:t>
        </x:is>
      </x:c>
      <x:c r="C166" t="inlineStr">
        <x:is>
          <x:t xml:space="preserve">C. Aussem</x:t>
        </x:is>
      </x:c>
      <x:c r="D166" t="inlineStr">
        <x:is>
          <x:t xml:space="preserve">GER</x:t>
        </x:is>
      </x:c>
      <x:c r="E166" t="inlineStr">
        <x:is>
          <x:t xml:space="preserve">Germany</x:t>
        </x:is>
      </x:c>
      <x:c r="F166" t="n">
        <x:v>1</x:v>
      </x:c>
      <x:c r="H166" t="inlineStr">
        <x:is>
          <x:t xml:space="preserve">6-2, 7-5</x:t>
        </x:is>
      </x:c>
      <x:c r="I166" t="inlineStr">
        <x:is>
          <x:t xml:space="preserve">H. Krahwinkel</x:t>
        </x:is>
      </x:c>
      <x:c r="J166" t="inlineStr">
        <x:is>
          <x:t xml:space="preserve">GER</x:t>
        </x:is>
      </x:c>
      <x:c r="K166" t="inlineStr">
        <x:is>
          <x:t xml:space="preserve">Germany</x:t>
        </x:is>
      </x:c>
      <x:c r="L166" t="n">
        <x:v>4</x:v>
      </x:c>
    </x:row>
    <x:row r="167">
      <x:c r="A167" t="n">
        <x:v>1931</x:v>
      </x:c>
      <x:c r="B167" t="inlineStr">
        <x:is>
          <x:t xml:space="preserve">Men's</x:t>
        </x:is>
      </x:c>
      <x:c r="C167" t="inlineStr">
        <x:is>
          <x:t xml:space="preserve">S.B.B. Wood</x:t>
        </x:is>
      </x:c>
      <x:c r="D167" t="inlineStr">
        <x:is>
          <x:t xml:space="preserve">USA</x:t>
        </x:is>
      </x:c>
      <x:c r="E167" t="inlineStr">
        <x:is>
          <x:t xml:space="preserve">United States</x:t>
        </x:is>
      </x:c>
      <x:c r="F167" t="n">
        <x:v>7</x:v>
      </x:c>
      <x:c r="H167" t="inlineStr">
        <x:is>
          <x:t xml:space="preserve">walk over</x:t>
        </x:is>
      </x:c>
      <x:c r="I167" t="inlineStr">
        <x:is>
          <x:t xml:space="preserve">F.X. Shields</x:t>
        </x:is>
      </x:c>
      <x:c r="J167" t="inlineStr">
        <x:is>
          <x:t xml:space="preserve">USA</x:t>
        </x:is>
      </x:c>
      <x:c r="K167" t="inlineStr">
        <x:is>
          <x:t xml:space="preserve">United States</x:t>
        </x:is>
      </x:c>
      <x:c r="L167" t="n">
        <x:v>3</x:v>
      </x:c>
    </x:row>
    <x:row r="168">
      <x:c r="A168" t="n">
        <x:v>1930</x:v>
      </x:c>
      <x:c r="B168" t="inlineStr">
        <x:is>
          <x:t xml:space="preserve">Women's</x:t>
        </x:is>
      </x:c>
      <x:c r="C168" t="inlineStr">
        <x:is>
          <x:t xml:space="preserve">F.S. Moody</x:t>
        </x:is>
      </x:c>
      <x:c r="D168" t="inlineStr">
        <x:is>
          <x:t xml:space="preserve">USA</x:t>
        </x:is>
      </x:c>
      <x:c r="E168" t="inlineStr">
        <x:is>
          <x:t xml:space="preserve">United States</x:t>
        </x:is>
      </x:c>
      <x:c r="F168" t="n">
        <x:v>1</x:v>
      </x:c>
      <x:c r="H168" t="inlineStr">
        <x:is>
          <x:t xml:space="preserve">6-2, 6-2</x:t>
        </x:is>
      </x:c>
      <x:c r="I168" t="inlineStr">
        <x:is>
          <x:t xml:space="preserve">E.M. Ryan</x:t>
        </x:is>
      </x:c>
      <x:c r="J168" t="inlineStr">
        <x:is>
          <x:t xml:space="preserve">USA</x:t>
        </x:is>
      </x:c>
      <x:c r="K168" t="inlineStr">
        <x:is>
          <x:t xml:space="preserve">United States</x:t>
        </x:is>
      </x:c>
      <x:c r="L168" t="n">
        <x:v>8</x:v>
      </x:c>
    </x:row>
    <x:row r="169">
      <x:c r="A169" t="n">
        <x:v>1930</x:v>
      </x:c>
      <x:c r="B169" t="inlineStr">
        <x:is>
          <x:t xml:space="preserve">Men's</x:t>
        </x:is>
      </x:c>
      <x:c r="C169" t="inlineStr">
        <x:is>
          <x:t xml:space="preserve">W.T. Tilden</x:t>
        </x:is>
      </x:c>
      <x:c r="D169" t="inlineStr">
        <x:is>
          <x:t xml:space="preserve">USA</x:t>
        </x:is>
      </x:c>
      <x:c r="E169" t="inlineStr">
        <x:is>
          <x:t xml:space="preserve">United States</x:t>
        </x:is>
      </x:c>
      <x:c r="F169" t="n">
        <x:v>2</x:v>
      </x:c>
      <x:c r="G169" t="n">
        <x:v>70</x:v>
      </x:c>
      <x:c r="H169" t="inlineStr">
        <x:is>
          <x:t xml:space="preserve">6-3, 9-7, 6-4</x:t>
        </x:is>
      </x:c>
      <x:c r="I169" t="inlineStr">
        <x:is>
          <x:t xml:space="preserve">W.L. Allison</x:t>
        </x:is>
      </x:c>
      <x:c r="J169" t="inlineStr">
        <x:is>
          <x:t xml:space="preserve">USA</x:t>
        </x:is>
      </x:c>
      <x:c r="K169" t="inlineStr">
        <x:is>
          <x:t xml:space="preserve">United States</x:t>
        </x:is>
      </x:c>
      <x:c r="L169" t="inlineStr">
        <x:is>
          <x:t xml:space="preserve">U</x:t>
        </x:is>
      </x:c>
    </x:row>
    <x:row r="170">
      <x:c r="A170" t="n">
        <x:v>1929</x:v>
      </x:c>
      <x:c r="B170" t="inlineStr">
        <x:is>
          <x:t xml:space="preserve">Women's</x:t>
        </x:is>
      </x:c>
      <x:c r="C170" t="inlineStr">
        <x:is>
          <x:t xml:space="preserve">H.N. Wills</x:t>
        </x:is>
      </x:c>
      <x:c r="D170" t="inlineStr">
        <x:is>
          <x:t xml:space="preserve">USA</x:t>
        </x:is>
      </x:c>
      <x:c r="E170" t="inlineStr">
        <x:is>
          <x:t xml:space="preserve">United States</x:t>
        </x:is>
      </x:c>
      <x:c r="F170" t="n">
        <x:v>1</x:v>
      </x:c>
      <x:c r="H170" t="inlineStr">
        <x:is>
          <x:t xml:space="preserve">6-1, 6-2</x:t>
        </x:is>
      </x:c>
      <x:c r="I170" t="inlineStr">
        <x:is>
          <x:t xml:space="preserve">H.H. Jacobs</x:t>
        </x:is>
      </x:c>
      <x:c r="J170" t="inlineStr">
        <x:is>
          <x:t xml:space="preserve">USA</x:t>
        </x:is>
      </x:c>
      <x:c r="K170" t="inlineStr">
        <x:is>
          <x:t xml:space="preserve">United States</x:t>
        </x:is>
      </x:c>
      <x:c r="L170" t="n">
        <x:v>5</x:v>
      </x:c>
    </x:row>
    <x:row r="171">
      <x:c r="A171" t="n">
        <x:v>1929</x:v>
      </x:c>
      <x:c r="B171" t="inlineStr">
        <x:is>
          <x:t xml:space="preserve">Men's</x:t>
        </x:is>
      </x:c>
      <x:c r="C171" t="inlineStr">
        <x:is>
          <x:t xml:space="preserve">H.J. Cochet</x:t>
        </x:is>
      </x:c>
      <x:c r="D171" t="inlineStr">
        <x:is>
          <x:t xml:space="preserve">FRA</x:t>
        </x:is>
      </x:c>
      <x:c r="E171" t="inlineStr">
        <x:is>
          <x:t xml:space="preserve">France</x:t>
        </x:is>
      </x:c>
      <x:c r="F171" t="n">
        <x:v>1</x:v>
      </x:c>
      <x:c r="G171" t="n">
        <x:v>60</x:v>
      </x:c>
      <x:c r="H171" t="inlineStr">
        <x:is>
          <x:t xml:space="preserve">6-4, 6-3, 6-4</x:t>
        </x:is>
      </x:c>
      <x:c r="I171" t="inlineStr">
        <x:is>
          <x:t xml:space="preserve">J.R. Borotra</x:t>
        </x:is>
      </x:c>
      <x:c r="J171" t="inlineStr">
        <x:is>
          <x:t xml:space="preserve">FRA</x:t>
        </x:is>
      </x:c>
      <x:c r="K171" t="inlineStr">
        <x:is>
          <x:t xml:space="preserve">France</x:t>
        </x:is>
      </x:c>
      <x:c r="L171" t="n">
        <x:v>2</x:v>
      </x:c>
    </x:row>
    <x:row r="172">
      <x:c r="A172" t="n">
        <x:v>1928</x:v>
      </x:c>
      <x:c r="B172" t="inlineStr">
        <x:is>
          <x:t xml:space="preserve">Women's</x:t>
        </x:is>
      </x:c>
      <x:c r="C172" t="inlineStr">
        <x:is>
          <x:t xml:space="preserve">H.N. Wills</x:t>
        </x:is>
      </x:c>
      <x:c r="D172" t="inlineStr">
        <x:is>
          <x:t xml:space="preserve">USA</x:t>
        </x:is>
      </x:c>
      <x:c r="E172" t="inlineStr">
        <x:is>
          <x:t xml:space="preserve">United States</x:t>
        </x:is>
      </x:c>
      <x:c r="F172" t="n">
        <x:v>1</x:v>
      </x:c>
      <x:c r="H172" t="inlineStr">
        <x:is>
          <x:t xml:space="preserve">6-2, 6-3</x:t>
        </x:is>
      </x:c>
      <x:c r="I172" t="inlineStr">
        <x:is>
          <x:t xml:space="preserve">E.M. de Alvarez</x:t>
        </x:is>
      </x:c>
      <x:c r="J172" t="inlineStr">
        <x:is>
          <x:t xml:space="preserve">ESP</x:t>
        </x:is>
      </x:c>
      <x:c r="K172" t="inlineStr">
        <x:is>
          <x:t xml:space="preserve">Spain</x:t>
        </x:is>
      </x:c>
      <x:c r="L172" t="n">
        <x:v>2</x:v>
      </x:c>
    </x:row>
    <x:row r="173">
      <x:c r="A173" t="n">
        <x:v>1928</x:v>
      </x:c>
      <x:c r="B173" t="inlineStr">
        <x:is>
          <x:t xml:space="preserve">Men's</x:t>
        </x:is>
      </x:c>
      <x:c r="C173" t="inlineStr">
        <x:is>
          <x:t xml:space="preserve">J.R. Lacoste</x:t>
        </x:is>
      </x:c>
      <x:c r="D173" t="inlineStr">
        <x:is>
          <x:t xml:space="preserve">FRA</x:t>
        </x:is>
      </x:c>
      <x:c r="E173" t="inlineStr">
        <x:is>
          <x:t xml:space="preserve">France</x:t>
        </x:is>
      </x:c>
      <x:c r="F173" t="n">
        <x:v>2</x:v>
      </x:c>
      <x:c r="H173" t="inlineStr">
        <x:is>
          <x:t xml:space="preserve">6-1, 4-6, 6-4, 6-2</x:t>
        </x:is>
      </x:c>
      <x:c r="I173" t="inlineStr">
        <x:is>
          <x:t xml:space="preserve">H.J. Cochet</x:t>
        </x:is>
      </x:c>
      <x:c r="J173" t="inlineStr">
        <x:is>
          <x:t xml:space="preserve">FRA</x:t>
        </x:is>
      </x:c>
      <x:c r="K173" t="inlineStr">
        <x:is>
          <x:t xml:space="preserve">France</x:t>
        </x:is>
      </x:c>
      <x:c r="L173" t="n">
        <x:v>1</x:v>
      </x:c>
    </x:row>
    <x:row r="174">
      <x:c r="A174" t="n">
        <x:v>1927</x:v>
      </x:c>
      <x:c r="B174" t="inlineStr">
        <x:is>
          <x:t xml:space="preserve">Women's</x:t>
        </x:is>
      </x:c>
      <x:c r="C174" t="inlineStr">
        <x:is>
          <x:t xml:space="preserve">H.N. Wills</x:t>
        </x:is>
      </x:c>
      <x:c r="D174" t="inlineStr">
        <x:is>
          <x:t xml:space="preserve">USA</x:t>
        </x:is>
      </x:c>
      <x:c r="E174" t="inlineStr">
        <x:is>
          <x:t xml:space="preserve">United States</x:t>
        </x:is>
      </x:c>
      <x:c r="F174" t="n">
        <x:v>1</x:v>
      </x:c>
      <x:c r="H174" t="inlineStr">
        <x:is>
          <x:t xml:space="preserve">6-2, 6-4</x:t>
        </x:is>
      </x:c>
      <x:c r="I174" t="inlineStr">
        <x:is>
          <x:t xml:space="preserve">E.M. de Alvarez</x:t>
        </x:is>
      </x:c>
      <x:c r="J174" t="inlineStr">
        <x:is>
          <x:t xml:space="preserve">ESP</x:t>
        </x:is>
      </x:c>
      <x:c r="K174" t="inlineStr">
        <x:is>
          <x:t xml:space="preserve">Spain</x:t>
        </x:is>
      </x:c>
      <x:c r="L174" t="n">
        <x:v>4</x:v>
      </x:c>
    </x:row>
    <x:row r="175">
      <x:c r="A175" t="n">
        <x:v>1927</x:v>
      </x:c>
      <x:c r="B175" t="inlineStr">
        <x:is>
          <x:t xml:space="preserve">Men's</x:t>
        </x:is>
      </x:c>
      <x:c r="C175" t="inlineStr">
        <x:is>
          <x:t xml:space="preserve">H.J. Cochet</x:t>
        </x:is>
      </x:c>
      <x:c r="D175" t="inlineStr">
        <x:is>
          <x:t xml:space="preserve">FRA</x:t>
        </x:is>
      </x:c>
      <x:c r="E175" t="inlineStr">
        <x:is>
          <x:t xml:space="preserve">France</x:t>
        </x:is>
      </x:c>
      <x:c r="F175" t="n">
        <x:v>4</x:v>
      </x:c>
      <x:c r="H175" t="inlineStr">
        <x:is>
          <x:t xml:space="preserve">4-6, 4-6, 6-3, 6-4, 7-5</x:t>
        </x:is>
      </x:c>
      <x:c r="I175" t="inlineStr">
        <x:is>
          <x:t xml:space="preserve">J.R. Borotra</x:t>
        </x:is>
      </x:c>
      <x:c r="J175" t="inlineStr">
        <x:is>
          <x:t xml:space="preserve">FRA</x:t>
        </x:is>
      </x:c>
      <x:c r="K175" t="inlineStr">
        <x:is>
          <x:t xml:space="preserve">France</x:t>
        </x:is>
      </x:c>
      <x:c r="L175" t="n">
        <x:v>3</x:v>
      </x:c>
    </x:row>
    <x:row r="176">
      <x:c r="A176" t="n">
        <x:v>1926</x:v>
      </x:c>
      <x:c r="B176" t="inlineStr">
        <x:is>
          <x:t xml:space="preserve">Women's</x:t>
        </x:is>
      </x:c>
      <x:c r="C176" t="inlineStr">
        <x:is>
          <x:t xml:space="preserve">L.A. Godfree</x:t>
        </x:is>
      </x:c>
      <x:c r="D176" t="inlineStr">
        <x:is>
          <x:t xml:space="preserve">GBR</x:t>
        </x:is>
      </x:c>
      <x:c r="E176" t="inlineStr">
        <x:is>
          <x:t xml:space="preserve">United Kingdom</x:t>
        </x:is>
      </x:c>
      <x:c r="G176" t="n">
        <x:v>60</x:v>
      </x:c>
      <x:c r="H176" t="inlineStr">
        <x:is>
          <x:t xml:space="preserve">6-2, 4-6, 6-3</x:t>
        </x:is>
      </x:c>
      <x:c r="I176" t="inlineStr">
        <x:is>
          <x:t xml:space="preserve">E.M. de Alvarez</x:t>
        </x:is>
      </x:c>
      <x:c r="J176" t="inlineStr">
        <x:is>
          <x:t xml:space="preserve">ESP</x:t>
        </x:is>
      </x:c>
      <x:c r="K176" t="inlineStr">
        <x:is>
          <x:t xml:space="preserve">Spain</x:t>
        </x:is>
      </x:c>
    </x:row>
    <x:row r="177">
      <x:c r="A177" t="n">
        <x:v>1926</x:v>
      </x:c>
      <x:c r="B177" t="inlineStr">
        <x:is>
          <x:t xml:space="preserve">Men's</x:t>
        </x:is>
      </x:c>
      <x:c r="C177" t="inlineStr">
        <x:is>
          <x:t xml:space="preserve">J.R. Borotra</x:t>
        </x:is>
      </x:c>
      <x:c r="D177" t="inlineStr">
        <x:is>
          <x:t xml:space="preserve">FRA</x:t>
        </x:is>
      </x:c>
      <x:c r="E177" t="inlineStr">
        <x:is>
          <x:t xml:space="preserve">France</x:t>
        </x:is>
      </x:c>
      <x:c r="G177" t="n">
        <x:v>65</x:v>
      </x:c>
      <x:c r="H177" t="inlineStr">
        <x:is>
          <x:t xml:space="preserve">8-6, 6-1, 6-3</x:t>
        </x:is>
      </x:c>
      <x:c r="I177" t="inlineStr">
        <x:is>
          <x:t xml:space="preserve">H.O. Kinsey</x:t>
        </x:is>
      </x:c>
      <x:c r="J177" t="inlineStr">
        <x:is>
          <x:t xml:space="preserve">USA</x:t>
        </x:is>
      </x:c>
      <x:c r="K177" t="inlineStr">
        <x:is>
          <x:t xml:space="preserve">United States</x:t>
        </x:is>
      </x:c>
    </x:row>
    <x:row r="178">
      <x:c r="A178" t="n">
        <x:v>1925</x:v>
      </x:c>
      <x:c r="B178" t="inlineStr">
        <x:is>
          <x:t xml:space="preserve">Women's</x:t>
        </x:is>
      </x:c>
      <x:c r="C178" t="inlineStr">
        <x:is>
          <x:t xml:space="preserve">S.R.F. Lenglen</x:t>
        </x:is>
      </x:c>
      <x:c r="D178" t="inlineStr">
        <x:is>
          <x:t xml:space="preserve">FRA</x:t>
        </x:is>
      </x:c>
      <x:c r="E178" t="inlineStr">
        <x:is>
          <x:t xml:space="preserve">France</x:t>
        </x:is>
      </x:c>
      <x:c r="G178" t="n">
        <x:v>25</x:v>
      </x:c>
      <x:c r="H178" t="inlineStr">
        <x:is>
          <x:t xml:space="preserve">6-2, 6-0</x:t>
        </x:is>
      </x:c>
      <x:c r="I178" t="inlineStr">
        <x:is>
          <x:t xml:space="preserve">J.C. Fry</x:t>
        </x:is>
      </x:c>
      <x:c r="J178" t="inlineStr">
        <x:is>
          <x:t xml:space="preserve">GBR</x:t>
        </x:is>
      </x:c>
      <x:c r="K178" t="inlineStr">
        <x:is>
          <x:t xml:space="preserve">United Kingdom</x:t>
        </x:is>
      </x:c>
    </x:row>
    <x:row r="179">
      <x:c r="A179" t="n">
        <x:v>1925</x:v>
      </x:c>
      <x:c r="B179" t="inlineStr">
        <x:is>
          <x:t xml:space="preserve">Men's</x:t>
        </x:is>
      </x:c>
      <x:c r="C179" t="inlineStr">
        <x:is>
          <x:t xml:space="preserve">J.R. Lacoste</x:t>
        </x:is>
      </x:c>
      <x:c r="D179" t="inlineStr">
        <x:is>
          <x:t xml:space="preserve">FRA</x:t>
        </x:is>
      </x:c>
      <x:c r="E179" t="inlineStr">
        <x:is>
          <x:t xml:space="preserve">France</x:t>
        </x:is>
      </x:c>
      <x:c r="H179" t="inlineStr">
        <x:is>
          <x:t xml:space="preserve">6-3, 6-3, 4-6, 8-6</x:t>
        </x:is>
      </x:c>
      <x:c r="I179" t="inlineStr">
        <x:is>
          <x:t xml:space="preserve">J.R. Borotra</x:t>
        </x:is>
      </x:c>
      <x:c r="J179" t="inlineStr">
        <x:is>
          <x:t xml:space="preserve">FRA</x:t>
        </x:is>
      </x:c>
      <x:c r="K179" t="inlineStr">
        <x:is>
          <x:t xml:space="preserve">France</x:t>
        </x:is>
      </x:c>
    </x:row>
    <x:row r="180">
      <x:c r="A180" t="n">
        <x:v>1924</x:v>
      </x:c>
      <x:c r="B180" t="inlineStr">
        <x:is>
          <x:t xml:space="preserve">Women's</x:t>
        </x:is>
      </x:c>
      <x:c r="C180" t="inlineStr">
        <x:is>
          <x:t xml:space="preserve">K. McKane</x:t>
        </x:is>
      </x:c>
      <x:c r="D180" t="inlineStr">
        <x:is>
          <x:t xml:space="preserve">GBR</x:t>
        </x:is>
      </x:c>
      <x:c r="E180" t="inlineStr">
        <x:is>
          <x:t xml:space="preserve">United Kingdom</x:t>
        </x:is>
      </x:c>
      <x:c r="G180" t="n">
        <x:v>75</x:v>
      </x:c>
      <x:c r="H180" t="inlineStr">
        <x:is>
          <x:t xml:space="preserve">4-6, 6-4, 6-4</x:t>
        </x:is>
      </x:c>
      <x:c r="I180" t="inlineStr">
        <x:is>
          <x:t xml:space="preserve">H.N. Wills</x:t>
        </x:is>
      </x:c>
      <x:c r="J180" t="inlineStr">
        <x:is>
          <x:t xml:space="preserve">USA</x:t>
        </x:is>
      </x:c>
      <x:c r="K180" t="inlineStr">
        <x:is>
          <x:t xml:space="preserve">United States</x:t>
        </x:is>
      </x:c>
    </x:row>
    <x:row r="181">
      <x:c r="A181" t="n">
        <x:v>1924</x:v>
      </x:c>
      <x:c r="B181" t="inlineStr">
        <x:is>
          <x:t xml:space="preserve">Men's</x:t>
        </x:is>
      </x:c>
      <x:c r="C181" t="inlineStr">
        <x:is>
          <x:t xml:space="preserve">J.R. Borotra</x:t>
        </x:is>
      </x:c>
      <x:c r="D181" t="inlineStr">
        <x:is>
          <x:t xml:space="preserve">FRA</x:t>
        </x:is>
      </x:c>
      <x:c r="E181" t="inlineStr">
        <x:is>
          <x:t xml:space="preserve">France</x:t>
        </x:is>
      </x:c>
      <x:c r="G181" t="n">
        <x:v>80</x:v>
      </x:c>
      <x:c r="H181" t="inlineStr">
        <x:is>
          <x:t xml:space="preserve">6-1, 3-6, 6-1, 3-6, 6-4</x:t>
        </x:is>
      </x:c>
      <x:c r="I181" t="inlineStr">
        <x:is>
          <x:t xml:space="preserve">J.R. Lacoste</x:t>
        </x:is>
      </x:c>
      <x:c r="J181" t="inlineStr">
        <x:is>
          <x:t xml:space="preserve">FRA</x:t>
        </x:is>
      </x:c>
      <x:c r="K181" t="inlineStr">
        <x:is>
          <x:t xml:space="preserve">France</x:t>
        </x:is>
      </x:c>
    </x:row>
    <x:row r="182">
      <x:c r="A182" t="n">
        <x:v>1923</x:v>
      </x:c>
      <x:c r="B182" t="inlineStr">
        <x:is>
          <x:t xml:space="preserve">Women's</x:t>
        </x:is>
      </x:c>
      <x:c r="C182" t="inlineStr">
        <x:is>
          <x:t xml:space="preserve">S.R.F. Lenglen</x:t>
        </x:is>
      </x:c>
      <x:c r="D182" t="inlineStr">
        <x:is>
          <x:t xml:space="preserve">FRA</x:t>
        </x:is>
      </x:c>
      <x:c r="E182" t="inlineStr">
        <x:is>
          <x:t xml:space="preserve">France</x:t>
        </x:is>
      </x:c>
      <x:c r="H182" t="inlineStr">
        <x:is>
          <x:t xml:space="preserve">6-2, 6-2</x:t>
        </x:is>
      </x:c>
      <x:c r="I182" t="inlineStr">
        <x:is>
          <x:t xml:space="preserve">K. McKane</x:t>
        </x:is>
      </x:c>
      <x:c r="J182" t="inlineStr">
        <x:is>
          <x:t xml:space="preserve">GBR</x:t>
        </x:is>
      </x:c>
      <x:c r="K182" t="inlineStr">
        <x:is>
          <x:t xml:space="preserve">United Kingdom</x:t>
        </x:is>
      </x:c>
    </x:row>
    <x:row r="183">
      <x:c r="A183" t="n">
        <x:v>1923</x:v>
      </x:c>
      <x:c r="B183" t="inlineStr">
        <x:is>
          <x:t xml:space="preserve">Men's</x:t>
        </x:is>
      </x:c>
      <x:c r="C183" t="inlineStr">
        <x:is>
          <x:t xml:space="preserve">W. M. Johnston</x:t>
        </x:is>
      </x:c>
      <x:c r="D183" t="inlineStr">
        <x:is>
          <x:t xml:space="preserve">USA</x:t>
        </x:is>
      </x:c>
      <x:c r="E183" t="inlineStr">
        <x:is>
          <x:t xml:space="preserve">United States</x:t>
        </x:is>
      </x:c>
      <x:c r="G183" t="n">
        <x:v>46</x:v>
      </x:c>
      <x:c r="H183" t="inlineStr">
        <x:is>
          <x:t xml:space="preserve">6-0, 6-3, 6-1</x:t>
        </x:is>
      </x:c>
      <x:c r="I183" t="inlineStr">
        <x:is>
          <x:t xml:space="preserve">F.T. Hunter</x:t>
        </x:is>
      </x:c>
      <x:c r="J183" t="inlineStr">
        <x:is>
          <x:t xml:space="preserve">USA</x:t>
        </x:is>
      </x:c>
      <x:c r="K183" t="inlineStr">
        <x:is>
          <x:t xml:space="preserve">United States</x:t>
        </x:is>
      </x:c>
    </x:row>
    <x:row r="184">
      <x:c r="A184" t="n">
        <x:v>1922</x:v>
      </x:c>
      <x:c r="B184" t="inlineStr">
        <x:is>
          <x:t xml:space="preserve">Women's</x:t>
        </x:is>
      </x:c>
      <x:c r="C184" t="inlineStr">
        <x:is>
          <x:t xml:space="preserve">S.R.F. Lenglen</x:t>
        </x:is>
      </x:c>
      <x:c r="D184" t="inlineStr">
        <x:is>
          <x:t xml:space="preserve">FRA</x:t>
        </x:is>
      </x:c>
      <x:c r="E184" t="inlineStr">
        <x:is>
          <x:t xml:space="preserve">France</x:t>
        </x:is>
      </x:c>
      <x:c r="G184" t="n">
        <x:v>23</x:v>
      </x:c>
      <x:c r="H184" t="inlineStr">
        <x:is>
          <x:t xml:space="preserve">6-2, 6-0</x:t>
        </x:is>
      </x:c>
      <x:c r="I184" t="inlineStr">
        <x:is>
          <x:t xml:space="preserve">F.I. Mallory</x:t>
        </x:is>
      </x:c>
      <x:c r="J184" t="inlineStr">
        <x:is>
          <x:t xml:space="preserve">USA</x:t>
        </x:is>
      </x:c>
      <x:c r="K184" t="inlineStr">
        <x:is>
          <x:t xml:space="preserve">United States</x:t>
        </x:is>
      </x:c>
    </x:row>
    <x:row r="185">
      <x:c r="A185" t="n">
        <x:v>1922</x:v>
      </x:c>
      <x:c r="B185" t="inlineStr">
        <x:is>
          <x:t xml:space="preserve">Men's</x:t>
        </x:is>
      </x:c>
      <x:c r="C185" t="inlineStr">
        <x:is>
          <x:t xml:space="preserve">G.L. Patterson</x:t>
        </x:is>
      </x:c>
      <x:c r="D185" t="inlineStr">
        <x:is>
          <x:t xml:space="preserve">AUS</x:t>
        </x:is>
      </x:c>
      <x:c r="E185" t="inlineStr">
        <x:is>
          <x:t xml:space="preserve">Australia</x:t>
        </x:is>
      </x:c>
      <x:c r="H185" t="inlineStr">
        <x:is>
          <x:t xml:space="preserve">6-3, 6-4, 6-2</x:t>
        </x:is>
      </x:c>
      <x:c r="I185" t="inlineStr">
        <x:is>
          <x:t xml:space="preserve">R. Lycett</x:t>
        </x:is>
      </x:c>
      <x:c r="J185" t="inlineStr">
        <x:is>
          <x:t xml:space="preserve">GBR</x:t>
        </x:is>
      </x:c>
      <x:c r="K185" t="inlineStr">
        <x:is>
          <x:t xml:space="preserve">United Kingdom</x:t>
        </x:is>
      </x:c>
    </x:row>
    <x:row r="186">
      <x:c r="A186" t="n">
        <x:v>1921</x:v>
      </x:c>
      <x:c r="B186" t="inlineStr">
        <x:is>
          <x:t xml:space="preserve">Women's</x:t>
        </x:is>
      </x:c>
      <x:c r="C186" t="inlineStr">
        <x:is>
          <x:t xml:space="preserve">S.R.F. Lenglen</x:t>
        </x:is>
      </x:c>
      <x:c r="D186" t="inlineStr">
        <x:is>
          <x:t xml:space="preserve">FRA</x:t>
        </x:is>
      </x:c>
      <x:c r="E186" t="inlineStr">
        <x:is>
          <x:t xml:space="preserve">France</x:t>
        </x:is>
      </x:c>
      <x:c r="H186" t="inlineStr">
        <x:is>
          <x:t xml:space="preserve">6-2, 6-0</x:t>
        </x:is>
      </x:c>
      <x:c r="I186" t="inlineStr">
        <x:is>
          <x:t xml:space="preserve">E.M. Ryan</x:t>
        </x:is>
      </x:c>
      <x:c r="J186" t="inlineStr">
        <x:is>
          <x:t xml:space="preserve">USA</x:t>
        </x:is>
      </x:c>
      <x:c r="K186" t="inlineStr">
        <x:is>
          <x:t xml:space="preserve">United States</x:t>
        </x:is>
      </x:c>
    </x:row>
    <x:row r="187">
      <x:c r="A187" t="n">
        <x:v>1921</x:v>
      </x:c>
      <x:c r="B187" t="inlineStr">
        <x:is>
          <x:t xml:space="preserve">Men's</x:t>
        </x:is>
      </x:c>
      <x:c r="C187" t="inlineStr">
        <x:is>
          <x:t xml:space="preserve">W.T. Tilden</x:t>
        </x:is>
      </x:c>
      <x:c r="D187" t="inlineStr">
        <x:is>
          <x:t xml:space="preserve">USA</x:t>
        </x:is>
      </x:c>
      <x:c r="E187" t="inlineStr">
        <x:is>
          <x:t xml:space="preserve">United States</x:t>
        </x:is>
      </x:c>
      <x:c r="H187" t="inlineStr">
        <x:is>
          <x:t xml:space="preserve">4-6, 2-6, 6-1, 6-0, 7-5</x:t>
        </x:is>
      </x:c>
      <x:c r="I187" t="inlineStr">
        <x:is>
          <x:t xml:space="preserve">B.I.C. Norton</x:t>
        </x:is>
      </x:c>
      <x:c r="J187" t="inlineStr">
        <x:is>
          <x:t xml:space="preserve">RSA</x:t>
        </x:is>
      </x:c>
      <x:c r="K187" t="inlineStr">
        <x:is>
          <x:t xml:space="preserve">South Africa</x:t>
        </x:is>
      </x:c>
    </x:row>
    <x:row r="188">
      <x:c r="A188" t="n">
        <x:v>1920</x:v>
      </x:c>
      <x:c r="B188" t="inlineStr">
        <x:is>
          <x:t xml:space="preserve">Women's</x:t>
        </x:is>
      </x:c>
      <x:c r="C188" t="inlineStr">
        <x:is>
          <x:t xml:space="preserve">S.R.F. Lenglen</x:t>
        </x:is>
      </x:c>
      <x:c r="D188" t="inlineStr">
        <x:is>
          <x:t xml:space="preserve">FRA</x:t>
        </x:is>
      </x:c>
      <x:c r="E188" t="inlineStr">
        <x:is>
          <x:t xml:space="preserve">France</x:t>
        </x:is>
      </x:c>
      <x:c r="H188" t="inlineStr">
        <x:is>
          <x:t xml:space="preserve">6-3, 6-0</x:t>
        </x:is>
      </x:c>
      <x:c r="I188" t="inlineStr">
        <x:is>
          <x:t xml:space="preserve">R.L. Chambers</x:t>
        </x:is>
      </x:c>
      <x:c r="J188" t="inlineStr">
        <x:is>
          <x:t xml:space="preserve">GBR</x:t>
        </x:is>
      </x:c>
      <x:c r="K188" t="inlineStr">
        <x:is>
          <x:t xml:space="preserve">United Kingdom</x:t>
        </x:is>
      </x:c>
    </x:row>
    <x:row r="189">
      <x:c r="A189" t="n">
        <x:v>1920</x:v>
      </x:c>
      <x:c r="B189" t="inlineStr">
        <x:is>
          <x:t xml:space="preserve">Men's</x:t>
        </x:is>
      </x:c>
      <x:c r="C189" t="inlineStr">
        <x:is>
          <x:t xml:space="preserve">W.T. Tilden</x:t>
        </x:is>
      </x:c>
      <x:c r="D189" t="inlineStr">
        <x:is>
          <x:t xml:space="preserve">USA</x:t>
        </x:is>
      </x:c>
      <x:c r="E189" t="inlineStr">
        <x:is>
          <x:t xml:space="preserve">United States</x:t>
        </x:is>
      </x:c>
      <x:c r="H189" t="inlineStr">
        <x:is>
          <x:t xml:space="preserve">2-6, 6-3, 6-2, 6-4</x:t>
        </x:is>
      </x:c>
      <x:c r="I189" t="inlineStr">
        <x:is>
          <x:t xml:space="preserve">G.L. Patterson</x:t>
        </x:is>
      </x:c>
      <x:c r="J189" t="inlineStr">
        <x:is>
          <x:t xml:space="preserve">AUS</x:t>
        </x:is>
      </x:c>
      <x:c r="K189" t="inlineStr">
        <x:is>
          <x:t xml:space="preserve">Australia</x:t>
        </x:is>
      </x:c>
    </x:row>
    <x:row r="190">
      <x:c r="A190" t="n">
        <x:v>1919</x:v>
      </x:c>
      <x:c r="B190" t="inlineStr">
        <x:is>
          <x:t xml:space="preserve">Women's</x:t>
        </x:is>
      </x:c>
      <x:c r="C190" t="inlineStr">
        <x:is>
          <x:t xml:space="preserve">S.R.F. Lenglen</x:t>
        </x:is>
      </x:c>
      <x:c r="D190" t="inlineStr">
        <x:is>
          <x:t xml:space="preserve">FRA</x:t>
        </x:is>
      </x:c>
      <x:c r="E190" t="inlineStr">
        <x:is>
          <x:t xml:space="preserve">France</x:t>
        </x:is>
      </x:c>
      <x:c r="G190" t="n">
        <x:v>125</x:v>
      </x:c>
      <x:c r="H190" t="inlineStr">
        <x:is>
          <x:t xml:space="preserve">10-8, 4-6, 9-7</x:t>
        </x:is>
      </x:c>
      <x:c r="I190" t="inlineStr">
        <x:is>
          <x:t xml:space="preserve">R.L. Chambers</x:t>
        </x:is>
      </x:c>
      <x:c r="J190" t="inlineStr">
        <x:is>
          <x:t xml:space="preserve">GBR</x:t>
        </x:is>
      </x:c>
      <x:c r="K190" t="inlineStr">
        <x:is>
          <x:t xml:space="preserve">United Kingdom</x:t>
        </x:is>
      </x:c>
    </x:row>
    <x:row r="191">
      <x:c r="A191" t="n">
        <x:v>1919</x:v>
      </x:c>
      <x:c r="B191" t="inlineStr">
        <x:is>
          <x:t xml:space="preserve">Men's</x:t>
        </x:is>
      </x:c>
      <x:c r="C191" t="inlineStr">
        <x:is>
          <x:t xml:space="preserve">G.L. Patterson</x:t>
        </x:is>
      </x:c>
      <x:c r="D191" t="inlineStr">
        <x:is>
          <x:t xml:space="preserve">AUS</x:t>
        </x:is>
      </x:c>
      <x:c r="E191" t="inlineStr">
        <x:is>
          <x:t xml:space="preserve">Australia</x:t>
        </x:is>
      </x:c>
      <x:c r="H191" t="inlineStr">
        <x:is>
          <x:t xml:space="preserve">6-3, 7-5, 6-2</x:t>
        </x:is>
      </x:c>
      <x:c r="I191" t="inlineStr">
        <x:is>
          <x:t xml:space="preserve">N.E. Brookes</x:t>
        </x:is>
      </x:c>
      <x:c r="J191" t="inlineStr">
        <x:is>
          <x:t xml:space="preserve">AUS</x:t>
        </x:is>
      </x:c>
      <x:c r="K191" t="inlineStr">
        <x:is>
          <x:t xml:space="preserve">Australia</x:t>
        </x:is>
      </x:c>
    </x:row>
    <x:row r="192">
      <x:c r="A192" t="n">
        <x:v>1914</x:v>
      </x:c>
      <x:c r="B192" t="inlineStr">
        <x:is>
          <x:t xml:space="preserve">Women's</x:t>
        </x:is>
      </x:c>
      <x:c r="C192" t="inlineStr">
        <x:is>
          <x:t xml:space="preserve">R.L. Chambers</x:t>
        </x:is>
      </x:c>
      <x:c r="D192" t="inlineStr">
        <x:is>
          <x:t xml:space="preserve">GBR</x:t>
        </x:is>
      </x:c>
      <x:c r="E192" t="inlineStr">
        <x:is>
          <x:t xml:space="preserve">United Kingdom</x:t>
        </x:is>
      </x:c>
      <x:c r="H192" t="inlineStr">
        <x:is>
          <x:t xml:space="preserve">7-5, 6-4</x:t>
        </x:is>
      </x:c>
      <x:c r="I192" t="inlineStr">
        <x:is>
          <x:t xml:space="preserve">D.T.R. Larcombe</x:t>
        </x:is>
      </x:c>
      <x:c r="J192" t="inlineStr">
        <x:is>
          <x:t xml:space="preserve">GBR</x:t>
        </x:is>
      </x:c>
      <x:c r="K192" t="inlineStr">
        <x:is>
          <x:t xml:space="preserve">United Kingdom</x:t>
        </x:is>
      </x:c>
    </x:row>
    <x:row r="193">
      <x:c r="A193" t="n">
        <x:v>1914</x:v>
      </x:c>
      <x:c r="B193" t="inlineStr">
        <x:is>
          <x:t xml:space="preserve">Men's</x:t>
        </x:is>
      </x:c>
      <x:c r="C193" t="inlineStr">
        <x:is>
          <x:t xml:space="preserve">N.E. Brookes</x:t>
        </x:is>
      </x:c>
      <x:c r="D193" t="inlineStr">
        <x:is>
          <x:t xml:space="preserve">AUS</x:t>
        </x:is>
      </x:c>
      <x:c r="E193" t="inlineStr">
        <x:is>
          <x:t xml:space="preserve">Australia</x:t>
        </x:is>
      </x:c>
      <x:c r="H193" t="inlineStr">
        <x:is>
          <x:t xml:space="preserve">6-4, 6-4, 7-5</x:t>
        </x:is>
      </x:c>
      <x:c r="I193" t="inlineStr">
        <x:is>
          <x:t xml:space="preserve">A.F. Wilding</x:t>
        </x:is>
      </x:c>
      <x:c r="J193" t="inlineStr">
        <x:is>
          <x:t xml:space="preserve">NZL</x:t>
        </x:is>
      </x:c>
      <x:c r="K193" t="inlineStr">
        <x:is>
          <x:t xml:space="preserve">New Zealand</x:t>
        </x:is>
      </x:c>
    </x:row>
    <x:row r="194">
      <x:c r="A194" t="n">
        <x:v>1913</x:v>
      </x:c>
      <x:c r="B194" t="inlineStr">
        <x:is>
          <x:t xml:space="preserve">Women's</x:t>
        </x:is>
      </x:c>
      <x:c r="C194" t="inlineStr">
        <x:is>
          <x:t xml:space="preserve">R.L. Chambers</x:t>
        </x:is>
      </x:c>
      <x:c r="D194" t="inlineStr">
        <x:is>
          <x:t xml:space="preserve">GBR</x:t>
        </x:is>
      </x:c>
      <x:c r="E194" t="inlineStr">
        <x:is>
          <x:t xml:space="preserve">United Kingdom</x:t>
        </x:is>
      </x:c>
      <x:c r="H194" t="inlineStr">
        <x:is>
          <x:t xml:space="preserve">6-0, 6-4</x:t>
        </x:is>
      </x:c>
      <x:c r="I194" t="inlineStr">
        <x:is>
          <x:t xml:space="preserve">R.J. McNair</x:t>
        </x:is>
      </x:c>
      <x:c r="J194" t="inlineStr">
        <x:is>
          <x:t xml:space="preserve">GBR</x:t>
        </x:is>
      </x:c>
      <x:c r="K194" t="inlineStr">
        <x:is>
          <x:t xml:space="preserve">United Kingdom</x:t>
        </x:is>
      </x:c>
    </x:row>
    <x:row r="195">
      <x:c r="A195" t="n">
        <x:v>1913</x:v>
      </x:c>
      <x:c r="B195" t="inlineStr">
        <x:is>
          <x:t xml:space="preserve">Men's</x:t>
        </x:is>
      </x:c>
      <x:c r="C195" t="inlineStr">
        <x:is>
          <x:t xml:space="preserve">A.F. Wilding</x:t>
        </x:is>
      </x:c>
      <x:c r="D195" t="inlineStr">
        <x:is>
          <x:t xml:space="preserve">NZL</x:t>
        </x:is>
      </x:c>
      <x:c r="E195" t="inlineStr">
        <x:is>
          <x:t xml:space="preserve">New Zealand</x:t>
        </x:is>
      </x:c>
      <x:c r="H195" t="inlineStr">
        <x:is>
          <x:t xml:space="preserve">8-6, 6-3, 10-8</x:t>
        </x:is>
      </x:c>
      <x:c r="I195" t="inlineStr">
        <x:is>
          <x:t xml:space="preserve">M.E. McLoughlin</x:t>
        </x:is>
      </x:c>
      <x:c r="J195" t="inlineStr">
        <x:is>
          <x:t xml:space="preserve">USA</x:t>
        </x:is>
      </x:c>
      <x:c r="K195" t="inlineStr">
        <x:is>
          <x:t xml:space="preserve">United States</x:t>
        </x:is>
      </x:c>
    </x:row>
    <x:row r="196">
      <x:c r="A196" t="n">
        <x:v>1912</x:v>
      </x:c>
      <x:c r="B196" t="inlineStr">
        <x:is>
          <x:t xml:space="preserve">Women's</x:t>
        </x:is>
      </x:c>
      <x:c r="C196" t="inlineStr">
        <x:is>
          <x:t xml:space="preserve">D.T.R. Larcombe</x:t>
        </x:is>
      </x:c>
      <x:c r="D196" t="inlineStr">
        <x:is>
          <x:t xml:space="preserve">GBR</x:t>
        </x:is>
      </x:c>
      <x:c r="E196" t="inlineStr">
        <x:is>
          <x:t xml:space="preserve">United Kingdom</x:t>
        </x:is>
      </x:c>
      <x:c r="H196" t="inlineStr">
        <x:is>
          <x:t xml:space="preserve">6-3, 6-1</x:t>
        </x:is>
      </x:c>
      <x:c r="I196" t="inlineStr">
        <x:is>
          <x:t xml:space="preserve">A. Sterry</x:t>
        </x:is>
      </x:c>
      <x:c r="J196" t="inlineStr">
        <x:is>
          <x:t xml:space="preserve">GBR</x:t>
        </x:is>
      </x:c>
      <x:c r="K196" t="inlineStr">
        <x:is>
          <x:t xml:space="preserve">United Kingdom</x:t>
        </x:is>
      </x:c>
    </x:row>
    <x:row r="197">
      <x:c r="A197" t="n">
        <x:v>1912</x:v>
      </x:c>
      <x:c r="B197" t="inlineStr">
        <x:is>
          <x:t xml:space="preserve">Men's</x:t>
        </x:is>
      </x:c>
      <x:c r="C197" t="inlineStr">
        <x:is>
          <x:t xml:space="preserve">A.F. Wilding</x:t>
        </x:is>
      </x:c>
      <x:c r="D197" t="inlineStr">
        <x:is>
          <x:t xml:space="preserve">NZL</x:t>
        </x:is>
      </x:c>
      <x:c r="E197" t="inlineStr">
        <x:is>
          <x:t xml:space="preserve">New Zealand</x:t>
        </x:is>
      </x:c>
      <x:c r="H197" t="inlineStr">
        <x:is>
          <x:t xml:space="preserve">6-4, 6-4, 4-6, 6-4</x:t>
        </x:is>
      </x:c>
      <x:c r="I197" t="inlineStr">
        <x:is>
          <x:t xml:space="preserve">A.W. Gore</x:t>
        </x:is>
      </x:c>
      <x:c r="J197" t="inlineStr">
        <x:is>
          <x:t xml:space="preserve">GBR</x:t>
        </x:is>
      </x:c>
      <x:c r="K197" t="inlineStr">
        <x:is>
          <x:t xml:space="preserve">United Kingdom</x:t>
        </x:is>
      </x:c>
    </x:row>
    <x:row r="198">
      <x:c r="A198" t="n">
        <x:v>1911</x:v>
      </x:c>
      <x:c r="B198" t="inlineStr">
        <x:is>
          <x:t xml:space="preserve">Women's</x:t>
        </x:is>
      </x:c>
      <x:c r="C198" t="inlineStr">
        <x:is>
          <x:t xml:space="preserve">R.L. Chambers</x:t>
        </x:is>
      </x:c>
      <x:c r="D198" t="inlineStr">
        <x:is>
          <x:t xml:space="preserve">GBR</x:t>
        </x:is>
      </x:c>
      <x:c r="E198" t="inlineStr">
        <x:is>
          <x:t xml:space="preserve">United Kingdom</x:t>
        </x:is>
      </x:c>
      <x:c r="G198" t="n">
        <x:v>25</x:v>
      </x:c>
      <x:c r="H198" t="inlineStr">
        <x:is>
          <x:t xml:space="preserve">6-0, 6-0</x:t>
        </x:is>
      </x:c>
      <x:c r="I198" t="inlineStr">
        <x:is>
          <x:t xml:space="preserve">P.D.H. Boothby</x:t>
        </x:is>
      </x:c>
      <x:c r="J198" t="inlineStr">
        <x:is>
          <x:t xml:space="preserve">GBR</x:t>
        </x:is>
      </x:c>
      <x:c r="K198" t="inlineStr">
        <x:is>
          <x:t xml:space="preserve">United Kingdom</x:t>
        </x:is>
      </x:c>
    </x:row>
    <x:row r="199">
      <x:c r="A199" t="n">
        <x:v>1911</x:v>
      </x:c>
      <x:c r="B199" t="inlineStr">
        <x:is>
          <x:t xml:space="preserve">Men's</x:t>
        </x:is>
      </x:c>
      <x:c r="C199" t="inlineStr">
        <x:is>
          <x:t xml:space="preserve">A.F. Wilding</x:t>
        </x:is>
      </x:c>
      <x:c r="D199" t="inlineStr">
        <x:is>
          <x:t xml:space="preserve">NZL</x:t>
        </x:is>
      </x:c>
      <x:c r="E199" t="inlineStr">
        <x:is>
          <x:t xml:space="preserve">New Zealand</x:t>
        </x:is>
      </x:c>
      <x:c r="H199" t="inlineStr">
        <x:is>
          <x:t xml:space="preserve">6-4, 4-6, 2-6, 6-2, retd</x:t>
        </x:is>
      </x:c>
      <x:c r="I199" t="inlineStr">
        <x:is>
          <x:t xml:space="preserve">H.R. Barrett</x:t>
        </x:is>
      </x:c>
      <x:c r="J199" t="inlineStr">
        <x:is>
          <x:t xml:space="preserve">GBR</x:t>
        </x:is>
      </x:c>
      <x:c r="K199" t="inlineStr">
        <x:is>
          <x:t xml:space="preserve">United Kingdom</x:t>
        </x:is>
      </x:c>
    </x:row>
    <x:row r="200">
      <x:c r="A200" t="n">
        <x:v>1910</x:v>
      </x:c>
      <x:c r="B200" t="inlineStr">
        <x:is>
          <x:t xml:space="preserve">Women's</x:t>
        </x:is>
      </x:c>
      <x:c r="C200" t="inlineStr">
        <x:is>
          <x:t xml:space="preserve">R.L. Chambers</x:t>
        </x:is>
      </x:c>
      <x:c r="D200" t="inlineStr">
        <x:is>
          <x:t xml:space="preserve">GBR</x:t>
        </x:is>
      </x:c>
      <x:c r="E200" t="inlineStr">
        <x:is>
          <x:t xml:space="preserve">United Kingdom</x:t>
        </x:is>
      </x:c>
      <x:c r="H200" t="inlineStr">
        <x:is>
          <x:t xml:space="preserve">6-2, 6-2</x:t>
        </x:is>
      </x:c>
      <x:c r="I200" t="inlineStr">
        <x:is>
          <x:t xml:space="preserve">P.D.H. Boothby</x:t>
        </x:is>
      </x:c>
      <x:c r="J200" t="inlineStr">
        <x:is>
          <x:t xml:space="preserve">GBR</x:t>
        </x:is>
      </x:c>
      <x:c r="K200" t="inlineStr">
        <x:is>
          <x:t xml:space="preserve">United Kingdom</x:t>
        </x:is>
      </x:c>
    </x:row>
    <x:row r="201">
      <x:c r="A201" t="n">
        <x:v>1910</x:v>
      </x:c>
      <x:c r="B201" t="inlineStr">
        <x:is>
          <x:t xml:space="preserve">Men's</x:t>
        </x:is>
      </x:c>
      <x:c r="C201" t="inlineStr">
        <x:is>
          <x:t xml:space="preserve">A.F. Wilding</x:t>
        </x:is>
      </x:c>
      <x:c r="D201" t="inlineStr">
        <x:is>
          <x:t xml:space="preserve">NZL</x:t>
        </x:is>
      </x:c>
      <x:c r="E201" t="inlineStr">
        <x:is>
          <x:t xml:space="preserve">New Zealand</x:t>
        </x:is>
      </x:c>
      <x:c r="H201" t="inlineStr">
        <x:is>
          <x:t xml:space="preserve">6-4, 7-5, 4-6, 6-2</x:t>
        </x:is>
      </x:c>
      <x:c r="I201" t="inlineStr">
        <x:is>
          <x:t xml:space="preserve">A.W. Gore</x:t>
        </x:is>
      </x:c>
      <x:c r="J201" t="inlineStr">
        <x:is>
          <x:t xml:space="preserve">GBR</x:t>
        </x:is>
      </x:c>
      <x:c r="K201" t="inlineStr">
        <x:is>
          <x:t xml:space="preserve">United Kingdom</x:t>
        </x:is>
      </x:c>
    </x:row>
    <x:row r="202">
      <x:c r="A202" t="n">
        <x:v>1909</x:v>
      </x:c>
      <x:c r="B202" t="inlineStr">
        <x:is>
          <x:t xml:space="preserve">Women's</x:t>
        </x:is>
      </x:c>
      <x:c r="C202" t="inlineStr">
        <x:is>
          <x:t xml:space="preserve">P.D.H. Boothby</x:t>
        </x:is>
      </x:c>
      <x:c r="D202" t="inlineStr">
        <x:is>
          <x:t xml:space="preserve">GBR</x:t>
        </x:is>
      </x:c>
      <x:c r="E202" t="inlineStr">
        <x:is>
          <x:t xml:space="preserve">United Kingdom</x:t>
        </x:is>
      </x:c>
      <x:c r="H202" t="inlineStr">
        <x:is>
          <x:t xml:space="preserve">6-4, 4-6, 8-6</x:t>
        </x:is>
      </x:c>
      <x:c r="I202" t="inlineStr">
        <x:is>
          <x:t xml:space="preserve">A.M. Morton</x:t>
        </x:is>
      </x:c>
      <x:c r="J202" t="inlineStr">
        <x:is>
          <x:t xml:space="preserve">GBR</x:t>
        </x:is>
      </x:c>
      <x:c r="K202" t="inlineStr">
        <x:is>
          <x:t xml:space="preserve">United Kingdom</x:t>
        </x:is>
      </x:c>
    </x:row>
    <x:row r="203">
      <x:c r="A203" t="n">
        <x:v>1909</x:v>
      </x:c>
      <x:c r="B203" t="inlineStr">
        <x:is>
          <x:t xml:space="preserve">Men's</x:t>
        </x:is>
      </x:c>
      <x:c r="C203" t="inlineStr">
        <x:is>
          <x:t xml:space="preserve">A.W. Gore</x:t>
        </x:is>
      </x:c>
      <x:c r="D203" t="inlineStr">
        <x:is>
          <x:t xml:space="preserve">GBR</x:t>
        </x:is>
      </x:c>
      <x:c r="E203" t="inlineStr">
        <x:is>
          <x:t xml:space="preserve">United Kingdom</x:t>
        </x:is>
      </x:c>
      <x:c r="G203" t="n">
        <x:v>95</x:v>
      </x:c>
      <x:c r="H203" t="inlineStr">
        <x:is>
          <x:t xml:space="preserve">6-8, 1-6, 6-2, 6-2, 6-2</x:t>
        </x:is>
      </x:c>
      <x:c r="I203" t="inlineStr">
        <x:is>
          <x:t xml:space="preserve">M.J.G. Ritchie</x:t>
        </x:is>
      </x:c>
      <x:c r="J203" t="inlineStr">
        <x:is>
          <x:t xml:space="preserve">GBR</x:t>
        </x:is>
      </x:c>
      <x:c r="K203" t="inlineStr">
        <x:is>
          <x:t xml:space="preserve">United Kingdom</x:t>
        </x:is>
      </x:c>
    </x:row>
    <x:row r="204">
      <x:c r="A204" t="n">
        <x:v>1908</x:v>
      </x:c>
      <x:c r="B204" t="inlineStr">
        <x:is>
          <x:t xml:space="preserve">Women's</x:t>
        </x:is>
      </x:c>
      <x:c r="C204" t="inlineStr">
        <x:is>
          <x:t xml:space="preserve">A. Sterry</x:t>
        </x:is>
      </x:c>
      <x:c r="D204" t="inlineStr">
        <x:is>
          <x:t xml:space="preserve">GBR</x:t>
        </x:is>
      </x:c>
      <x:c r="E204" t="inlineStr">
        <x:is>
          <x:t xml:space="preserve">United Kingdom</x:t>
        </x:is>
      </x:c>
      <x:c r="H204" t="inlineStr">
        <x:is>
          <x:t xml:space="preserve">6-4, 6-4</x:t>
        </x:is>
      </x:c>
      <x:c r="I204" t="inlineStr">
        <x:is>
          <x:t xml:space="preserve">A.M. Morton</x:t>
        </x:is>
      </x:c>
      <x:c r="J204" t="inlineStr">
        <x:is>
          <x:t xml:space="preserve">GBR</x:t>
        </x:is>
      </x:c>
      <x:c r="K204" t="inlineStr">
        <x:is>
          <x:t xml:space="preserve">United Kingdom</x:t>
        </x:is>
      </x:c>
    </x:row>
    <x:row r="205">
      <x:c r="A205" t="n">
        <x:v>1908</x:v>
      </x:c>
      <x:c r="B205" t="inlineStr">
        <x:is>
          <x:t xml:space="preserve">Men's</x:t>
        </x:is>
      </x:c>
      <x:c r="C205" t="inlineStr">
        <x:is>
          <x:t xml:space="preserve">A.W. Gore</x:t>
        </x:is>
      </x:c>
      <x:c r="D205" t="inlineStr">
        <x:is>
          <x:t xml:space="preserve">GBR</x:t>
        </x:is>
      </x:c>
      <x:c r="E205" t="inlineStr">
        <x:is>
          <x:t xml:space="preserve">United Kingdom</x:t>
        </x:is>
      </x:c>
      <x:c r="H205" t="inlineStr">
        <x:is>
          <x:t xml:space="preserve">6-3, 6-2, 4-6, 3-6, 6-4</x:t>
        </x:is>
      </x:c>
      <x:c r="I205" t="inlineStr">
        <x:is>
          <x:t xml:space="preserve">H.R. Barrett</x:t>
        </x:is>
      </x:c>
      <x:c r="J205" t="inlineStr">
        <x:is>
          <x:t xml:space="preserve">GBR</x:t>
        </x:is>
      </x:c>
      <x:c r="K205" t="inlineStr">
        <x:is>
          <x:t xml:space="preserve">United Kingdom</x:t>
        </x:is>
      </x:c>
    </x:row>
    <x:row r="206">
      <x:c r="A206" t="n">
        <x:v>1907</x:v>
      </x:c>
      <x:c r="B206" t="inlineStr">
        <x:is>
          <x:t xml:space="preserve">Women's</x:t>
        </x:is>
      </x:c>
      <x:c r="C206" t="inlineStr">
        <x:is>
          <x:t xml:space="preserve">M.G. Sutton</x:t>
        </x:is>
      </x:c>
      <x:c r="D206" t="inlineStr">
        <x:is>
          <x:t xml:space="preserve">USA</x:t>
        </x:is>
      </x:c>
      <x:c r="E206" t="inlineStr">
        <x:is>
          <x:t xml:space="preserve">United States</x:t>
        </x:is>
      </x:c>
      <x:c r="H206" t="inlineStr">
        <x:is>
          <x:t xml:space="preserve">6-1, 6-4</x:t>
        </x:is>
      </x:c>
      <x:c r="I206" t="inlineStr">
        <x:is>
          <x:t xml:space="preserve">R.L. Chambers</x:t>
        </x:is>
      </x:c>
      <x:c r="J206" t="inlineStr">
        <x:is>
          <x:t xml:space="preserve">GBR</x:t>
        </x:is>
      </x:c>
      <x:c r="K206" t="inlineStr">
        <x:is>
          <x:t xml:space="preserve">United Kingdom</x:t>
        </x:is>
      </x:c>
    </x:row>
    <x:row r="207">
      <x:c r="A207" t="n">
        <x:v>1907</x:v>
      </x:c>
      <x:c r="B207" t="inlineStr">
        <x:is>
          <x:t xml:space="preserve">Men's</x:t>
        </x:is>
      </x:c>
      <x:c r="C207" t="inlineStr">
        <x:is>
          <x:t xml:space="preserve">N.E. Brookes</x:t>
        </x:is>
      </x:c>
      <x:c r="D207" t="inlineStr">
        <x:is>
          <x:t xml:space="preserve">AUS</x:t>
        </x:is>
      </x:c>
      <x:c r="E207" t="inlineStr">
        <x:is>
          <x:t xml:space="preserve">Australia</x:t>
        </x:is>
      </x:c>
      <x:c r="H207" t="inlineStr">
        <x:is>
          <x:t xml:space="preserve">6-4, 6-2, 6-2</x:t>
        </x:is>
      </x:c>
      <x:c r="I207" t="inlineStr">
        <x:is>
          <x:t xml:space="preserve">A.W. Gore</x:t>
        </x:is>
      </x:c>
      <x:c r="J207" t="inlineStr">
        <x:is>
          <x:t xml:space="preserve">GBR</x:t>
        </x:is>
      </x:c>
      <x:c r="K207" t="inlineStr">
        <x:is>
          <x:t xml:space="preserve">United Kingdom</x:t>
        </x:is>
      </x:c>
    </x:row>
    <x:row r="208">
      <x:c r="A208" t="n">
        <x:v>1906</x:v>
      </x:c>
      <x:c r="B208" t="inlineStr">
        <x:is>
          <x:t xml:space="preserve">Women's</x:t>
        </x:is>
      </x:c>
      <x:c r="C208" t="inlineStr">
        <x:is>
          <x:t xml:space="preserve">D.K. Douglass</x:t>
        </x:is>
      </x:c>
      <x:c r="D208" t="inlineStr">
        <x:is>
          <x:t xml:space="preserve">GBR</x:t>
        </x:is>
      </x:c>
      <x:c r="E208" t="inlineStr">
        <x:is>
          <x:t xml:space="preserve">United Kingdom</x:t>
        </x:is>
      </x:c>
      <x:c r="G208" t="n">
        <x:v>57</x:v>
      </x:c>
      <x:c r="H208" t="inlineStr">
        <x:is>
          <x:t xml:space="preserve">6-3, 9-7</x:t>
        </x:is>
      </x:c>
      <x:c r="I208" t="inlineStr">
        <x:is>
          <x:t xml:space="preserve">M.G. Sutton</x:t>
        </x:is>
      </x:c>
      <x:c r="J208" t="inlineStr">
        <x:is>
          <x:t xml:space="preserve">USA</x:t>
        </x:is>
      </x:c>
      <x:c r="K208" t="inlineStr">
        <x:is>
          <x:t xml:space="preserve">United States</x:t>
        </x:is>
      </x:c>
    </x:row>
    <x:row r="209">
      <x:c r="A209" t="n">
        <x:v>1906</x:v>
      </x:c>
      <x:c r="B209" t="inlineStr">
        <x:is>
          <x:t xml:space="preserve">Men's</x:t>
        </x:is>
      </x:c>
      <x:c r="C209" t="inlineStr">
        <x:is>
          <x:t xml:space="preserve">H.L. Doherty</x:t>
        </x:is>
      </x:c>
      <x:c r="D209" t="inlineStr">
        <x:is>
          <x:t xml:space="preserve">GBR</x:t>
        </x:is>
      </x:c>
      <x:c r="E209" t="inlineStr">
        <x:is>
          <x:t xml:space="preserve">United Kingdom</x:t>
        </x:is>
      </x:c>
      <x:c r="G209" t="n">
        <x:v>74</x:v>
      </x:c>
      <x:c r="H209" t="inlineStr">
        <x:is>
          <x:t xml:space="preserve">6-4, 4-6, 6-2, 6-3</x:t>
        </x:is>
      </x:c>
      <x:c r="I209" t="inlineStr">
        <x:is>
          <x:t xml:space="preserve">F.L. Riseley</x:t>
        </x:is>
      </x:c>
      <x:c r="J209" t="inlineStr">
        <x:is>
          <x:t xml:space="preserve">GBR</x:t>
        </x:is>
      </x:c>
      <x:c r="K209" t="inlineStr">
        <x:is>
          <x:t xml:space="preserve">United Kingdom</x:t>
        </x:is>
      </x:c>
    </x:row>
    <x:row r="210">
      <x:c r="A210" t="n">
        <x:v>1905</x:v>
      </x:c>
      <x:c r="B210" t="inlineStr">
        <x:is>
          <x:t xml:space="preserve">Women's</x:t>
        </x:is>
      </x:c>
      <x:c r="C210" t="inlineStr">
        <x:is>
          <x:t xml:space="preserve">M.G. Sutton</x:t>
        </x:is>
      </x:c>
      <x:c r="D210" t="inlineStr">
        <x:is>
          <x:t xml:space="preserve">USA</x:t>
        </x:is>
      </x:c>
      <x:c r="E210" t="inlineStr">
        <x:is>
          <x:t xml:space="preserve">United States</x:t>
        </x:is>
      </x:c>
      <x:c r="H210" t="inlineStr">
        <x:is>
          <x:t xml:space="preserve">6-3, 6-4</x:t>
        </x:is>
      </x:c>
      <x:c r="I210" t="inlineStr">
        <x:is>
          <x:t xml:space="preserve">D.K. Douglass</x:t>
        </x:is>
      </x:c>
      <x:c r="J210" t="inlineStr">
        <x:is>
          <x:t xml:space="preserve">GBR</x:t>
        </x:is>
      </x:c>
      <x:c r="K210" t="inlineStr">
        <x:is>
          <x:t xml:space="preserve">United Kingdom</x:t>
        </x:is>
      </x:c>
    </x:row>
    <x:row r="211">
      <x:c r="A211" t="n">
        <x:v>1905</x:v>
      </x:c>
      <x:c r="B211" t="inlineStr">
        <x:is>
          <x:t xml:space="preserve">Men's</x:t>
        </x:is>
      </x:c>
      <x:c r="C211" t="inlineStr">
        <x:is>
          <x:t xml:space="preserve">H.L. Doherty</x:t>
        </x:is>
      </x:c>
      <x:c r="D211" t="inlineStr">
        <x:is>
          <x:t xml:space="preserve">GBR</x:t>
        </x:is>
      </x:c>
      <x:c r="E211" t="inlineStr">
        <x:is>
          <x:t xml:space="preserve">United Kingdom</x:t>
        </x:is>
      </x:c>
      <x:c r="G211" t="n">
        <x:v>65</x:v>
      </x:c>
      <x:c r="H211" t="inlineStr">
        <x:is>
          <x:t xml:space="preserve">8-6, 6-2, 6-4</x:t>
        </x:is>
      </x:c>
      <x:c r="I211" t="inlineStr">
        <x:is>
          <x:t xml:space="preserve">N.E. Brookes</x:t>
        </x:is>
      </x:c>
      <x:c r="J211" t="inlineStr">
        <x:is>
          <x:t xml:space="preserve">AUS</x:t>
        </x:is>
      </x:c>
      <x:c r="K211" t="inlineStr">
        <x:is>
          <x:t xml:space="preserve">Australia</x:t>
        </x:is>
      </x:c>
    </x:row>
    <x:row r="212">
      <x:c r="A212" t="n">
        <x:v>1904</x:v>
      </x:c>
      <x:c r="B212" t="inlineStr">
        <x:is>
          <x:t xml:space="preserve">Women's</x:t>
        </x:is>
      </x:c>
      <x:c r="C212" t="inlineStr">
        <x:is>
          <x:t xml:space="preserve">D.K. Douglass</x:t>
        </x:is>
      </x:c>
      <x:c r="D212" t="inlineStr">
        <x:is>
          <x:t xml:space="preserve">GBR</x:t>
        </x:is>
      </x:c>
      <x:c r="E212" t="inlineStr">
        <x:is>
          <x:t xml:space="preserve">United Kingdom</x:t>
        </x:is>
      </x:c>
      <x:c r="H212" t="inlineStr">
        <x:is>
          <x:t xml:space="preserve">6-0, 6-3</x:t>
        </x:is>
      </x:c>
      <x:c r="I212" t="inlineStr">
        <x:is>
          <x:t xml:space="preserve">A. Sterry</x:t>
        </x:is>
      </x:c>
      <x:c r="J212" t="inlineStr">
        <x:is>
          <x:t xml:space="preserve">GBR</x:t>
        </x:is>
      </x:c>
      <x:c r="K212" t="inlineStr">
        <x:is>
          <x:t xml:space="preserve">United Kingdom</x:t>
        </x:is>
      </x:c>
    </x:row>
    <x:row r="213">
      <x:c r="A213" t="n">
        <x:v>1904</x:v>
      </x:c>
      <x:c r="B213" t="inlineStr">
        <x:is>
          <x:t xml:space="preserve">Men's</x:t>
        </x:is>
      </x:c>
      <x:c r="C213" t="inlineStr">
        <x:is>
          <x:t xml:space="preserve">H.L. Doherty</x:t>
        </x:is>
      </x:c>
      <x:c r="D213" t="inlineStr">
        <x:is>
          <x:t xml:space="preserve">GBR</x:t>
        </x:is>
      </x:c>
      <x:c r="E213" t="inlineStr">
        <x:is>
          <x:t xml:space="preserve">United Kingdom</x:t>
        </x:is>
      </x:c>
      <x:c r="H213" t="inlineStr">
        <x:is>
          <x:t xml:space="preserve">6-1, 7-5, 8-6</x:t>
        </x:is>
      </x:c>
      <x:c r="I213" t="inlineStr">
        <x:is>
          <x:t xml:space="preserve">F.L. Riseley</x:t>
        </x:is>
      </x:c>
      <x:c r="J213" t="inlineStr">
        <x:is>
          <x:t xml:space="preserve">GBR</x:t>
        </x:is>
      </x:c>
      <x:c r="K213" t="inlineStr">
        <x:is>
          <x:t xml:space="preserve">United Kingdom</x:t>
        </x:is>
      </x:c>
    </x:row>
    <x:row r="214">
      <x:c r="A214" t="n">
        <x:v>1903</x:v>
      </x:c>
      <x:c r="B214" t="inlineStr">
        <x:is>
          <x:t xml:space="preserve">Women's</x:t>
        </x:is>
      </x:c>
      <x:c r="C214" t="inlineStr">
        <x:is>
          <x:t xml:space="preserve">D.K. Douglass</x:t>
        </x:is>
      </x:c>
      <x:c r="D214" t="inlineStr">
        <x:is>
          <x:t xml:space="preserve">GBR</x:t>
        </x:is>
      </x:c>
      <x:c r="E214" t="inlineStr">
        <x:is>
          <x:t xml:space="preserve">United Kingdom</x:t>
        </x:is>
      </x:c>
      <x:c r="H214" t="inlineStr">
        <x:is>
          <x:t xml:space="preserve">4-6, 6-4, 6-2</x:t>
        </x:is>
      </x:c>
      <x:c r="I214" t="inlineStr">
        <x:is>
          <x:t xml:space="preserve">E.W. Thomson</x:t>
        </x:is>
      </x:c>
      <x:c r="J214" t="inlineStr">
        <x:is>
          <x:t xml:space="preserve">GBR</x:t>
        </x:is>
      </x:c>
      <x:c r="K214" t="inlineStr">
        <x:is>
          <x:t xml:space="preserve">United Kingdom</x:t>
        </x:is>
      </x:c>
    </x:row>
    <x:row r="215">
      <x:c r="A215" t="n">
        <x:v>1903</x:v>
      </x:c>
      <x:c r="B215" t="inlineStr">
        <x:is>
          <x:t xml:space="preserve">Men's</x:t>
        </x:is>
      </x:c>
      <x:c r="C215" t="inlineStr">
        <x:is>
          <x:t xml:space="preserve">H.L. Doherty</x:t>
        </x:is>
      </x:c>
      <x:c r="D215" t="inlineStr">
        <x:is>
          <x:t xml:space="preserve">GBR</x:t>
        </x:is>
      </x:c>
      <x:c r="E215" t="inlineStr">
        <x:is>
          <x:t xml:space="preserve">United Kingdom</x:t>
        </x:is>
      </x:c>
      <x:c r="H215" t="inlineStr">
        <x:is>
          <x:t xml:space="preserve">7-5, 6-3, 6-0</x:t>
        </x:is>
      </x:c>
      <x:c r="I215" t="inlineStr">
        <x:is>
          <x:t xml:space="preserve">F.L. Riseley</x:t>
        </x:is>
      </x:c>
      <x:c r="J215" t="inlineStr">
        <x:is>
          <x:t xml:space="preserve">GBR</x:t>
        </x:is>
      </x:c>
      <x:c r="K215" t="inlineStr">
        <x:is>
          <x:t xml:space="preserve">United Kingdom</x:t>
        </x:is>
      </x:c>
    </x:row>
    <x:row r="216">
      <x:c r="A216" t="n">
        <x:v>1902</x:v>
      </x:c>
      <x:c r="B216" t="inlineStr">
        <x:is>
          <x:t xml:space="preserve">Women's</x:t>
        </x:is>
      </x:c>
      <x:c r="C216" t="inlineStr">
        <x:is>
          <x:t xml:space="preserve">M.E. Robb</x:t>
        </x:is>
      </x:c>
      <x:c r="D216" t="inlineStr">
        <x:is>
          <x:t xml:space="preserve">GBR</x:t>
        </x:is>
      </x:c>
      <x:c r="E216" t="inlineStr">
        <x:is>
          <x:t xml:space="preserve">United Kingdom</x:t>
        </x:is>
      </x:c>
      <x:c r="H216" t="inlineStr">
        <x:is>
          <x:t xml:space="preserve">7-5, 6-1</x:t>
        </x:is>
      </x:c>
      <x:c r="I216" t="inlineStr">
        <x:is>
          <x:t xml:space="preserve">A. Sterry</x:t>
        </x:is>
      </x:c>
      <x:c r="J216" t="inlineStr">
        <x:is>
          <x:t xml:space="preserve">GBR</x:t>
        </x:is>
      </x:c>
      <x:c r="K216" t="inlineStr">
        <x:is>
          <x:t xml:space="preserve">United Kingdom</x:t>
        </x:is>
      </x:c>
    </x:row>
    <x:row r="217">
      <x:c r="A217" t="n">
        <x:v>1902</x:v>
      </x:c>
      <x:c r="B217" t="inlineStr">
        <x:is>
          <x:t xml:space="preserve">Men's</x:t>
        </x:is>
      </x:c>
      <x:c r="C217" t="inlineStr">
        <x:is>
          <x:t xml:space="preserve">H.L. Doherty</x:t>
        </x:is>
      </x:c>
      <x:c r="D217" t="inlineStr">
        <x:is>
          <x:t xml:space="preserve">GBR</x:t>
        </x:is>
      </x:c>
      <x:c r="E217" t="inlineStr">
        <x:is>
          <x:t xml:space="preserve">United Kingdom</x:t>
        </x:is>
      </x:c>
      <x:c r="G217" t="n">
        <x:v>84</x:v>
      </x:c>
      <x:c r="H217" t="inlineStr">
        <x:is>
          <x:t xml:space="preserve">6-4, 6-3, 3-6, 6-0</x:t>
        </x:is>
      </x:c>
      <x:c r="I217" t="inlineStr">
        <x:is>
          <x:t xml:space="preserve">A.W. Gore</x:t>
        </x:is>
      </x:c>
      <x:c r="J217" t="inlineStr">
        <x:is>
          <x:t xml:space="preserve">GBR</x:t>
        </x:is>
      </x:c>
      <x:c r="K217" t="inlineStr">
        <x:is>
          <x:t xml:space="preserve">United Kingdom</x:t>
        </x:is>
      </x:c>
    </x:row>
    <x:row r="218">
      <x:c r="A218" t="n">
        <x:v>1901</x:v>
      </x:c>
      <x:c r="B218" t="inlineStr">
        <x:is>
          <x:t xml:space="preserve">Women's</x:t>
        </x:is>
      </x:c>
      <x:c r="C218" t="inlineStr">
        <x:is>
          <x:t xml:space="preserve">A. Sterry</x:t>
        </x:is>
      </x:c>
      <x:c r="D218" t="inlineStr">
        <x:is>
          <x:t xml:space="preserve">GBR</x:t>
        </x:is>
      </x:c>
      <x:c r="E218" t="inlineStr">
        <x:is>
          <x:t xml:space="preserve">United Kingdom</x:t>
        </x:is>
      </x:c>
      <x:c r="H218" t="inlineStr">
        <x:is>
          <x:t xml:space="preserve">6-2, 6-2</x:t>
        </x:is>
      </x:c>
      <x:c r="I218" t="inlineStr">
        <x:is>
          <x:t xml:space="preserve">G.W. Hillyard</x:t>
        </x:is>
      </x:c>
      <x:c r="J218" t="inlineStr">
        <x:is>
          <x:t xml:space="preserve">GBR</x:t>
        </x:is>
      </x:c>
      <x:c r="K218" t="inlineStr">
        <x:is>
          <x:t xml:space="preserve">United Kingdom</x:t>
        </x:is>
      </x:c>
    </x:row>
    <x:row r="219">
      <x:c r="A219" t="n">
        <x:v>1901</x:v>
      </x:c>
      <x:c r="B219" t="inlineStr">
        <x:is>
          <x:t xml:space="preserve">Men's</x:t>
        </x:is>
      </x:c>
      <x:c r="C219" t="inlineStr">
        <x:is>
          <x:t xml:space="preserve">A.W. Gore</x:t>
        </x:is>
      </x:c>
      <x:c r="D219" t="inlineStr">
        <x:is>
          <x:t xml:space="preserve">GBR</x:t>
        </x:is>
      </x:c>
      <x:c r="E219" t="inlineStr">
        <x:is>
          <x:t xml:space="preserve">United Kingdom</x:t>
        </x:is>
      </x:c>
      <x:c r="G219" t="n">
        <x:v>95</x:v>
      </x:c>
      <x:c r="H219" t="inlineStr">
        <x:is>
          <x:t xml:space="preserve">4-6, 7-5, 6-4, 6-4</x:t>
        </x:is>
      </x:c>
      <x:c r="I219" t="inlineStr">
        <x:is>
          <x:t xml:space="preserve">R.F. Doherty</x:t>
        </x:is>
      </x:c>
      <x:c r="J219" t="inlineStr">
        <x:is>
          <x:t xml:space="preserve">GBR</x:t>
        </x:is>
      </x:c>
      <x:c r="K219" t="inlineStr">
        <x:is>
          <x:t xml:space="preserve">United Kingdom</x:t>
        </x:is>
      </x:c>
    </x:row>
    <x:row r="220">
      <x:c r="A220" t="n">
        <x:v>1900</x:v>
      </x:c>
      <x:c r="B220" t="inlineStr">
        <x:is>
          <x:t xml:space="preserve">Women's</x:t>
        </x:is>
      </x:c>
      <x:c r="C220" t="inlineStr">
        <x:is>
          <x:t xml:space="preserve">G.W. Hillyard</x:t>
        </x:is>
      </x:c>
      <x:c r="D220" t="inlineStr">
        <x:is>
          <x:t xml:space="preserve">GBR</x:t>
        </x:is>
      </x:c>
      <x:c r="E220" t="inlineStr">
        <x:is>
          <x:t xml:space="preserve">United Kingdom</x:t>
        </x:is>
      </x:c>
      <x:c r="H220" t="inlineStr">
        <x:is>
          <x:t xml:space="preserve">4-6, 6-4, 6-4</x:t>
        </x:is>
      </x:c>
      <x:c r="I220" t="inlineStr">
        <x:is>
          <x:t xml:space="preserve">C.R. Cooper</x:t>
        </x:is>
      </x:c>
      <x:c r="J220" t="inlineStr">
        <x:is>
          <x:t xml:space="preserve">GBR</x:t>
        </x:is>
      </x:c>
      <x:c r="K220" t="inlineStr">
        <x:is>
          <x:t xml:space="preserve">United Kingdom</x:t>
        </x:is>
      </x:c>
    </x:row>
    <x:row r="221">
      <x:c r="A221" t="n">
        <x:v>1900</x:v>
      </x:c>
      <x:c r="B221" t="inlineStr">
        <x:is>
          <x:t xml:space="preserve">Men's</x:t>
        </x:is>
      </x:c>
      <x:c r="C221" t="inlineStr">
        <x:is>
          <x:t xml:space="preserve">R.F. Doherty</x:t>
        </x:is>
      </x:c>
      <x:c r="D221" t="inlineStr">
        <x:is>
          <x:t xml:space="preserve">GBR</x:t>
        </x:is>
      </x:c>
      <x:c r="E221" t="inlineStr">
        <x:is>
          <x:t xml:space="preserve">United Kingdom</x:t>
        </x:is>
      </x:c>
      <x:c r="H221" t="inlineStr">
        <x:is>
          <x:t xml:space="preserve">6-8, 6-3, 6-1, 6-2</x:t>
        </x:is>
      </x:c>
      <x:c r="I221" t="inlineStr">
        <x:is>
          <x:t xml:space="preserve">S.H. Smith</x:t>
        </x:is>
      </x:c>
      <x:c r="J221" t="inlineStr">
        <x:is>
          <x:t xml:space="preserve">GBR</x:t>
        </x:is>
      </x:c>
      <x:c r="K221" t="inlineStr">
        <x:is>
          <x:t xml:space="preserve">United Kingdom</x:t>
        </x:is>
      </x:c>
    </x:row>
    <x:row r="222">
      <x:c r="A222" t="n">
        <x:v>1899</x:v>
      </x:c>
      <x:c r="B222" t="inlineStr">
        <x:is>
          <x:t xml:space="preserve">Women's</x:t>
        </x:is>
      </x:c>
      <x:c r="C222" t="inlineStr">
        <x:is>
          <x:t xml:space="preserve">G.W. Hillyard</x:t>
        </x:is>
      </x:c>
      <x:c r="D222" t="inlineStr">
        <x:is>
          <x:t xml:space="preserve">GBR</x:t>
        </x:is>
      </x:c>
      <x:c r="E222" t="inlineStr">
        <x:is>
          <x:t xml:space="preserve">United Kingdom</x:t>
        </x:is>
      </x:c>
      <x:c r="H222" t="inlineStr">
        <x:is>
          <x:t xml:space="preserve">6-2, 6-3</x:t>
        </x:is>
      </x:c>
      <x:c r="I222" t="inlineStr">
        <x:is>
          <x:t xml:space="preserve">C.R. Cooper</x:t>
        </x:is>
      </x:c>
      <x:c r="J222" t="inlineStr">
        <x:is>
          <x:t xml:space="preserve">GBR</x:t>
        </x:is>
      </x:c>
      <x:c r="K222" t="inlineStr">
        <x:is>
          <x:t xml:space="preserve">United Kingdom</x:t>
        </x:is>
      </x:c>
    </x:row>
    <x:row r="223">
      <x:c r="A223" t="n">
        <x:v>1899</x:v>
      </x:c>
      <x:c r="B223" t="inlineStr">
        <x:is>
          <x:t xml:space="preserve">Men's</x:t>
        </x:is>
      </x:c>
      <x:c r="C223" t="inlineStr">
        <x:is>
          <x:t xml:space="preserve">R.F. Doherty</x:t>
        </x:is>
      </x:c>
      <x:c r="D223" t="inlineStr">
        <x:is>
          <x:t xml:space="preserve">GBR</x:t>
        </x:is>
      </x:c>
      <x:c r="E223" t="inlineStr">
        <x:is>
          <x:t xml:space="preserve">United Kingdom</x:t>
        </x:is>
      </x:c>
      <x:c r="H223" t="inlineStr">
        <x:is>
          <x:t xml:space="preserve">1-6, 4-6, 6-3, 6-3, 6-3</x:t>
        </x:is>
      </x:c>
      <x:c r="I223" t="inlineStr">
        <x:is>
          <x:t xml:space="preserve">A.W. Gore</x:t>
        </x:is>
      </x:c>
      <x:c r="J223" t="inlineStr">
        <x:is>
          <x:t xml:space="preserve">GBR</x:t>
        </x:is>
      </x:c>
      <x:c r="K223" t="inlineStr">
        <x:is>
          <x:t xml:space="preserve">United Kingdom</x:t>
        </x:is>
      </x:c>
    </x:row>
    <x:row r="224">
      <x:c r="A224" t="n">
        <x:v>1898</x:v>
      </x:c>
      <x:c r="B224" t="inlineStr">
        <x:is>
          <x:t xml:space="preserve">Women's</x:t>
        </x:is>
      </x:c>
      <x:c r="C224" t="inlineStr">
        <x:is>
          <x:t xml:space="preserve">C.R. Cooper</x:t>
        </x:is>
      </x:c>
      <x:c r="D224" t="inlineStr">
        <x:is>
          <x:t xml:space="preserve">GBR</x:t>
        </x:is>
      </x:c>
      <x:c r="E224" t="inlineStr">
        <x:is>
          <x:t xml:space="preserve">United Kingdom</x:t>
        </x:is>
      </x:c>
      <x:c r="H224" t="inlineStr">
        <x:is>
          <x:t xml:space="preserve">6-4, 6-4</x:t>
        </x:is>
      </x:c>
      <x:c r="I224" t="inlineStr">
        <x:is>
          <x:t xml:space="preserve">M.L.Martin</x:t>
        </x:is>
      </x:c>
      <x:c r="J224" t="inlineStr">
        <x:is>
          <x:t xml:space="preserve">GBR</x:t>
        </x:is>
      </x:c>
      <x:c r="K224" t="inlineStr">
        <x:is>
          <x:t xml:space="preserve">United Kingdom</x:t>
        </x:is>
      </x:c>
    </x:row>
    <x:row r="225">
      <x:c r="A225" t="n">
        <x:v>1898</x:v>
      </x:c>
      <x:c r="B225" t="inlineStr">
        <x:is>
          <x:t xml:space="preserve">Men's</x:t>
        </x:is>
      </x:c>
      <x:c r="C225" t="inlineStr">
        <x:is>
          <x:t xml:space="preserve">R.F. Doherty</x:t>
        </x:is>
      </x:c>
      <x:c r="D225" t="inlineStr">
        <x:is>
          <x:t xml:space="preserve">GBR</x:t>
        </x:is>
      </x:c>
      <x:c r="E225" t="inlineStr">
        <x:is>
          <x:t xml:space="preserve">United Kingdom</x:t>
        </x:is>
      </x:c>
      <x:c r="G225" t="n">
        <x:v>55</x:v>
      </x:c>
      <x:c r="H225" t="inlineStr">
        <x:is>
          <x:t xml:space="preserve">6-3, 6-3, 2-6, 5-7, 6-1</x:t>
        </x:is>
      </x:c>
      <x:c r="I225" t="inlineStr">
        <x:is>
          <x:t xml:space="preserve">H.L. Doherty</x:t>
        </x:is>
      </x:c>
      <x:c r="J225" t="inlineStr">
        <x:is>
          <x:t xml:space="preserve">GBR</x:t>
        </x:is>
      </x:c>
      <x:c r="K225" t="inlineStr">
        <x:is>
          <x:t xml:space="preserve">United Kingdom</x:t>
        </x:is>
      </x:c>
    </x:row>
    <x:row r="226">
      <x:c r="A226" t="n">
        <x:v>1897</x:v>
      </x:c>
      <x:c r="B226" t="inlineStr">
        <x:is>
          <x:t xml:space="preserve">Women's</x:t>
        </x:is>
      </x:c>
      <x:c r="C226" t="inlineStr">
        <x:is>
          <x:t xml:space="preserve">G.W. Hillyard</x:t>
        </x:is>
      </x:c>
      <x:c r="D226" t="inlineStr">
        <x:is>
          <x:t xml:space="preserve">GBR</x:t>
        </x:is>
      </x:c>
      <x:c r="E226" t="inlineStr">
        <x:is>
          <x:t xml:space="preserve">United Kingdom</x:t>
        </x:is>
      </x:c>
      <x:c r="H226" t="inlineStr">
        <x:is>
          <x:t xml:space="preserve">5-7, 7-5, 6-2</x:t>
        </x:is>
      </x:c>
      <x:c r="I226" t="inlineStr">
        <x:is>
          <x:t xml:space="preserve">C.R. Cooper</x:t>
        </x:is>
      </x:c>
      <x:c r="J226" t="inlineStr">
        <x:is>
          <x:t xml:space="preserve">GBR</x:t>
        </x:is>
      </x:c>
      <x:c r="K226" t="inlineStr">
        <x:is>
          <x:t xml:space="preserve">United Kingdom</x:t>
        </x:is>
      </x:c>
    </x:row>
    <x:row r="227">
      <x:c r="A227" t="n">
        <x:v>1897</x:v>
      </x:c>
      <x:c r="B227" t="inlineStr">
        <x:is>
          <x:t xml:space="preserve">Men's</x:t>
        </x:is>
      </x:c>
      <x:c r="C227" t="inlineStr">
        <x:is>
          <x:t xml:space="preserve">R.F. Doherty</x:t>
        </x:is>
      </x:c>
      <x:c r="D227" t="inlineStr">
        <x:is>
          <x:t xml:space="preserve">GBR</x:t>
        </x:is>
      </x:c>
      <x:c r="E227" t="inlineStr">
        <x:is>
          <x:t xml:space="preserve">United Kingdom</x:t>
        </x:is>
      </x:c>
      <x:c r="G227" t="n">
        <x:v>67</x:v>
      </x:c>
      <x:c r="H227" t="inlineStr">
        <x:is>
          <x:t xml:space="preserve">6-4, 6-4, 6-3</x:t>
        </x:is>
      </x:c>
      <x:c r="I227" t="inlineStr">
        <x:is>
          <x:t xml:space="preserve">H.S. Mahony</x:t>
        </x:is>
      </x:c>
      <x:c r="J227" t="inlineStr">
        <x:is>
          <x:t xml:space="preserve">GBR</x:t>
        </x:is>
      </x:c>
      <x:c r="K227" t="inlineStr">
        <x:is>
          <x:t xml:space="preserve">United Kingdom</x:t>
        </x:is>
      </x:c>
    </x:row>
    <x:row r="228">
      <x:c r="A228" t="n">
        <x:v>1896</x:v>
      </x:c>
      <x:c r="B228" t="inlineStr">
        <x:is>
          <x:t xml:space="preserve">Women's</x:t>
        </x:is>
      </x:c>
      <x:c r="C228" t="inlineStr">
        <x:is>
          <x:t xml:space="preserve">C.R. Cooper</x:t>
        </x:is>
      </x:c>
      <x:c r="D228" t="inlineStr">
        <x:is>
          <x:t xml:space="preserve">GBR</x:t>
        </x:is>
      </x:c>
      <x:c r="E228" t="inlineStr">
        <x:is>
          <x:t xml:space="preserve">United Kingdom</x:t>
        </x:is>
      </x:c>
      <x:c r="H228" t="inlineStr">
        <x:is>
          <x:t xml:space="preserve">6-2, 6-3</x:t>
        </x:is>
      </x:c>
      <x:c r="I228" t="inlineStr">
        <x:is>
          <x:t xml:space="preserve">W.H. Pickering</x:t>
        </x:is>
      </x:c>
      <x:c r="J228" t="inlineStr">
        <x:is>
          <x:t xml:space="preserve">GBR</x:t>
        </x:is>
      </x:c>
      <x:c r="K228" t="inlineStr">
        <x:is>
          <x:t xml:space="preserve">United Kingdom</x:t>
        </x:is>
      </x:c>
    </x:row>
    <x:row r="229">
      <x:c r="A229" t="n">
        <x:v>1896</x:v>
      </x:c>
      <x:c r="B229" t="inlineStr">
        <x:is>
          <x:t xml:space="preserve">Men's</x:t>
        </x:is>
      </x:c>
      <x:c r="C229" t="inlineStr">
        <x:is>
          <x:t xml:space="preserve">H.S. Mahony</x:t>
        </x:is>
      </x:c>
      <x:c r="D229" t="inlineStr">
        <x:is>
          <x:t xml:space="preserve">GBR</x:t>
        </x:is>
      </x:c>
      <x:c r="E229" t="inlineStr">
        <x:is>
          <x:t xml:space="preserve">United Kingdom</x:t>
        </x:is>
      </x:c>
      <x:c r="G229" t="n">
        <x:v>120</x:v>
      </x:c>
      <x:c r="H229" t="inlineStr">
        <x:is>
          <x:t xml:space="preserve">6-2, 6-8, 5-7, 8-6, 6-3</x:t>
        </x:is>
      </x:c>
      <x:c r="I229" t="inlineStr">
        <x:is>
          <x:t xml:space="preserve">W. Baddeley</x:t>
        </x:is>
      </x:c>
      <x:c r="J229" t="inlineStr">
        <x:is>
          <x:t xml:space="preserve">GBR</x:t>
        </x:is>
      </x:c>
      <x:c r="K229" t="inlineStr">
        <x:is>
          <x:t xml:space="preserve">United Kingdom</x:t>
        </x:is>
      </x:c>
    </x:row>
    <x:row r="230">
      <x:c r="A230" t="n">
        <x:v>1895</x:v>
      </x:c>
      <x:c r="B230" t="inlineStr">
        <x:is>
          <x:t xml:space="preserve">Women's</x:t>
        </x:is>
      </x:c>
      <x:c r="C230" t="inlineStr">
        <x:is>
          <x:t xml:space="preserve">C.R. Cooper</x:t>
        </x:is>
      </x:c>
      <x:c r="D230" t="inlineStr">
        <x:is>
          <x:t xml:space="preserve">GBR</x:t>
        </x:is>
      </x:c>
      <x:c r="E230" t="inlineStr">
        <x:is>
          <x:t xml:space="preserve">United Kingdom</x:t>
        </x:is>
      </x:c>
      <x:c r="H230" t="inlineStr">
        <x:is>
          <x:t xml:space="preserve">7-5, 8-6</x:t>
        </x:is>
      </x:c>
      <x:c r="I230" t="inlineStr">
        <x:is>
          <x:t xml:space="preserve">H. Jackson</x:t>
        </x:is>
      </x:c>
      <x:c r="J230" t="inlineStr">
        <x:is>
          <x:t xml:space="preserve">GBR</x:t>
        </x:is>
      </x:c>
      <x:c r="K230" t="inlineStr">
        <x:is>
          <x:t xml:space="preserve">United Kingdom</x:t>
        </x:is>
      </x:c>
    </x:row>
    <x:row r="231">
      <x:c r="A231" t="n">
        <x:v>1895</x:v>
      </x:c>
      <x:c r="B231" t="inlineStr">
        <x:is>
          <x:t xml:space="preserve">Men's</x:t>
        </x:is>
      </x:c>
      <x:c r="C231" t="inlineStr">
        <x:is>
          <x:t xml:space="preserve">W. Baddeley</x:t>
        </x:is>
      </x:c>
      <x:c r="D231" t="inlineStr">
        <x:is>
          <x:t xml:space="preserve">GBR</x:t>
        </x:is>
      </x:c>
      <x:c r="E231" t="inlineStr">
        <x:is>
          <x:t xml:space="preserve">United Kingdom</x:t>
        </x:is>
      </x:c>
      <x:c r="G231" t="n">
        <x:v>95</x:v>
      </x:c>
      <x:c r="H231" t="inlineStr">
        <x:is>
          <x:t xml:space="preserve">4-6, 2-6, 8-6, 6-2, 6-3</x:t>
        </x:is>
      </x:c>
      <x:c r="I231" t="inlineStr">
        <x:is>
          <x:t xml:space="preserve">W.V. Eaves</x:t>
        </x:is>
      </x:c>
      <x:c r="J231" t="inlineStr">
        <x:is>
          <x:t xml:space="preserve">GBR</x:t>
        </x:is>
      </x:c>
      <x:c r="K231" t="inlineStr">
        <x:is>
          <x:t xml:space="preserve">United Kingdom</x:t>
        </x:is>
      </x:c>
    </x:row>
    <x:row r="232">
      <x:c r="A232" t="n">
        <x:v>1894</x:v>
      </x:c>
      <x:c r="B232" t="inlineStr">
        <x:is>
          <x:t xml:space="preserve">Women's</x:t>
        </x:is>
      </x:c>
      <x:c r="C232" t="inlineStr">
        <x:is>
          <x:t xml:space="preserve">G.W. Hillyard</x:t>
        </x:is>
      </x:c>
      <x:c r="D232" t="inlineStr">
        <x:is>
          <x:t xml:space="preserve">GBR</x:t>
        </x:is>
      </x:c>
      <x:c r="E232" t="inlineStr">
        <x:is>
          <x:t xml:space="preserve">United Kingdom</x:t>
        </x:is>
      </x:c>
      <x:c r="H232" t="inlineStr">
        <x:is>
          <x:t xml:space="preserve">6-1, 6-1</x:t>
        </x:is>
      </x:c>
      <x:c r="I232" t="inlineStr">
        <x:is>
          <x:t xml:space="preserve">E.L. Austin</x:t>
        </x:is>
      </x:c>
      <x:c r="J232" t="inlineStr">
        <x:is>
          <x:t xml:space="preserve">GBR</x:t>
        </x:is>
      </x:c>
      <x:c r="K232" t="inlineStr">
        <x:is>
          <x:t xml:space="preserve">United Kingdom</x:t>
        </x:is>
      </x:c>
    </x:row>
    <x:row r="233">
      <x:c r="A233" t="n">
        <x:v>1894</x:v>
      </x:c>
      <x:c r="B233" t="inlineStr">
        <x:is>
          <x:t xml:space="preserve">Men's</x:t>
        </x:is>
      </x:c>
      <x:c r="C233" t="inlineStr">
        <x:is>
          <x:t xml:space="preserve">J. Pim</x:t>
        </x:is>
      </x:c>
      <x:c r="D233" t="inlineStr">
        <x:is>
          <x:t xml:space="preserve">GBR</x:t>
        </x:is>
      </x:c>
      <x:c r="E233" t="inlineStr">
        <x:is>
          <x:t xml:space="preserve">United Kingdom</x:t>
        </x:is>
      </x:c>
      <x:c r="G233" t="n">
        <x:v>117</x:v>
      </x:c>
      <x:c r="H233" t="inlineStr">
        <x:is>
          <x:t xml:space="preserve">10-8, 6-2, 8-6</x:t>
        </x:is>
      </x:c>
      <x:c r="I233" t="inlineStr">
        <x:is>
          <x:t xml:space="preserve">W. Baddeley</x:t>
        </x:is>
      </x:c>
      <x:c r="J233" t="inlineStr">
        <x:is>
          <x:t xml:space="preserve">GBR</x:t>
        </x:is>
      </x:c>
      <x:c r="K233" t="inlineStr">
        <x:is>
          <x:t xml:space="preserve">United Kingdom</x:t>
        </x:is>
      </x:c>
    </x:row>
    <x:row r="234">
      <x:c r="A234" t="n">
        <x:v>1893</x:v>
      </x:c>
      <x:c r="B234" t="inlineStr">
        <x:is>
          <x:t xml:space="preserve">Women's</x:t>
        </x:is>
      </x:c>
      <x:c r="C234" t="inlineStr">
        <x:is>
          <x:t xml:space="preserve">C. Dod</x:t>
        </x:is>
      </x:c>
      <x:c r="D234" t="inlineStr">
        <x:is>
          <x:t xml:space="preserve">GBR</x:t>
        </x:is>
      </x:c>
      <x:c r="E234" t="inlineStr">
        <x:is>
          <x:t xml:space="preserve">United Kingdom</x:t>
        </x:is>
      </x:c>
      <x:c r="H234" t="inlineStr">
        <x:is>
          <x:t xml:space="preserve">6-8, 6-1, 6-4</x:t>
        </x:is>
      </x:c>
      <x:c r="I234" t="inlineStr">
        <x:is>
          <x:t xml:space="preserve">G.W. Hillyard</x:t>
        </x:is>
      </x:c>
      <x:c r="J234" t="inlineStr">
        <x:is>
          <x:t xml:space="preserve">GBR</x:t>
        </x:is>
      </x:c>
      <x:c r="K234" t="inlineStr">
        <x:is>
          <x:t xml:space="preserve">United Kingdom</x:t>
        </x:is>
      </x:c>
    </x:row>
    <x:row r="235">
      <x:c r="A235" t="n">
        <x:v>1893</x:v>
      </x:c>
      <x:c r="B235" t="inlineStr">
        <x:is>
          <x:t xml:space="preserve">Men's</x:t>
        </x:is>
      </x:c>
      <x:c r="C235" t="inlineStr">
        <x:is>
          <x:t xml:space="preserve">J. Pim</x:t>
        </x:is>
      </x:c>
      <x:c r="D235" t="inlineStr">
        <x:is>
          <x:t xml:space="preserve">GBR</x:t>
        </x:is>
      </x:c>
      <x:c r="E235" t="inlineStr">
        <x:is>
          <x:t xml:space="preserve">United Kingdom</x:t>
        </x:is>
      </x:c>
      <x:c r="G235" t="n">
        <x:v>65</x:v>
      </x:c>
      <x:c r="H235" t="inlineStr">
        <x:is>
          <x:t xml:space="preserve">3-6, 6-1, 6-3, 6-2</x:t>
        </x:is>
      </x:c>
      <x:c r="I235" t="inlineStr">
        <x:is>
          <x:t xml:space="preserve">W. Baddeley</x:t>
        </x:is>
      </x:c>
      <x:c r="J235" t="inlineStr">
        <x:is>
          <x:t xml:space="preserve">GBR</x:t>
        </x:is>
      </x:c>
      <x:c r="K235" t="inlineStr">
        <x:is>
          <x:t xml:space="preserve">United Kingdom</x:t>
        </x:is>
      </x:c>
    </x:row>
    <x:row r="236">
      <x:c r="A236" t="n">
        <x:v>1892</x:v>
      </x:c>
      <x:c r="B236" t="inlineStr">
        <x:is>
          <x:t xml:space="preserve">Women's</x:t>
        </x:is>
      </x:c>
      <x:c r="C236" t="inlineStr">
        <x:is>
          <x:t xml:space="preserve">C. Dod</x:t>
        </x:is>
      </x:c>
      <x:c r="D236" t="inlineStr">
        <x:is>
          <x:t xml:space="preserve">GBR</x:t>
        </x:is>
      </x:c>
      <x:c r="E236" t="inlineStr">
        <x:is>
          <x:t xml:space="preserve">United Kingdom</x:t>
        </x:is>
      </x:c>
      <x:c r="H236" t="inlineStr">
        <x:is>
          <x:t xml:space="preserve">6-1, 6-1</x:t>
        </x:is>
      </x:c>
      <x:c r="I236" t="inlineStr">
        <x:is>
          <x:t xml:space="preserve">G.W. Hillyard</x:t>
        </x:is>
      </x:c>
      <x:c r="J236" t="inlineStr">
        <x:is>
          <x:t xml:space="preserve">GBR</x:t>
        </x:is>
      </x:c>
      <x:c r="K236" t="inlineStr">
        <x:is>
          <x:t xml:space="preserve">United Kingdom</x:t>
        </x:is>
      </x:c>
    </x:row>
    <x:row r="237">
      <x:c r="A237" t="n">
        <x:v>1892</x:v>
      </x:c>
      <x:c r="B237" t="inlineStr">
        <x:is>
          <x:t xml:space="preserve">Men's</x:t>
        </x:is>
      </x:c>
      <x:c r="C237" t="inlineStr">
        <x:is>
          <x:t xml:space="preserve">W. Baddeley</x:t>
        </x:is>
      </x:c>
      <x:c r="D237" t="inlineStr">
        <x:is>
          <x:t xml:space="preserve">GBR</x:t>
        </x:is>
      </x:c>
      <x:c r="E237" t="inlineStr">
        <x:is>
          <x:t xml:space="preserve">United Kingdom</x:t>
        </x:is>
      </x:c>
      <x:c r="G237" t="n">
        <x:v>75</x:v>
      </x:c>
      <x:c r="H237" t="inlineStr">
        <x:is>
          <x:t xml:space="preserve">4-6, 6-3, 6-3, 6-2</x:t>
        </x:is>
      </x:c>
      <x:c r="I237" t="inlineStr">
        <x:is>
          <x:t xml:space="preserve">J. Pim</x:t>
        </x:is>
      </x:c>
      <x:c r="J237" t="inlineStr">
        <x:is>
          <x:t xml:space="preserve">GBR</x:t>
        </x:is>
      </x:c>
      <x:c r="K237" t="inlineStr">
        <x:is>
          <x:t xml:space="preserve">United Kingdom</x:t>
        </x:is>
      </x:c>
    </x:row>
    <x:row r="238">
      <x:c r="A238" t="n">
        <x:v>1891</x:v>
      </x:c>
      <x:c r="B238" t="inlineStr">
        <x:is>
          <x:t xml:space="preserve">Women's</x:t>
        </x:is>
      </x:c>
      <x:c r="C238" t="inlineStr">
        <x:is>
          <x:t xml:space="preserve">C. Dod</x:t>
        </x:is>
      </x:c>
      <x:c r="D238" t="inlineStr">
        <x:is>
          <x:t xml:space="preserve">GBR</x:t>
        </x:is>
      </x:c>
      <x:c r="E238" t="inlineStr">
        <x:is>
          <x:t xml:space="preserve">United Kingdom</x:t>
        </x:is>
      </x:c>
      <x:c r="H238" t="inlineStr">
        <x:is>
          <x:t xml:space="preserve">6-2, 6-1</x:t>
        </x:is>
      </x:c>
      <x:c r="I238" t="inlineStr">
        <x:is>
          <x:t xml:space="preserve">G.W. Hillyard</x:t>
        </x:is>
      </x:c>
      <x:c r="J238" t="inlineStr">
        <x:is>
          <x:t xml:space="preserve">GBR</x:t>
        </x:is>
      </x:c>
      <x:c r="K238" t="inlineStr">
        <x:is>
          <x:t xml:space="preserve">United Kingdom</x:t>
        </x:is>
      </x:c>
    </x:row>
    <x:row r="239">
      <x:c r="A239" t="n">
        <x:v>1891</x:v>
      </x:c>
      <x:c r="B239" t="inlineStr">
        <x:is>
          <x:t xml:space="preserve">Men's</x:t>
        </x:is>
      </x:c>
      <x:c r="C239" t="inlineStr">
        <x:is>
          <x:t xml:space="preserve">W. Baddeley</x:t>
        </x:is>
      </x:c>
      <x:c r="D239" t="inlineStr">
        <x:is>
          <x:t xml:space="preserve">GBR</x:t>
        </x:is>
      </x:c>
      <x:c r="E239" t="inlineStr">
        <x:is>
          <x:t xml:space="preserve">United Kingdom</x:t>
        </x:is>
      </x:c>
      <x:c r="H239" t="inlineStr">
        <x:is>
          <x:t xml:space="preserve">6-4, 1-6, 7-5, 6-0</x:t>
        </x:is>
      </x:c>
      <x:c r="I239" t="inlineStr">
        <x:is>
          <x:t xml:space="preserve">J.Pim</x:t>
        </x:is>
      </x:c>
      <x:c r="J239" t="inlineStr">
        <x:is>
          <x:t xml:space="preserve">GBR</x:t>
        </x:is>
      </x:c>
      <x:c r="K239" t="inlineStr">
        <x:is>
          <x:t xml:space="preserve">United Kingdom</x:t>
        </x:is>
      </x:c>
    </x:row>
    <x:row r="240">
      <x:c r="A240" t="n">
        <x:v>1890</x:v>
      </x:c>
      <x:c r="B240" t="inlineStr">
        <x:is>
          <x:t xml:space="preserve">Women's</x:t>
        </x:is>
      </x:c>
      <x:c r="C240" t="inlineStr">
        <x:is>
          <x:t xml:space="preserve">H.G.B. Rice</x:t>
        </x:is>
      </x:c>
      <x:c r="D240" t="inlineStr">
        <x:is>
          <x:t xml:space="preserve">GBR</x:t>
        </x:is>
      </x:c>
      <x:c r="E240" t="inlineStr">
        <x:is>
          <x:t xml:space="preserve">United Kingdom</x:t>
        </x:is>
      </x:c>
      <x:c r="H240" t="inlineStr">
        <x:is>
          <x:t xml:space="preserve">6-4, 6-1</x:t>
        </x:is>
      </x:c>
      <x:c r="I240" t="inlineStr">
        <x:is>
          <x:t xml:space="preserve">M. Jacks</x:t>
        </x:is>
      </x:c>
      <x:c r="J240" t="inlineStr">
        <x:is>
          <x:t xml:space="preserve">GBR</x:t>
        </x:is>
      </x:c>
      <x:c r="K240" t="inlineStr">
        <x:is>
          <x:t xml:space="preserve">United Kingdom</x:t>
        </x:is>
      </x:c>
    </x:row>
    <x:row r="241">
      <x:c r="A241" t="n">
        <x:v>1890</x:v>
      </x:c>
      <x:c r="B241" t="inlineStr">
        <x:is>
          <x:t xml:space="preserve">Men's</x:t>
        </x:is>
      </x:c>
      <x:c r="C241" t="inlineStr">
        <x:is>
          <x:t xml:space="preserve">W.J. Hamilton</x:t>
        </x:is>
      </x:c>
      <x:c r="D241" t="inlineStr">
        <x:is>
          <x:t xml:space="preserve">GBR</x:t>
        </x:is>
      </x:c>
      <x:c r="E241" t="inlineStr">
        <x:is>
          <x:t xml:space="preserve">United Kingdom</x:t>
        </x:is>
      </x:c>
      <x:c r="G241" t="n">
        <x:v>96</x:v>
      </x:c>
      <x:c r="H241" t="inlineStr">
        <x:is>
          <x:t xml:space="preserve">6-8, 6-2, 3-6, 6-1, 6-1</x:t>
        </x:is>
      </x:c>
      <x:c r="I241" t="inlineStr">
        <x:is>
          <x:t xml:space="preserve">W.C. Renshaw</x:t>
        </x:is>
      </x:c>
      <x:c r="J241" t="inlineStr">
        <x:is>
          <x:t xml:space="preserve">GBR</x:t>
        </x:is>
      </x:c>
      <x:c r="K241" t="inlineStr">
        <x:is>
          <x:t xml:space="preserve">United Kingdom</x:t>
        </x:is>
      </x:c>
    </x:row>
    <x:row r="242">
      <x:c r="A242" t="n">
        <x:v>1889</x:v>
      </x:c>
      <x:c r="B242" t="inlineStr">
        <x:is>
          <x:t xml:space="preserve">Women's</x:t>
        </x:is>
      </x:c>
      <x:c r="C242" t="inlineStr">
        <x:is>
          <x:t xml:space="preserve">G.W. Hillyard</x:t>
        </x:is>
      </x:c>
      <x:c r="D242" t="inlineStr">
        <x:is>
          <x:t xml:space="preserve">GBR</x:t>
        </x:is>
      </x:c>
      <x:c r="E242" t="inlineStr">
        <x:is>
          <x:t xml:space="preserve">United Kingdom</x:t>
        </x:is>
      </x:c>
      <x:c r="H242" t="inlineStr">
        <x:is>
          <x:t xml:space="preserve">4-6, 8-6, 6-4</x:t>
        </x:is>
      </x:c>
      <x:c r="I242" t="inlineStr">
        <x:is>
          <x:t xml:space="preserve">H.G.B. Rice</x:t>
        </x:is>
      </x:c>
      <x:c r="J242" t="inlineStr">
        <x:is>
          <x:t xml:space="preserve">GBR</x:t>
        </x:is>
      </x:c>
      <x:c r="K242" t="inlineStr">
        <x:is>
          <x:t xml:space="preserve">United Kingdom</x:t>
        </x:is>
      </x:c>
    </x:row>
    <x:row r="243">
      <x:c r="A243" t="n">
        <x:v>1889</x:v>
      </x:c>
      <x:c r="B243" t="inlineStr">
        <x:is>
          <x:t xml:space="preserve">Men's</x:t>
        </x:is>
      </x:c>
      <x:c r="C243" t="inlineStr">
        <x:is>
          <x:t xml:space="preserve">W.C. Renshaw</x:t>
        </x:is>
      </x:c>
      <x:c r="D243" t="inlineStr">
        <x:is>
          <x:t xml:space="preserve">GBR</x:t>
        </x:is>
      </x:c>
      <x:c r="E243" t="inlineStr">
        <x:is>
          <x:t xml:space="preserve">United Kingdom</x:t>
        </x:is>
      </x:c>
      <x:c r="G243" t="n">
        <x:v>63</x:v>
      </x:c>
      <x:c r="H243" t="inlineStr">
        <x:is>
          <x:t xml:space="preserve">6-4, 6-1, 3-6, 6-0</x:t>
        </x:is>
      </x:c>
      <x:c r="I243" t="inlineStr">
        <x:is>
          <x:t xml:space="preserve">J.E. Renshaw</x:t>
        </x:is>
      </x:c>
      <x:c r="J243" t="inlineStr">
        <x:is>
          <x:t xml:space="preserve">GBR</x:t>
        </x:is>
      </x:c>
      <x:c r="K243" t="inlineStr">
        <x:is>
          <x:t xml:space="preserve">United Kingdom</x:t>
        </x:is>
      </x:c>
    </x:row>
    <x:row r="244">
      <x:c r="A244" t="n">
        <x:v>1888</x:v>
      </x:c>
      <x:c r="B244" t="inlineStr">
        <x:is>
          <x:t xml:space="preserve">Women's</x:t>
        </x:is>
      </x:c>
      <x:c r="C244" t="inlineStr">
        <x:is>
          <x:t xml:space="preserve">C. Dod</x:t>
        </x:is>
      </x:c>
      <x:c r="D244" t="inlineStr">
        <x:is>
          <x:t xml:space="preserve">GBR</x:t>
        </x:is>
      </x:c>
      <x:c r="E244" t="inlineStr">
        <x:is>
          <x:t xml:space="preserve">United Kingdom</x:t>
        </x:is>
      </x:c>
      <x:c r="H244" t="inlineStr">
        <x:is>
          <x:t xml:space="preserve">6-3, 6-3</x:t>
        </x:is>
      </x:c>
      <x:c r="I244" t="inlineStr">
        <x:is>
          <x:t xml:space="preserve">G.W. Hillyard</x:t>
        </x:is>
      </x:c>
      <x:c r="J244" t="inlineStr">
        <x:is>
          <x:t xml:space="preserve">GBR</x:t>
        </x:is>
      </x:c>
      <x:c r="K244" t="inlineStr">
        <x:is>
          <x:t xml:space="preserve">United Kingdom</x:t>
        </x:is>
      </x:c>
    </x:row>
    <x:row r="245">
      <x:c r="A245" t="n">
        <x:v>1888</x:v>
      </x:c>
      <x:c r="B245" t="inlineStr">
        <x:is>
          <x:t xml:space="preserve">Men's</x:t>
        </x:is>
      </x:c>
      <x:c r="C245" t="inlineStr">
        <x:is>
          <x:t xml:space="preserve">J.E. Renshaw</x:t>
        </x:is>
      </x:c>
      <x:c r="D245" t="inlineStr">
        <x:is>
          <x:t xml:space="preserve">GBR</x:t>
        </x:is>
      </x:c>
      <x:c r="E245" t="inlineStr">
        <x:is>
          <x:t xml:space="preserve">United Kingdom</x:t>
        </x:is>
      </x:c>
      <x:c r="G245" t="n">
        <x:v>51</x:v>
      </x:c>
      <x:c r="H245" t="inlineStr">
        <x:is>
          <x:t xml:space="preserve">6-3, 7-5, 6-0</x:t>
        </x:is>
      </x:c>
      <x:c r="I245" t="inlineStr">
        <x:is>
          <x:t xml:space="preserve">H.F. Lawford</x:t>
        </x:is>
      </x:c>
      <x:c r="J245" t="inlineStr">
        <x:is>
          <x:t xml:space="preserve">GBR</x:t>
        </x:is>
      </x:c>
      <x:c r="K245" t="inlineStr">
        <x:is>
          <x:t xml:space="preserve">United Kingdom</x:t>
        </x:is>
      </x:c>
    </x:row>
    <x:row r="246">
      <x:c r="A246" t="n">
        <x:v>1887</x:v>
      </x:c>
      <x:c r="B246" t="inlineStr">
        <x:is>
          <x:t xml:space="preserve">Women's</x:t>
        </x:is>
      </x:c>
      <x:c r="C246" t="inlineStr">
        <x:is>
          <x:t xml:space="preserve">C. Dod</x:t>
        </x:is>
      </x:c>
      <x:c r="D246" t="inlineStr">
        <x:is>
          <x:t xml:space="preserve">GBR</x:t>
        </x:is>
      </x:c>
      <x:c r="E246" t="inlineStr">
        <x:is>
          <x:t xml:space="preserve">United Kingdom</x:t>
        </x:is>
      </x:c>
      <x:c r="H246" t="inlineStr">
        <x:is>
          <x:t xml:space="preserve">6-2, 6-0</x:t>
        </x:is>
      </x:c>
      <x:c r="I246" t="inlineStr">
        <x:is>
          <x:t xml:space="preserve">B. Bingley</x:t>
        </x:is>
      </x:c>
      <x:c r="J246" t="inlineStr">
        <x:is>
          <x:t xml:space="preserve">GBR</x:t>
        </x:is>
      </x:c>
      <x:c r="K246" t="inlineStr">
        <x:is>
          <x:t xml:space="preserve">United Kingdom</x:t>
        </x:is>
      </x:c>
    </x:row>
    <x:row r="247">
      <x:c r="A247" t="n">
        <x:v>1887</x:v>
      </x:c>
      <x:c r="B247" t="inlineStr">
        <x:is>
          <x:t xml:space="preserve">Men's</x:t>
        </x:is>
      </x:c>
      <x:c r="C247" t="inlineStr">
        <x:is>
          <x:t xml:space="preserve">H.F. Lawford</x:t>
        </x:is>
      </x:c>
      <x:c r="D247" t="inlineStr">
        <x:is>
          <x:t xml:space="preserve">GBR</x:t>
        </x:is>
      </x:c>
      <x:c r="E247" t="inlineStr">
        <x:is>
          <x:t xml:space="preserve">United Kingdom</x:t>
        </x:is>
      </x:c>
      <x:c r="G247" t="n">
        <x:v>120</x:v>
      </x:c>
      <x:c r="H247" t="inlineStr">
        <x:is>
          <x:t xml:space="preserve">1-6, 6-3, 3-6, 6-4, 6-4</x:t>
        </x:is>
      </x:c>
      <x:c r="I247" t="inlineStr">
        <x:is>
          <x:t xml:space="preserve">J.E. Renshaw</x:t>
        </x:is>
      </x:c>
      <x:c r="J247" t="inlineStr">
        <x:is>
          <x:t xml:space="preserve">GBR</x:t>
        </x:is>
      </x:c>
      <x:c r="K247" t="inlineStr">
        <x:is>
          <x:t xml:space="preserve">United Kingdom</x:t>
        </x:is>
      </x:c>
    </x:row>
    <x:row r="248">
      <x:c r="A248" t="n">
        <x:v>1886</x:v>
      </x:c>
      <x:c r="B248" t="inlineStr">
        <x:is>
          <x:t xml:space="preserve">Women's</x:t>
        </x:is>
      </x:c>
      <x:c r="C248" t="inlineStr">
        <x:is>
          <x:t xml:space="preserve">B. Bingley</x:t>
        </x:is>
      </x:c>
      <x:c r="D248" t="inlineStr">
        <x:is>
          <x:t xml:space="preserve">GBR</x:t>
        </x:is>
      </x:c>
      <x:c r="E248" t="inlineStr">
        <x:is>
          <x:t xml:space="preserve">United Kingdom</x:t>
        </x:is>
      </x:c>
      <x:c r="H248" t="inlineStr">
        <x:is>
          <x:t xml:space="preserve">6-3, 6-3</x:t>
        </x:is>
      </x:c>
      <x:c r="I248" t="inlineStr">
        <x:is>
          <x:t xml:space="preserve">M.E.E Watson</x:t>
        </x:is>
      </x:c>
      <x:c r="J248" t="inlineStr">
        <x:is>
          <x:t xml:space="preserve">GBR</x:t>
        </x:is>
      </x:c>
      <x:c r="K248" t="inlineStr">
        <x:is>
          <x:t xml:space="preserve">United Kingdom</x:t>
        </x:is>
      </x:c>
    </x:row>
    <x:row r="249">
      <x:c r="A249" t="n">
        <x:v>1886</x:v>
      </x:c>
      <x:c r="B249" t="inlineStr">
        <x:is>
          <x:t xml:space="preserve">Men's</x:t>
        </x:is>
      </x:c>
      <x:c r="C249" t="inlineStr">
        <x:is>
          <x:t xml:space="preserve">W.C. Renshaw</x:t>
        </x:is>
      </x:c>
      <x:c r="D249" t="inlineStr">
        <x:is>
          <x:t xml:space="preserve">GBR</x:t>
        </x:is>
      </x:c>
      <x:c r="E249" t="inlineStr">
        <x:is>
          <x:t xml:space="preserve">United Kingdom</x:t>
        </x:is>
      </x:c>
      <x:c r="G249" t="n">
        <x:v>96</x:v>
      </x:c>
      <x:c r="H249" t="inlineStr">
        <x:is>
          <x:t xml:space="preserve">6-0, 5-7, 6-3, 6-4</x:t>
        </x:is>
      </x:c>
      <x:c r="I249" t="inlineStr">
        <x:is>
          <x:t xml:space="preserve">H.F. Lawford</x:t>
        </x:is>
      </x:c>
      <x:c r="J249" t="inlineStr">
        <x:is>
          <x:t xml:space="preserve">GBR</x:t>
        </x:is>
      </x:c>
      <x:c r="K249" t="inlineStr">
        <x:is>
          <x:t xml:space="preserve">United Kingdom</x:t>
        </x:is>
      </x:c>
    </x:row>
    <x:row r="250">
      <x:c r="A250" t="n">
        <x:v>1885</x:v>
      </x:c>
      <x:c r="B250" t="inlineStr">
        <x:is>
          <x:t xml:space="preserve">Women's</x:t>
        </x:is>
      </x:c>
      <x:c r="C250" t="inlineStr">
        <x:is>
          <x:t xml:space="preserve">M.E.E. Watson</x:t>
        </x:is>
      </x:c>
      <x:c r="D250" t="inlineStr">
        <x:is>
          <x:t xml:space="preserve">GBR</x:t>
        </x:is>
      </x:c>
      <x:c r="E250" t="inlineStr">
        <x:is>
          <x:t xml:space="preserve">United Kingdom</x:t>
        </x:is>
      </x:c>
      <x:c r="H250" t="inlineStr">
        <x:is>
          <x:t xml:space="preserve">6-1, 7-5</x:t>
        </x:is>
      </x:c>
      <x:c r="I250" t="inlineStr">
        <x:is>
          <x:t xml:space="preserve">B Bingley</x:t>
        </x:is>
      </x:c>
      <x:c r="J250" t="inlineStr">
        <x:is>
          <x:t xml:space="preserve">GBR</x:t>
        </x:is>
      </x:c>
      <x:c r="K250" t="inlineStr">
        <x:is>
          <x:t xml:space="preserve">United Kingdom</x:t>
        </x:is>
      </x:c>
    </x:row>
    <x:row r="251">
      <x:c r="A251" t="n">
        <x:v>1885</x:v>
      </x:c>
      <x:c r="B251" t="inlineStr">
        <x:is>
          <x:t xml:space="preserve">Men's</x:t>
        </x:is>
      </x:c>
      <x:c r="C251" t="inlineStr">
        <x:is>
          <x:t xml:space="preserve">W.C. Renshaw</x:t>
        </x:is>
      </x:c>
      <x:c r="D251" t="inlineStr">
        <x:is>
          <x:t xml:space="preserve">GBR</x:t>
        </x:is>
      </x:c>
      <x:c r="E251" t="inlineStr">
        <x:is>
          <x:t xml:space="preserve">United Kingdom</x:t>
        </x:is>
      </x:c>
      <x:c r="G251" t="n">
        <x:v>122</x:v>
      </x:c>
      <x:c r="H251" t="inlineStr">
        <x:is>
          <x:t xml:space="preserve">7-5, 6-2, 4-6, 7-5</x:t>
        </x:is>
      </x:c>
      <x:c r="I251" t="inlineStr">
        <x:is>
          <x:t xml:space="preserve">H.F. Lawford</x:t>
        </x:is>
      </x:c>
      <x:c r="J251" t="inlineStr">
        <x:is>
          <x:t xml:space="preserve">GBR</x:t>
        </x:is>
      </x:c>
      <x:c r="K251" t="inlineStr">
        <x:is>
          <x:t xml:space="preserve">United Kingdom</x:t>
        </x:is>
      </x:c>
    </x:row>
    <x:row r="252">
      <x:c r="A252" t="n">
        <x:v>1884</x:v>
      </x:c>
      <x:c r="B252" t="inlineStr">
        <x:is>
          <x:t xml:space="preserve">Women's</x:t>
        </x:is>
      </x:c>
      <x:c r="C252" t="inlineStr">
        <x:is>
          <x:t xml:space="preserve">M.E.E. Watson</x:t>
        </x:is>
      </x:c>
      <x:c r="D252" t="inlineStr">
        <x:is>
          <x:t xml:space="preserve">GBR</x:t>
        </x:is>
      </x:c>
      <x:c r="E252" t="inlineStr">
        <x:is>
          <x:t xml:space="preserve">United Kingdom</x:t>
        </x:is>
      </x:c>
      <x:c r="H252" t="inlineStr">
        <x:is>
          <x:t xml:space="preserve">6-8, 6-3, 6-3</x:t>
        </x:is>
      </x:c>
      <x:c r="I252" t="inlineStr">
        <x:is>
          <x:t xml:space="preserve">L.M. Watson</x:t>
        </x:is>
      </x:c>
      <x:c r="J252" t="inlineStr">
        <x:is>
          <x:t xml:space="preserve">GBR</x:t>
        </x:is>
      </x:c>
      <x:c r="K252" t="inlineStr">
        <x:is>
          <x:t xml:space="preserve">United Kingdom</x:t>
        </x:is>
      </x:c>
    </x:row>
    <x:row r="253">
      <x:c r="A253" t="n">
        <x:v>1884</x:v>
      </x:c>
      <x:c r="B253" t="inlineStr">
        <x:is>
          <x:t xml:space="preserve">Men's</x:t>
        </x:is>
      </x:c>
      <x:c r="C253" t="inlineStr">
        <x:is>
          <x:t xml:space="preserve">W.C. Renshaw</x:t>
        </x:is>
      </x:c>
      <x:c r="D253" t="inlineStr">
        <x:is>
          <x:t xml:space="preserve">GBR</x:t>
        </x:is>
      </x:c>
      <x:c r="E253" t="inlineStr">
        <x:is>
          <x:t xml:space="preserve">United Kingdom</x:t>
        </x:is>
      </x:c>
      <x:c r="G253" t="n">
        <x:v>69</x:v>
      </x:c>
      <x:c r="H253" t="inlineStr">
        <x:is>
          <x:t xml:space="preserve">6-0, 6-4, 9-7</x:t>
        </x:is>
      </x:c>
      <x:c r="I253" t="inlineStr">
        <x:is>
          <x:t xml:space="preserve">H.F. Lawford</x:t>
        </x:is>
      </x:c>
      <x:c r="J253" t="inlineStr">
        <x:is>
          <x:t xml:space="preserve">GBR</x:t>
        </x:is>
      </x:c>
      <x:c r="K253" t="inlineStr">
        <x:is>
          <x:t xml:space="preserve">United Kingdom</x:t>
        </x:is>
      </x:c>
    </x:row>
    <x:row r="254">
      <x:c r="A254" t="n">
        <x:v>1883</x:v>
      </x:c>
      <x:c r="B254" t="inlineStr">
        <x:is>
          <x:t xml:space="preserve">Men's</x:t>
        </x:is>
      </x:c>
      <x:c r="C254" t="inlineStr">
        <x:is>
          <x:t xml:space="preserve">W.C. Renshaw</x:t>
        </x:is>
      </x:c>
      <x:c r="D254" t="inlineStr">
        <x:is>
          <x:t xml:space="preserve">GBR</x:t>
        </x:is>
      </x:c>
      <x:c r="E254" t="inlineStr">
        <x:is>
          <x:t xml:space="preserve">United Kingdom</x:t>
        </x:is>
      </x:c>
      <x:c r="G254" t="n">
        <x:v>89</x:v>
      </x:c>
      <x:c r="H254" t="inlineStr">
        <x:is>
          <x:t xml:space="preserve">2-6, 6-3, 6-3, 4-6, 6-3</x:t>
        </x:is>
      </x:c>
      <x:c r="I254" t="inlineStr">
        <x:is>
          <x:t xml:space="preserve">J.E. Renshaw</x:t>
        </x:is>
      </x:c>
      <x:c r="J254" t="inlineStr">
        <x:is>
          <x:t xml:space="preserve">GBR</x:t>
        </x:is>
      </x:c>
      <x:c r="K254" t="inlineStr">
        <x:is>
          <x:t xml:space="preserve">United Kingdom</x:t>
        </x:is>
      </x:c>
    </x:row>
    <x:row r="255">
      <x:c r="A255" t="n">
        <x:v>1882</x:v>
      </x:c>
      <x:c r="B255" t="inlineStr">
        <x:is>
          <x:t xml:space="preserve">Men's</x:t>
        </x:is>
      </x:c>
      <x:c r="C255" t="inlineStr">
        <x:is>
          <x:t xml:space="preserve">W.C. Renshaw</x:t>
        </x:is>
      </x:c>
      <x:c r="D255" t="inlineStr">
        <x:is>
          <x:t xml:space="preserve">GBR</x:t>
        </x:is>
      </x:c>
      <x:c r="E255" t="inlineStr">
        <x:is>
          <x:t xml:space="preserve">United Kingdom</x:t>
        </x:is>
      </x:c>
      <x:c r="G255" t="n">
        <x:v>85</x:v>
      </x:c>
      <x:c r="H255" t="inlineStr">
        <x:is>
          <x:t xml:space="preserve">6-1, 2-6, 4-6, 6-2, 6-2</x:t>
        </x:is>
      </x:c>
      <x:c r="I255" t="inlineStr">
        <x:is>
          <x:t xml:space="preserve">J.E. Renshaw</x:t>
        </x:is>
      </x:c>
      <x:c r="J255" t="inlineStr">
        <x:is>
          <x:t xml:space="preserve">GBR</x:t>
        </x:is>
      </x:c>
      <x:c r="K255" t="inlineStr">
        <x:is>
          <x:t xml:space="preserve">United Kingdom</x:t>
        </x:is>
      </x:c>
    </x:row>
    <x:row r="256">
      <x:c r="A256" t="n">
        <x:v>1881</x:v>
      </x:c>
      <x:c r="B256" t="inlineStr">
        <x:is>
          <x:t xml:space="preserve">Men's</x:t>
        </x:is>
      </x:c>
      <x:c r="C256" t="inlineStr">
        <x:is>
          <x:t xml:space="preserve">W.C. Renshaw</x:t>
        </x:is>
      </x:c>
      <x:c r="D256" t="inlineStr">
        <x:is>
          <x:t xml:space="preserve">GBR</x:t>
        </x:is>
      </x:c>
      <x:c r="E256" t="inlineStr">
        <x:is>
          <x:t xml:space="preserve">United Kingdom</x:t>
        </x:is>
      </x:c>
      <x:c r="G256" t="n">
        <x:v>37</x:v>
      </x:c>
      <x:c r="H256" t="inlineStr">
        <x:is>
          <x:t xml:space="preserve">6-0, 6-1, 6-1</x:t>
        </x:is>
      </x:c>
      <x:c r="I256" t="inlineStr">
        <x:is>
          <x:t xml:space="preserve">J.T. Hartley</x:t>
        </x:is>
      </x:c>
      <x:c r="J256" t="inlineStr">
        <x:is>
          <x:t xml:space="preserve">GBR</x:t>
        </x:is>
      </x:c>
      <x:c r="K256" t="inlineStr">
        <x:is>
          <x:t xml:space="preserve">United Kingdom</x:t>
        </x:is>
      </x:c>
    </x:row>
    <x:row r="257">
      <x:c r="A257" t="n">
        <x:v>1880</x:v>
      </x:c>
      <x:c r="B257" t="inlineStr">
        <x:is>
          <x:t xml:space="preserve">Men's</x:t>
        </x:is>
      </x:c>
      <x:c r="C257" t="inlineStr">
        <x:is>
          <x:t xml:space="preserve">J.T. Hartley</x:t>
        </x:is>
      </x:c>
      <x:c r="D257" t="inlineStr">
        <x:is>
          <x:t xml:space="preserve">GBR</x:t>
        </x:is>
      </x:c>
      <x:c r="E257" t="inlineStr">
        <x:is>
          <x:t xml:space="preserve">United Kingdom</x:t>
        </x:is>
      </x:c>
      <x:c r="H257" t="inlineStr">
        <x:is>
          <x:t xml:space="preserve">6-3, 6-2, 2-6, 6-3</x:t>
        </x:is>
      </x:c>
      <x:c r="I257" t="inlineStr">
        <x:is>
          <x:t xml:space="preserve">H.F. Lawford</x:t>
        </x:is>
      </x:c>
      <x:c r="J257" t="inlineStr">
        <x:is>
          <x:t xml:space="preserve">GBR</x:t>
        </x:is>
      </x:c>
      <x:c r="K257" t="inlineStr">
        <x:is>
          <x:t xml:space="preserve">United Kingdom</x:t>
        </x:is>
      </x:c>
    </x:row>
    <x:row r="258">
      <x:c r="A258" t="n">
        <x:v>1879</x:v>
      </x:c>
      <x:c r="B258" t="inlineStr">
        <x:is>
          <x:t xml:space="preserve">Men's</x:t>
        </x:is>
      </x:c>
      <x:c r="C258" t="inlineStr">
        <x:is>
          <x:t xml:space="preserve">J.T. Hartley</x:t>
        </x:is>
      </x:c>
      <x:c r="D258" t="inlineStr">
        <x:is>
          <x:t xml:space="preserve">GBR</x:t>
        </x:is>
      </x:c>
      <x:c r="E258" t="inlineStr">
        <x:is>
          <x:t xml:space="preserve">United Kingdom</x:t>
        </x:is>
      </x:c>
      <x:c r="H258" t="inlineStr">
        <x:is>
          <x:t xml:space="preserve">6-2, 6-4, 6-2</x:t>
        </x:is>
      </x:c>
      <x:c r="I258" t="inlineStr">
        <x:is>
          <x:t xml:space="preserve">V.T.St.L. Goold</x:t>
        </x:is>
      </x:c>
      <x:c r="J258" t="inlineStr">
        <x:is>
          <x:t xml:space="preserve">GBR</x:t>
        </x:is>
      </x:c>
      <x:c r="K258" t="inlineStr">
        <x:is>
          <x:t xml:space="preserve">United Kingdom</x:t>
        </x:is>
      </x:c>
    </x:row>
    <x:row r="259">
      <x:c r="A259" t="n">
        <x:v>1878</x:v>
      </x:c>
      <x:c r="B259" t="inlineStr">
        <x:is>
          <x:t xml:space="preserve">Men's</x:t>
        </x:is>
      </x:c>
      <x:c r="C259" t="inlineStr">
        <x:is>
          <x:t xml:space="preserve">P.F. Hadow</x:t>
        </x:is>
      </x:c>
      <x:c r="D259" t="inlineStr">
        <x:is>
          <x:t xml:space="preserve">GBR</x:t>
        </x:is>
      </x:c>
      <x:c r="E259" t="inlineStr">
        <x:is>
          <x:t xml:space="preserve">United Kingdom</x:t>
        </x:is>
      </x:c>
      <x:c r="H259" t="inlineStr">
        <x:is>
          <x:t xml:space="preserve">7-5, 6-1, 9-7</x:t>
        </x:is>
      </x:c>
      <x:c r="I259" t="inlineStr">
        <x:is>
          <x:t xml:space="preserve">S.W. Gore</x:t>
        </x:is>
      </x:c>
      <x:c r="J259" t="inlineStr">
        <x:is>
          <x:t xml:space="preserve">GBR</x:t>
        </x:is>
      </x:c>
      <x:c r="K259" t="inlineStr">
        <x:is>
          <x:t xml:space="preserve">United Kingdom</x:t>
        </x:is>
      </x:c>
    </x:row>
    <x:row r="260">
      <x:c r="A260" t="n">
        <x:v>1877</x:v>
      </x:c>
      <x:c r="B260" t="inlineStr">
        <x:is>
          <x:t xml:space="preserve">Men's</x:t>
        </x:is>
      </x:c>
      <x:c r="C260" t="inlineStr">
        <x:is>
          <x:t xml:space="preserve">S.W. Gore</x:t>
        </x:is>
      </x:c>
      <x:c r="D260" t="inlineStr">
        <x:is>
          <x:t xml:space="preserve">GBR</x:t>
        </x:is>
      </x:c>
      <x:c r="E260" t="inlineStr">
        <x:is>
          <x:t xml:space="preserve">United Kingdom</x:t>
        </x:is>
      </x:c>
      <x:c r="G260" t="n">
        <x:v>48</x:v>
      </x:c>
      <x:c r="H260" t="inlineStr">
        <x:is>
          <x:t xml:space="preserve">6-1, 6-2, 6-4</x:t>
        </x:is>
      </x:c>
      <x:c r="I260" t="inlineStr">
        <x:is>
          <x:t xml:space="preserve">W.C. Marshall</x:t>
        </x:is>
      </x:c>
      <x:c r="J260" t="inlineStr">
        <x:is>
          <x:t xml:space="preserve">GBR</x:t>
        </x:is>
      </x:c>
      <x:c r="K260" t="inlineStr">
        <x:is>
          <x:t xml:space="preserve">United Kingdom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.600000381469727"/>
  <x:cols>
    <x:col min="1" max="1" width="5" customWidth="1"/>
    <x:col min="2" max="2" width="12.4609375" customWidth="1"/>
    <x:col min="3" max="3" width="17.69140625" customWidth="1"/>
    <x:col min="4" max="4" width="15" customWidth="1"/>
    <x:col min="5" max="5" width="6.4609375" customWidth="1"/>
    <x:col min="6" max="6" width="30.4609375" customWidth="1"/>
    <x:col min="7" max="7" width="20.69140625" customWidth="1"/>
    <x:col min="8" max="8" width="15.4609375" customWidth="1"/>
  </x:cols>
  <x:sheetData>
    <x:row r="1">
      <x:c r="A1" s="15" t="inlineStr">
        <x:is>
          <x:t xml:space="preserve">Year</x:t>
        </x:is>
      </x:c>
      <x:c r="B1" s="15" t="inlineStr">
        <x:is>
          <x:t xml:space="preserve">Gender</x:t>
        </x:is>
      </x:c>
      <x:c r="C1" s="15" t="inlineStr">
        <x:is>
          <x:t xml:space="preserve">Champion</x:t>
        </x:is>
      </x:c>
      <x:c r="D1" s="15" t="inlineStr">
        <x:is>
          <x:t xml:space="preserve">Champion Seed</x:t>
        </x:is>
      </x:c>
      <x:c r="E1" s="15" t="inlineStr">
        <x:is>
          <x:t xml:space="preserve">Mins</x:t>
        </x:is>
      </x:c>
      <x:c r="F1" s="15" t="inlineStr">
        <x:is>
          <x:t xml:space="preserve">Score</x:t>
        </x:is>
      </x:c>
      <x:c r="G1" s="15" t="inlineStr">
        <x:is>
          <x:t xml:space="preserve">Runner-up</x:t>
        </x:is>
      </x:c>
      <x:c r="H1" s="15" t="inlineStr">
        <x:is>
          <x:t xml:space="preserve">Runner-up Seed</x:t>
        </x:is>
      </x:c>
    </x:row>
    <x:row r="2">
      <x:c r="A2" t="n">
        <x:v>2019</x:v>
      </x:c>
      <x:c r="B2" t="inlineStr">
        <x:is>
          <x:t xml:space="preserve">Women's</x:t>
        </x:is>
      </x:c>
      <x:c r="C2" t="inlineStr">
        <x:is>
          <x:t xml:space="preserve">S.Halep</x:t>
        </x:is>
      </x:c>
      <x:c r="D2" t="n">
        <x:v>7</x:v>
      </x:c>
      <x:c r="E2" t="n">
        <x:v>56</x:v>
      </x:c>
      <x:c r="F2" t="inlineStr">
        <x:is>
          <x:t xml:space="preserve">6-2,6-2</x:t>
        </x:is>
      </x:c>
      <x:c r="G2" t="inlineStr">
        <x:is>
          <x:t xml:space="preserve">S. Williams</x:t>
        </x:is>
      </x:c>
      <x:c r="H2" t="n">
        <x:v>11</x:v>
      </x:c>
    </x:row>
    <x:row r="3">
      <x:c r="A3" t="n">
        <x:v>2019</x:v>
      </x:c>
      <x:c r="B3" t="inlineStr">
        <x:is>
          <x:t xml:space="preserve">Men's</x:t>
        </x:is>
      </x:c>
      <x:c r="C3" t="inlineStr">
        <x:is>
          <x:t xml:space="preserve">N. Djokovic</x:t>
        </x:is>
      </x:c>
      <x:c r="D3" t="n">
        <x:v>1</x:v>
      </x:c>
      <x:c r="E3" t="n">
        <x:v>297</x:v>
      </x:c>
      <x:c r="F3" t="inlineStr">
        <x:is>
          <x:t xml:space="preserve">7-6,1-6,7-6,4-6,7-6</x:t>
        </x:is>
      </x:c>
      <x:c r="G3" t="inlineStr">
        <x:is>
          <x:t xml:space="preserve">R. Federer</x:t>
        </x:is>
      </x:c>
      <x:c r="H3" t="n">
        <x:v>2</x:v>
      </x:c>
    </x:row>
    <x:row r="4">
      <x:c r="A4" t="n">
        <x:v>2018</x:v>
      </x:c>
      <x:c r="B4" t="inlineStr">
        <x:is>
          <x:t xml:space="preserve">Women's</x:t>
        </x:is>
      </x:c>
      <x:c r="C4" t="inlineStr">
        <x:is>
          <x:t xml:space="preserve">A.Kerber</x:t>
        </x:is>
      </x:c>
      <x:c r="D4" t="n">
        <x:v>11</x:v>
      </x:c>
      <x:c r="E4" t="n">
        <x:v>65</x:v>
      </x:c>
      <x:c r="F4" t="inlineStr">
        <x:is>
          <x:t xml:space="preserve">6-3,6-3</x:t>
        </x:is>
      </x:c>
      <x:c r="G4" t="inlineStr">
        <x:is>
          <x:t xml:space="preserve">S. Williams</x:t>
        </x:is>
      </x:c>
      <x:c r="H4" t="n">
        <x:v>25</x:v>
      </x:c>
    </x:row>
    <x:row r="5">
      <x:c r="A5" t="n">
        <x:v>2018</x:v>
      </x:c>
      <x:c r="B5" t="inlineStr">
        <x:is>
          <x:t xml:space="preserve">Men's</x:t>
        </x:is>
      </x:c>
      <x:c r="C5" t="inlineStr">
        <x:is>
          <x:t xml:space="preserve">N. Djokovic</x:t>
        </x:is>
      </x:c>
      <x:c r="D5" t="n">
        <x:v>12</x:v>
      </x:c>
      <x:c r="E5" t="n">
        <x:v>170</x:v>
      </x:c>
      <x:c r="F5" t="inlineStr">
        <x:is>
          <x:t xml:space="preserve">6-2,6-2,7-6</x:t>
        </x:is>
      </x:c>
      <x:c r="G5" t="inlineStr">
        <x:is>
          <x:t xml:space="preserve">K.Anderson</x:t>
        </x:is>
      </x:c>
      <x:c r="H5" t="n">
        <x:v>8</x:v>
      </x:c>
    </x:row>
    <x:row r="6">
      <x:c r="A6" t="n">
        <x:v>2017</x:v>
      </x:c>
      <x:c r="B6" t="inlineStr">
        <x:is>
          <x:t xml:space="preserve">Women's</x:t>
        </x:is>
      </x:c>
      <x:c r="C6" t="inlineStr">
        <x:is>
          <x:t xml:space="preserve">G.Muguruza</x:t>
        </x:is>
      </x:c>
      <x:c r="D6" t="n">
        <x:v>14</x:v>
      </x:c>
      <x:c r="E6" t="n">
        <x:v>77</x:v>
      </x:c>
      <x:c r="F6" t="inlineStr">
        <x:is>
          <x:t xml:space="preserve">7-5,6-0</x:t>
        </x:is>
      </x:c>
      <x:c r="G6" t="inlineStr">
        <x:is>
          <x:t xml:space="preserve">V.E.S Williams</x:t>
        </x:is>
      </x:c>
      <x:c r="H6" t="n">
        <x:v>10</x:v>
      </x:c>
    </x:row>
    <x:row r="7">
      <x:c r="A7" t="n">
        <x:v>2017</x:v>
      </x:c>
      <x:c r="B7" t="inlineStr">
        <x:is>
          <x:t xml:space="preserve">Men's</x:t>
        </x:is>
      </x:c>
      <x:c r="C7" t="inlineStr">
        <x:is>
          <x:t xml:space="preserve">R. Federer</x:t>
        </x:is>
      </x:c>
      <x:c r="D7" t="n">
        <x:v>3</x:v>
      </x:c>
      <x:c r="E7" t="n">
        <x:v>101</x:v>
      </x:c>
      <x:c r="F7" t="inlineStr">
        <x:is>
          <x:t xml:space="preserve">6-3,6-1,6-4</x:t>
        </x:is>
      </x:c>
      <x:c r="G7" t="inlineStr">
        <x:is>
          <x:t xml:space="preserve">M.Cilic</x:t>
        </x:is>
      </x:c>
      <x:c r="H7" t="n">
        <x:v>7</x:v>
      </x:c>
    </x:row>
    <x:row r="8">
      <x:c r="A8" t="n">
        <x:v>2016</x:v>
      </x:c>
      <x:c r="B8" t="inlineStr">
        <x:is>
          <x:t xml:space="preserve">Women's</x:t>
        </x:is>
      </x:c>
      <x:c r="C8" t="inlineStr">
        <x:is>
          <x:t xml:space="preserve">S. Williams</x:t>
        </x:is>
      </x:c>
      <x:c r="D8" t="n">
        <x:v>1</x:v>
      </x:c>
      <x:c r="E8" t="n">
        <x:v>83</x:v>
      </x:c>
      <x:c r="F8" t="inlineStr">
        <x:is>
          <x:t xml:space="preserve">7-5, 6-3</x:t>
        </x:is>
      </x:c>
      <x:c r="G8" t="inlineStr">
        <x:is>
          <x:t xml:space="preserve">A. Kerber</x:t>
        </x:is>
      </x:c>
      <x:c r="H8" t="n">
        <x:v>4</x:v>
      </x:c>
    </x:row>
    <x:row r="9">
      <x:c r="A9" t="n">
        <x:v>2016</x:v>
      </x:c>
      <x:c r="B9" t="inlineStr">
        <x:is>
          <x:t xml:space="preserve">Men's</x:t>
        </x:is>
      </x:c>
      <x:c r="C9" t="inlineStr">
        <x:is>
          <x:t xml:space="preserve">A. Murray</x:t>
        </x:is>
      </x:c>
      <x:c r="D9" t="n">
        <x:v>2</x:v>
      </x:c>
      <x:c r="E9" t="n">
        <x:v>170</x:v>
      </x:c>
      <x:c r="F9" t="inlineStr">
        <x:is>
          <x:t xml:space="preserve">6-4, 7-6, 7-6</x:t>
        </x:is>
      </x:c>
      <x:c r="G9" t="inlineStr">
        <x:is>
          <x:t xml:space="preserve">M. Raonic</x:t>
        </x:is>
      </x:c>
      <x:c r="H9" t="n">
        <x:v>6</x:v>
      </x:c>
    </x:row>
    <x:row r="10">
      <x:c r="A10" t="n">
        <x:v>2015</x:v>
      </x:c>
      <x:c r="B10" t="inlineStr">
        <x:is>
          <x:t xml:space="preserve">Women's</x:t>
        </x:is>
      </x:c>
      <x:c r="C10" t="inlineStr">
        <x:is>
          <x:t xml:space="preserve">S. Williams</x:t>
        </x:is>
      </x:c>
      <x:c r="D10" t="n">
        <x:v>1</x:v>
      </x:c>
      <x:c r="E10" t="n">
        <x:v>83</x:v>
      </x:c>
      <x:c r="F10" t="inlineStr">
        <x:is>
          <x:t xml:space="preserve">6-4, 6-4</x:t>
        </x:is>
      </x:c>
      <x:c r="G10" t="inlineStr">
        <x:is>
          <x:t xml:space="preserve">G. Muguruza</x:t>
        </x:is>
      </x:c>
      <x:c r="H10" t="n">
        <x:v>20</x:v>
      </x:c>
    </x:row>
    <x:row r="11">
      <x:c r="A11" t="n">
        <x:v>2015</x:v>
      </x:c>
      <x:c r="B11" t="inlineStr">
        <x:is>
          <x:t xml:space="preserve">Men's</x:t>
        </x:is>
      </x:c>
      <x:c r="C11" t="inlineStr">
        <x:is>
          <x:t xml:space="preserve">N. Djokovic</x:t>
        </x:is>
      </x:c>
      <x:c r="D11" t="n">
        <x:v>1</x:v>
      </x:c>
      <x:c r="E11" t="n">
        <x:v>176</x:v>
      </x:c>
      <x:c r="F11" t="inlineStr">
        <x:is>
          <x:t xml:space="preserve">7-6, 6-7, 6-4, 6-3</x:t>
        </x:is>
      </x:c>
      <x:c r="G11" t="inlineStr">
        <x:is>
          <x:t xml:space="preserve">R. Federer</x:t>
        </x:is>
      </x:c>
      <x:c r="H11" t="n">
        <x:v>2</x:v>
      </x:c>
    </x:row>
    <x:row r="12">
      <x:c r="A12" t="n">
        <x:v>2014</x:v>
      </x:c>
      <x:c r="B12" t="inlineStr">
        <x:is>
          <x:t xml:space="preserve">Women's</x:t>
        </x:is>
      </x:c>
      <x:c r="C12" t="inlineStr">
        <x:is>
          <x:t xml:space="preserve">P. Kvitová</x:t>
        </x:is>
      </x:c>
      <x:c r="D12" t="n">
        <x:v>6</x:v>
      </x:c>
      <x:c r="E12" t="n">
        <x:v>55</x:v>
      </x:c>
      <x:c r="F12" t="inlineStr">
        <x:is>
          <x:t xml:space="preserve">6-3, 6-0</x:t>
        </x:is>
      </x:c>
      <x:c r="G12" t="inlineStr">
        <x:is>
          <x:t xml:space="preserve">E. Bouchard</x:t>
        </x:is>
      </x:c>
      <x:c r="H12" t="n">
        <x:v>13</x:v>
      </x:c>
    </x:row>
    <x:row r="13">
      <x:c r="A13" t="n">
        <x:v>2014</x:v>
      </x:c>
      <x:c r="B13" t="inlineStr">
        <x:is>
          <x:t xml:space="preserve">Men's</x:t>
        </x:is>
      </x:c>
      <x:c r="C13" t="inlineStr">
        <x:is>
          <x:t xml:space="preserve">N. Djokovic</x:t>
        </x:is>
      </x:c>
      <x:c r="D13" t="n">
        <x:v>1</x:v>
      </x:c>
      <x:c r="E13" t="n">
        <x:v>236</x:v>
      </x:c>
      <x:c r="F13" t="inlineStr">
        <x:is>
          <x:t xml:space="preserve">6-7, 6-4, 7-64, 5-7, 6-4</x:t>
        </x:is>
      </x:c>
      <x:c r="G13" t="inlineStr">
        <x:is>
          <x:t xml:space="preserve">R. Federer</x:t>
        </x:is>
      </x:c>
      <x:c r="H13" t="n">
        <x:v>4</x:v>
      </x:c>
    </x:row>
    <x:row r="14">
      <x:c r="A14" t="n">
        <x:v>2013</x:v>
      </x:c>
      <x:c r="B14" t="inlineStr">
        <x:is>
          <x:t xml:space="preserve">Women's</x:t>
        </x:is>
      </x:c>
      <x:c r="C14" t="inlineStr">
        <x:is>
          <x:t xml:space="preserve">M. Bartoli</x:t>
        </x:is>
      </x:c>
      <x:c r="D14" t="n">
        <x:v>15</x:v>
      </x:c>
      <x:c r="E14" t="n">
        <x:v>81</x:v>
      </x:c>
      <x:c r="F14" t="inlineStr">
        <x:is>
          <x:t xml:space="preserve">6-2,1-6,6-4</x:t>
        </x:is>
      </x:c>
      <x:c r="G14" t="inlineStr">
        <x:is>
          <x:t xml:space="preserve">S. Lisicki</x:t>
        </x:is>
      </x:c>
      <x:c r="H14" t="n">
        <x:v>23</x:v>
      </x:c>
    </x:row>
    <x:row r="15">
      <x:c r="A15" t="n">
        <x:v>2013</x:v>
      </x:c>
      <x:c r="B15" t="inlineStr">
        <x:is>
          <x:t xml:space="preserve">Men's</x:t>
        </x:is>
      </x:c>
      <x:c r="C15" t="inlineStr">
        <x:is>
          <x:t xml:space="preserve">A. Murray</x:t>
        </x:is>
      </x:c>
      <x:c r="D15" t="n">
        <x:v>2</x:v>
      </x:c>
      <x:c r="E15" t="n">
        <x:v>134</x:v>
      </x:c>
      <x:c r="F15" t="inlineStr">
        <x:is>
          <x:t xml:space="preserve">6-4, 7-5, 6-4</x:t>
        </x:is>
      </x:c>
      <x:c r="G15" t="inlineStr">
        <x:is>
          <x:t xml:space="preserve">N. Djokovic</x:t>
        </x:is>
      </x:c>
      <x:c r="H15" t="n">
        <x:v>1</x:v>
      </x:c>
    </x:row>
    <x:row r="16">
      <x:c r="A16" t="n">
        <x:v>2012</x:v>
      </x:c>
      <x:c r="B16" t="inlineStr">
        <x:is>
          <x:t xml:space="preserve">Women's</x:t>
        </x:is>
      </x:c>
      <x:c r="C16" t="inlineStr">
        <x:is>
          <x:t xml:space="preserve">S. Williams</x:t>
        </x:is>
      </x:c>
      <x:c r="D16" t="n">
        <x:v>6</x:v>
      </x:c>
      <x:c r="E16" t="n">
        <x:v>122</x:v>
      </x:c>
      <x:c r="F16" t="inlineStr">
        <x:is>
          <x:t xml:space="preserve">6-1, 5-7, 6-2</x:t>
        </x:is>
      </x:c>
      <x:c r="G16" t="inlineStr">
        <x:is>
          <x:t xml:space="preserve">A. Radwańska</x:t>
        </x:is>
      </x:c>
      <x:c r="H16" t="n">
        <x:v>3</x:v>
      </x:c>
    </x:row>
    <x:row r="17">
      <x:c r="A17" t="n">
        <x:v>2012</x:v>
      </x:c>
      <x:c r="B17" t="inlineStr">
        <x:is>
          <x:t xml:space="preserve">Men's</x:t>
        </x:is>
      </x:c>
      <x:c r="C17" t="inlineStr">
        <x:is>
          <x:t xml:space="preserve">R. Federer</x:t>
        </x:is>
      </x:c>
      <x:c r="D17" t="n">
        <x:v>3</x:v>
      </x:c>
      <x:c r="E17" t="n">
        <x:v>204</x:v>
      </x:c>
      <x:c r="F17" t="inlineStr">
        <x:is>
          <x:t xml:space="preserve">4-6, 7-5, 6-3, 6-4</x:t>
        </x:is>
      </x:c>
      <x:c r="G17" t="inlineStr">
        <x:is>
          <x:t xml:space="preserve">A. Murray</x:t>
        </x:is>
      </x:c>
      <x:c r="H17" t="n">
        <x:v>4</x:v>
      </x:c>
    </x:row>
    <x:row r="18">
      <x:c r="A18" t="n">
        <x:v>2011</x:v>
      </x:c>
      <x:c r="B18" t="inlineStr">
        <x:is>
          <x:t xml:space="preserve">Women's</x:t>
        </x:is>
      </x:c>
      <x:c r="C18" t="inlineStr">
        <x:is>
          <x:t xml:space="preserve">P.Kvitova</x:t>
        </x:is>
      </x:c>
      <x:c r="D18" t="n">
        <x:v>8</x:v>
      </x:c>
      <x:c r="E18" t="n">
        <x:v>85</x:v>
      </x:c>
      <x:c r="F18" t="inlineStr">
        <x:is>
          <x:t xml:space="preserve">6-3, 6-4</x:t>
        </x:is>
      </x:c>
      <x:c r="G18" t="inlineStr">
        <x:is>
          <x:t xml:space="preserve">M. Sharapova</x:t>
        </x:is>
      </x:c>
      <x:c r="H18" t="n">
        <x:v>5</x:v>
      </x:c>
    </x:row>
    <x:row r="19">
      <x:c r="A19" t="n">
        <x:v>2011</x:v>
      </x:c>
      <x:c r="B19" t="inlineStr">
        <x:is>
          <x:t xml:space="preserve">Men's</x:t>
        </x:is>
      </x:c>
      <x:c r="C19" t="inlineStr">
        <x:is>
          <x:t xml:space="preserve">N. Djokovic</x:t>
        </x:is>
      </x:c>
      <x:c r="D19" t="n">
        <x:v>2</x:v>
      </x:c>
      <x:c r="E19" t="n">
        <x:v>148</x:v>
      </x:c>
      <x:c r="F19" t="inlineStr">
        <x:is>
          <x:t xml:space="preserve">6-4 6-1 1-6 6-3</x:t>
        </x:is>
      </x:c>
      <x:c r="G19" t="inlineStr">
        <x:is>
          <x:t xml:space="preserve">R. Nadal</x:t>
        </x:is>
      </x:c>
      <x:c r="H19" t="n">
        <x:v>1</x:v>
      </x:c>
    </x:row>
    <x:row r="20">
      <x:c r="A20" t="n">
        <x:v>2010</x:v>
      </x:c>
      <x:c r="B20" t="inlineStr">
        <x:is>
          <x:t xml:space="preserve">Women's</x:t>
        </x:is>
      </x:c>
      <x:c r="C20" t="inlineStr">
        <x:is>
          <x:t xml:space="preserve">S. Williams</x:t>
        </x:is>
      </x:c>
      <x:c r="D20" t="n">
        <x:v>1</x:v>
      </x:c>
      <x:c r="E20" t="n">
        <x:v>66</x:v>
      </x:c>
      <x:c r="F20" t="inlineStr">
        <x:is>
          <x:t xml:space="preserve">6-3, 6-2</x:t>
        </x:is>
      </x:c>
      <x:c r="G20" t="inlineStr">
        <x:is>
          <x:t xml:space="preserve">V. Zvonareva</x:t>
        </x:is>
      </x:c>
      <x:c r="H20" t="n">
        <x:v>21</x:v>
      </x:c>
    </x:row>
    <x:row r="21">
      <x:c r="A21" t="n">
        <x:v>2010</x:v>
      </x:c>
      <x:c r="B21" t="inlineStr">
        <x:is>
          <x:t xml:space="preserve">Men's</x:t>
        </x:is>
      </x:c>
      <x:c r="C21" t="inlineStr">
        <x:is>
          <x:t xml:space="preserve">R. Nadal</x:t>
        </x:is>
      </x:c>
      <x:c r="D21" t="n">
        <x:v>2</x:v>
      </x:c>
      <x:c r="E21" t="n">
        <x:v>133</x:v>
      </x:c>
      <x:c r="F21" t="inlineStr">
        <x:is>
          <x:t xml:space="preserve">6-3, 7-5, 6-4</x:t>
        </x:is>
      </x:c>
      <x:c r="G21" t="inlineStr">
        <x:is>
          <x:t xml:space="preserve">T. Berdych</x:t>
        </x:is>
      </x:c>
      <x:c r="H21" t="n">
        <x:v>12</x:v>
      </x:c>
    </x:row>
    <x:row r="22">
      <x:c r="A22" t="n">
        <x:v>2009</x:v>
      </x:c>
      <x:c r="B22" t="inlineStr">
        <x:is>
          <x:t xml:space="preserve">Women's</x:t>
        </x:is>
      </x:c>
      <x:c r="C22" t="inlineStr">
        <x:is>
          <x:t xml:space="preserve">S. Williams</x:t>
        </x:is>
      </x:c>
      <x:c r="D22" t="n">
        <x:v>2</x:v>
      </x:c>
      <x:c r="E22" t="n">
        <x:v>87</x:v>
      </x:c>
      <x:c r="F22" t="inlineStr">
        <x:is>
          <x:t xml:space="preserve">7-6 (7-3), 6-2</x:t>
        </x:is>
      </x:c>
      <x:c r="G22" t="inlineStr">
        <x:is>
          <x:t xml:space="preserve">V.E.S. Williams</x:t>
        </x:is>
      </x:c>
      <x:c r="H22" t="n">
        <x:v>3</x:v>
      </x:c>
    </x:row>
    <x:row r="23">
      <x:c r="A23" t="n">
        <x:v>2009</x:v>
      </x:c>
      <x:c r="B23" t="inlineStr">
        <x:is>
          <x:t xml:space="preserve">Men's</x:t>
        </x:is>
      </x:c>
      <x:c r="C23" t="inlineStr">
        <x:is>
          <x:t xml:space="preserve">R. Federer</x:t>
        </x:is>
      </x:c>
      <x:c r="D23" t="n">
        <x:v>2</x:v>
      </x:c>
      <x:c r="E23" t="n">
        <x:v>256</x:v>
      </x:c>
      <x:c r="F23" t="inlineStr">
        <x:is>
          <x:t xml:space="preserve">5-7, 7-6 (8-6), 7-6 (7-5), 3-6, 16-14</x:t>
        </x:is>
      </x:c>
      <x:c r="G23" t="inlineStr">
        <x:is>
          <x:t xml:space="preserve">A. Roddick</x:t>
        </x:is>
      </x:c>
      <x:c r="H23" t="n">
        <x:v>6</x:v>
      </x:c>
    </x:row>
    <x:row r="24">
      <x:c r="A24" t="n">
        <x:v>2008</x:v>
      </x:c>
      <x:c r="B24" t="inlineStr">
        <x:is>
          <x:t xml:space="preserve">Women's</x:t>
        </x:is>
      </x:c>
      <x:c r="C24" t="inlineStr">
        <x:is>
          <x:t xml:space="preserve">V.E.S. Williams</x:t>
        </x:is>
      </x:c>
      <x:c r="D24" t="n">
        <x:v>7</x:v>
      </x:c>
      <x:c r="E24" t="n">
        <x:v>111</x:v>
      </x:c>
      <x:c r="F24" t="inlineStr">
        <x:is>
          <x:t xml:space="preserve">7-5, 6-4</x:t>
        </x:is>
      </x:c>
      <x:c r="G24" t="inlineStr">
        <x:is>
          <x:t xml:space="preserve">S. Williams</x:t>
        </x:is>
      </x:c>
      <x:c r="H24" t="n">
        <x:v>6</x:v>
      </x:c>
    </x:row>
    <x:row r="25">
      <x:c r="A25" t="n">
        <x:v>2008</x:v>
      </x:c>
      <x:c r="B25" t="inlineStr">
        <x:is>
          <x:t xml:space="preserve">Men's</x:t>
        </x:is>
      </x:c>
      <x:c r="C25" t="inlineStr">
        <x:is>
          <x:t xml:space="preserve">R. Nadal</x:t>
        </x:is>
      </x:c>
      <x:c r="D25" t="n">
        <x:v>2</x:v>
      </x:c>
      <x:c r="E25" t="n">
        <x:v>288</x:v>
      </x:c>
      <x:c r="F25" t="inlineStr">
        <x:is>
          <x:t xml:space="preserve">6-4, 6-4, 6-7 (5-7), 6-7 (8-10), 9-7</x:t>
        </x:is>
      </x:c>
      <x:c r="G25" t="inlineStr">
        <x:is>
          <x:t xml:space="preserve">R. Federer</x:t>
        </x:is>
      </x:c>
      <x:c r="H25" t="n">
        <x:v>1</x:v>
      </x:c>
    </x:row>
    <x:row r="26">
      <x:c r="A26" t="n">
        <x:v>2007</x:v>
      </x:c>
      <x:c r="B26" t="inlineStr">
        <x:is>
          <x:t xml:space="preserve">Women's</x:t>
        </x:is>
      </x:c>
      <x:c r="C26" t="inlineStr">
        <x:is>
          <x:t xml:space="preserve">V.E.S. Williams</x:t>
        </x:is>
      </x:c>
      <x:c r="D26" t="n">
        <x:v>23</x:v>
      </x:c>
      <x:c r="E26" t="n">
        <x:v>90</x:v>
      </x:c>
      <x:c r="F26" t="inlineStr">
        <x:is>
          <x:t xml:space="preserve">6-4, 6-1</x:t>
        </x:is>
      </x:c>
      <x:c r="G26" t="inlineStr">
        <x:is>
          <x:t xml:space="preserve">M. Bartoli</x:t>
        </x:is>
      </x:c>
      <x:c r="H26" t="n">
        <x:v>18</x:v>
      </x:c>
    </x:row>
    <x:row r="27">
      <x:c r="A27" t="n">
        <x:v>2007</x:v>
      </x:c>
      <x:c r="B27" t="inlineStr">
        <x:is>
          <x:t xml:space="preserve">Men's</x:t>
        </x:is>
      </x:c>
      <x:c r="C27" t="inlineStr">
        <x:is>
          <x:t xml:space="preserve">R. Federer</x:t>
        </x:is>
      </x:c>
      <x:c r="D27" t="n">
        <x:v>1</x:v>
      </x:c>
      <x:c r="E27" t="n">
        <x:v>225</x:v>
      </x:c>
      <x:c r="F27" t="inlineStr">
        <x:is>
          <x:t xml:space="preserve">7-6 (9-7), 4-6, 7-6 (7-3), 2-6, 6-2</x:t>
        </x:is>
      </x:c>
      <x:c r="G27" t="inlineStr">
        <x:is>
          <x:t xml:space="preserve">R. Nadal</x:t>
        </x:is>
      </x:c>
      <x:c r="H27" t="n">
        <x:v>2</x:v>
      </x:c>
    </x:row>
    <x:row r="28">
      <x:c r="A28" t="n">
        <x:v>2006</x:v>
      </x:c>
      <x:c r="B28" t="inlineStr">
        <x:is>
          <x:t xml:space="preserve">Women's</x:t>
        </x:is>
      </x:c>
      <x:c r="C28" t="inlineStr">
        <x:is>
          <x:t xml:space="preserve">A. Mauresmo</x:t>
        </x:is>
      </x:c>
      <x:c r="D28" t="n">
        <x:v>1</x:v>
      </x:c>
      <x:c r="E28" t="n">
        <x:v>122</x:v>
      </x:c>
      <x:c r="F28" t="inlineStr">
        <x:is>
          <x:t xml:space="preserve">2-6, 6-3, 6-4</x:t>
        </x:is>
      </x:c>
      <x:c r="G28" t="inlineStr">
        <x:is>
          <x:t xml:space="preserve">P-Y Hardenne</x:t>
        </x:is>
      </x:c>
      <x:c r="H28" t="n">
        <x:v>3</x:v>
      </x:c>
    </x:row>
    <x:row r="29">
      <x:c r="A29" t="n">
        <x:v>2006</x:v>
      </x:c>
      <x:c r="B29" t="inlineStr">
        <x:is>
          <x:t xml:space="preserve">Men's</x:t>
        </x:is>
      </x:c>
      <x:c r="C29" t="inlineStr">
        <x:is>
          <x:t xml:space="preserve">R. Federer</x:t>
        </x:is>
      </x:c>
      <x:c r="D29" t="n">
        <x:v>1</x:v>
      </x:c>
      <x:c r="E29" t="n">
        <x:v>170</x:v>
      </x:c>
      <x:c r="F29" t="inlineStr">
        <x:is>
          <x:t xml:space="preserve">6-0, 7-6 (7-5), 6-7 (2-7), 6-3</x:t>
        </x:is>
      </x:c>
      <x:c r="G29" t="inlineStr">
        <x:is>
          <x:t xml:space="preserve">R. Nadal</x:t>
        </x:is>
      </x:c>
      <x:c r="H29" t="n">
        <x:v>2</x:v>
      </x:c>
    </x:row>
    <x:row r="30">
      <x:c r="A30" t="n">
        <x:v>2005</x:v>
      </x:c>
      <x:c r="B30" t="inlineStr">
        <x:is>
          <x:t xml:space="preserve">Women's</x:t>
        </x:is>
      </x:c>
      <x:c r="C30" t="inlineStr">
        <x:is>
          <x:t xml:space="preserve">V.E.S. Williams</x:t>
        </x:is>
      </x:c>
      <x:c r="D30" t="n">
        <x:v>14</x:v>
      </x:c>
      <x:c r="E30" t="n">
        <x:v>166</x:v>
      </x:c>
      <x:c r="F30" t="inlineStr">
        <x:is>
          <x:t xml:space="preserve">4-6, 7-6 (7-4), 9-7</x:t>
        </x:is>
      </x:c>
      <x:c r="G30" t="inlineStr">
        <x:is>
          <x:t xml:space="preserve">L. Davenport</x:t>
        </x:is>
      </x:c>
      <x:c r="H30" t="n">
        <x:v>1</x:v>
      </x:c>
    </x:row>
    <x:row r="31">
      <x:c r="A31" t="n">
        <x:v>2005</x:v>
      </x:c>
      <x:c r="B31" t="inlineStr">
        <x:is>
          <x:t xml:space="preserve">Men's</x:t>
        </x:is>
      </x:c>
      <x:c r="C31" t="inlineStr">
        <x:is>
          <x:t xml:space="preserve">R. Federer</x:t>
        </x:is>
      </x:c>
      <x:c r="D31" t="n">
        <x:v>1</x:v>
      </x:c>
      <x:c r="E31" t="n">
        <x:v>101</x:v>
      </x:c>
      <x:c r="F31" t="inlineStr">
        <x:is>
          <x:t xml:space="preserve">6-2, 7-6 (7-2), 6-4</x:t>
        </x:is>
      </x:c>
      <x:c r="G31" t="inlineStr">
        <x:is>
          <x:t xml:space="preserve">A. Roddick</x:t>
        </x:is>
      </x:c>
      <x:c r="H31" t="n">
        <x:v>2</x:v>
      </x:c>
    </x:row>
    <x:row r="32">
      <x:c r="A32" t="n">
        <x:v>2004</x:v>
      </x:c>
      <x:c r="B32" t="inlineStr">
        <x:is>
          <x:t xml:space="preserve">Women's</x:t>
        </x:is>
      </x:c>
      <x:c r="C32" t="inlineStr">
        <x:is>
          <x:t xml:space="preserve">M. Sharapova</x:t>
        </x:is>
      </x:c>
      <x:c r="D32" t="n">
        <x:v>13</x:v>
      </x:c>
      <x:c r="E32" t="n">
        <x:v>74</x:v>
      </x:c>
      <x:c r="F32" t="inlineStr">
        <x:is>
          <x:t xml:space="preserve">6-1, 6-4</x:t>
        </x:is>
      </x:c>
      <x:c r="G32" t="inlineStr">
        <x:is>
          <x:t xml:space="preserve">S. Williams</x:t>
        </x:is>
      </x:c>
      <x:c r="H32" t="n">
        <x:v>1</x:v>
      </x:c>
    </x:row>
    <x:row r="33">
      <x:c r="A33" t="n">
        <x:v>2004</x:v>
      </x:c>
      <x:c r="B33" t="inlineStr">
        <x:is>
          <x:t xml:space="preserve">Men's</x:t>
        </x:is>
      </x:c>
      <x:c r="C33" t="inlineStr">
        <x:is>
          <x:t xml:space="preserve">R. Federer</x:t>
        </x:is>
      </x:c>
      <x:c r="D33" t="n">
        <x:v>1</x:v>
      </x:c>
      <x:c r="E33" t="n">
        <x:v>151</x:v>
      </x:c>
      <x:c r="F33" t="inlineStr">
        <x:is>
          <x:t xml:space="preserve">4-6, 7-5, 7-6 (7-3), 6-4</x:t>
        </x:is>
      </x:c>
      <x:c r="G33" t="inlineStr">
        <x:is>
          <x:t xml:space="preserve">A. Roddick</x:t>
        </x:is>
      </x:c>
      <x:c r="H33" t="n">
        <x:v>2</x:v>
      </x:c>
    </x:row>
    <x:row r="34">
      <x:c r="A34" t="n">
        <x:v>2003</x:v>
      </x:c>
      <x:c r="B34" t="inlineStr">
        <x:is>
          <x:t xml:space="preserve">Women's</x:t>
        </x:is>
      </x:c>
      <x:c r="C34" t="inlineStr">
        <x:is>
          <x:t xml:space="preserve">S. Williams</x:t>
        </x:is>
      </x:c>
      <x:c r="D34" t="n">
        <x:v>1</x:v>
      </x:c>
      <x:c r="E34" t="n">
        <x:v>123</x:v>
      </x:c>
      <x:c r="F34" t="inlineStr">
        <x:is>
          <x:t xml:space="preserve">4-6, 6-4, 6-2</x:t>
        </x:is>
      </x:c>
      <x:c r="G34" t="inlineStr">
        <x:is>
          <x:t xml:space="preserve">V.E.S. Williams</x:t>
        </x:is>
      </x:c>
      <x:c r="H34" t="n">
        <x:v>4</x:v>
      </x:c>
    </x:row>
    <x:row r="35">
      <x:c r="A35" t="n">
        <x:v>2003</x:v>
      </x:c>
      <x:c r="B35" t="inlineStr">
        <x:is>
          <x:t xml:space="preserve">Men's</x:t>
        </x:is>
      </x:c>
      <x:c r="C35" t="inlineStr">
        <x:is>
          <x:t xml:space="preserve">R. Federer</x:t>
        </x:is>
      </x:c>
      <x:c r="D35" t="n">
        <x:v>4</x:v>
      </x:c>
      <x:c r="E35" t="n">
        <x:v>119</x:v>
      </x:c>
      <x:c r="F35" t="inlineStr">
        <x:is>
          <x:t xml:space="preserve">7-6 (7-5), 6-2, 7-6 (7-3)</x:t>
        </x:is>
      </x:c>
      <x:c r="G35" t="inlineStr">
        <x:is>
          <x:t xml:space="preserve">M. Philippousis</x:t>
        </x:is>
      </x:c>
      <x:c r="H35" t="inlineStr">
        <x:is>
          <x:t xml:space="preserve">U</x:t>
        </x:is>
      </x:c>
    </x:row>
    <x:row r="36">
      <x:c r="A36" t="n">
        <x:v>2002</x:v>
      </x:c>
      <x:c r="B36" t="inlineStr">
        <x:is>
          <x:t xml:space="preserve">Women's</x:t>
        </x:is>
      </x:c>
      <x:c r="C36" t="inlineStr">
        <x:is>
          <x:t xml:space="preserve">S. Williams</x:t>
        </x:is>
      </x:c>
      <x:c r="D36" t="n">
        <x:v>2</x:v>
      </x:c>
      <x:c r="E36" t="n">
        <x:v>78</x:v>
      </x:c>
      <x:c r="F36" t="inlineStr">
        <x:is>
          <x:t xml:space="preserve">7-6 (7-4), 6-3</x:t>
        </x:is>
      </x:c>
      <x:c r="G36" t="inlineStr">
        <x:is>
          <x:t xml:space="preserve">V.E.S. Williams</x:t>
        </x:is>
      </x:c>
      <x:c r="H36" t="n">
        <x:v>1</x:v>
      </x:c>
    </x:row>
    <x:row r="37">
      <x:c r="A37" t="n">
        <x:v>2002</x:v>
      </x:c>
      <x:c r="B37" t="inlineStr">
        <x:is>
          <x:t xml:space="preserve">Men's</x:t>
        </x:is>
      </x:c>
      <x:c r="C37" t="inlineStr">
        <x:is>
          <x:t xml:space="preserve">L.G. Hewitt</x:t>
        </x:is>
      </x:c>
      <x:c r="D37" t="n">
        <x:v>1</x:v>
      </x:c>
      <x:c r="E37" t="n">
        <x:v>116</x:v>
      </x:c>
      <x:c r="F37" t="inlineStr">
        <x:is>
          <x:t xml:space="preserve">6-1, 6-3, 6-2</x:t>
        </x:is>
      </x:c>
      <x:c r="G37" t="inlineStr">
        <x:is>
          <x:t xml:space="preserve">D.P. Nalbandian</x:t>
        </x:is>
      </x:c>
      <x:c r="H37" t="n">
        <x:v>28</x:v>
      </x:c>
    </x:row>
    <x:row r="38">
      <x:c r="A38" t="n">
        <x:v>2001</x:v>
      </x:c>
      <x:c r="B38" t="inlineStr">
        <x:is>
          <x:t xml:space="preserve">Women's</x:t>
        </x:is>
      </x:c>
      <x:c r="C38" t="inlineStr">
        <x:is>
          <x:t xml:space="preserve">V.E.S. Williams</x:t>
        </x:is>
      </x:c>
      <x:c r="D38" t="n">
        <x:v>2</x:v>
      </x:c>
      <x:c r="E38" t="n">
        <x:v>69</x:v>
      </x:c>
      <x:c r="F38" t="inlineStr">
        <x:is>
          <x:t xml:space="preserve">6-1, 3-6, 6-0</x:t>
        </x:is>
      </x:c>
      <x:c r="G38" t="inlineStr">
        <x:is>
          <x:t xml:space="preserve">J. Henin</x:t>
        </x:is>
      </x:c>
      <x:c r="H38" t="n">
        <x:v>8</x:v>
      </x:c>
    </x:row>
    <x:row r="39">
      <x:c r="A39" t="n">
        <x:v>2001</x:v>
      </x:c>
      <x:c r="B39" t="inlineStr">
        <x:is>
          <x:t xml:space="preserve">Men's</x:t>
        </x:is>
      </x:c>
      <x:c r="C39" t="inlineStr">
        <x:is>
          <x:t xml:space="preserve">G.S. Ivanisevic</x:t>
        </x:is>
      </x:c>
      <x:c r="E39" t="n">
        <x:v>182</x:v>
      </x:c>
      <x:c r="F39" t="inlineStr">
        <x:is>
          <x:t xml:space="preserve">6-3, 3-6, 6-3, 2-6, 9-7</x:t>
        </x:is>
      </x:c>
      <x:c r="G39" t="inlineStr">
        <x:is>
          <x:t xml:space="preserve">P.M. Rafter</x:t>
        </x:is>
      </x:c>
      <x:c r="H39" t="n">
        <x:v>3</x:v>
      </x:c>
    </x:row>
    <x:row r="40">
      <x:c r="A40" t="n">
        <x:v>2000</x:v>
      </x:c>
      <x:c r="B40" t="inlineStr">
        <x:is>
          <x:t xml:space="preserve">Women's</x:t>
        </x:is>
      </x:c>
      <x:c r="C40" t="inlineStr">
        <x:is>
          <x:t xml:space="preserve">V.E.S. Williams</x:t>
        </x:is>
      </x:c>
      <x:c r="D40" t="n">
        <x:v>5</x:v>
      </x:c>
      <x:c r="E40" t="n">
        <x:v>84</x:v>
      </x:c>
      <x:c r="F40" t="inlineStr">
        <x:is>
          <x:t xml:space="preserve">6-3, 7-6 (7-3)</x:t>
        </x:is>
      </x:c>
      <x:c r="G40" t="inlineStr">
        <x:is>
          <x:t xml:space="preserve">L.A. Davenport</x:t>
        </x:is>
      </x:c>
      <x:c r="H40" t="n">
        <x:v>2</x:v>
      </x:c>
    </x:row>
    <x:row r="41">
      <x:c r="A41" t="n">
        <x:v>2000</x:v>
      </x:c>
      <x:c r="B41" t="inlineStr">
        <x:is>
          <x:t xml:space="preserve">Men's</x:t>
        </x:is>
      </x:c>
      <x:c r="C41" t="inlineStr">
        <x:is>
          <x:t xml:space="preserve">P. Sampras</x:t>
        </x:is>
      </x:c>
      <x:c r="D41" t="n">
        <x:v>1</x:v>
      </x:c>
      <x:c r="E41" t="n">
        <x:v>182</x:v>
      </x:c>
      <x:c r="F41" t="inlineStr">
        <x:is>
          <x:t xml:space="preserve">6-7 (10-12), 7-6 (7-5), 6-4, 6-2</x:t>
        </x:is>
      </x:c>
      <x:c r="G41" t="inlineStr">
        <x:is>
          <x:t xml:space="preserve">P.M. Rafter</x:t>
        </x:is>
      </x:c>
      <x:c r="H41" t="n">
        <x:v>12</x:v>
      </x:c>
    </x:row>
    <x:row r="42">
      <x:c r="A42" t="n">
        <x:v>1999</x:v>
      </x:c>
      <x:c r="B42" t="inlineStr">
        <x:is>
          <x:t xml:space="preserve">Women's</x:t>
        </x:is>
      </x:c>
      <x:c r="C42" t="inlineStr">
        <x:is>
          <x:t xml:space="preserve">L.A. Davenport</x:t>
        </x:is>
      </x:c>
      <x:c r="D42" t="n">
        <x:v>3</x:v>
      </x:c>
      <x:c r="E42" t="n">
        <x:v>75</x:v>
      </x:c>
      <x:c r="F42" t="inlineStr">
        <x:is>
          <x:t xml:space="preserve">6-4, 7-5</x:t>
        </x:is>
      </x:c>
      <x:c r="G42" t="inlineStr">
        <x:is>
          <x:t xml:space="preserve">S.M. Graf</x:t>
        </x:is>
      </x:c>
      <x:c r="H42" t="n">
        <x:v>2</x:v>
      </x:c>
    </x:row>
    <x:row r="43">
      <x:c r="A43" t="n">
        <x:v>1999</x:v>
      </x:c>
      <x:c r="B43" t="inlineStr">
        <x:is>
          <x:t xml:space="preserve">Men's</x:t>
        </x:is>
      </x:c>
      <x:c r="C43" t="inlineStr">
        <x:is>
          <x:t xml:space="preserve">P. Sampras</x:t>
        </x:is>
      </x:c>
      <x:c r="D43" t="n">
        <x:v>1</x:v>
      </x:c>
      <x:c r="E43" t="n">
        <x:v>115</x:v>
      </x:c>
      <x:c r="F43" t="inlineStr">
        <x:is>
          <x:t xml:space="preserve">6-3, 6-4, 7-5</x:t>
        </x:is>
      </x:c>
      <x:c r="G43" t="inlineStr">
        <x:is>
          <x:t xml:space="preserve">A.K. Agassi</x:t>
        </x:is>
      </x:c>
      <x:c r="H43" t="n">
        <x:v>4</x:v>
      </x:c>
    </x:row>
    <x:row r="44">
      <x:c r="A44" t="n">
        <x:v>1998</x:v>
      </x:c>
      <x:c r="B44" t="inlineStr">
        <x:is>
          <x:t xml:space="preserve">Women's</x:t>
        </x:is>
      </x:c>
      <x:c r="C44" t="inlineStr">
        <x:is>
          <x:t xml:space="preserve">J. Novotna</x:t>
        </x:is>
      </x:c>
      <x:c r="D44" t="n">
        <x:v>3</x:v>
      </x:c>
      <x:c r="E44" t="n">
        <x:v>94</x:v>
      </x:c>
      <x:c r="F44" t="inlineStr">
        <x:is>
          <x:t xml:space="preserve">6-4, 7-6 (7-2)</x:t>
        </x:is>
      </x:c>
      <x:c r="G44" t="inlineStr">
        <x:is>
          <x:t xml:space="preserve">N. Tauziat</x:t>
        </x:is>
      </x:c>
      <x:c r="H44" t="n">
        <x:v>16</x:v>
      </x:c>
    </x:row>
    <x:row r="45">
      <x:c r="A45" t="n">
        <x:v>1998</x:v>
      </x:c>
      <x:c r="B45" t="inlineStr">
        <x:is>
          <x:t xml:space="preserve">Men's</x:t>
        </x:is>
      </x:c>
      <x:c r="C45" t="inlineStr">
        <x:is>
          <x:t xml:space="preserve">P. Sampras</x:t>
        </x:is>
      </x:c>
      <x:c r="D45" t="n">
        <x:v>1</x:v>
      </x:c>
      <x:c r="E45" t="n">
        <x:v>172</x:v>
      </x:c>
      <x:c r="F45" t="inlineStr">
        <x:is>
          <x:t xml:space="preserve">6-7 (2-7), 7-6 (11-9), 6-4, 3-6, 6-2</x:t>
        </x:is>
      </x:c>
      <x:c r="G45" t="inlineStr">
        <x:is>
          <x:t xml:space="preserve">G.S. Ivanisevic</x:t>
        </x:is>
      </x:c>
      <x:c r="H45" t="n">
        <x:v>14</x:v>
      </x:c>
    </x:row>
    <x:row r="46">
      <x:c r="A46" t="n">
        <x:v>1997</x:v>
      </x:c>
      <x:c r="B46" t="inlineStr">
        <x:is>
          <x:t xml:space="preserve">Women's</x:t>
        </x:is>
      </x:c>
      <x:c r="C46" t="inlineStr">
        <x:is>
          <x:t xml:space="preserve">M. Hingis</x:t>
        </x:is>
      </x:c>
      <x:c r="D46" t="n">
        <x:v>1</x:v>
      </x:c>
      <x:c r="E46" t="n">
        <x:v>110</x:v>
      </x:c>
      <x:c r="F46" t="inlineStr">
        <x:is>
          <x:t xml:space="preserve">2-6, 6-3, 6-3</x:t>
        </x:is>
      </x:c>
      <x:c r="G46" t="inlineStr">
        <x:is>
          <x:t xml:space="preserve">J. Novotna</x:t>
        </x:is>
      </x:c>
      <x:c r="H46" t="n">
        <x:v>3</x:v>
      </x:c>
    </x:row>
    <x:row r="47">
      <x:c r="A47" t="n">
        <x:v>1997</x:v>
      </x:c>
      <x:c r="B47" t="inlineStr">
        <x:is>
          <x:t xml:space="preserve">Men's</x:t>
        </x:is>
      </x:c>
      <x:c r="C47" t="inlineStr">
        <x:is>
          <x:t xml:space="preserve">P. Sampras</x:t>
        </x:is>
      </x:c>
      <x:c r="D47" t="n">
        <x:v>1</x:v>
      </x:c>
      <x:c r="E47" t="n">
        <x:v>94</x:v>
      </x:c>
      <x:c r="F47" t="inlineStr">
        <x:is>
          <x:t xml:space="preserve">6-4, 6-2, 6-4</x:t>
        </x:is>
      </x:c>
      <x:c r="G47" t="inlineStr">
        <x:is>
          <x:t xml:space="preserve">C.A. Pioline</x:t>
        </x:is>
      </x:c>
      <x:c r="H47" t="inlineStr">
        <x:is>
          <x:t xml:space="preserve">U</x:t>
        </x:is>
      </x:c>
    </x:row>
    <x:row r="48">
      <x:c r="A48" t="n">
        <x:v>1996</x:v>
      </x:c>
      <x:c r="B48" t="inlineStr">
        <x:is>
          <x:t xml:space="preserve">Women's</x:t>
        </x:is>
      </x:c>
      <x:c r="C48" t="inlineStr">
        <x:is>
          <x:t xml:space="preserve">S.M. Graf</x:t>
        </x:is>
      </x:c>
      <x:c r="D48" t="n">
        <x:v>1</x:v>
      </x:c>
      <x:c r="E48" t="n">
        <x:v>88</x:v>
      </x:c>
      <x:c r="F48" t="inlineStr">
        <x:is>
          <x:t xml:space="preserve">6-3, 7-5,</x:t>
        </x:is>
      </x:c>
      <x:c r="G48" t="inlineStr">
        <x:is>
          <x:t xml:space="preserve">A.I.M. Sanchez Vicario</x:t>
        </x:is>
      </x:c>
      <x:c r="H48" t="n">
        <x:v>4</x:v>
      </x:c>
    </x:row>
    <x:row r="49">
      <x:c r="A49" t="n">
        <x:v>1996</x:v>
      </x:c>
      <x:c r="B49" t="inlineStr">
        <x:is>
          <x:t xml:space="preserve">Men's</x:t>
        </x:is>
      </x:c>
      <x:c r="C49" t="inlineStr">
        <x:is>
          <x:t xml:space="preserve">R.P.S. Krajicek</x:t>
        </x:is>
      </x:c>
      <x:c r="E49" t="n">
        <x:v>94</x:v>
      </x:c>
      <x:c r="F49" t="inlineStr">
        <x:is>
          <x:t xml:space="preserve">6-3, 6-4, 6-3</x:t>
        </x:is>
      </x:c>
      <x:c r="G49" t="inlineStr">
        <x:is>
          <x:t xml:space="preserve">M.O. Washington</x:t>
        </x:is>
      </x:c>
      <x:c r="H49" t="inlineStr">
        <x:is>
          <x:t xml:space="preserve">U</x:t>
        </x:is>
      </x:c>
    </x:row>
    <x:row r="50">
      <x:c r="A50" t="n">
        <x:v>1995</x:v>
      </x:c>
      <x:c r="B50" t="inlineStr">
        <x:is>
          <x:t xml:space="preserve">Women's</x:t>
        </x:is>
      </x:c>
      <x:c r="C50" t="inlineStr">
        <x:is>
          <x:t xml:space="preserve">S.M. Graf</x:t>
        </x:is>
      </x:c>
      <x:c r="D50" t="n">
        <x:v>1</x:v>
      </x:c>
      <x:c r="E50" t="n">
        <x:v>122</x:v>
      </x:c>
      <x:c r="F50" t="inlineStr">
        <x:is>
          <x:t xml:space="preserve">4-6, 6-1, 7-5,</x:t>
        </x:is>
      </x:c>
      <x:c r="G50" t="inlineStr">
        <x:is>
          <x:t xml:space="preserve">A.I.M. Sanchez Vicario</x:t>
        </x:is>
      </x:c>
      <x:c r="H50" t="n">
        <x:v>2</x:v>
      </x:c>
    </x:row>
    <x:row r="51">
      <x:c r="A51" t="n">
        <x:v>1995</x:v>
      </x:c>
      <x:c r="B51" t="inlineStr">
        <x:is>
          <x:t xml:space="preserve">Men's</x:t>
        </x:is>
      </x:c>
      <x:c r="C51" t="inlineStr">
        <x:is>
          <x:t xml:space="preserve">P. Sampras</x:t>
        </x:is>
      </x:c>
      <x:c r="D51" t="n">
        <x:v>2</x:v>
      </x:c>
      <x:c r="E51" t="n">
        <x:v>149</x:v>
      </x:c>
      <x:c r="F51" t="inlineStr">
        <x:is>
          <x:t xml:space="preserve">6-7 (5-7), 6-2, 6-4, 6-2</x:t>
        </x:is>
      </x:c>
      <x:c r="G51" t="inlineStr">
        <x:is>
          <x:t xml:space="preserve">B.F. Becker</x:t>
        </x:is>
      </x:c>
      <x:c r="H51" t="n">
        <x:v>3</x:v>
      </x:c>
    </x:row>
    <x:row r="52">
      <x:c r="A52" t="n">
        <x:v>1994</x:v>
      </x:c>
      <x:c r="B52" t="inlineStr">
        <x:is>
          <x:t xml:space="preserve">Women's</x:t>
        </x:is>
      </x:c>
      <x:c r="C52" t="inlineStr">
        <x:is>
          <x:t xml:space="preserve">I.C. Martinez</x:t>
        </x:is>
      </x:c>
      <x:c r="D52" t="n">
        <x:v>3</x:v>
      </x:c>
      <x:c r="E52" t="n">
        <x:v>119</x:v>
      </x:c>
      <x:c r="F52" t="inlineStr">
        <x:is>
          <x:t xml:space="preserve">6-4, 3-6, 6-3,</x:t>
        </x:is>
      </x:c>
      <x:c r="G52" t="inlineStr">
        <x:is>
          <x:t xml:space="preserve">M. Navratilova</x:t>
        </x:is>
      </x:c>
      <x:c r="H52" t="n">
        <x:v>4</x:v>
      </x:c>
    </x:row>
    <x:row r="53">
      <x:c r="A53" t="n">
        <x:v>1994</x:v>
      </x:c>
      <x:c r="B53" t="inlineStr">
        <x:is>
          <x:t xml:space="preserve">Men's</x:t>
        </x:is>
      </x:c>
      <x:c r="C53" t="inlineStr">
        <x:is>
          <x:t xml:space="preserve">P. Sampras</x:t>
        </x:is>
      </x:c>
      <x:c r="D53" t="n">
        <x:v>1</x:v>
      </x:c>
      <x:c r="E53" t="n">
        <x:v>115</x:v>
      </x:c>
      <x:c r="F53" t="inlineStr">
        <x:is>
          <x:t xml:space="preserve">7-6 (7-2), 7-6 (7-5), 6-0</x:t>
        </x:is>
      </x:c>
      <x:c r="G53" t="inlineStr">
        <x:is>
          <x:t xml:space="preserve">G.S. Ivanisevic</x:t>
        </x:is>
      </x:c>
      <x:c r="H53" t="n">
        <x:v>4</x:v>
      </x:c>
    </x:row>
    <x:row r="54">
      <x:c r="A54" t="n">
        <x:v>1993</x:v>
      </x:c>
      <x:c r="B54" t="inlineStr">
        <x:is>
          <x:t xml:space="preserve">Women's</x:t>
        </x:is>
      </x:c>
      <x:c r="C54" t="inlineStr">
        <x:is>
          <x:t xml:space="preserve">S.M. Graf</x:t>
        </x:is>
      </x:c>
      <x:c r="D54" t="n">
        <x:v>1</x:v>
      </x:c>
      <x:c r="E54" t="n">
        <x:v>134</x:v>
      </x:c>
      <x:c r="F54" t="inlineStr">
        <x:is>
          <x:t xml:space="preserve">7-6 (8-6), 1-6, 6-4,</x:t>
        </x:is>
      </x:c>
      <x:c r="G54" t="inlineStr">
        <x:is>
          <x:t xml:space="preserve">J. Novotna</x:t>
        </x:is>
      </x:c>
      <x:c r="H54" t="n">
        <x:v>8</x:v>
      </x:c>
    </x:row>
    <x:row r="55">
      <x:c r="A55" t="n">
        <x:v>1993</x:v>
      </x:c>
      <x:c r="B55" t="inlineStr">
        <x:is>
          <x:t xml:space="preserve">Men's</x:t>
        </x:is>
      </x:c>
      <x:c r="C55" t="inlineStr">
        <x:is>
          <x:t xml:space="preserve">P. Sampras</x:t>
        </x:is>
      </x:c>
      <x:c r="D55" t="n">
        <x:v>1</x:v>
      </x:c>
      <x:c r="E55" t="n">
        <x:v>178</x:v>
      </x:c>
      <x:c r="F55" t="inlineStr">
        <x:is>
          <x:t xml:space="preserve">7-6 (7-3), 7-6 (8-6), 3-6, 6-3</x:t>
        </x:is>
      </x:c>
      <x:c r="G55" t="inlineStr">
        <x:is>
          <x:t xml:space="preserve">J.S. Courier</x:t>
        </x:is>
      </x:c>
      <x:c r="H55" t="n">
        <x:v>3</x:v>
      </x:c>
    </x:row>
    <x:row r="56">
      <x:c r="A56" t="n">
        <x:v>1992</x:v>
      </x:c>
      <x:c r="B56" t="inlineStr">
        <x:is>
          <x:t xml:space="preserve">Women's</x:t>
        </x:is>
      </x:c>
      <x:c r="C56" t="inlineStr">
        <x:is>
          <x:t xml:space="preserve">S.M. Graf</x:t>
        </x:is>
      </x:c>
      <x:c r="D56" t="n">
        <x:v>2</x:v>
      </x:c>
      <x:c r="E56" t="n">
        <x:v>58</x:v>
      </x:c>
      <x:c r="F56" t="inlineStr">
        <x:is>
          <x:t xml:space="preserve">6-2, 6-1,</x:t>
        </x:is>
      </x:c>
      <x:c r="G56" t="inlineStr">
        <x:is>
          <x:t xml:space="preserve">M. Seles</x:t>
        </x:is>
      </x:c>
      <x:c r="H56" t="n">
        <x:v>1</x:v>
      </x:c>
    </x:row>
    <x:row r="57">
      <x:c r="A57" t="n">
        <x:v>1992</x:v>
      </x:c>
      <x:c r="B57" t="inlineStr">
        <x:is>
          <x:t xml:space="preserve">Men's</x:t>
        </x:is>
      </x:c>
      <x:c r="C57" t="inlineStr">
        <x:is>
          <x:t xml:space="preserve">A.K. Agassi</x:t>
        </x:is>
      </x:c>
      <x:c r="D57" t="n">
        <x:v>12</x:v>
      </x:c>
      <x:c r="E57" t="n">
        <x:v>170</x:v>
      </x:c>
      <x:c r="F57" t="inlineStr">
        <x:is>
          <x:t xml:space="preserve">6-7 (8-10), 6-4, 6-4, 1-6, 6-4</x:t>
        </x:is>
      </x:c>
      <x:c r="G57" t="inlineStr">
        <x:is>
          <x:t xml:space="preserve">G.S. Ivanisevic</x:t>
        </x:is>
      </x:c>
      <x:c r="H57" t="n">
        <x:v>8</x:v>
      </x:c>
    </x:row>
    <x:row r="58">
      <x:c r="A58" t="n">
        <x:v>1991</x:v>
      </x:c>
      <x:c r="B58" t="inlineStr">
        <x:is>
          <x:t xml:space="preserve">Women's</x:t>
        </x:is>
      </x:c>
      <x:c r="C58" t="inlineStr">
        <x:is>
          <x:t xml:space="preserve">S.M. Graf</x:t>
        </x:is>
      </x:c>
      <x:c r="D58" t="n">
        <x:v>1</x:v>
      </x:c>
      <x:c r="E58" t="n">
        <x:v>127</x:v>
      </x:c>
      <x:c r="F58" t="inlineStr">
        <x:is>
          <x:t xml:space="preserve">6-4, 3-6, 8-6,</x:t>
        </x:is>
      </x:c>
      <x:c r="G58" t="inlineStr">
        <x:is>
          <x:t xml:space="preserve">G.B. Sabatini</x:t>
        </x:is>
      </x:c>
      <x:c r="H58" t="n">
        <x:v>2</x:v>
      </x:c>
    </x:row>
    <x:row r="59">
      <x:c r="A59" t="n">
        <x:v>1991</x:v>
      </x:c>
      <x:c r="B59" t="inlineStr">
        <x:is>
          <x:t xml:space="preserve">Men's</x:t>
        </x:is>
      </x:c>
      <x:c r="C59" t="inlineStr">
        <x:is>
          <x:t xml:space="preserve">M.D. Stich</x:t>
        </x:is>
      </x:c>
      <x:c r="D59" t="n">
        <x:v>6</x:v>
      </x:c>
      <x:c r="E59" t="n">
        <x:v>153</x:v>
      </x:c>
      <x:c r="F59" t="inlineStr">
        <x:is>
          <x:t xml:space="preserve">6-4, 7-6 (7-4), 6-4</x:t>
        </x:is>
      </x:c>
      <x:c r="G59" t="inlineStr">
        <x:is>
          <x:t xml:space="preserve">B.F. Becker</x:t>
        </x:is>
      </x:c>
      <x:c r="H59" t="n">
        <x:v>2</x:v>
      </x:c>
    </x:row>
    <x:row r="60">
      <x:c r="A60" t="n">
        <x:v>1990</x:v>
      </x:c>
      <x:c r="B60" t="inlineStr">
        <x:is>
          <x:t xml:space="preserve">Women's</x:t>
        </x:is>
      </x:c>
      <x:c r="C60" t="inlineStr">
        <x:is>
          <x:t xml:space="preserve">M. Navratilova</x:t>
        </x:is>
      </x:c>
      <x:c r="D60" t="n">
        <x:v>2</x:v>
      </x:c>
      <x:c r="E60" t="n">
        <x:v>75</x:v>
      </x:c>
      <x:c r="F60" t="inlineStr">
        <x:is>
          <x:t xml:space="preserve">6-4, 6-1,</x:t>
        </x:is>
      </x:c>
      <x:c r="G60" t="inlineStr">
        <x:is>
          <x:t xml:space="preserve">Z.L. Garrison</x:t>
        </x:is>
      </x:c>
      <x:c r="H60" t="n">
        <x:v>5</x:v>
      </x:c>
    </x:row>
    <x:row r="61">
      <x:c r="A61" t="n">
        <x:v>1990</x:v>
      </x:c>
      <x:c r="B61" t="inlineStr">
        <x:is>
          <x:t xml:space="preserve">Men's</x:t>
        </x:is>
      </x:c>
      <x:c r="C61" t="inlineStr">
        <x:is>
          <x:t xml:space="preserve">S.B. Edberg</x:t>
        </x:is>
      </x:c>
      <x:c r="D61" t="n">
        <x:v>3</x:v>
      </x:c>
      <x:c r="E61" t="n">
        <x:v>178</x:v>
      </x:c>
      <x:c r="F61" t="inlineStr">
        <x:is>
          <x:t xml:space="preserve">6-2, 6-2, 3-6, 3-6, 6-4</x:t>
        </x:is>
      </x:c>
      <x:c r="G61" t="inlineStr">
        <x:is>
          <x:t xml:space="preserve">B.F. Becker</x:t>
        </x:is>
      </x:c>
      <x:c r="H61" t="n">
        <x:v>2</x:v>
      </x:c>
    </x:row>
    <x:row r="62">
      <x:c r="A62" t="n">
        <x:v>1989</x:v>
      </x:c>
      <x:c r="B62" t="inlineStr">
        <x:is>
          <x:t xml:space="preserve">Women's</x:t>
        </x:is>
      </x:c>
      <x:c r="C62" t="inlineStr">
        <x:is>
          <x:t xml:space="preserve">S.M. Graf</x:t>
        </x:is>
      </x:c>
      <x:c r="D62" t="n">
        <x:v>1</x:v>
      </x:c>
      <x:c r="E62" t="n">
        <x:v>92</x:v>
      </x:c>
      <x:c r="F62" t="inlineStr">
        <x:is>
          <x:t xml:space="preserve">6-2, 6-7 (1-7), 6-1,</x:t>
        </x:is>
      </x:c>
      <x:c r="G62" t="inlineStr">
        <x:is>
          <x:t xml:space="preserve">M. Navratilova</x:t>
        </x:is>
      </x:c>
      <x:c r="H62" t="n">
        <x:v>2</x:v>
      </x:c>
    </x:row>
    <x:row r="63">
      <x:c r="A63" t="n">
        <x:v>1989</x:v>
      </x:c>
      <x:c r="B63" t="inlineStr">
        <x:is>
          <x:t xml:space="preserve">Men's</x:t>
        </x:is>
      </x:c>
      <x:c r="C63" t="inlineStr">
        <x:is>
          <x:t xml:space="preserve">B.F. Becker</x:t>
        </x:is>
      </x:c>
      <x:c r="D63" t="n">
        <x:v>3</x:v>
      </x:c>
      <x:c r="E63" t="n">
        <x:v>132</x:v>
      </x:c>
      <x:c r="F63" t="inlineStr">
        <x:is>
          <x:t xml:space="preserve">6-0, 7-6 (7-1), 6-4</x:t>
        </x:is>
      </x:c>
      <x:c r="G63" t="inlineStr">
        <x:is>
          <x:t xml:space="preserve">S.B. Edberg</x:t>
        </x:is>
      </x:c>
      <x:c r="H63" t="n">
        <x:v>2</x:v>
      </x:c>
    </x:row>
    <x:row r="64">
      <x:c r="A64" t="n">
        <x:v>1988</x:v>
      </x:c>
      <x:c r="B64" t="inlineStr">
        <x:is>
          <x:t xml:space="preserve">Women's</x:t>
        </x:is>
      </x:c>
      <x:c r="C64" t="inlineStr">
        <x:is>
          <x:t xml:space="preserve">S.M. Graf</x:t>
        </x:is>
      </x:c>
      <x:c r="D64" t="n">
        <x:v>1</x:v>
      </x:c>
      <x:c r="E64" t="n">
        <x:v>93</x:v>
      </x:c>
      <x:c r="F64" t="inlineStr">
        <x:is>
          <x:t xml:space="preserve">5-7, 6-2, 6-1,</x:t>
        </x:is>
      </x:c>
      <x:c r="G64" t="inlineStr">
        <x:is>
          <x:t xml:space="preserve">M. Navratilova</x:t>
        </x:is>
      </x:c>
      <x:c r="H64" t="n">
        <x:v>2</x:v>
      </x:c>
    </x:row>
    <x:row r="65">
      <x:c r="A65" t="n">
        <x:v>1988</x:v>
      </x:c>
      <x:c r="B65" t="inlineStr">
        <x:is>
          <x:t xml:space="preserve">Men's</x:t>
        </x:is>
      </x:c>
      <x:c r="C65" t="inlineStr">
        <x:is>
          <x:t xml:space="preserve">S.B. Edberg</x:t>
        </x:is>
      </x:c>
      <x:c r="D65" t="n">
        <x:v>3</x:v>
      </x:c>
      <x:c r="E65" t="n">
        <x:v>170</x:v>
      </x:c>
      <x:c r="F65" t="inlineStr">
        <x:is>
          <x:t xml:space="preserve">4-6, 7-6 (7-2), 6-4, 6-2</x:t>
        </x:is>
      </x:c>
      <x:c r="G65" t="inlineStr">
        <x:is>
          <x:t xml:space="preserve">B.F. Becker</x:t>
        </x:is>
      </x:c>
      <x:c r="H65" t="n">
        <x:v>6</x:v>
      </x:c>
    </x:row>
    <x:row r="66">
      <x:c r="A66" t="n">
        <x:v>1987</x:v>
      </x:c>
      <x:c r="B66" t="inlineStr">
        <x:is>
          <x:t xml:space="preserve">Women's</x:t>
        </x:is>
      </x:c>
      <x:c r="C66" t="inlineStr">
        <x:is>
          <x:t xml:space="preserve">M. Navratilova</x:t>
        </x:is>
      </x:c>
      <x:c r="D66" t="n">
        <x:v>1</x:v>
      </x:c>
      <x:c r="E66" t="n">
        <x:v>69</x:v>
      </x:c>
      <x:c r="F66" t="inlineStr">
        <x:is>
          <x:t xml:space="preserve">7-5, 6-3,</x:t>
        </x:is>
      </x:c>
      <x:c r="G66" t="inlineStr">
        <x:is>
          <x:t xml:space="preserve">S.M. Graf</x:t>
        </x:is>
      </x:c>
      <x:c r="H66" t="n">
        <x:v>2</x:v>
      </x:c>
    </x:row>
    <x:row r="67">
      <x:c r="A67" t="n">
        <x:v>1987</x:v>
      </x:c>
      <x:c r="B67" t="inlineStr">
        <x:is>
          <x:t xml:space="preserve">Men's</x:t>
        </x:is>
      </x:c>
      <x:c r="C67" t="inlineStr">
        <x:is>
          <x:t xml:space="preserve">P.H. Cash</x:t>
        </x:is>
      </x:c>
      <x:c r="D67" t="n">
        <x:v>11</x:v>
      </x:c>
      <x:c r="E67" t="n">
        <x:v>165</x:v>
      </x:c>
      <x:c r="F67" t="inlineStr">
        <x:is>
          <x:t xml:space="preserve">7-6 (7-5), 6-2, 7-5</x:t>
        </x:is>
      </x:c>
      <x:c r="G67" t="inlineStr">
        <x:is>
          <x:t xml:space="preserve">I. Lendl</x:t>
        </x:is>
      </x:c>
      <x:c r="H67" t="n">
        <x:v>2</x:v>
      </x:c>
    </x:row>
    <x:row r="68">
      <x:c r="A68" t="n">
        <x:v>1986</x:v>
      </x:c>
      <x:c r="B68" t="inlineStr">
        <x:is>
          <x:t xml:space="preserve">Women's</x:t>
        </x:is>
      </x:c>
      <x:c r="C68" t="inlineStr">
        <x:is>
          <x:t xml:space="preserve">M. Navratilova</x:t>
        </x:is>
      </x:c>
      <x:c r="D68" t="n">
        <x:v>1</x:v>
      </x:c>
      <x:c r="E68" t="n">
        <x:v>72</x:v>
      </x:c>
      <x:c r="F68" t="inlineStr">
        <x:is>
          <x:t xml:space="preserve">7-6 (7-1), 6-3,</x:t>
        </x:is>
      </x:c>
      <x:c r="G68" t="inlineStr">
        <x:is>
          <x:t xml:space="preserve">H. Mandlikova</x:t>
        </x:is>
      </x:c>
      <x:c r="H68" t="n">
        <x:v>3</x:v>
      </x:c>
    </x:row>
    <x:row r="69">
      <x:c r="A69" t="n">
        <x:v>1986</x:v>
      </x:c>
      <x:c r="B69" t="inlineStr">
        <x:is>
          <x:t xml:space="preserve">Men's</x:t>
        </x:is>
      </x:c>
      <x:c r="C69" t="inlineStr">
        <x:is>
          <x:t xml:space="preserve">B.F. Becker</x:t>
        </x:is>
      </x:c>
      <x:c r="D69" t="n">
        <x:v>4</x:v>
      </x:c>
      <x:c r="E69" t="n">
        <x:v>122</x:v>
      </x:c>
      <x:c r="F69" t="inlineStr">
        <x:is>
          <x:t xml:space="preserve">6-4, 6-3, 7-5</x:t>
        </x:is>
      </x:c>
      <x:c r="G69" t="inlineStr">
        <x:is>
          <x:t xml:space="preserve">I. Lendl</x:t>
        </x:is>
      </x:c>
      <x:c r="H69" t="n">
        <x:v>1</x:v>
      </x:c>
    </x:row>
    <x:row r="70">
      <x:c r="A70" t="n">
        <x:v>1985</x:v>
      </x:c>
      <x:c r="B70" t="inlineStr">
        <x:is>
          <x:t xml:space="preserve">Women's</x:t>
        </x:is>
      </x:c>
      <x:c r="C70" t="inlineStr">
        <x:is>
          <x:t xml:space="preserve">M. Navratilova</x:t>
        </x:is>
      </x:c>
      <x:c r="D70" t="n">
        <x:v>1</x:v>
      </x:c>
      <x:c r="E70" t="n">
        <x:v>107</x:v>
      </x:c>
      <x:c r="F70" t="inlineStr">
        <x:is>
          <x:t xml:space="preserve">4-6, 6-3, 6-2,</x:t>
        </x:is>
      </x:c>
      <x:c r="G70" t="inlineStr">
        <x:is>
          <x:t xml:space="preserve">J.M. Lloyd</x:t>
        </x:is>
      </x:c>
      <x:c r="H70" t="n">
        <x:v>1</x:v>
      </x:c>
    </x:row>
    <x:row r="71">
      <x:c r="A71" t="n">
        <x:v>1985</x:v>
      </x:c>
      <x:c r="B71" t="inlineStr">
        <x:is>
          <x:t xml:space="preserve">Men's</x:t>
        </x:is>
      </x:c>
      <x:c r="C71" t="inlineStr">
        <x:is>
          <x:t xml:space="preserve">B.F. Becker</x:t>
        </x:is>
      </x:c>
      <x:c r="E71" t="n">
        <x:v>198</x:v>
      </x:c>
      <x:c r="F71" t="inlineStr">
        <x:is>
          <x:t xml:space="preserve">6-3, 6-7 (4-7), 7-6 (7-3), 6-4</x:t>
        </x:is>
      </x:c>
      <x:c r="G71" t="inlineStr">
        <x:is>
          <x:t xml:space="preserve">K.M. Curren</x:t>
        </x:is>
      </x:c>
      <x:c r="H71" t="n">
        <x:v>8</x:v>
      </x:c>
    </x:row>
    <x:row r="72">
      <x:c r="A72" t="n">
        <x:v>1984</x:v>
      </x:c>
      <x:c r="B72" t="inlineStr">
        <x:is>
          <x:t xml:space="preserve">Women's</x:t>
        </x:is>
      </x:c>
      <x:c r="C72" t="inlineStr">
        <x:is>
          <x:t xml:space="preserve">M. Navratilova</x:t>
        </x:is>
      </x:c>
      <x:c r="D72" t="n">
        <x:v>1</x:v>
      </x:c>
      <x:c r="E72" t="n">
        <x:v>84</x:v>
      </x:c>
      <x:c r="F72" t="inlineStr">
        <x:is>
          <x:t xml:space="preserve">7-6 (7-5), 6-2,</x:t>
        </x:is>
      </x:c>
      <x:c r="G72" t="inlineStr">
        <x:is>
          <x:t xml:space="preserve">J.M. Lloyd</x:t>
        </x:is>
      </x:c>
      <x:c r="H72" t="n">
        <x:v>2</x:v>
      </x:c>
    </x:row>
    <x:row r="73">
      <x:c r="A73" t="n">
        <x:v>1984</x:v>
      </x:c>
      <x:c r="B73" t="inlineStr">
        <x:is>
          <x:t xml:space="preserve">Men's</x:t>
        </x:is>
      </x:c>
      <x:c r="C73" t="inlineStr">
        <x:is>
          <x:t xml:space="preserve">J.P. McEnroe</x:t>
        </x:is>
      </x:c>
      <x:c r="D73" t="n">
        <x:v>1</x:v>
      </x:c>
      <x:c r="E73" t="n">
        <x:v>80</x:v>
      </x:c>
      <x:c r="F73" t="inlineStr">
        <x:is>
          <x:t xml:space="preserve">6-1, 6-1, 6-2</x:t>
        </x:is>
      </x:c>
      <x:c r="G73" t="inlineStr">
        <x:is>
          <x:t xml:space="preserve">J.S. Connors</x:t>
        </x:is>
      </x:c>
      <x:c r="H73" t="n">
        <x:v>3</x:v>
      </x:c>
    </x:row>
    <x:row r="74">
      <x:c r="A74" t="n">
        <x:v>1983</x:v>
      </x:c>
      <x:c r="B74" t="inlineStr">
        <x:is>
          <x:t xml:space="preserve">Women's</x:t>
        </x:is>
      </x:c>
      <x:c r="C74" t="inlineStr">
        <x:is>
          <x:t xml:space="preserve">M. Navratilova</x:t>
        </x:is>
      </x:c>
      <x:c r="D74" t="n">
        <x:v>1</x:v>
      </x:c>
      <x:c r="E74" t="n">
        <x:v>54</x:v>
      </x:c>
      <x:c r="F74" t="inlineStr">
        <x:is>
          <x:t xml:space="preserve">6-0, 6-3,</x:t>
        </x:is>
      </x:c>
      <x:c r="G74" t="inlineStr">
        <x:is>
          <x:t xml:space="preserve">A. Jaeger</x:t>
        </x:is>
      </x:c>
      <x:c r="H74" t="n">
        <x:v>3</x:v>
      </x:c>
    </x:row>
    <x:row r="75">
      <x:c r="A75" t="n">
        <x:v>1983</x:v>
      </x:c>
      <x:c r="B75" t="inlineStr">
        <x:is>
          <x:t xml:space="preserve">Men's</x:t>
        </x:is>
      </x:c>
      <x:c r="C75" t="inlineStr">
        <x:is>
          <x:t xml:space="preserve">J.P. McEnroe</x:t>
        </x:is>
      </x:c>
      <x:c r="D75" t="n">
        <x:v>2</x:v>
      </x:c>
      <x:c r="E75" t="n">
        <x:v>85</x:v>
      </x:c>
      <x:c r="F75" t="inlineStr">
        <x:is>
          <x:t xml:space="preserve">6-2, 6-2, 6-2</x:t>
        </x:is>
      </x:c>
      <x:c r="G75" t="inlineStr">
        <x:is>
          <x:t xml:space="preserve">C.J. Lewis</x:t>
        </x:is>
      </x:c>
      <x:c r="H75" t="inlineStr">
        <x:is>
          <x:t xml:space="preserve">U</x:t>
        </x:is>
      </x:c>
    </x:row>
    <x:row r="76">
      <x:c r="A76" t="n">
        <x:v>1982</x:v>
      </x:c>
      <x:c r="B76" t="inlineStr">
        <x:is>
          <x:t xml:space="preserve">Women's</x:t>
        </x:is>
      </x:c>
      <x:c r="C76" t="inlineStr">
        <x:is>
          <x:t xml:space="preserve">M. Navratilova</x:t>
        </x:is>
      </x:c>
      <x:c r="D76" t="n">
        <x:v>1</x:v>
      </x:c>
      <x:c r="E76" t="n">
        <x:v>87</x:v>
      </x:c>
      <x:c r="F76" t="inlineStr">
        <x:is>
          <x:t xml:space="preserve">6-1, 3-6, 6-2,</x:t>
        </x:is>
      </x:c>
      <x:c r="G76" t="inlineStr">
        <x:is>
          <x:t xml:space="preserve">J.M. Lloyd</x:t>
        </x:is>
      </x:c>
      <x:c r="H76" t="n">
        <x:v>2</x:v>
      </x:c>
    </x:row>
    <x:row r="77">
      <x:c r="A77" t="n">
        <x:v>1982</x:v>
      </x:c>
      <x:c r="B77" t="inlineStr">
        <x:is>
          <x:t xml:space="preserve">Men's</x:t>
        </x:is>
      </x:c>
      <x:c r="C77" t="inlineStr">
        <x:is>
          <x:t xml:space="preserve">J.S. Connors</x:t>
        </x:is>
      </x:c>
      <x:c r="D77" t="n">
        <x:v>2</x:v>
      </x:c>
      <x:c r="E77" t="n">
        <x:v>256</x:v>
      </x:c>
      <x:c r="F77" t="inlineStr">
        <x:is>
          <x:t xml:space="preserve">3-6, 6-3, 6-7 (2-7), 7-6 (7-5), 6-4</x:t>
        </x:is>
      </x:c>
      <x:c r="G77" t="inlineStr">
        <x:is>
          <x:t xml:space="preserve">J.P. McEnroe</x:t>
        </x:is>
      </x:c>
      <x:c r="H77" t="n">
        <x:v>1</x:v>
      </x:c>
    </x:row>
    <x:row r="78">
      <x:c r="A78" t="n">
        <x:v>1981</x:v>
      </x:c>
      <x:c r="B78" t="inlineStr">
        <x:is>
          <x:t xml:space="preserve">Women's</x:t>
        </x:is>
      </x:c>
      <x:c r="C78" t="inlineStr">
        <x:is>
          <x:t xml:space="preserve">J.M. Lloyd</x:t>
        </x:is>
      </x:c>
      <x:c r="D78" t="n">
        <x:v>1</x:v>
      </x:c>
      <x:c r="E78" t="n">
        <x:v>60</x:v>
      </x:c>
      <x:c r="F78" t="inlineStr">
        <x:is>
          <x:t xml:space="preserve">6-2, 6-2,</x:t>
        </x:is>
      </x:c>
      <x:c r="G78" t="inlineStr">
        <x:is>
          <x:t xml:space="preserve">H. Mandlikova</x:t>
        </x:is>
      </x:c>
      <x:c r="H78" t="n">
        <x:v>2</x:v>
      </x:c>
    </x:row>
    <x:row r="79">
      <x:c r="A79" t="n">
        <x:v>1981</x:v>
      </x:c>
      <x:c r="B79" t="inlineStr">
        <x:is>
          <x:t xml:space="preserve">Men's</x:t>
        </x:is>
      </x:c>
      <x:c r="C79" t="inlineStr">
        <x:is>
          <x:t xml:space="preserve">J.P. McEnroe</x:t>
        </x:is>
      </x:c>
      <x:c r="D79" t="n">
        <x:v>2</x:v>
      </x:c>
      <x:c r="E79" t="n">
        <x:v>202</x:v>
      </x:c>
      <x:c r="F79" t="inlineStr">
        <x:is>
          <x:t xml:space="preserve">4-6, 7-6 (7-1), 7-6 (7-4), 6-4</x:t>
        </x:is>
      </x:c>
      <x:c r="G79" t="inlineStr">
        <x:is>
          <x:t xml:space="preserve">B.R. Borg</x:t>
        </x:is>
      </x:c>
      <x:c r="H79" t="n">
        <x:v>1</x:v>
      </x:c>
    </x:row>
    <x:row r="80">
      <x:c r="A80" t="n">
        <x:v>1980</x:v>
      </x:c>
      <x:c r="B80" t="inlineStr">
        <x:is>
          <x:t xml:space="preserve">Women's</x:t>
        </x:is>
      </x:c>
      <x:c r="C80" t="inlineStr">
        <x:is>
          <x:t xml:space="preserve">R.A. Cawley</x:t>
        </x:is>
      </x:c>
      <x:c r="D80" t="n">
        <x:v>4</x:v>
      </x:c>
      <x:c r="E80" t="n">
        <x:v>93</x:v>
      </x:c>
      <x:c r="F80" t="inlineStr">
        <x:is>
          <x:t xml:space="preserve">6-1, 7-6 (7-4)</x:t>
        </x:is>
      </x:c>
      <x:c r="G80" t="inlineStr">
        <x:is>
          <x:t xml:space="preserve">J.M. Lloyd</x:t>
        </x:is>
      </x:c>
      <x:c r="H80" t="n">
        <x:v>3</x:v>
      </x:c>
    </x:row>
    <x:row r="81">
      <x:c r="A81" t="n">
        <x:v>1980</x:v>
      </x:c>
      <x:c r="B81" t="inlineStr">
        <x:is>
          <x:t xml:space="preserve">Men's</x:t>
        </x:is>
      </x:c>
      <x:c r="C81" t="inlineStr">
        <x:is>
          <x:t xml:space="preserve">B.R. Borg</x:t>
        </x:is>
      </x:c>
      <x:c r="D81" t="n">
        <x:v>1</x:v>
      </x:c>
      <x:c r="E81" t="n">
        <x:v>233</x:v>
      </x:c>
      <x:c r="F81" t="inlineStr">
        <x:is>
          <x:t xml:space="preserve">1-6, 7-5, 6-3, 6-7 (16-18), 8-6</x:t>
        </x:is>
      </x:c>
      <x:c r="G81" t="inlineStr">
        <x:is>
          <x:t xml:space="preserve">J.P. McEnroe</x:t>
        </x:is>
      </x:c>
      <x:c r="H81" t="n">
        <x:v>2</x:v>
      </x:c>
    </x:row>
    <x:row r="82">
      <x:c r="A82" t="n">
        <x:v>1979</x:v>
      </x:c>
      <x:c r="B82" t="inlineStr">
        <x:is>
          <x:t xml:space="preserve">Women's</x:t>
        </x:is>
      </x:c>
      <x:c r="C82" t="inlineStr">
        <x:is>
          <x:t xml:space="preserve">M. Navratilova</x:t>
        </x:is>
      </x:c>
      <x:c r="D82" t="n">
        <x:v>1</x:v>
      </x:c>
      <x:c r="E82" t="n">
        <x:v>60</x:v>
      </x:c>
      <x:c r="F82" t="inlineStr">
        <x:is>
          <x:t xml:space="preserve">6-4, 6-4,</x:t>
        </x:is>
      </x:c>
      <x:c r="G82" t="inlineStr">
        <x:is>
          <x:t xml:space="preserve">J.M. Lloyd</x:t>
        </x:is>
      </x:c>
      <x:c r="H82" t="n">
        <x:v>2</x:v>
      </x:c>
    </x:row>
    <x:row r="83">
      <x:c r="A83" t="n">
        <x:v>1979</x:v>
      </x:c>
      <x:c r="B83" t="inlineStr">
        <x:is>
          <x:t xml:space="preserve">Men's</x:t>
        </x:is>
      </x:c>
      <x:c r="C83" t="inlineStr">
        <x:is>
          <x:t xml:space="preserve">B.R. Borg</x:t>
        </x:is>
      </x:c>
      <x:c r="D83" t="n">
        <x:v>1</x:v>
      </x:c>
      <x:c r="E83" t="n">
        <x:v>169</x:v>
      </x:c>
      <x:c r="F83" t="inlineStr">
        <x:is>
          <x:t xml:space="preserve">6-7(4-7), 6-1, 3-6, 6-3, 6-4</x:t>
        </x:is>
      </x:c>
      <x:c r="G83" t="inlineStr">
        <x:is>
          <x:t xml:space="preserve">R. Tanner</x:t>
        </x:is>
      </x:c>
      <x:c r="H83" t="n">
        <x:v>5</x:v>
      </x:c>
    </x:row>
    <x:row r="84">
      <x:c r="A84" t="n">
        <x:v>1978</x:v>
      </x:c>
      <x:c r="B84" t="inlineStr">
        <x:is>
          <x:t xml:space="preserve">Women's</x:t>
        </x:is>
      </x:c>
      <x:c r="C84" t="inlineStr">
        <x:is>
          <x:t xml:space="preserve">M. Navratilova</x:t>
        </x:is>
      </x:c>
      <x:c r="D84" t="n">
        <x:v>2</x:v>
      </x:c>
      <x:c r="E84" t="n">
        <x:v>102</x:v>
      </x:c>
      <x:c r="F84" t="inlineStr">
        <x:is>
          <x:t xml:space="preserve">2-6, 6-4, 7-5,</x:t>
        </x:is>
      </x:c>
      <x:c r="G84" t="inlineStr">
        <x:is>
          <x:t xml:space="preserve">C.M. Evert</x:t>
        </x:is>
      </x:c>
      <x:c r="H84" t="n">
        <x:v>1</x:v>
      </x:c>
    </x:row>
    <x:row r="85">
      <x:c r="A85" t="n">
        <x:v>1978</x:v>
      </x:c>
      <x:c r="B85" t="inlineStr">
        <x:is>
          <x:t xml:space="preserve">Men's</x:t>
        </x:is>
      </x:c>
      <x:c r="C85" t="inlineStr">
        <x:is>
          <x:t xml:space="preserve">B.R. Borg</x:t>
        </x:is>
      </x:c>
      <x:c r="D85" t="n">
        <x:v>1</x:v>
      </x:c>
      <x:c r="E85" t="n">
        <x:v>108</x:v>
      </x:c>
      <x:c r="F85" t="inlineStr">
        <x:is>
          <x:t xml:space="preserve">6-2, 6-2, 6-3</x:t>
        </x:is>
      </x:c>
      <x:c r="G85" t="inlineStr">
        <x:is>
          <x:t xml:space="preserve">J.S. Connors</x:t>
        </x:is>
      </x:c>
      <x:c r="H85" t="n">
        <x:v>2</x:v>
      </x:c>
    </x:row>
    <x:row r="86">
      <x:c r="A86" t="n">
        <x:v>1977</x:v>
      </x:c>
      <x:c r="B86" t="inlineStr">
        <x:is>
          <x:t xml:space="preserve">Women's</x:t>
        </x:is>
      </x:c>
      <x:c r="C86" t="inlineStr">
        <x:is>
          <x:t xml:space="preserve">S.V. Wade</x:t>
        </x:is>
      </x:c>
      <x:c r="D86" t="n">
        <x:v>3</x:v>
      </x:c>
      <x:c r="E86" t="n">
        <x:v>98</x:v>
      </x:c>
      <x:c r="F86" t="inlineStr">
        <x:is>
          <x:t xml:space="preserve">4-6, 6-3, 6-1,</x:t>
        </x:is>
      </x:c>
      <x:c r="G86" t="inlineStr">
        <x:is>
          <x:t xml:space="preserve">B.F. Stove</x:t>
        </x:is>
      </x:c>
      <x:c r="H86" t="n">
        <x:v>7</x:v>
      </x:c>
    </x:row>
    <x:row r="87">
      <x:c r="A87" t="n">
        <x:v>1977</x:v>
      </x:c>
      <x:c r="B87" t="inlineStr">
        <x:is>
          <x:t xml:space="preserve">Men's</x:t>
        </x:is>
      </x:c>
      <x:c r="C87" t="inlineStr">
        <x:is>
          <x:t xml:space="preserve">B.R. Borg</x:t>
        </x:is>
      </x:c>
      <x:c r="D87" t="n">
        <x:v>2</x:v>
      </x:c>
      <x:c r="E87" t="n">
        <x:v>194</x:v>
      </x:c>
      <x:c r="F87" t="inlineStr">
        <x:is>
          <x:t xml:space="preserve">3-6, 6-2, 6-1, 5-7, 6-4</x:t>
        </x:is>
      </x:c>
      <x:c r="G87" t="inlineStr">
        <x:is>
          <x:t xml:space="preserve">J.S. Connors</x:t>
        </x:is>
      </x:c>
      <x:c r="H87" t="n">
        <x:v>1</x:v>
      </x:c>
    </x:row>
    <x:row r="88">
      <x:c r="A88" t="n">
        <x:v>1976</x:v>
      </x:c>
      <x:c r="B88" t="inlineStr">
        <x:is>
          <x:t xml:space="preserve">Women's</x:t>
        </x:is>
      </x:c>
      <x:c r="C88" t="inlineStr">
        <x:is>
          <x:t xml:space="preserve">C.M. Evert</x:t>
        </x:is>
      </x:c>
      <x:c r="D88" t="n">
        <x:v>1</x:v>
      </x:c>
      <x:c r="E88" t="n">
        <x:v>120</x:v>
      </x:c>
      <x:c r="F88" t="inlineStr">
        <x:is>
          <x:t xml:space="preserve">6-3, 4-6, 8-6,</x:t>
        </x:is>
      </x:c>
      <x:c r="G88" t="inlineStr">
        <x:is>
          <x:t xml:space="preserve">R.A. Cawley</x:t>
        </x:is>
      </x:c>
      <x:c r="H88" t="n">
        <x:v>2</x:v>
      </x:c>
    </x:row>
    <x:row r="89">
      <x:c r="A89" t="n">
        <x:v>1976</x:v>
      </x:c>
      <x:c r="B89" t="inlineStr">
        <x:is>
          <x:t xml:space="preserve">Men's</x:t>
        </x:is>
      </x:c>
      <x:c r="C89" t="inlineStr">
        <x:is>
          <x:t xml:space="preserve">B.R. Borg</x:t>
        </x:is>
      </x:c>
      <x:c r="D89" t="n">
        <x:v>4</x:v>
      </x:c>
      <x:c r="E89" t="n">
        <x:v>110</x:v>
      </x:c>
      <x:c r="F89" t="inlineStr">
        <x:is>
          <x:t xml:space="preserve">6-4, 6-2, 9-7</x:t>
        </x:is>
      </x:c>
      <x:c r="G89" t="inlineStr">
        <x:is>
          <x:t xml:space="preserve">I. Nastase</x:t>
        </x:is>
      </x:c>
      <x:c r="H89" t="n">
        <x:v>3</x:v>
      </x:c>
    </x:row>
    <x:row r="90">
      <x:c r="A90" t="n">
        <x:v>1975</x:v>
      </x:c>
      <x:c r="B90" t="inlineStr">
        <x:is>
          <x:t xml:space="preserve">Women's</x:t>
        </x:is>
      </x:c>
      <x:c r="C90" t="inlineStr">
        <x:is>
          <x:t xml:space="preserve">L.W. King</x:t>
        </x:is>
      </x:c>
      <x:c r="D90" t="n">
        <x:v>3</x:v>
      </x:c>
      <x:c r="E90" t="n">
        <x:v>38</x:v>
      </x:c>
      <x:c r="F90" t="inlineStr">
        <x:is>
          <x:t xml:space="preserve">6-0, 6-1,</x:t>
        </x:is>
      </x:c>
      <x:c r="G90" t="inlineStr">
        <x:is>
          <x:t xml:space="preserve">R.A. Cawley</x:t>
        </x:is>
      </x:c>
      <x:c r="H90" t="n">
        <x:v>4</x:v>
      </x:c>
    </x:row>
    <x:row r="91">
      <x:c r="A91" t="n">
        <x:v>1975</x:v>
      </x:c>
      <x:c r="B91" t="inlineStr">
        <x:is>
          <x:t xml:space="preserve">Men's</x:t>
        </x:is>
      </x:c>
      <x:c r="C91" t="inlineStr">
        <x:is>
          <x:t xml:space="preserve">A.R. Ashe</x:t>
        </x:is>
      </x:c>
      <x:c r="D91" t="n">
        <x:v>6</x:v>
      </x:c>
      <x:c r="E91" t="n">
        <x:v>125</x:v>
      </x:c>
      <x:c r="F91" t="inlineStr">
        <x:is>
          <x:t xml:space="preserve">6-1, 6-1, 5-7, 6-4</x:t>
        </x:is>
      </x:c>
      <x:c r="G91" t="inlineStr">
        <x:is>
          <x:t xml:space="preserve">J.S. Connors</x:t>
        </x:is>
      </x:c>
      <x:c r="H91" t="n">
        <x:v>1</x:v>
      </x:c>
    </x:row>
    <x:row r="92">
      <x:c r="A92" t="n">
        <x:v>1974</x:v>
      </x:c>
      <x:c r="B92" t="inlineStr">
        <x:is>
          <x:t xml:space="preserve">Women's</x:t>
        </x:is>
      </x:c>
      <x:c r="C92" t="inlineStr">
        <x:is>
          <x:t xml:space="preserve">C.M. Evert</x:t>
        </x:is>
      </x:c>
      <x:c r="D92" t="n">
        <x:v>2</x:v>
      </x:c>
      <x:c r="E92" t="n">
        <x:v>59</x:v>
      </x:c>
      <x:c r="F92" t="inlineStr">
        <x:is>
          <x:t xml:space="preserve">6-0, 6-4</x:t>
        </x:is>
      </x:c>
      <x:c r="G92" t="inlineStr">
        <x:is>
          <x:t xml:space="preserve">O.V. Morozova</x:t>
        </x:is>
      </x:c>
      <x:c r="H92" t="n">
        <x:v>8</x:v>
      </x:c>
    </x:row>
    <x:row r="93">
      <x:c r="A93" t="n">
        <x:v>1974</x:v>
      </x:c>
      <x:c r="B93" t="inlineStr">
        <x:is>
          <x:t xml:space="preserve">Men's</x:t>
        </x:is>
      </x:c>
      <x:c r="C93" t="inlineStr">
        <x:is>
          <x:t xml:space="preserve">J.S. Connors</x:t>
        </x:is>
      </x:c>
      <x:c r="D93" t="n">
        <x:v>3</x:v>
      </x:c>
      <x:c r="E93" t="n">
        <x:v>93</x:v>
      </x:c>
      <x:c r="F93" t="inlineStr">
        <x:is>
          <x:t xml:space="preserve">6-1, 6-1, 6-4</x:t>
        </x:is>
      </x:c>
      <x:c r="G93" t="inlineStr">
        <x:is>
          <x:t xml:space="preserve">K.R. Rosewall</x:t>
        </x:is>
      </x:c>
      <x:c r="H93" t="n">
        <x:v>9</x:v>
      </x:c>
    </x:row>
    <x:row r="94">
      <x:c r="A94" t="n">
        <x:v>1973</x:v>
      </x:c>
      <x:c r="B94" t="inlineStr">
        <x:is>
          <x:t xml:space="preserve">Women's</x:t>
        </x:is>
      </x:c>
      <x:c r="C94" t="inlineStr">
        <x:is>
          <x:t xml:space="preserve">L.W. King</x:t>
        </x:is>
      </x:c>
      <x:c r="D94" t="n">
        <x:v>2</x:v>
      </x:c>
      <x:c r="E94" t="n">
        <x:v>53</x:v>
      </x:c>
      <x:c r="F94" t="inlineStr">
        <x:is>
          <x:t xml:space="preserve">6-0, 7-5</x:t>
        </x:is>
      </x:c>
      <x:c r="G94" t="inlineStr">
        <x:is>
          <x:t xml:space="preserve">C.M. Evert</x:t>
        </x:is>
      </x:c>
      <x:c r="H94" t="n">
        <x:v>4</x:v>
      </x:c>
    </x:row>
    <x:row r="95">
      <x:c r="A95" t="n">
        <x:v>1973</x:v>
      </x:c>
      <x:c r="B95" t="inlineStr">
        <x:is>
          <x:t xml:space="preserve">Men's</x:t>
        </x:is>
      </x:c>
      <x:c r="C95" t="inlineStr">
        <x:is>
          <x:t xml:space="preserve">J. Kodes</x:t>
        </x:is>
      </x:c>
      <x:c r="D95" t="n">
        <x:v>2</x:v>
      </x:c>
      <x:c r="E95" t="n">
        <x:v>110</x:v>
      </x:c>
      <x:c r="F95" t="inlineStr">
        <x:is>
          <x:t xml:space="preserve">6-1, 9-8(7-5), 6-3</x:t>
        </x:is>
      </x:c>
      <x:c r="G95" t="inlineStr">
        <x:is>
          <x:t xml:space="preserve">A. Metreveli</x:t>
        </x:is>
      </x:c>
      <x:c r="H95" t="n">
        <x:v>4</x:v>
      </x:c>
    </x:row>
    <x:row r="96">
      <x:c r="A96" t="n">
        <x:v>1972</x:v>
      </x:c>
      <x:c r="B96" t="inlineStr">
        <x:is>
          <x:t xml:space="preserve">Women's</x:t>
        </x:is>
      </x:c>
      <x:c r="C96" t="inlineStr">
        <x:is>
          <x:t xml:space="preserve">L.W. King</x:t>
        </x:is>
      </x:c>
      <x:c r="D96" t="n">
        <x:v>2</x:v>
      </x:c>
      <x:c r="E96" t="n">
        <x:v>50</x:v>
      </x:c>
      <x:c r="F96" t="inlineStr">
        <x:is>
          <x:t xml:space="preserve">6-3, 6-3,</x:t>
        </x:is>
      </x:c>
      <x:c r="G96" t="inlineStr">
        <x:is>
          <x:t xml:space="preserve">E.F. Goolagong</x:t>
        </x:is>
      </x:c>
      <x:c r="H96" t="n">
        <x:v>1</x:v>
      </x:c>
    </x:row>
    <x:row r="97">
      <x:c r="A97" t="n">
        <x:v>1972</x:v>
      </x:c>
      <x:c r="B97" t="inlineStr">
        <x:is>
          <x:t xml:space="preserve">Men's</x:t>
        </x:is>
      </x:c>
      <x:c r="C97" t="inlineStr">
        <x:is>
          <x:t xml:space="preserve">S.R. Smith</x:t>
        </x:is>
      </x:c>
      <x:c r="D97" t="n">
        <x:v>1</x:v>
      </x:c>
      <x:c r="E97" t="n">
        <x:v>161</x:v>
      </x:c>
      <x:c r="F97" t="inlineStr">
        <x:is>
          <x:t xml:space="preserve">4-6, 6-3, 6-3, 4-6, 7-5</x:t>
        </x:is>
      </x:c>
      <x:c r="G97" t="inlineStr">
        <x:is>
          <x:t xml:space="preserve">I. Nastase</x:t>
        </x:is>
      </x:c>
      <x:c r="H97" t="n">
        <x:v>2</x:v>
      </x:c>
    </x:row>
    <x:row r="98">
      <x:c r="A98" t="n">
        <x:v>1971</x:v>
      </x:c>
      <x:c r="B98" t="inlineStr">
        <x:is>
          <x:t xml:space="preserve">Women's</x:t>
        </x:is>
      </x:c>
      <x:c r="C98" t="inlineStr">
        <x:is>
          <x:t xml:space="preserve">E.F. Goolagong</x:t>
        </x:is>
      </x:c>
      <x:c r="D98" t="n">
        <x:v>3</x:v>
      </x:c>
      <x:c r="E98" t="n">
        <x:v>62</x:v>
      </x:c>
      <x:c r="F98" t="inlineStr">
        <x:is>
          <x:t xml:space="preserve">6-4, 6-1,</x:t>
        </x:is>
      </x:c>
      <x:c r="G98" t="inlineStr">
        <x:is>
          <x:t xml:space="preserve">B.M. Court</x:t>
        </x:is>
      </x:c>
      <x:c r="H98" t="n">
        <x:v>1</x:v>
      </x:c>
    </x:row>
    <x:row r="99">
      <x:c r="A99" t="n">
        <x:v>1971</x:v>
      </x:c>
      <x:c r="B99" t="inlineStr">
        <x:is>
          <x:t xml:space="preserve">Men's</x:t>
        </x:is>
      </x:c>
      <x:c r="C99" t="inlineStr">
        <x:is>
          <x:t xml:space="preserve">J.D. Newcombe</x:t>
        </x:is>
      </x:c>
      <x:c r="D99" t="n">
        <x:v>2</x:v>
      </x:c>
      <x:c r="E99" t="n">
        <x:v>170</x:v>
      </x:c>
      <x:c r="F99" t="inlineStr">
        <x:is>
          <x:t xml:space="preserve">6-3, 5-7, 2-6, 6-4, 6-4</x:t>
        </x:is>
      </x:c>
      <x:c r="G99" t="inlineStr">
        <x:is>
          <x:t xml:space="preserve">S.R. Smith</x:t>
        </x:is>
      </x:c>
      <x:c r="H99" t="n">
        <x:v>4</x:v>
      </x:c>
    </x:row>
    <x:row r="100">
      <x:c r="A100" t="n">
        <x:v>1970</x:v>
      </x:c>
      <x:c r="B100" t="inlineStr">
        <x:is>
          <x:t xml:space="preserve">Women's</x:t>
        </x:is>
      </x:c>
      <x:c r="C100" t="inlineStr">
        <x:is>
          <x:t xml:space="preserve">B.M. Court</x:t>
        </x:is>
      </x:c>
      <x:c r="D100" t="n">
        <x:v>1</x:v>
      </x:c>
      <x:c r="E100" t="n">
        <x:v>148</x:v>
      </x:c>
      <x:c r="F100" t="inlineStr">
        <x:is>
          <x:t xml:space="preserve">14-12, 11-9,</x:t>
        </x:is>
      </x:c>
      <x:c r="G100" t="inlineStr">
        <x:is>
          <x:t xml:space="preserve">L.W. King</x:t>
        </x:is>
      </x:c>
      <x:c r="H100" t="n">
        <x:v>2</x:v>
      </x:c>
    </x:row>
    <x:row r="101">
      <x:c r="A101" t="n">
        <x:v>1970</x:v>
      </x:c>
      <x:c r="B101" t="inlineStr">
        <x:is>
          <x:t xml:space="preserve">Men's</x:t>
        </x:is>
      </x:c>
      <x:c r="C101" t="inlineStr">
        <x:is>
          <x:t xml:space="preserve">J.D. Newcombe</x:t>
        </x:is>
      </x:c>
      <x:c r="D101" t="n">
        <x:v>2</x:v>
      </x:c>
      <x:c r="E101" t="n">
        <x:v>163</x:v>
      </x:c>
      <x:c r="F101" t="inlineStr">
        <x:is>
          <x:t xml:space="preserve">5-7, 6-3, 6-2, 3-6, 6-1</x:t>
        </x:is>
      </x:c>
      <x:c r="G101" t="inlineStr">
        <x:is>
          <x:t xml:space="preserve">K.R. Rosewall</x:t>
        </x:is>
      </x:c>
      <x:c r="H101" t="n">
        <x:v>5</x:v>
      </x:c>
    </x:row>
    <x:row r="102">
      <x:c r="A102" t="n">
        <x:v>1969</x:v>
      </x:c>
      <x:c r="B102" t="inlineStr">
        <x:is>
          <x:t xml:space="preserve">Women's</x:t>
        </x:is>
      </x:c>
      <x:c r="C102" t="inlineStr">
        <x:is>
          <x:t xml:space="preserve">P.F. Jones</x:t>
        </x:is>
      </x:c>
      <x:c r="D102" t="n">
        <x:v>4</x:v>
      </x:c>
      <x:c r="E102" t="n">
        <x:v>71</x:v>
      </x:c>
      <x:c r="F102" t="inlineStr">
        <x:is>
          <x:t xml:space="preserve">3-6, 6-3, 6-2,</x:t>
        </x:is>
      </x:c>
      <x:c r="G102" t="inlineStr">
        <x:is>
          <x:t xml:space="preserve">L.W. King</x:t>
        </x:is>
      </x:c>
      <x:c r="H102" t="n">
        <x:v>2</x:v>
      </x:c>
    </x:row>
    <x:row r="103">
      <x:c r="A103" t="n">
        <x:v>1969</x:v>
      </x:c>
      <x:c r="B103" t="inlineStr">
        <x:is>
          <x:t xml:space="preserve">Men's</x:t>
        </x:is>
      </x:c>
      <x:c r="C103" t="inlineStr">
        <x:is>
          <x:t xml:space="preserve">R.G. Laver</x:t>
        </x:is>
      </x:c>
      <x:c r="D103" t="n">
        <x:v>1</x:v>
      </x:c>
      <x:c r="E103" t="n">
        <x:v>136</x:v>
      </x:c>
      <x:c r="F103" t="inlineStr">
        <x:is>
          <x:t xml:space="preserve">6-4, 5-7, 6-4, 6-4</x:t>
        </x:is>
      </x:c>
      <x:c r="G103" t="inlineStr">
        <x:is>
          <x:t xml:space="preserve">J.D. Newcombe</x:t>
        </x:is>
      </x:c>
      <x:c r="H103" t="n">
        <x:v>6</x:v>
      </x:c>
    </x:row>
    <x:row r="104">
      <x:c r="A104" t="n">
        <x:v>1968</x:v>
      </x:c>
      <x:c r="B104" t="inlineStr">
        <x:is>
          <x:t xml:space="preserve">Women's</x:t>
        </x:is>
      </x:c>
      <x:c r="C104" t="inlineStr">
        <x:is>
          <x:t xml:space="preserve">L.W. King</x:t>
        </x:is>
      </x:c>
      <x:c r="D104" t="n">
        <x:v>1</x:v>
      </x:c>
      <x:c r="E104" t="n">
        <x:v>69</x:v>
      </x:c>
      <x:c r="F104" t="inlineStr">
        <x:is>
          <x:t xml:space="preserve">9-7, 7-5,</x:t>
        </x:is>
      </x:c>
      <x:c r="G104" t="inlineStr">
        <x:is>
          <x:t xml:space="preserve">J.A.M. Tegart</x:t>
        </x:is>
      </x:c>
      <x:c r="H104" t="n">
        <x:v>7</x:v>
      </x:c>
    </x:row>
    <x:row r="105">
      <x:c r="A105" t="n">
        <x:v>1968</x:v>
      </x:c>
      <x:c r="B105" t="inlineStr">
        <x:is>
          <x:t xml:space="preserve">Men's</x:t>
        </x:is>
      </x:c>
      <x:c r="C105" t="inlineStr">
        <x:is>
          <x:t xml:space="preserve">R.G. Laver</x:t>
        </x:is>
      </x:c>
      <x:c r="D105" t="n">
        <x:v>1</x:v>
      </x:c>
      <x:c r="E105" t="n">
        <x:v>60</x:v>
      </x:c>
      <x:c r="F105" t="inlineStr">
        <x:is>
          <x:t xml:space="preserve">6-3, 6-4, 6-2</x:t>
        </x:is>
      </x:c>
      <x:c r="G105" t="inlineStr">
        <x:is>
          <x:t xml:space="preserve">A.D. Roche</x:t>
        </x:is>
      </x:c>
      <x:c r="H105" t="n">
        <x:v>15</x:v>
      </x:c>
    </x:row>
    <x:row r="106">
      <x:c r="A106" t="n">
        <x:v>1967</x:v>
      </x:c>
      <x:c r="B106" t="inlineStr">
        <x:is>
          <x:t xml:space="preserve">Women's</x:t>
        </x:is>
      </x:c>
      <x:c r="C106" t="inlineStr">
        <x:is>
          <x:t xml:space="preserve">L.W. King</x:t>
        </x:is>
      </x:c>
      <x:c r="D106" t="n">
        <x:v>1</x:v>
      </x:c>
      <x:c r="E106" t="n">
        <x:v>60</x:v>
      </x:c>
      <x:c r="F106" t="inlineStr">
        <x:is>
          <x:t xml:space="preserve">6-3, 6-4,</x:t>
        </x:is>
      </x:c>
      <x:c r="G106" t="inlineStr">
        <x:is>
          <x:t xml:space="preserve">P.F. Jones</x:t>
        </x:is>
      </x:c>
      <x:c r="H106" t="n">
        <x:v>3</x:v>
      </x:c>
    </x:row>
    <x:row r="107">
      <x:c r="A107" t="n">
        <x:v>1967</x:v>
      </x:c>
      <x:c r="B107" t="inlineStr">
        <x:is>
          <x:t xml:space="preserve">Men's</x:t>
        </x:is>
      </x:c>
      <x:c r="C107" t="inlineStr">
        <x:is>
          <x:t xml:space="preserve">J.D. Newcombe</x:t>
        </x:is>
      </x:c>
      <x:c r="D107" t="n">
        <x:v>3</x:v>
      </x:c>
      <x:c r="E107" t="n">
        <x:v>71</x:v>
      </x:c>
      <x:c r="F107" t="inlineStr">
        <x:is>
          <x:t xml:space="preserve">6-3, 6-1, 6-1</x:t>
        </x:is>
      </x:c>
      <x:c r="G107" t="inlineStr">
        <x:is>
          <x:t xml:space="preserve">W.P. Bungert</x:t>
        </x:is>
      </x:c>
      <x:c r="H107" t="inlineStr">
        <x:is>
          <x:t xml:space="preserve">U</x:t>
        </x:is>
      </x:c>
    </x:row>
    <x:row r="108">
      <x:c r="A108" t="n">
        <x:v>1966</x:v>
      </x:c>
      <x:c r="B108" t="inlineStr">
        <x:is>
          <x:t xml:space="preserve">Women's</x:t>
        </x:is>
      </x:c>
      <x:c r="C108" t="inlineStr">
        <x:is>
          <x:t xml:space="preserve">L.W. King</x:t>
        </x:is>
      </x:c>
      <x:c r="D108" t="n">
        <x:v>4</x:v>
      </x:c>
      <x:c r="E108" t="n">
        <x:v>68</x:v>
      </x:c>
      <x:c r="F108" t="inlineStr">
        <x:is>
          <x:t xml:space="preserve">6-3, 3-6, 6-1,</x:t>
        </x:is>
      </x:c>
      <x:c r="G108" t="inlineStr">
        <x:is>
          <x:t xml:space="preserve">M.E.A. Bueno</x:t>
        </x:is>
      </x:c>
      <x:c r="H108" t="n">
        <x:v>2</x:v>
      </x:c>
    </x:row>
    <x:row r="109">
      <x:c r="A109" t="n">
        <x:v>1966</x:v>
      </x:c>
      <x:c r="B109" t="inlineStr">
        <x:is>
          <x:t xml:space="preserve">Men's</x:t>
        </x:is>
      </x:c>
      <x:c r="C109" t="inlineStr">
        <x:is>
          <x:t xml:space="preserve">M.M. Santana</x:t>
        </x:is>
      </x:c>
      <x:c r="D109" t="n">
        <x:v>4</x:v>
      </x:c>
      <x:c r="E109" t="n">
        <x:v>104</x:v>
      </x:c>
      <x:c r="F109" t="inlineStr">
        <x:is>
          <x:t xml:space="preserve">6-4, 11-9, 6-4</x:t>
        </x:is>
      </x:c>
      <x:c r="G109" t="inlineStr">
        <x:is>
          <x:t xml:space="preserve">R.D. Ralston</x:t>
        </x:is>
      </x:c>
      <x:c r="H109" t="n">
        <x:v>6</x:v>
      </x:c>
    </x:row>
    <x:row r="110">
      <x:c r="A110" t="n">
        <x:v>1965</x:v>
      </x:c>
      <x:c r="B110" t="inlineStr">
        <x:is>
          <x:t xml:space="preserve">Women's</x:t>
        </x:is>
      </x:c>
      <x:c r="C110" t="inlineStr">
        <x:is>
          <x:t xml:space="preserve">M. Smith</x:t>
        </x:is>
      </x:c>
      <x:c r="D110" t="n">
        <x:v>2</x:v>
      </x:c>
      <x:c r="E110" t="n">
        <x:v>56</x:v>
      </x:c>
      <x:c r="F110" t="inlineStr">
        <x:is>
          <x:t xml:space="preserve">6-4, 7-5,</x:t>
        </x:is>
      </x:c>
      <x:c r="G110" t="inlineStr">
        <x:is>
          <x:t xml:space="preserve">M.E.A. Bueno</x:t>
        </x:is>
      </x:c>
      <x:c r="H110" t="n">
        <x:v>1</x:v>
      </x:c>
    </x:row>
    <x:row r="111">
      <x:c r="A111" t="n">
        <x:v>1965</x:v>
      </x:c>
      <x:c r="B111" t="inlineStr">
        <x:is>
          <x:t xml:space="preserve">Men's</x:t>
        </x:is>
      </x:c>
      <x:c r="C111" t="inlineStr">
        <x:is>
          <x:t xml:space="preserve">R.S. Emerson</x:t>
        </x:is>
      </x:c>
      <x:c r="D111" t="n">
        <x:v>1</x:v>
      </x:c>
      <x:c r="E111" t="n">
        <x:v>67</x:v>
      </x:c>
      <x:c r="F111" t="inlineStr">
        <x:is>
          <x:t xml:space="preserve">6-2, 6-4, 6-4</x:t>
        </x:is>
      </x:c>
      <x:c r="G111" t="inlineStr">
        <x:is>
          <x:t xml:space="preserve">F.S. Stolle</x:t>
        </x:is>
      </x:c>
      <x:c r="H111" t="n">
        <x:v>2</x:v>
      </x:c>
    </x:row>
    <x:row r="112">
      <x:c r="A112" t="n">
        <x:v>1964</x:v>
      </x:c>
      <x:c r="B112" t="inlineStr">
        <x:is>
          <x:t xml:space="preserve">Women's</x:t>
        </x:is>
      </x:c>
      <x:c r="C112" t="inlineStr">
        <x:is>
          <x:t xml:space="preserve">M.E.A. Bueno</x:t>
        </x:is>
      </x:c>
      <x:c r="D112" t="n">
        <x:v>2</x:v>
      </x:c>
      <x:c r="E112" t="n">
        <x:v>90</x:v>
      </x:c>
      <x:c r="F112" t="inlineStr">
        <x:is>
          <x:t xml:space="preserve">6-4, 7-9, 6-3,</x:t>
        </x:is>
      </x:c>
      <x:c r="G112" t="inlineStr">
        <x:is>
          <x:t xml:space="preserve">M. Smith</x:t>
        </x:is>
      </x:c>
      <x:c r="H112" t="n">
        <x:v>1</x:v>
      </x:c>
    </x:row>
    <x:row r="113">
      <x:c r="A113" t="n">
        <x:v>1964</x:v>
      </x:c>
      <x:c r="B113" t="inlineStr">
        <x:is>
          <x:t xml:space="preserve">Men's</x:t>
        </x:is>
      </x:c>
      <x:c r="C113" t="inlineStr">
        <x:is>
          <x:t xml:space="preserve">R.S. Emerson</x:t>
        </x:is>
      </x:c>
      <x:c r="D113" t="n">
        <x:v>1</x:v>
      </x:c>
      <x:c r="E113" t="n">
        <x:v>127</x:v>
      </x:c>
      <x:c r="F113" t="inlineStr">
        <x:is>
          <x:t xml:space="preserve">6-4, 12-10, 4-6, 6-3</x:t>
        </x:is>
      </x:c>
      <x:c r="G113" t="inlineStr">
        <x:is>
          <x:t xml:space="preserve">F.S. Stolle</x:t>
        </x:is>
      </x:c>
      <x:c r="H113" t="n">
        <x:v>6</x:v>
      </x:c>
    </x:row>
    <x:row r="114">
      <x:c r="A114" t="n">
        <x:v>1963</x:v>
      </x:c>
      <x:c r="B114" t="inlineStr">
        <x:is>
          <x:t xml:space="preserve">Women's</x:t>
        </x:is>
      </x:c>
      <x:c r="C114" t="inlineStr">
        <x:is>
          <x:t xml:space="preserve">M. Smith</x:t>
        </x:is>
      </x:c>
      <x:c r="D114" t="n">
        <x:v>1</x:v>
      </x:c>
      <x:c r="E114" t="n">
        <x:v>51</x:v>
      </x:c>
      <x:c r="F114" t="inlineStr">
        <x:is>
          <x:t xml:space="preserve">6-3, 6-4,</x:t>
        </x:is>
      </x:c>
      <x:c r="G114" t="inlineStr">
        <x:is>
          <x:t xml:space="preserve">B.J. Moffitt</x:t>
        </x:is>
      </x:c>
    </x:row>
    <x:row r="115">
      <x:c r="A115" t="n">
        <x:v>1963</x:v>
      </x:c>
      <x:c r="B115" t="inlineStr">
        <x:is>
          <x:t xml:space="preserve">Men's</x:t>
        </x:is>
      </x:c>
      <x:c r="C115" t="inlineStr">
        <x:is>
          <x:t xml:space="preserve">C.R. McKinley</x:t>
        </x:is>
      </x:c>
      <x:c r="D115" t="n">
        <x:v>4</x:v>
      </x:c>
      <x:c r="E115" t="n">
        <x:v>78</x:v>
      </x:c>
      <x:c r="F115" t="inlineStr">
        <x:is>
          <x:t xml:space="preserve">9-7, 6-1, 6-4</x:t>
        </x:is>
      </x:c>
      <x:c r="G115" t="inlineStr">
        <x:is>
          <x:t xml:space="preserve">F.S. Stolle</x:t>
        </x:is>
      </x:c>
      <x:c r="H115" t="inlineStr">
        <x:is>
          <x:t xml:space="preserve">U</x:t>
        </x:is>
      </x:c>
    </x:row>
    <x:row r="116">
      <x:c r="A116" t="n">
        <x:v>1962</x:v>
      </x:c>
      <x:c r="B116" t="inlineStr">
        <x:is>
          <x:t xml:space="preserve">Women's</x:t>
        </x:is>
      </x:c>
      <x:c r="C116" t="inlineStr">
        <x:is>
          <x:t xml:space="preserve">J.R. Susman</x:t>
        </x:is>
      </x:c>
      <x:c r="D116" t="n">
        <x:v>8</x:v>
      </x:c>
      <x:c r="E116" t="n">
        <x:v>57</x:v>
      </x:c>
      <x:c r="F116" t="inlineStr">
        <x:is>
          <x:t xml:space="preserve">6-4, 6-4,</x:t>
        </x:is>
      </x:c>
      <x:c r="G116" t="inlineStr">
        <x:is>
          <x:t xml:space="preserve">C. Sukova</x:t>
        </x:is>
      </x:c>
    </x:row>
    <x:row r="117">
      <x:c r="A117" t="n">
        <x:v>1962</x:v>
      </x:c>
      <x:c r="B117" t="inlineStr">
        <x:is>
          <x:t xml:space="preserve">Men's</x:t>
        </x:is>
      </x:c>
      <x:c r="C117" t="inlineStr">
        <x:is>
          <x:t xml:space="preserve">R.G. Laver</x:t>
        </x:is>
      </x:c>
      <x:c r="D117" t="n">
        <x:v>1</x:v>
      </x:c>
      <x:c r="E117" t="n">
        <x:v>51</x:v>
      </x:c>
      <x:c r="F117" t="inlineStr">
        <x:is>
          <x:t xml:space="preserve">6-2, 6-2, 6-1</x:t>
        </x:is>
      </x:c>
      <x:c r="G117" t="inlineStr">
        <x:is>
          <x:t xml:space="preserve">M.F. Mulligan</x:t>
        </x:is>
      </x:c>
      <x:c r="H117" t="inlineStr">
        <x:is>
          <x:t xml:space="preserve">U</x:t>
        </x:is>
      </x:c>
    </x:row>
    <x:row r="118">
      <x:c r="A118" t="n">
        <x:v>1961</x:v>
      </x:c>
      <x:c r="B118" t="inlineStr">
        <x:is>
          <x:t xml:space="preserve">Women's</x:t>
        </x:is>
      </x:c>
      <x:c r="C118" t="inlineStr">
        <x:is>
          <x:t xml:space="preserve">F.A.M. Mortimer</x:t>
        </x:is>
      </x:c>
      <x:c r="D118" t="n">
        <x:v>7</x:v>
      </x:c>
      <x:c r="E118" t="n">
        <x:v>96</x:v>
      </x:c>
      <x:c r="F118" t="inlineStr">
        <x:is>
          <x:t xml:space="preserve">4-6, 6-4, 7-5,</x:t>
        </x:is>
      </x:c>
      <x:c r="G118" t="inlineStr">
        <x:is>
          <x:t xml:space="preserve">C.C. Truman</x:t>
        </x:is>
      </x:c>
      <x:c r="H118" t="n">
        <x:v>6</x:v>
      </x:c>
    </x:row>
    <x:row r="119">
      <x:c r="A119" t="n">
        <x:v>1961</x:v>
      </x:c>
      <x:c r="B119" t="inlineStr">
        <x:is>
          <x:t xml:space="preserve">Men's</x:t>
        </x:is>
      </x:c>
      <x:c r="C119" t="inlineStr">
        <x:is>
          <x:t xml:space="preserve">R.G. Laver</x:t>
        </x:is>
      </x:c>
      <x:c r="D119" t="n">
        <x:v>2</x:v>
      </x:c>
      <x:c r="E119" t="n">
        <x:v>55</x:v>
      </x:c>
      <x:c r="F119" t="inlineStr">
        <x:is>
          <x:t xml:space="preserve">6-3, 6-1, 6-4</x:t>
        </x:is>
      </x:c>
      <x:c r="G119" t="inlineStr">
        <x:is>
          <x:t xml:space="preserve">C.R. McKinley</x:t>
        </x:is>
      </x:c>
      <x:c r="H119" t="n">
        <x:v>8</x:v>
      </x:c>
    </x:row>
    <x:row r="120">
      <x:c r="A120" t="n">
        <x:v>1960</x:v>
      </x:c>
      <x:c r="B120" t="inlineStr">
        <x:is>
          <x:t xml:space="preserve">Women's</x:t>
        </x:is>
      </x:c>
      <x:c r="C120" t="inlineStr">
        <x:is>
          <x:t xml:space="preserve">M.E.A. Bueno</x:t>
        </x:is>
      </x:c>
      <x:c r="D120" t="n">
        <x:v>1</x:v>
      </x:c>
      <x:c r="E120" t="n">
        <x:v>59</x:v>
      </x:c>
      <x:c r="F120" t="inlineStr">
        <x:is>
          <x:t xml:space="preserve">8-6, 6-0</x:t>
        </x:is>
      </x:c>
      <x:c r="G120" t="inlineStr">
        <x:is>
          <x:t xml:space="preserve">S. Reynolds</x:t>
        </x:is>
      </x:c>
      <x:c r="H120" t="n">
        <x:v>8</x:v>
      </x:c>
    </x:row>
    <x:row r="121">
      <x:c r="A121" t="n">
        <x:v>1960</x:v>
      </x:c>
      <x:c r="B121" t="inlineStr">
        <x:is>
          <x:t xml:space="preserve">Men's</x:t>
        </x:is>
      </x:c>
      <x:c r="C121" t="inlineStr">
        <x:is>
          <x:t xml:space="preserve">N.A. Fraser</x:t>
        </x:is>
      </x:c>
      <x:c r="D121" t="n">
        <x:v>1</x:v>
      </x:c>
      <x:c r="E121" t="n">
        <x:v>130</x:v>
      </x:c>
      <x:c r="F121" t="inlineStr">
        <x:is>
          <x:t xml:space="preserve">6-4, 3-6, 9-7, 7-5</x:t>
        </x:is>
      </x:c>
      <x:c r="G121" t="inlineStr">
        <x:is>
          <x:t xml:space="preserve">R.G. Laver</x:t>
        </x:is>
      </x:c>
      <x:c r="H121" t="n">
        <x:v>3</x:v>
      </x:c>
    </x:row>
    <x:row r="122">
      <x:c r="A122" t="n">
        <x:v>1959</x:v>
      </x:c>
      <x:c r="B122" t="inlineStr">
        <x:is>
          <x:t xml:space="preserve">Women's</x:t>
        </x:is>
      </x:c>
      <x:c r="C122" t="inlineStr">
        <x:is>
          <x:t xml:space="preserve">M.E.A. Bueno</x:t>
        </x:is>
      </x:c>
      <x:c r="D122" t="n">
        <x:v>6</x:v>
      </x:c>
      <x:c r="E122" t="n">
        <x:v>43</x:v>
      </x:c>
      <x:c r="F122" t="inlineStr">
        <x:is>
          <x:t xml:space="preserve">6-4, 6-3,</x:t>
        </x:is>
      </x:c>
      <x:c r="G122" t="inlineStr">
        <x:is>
          <x:t xml:space="preserve">D.R. Hard</x:t>
        </x:is>
      </x:c>
      <x:c r="H122" t="n">
        <x:v>4</x:v>
      </x:c>
    </x:row>
    <x:row r="123">
      <x:c r="A123" t="n">
        <x:v>1959</x:v>
      </x:c>
      <x:c r="B123" t="inlineStr">
        <x:is>
          <x:t xml:space="preserve">Men's</x:t>
        </x:is>
      </x:c>
      <x:c r="C123" t="inlineStr">
        <x:is>
          <x:t xml:space="preserve">A.R. Olmedo</x:t>
        </x:is>
      </x:c>
      <x:c r="D123" t="n">
        <x:v>1</x:v>
      </x:c>
      <x:c r="E123" t="n">
        <x:v>71</x:v>
      </x:c>
      <x:c r="F123" t="inlineStr">
        <x:is>
          <x:t xml:space="preserve">6-4, 6-3, 6-4</x:t>
        </x:is>
      </x:c>
      <x:c r="G123" t="inlineStr">
        <x:is>
          <x:t xml:space="preserve">R.G. Laver</x:t>
        </x:is>
      </x:c>
      <x:c r="H123" t="inlineStr">
        <x:is>
          <x:t xml:space="preserve">U</x:t>
        </x:is>
      </x:c>
    </x:row>
    <x:row r="124">
      <x:c r="A124" t="n">
        <x:v>1958</x:v>
      </x:c>
      <x:c r="B124" t="inlineStr">
        <x:is>
          <x:t xml:space="preserve">Women's</x:t>
        </x:is>
      </x:c>
      <x:c r="C124" t="inlineStr">
        <x:is>
          <x:t xml:space="preserve">A. Gibson</x:t>
        </x:is>
      </x:c>
      <x:c r="D124" t="n">
        <x:v>1</x:v>
      </x:c>
      <x:c r="E124" t="n">
        <x:v>62</x:v>
      </x:c>
      <x:c r="F124" t="inlineStr">
        <x:is>
          <x:t xml:space="preserve">8-6, 6-2,</x:t>
        </x:is>
      </x:c>
      <x:c r="G124" t="inlineStr">
        <x:is>
          <x:t xml:space="preserve">F.A.M. Mortimer</x:t>
        </x:is>
      </x:c>
    </x:row>
    <x:row r="125">
      <x:c r="A125" t="n">
        <x:v>1958</x:v>
      </x:c>
      <x:c r="B125" t="inlineStr">
        <x:is>
          <x:t xml:space="preserve">Men's</x:t>
        </x:is>
      </x:c>
      <x:c r="C125" t="inlineStr">
        <x:is>
          <x:t xml:space="preserve">A.J. Cooper</x:t>
        </x:is>
      </x:c>
      <x:c r="D125" t="n">
        <x:v>1</x:v>
      </x:c>
      <x:c r="E125" t="n">
        <x:v>130</x:v>
      </x:c>
      <x:c r="F125" t="inlineStr">
        <x:is>
          <x:t xml:space="preserve">3-6, 6-3, 6-4, 13-11</x:t>
        </x:is>
      </x:c>
      <x:c r="G125" t="inlineStr">
        <x:is>
          <x:t xml:space="preserve">N.A. Fraser</x:t>
        </x:is>
      </x:c>
      <x:c r="H125" t="n">
        <x:v>4</x:v>
      </x:c>
    </x:row>
    <x:row r="126">
      <x:c r="A126" t="n">
        <x:v>1957</x:v>
      </x:c>
      <x:c r="B126" t="inlineStr">
        <x:is>
          <x:t xml:space="preserve">Women's</x:t>
        </x:is>
      </x:c>
      <x:c r="C126" t="inlineStr">
        <x:is>
          <x:t xml:space="preserve">A. Gibson</x:t>
        </x:is>
      </x:c>
      <x:c r="D126" t="n">
        <x:v>1</x:v>
      </x:c>
      <x:c r="E126" t="n">
        <x:v>50</x:v>
      </x:c>
      <x:c r="F126" t="inlineStr">
        <x:is>
          <x:t xml:space="preserve">6-3, 6-2,</x:t>
        </x:is>
      </x:c>
      <x:c r="G126" t="inlineStr">
        <x:is>
          <x:t xml:space="preserve">D.R. Hard</x:t>
        </x:is>
      </x:c>
      <x:c r="H126" t="n">
        <x:v>5</x:v>
      </x:c>
    </x:row>
    <x:row r="127">
      <x:c r="A127" t="n">
        <x:v>1957</x:v>
      </x:c>
      <x:c r="B127" t="inlineStr">
        <x:is>
          <x:t xml:space="preserve">Men's</x:t>
        </x:is>
      </x:c>
      <x:c r="C127" t="inlineStr">
        <x:is>
          <x:t xml:space="preserve">L.A. Hoad</x:t>
        </x:is>
      </x:c>
      <x:c r="D127" t="n">
        <x:v>1</x:v>
      </x:c>
      <x:c r="E127" t="n">
        <x:v>57</x:v>
      </x:c>
      <x:c r="F127" t="inlineStr">
        <x:is>
          <x:t xml:space="preserve">6-2, 6-1, 6-2</x:t>
        </x:is>
      </x:c>
      <x:c r="G127" t="inlineStr">
        <x:is>
          <x:t xml:space="preserve">A.J. Cooper</x:t>
        </x:is>
      </x:c>
      <x:c r="H127" t="n">
        <x:v>2</x:v>
      </x:c>
    </x:row>
    <x:row r="128">
      <x:c r="A128" t="n">
        <x:v>1956</x:v>
      </x:c>
      <x:c r="B128" t="inlineStr">
        <x:is>
          <x:t xml:space="preserve">Women's</x:t>
        </x:is>
      </x:c>
      <x:c r="C128" t="inlineStr">
        <x:is>
          <x:t xml:space="preserve">S.J. Fry</x:t>
        </x:is>
      </x:c>
      <x:c r="D128" t="n">
        <x:v>5</x:v>
      </x:c>
      <x:c r="E128" t="n">
        <x:v>50</x:v>
      </x:c>
      <x:c r="F128" t="inlineStr">
        <x:is>
          <x:t xml:space="preserve">6-3, 6-1,</x:t>
        </x:is>
      </x:c>
      <x:c r="G128" t="inlineStr">
        <x:is>
          <x:t xml:space="preserve">A. Buxton</x:t>
        </x:is>
      </x:c>
      <x:c r="H128" t="n">
        <x:v>6</x:v>
      </x:c>
    </x:row>
    <x:row r="129">
      <x:c r="A129" t="n">
        <x:v>1956</x:v>
      </x:c>
      <x:c r="B129" t="inlineStr">
        <x:is>
          <x:t xml:space="preserve">Men's</x:t>
        </x:is>
      </x:c>
      <x:c r="C129" t="inlineStr">
        <x:is>
          <x:t xml:space="preserve">L.A. Hoad</x:t>
        </x:is>
      </x:c>
      <x:c r="D129" t="n">
        <x:v>1</x:v>
      </x:c>
      <x:c r="E129" t="n">
        <x:v>117</x:v>
      </x:c>
      <x:c r="F129" t="inlineStr">
        <x:is>
          <x:t xml:space="preserve">6-2, 4-6, 7-5, 6-4</x:t>
        </x:is>
      </x:c>
      <x:c r="G129" t="inlineStr">
        <x:is>
          <x:t xml:space="preserve">K.R. Rosewall</x:t>
        </x:is>
      </x:c>
      <x:c r="H129" t="n">
        <x:v>2</x:v>
      </x:c>
    </x:row>
    <x:row r="130">
      <x:c r="A130" t="n">
        <x:v>1955</x:v>
      </x:c>
      <x:c r="B130" t="inlineStr">
        <x:is>
          <x:t xml:space="preserve">Women's</x:t>
        </x:is>
      </x:c>
      <x:c r="C130" t="inlineStr">
        <x:is>
          <x:t xml:space="preserve">A.L. Brough</x:t>
        </x:is>
      </x:c>
      <x:c r="D130" t="n">
        <x:v>2</x:v>
      </x:c>
      <x:c r="E130" t="n">
        <x:v>90</x:v>
      </x:c>
      <x:c r="F130" t="inlineStr">
        <x:is>
          <x:t xml:space="preserve">7-5, 8-6,</x:t>
        </x:is>
      </x:c>
      <x:c r="G130" t="inlineStr">
        <x:is>
          <x:t xml:space="preserve">J.G. Fleitz</x:t>
        </x:is>
      </x:c>
      <x:c r="H130" t="n">
        <x:v>3</x:v>
      </x:c>
    </x:row>
    <x:row r="131">
      <x:c r="A131" t="n">
        <x:v>1955</x:v>
      </x:c>
      <x:c r="B131" t="inlineStr">
        <x:is>
          <x:t xml:space="preserve">Men's</x:t>
        </x:is>
      </x:c>
      <x:c r="C131" t="inlineStr">
        <x:is>
          <x:t xml:space="preserve">M.A. Trabert</x:t>
        </x:is>
      </x:c>
      <x:c r="D131" t="n">
        <x:v>1</x:v>
      </x:c>
      <x:c r="E131" t="n">
        <x:v>73</x:v>
      </x:c>
      <x:c r="F131" t="inlineStr">
        <x:is>
          <x:t xml:space="preserve">6-3, 7-5, 6-1</x:t>
        </x:is>
      </x:c>
      <x:c r="G131" t="inlineStr">
        <x:is>
          <x:t xml:space="preserve">K. Nielsen</x:t>
        </x:is>
      </x:c>
      <x:c r="H131" t="inlineStr">
        <x:is>
          <x:t xml:space="preserve">U</x:t>
        </x:is>
      </x:c>
    </x:row>
    <x:row r="132">
      <x:c r="A132" t="n">
        <x:v>1954</x:v>
      </x:c>
      <x:c r="B132" t="inlineStr">
        <x:is>
          <x:t xml:space="preserve">Women's</x:t>
        </x:is>
      </x:c>
      <x:c r="C132" t="inlineStr">
        <x:is>
          <x:t xml:space="preserve">M.C. Connolly</x:t>
        </x:is>
      </x:c>
      <x:c r="D132" t="n">
        <x:v>1</x:v>
      </x:c>
      <x:c r="E132" t="n">
        <x:v>50</x:v>
      </x:c>
      <x:c r="F132" t="inlineStr">
        <x:is>
          <x:t xml:space="preserve">6-2, 7-5,</x:t>
        </x:is>
      </x:c>
      <x:c r="G132" t="inlineStr">
        <x:is>
          <x:t xml:space="preserve">A.L. Brough</x:t>
        </x:is>
      </x:c>
      <x:c r="H132" t="n">
        <x:v>4</x:v>
      </x:c>
    </x:row>
    <x:row r="133">
      <x:c r="A133" t="n">
        <x:v>1954</x:v>
      </x:c>
      <x:c r="B133" t="inlineStr">
        <x:is>
          <x:t xml:space="preserve">Men's</x:t>
        </x:is>
      </x:c>
      <x:c r="C133" t="inlineStr">
        <x:is>
          <x:t xml:space="preserve">J. Drobny</x:t>
        </x:is>
      </x:c>
      <x:c r="D133" t="n">
        <x:v>11</x:v>
      </x:c>
      <x:c r="E133" t="n">
        <x:v>157</x:v>
      </x:c>
      <x:c r="F133" t="inlineStr">
        <x:is>
          <x:t xml:space="preserve">13-11, 4-6, 6-2, 9-7</x:t>
        </x:is>
      </x:c>
      <x:c r="G133" t="inlineStr">
        <x:is>
          <x:t xml:space="preserve">K.R. Rosewall</x:t>
        </x:is>
      </x:c>
      <x:c r="H133" t="n">
        <x:v>3</x:v>
      </x:c>
    </x:row>
    <x:row r="134">
      <x:c r="A134" t="n">
        <x:v>1953</x:v>
      </x:c>
      <x:c r="B134" t="inlineStr">
        <x:is>
          <x:t xml:space="preserve">Women's</x:t>
        </x:is>
      </x:c>
      <x:c r="C134" t="inlineStr">
        <x:is>
          <x:t xml:space="preserve">M.C. Connolly</x:t>
        </x:is>
      </x:c>
      <x:c r="D134" t="n">
        <x:v>1</x:v>
      </x:c>
      <x:c r="E134" t="n">
        <x:v>67</x:v>
      </x:c>
      <x:c r="F134" t="inlineStr">
        <x:is>
          <x:t xml:space="preserve">8-6, 7-5,</x:t>
        </x:is>
      </x:c>
      <x:c r="G134" t="inlineStr">
        <x:is>
          <x:t xml:space="preserve">D.J. Hart</x:t>
        </x:is>
      </x:c>
      <x:c r="H134" t="n">
        <x:v>2</x:v>
      </x:c>
    </x:row>
    <x:row r="135">
      <x:c r="A135" t="n">
        <x:v>1953</x:v>
      </x:c>
      <x:c r="B135" t="inlineStr">
        <x:is>
          <x:t xml:space="preserve">Men's</x:t>
        </x:is>
      </x:c>
      <x:c r="C135" t="inlineStr">
        <x:is>
          <x:t xml:space="preserve">E.V. Seixas</x:t>
        </x:is>
      </x:c>
      <x:c r="D135" t="n">
        <x:v>2</x:v>
      </x:c>
      <x:c r="E135" t="n">
        <x:v>80</x:v>
      </x:c>
      <x:c r="F135" t="inlineStr">
        <x:is>
          <x:t xml:space="preserve">9-7, 6-3, 6-4</x:t>
        </x:is>
      </x:c>
      <x:c r="G135" t="inlineStr">
        <x:is>
          <x:t xml:space="preserve">K. Nielsen</x:t>
        </x:is>
      </x:c>
      <x:c r="H135" t="inlineStr">
        <x:is>
          <x:t xml:space="preserve">U</x:t>
        </x:is>
      </x:c>
    </x:row>
    <x:row r="136">
      <x:c r="A136" t="n">
        <x:v>1952</x:v>
      </x:c>
      <x:c r="B136" t="inlineStr">
        <x:is>
          <x:t xml:space="preserve">Women's</x:t>
        </x:is>
      </x:c>
      <x:c r="C136" t="inlineStr">
        <x:is>
          <x:t xml:space="preserve">M.C. Connolly</x:t>
        </x:is>
      </x:c>
      <x:c r="D136" t="n">
        <x:v>2</x:v>
      </x:c>
      <x:c r="E136" t="n">
        <x:v>65</x:v>
      </x:c>
      <x:c r="F136" t="inlineStr">
        <x:is>
          <x:t xml:space="preserve">7-5, 6-3,</x:t>
        </x:is>
      </x:c>
      <x:c r="G136" t="inlineStr">
        <x:is>
          <x:t xml:space="preserve">A.L. Brough</x:t>
        </x:is>
      </x:c>
      <x:c r="H136" t="n">
        <x:v>4</x:v>
      </x:c>
    </x:row>
    <x:row r="137">
      <x:c r="A137" t="n">
        <x:v>1952</x:v>
      </x:c>
      <x:c r="B137" t="inlineStr">
        <x:is>
          <x:t xml:space="preserve">Men's</x:t>
        </x:is>
      </x:c>
      <x:c r="C137" t="inlineStr">
        <x:is>
          <x:t xml:space="preserve">F.A. Sedgman</x:t>
        </x:is>
      </x:c>
      <x:c r="D137" t="n">
        <x:v>1</x:v>
      </x:c>
      <x:c r="E137" t="n">
        <x:v>80</x:v>
      </x:c>
      <x:c r="F137" t="inlineStr">
        <x:is>
          <x:t xml:space="preserve">4-6, 6-2, 6-3, 6-2</x:t>
        </x:is>
      </x:c>
      <x:c r="G137" t="inlineStr">
        <x:is>
          <x:t xml:space="preserve">J. Drobny</x:t>
        </x:is>
      </x:c>
      <x:c r="H137" t="n">
        <x:v>2</x:v>
      </x:c>
    </x:row>
    <x:row r="138">
      <x:c r="A138" t="n">
        <x:v>1951</x:v>
      </x:c>
      <x:c r="B138" t="inlineStr">
        <x:is>
          <x:t xml:space="preserve">Women's</x:t>
        </x:is>
      </x:c>
      <x:c r="C138" t="inlineStr">
        <x:is>
          <x:t xml:space="preserve">D.J. Hart</x:t>
        </x:is>
      </x:c>
      <x:c r="D138" t="n">
        <x:v>3</x:v>
      </x:c>
      <x:c r="E138" t="n">
        <x:v>35</x:v>
      </x:c>
      <x:c r="F138" t="inlineStr">
        <x:is>
          <x:t xml:space="preserve">6-1, 6-0</x:t>
        </x:is>
      </x:c>
      <x:c r="G138" t="inlineStr">
        <x:is>
          <x:t xml:space="preserve">S.J. Fry</x:t>
        </x:is>
      </x:c>
      <x:c r="H138" t="n">
        <x:v>4</x:v>
      </x:c>
    </x:row>
    <x:row r="139">
      <x:c r="A139" t="n">
        <x:v>1951</x:v>
      </x:c>
      <x:c r="B139" t="inlineStr">
        <x:is>
          <x:t xml:space="preserve">Men's</x:t>
        </x:is>
      </x:c>
      <x:c r="C139" t="inlineStr">
        <x:is>
          <x:t xml:space="preserve">R. Savitt</x:t>
        </x:is>
      </x:c>
      <x:c r="D139" t="n">
        <x:v>6</x:v>
      </x:c>
      <x:c r="E139" t="n">
        <x:v>62</x:v>
      </x:c>
      <x:c r="F139" t="inlineStr">
        <x:is>
          <x:t xml:space="preserve">6-4, 6-4, 6-4</x:t>
        </x:is>
      </x:c>
      <x:c r="G139" t="inlineStr">
        <x:is>
          <x:t xml:space="preserve">K.B. McGregor</x:t>
        </x:is>
      </x:c>
      <x:c r="H139" t="n">
        <x:v>7</x:v>
      </x:c>
    </x:row>
    <x:row r="140">
      <x:c r="A140" t="n">
        <x:v>1950</x:v>
      </x:c>
      <x:c r="B140" t="inlineStr">
        <x:is>
          <x:t xml:space="preserve">Women's</x:t>
        </x:is>
      </x:c>
      <x:c r="C140" t="inlineStr">
        <x:is>
          <x:t xml:space="preserve">A.L. Brough</x:t>
        </x:is>
      </x:c>
      <x:c r="D140" t="n">
        <x:v>1</x:v>
      </x:c>
      <x:c r="E140" t="n">
        <x:v>62</x:v>
      </x:c>
      <x:c r="F140" t="inlineStr">
        <x:is>
          <x:t xml:space="preserve">6-1, 3-6, 6-1,</x:t>
        </x:is>
      </x:c>
      <x:c r="G140" t="inlineStr">
        <x:is>
          <x:t xml:space="preserve">W. du Pont</x:t>
        </x:is>
      </x:c>
      <x:c r="H140" t="n">
        <x:v>2</x:v>
      </x:c>
    </x:row>
    <x:row r="141">
      <x:c r="A141" t="n">
        <x:v>1950</x:v>
      </x:c>
      <x:c r="B141" t="inlineStr">
        <x:is>
          <x:t xml:space="preserve">Men's</x:t>
        </x:is>
      </x:c>
      <x:c r="C141" t="inlineStr">
        <x:is>
          <x:t xml:space="preserve">J.E. Patty</x:t>
        </x:is>
      </x:c>
      <x:c r="D141" t="n">
        <x:v>5</x:v>
      </x:c>
      <x:c r="E141" t="n">
        <x:v>120</x:v>
      </x:c>
      <x:c r="F141" t="inlineStr">
        <x:is>
          <x:t xml:space="preserve">6-1, 8-10, 6-2, 6-3</x:t>
        </x:is>
      </x:c>
      <x:c r="G141" t="inlineStr">
        <x:is>
          <x:t xml:space="preserve">F.A. Sedgman</x:t>
        </x:is>
      </x:c>
      <x:c r="H141" t="n">
        <x:v>1</x:v>
      </x:c>
    </x:row>
    <x:row r="142">
      <x:c r="A142" t="n">
        <x:v>1949</x:v>
      </x:c>
      <x:c r="B142" t="inlineStr">
        <x:is>
          <x:t xml:space="preserve">Women's</x:t>
        </x:is>
      </x:c>
      <x:c r="C142" t="inlineStr">
        <x:is>
          <x:t xml:space="preserve">A.L. Brough</x:t>
        </x:is>
      </x:c>
      <x:c r="D142" t="n">
        <x:v>1</x:v>
      </x:c>
      <x:c r="E142" t="n">
        <x:v>120</x:v>
      </x:c>
      <x:c r="F142" t="inlineStr">
        <x:is>
          <x:t xml:space="preserve">10-8, 1-6, 10-8,</x:t>
        </x:is>
      </x:c>
      <x:c r="G142" t="inlineStr">
        <x:is>
          <x:t xml:space="preserve">W. du Pont</x:t>
        </x:is>
      </x:c>
      <x:c r="H142" t="n">
        <x:v>2</x:v>
      </x:c>
    </x:row>
    <x:row r="143">
      <x:c r="A143" t="n">
        <x:v>1949</x:v>
      </x:c>
      <x:c r="B143" t="inlineStr">
        <x:is>
          <x:t xml:space="preserve">Men's</x:t>
        </x:is>
      </x:c>
      <x:c r="C143" t="inlineStr">
        <x:is>
          <x:t xml:space="preserve">F.R. Schroeder</x:t>
        </x:is>
      </x:c>
      <x:c r="D143" t="n">
        <x:v>1</x:v>
      </x:c>
      <x:c r="E143" t="n">
        <x:v>100</x:v>
      </x:c>
      <x:c r="F143" t="inlineStr">
        <x:is>
          <x:t xml:space="preserve">3-6, 6-0, 6-3, 4-6, 6-4</x:t>
        </x:is>
      </x:c>
      <x:c r="G143" t="inlineStr">
        <x:is>
          <x:t xml:space="preserve">J. Drobny</x:t>
        </x:is>
      </x:c>
      <x:c r="H143" t="n">
        <x:v>6</x:v>
      </x:c>
    </x:row>
    <x:row r="144">
      <x:c r="A144" t="n">
        <x:v>1948</x:v>
      </x:c>
      <x:c r="B144" t="inlineStr">
        <x:is>
          <x:t xml:space="preserve">Women's</x:t>
        </x:is>
      </x:c>
      <x:c r="C144" t="inlineStr">
        <x:is>
          <x:t xml:space="preserve">A.L. Brough</x:t>
        </x:is>
      </x:c>
      <x:c r="D144" t="n">
        <x:v>2</x:v>
      </x:c>
      <x:c r="E144" t="n">
        <x:v>76</x:v>
      </x:c>
      <x:c r="F144" t="inlineStr">
        <x:is>
          <x:t xml:space="preserve">6-3, 8-6,</x:t>
        </x:is>
      </x:c>
      <x:c r="G144" t="inlineStr">
        <x:is>
          <x:t xml:space="preserve">D.J. Hart</x:t>
        </x:is>
      </x:c>
      <x:c r="H144" t="n">
        <x:v>4</x:v>
      </x:c>
    </x:row>
    <x:row r="145">
      <x:c r="A145" t="n">
        <x:v>1948</x:v>
      </x:c>
      <x:c r="B145" t="inlineStr">
        <x:is>
          <x:t xml:space="preserve">Men's</x:t>
        </x:is>
      </x:c>
      <x:c r="C145" t="inlineStr">
        <x:is>
          <x:t xml:space="preserve">R. Falkenburg</x:t>
        </x:is>
      </x:c>
      <x:c r="D145" t="n">
        <x:v>7</x:v>
      </x:c>
      <x:c r="E145" t="n">
        <x:v>125</x:v>
      </x:c>
      <x:c r="F145" t="inlineStr">
        <x:is>
          <x:t xml:space="preserve">7-5, 0-6, 6-2, 3-6, 7-5</x:t>
        </x:is>
      </x:c>
      <x:c r="G145" t="inlineStr">
        <x:is>
          <x:t xml:space="preserve">J.E. Bromwich</x:t>
        </x:is>
      </x:c>
      <x:c r="H145" t="n">
        <x:v>2</x:v>
      </x:c>
    </x:row>
    <x:row r="146">
      <x:c r="A146" t="n">
        <x:v>1947</x:v>
      </x:c>
      <x:c r="B146" t="inlineStr">
        <x:is>
          <x:t xml:space="preserve">Women's</x:t>
        </x:is>
      </x:c>
      <x:c r="C146" t="inlineStr">
        <x:is>
          <x:t xml:space="preserve">M.E. Osborne</x:t>
        </x:is>
      </x:c>
      <x:c r="D146" t="n">
        <x:v>1</x:v>
      </x:c>
      <x:c r="F146" t="inlineStr">
        <x:is>
          <x:t xml:space="preserve">6-2, 6-4,</x:t>
        </x:is>
      </x:c>
      <x:c r="G146" t="inlineStr">
        <x:is>
          <x:t xml:space="preserve">D.J. Hart</x:t>
        </x:is>
      </x:c>
      <x:c r="H146" t="n">
        <x:v>3</x:v>
      </x:c>
    </x:row>
    <x:row r="147">
      <x:c r="A147" t="n">
        <x:v>1947</x:v>
      </x:c>
      <x:c r="B147" t="inlineStr">
        <x:is>
          <x:t xml:space="preserve">Men's</x:t>
        </x:is>
      </x:c>
      <x:c r="C147" t="inlineStr">
        <x:is>
          <x:t xml:space="preserve">J.A. Kramer</x:t>
        </x:is>
      </x:c>
      <x:c r="D147" t="n">
        <x:v>1</x:v>
      </x:c>
      <x:c r="E147" t="n">
        <x:v>45</x:v>
      </x:c>
      <x:c r="F147" t="inlineStr">
        <x:is>
          <x:t xml:space="preserve">6-1, 6-3, 6-2</x:t>
        </x:is>
      </x:c>
      <x:c r="G147" t="inlineStr">
        <x:is>
          <x:t xml:space="preserve">T.P. Brown</x:t>
        </x:is>
      </x:c>
      <x:c r="H147" t="n">
        <x:v>3</x:v>
      </x:c>
    </x:row>
    <x:row r="148">
      <x:c r="A148" t="n">
        <x:v>1946</x:v>
      </x:c>
      <x:c r="B148" t="inlineStr">
        <x:is>
          <x:t xml:space="preserve">Women's</x:t>
        </x:is>
      </x:c>
      <x:c r="C148" t="inlineStr">
        <x:is>
          <x:t xml:space="preserve">P.M. Betz</x:t>
        </x:is>
      </x:c>
      <x:c r="D148" t="n">
        <x:v>1</x:v>
      </x:c>
      <x:c r="F148" t="inlineStr">
        <x:is>
          <x:t xml:space="preserve">6-2, 6-4,</x:t>
        </x:is>
      </x:c>
      <x:c r="G148" t="inlineStr">
        <x:is>
          <x:t xml:space="preserve">A.L. Brough</x:t>
        </x:is>
      </x:c>
      <x:c r="H148" t="n">
        <x:v>3</x:v>
      </x:c>
    </x:row>
    <x:row r="149">
      <x:c r="A149" t="n">
        <x:v>1946</x:v>
      </x:c>
      <x:c r="B149" t="inlineStr">
        <x:is>
          <x:t xml:space="preserve">Men's</x:t>
        </x:is>
      </x:c>
      <x:c r="C149" t="inlineStr">
        <x:is>
          <x:t xml:space="preserve">Y.F.M. Petra</x:t>
        </x:is>
      </x:c>
      <x:c r="D149" t="n">
        <x:v>5</x:v>
      </x:c>
      <x:c r="F149" t="inlineStr">
        <x:is>
          <x:t xml:space="preserve">6-2, 6-4, 7-9, 5-7, 6-4</x:t>
        </x:is>
      </x:c>
      <x:c r="G149" t="inlineStr">
        <x:is>
          <x:t xml:space="preserve">G.E. Brown</x:t>
        </x:is>
      </x:c>
      <x:c r="H149" t="n">
        <x:v>3</x:v>
      </x:c>
    </x:row>
    <x:row r="150">
      <x:c r="A150" t="n">
        <x:v>1939</x:v>
      </x:c>
      <x:c r="B150" t="inlineStr">
        <x:is>
          <x:t xml:space="preserve">Women's</x:t>
        </x:is>
      </x:c>
      <x:c r="C150" t="inlineStr">
        <x:is>
          <x:t xml:space="preserve">A. Marble</x:t>
        </x:is>
      </x:c>
      <x:c r="D150" t="n">
        <x:v>1</x:v>
      </x:c>
      <x:c r="E150" t="n">
        <x:v>30</x:v>
      </x:c>
      <x:c r="F150" t="inlineStr">
        <x:is>
          <x:t xml:space="preserve">6-2, 6-0</x:t>
        </x:is>
      </x:c>
      <x:c r="G150" t="inlineStr">
        <x:is>
          <x:t xml:space="preserve">K.E. Stammers</x:t>
        </x:is>
      </x:c>
      <x:c r="H150" t="n">
        <x:v>6</x:v>
      </x:c>
    </x:row>
    <x:row r="151">
      <x:c r="A151" t="n">
        <x:v>1939</x:v>
      </x:c>
      <x:c r="B151" t="inlineStr">
        <x:is>
          <x:t xml:space="preserve">Men's</x:t>
        </x:is>
      </x:c>
      <x:c r="C151" t="inlineStr">
        <x:is>
          <x:t xml:space="preserve">R.L. Riggs</x:t>
        </x:is>
      </x:c>
      <x:c r="D151" t="n">
        <x:v>2</x:v>
      </x:c>
      <x:c r="E151" t="n">
        <x:v>135</x:v>
      </x:c>
      <x:c r="F151" t="inlineStr">
        <x:is>
          <x:t xml:space="preserve">2-6, 8-6, 3-6, 6-3, 6-2</x:t>
        </x:is>
      </x:c>
      <x:c r="G151" t="inlineStr">
        <x:is>
          <x:t xml:space="preserve">E.T. Cooke</x:t>
        </x:is>
      </x:c>
      <x:c r="H151" t="n">
        <x:v>6</x:v>
      </x:c>
    </x:row>
    <x:row r="152">
      <x:c r="A152" t="n">
        <x:v>1938</x:v>
      </x:c>
      <x:c r="B152" t="inlineStr">
        <x:is>
          <x:t xml:space="preserve">Women's</x:t>
        </x:is>
      </x:c>
      <x:c r="C152" t="inlineStr">
        <x:is>
          <x:t xml:space="preserve">F.S. Moody</x:t>
        </x:is>
      </x:c>
      <x:c r="D152" t="n">
        <x:v>1</x:v>
      </x:c>
      <x:c r="F152" t="inlineStr">
        <x:is>
          <x:t xml:space="preserve">6-4, 6-0</x:t>
        </x:is>
      </x:c>
      <x:c r="G152" t="inlineStr">
        <x:is>
          <x:t xml:space="preserve">H.H. Jacobs</x:t>
        </x:is>
      </x:c>
    </x:row>
    <x:row r="153">
      <x:c r="A153" t="n">
        <x:v>1938</x:v>
      </x:c>
      <x:c r="B153" t="inlineStr">
        <x:is>
          <x:t xml:space="preserve">Men's</x:t>
        </x:is>
      </x:c>
      <x:c r="C153" t="inlineStr">
        <x:is>
          <x:t xml:space="preserve">J.D. Budge</x:t>
        </x:is>
      </x:c>
      <x:c r="D153" t="n">
        <x:v>1</x:v>
      </x:c>
      <x:c r="E153" t="n">
        <x:v>59</x:v>
      </x:c>
      <x:c r="F153" t="inlineStr">
        <x:is>
          <x:t xml:space="preserve">6-1, 6-0, 6-3</x:t>
        </x:is>
      </x:c>
      <x:c r="G153" t="inlineStr">
        <x:is>
          <x:t xml:space="preserve">H.W. Austin</x:t>
        </x:is>
      </x:c>
      <x:c r="H153" t="n">
        <x:v>2</x:v>
      </x:c>
    </x:row>
    <x:row r="154">
      <x:c r="A154" t="n">
        <x:v>1937</x:v>
      </x:c>
      <x:c r="B154" t="inlineStr">
        <x:is>
          <x:t xml:space="preserve">Women's</x:t>
        </x:is>
      </x:c>
      <x:c r="C154" t="inlineStr">
        <x:is>
          <x:t xml:space="preserve">D.E. Round</x:t>
        </x:is>
      </x:c>
      <x:c r="D154" t="n">
        <x:v>7</x:v>
      </x:c>
      <x:c r="E154" t="n">
        <x:v>60</x:v>
      </x:c>
      <x:c r="F154" t="inlineStr">
        <x:is>
          <x:t xml:space="preserve">6-2, 2-6, 7-5</x:t>
        </x:is>
      </x:c>
      <x:c r="G154" t="inlineStr">
        <x:is>
          <x:t xml:space="preserve">J. Jedrzejowska</x:t>
        </x:is>
      </x:c>
      <x:c r="H154" t="n">
        <x:v>4</x:v>
      </x:c>
    </x:row>
    <x:row r="155">
      <x:c r="A155" t="n">
        <x:v>1937</x:v>
      </x:c>
      <x:c r="B155" t="inlineStr">
        <x:is>
          <x:t xml:space="preserve">Men's</x:t>
        </x:is>
      </x:c>
      <x:c r="C155" t="inlineStr">
        <x:is>
          <x:t xml:space="preserve">J.D. Budge</x:t>
        </x:is>
      </x:c>
      <x:c r="D155" t="n">
        <x:v>1</x:v>
      </x:c>
      <x:c r="E155" t="n">
        <x:v>65</x:v>
      </x:c>
      <x:c r="F155" t="inlineStr">
        <x:is>
          <x:t xml:space="preserve">6-3, 6-4, 6-2</x:t>
        </x:is>
      </x:c>
      <x:c r="G155" t="inlineStr">
        <x:is>
          <x:t xml:space="preserve">G. von Cramm</x:t>
        </x:is>
      </x:c>
      <x:c r="H155" t="n">
        <x:v>2</x:v>
      </x:c>
    </x:row>
    <x:row r="156">
      <x:c r="A156" t="n">
        <x:v>1936</x:v>
      </x:c>
      <x:c r="B156" t="inlineStr">
        <x:is>
          <x:t xml:space="preserve">Women's</x:t>
        </x:is>
      </x:c>
      <x:c r="C156" t="inlineStr">
        <x:is>
          <x:t xml:space="preserve">H.H. Jacobs</x:t>
        </x:is>
      </x:c>
      <x:c r="D156" t="n">
        <x:v>2</x:v>
      </x:c>
      <x:c r="E156" t="n">
        <x:v>101</x:v>
      </x:c>
      <x:c r="F156" t="inlineStr">
        <x:is>
          <x:t xml:space="preserve">6-2, 4-6, 7-5</x:t>
        </x:is>
      </x:c>
      <x:c r="G156" t="inlineStr">
        <x:is>
          <x:t xml:space="preserve">S. Sperling</x:t>
        </x:is>
      </x:c>
      <x:c r="H156" t="n">
        <x:v>5</x:v>
      </x:c>
    </x:row>
    <x:row r="157">
      <x:c r="A157" t="n">
        <x:v>1936</x:v>
      </x:c>
      <x:c r="B157" t="inlineStr">
        <x:is>
          <x:t xml:space="preserve">Men's</x:t>
        </x:is>
      </x:c>
      <x:c r="C157" t="inlineStr">
        <x:is>
          <x:t xml:space="preserve">F.J. Perry</x:t>
        </x:is>
      </x:c>
      <x:c r="D157" t="n">
        <x:v>1</x:v>
      </x:c>
      <x:c r="E157" t="n">
        <x:v>40</x:v>
      </x:c>
      <x:c r="F157" t="inlineStr">
        <x:is>
          <x:t xml:space="preserve">6-1, 6-1, 6-0</x:t>
        </x:is>
      </x:c>
      <x:c r="G157" t="inlineStr">
        <x:is>
          <x:t xml:space="preserve">G. von Cramm</x:t>
        </x:is>
      </x:c>
      <x:c r="H157" t="n">
        <x:v>2</x:v>
      </x:c>
    </x:row>
    <x:row r="158">
      <x:c r="A158" t="n">
        <x:v>1935</x:v>
      </x:c>
      <x:c r="B158" t="inlineStr">
        <x:is>
          <x:t xml:space="preserve">Women's</x:t>
        </x:is>
      </x:c>
      <x:c r="C158" t="inlineStr">
        <x:is>
          <x:t xml:space="preserve">F.S. Moody</x:t>
        </x:is>
      </x:c>
      <x:c r="D158" t="n">
        <x:v>4</x:v>
      </x:c>
      <x:c r="E158" t="n">
        <x:v>100</x:v>
      </x:c>
      <x:c r="F158" t="inlineStr">
        <x:is>
          <x:t xml:space="preserve">6-3, 3-6, 7-5</x:t>
        </x:is>
      </x:c>
      <x:c r="G158" t="inlineStr">
        <x:is>
          <x:t xml:space="preserve">H.H. Jacobs</x:t>
        </x:is>
      </x:c>
      <x:c r="H158" t="n">
        <x:v>3</x:v>
      </x:c>
    </x:row>
    <x:row r="159">
      <x:c r="A159" t="n">
        <x:v>1935</x:v>
      </x:c>
      <x:c r="B159" t="inlineStr">
        <x:is>
          <x:t xml:space="preserve">Men's</x:t>
        </x:is>
      </x:c>
      <x:c r="C159" t="inlineStr">
        <x:is>
          <x:t xml:space="preserve">F.J. Perry</x:t>
        </x:is>
      </x:c>
      <x:c r="D159" t="n">
        <x:v>1</x:v>
      </x:c>
      <x:c r="E159" t="n">
        <x:v>80</x:v>
      </x:c>
      <x:c r="F159" t="inlineStr">
        <x:is>
          <x:t xml:space="preserve">6-2, 6-4, 6-4</x:t>
        </x:is>
      </x:c>
      <x:c r="G159" t="inlineStr">
        <x:is>
          <x:t xml:space="preserve">G. von Cramm</x:t>
        </x:is>
      </x:c>
      <x:c r="H159" t="n">
        <x:v>2</x:v>
      </x:c>
    </x:row>
    <x:row r="160">
      <x:c r="A160" t="n">
        <x:v>1934</x:v>
      </x:c>
      <x:c r="B160" t="inlineStr">
        <x:is>
          <x:t xml:space="preserve">Women's</x:t>
        </x:is>
      </x:c>
      <x:c r="C160" t="inlineStr">
        <x:is>
          <x:t xml:space="preserve">D.E. Round</x:t>
        </x:is>
      </x:c>
      <x:c r="D160" t="n">
        <x:v>2</x:v>
      </x:c>
      <x:c r="F160" t="inlineStr">
        <x:is>
          <x:t xml:space="preserve">6-2, 5-7, 6-3</x:t>
        </x:is>
      </x:c>
      <x:c r="G160" t="inlineStr">
        <x:is>
          <x:t xml:space="preserve">H.H. Jacobs</x:t>
        </x:is>
      </x:c>
      <x:c r="H160" t="n">
        <x:v>1</x:v>
      </x:c>
    </x:row>
    <x:row r="161">
      <x:c r="A161" t="n">
        <x:v>1934</x:v>
      </x:c>
      <x:c r="B161" t="inlineStr">
        <x:is>
          <x:t xml:space="preserve">Men's</x:t>
        </x:is>
      </x:c>
      <x:c r="C161" t="inlineStr">
        <x:is>
          <x:t xml:space="preserve">F.J. Perry</x:t>
        </x:is>
      </x:c>
      <x:c r="D161" t="n">
        <x:v>2</x:v>
      </x:c>
      <x:c r="E161" t="n">
        <x:v>72</x:v>
      </x:c>
      <x:c r="F161" t="inlineStr">
        <x:is>
          <x:t xml:space="preserve">6-3, 6-0, 7-5</x:t>
        </x:is>
      </x:c>
      <x:c r="G161" t="inlineStr">
        <x:is>
          <x:t xml:space="preserve">J.H. Crawford</x:t>
        </x:is>
      </x:c>
      <x:c r="H161" t="n">
        <x:v>1</x:v>
      </x:c>
    </x:row>
    <x:row r="162">
      <x:c r="A162" t="n">
        <x:v>1933</x:v>
      </x:c>
      <x:c r="B162" t="inlineStr">
        <x:is>
          <x:t xml:space="preserve">Women's</x:t>
        </x:is>
      </x:c>
      <x:c r="C162" t="inlineStr">
        <x:is>
          <x:t xml:space="preserve">F.S. Moody</x:t>
        </x:is>
      </x:c>
      <x:c r="D162" t="n">
        <x:v>1</x:v>
      </x:c>
      <x:c r="E162" t="n">
        <x:v>120</x:v>
      </x:c>
      <x:c r="F162" t="inlineStr">
        <x:is>
          <x:t xml:space="preserve">6-4, 6-8, 6-3</x:t>
        </x:is>
      </x:c>
      <x:c r="G162" t="inlineStr">
        <x:is>
          <x:t xml:space="preserve">D.E. Round</x:t>
        </x:is>
      </x:c>
      <x:c r="H162" t="n">
        <x:v>2</x:v>
      </x:c>
    </x:row>
    <x:row r="163">
      <x:c r="A163" t="n">
        <x:v>1933</x:v>
      </x:c>
      <x:c r="B163" t="inlineStr">
        <x:is>
          <x:t xml:space="preserve">Men's</x:t>
        </x:is>
      </x:c>
      <x:c r="C163" t="inlineStr">
        <x:is>
          <x:t xml:space="preserve">J.H. Crawford</x:t>
        </x:is>
      </x:c>
      <x:c r="D163" t="n">
        <x:v>2</x:v>
      </x:c>
      <x:c r="E163" t="n">
        <x:v>120</x:v>
      </x:c>
      <x:c r="F163" t="inlineStr">
        <x:is>
          <x:t xml:space="preserve">4-6, 11-9, 6-2, 2-6, 6-4</x:t>
        </x:is>
      </x:c>
      <x:c r="G163" t="inlineStr">
        <x:is>
          <x:t xml:space="preserve">H.E. Vines</x:t>
        </x:is>
      </x:c>
      <x:c r="H163" t="n">
        <x:v>1</x:v>
      </x:c>
    </x:row>
    <x:row r="164">
      <x:c r="A164" t="n">
        <x:v>1932</x:v>
      </x:c>
      <x:c r="B164" t="inlineStr">
        <x:is>
          <x:t xml:space="preserve">Women's</x:t>
        </x:is>
      </x:c>
      <x:c r="C164" t="inlineStr">
        <x:is>
          <x:t xml:space="preserve">F.S. Moody</x:t>
        </x:is>
      </x:c>
      <x:c r="D164" t="n">
        <x:v>1</x:v>
      </x:c>
      <x:c r="E164" t="n">
        <x:v>50</x:v>
      </x:c>
      <x:c r="F164" t="inlineStr">
        <x:is>
          <x:t xml:space="preserve">6-3, 6-1</x:t>
        </x:is>
      </x:c>
      <x:c r="G164" t="inlineStr">
        <x:is>
          <x:t xml:space="preserve">H.H. Jacobs</x:t>
        </x:is>
      </x:c>
      <x:c r="H164" t="n">
        <x:v>5</x:v>
      </x:c>
    </x:row>
    <x:row r="165">
      <x:c r="A165" t="n">
        <x:v>1932</x:v>
      </x:c>
      <x:c r="B165" t="inlineStr">
        <x:is>
          <x:t xml:space="preserve">Men's</x:t>
        </x:is>
      </x:c>
      <x:c r="C165" t="inlineStr">
        <x:is>
          <x:t xml:space="preserve">H.E.Vines</x:t>
        </x:is>
      </x:c>
      <x:c r="D165" t="n">
        <x:v>2</x:v>
      </x:c>
      <x:c r="E165" t="n">
        <x:v>50</x:v>
      </x:c>
      <x:c r="F165" t="inlineStr">
        <x:is>
          <x:t xml:space="preserve">6-2, 6-2, 6-0</x:t>
        </x:is>
      </x:c>
      <x:c r="G165" t="inlineStr">
        <x:is>
          <x:t xml:space="preserve">H.W. Austin</x:t>
        </x:is>
      </x:c>
      <x:c r="H165" t="n">
        <x:v>6</x:v>
      </x:c>
    </x:row>
    <x:row r="166">
      <x:c r="A166" t="n">
        <x:v>1931</x:v>
      </x:c>
      <x:c r="B166" t="inlineStr">
        <x:is>
          <x:t xml:space="preserve">Women's</x:t>
        </x:is>
      </x:c>
      <x:c r="C166" t="inlineStr">
        <x:is>
          <x:t xml:space="preserve">C. Aussem</x:t>
        </x:is>
      </x:c>
      <x:c r="D166" t="n">
        <x:v>1</x:v>
      </x:c>
      <x:c r="F166" t="inlineStr">
        <x:is>
          <x:t xml:space="preserve">6-2, 7-5</x:t>
        </x:is>
      </x:c>
      <x:c r="G166" t="inlineStr">
        <x:is>
          <x:t xml:space="preserve">H. Krahwinkel</x:t>
        </x:is>
      </x:c>
      <x:c r="H166" t="n">
        <x:v>4</x:v>
      </x:c>
    </x:row>
    <x:row r="167">
      <x:c r="A167" t="n">
        <x:v>1931</x:v>
      </x:c>
      <x:c r="B167" t="inlineStr">
        <x:is>
          <x:t xml:space="preserve">Men's</x:t>
        </x:is>
      </x:c>
      <x:c r="C167" t="inlineStr">
        <x:is>
          <x:t xml:space="preserve">S.B.B. Wood</x:t>
        </x:is>
      </x:c>
      <x:c r="D167" t="n">
        <x:v>7</x:v>
      </x:c>
      <x:c r="F167" t="inlineStr">
        <x:is>
          <x:t xml:space="preserve">walk over</x:t>
        </x:is>
      </x:c>
      <x:c r="G167" t="inlineStr">
        <x:is>
          <x:t xml:space="preserve">F.X. Shields</x:t>
        </x:is>
      </x:c>
      <x:c r="H167" t="n">
        <x:v>3</x:v>
      </x:c>
    </x:row>
    <x:row r="168">
      <x:c r="A168" t="n">
        <x:v>1930</x:v>
      </x:c>
      <x:c r="B168" t="inlineStr">
        <x:is>
          <x:t xml:space="preserve">Women's</x:t>
        </x:is>
      </x:c>
      <x:c r="C168" t="inlineStr">
        <x:is>
          <x:t xml:space="preserve">F.S. Moody</x:t>
        </x:is>
      </x:c>
      <x:c r="D168" t="n">
        <x:v>1</x:v>
      </x:c>
      <x:c r="F168" t="inlineStr">
        <x:is>
          <x:t xml:space="preserve">6-2, 6-2</x:t>
        </x:is>
      </x:c>
      <x:c r="G168" t="inlineStr">
        <x:is>
          <x:t xml:space="preserve">E.M. Ryan</x:t>
        </x:is>
      </x:c>
      <x:c r="H168" t="n">
        <x:v>8</x:v>
      </x:c>
    </x:row>
    <x:row r="169">
      <x:c r="A169" t="n">
        <x:v>1930</x:v>
      </x:c>
      <x:c r="B169" t="inlineStr">
        <x:is>
          <x:t xml:space="preserve">Men's</x:t>
        </x:is>
      </x:c>
      <x:c r="C169" t="inlineStr">
        <x:is>
          <x:t xml:space="preserve">W.T. Tilden</x:t>
        </x:is>
      </x:c>
      <x:c r="D169" t="n">
        <x:v>2</x:v>
      </x:c>
      <x:c r="E169" t="n">
        <x:v>70</x:v>
      </x:c>
      <x:c r="F169" t="inlineStr">
        <x:is>
          <x:t xml:space="preserve">6-3, 9-7, 6-4</x:t>
        </x:is>
      </x:c>
      <x:c r="G169" t="inlineStr">
        <x:is>
          <x:t xml:space="preserve">W.L. Allison</x:t>
        </x:is>
      </x:c>
      <x:c r="H169" t="inlineStr">
        <x:is>
          <x:t xml:space="preserve">U</x:t>
        </x:is>
      </x:c>
    </x:row>
    <x:row r="170">
      <x:c r="A170" t="n">
        <x:v>1929</x:v>
      </x:c>
      <x:c r="B170" t="inlineStr">
        <x:is>
          <x:t xml:space="preserve">Women's</x:t>
        </x:is>
      </x:c>
      <x:c r="C170" t="inlineStr">
        <x:is>
          <x:t xml:space="preserve">H.N. Wills</x:t>
        </x:is>
      </x:c>
      <x:c r="D170" t="n">
        <x:v>1</x:v>
      </x:c>
      <x:c r="F170" t="inlineStr">
        <x:is>
          <x:t xml:space="preserve">6-1, 6-2</x:t>
        </x:is>
      </x:c>
      <x:c r="G170" t="inlineStr">
        <x:is>
          <x:t xml:space="preserve">H.H. Jacobs</x:t>
        </x:is>
      </x:c>
      <x:c r="H170" t="n">
        <x:v>5</x:v>
      </x:c>
    </x:row>
    <x:row r="171">
      <x:c r="A171" t="n">
        <x:v>1929</x:v>
      </x:c>
      <x:c r="B171" t="inlineStr">
        <x:is>
          <x:t xml:space="preserve">Men's</x:t>
        </x:is>
      </x:c>
      <x:c r="C171" t="inlineStr">
        <x:is>
          <x:t xml:space="preserve">H.J. Cochet</x:t>
        </x:is>
      </x:c>
      <x:c r="D171" t="n">
        <x:v>1</x:v>
      </x:c>
      <x:c r="E171" t="n">
        <x:v>60</x:v>
      </x:c>
      <x:c r="F171" t="inlineStr">
        <x:is>
          <x:t xml:space="preserve">6-4, 6-3, 6-4</x:t>
        </x:is>
      </x:c>
      <x:c r="G171" t="inlineStr">
        <x:is>
          <x:t xml:space="preserve">J.R. Borotra</x:t>
        </x:is>
      </x:c>
      <x:c r="H171" t="n">
        <x:v>2</x:v>
      </x:c>
    </x:row>
    <x:row r="172">
      <x:c r="A172" t="n">
        <x:v>1928</x:v>
      </x:c>
      <x:c r="B172" t="inlineStr">
        <x:is>
          <x:t xml:space="preserve">Women's</x:t>
        </x:is>
      </x:c>
      <x:c r="C172" t="inlineStr">
        <x:is>
          <x:t xml:space="preserve">H.N. Wills</x:t>
        </x:is>
      </x:c>
      <x:c r="D172" t="n">
        <x:v>1</x:v>
      </x:c>
      <x:c r="F172" t="inlineStr">
        <x:is>
          <x:t xml:space="preserve">6-2, 6-3</x:t>
        </x:is>
      </x:c>
      <x:c r="G172" t="inlineStr">
        <x:is>
          <x:t xml:space="preserve">E.M. de Alvarez</x:t>
        </x:is>
      </x:c>
      <x:c r="H172" t="n">
        <x:v>2</x:v>
      </x:c>
    </x:row>
    <x:row r="173">
      <x:c r="A173" t="n">
        <x:v>1928</x:v>
      </x:c>
      <x:c r="B173" t="inlineStr">
        <x:is>
          <x:t xml:space="preserve">Men's</x:t>
        </x:is>
      </x:c>
      <x:c r="C173" t="inlineStr">
        <x:is>
          <x:t xml:space="preserve">J.R. Lacoste</x:t>
        </x:is>
      </x:c>
      <x:c r="D173" t="n">
        <x:v>2</x:v>
      </x:c>
      <x:c r="F173" t="inlineStr">
        <x:is>
          <x:t xml:space="preserve">6-1, 4-6, 6-4, 6-2</x:t>
        </x:is>
      </x:c>
      <x:c r="G173" t="inlineStr">
        <x:is>
          <x:t xml:space="preserve">H.J. Cochet</x:t>
        </x:is>
      </x:c>
      <x:c r="H173" t="n">
        <x:v>1</x:v>
      </x:c>
    </x:row>
    <x:row r="174">
      <x:c r="A174" t="n">
        <x:v>1927</x:v>
      </x:c>
      <x:c r="B174" t="inlineStr">
        <x:is>
          <x:t xml:space="preserve">Women's</x:t>
        </x:is>
      </x:c>
      <x:c r="C174" t="inlineStr">
        <x:is>
          <x:t xml:space="preserve">H.N. Wills</x:t>
        </x:is>
      </x:c>
      <x:c r="D174" t="n">
        <x:v>1</x:v>
      </x:c>
      <x:c r="F174" t="inlineStr">
        <x:is>
          <x:t xml:space="preserve">6-2, 6-4</x:t>
        </x:is>
      </x:c>
      <x:c r="G174" t="inlineStr">
        <x:is>
          <x:t xml:space="preserve">E.M. de Alvarez</x:t>
        </x:is>
      </x:c>
      <x:c r="H174" t="n">
        <x:v>4</x:v>
      </x:c>
    </x:row>
    <x:row r="175">
      <x:c r="A175" t="n">
        <x:v>1927</x:v>
      </x:c>
      <x:c r="B175" t="inlineStr">
        <x:is>
          <x:t xml:space="preserve">Men's</x:t>
        </x:is>
      </x:c>
      <x:c r="C175" t="inlineStr">
        <x:is>
          <x:t xml:space="preserve">H.J. Cochet</x:t>
        </x:is>
      </x:c>
      <x:c r="D175" t="n">
        <x:v>4</x:v>
      </x:c>
      <x:c r="F175" t="inlineStr">
        <x:is>
          <x:t xml:space="preserve">4-6, 4-6, 6-3, 6-4, 7-5</x:t>
        </x:is>
      </x:c>
      <x:c r="G175" t="inlineStr">
        <x:is>
          <x:t xml:space="preserve">J.R. Borotra</x:t>
        </x:is>
      </x:c>
      <x:c r="H175" t="n">
        <x:v>3</x:v>
      </x:c>
    </x:row>
    <x:row r="176">
      <x:c r="A176" t="n">
        <x:v>1926</x:v>
      </x:c>
      <x:c r="B176" t="inlineStr">
        <x:is>
          <x:t xml:space="preserve">Women's</x:t>
        </x:is>
      </x:c>
      <x:c r="C176" t="inlineStr">
        <x:is>
          <x:t xml:space="preserve">L.A. Godfree</x:t>
        </x:is>
      </x:c>
      <x:c r="E176" t="n">
        <x:v>60</x:v>
      </x:c>
      <x:c r="F176" t="inlineStr">
        <x:is>
          <x:t xml:space="preserve">6-2, 4-6, 6-3</x:t>
        </x:is>
      </x:c>
      <x:c r="G176" t="inlineStr">
        <x:is>
          <x:t xml:space="preserve">E.M. de Alvarez</x:t>
        </x:is>
      </x:c>
    </x:row>
    <x:row r="177">
      <x:c r="A177" t="n">
        <x:v>1926</x:v>
      </x:c>
      <x:c r="B177" t="inlineStr">
        <x:is>
          <x:t xml:space="preserve">Men's</x:t>
        </x:is>
      </x:c>
      <x:c r="C177" t="inlineStr">
        <x:is>
          <x:t xml:space="preserve">J.R. Borotra</x:t>
        </x:is>
      </x:c>
      <x:c r="E177" t="n">
        <x:v>65</x:v>
      </x:c>
      <x:c r="F177" t="inlineStr">
        <x:is>
          <x:t xml:space="preserve">8-6, 6-1, 6-3</x:t>
        </x:is>
      </x:c>
      <x:c r="G177" t="inlineStr">
        <x:is>
          <x:t xml:space="preserve">H.O. Kinsey</x:t>
        </x:is>
      </x:c>
    </x:row>
    <x:row r="178">
      <x:c r="A178" t="n">
        <x:v>1925</x:v>
      </x:c>
      <x:c r="B178" t="inlineStr">
        <x:is>
          <x:t xml:space="preserve">Women's</x:t>
        </x:is>
      </x:c>
      <x:c r="C178" t="inlineStr">
        <x:is>
          <x:t xml:space="preserve">S.R.F. Lenglen</x:t>
        </x:is>
      </x:c>
      <x:c r="E178" t="n">
        <x:v>25</x:v>
      </x:c>
      <x:c r="F178" t="inlineStr">
        <x:is>
          <x:t xml:space="preserve">6-2, 6-0</x:t>
        </x:is>
      </x:c>
      <x:c r="G178" t="inlineStr">
        <x:is>
          <x:t xml:space="preserve">J.C. Fry</x:t>
        </x:is>
      </x:c>
    </x:row>
    <x:row r="179">
      <x:c r="A179" t="n">
        <x:v>1925</x:v>
      </x:c>
      <x:c r="B179" t="inlineStr">
        <x:is>
          <x:t xml:space="preserve">Men's</x:t>
        </x:is>
      </x:c>
      <x:c r="C179" t="inlineStr">
        <x:is>
          <x:t xml:space="preserve">J.R. Lacoste</x:t>
        </x:is>
      </x:c>
      <x:c r="F179" t="inlineStr">
        <x:is>
          <x:t xml:space="preserve">6-3, 6-3, 4-6, 8-6</x:t>
        </x:is>
      </x:c>
      <x:c r="G179" t="inlineStr">
        <x:is>
          <x:t xml:space="preserve">J.R. Borotra</x:t>
        </x:is>
      </x:c>
    </x:row>
    <x:row r="180">
      <x:c r="A180" t="n">
        <x:v>1924</x:v>
      </x:c>
      <x:c r="B180" t="inlineStr">
        <x:is>
          <x:t xml:space="preserve">Women's</x:t>
        </x:is>
      </x:c>
      <x:c r="C180" t="inlineStr">
        <x:is>
          <x:t xml:space="preserve">K. McKane</x:t>
        </x:is>
      </x:c>
      <x:c r="E180" t="n">
        <x:v>75</x:v>
      </x:c>
      <x:c r="F180" t="inlineStr">
        <x:is>
          <x:t xml:space="preserve">4-6, 6-4, 6-4</x:t>
        </x:is>
      </x:c>
      <x:c r="G180" t="inlineStr">
        <x:is>
          <x:t xml:space="preserve">H.N. Wills</x:t>
        </x:is>
      </x:c>
    </x:row>
    <x:row r="181">
      <x:c r="A181" t="n">
        <x:v>1924</x:v>
      </x:c>
      <x:c r="B181" t="inlineStr">
        <x:is>
          <x:t xml:space="preserve">Men's</x:t>
        </x:is>
      </x:c>
      <x:c r="C181" t="inlineStr">
        <x:is>
          <x:t xml:space="preserve">J.R. Borotra</x:t>
        </x:is>
      </x:c>
      <x:c r="E181" t="n">
        <x:v>80</x:v>
      </x:c>
      <x:c r="F181" t="inlineStr">
        <x:is>
          <x:t xml:space="preserve">6-1, 3-6, 6-1, 3-6, 6-4</x:t>
        </x:is>
      </x:c>
      <x:c r="G181" t="inlineStr">
        <x:is>
          <x:t xml:space="preserve">J.R. Lacoste</x:t>
        </x:is>
      </x:c>
    </x:row>
    <x:row r="182">
      <x:c r="A182" t="n">
        <x:v>1923</x:v>
      </x:c>
      <x:c r="B182" t="inlineStr">
        <x:is>
          <x:t xml:space="preserve">Women's</x:t>
        </x:is>
      </x:c>
      <x:c r="C182" t="inlineStr">
        <x:is>
          <x:t xml:space="preserve">S.R.F. Lenglen</x:t>
        </x:is>
      </x:c>
      <x:c r="F182" t="inlineStr">
        <x:is>
          <x:t xml:space="preserve">6-2, 6-2</x:t>
        </x:is>
      </x:c>
      <x:c r="G182" t="inlineStr">
        <x:is>
          <x:t xml:space="preserve">K. McKane</x:t>
        </x:is>
      </x:c>
    </x:row>
    <x:row r="183">
      <x:c r="A183" t="n">
        <x:v>1923</x:v>
      </x:c>
      <x:c r="B183" t="inlineStr">
        <x:is>
          <x:t xml:space="preserve">Men's</x:t>
        </x:is>
      </x:c>
      <x:c r="C183" t="inlineStr">
        <x:is>
          <x:t xml:space="preserve">W. M. Johnston</x:t>
        </x:is>
      </x:c>
      <x:c r="E183" t="n">
        <x:v>46</x:v>
      </x:c>
      <x:c r="F183" t="inlineStr">
        <x:is>
          <x:t xml:space="preserve">6-0, 6-3, 6-1</x:t>
        </x:is>
      </x:c>
      <x:c r="G183" t="inlineStr">
        <x:is>
          <x:t xml:space="preserve">F.T. Hunter</x:t>
        </x:is>
      </x:c>
    </x:row>
    <x:row r="184">
      <x:c r="A184" t="n">
        <x:v>1922</x:v>
      </x:c>
      <x:c r="B184" t="inlineStr">
        <x:is>
          <x:t xml:space="preserve">Women's</x:t>
        </x:is>
      </x:c>
      <x:c r="C184" t="inlineStr">
        <x:is>
          <x:t xml:space="preserve">S.R.F. Lenglen</x:t>
        </x:is>
      </x:c>
      <x:c r="E184" t="n">
        <x:v>23</x:v>
      </x:c>
      <x:c r="F184" t="inlineStr">
        <x:is>
          <x:t xml:space="preserve">6-2, 6-0</x:t>
        </x:is>
      </x:c>
      <x:c r="G184" t="inlineStr">
        <x:is>
          <x:t xml:space="preserve">F.I. Mallory</x:t>
        </x:is>
      </x:c>
    </x:row>
    <x:row r="185">
      <x:c r="A185" t="n">
        <x:v>1922</x:v>
      </x:c>
      <x:c r="B185" t="inlineStr">
        <x:is>
          <x:t xml:space="preserve">Men's</x:t>
        </x:is>
      </x:c>
      <x:c r="C185" t="inlineStr">
        <x:is>
          <x:t xml:space="preserve">G.L. Patterson</x:t>
        </x:is>
      </x:c>
      <x:c r="F185" t="inlineStr">
        <x:is>
          <x:t xml:space="preserve">6-3, 6-4, 6-2</x:t>
        </x:is>
      </x:c>
      <x:c r="G185" t="inlineStr">
        <x:is>
          <x:t xml:space="preserve">R. Lycett</x:t>
        </x:is>
      </x:c>
    </x:row>
    <x:row r="186">
      <x:c r="A186" t="n">
        <x:v>1921</x:v>
      </x:c>
      <x:c r="B186" t="inlineStr">
        <x:is>
          <x:t xml:space="preserve">Women's</x:t>
        </x:is>
      </x:c>
      <x:c r="C186" t="inlineStr">
        <x:is>
          <x:t xml:space="preserve">S.R.F. Lenglen</x:t>
        </x:is>
      </x:c>
      <x:c r="F186" t="inlineStr">
        <x:is>
          <x:t xml:space="preserve">6-2, 6-0</x:t>
        </x:is>
      </x:c>
      <x:c r="G186" t="inlineStr">
        <x:is>
          <x:t xml:space="preserve">E.M. Ryan</x:t>
        </x:is>
      </x:c>
    </x:row>
    <x:row r="187">
      <x:c r="A187" t="n">
        <x:v>1921</x:v>
      </x:c>
      <x:c r="B187" t="inlineStr">
        <x:is>
          <x:t xml:space="preserve">Men's</x:t>
        </x:is>
      </x:c>
      <x:c r="C187" t="inlineStr">
        <x:is>
          <x:t xml:space="preserve">W.T. Tilden</x:t>
        </x:is>
      </x:c>
      <x:c r="F187" t="inlineStr">
        <x:is>
          <x:t xml:space="preserve">4-6, 2-6, 6-1, 6-0, 7-5</x:t>
        </x:is>
      </x:c>
      <x:c r="G187" t="inlineStr">
        <x:is>
          <x:t xml:space="preserve">B.I.C. Norton</x:t>
        </x:is>
      </x:c>
    </x:row>
    <x:row r="188">
      <x:c r="A188" t="n">
        <x:v>1920</x:v>
      </x:c>
      <x:c r="B188" t="inlineStr">
        <x:is>
          <x:t xml:space="preserve">Women's</x:t>
        </x:is>
      </x:c>
      <x:c r="C188" t="inlineStr">
        <x:is>
          <x:t xml:space="preserve">S.R.F. Lenglen</x:t>
        </x:is>
      </x:c>
      <x:c r="F188" t="inlineStr">
        <x:is>
          <x:t xml:space="preserve">6-3, 6-0</x:t>
        </x:is>
      </x:c>
      <x:c r="G188" t="inlineStr">
        <x:is>
          <x:t xml:space="preserve">R.L. Chambers</x:t>
        </x:is>
      </x:c>
    </x:row>
    <x:row r="189">
      <x:c r="A189" t="n">
        <x:v>1920</x:v>
      </x:c>
      <x:c r="B189" t="inlineStr">
        <x:is>
          <x:t xml:space="preserve">Men's</x:t>
        </x:is>
      </x:c>
      <x:c r="C189" t="inlineStr">
        <x:is>
          <x:t xml:space="preserve">W.T. Tilden</x:t>
        </x:is>
      </x:c>
      <x:c r="F189" t="inlineStr">
        <x:is>
          <x:t xml:space="preserve">2-6, 6-3, 6-2, 6-4</x:t>
        </x:is>
      </x:c>
      <x:c r="G189" t="inlineStr">
        <x:is>
          <x:t xml:space="preserve">G.L. Patterson</x:t>
        </x:is>
      </x:c>
    </x:row>
    <x:row r="190">
      <x:c r="A190" t="n">
        <x:v>1919</x:v>
      </x:c>
      <x:c r="B190" t="inlineStr">
        <x:is>
          <x:t xml:space="preserve">Women's</x:t>
        </x:is>
      </x:c>
      <x:c r="C190" t="inlineStr">
        <x:is>
          <x:t xml:space="preserve">S.R.F. Lenglen</x:t>
        </x:is>
      </x:c>
      <x:c r="E190" t="n">
        <x:v>125</x:v>
      </x:c>
      <x:c r="F190" t="inlineStr">
        <x:is>
          <x:t xml:space="preserve">10-8, 4-6, 9-7</x:t>
        </x:is>
      </x:c>
      <x:c r="G190" t="inlineStr">
        <x:is>
          <x:t xml:space="preserve">R.L. Chambers</x:t>
        </x:is>
      </x:c>
    </x:row>
    <x:row r="191">
      <x:c r="A191" t="n">
        <x:v>1919</x:v>
      </x:c>
      <x:c r="B191" t="inlineStr">
        <x:is>
          <x:t xml:space="preserve">Men's</x:t>
        </x:is>
      </x:c>
      <x:c r="C191" t="inlineStr">
        <x:is>
          <x:t xml:space="preserve">G.L. Patterson</x:t>
        </x:is>
      </x:c>
      <x:c r="F191" t="inlineStr">
        <x:is>
          <x:t xml:space="preserve">6-3, 7-5, 6-2</x:t>
        </x:is>
      </x:c>
      <x:c r="G191" t="inlineStr">
        <x:is>
          <x:t xml:space="preserve">N.E. Brookes</x:t>
        </x:is>
      </x:c>
    </x:row>
    <x:row r="192">
      <x:c r="A192" t="n">
        <x:v>1914</x:v>
      </x:c>
      <x:c r="B192" t="inlineStr">
        <x:is>
          <x:t xml:space="preserve">Women's</x:t>
        </x:is>
      </x:c>
      <x:c r="C192" t="inlineStr">
        <x:is>
          <x:t xml:space="preserve">R.L. Chambers</x:t>
        </x:is>
      </x:c>
      <x:c r="F192" t="inlineStr">
        <x:is>
          <x:t xml:space="preserve">7-5, 6-4</x:t>
        </x:is>
      </x:c>
      <x:c r="G192" t="inlineStr">
        <x:is>
          <x:t xml:space="preserve">D.T.R. Larcombe</x:t>
        </x:is>
      </x:c>
    </x:row>
    <x:row r="193">
      <x:c r="A193" t="n">
        <x:v>1914</x:v>
      </x:c>
      <x:c r="B193" t="inlineStr">
        <x:is>
          <x:t xml:space="preserve">Men's</x:t>
        </x:is>
      </x:c>
      <x:c r="C193" t="inlineStr">
        <x:is>
          <x:t xml:space="preserve">N.E. Brookes</x:t>
        </x:is>
      </x:c>
      <x:c r="F193" t="inlineStr">
        <x:is>
          <x:t xml:space="preserve">6-4, 6-4, 7-5</x:t>
        </x:is>
      </x:c>
      <x:c r="G193" t="inlineStr">
        <x:is>
          <x:t xml:space="preserve">A.F. Wilding</x:t>
        </x:is>
      </x:c>
    </x:row>
    <x:row r="194">
      <x:c r="A194" t="n">
        <x:v>1913</x:v>
      </x:c>
      <x:c r="B194" t="inlineStr">
        <x:is>
          <x:t xml:space="preserve">Women's</x:t>
        </x:is>
      </x:c>
      <x:c r="C194" t="inlineStr">
        <x:is>
          <x:t xml:space="preserve">R.L. Chambers</x:t>
        </x:is>
      </x:c>
      <x:c r="F194" t="inlineStr">
        <x:is>
          <x:t xml:space="preserve">6-0, 6-4</x:t>
        </x:is>
      </x:c>
      <x:c r="G194" t="inlineStr">
        <x:is>
          <x:t xml:space="preserve">R.J. McNair</x:t>
        </x:is>
      </x:c>
    </x:row>
    <x:row r="195">
      <x:c r="A195" t="n">
        <x:v>1913</x:v>
      </x:c>
      <x:c r="B195" t="inlineStr">
        <x:is>
          <x:t xml:space="preserve">Men's</x:t>
        </x:is>
      </x:c>
      <x:c r="C195" t="inlineStr">
        <x:is>
          <x:t xml:space="preserve">A.F. Wilding</x:t>
        </x:is>
      </x:c>
      <x:c r="F195" t="inlineStr">
        <x:is>
          <x:t xml:space="preserve">8-6, 6-3, 10-8</x:t>
        </x:is>
      </x:c>
      <x:c r="G195" t="inlineStr">
        <x:is>
          <x:t xml:space="preserve">M.E. McLoughlin</x:t>
        </x:is>
      </x:c>
    </x:row>
    <x:row r="196">
      <x:c r="A196" t="n">
        <x:v>1912</x:v>
      </x:c>
      <x:c r="B196" t="inlineStr">
        <x:is>
          <x:t xml:space="preserve">Women's</x:t>
        </x:is>
      </x:c>
      <x:c r="C196" t="inlineStr">
        <x:is>
          <x:t xml:space="preserve">D.T.R. Larcombe</x:t>
        </x:is>
      </x:c>
      <x:c r="F196" t="inlineStr">
        <x:is>
          <x:t xml:space="preserve">6-3, 6-1</x:t>
        </x:is>
      </x:c>
      <x:c r="G196" t="inlineStr">
        <x:is>
          <x:t xml:space="preserve">A. Sterry</x:t>
        </x:is>
      </x:c>
    </x:row>
    <x:row r="197">
      <x:c r="A197" t="n">
        <x:v>1912</x:v>
      </x:c>
      <x:c r="B197" t="inlineStr">
        <x:is>
          <x:t xml:space="preserve">Men's</x:t>
        </x:is>
      </x:c>
      <x:c r="C197" t="inlineStr">
        <x:is>
          <x:t xml:space="preserve">A.F. Wilding</x:t>
        </x:is>
      </x:c>
      <x:c r="F197" t="inlineStr">
        <x:is>
          <x:t xml:space="preserve">6-4, 6-4, 4-6, 6-4</x:t>
        </x:is>
      </x:c>
      <x:c r="G197" t="inlineStr">
        <x:is>
          <x:t xml:space="preserve">A.W. Gore</x:t>
        </x:is>
      </x:c>
    </x:row>
    <x:row r="198">
      <x:c r="A198" t="n">
        <x:v>1911</x:v>
      </x:c>
      <x:c r="B198" t="inlineStr">
        <x:is>
          <x:t xml:space="preserve">Women's</x:t>
        </x:is>
      </x:c>
      <x:c r="C198" t="inlineStr">
        <x:is>
          <x:t xml:space="preserve">R.L. Chambers</x:t>
        </x:is>
      </x:c>
      <x:c r="E198" t="n">
        <x:v>25</x:v>
      </x:c>
      <x:c r="F198" t="inlineStr">
        <x:is>
          <x:t xml:space="preserve">6-0, 6-0</x:t>
        </x:is>
      </x:c>
      <x:c r="G198" t="inlineStr">
        <x:is>
          <x:t xml:space="preserve">P.D.H. Boothby</x:t>
        </x:is>
      </x:c>
    </x:row>
    <x:row r="199">
      <x:c r="A199" t="n">
        <x:v>1911</x:v>
      </x:c>
      <x:c r="B199" t="inlineStr">
        <x:is>
          <x:t xml:space="preserve">Men's</x:t>
        </x:is>
      </x:c>
      <x:c r="C199" t="inlineStr">
        <x:is>
          <x:t xml:space="preserve">A.F. Wilding</x:t>
        </x:is>
      </x:c>
      <x:c r="F199" t="inlineStr">
        <x:is>
          <x:t xml:space="preserve">6-4, 4-6, 2-6, 6-2, retd</x:t>
        </x:is>
      </x:c>
      <x:c r="G199" t="inlineStr">
        <x:is>
          <x:t xml:space="preserve">H.R. Barrett</x:t>
        </x:is>
      </x:c>
    </x:row>
    <x:row r="200">
      <x:c r="A200" t="n">
        <x:v>1910</x:v>
      </x:c>
      <x:c r="B200" t="inlineStr">
        <x:is>
          <x:t xml:space="preserve">Women's</x:t>
        </x:is>
      </x:c>
      <x:c r="C200" t="inlineStr">
        <x:is>
          <x:t xml:space="preserve">R.L. Chambers</x:t>
        </x:is>
      </x:c>
      <x:c r="F200" t="inlineStr">
        <x:is>
          <x:t xml:space="preserve">6-2, 6-2</x:t>
        </x:is>
      </x:c>
      <x:c r="G200" t="inlineStr">
        <x:is>
          <x:t xml:space="preserve">P.D.H. Boothby</x:t>
        </x:is>
      </x:c>
    </x:row>
    <x:row r="201">
      <x:c r="A201" t="n">
        <x:v>1910</x:v>
      </x:c>
      <x:c r="B201" t="inlineStr">
        <x:is>
          <x:t xml:space="preserve">Men's</x:t>
        </x:is>
      </x:c>
      <x:c r="C201" t="inlineStr">
        <x:is>
          <x:t xml:space="preserve">A.F. Wilding</x:t>
        </x:is>
      </x:c>
      <x:c r="F201" t="inlineStr">
        <x:is>
          <x:t xml:space="preserve">6-4, 7-5, 4-6, 6-2</x:t>
        </x:is>
      </x:c>
      <x:c r="G201" t="inlineStr">
        <x:is>
          <x:t xml:space="preserve">A.W. Gore</x:t>
        </x:is>
      </x:c>
    </x:row>
    <x:row r="202">
      <x:c r="A202" t="n">
        <x:v>1909</x:v>
      </x:c>
      <x:c r="B202" t="inlineStr">
        <x:is>
          <x:t xml:space="preserve">Women's</x:t>
        </x:is>
      </x:c>
      <x:c r="C202" t="inlineStr">
        <x:is>
          <x:t xml:space="preserve">P.D.H. Boothby</x:t>
        </x:is>
      </x:c>
      <x:c r="F202" t="inlineStr">
        <x:is>
          <x:t xml:space="preserve">6-4, 4-6, 8-6</x:t>
        </x:is>
      </x:c>
      <x:c r="G202" t="inlineStr">
        <x:is>
          <x:t xml:space="preserve">A.M. Morton</x:t>
        </x:is>
      </x:c>
    </x:row>
    <x:row r="203">
      <x:c r="A203" t="n">
        <x:v>1909</x:v>
      </x:c>
      <x:c r="B203" t="inlineStr">
        <x:is>
          <x:t xml:space="preserve">Men's</x:t>
        </x:is>
      </x:c>
      <x:c r="C203" t="inlineStr">
        <x:is>
          <x:t xml:space="preserve">A.W. Gore</x:t>
        </x:is>
      </x:c>
      <x:c r="E203" t="n">
        <x:v>95</x:v>
      </x:c>
      <x:c r="F203" t="inlineStr">
        <x:is>
          <x:t xml:space="preserve">6-8, 1-6, 6-2, 6-2, 6-2</x:t>
        </x:is>
      </x:c>
      <x:c r="G203" t="inlineStr">
        <x:is>
          <x:t xml:space="preserve">M.J.G. Ritchie</x:t>
        </x:is>
      </x:c>
    </x:row>
    <x:row r="204">
      <x:c r="A204" t="n">
        <x:v>1908</x:v>
      </x:c>
      <x:c r="B204" t="inlineStr">
        <x:is>
          <x:t xml:space="preserve">Women's</x:t>
        </x:is>
      </x:c>
      <x:c r="C204" t="inlineStr">
        <x:is>
          <x:t xml:space="preserve">A. Sterry</x:t>
        </x:is>
      </x:c>
      <x:c r="F204" t="inlineStr">
        <x:is>
          <x:t xml:space="preserve">6-4, 6-4</x:t>
        </x:is>
      </x:c>
      <x:c r="G204" t="inlineStr">
        <x:is>
          <x:t xml:space="preserve">A.M. Morton</x:t>
        </x:is>
      </x:c>
    </x:row>
    <x:row r="205">
      <x:c r="A205" t="n">
        <x:v>1908</x:v>
      </x:c>
      <x:c r="B205" t="inlineStr">
        <x:is>
          <x:t xml:space="preserve">Men's</x:t>
        </x:is>
      </x:c>
      <x:c r="C205" t="inlineStr">
        <x:is>
          <x:t xml:space="preserve">A.W. Gore</x:t>
        </x:is>
      </x:c>
      <x:c r="F205" t="inlineStr">
        <x:is>
          <x:t xml:space="preserve">6-3, 6-2, 4-6, 3-6, 6-4</x:t>
        </x:is>
      </x:c>
      <x:c r="G205" t="inlineStr">
        <x:is>
          <x:t xml:space="preserve">H.R. Barrett</x:t>
        </x:is>
      </x:c>
    </x:row>
    <x:row r="206">
      <x:c r="A206" t="n">
        <x:v>1907</x:v>
      </x:c>
      <x:c r="B206" t="inlineStr">
        <x:is>
          <x:t xml:space="preserve">Women's</x:t>
        </x:is>
      </x:c>
      <x:c r="C206" t="inlineStr">
        <x:is>
          <x:t xml:space="preserve">M.G. Sutton</x:t>
        </x:is>
      </x:c>
      <x:c r="F206" t="inlineStr">
        <x:is>
          <x:t xml:space="preserve">6-1, 6-4</x:t>
        </x:is>
      </x:c>
      <x:c r="G206" t="inlineStr">
        <x:is>
          <x:t xml:space="preserve">R.L. Chambers</x:t>
        </x:is>
      </x:c>
    </x:row>
    <x:row r="207">
      <x:c r="A207" t="n">
        <x:v>1907</x:v>
      </x:c>
      <x:c r="B207" t="inlineStr">
        <x:is>
          <x:t xml:space="preserve">Men's</x:t>
        </x:is>
      </x:c>
      <x:c r="C207" t="inlineStr">
        <x:is>
          <x:t xml:space="preserve">N.E. Brookes</x:t>
        </x:is>
      </x:c>
      <x:c r="F207" t="inlineStr">
        <x:is>
          <x:t xml:space="preserve">6-4, 6-2, 6-2</x:t>
        </x:is>
      </x:c>
      <x:c r="G207" t="inlineStr">
        <x:is>
          <x:t xml:space="preserve">A.W. Gore</x:t>
        </x:is>
      </x:c>
    </x:row>
    <x:row r="208">
      <x:c r="A208" t="n">
        <x:v>1906</x:v>
      </x:c>
      <x:c r="B208" t="inlineStr">
        <x:is>
          <x:t xml:space="preserve">Women's</x:t>
        </x:is>
      </x:c>
      <x:c r="C208" t="inlineStr">
        <x:is>
          <x:t xml:space="preserve">D.K. Douglass</x:t>
        </x:is>
      </x:c>
      <x:c r="E208" t="n">
        <x:v>57</x:v>
      </x:c>
      <x:c r="F208" t="inlineStr">
        <x:is>
          <x:t xml:space="preserve">6-3, 9-7</x:t>
        </x:is>
      </x:c>
      <x:c r="G208" t="inlineStr">
        <x:is>
          <x:t xml:space="preserve">M.G. Sutton</x:t>
        </x:is>
      </x:c>
    </x:row>
    <x:row r="209">
      <x:c r="A209" t="n">
        <x:v>1906</x:v>
      </x:c>
      <x:c r="B209" t="inlineStr">
        <x:is>
          <x:t xml:space="preserve">Men's</x:t>
        </x:is>
      </x:c>
      <x:c r="C209" t="inlineStr">
        <x:is>
          <x:t xml:space="preserve">H.L. Doherty</x:t>
        </x:is>
      </x:c>
      <x:c r="E209" t="n">
        <x:v>74</x:v>
      </x:c>
      <x:c r="F209" t="inlineStr">
        <x:is>
          <x:t xml:space="preserve">6-4, 4-6, 6-2, 6-3</x:t>
        </x:is>
      </x:c>
      <x:c r="G209" t="inlineStr">
        <x:is>
          <x:t xml:space="preserve">F.L. Riseley</x:t>
        </x:is>
      </x:c>
    </x:row>
    <x:row r="210">
      <x:c r="A210" t="n">
        <x:v>1905</x:v>
      </x:c>
      <x:c r="B210" t="inlineStr">
        <x:is>
          <x:t xml:space="preserve">Women's</x:t>
        </x:is>
      </x:c>
      <x:c r="C210" t="inlineStr">
        <x:is>
          <x:t xml:space="preserve">M.G. Sutton</x:t>
        </x:is>
      </x:c>
      <x:c r="F210" t="inlineStr">
        <x:is>
          <x:t xml:space="preserve">6-3, 6-4</x:t>
        </x:is>
      </x:c>
      <x:c r="G210" t="inlineStr">
        <x:is>
          <x:t xml:space="preserve">D.K. Douglass</x:t>
        </x:is>
      </x:c>
    </x:row>
    <x:row r="211">
      <x:c r="A211" t="n">
        <x:v>1905</x:v>
      </x:c>
      <x:c r="B211" t="inlineStr">
        <x:is>
          <x:t xml:space="preserve">Men's</x:t>
        </x:is>
      </x:c>
      <x:c r="C211" t="inlineStr">
        <x:is>
          <x:t xml:space="preserve">H.L. Doherty</x:t>
        </x:is>
      </x:c>
      <x:c r="E211" t="n">
        <x:v>65</x:v>
      </x:c>
      <x:c r="F211" t="inlineStr">
        <x:is>
          <x:t xml:space="preserve">8-6, 6-2, 6-4</x:t>
        </x:is>
      </x:c>
      <x:c r="G211" t="inlineStr">
        <x:is>
          <x:t xml:space="preserve">N.E. Brookes</x:t>
        </x:is>
      </x:c>
    </x:row>
    <x:row r="212">
      <x:c r="A212" t="n">
        <x:v>1904</x:v>
      </x:c>
      <x:c r="B212" t="inlineStr">
        <x:is>
          <x:t xml:space="preserve">Women's</x:t>
        </x:is>
      </x:c>
      <x:c r="C212" t="inlineStr">
        <x:is>
          <x:t xml:space="preserve">D.K. Douglass</x:t>
        </x:is>
      </x:c>
      <x:c r="F212" t="inlineStr">
        <x:is>
          <x:t xml:space="preserve">6-0, 6-3</x:t>
        </x:is>
      </x:c>
      <x:c r="G212" t="inlineStr">
        <x:is>
          <x:t xml:space="preserve">A. Sterry</x:t>
        </x:is>
      </x:c>
    </x:row>
    <x:row r="213">
      <x:c r="A213" t="n">
        <x:v>1904</x:v>
      </x:c>
      <x:c r="B213" t="inlineStr">
        <x:is>
          <x:t xml:space="preserve">Men's</x:t>
        </x:is>
      </x:c>
      <x:c r="C213" t="inlineStr">
        <x:is>
          <x:t xml:space="preserve">H.L. Doherty</x:t>
        </x:is>
      </x:c>
      <x:c r="F213" t="inlineStr">
        <x:is>
          <x:t xml:space="preserve">6-1, 7-5, 8-6</x:t>
        </x:is>
      </x:c>
      <x:c r="G213" t="inlineStr">
        <x:is>
          <x:t xml:space="preserve">F.L. Riseley</x:t>
        </x:is>
      </x:c>
    </x:row>
    <x:row r="214">
      <x:c r="A214" t="n">
        <x:v>1903</x:v>
      </x:c>
      <x:c r="B214" t="inlineStr">
        <x:is>
          <x:t xml:space="preserve">Women's</x:t>
        </x:is>
      </x:c>
      <x:c r="C214" t="inlineStr">
        <x:is>
          <x:t xml:space="preserve">D.K. Douglass</x:t>
        </x:is>
      </x:c>
      <x:c r="F214" t="inlineStr">
        <x:is>
          <x:t xml:space="preserve">4-6, 6-4, 6-2</x:t>
        </x:is>
      </x:c>
      <x:c r="G214" t="inlineStr">
        <x:is>
          <x:t xml:space="preserve">E.W. Thomson</x:t>
        </x:is>
      </x:c>
    </x:row>
    <x:row r="215">
      <x:c r="A215" t="n">
        <x:v>1903</x:v>
      </x:c>
      <x:c r="B215" t="inlineStr">
        <x:is>
          <x:t xml:space="preserve">Men's</x:t>
        </x:is>
      </x:c>
      <x:c r="C215" t="inlineStr">
        <x:is>
          <x:t xml:space="preserve">H.L. Doherty</x:t>
        </x:is>
      </x:c>
      <x:c r="F215" t="inlineStr">
        <x:is>
          <x:t xml:space="preserve">7-5, 6-3, 6-0</x:t>
        </x:is>
      </x:c>
      <x:c r="G215" t="inlineStr">
        <x:is>
          <x:t xml:space="preserve">F.L. Riseley</x:t>
        </x:is>
      </x:c>
    </x:row>
    <x:row r="216">
      <x:c r="A216" t="n">
        <x:v>1902</x:v>
      </x:c>
      <x:c r="B216" t="inlineStr">
        <x:is>
          <x:t xml:space="preserve">Women's</x:t>
        </x:is>
      </x:c>
      <x:c r="C216" t="inlineStr">
        <x:is>
          <x:t xml:space="preserve">M.E. Robb</x:t>
        </x:is>
      </x:c>
      <x:c r="F216" t="inlineStr">
        <x:is>
          <x:t xml:space="preserve">7-5, 6-1</x:t>
        </x:is>
      </x:c>
      <x:c r="G216" t="inlineStr">
        <x:is>
          <x:t xml:space="preserve">A. Sterry</x:t>
        </x:is>
      </x:c>
    </x:row>
    <x:row r="217">
      <x:c r="A217" t="n">
        <x:v>1902</x:v>
      </x:c>
      <x:c r="B217" t="inlineStr">
        <x:is>
          <x:t xml:space="preserve">Men's</x:t>
        </x:is>
      </x:c>
      <x:c r="C217" t="inlineStr">
        <x:is>
          <x:t xml:space="preserve">H.L. Doherty</x:t>
        </x:is>
      </x:c>
      <x:c r="E217" t="n">
        <x:v>84</x:v>
      </x:c>
      <x:c r="F217" t="inlineStr">
        <x:is>
          <x:t xml:space="preserve">6-4, 6-3, 3-6, 6-0</x:t>
        </x:is>
      </x:c>
      <x:c r="G217" t="inlineStr">
        <x:is>
          <x:t xml:space="preserve">A.W. Gore</x:t>
        </x:is>
      </x:c>
    </x:row>
    <x:row r="218">
      <x:c r="A218" t="n">
        <x:v>1901</x:v>
      </x:c>
      <x:c r="B218" t="inlineStr">
        <x:is>
          <x:t xml:space="preserve">Women's</x:t>
        </x:is>
      </x:c>
      <x:c r="C218" t="inlineStr">
        <x:is>
          <x:t xml:space="preserve">A. Sterry</x:t>
        </x:is>
      </x:c>
      <x:c r="F218" t="inlineStr">
        <x:is>
          <x:t xml:space="preserve">6-2, 6-2</x:t>
        </x:is>
      </x:c>
      <x:c r="G218" t="inlineStr">
        <x:is>
          <x:t xml:space="preserve">G.W. Hillyard</x:t>
        </x:is>
      </x:c>
    </x:row>
    <x:row r="219">
      <x:c r="A219" t="n">
        <x:v>1901</x:v>
      </x:c>
      <x:c r="B219" t="inlineStr">
        <x:is>
          <x:t xml:space="preserve">Men's</x:t>
        </x:is>
      </x:c>
      <x:c r="C219" t="inlineStr">
        <x:is>
          <x:t xml:space="preserve">A.W. Gore</x:t>
        </x:is>
      </x:c>
      <x:c r="E219" t="n">
        <x:v>95</x:v>
      </x:c>
      <x:c r="F219" t="inlineStr">
        <x:is>
          <x:t xml:space="preserve">4-6, 7-5, 6-4, 6-4</x:t>
        </x:is>
      </x:c>
      <x:c r="G219" t="inlineStr">
        <x:is>
          <x:t xml:space="preserve">R.F. Doherty</x:t>
        </x:is>
      </x:c>
    </x:row>
    <x:row r="220">
      <x:c r="A220" t="n">
        <x:v>1900</x:v>
      </x:c>
      <x:c r="B220" t="inlineStr">
        <x:is>
          <x:t xml:space="preserve">Women's</x:t>
        </x:is>
      </x:c>
      <x:c r="C220" t="inlineStr">
        <x:is>
          <x:t xml:space="preserve">G.W. Hillyard</x:t>
        </x:is>
      </x:c>
      <x:c r="F220" t="inlineStr">
        <x:is>
          <x:t xml:space="preserve">4-6, 6-4, 6-4</x:t>
        </x:is>
      </x:c>
      <x:c r="G220" t="inlineStr">
        <x:is>
          <x:t xml:space="preserve">C.R. Cooper</x:t>
        </x:is>
      </x:c>
    </x:row>
    <x:row r="221">
      <x:c r="A221" t="n">
        <x:v>1900</x:v>
      </x:c>
      <x:c r="B221" t="inlineStr">
        <x:is>
          <x:t xml:space="preserve">Men's</x:t>
        </x:is>
      </x:c>
      <x:c r="C221" t="inlineStr">
        <x:is>
          <x:t xml:space="preserve">R.F. Doherty</x:t>
        </x:is>
      </x:c>
      <x:c r="F221" t="inlineStr">
        <x:is>
          <x:t xml:space="preserve">6-8, 6-3, 6-1, 6-2</x:t>
        </x:is>
      </x:c>
      <x:c r="G221" t="inlineStr">
        <x:is>
          <x:t xml:space="preserve">S.H. Smith</x:t>
        </x:is>
      </x:c>
    </x:row>
    <x:row r="222">
      <x:c r="A222" t="n">
        <x:v>1899</x:v>
      </x:c>
      <x:c r="B222" t="inlineStr">
        <x:is>
          <x:t xml:space="preserve">Women's</x:t>
        </x:is>
      </x:c>
      <x:c r="C222" t="inlineStr">
        <x:is>
          <x:t xml:space="preserve">G.W. Hillyard</x:t>
        </x:is>
      </x:c>
      <x:c r="F222" t="inlineStr">
        <x:is>
          <x:t xml:space="preserve">6-2, 6-3</x:t>
        </x:is>
      </x:c>
      <x:c r="G222" t="inlineStr">
        <x:is>
          <x:t xml:space="preserve">C.R. Cooper</x:t>
        </x:is>
      </x:c>
    </x:row>
    <x:row r="223">
      <x:c r="A223" t="n">
        <x:v>1899</x:v>
      </x:c>
      <x:c r="B223" t="inlineStr">
        <x:is>
          <x:t xml:space="preserve">Men's</x:t>
        </x:is>
      </x:c>
      <x:c r="C223" t="inlineStr">
        <x:is>
          <x:t xml:space="preserve">R.F. Doherty</x:t>
        </x:is>
      </x:c>
      <x:c r="F223" t="inlineStr">
        <x:is>
          <x:t xml:space="preserve">1-6, 4-6, 6-3, 6-3, 6-3</x:t>
        </x:is>
      </x:c>
      <x:c r="G223" t="inlineStr">
        <x:is>
          <x:t xml:space="preserve">A.W. Gore</x:t>
        </x:is>
      </x:c>
    </x:row>
    <x:row r="224">
      <x:c r="A224" t="n">
        <x:v>1898</x:v>
      </x:c>
      <x:c r="B224" t="inlineStr">
        <x:is>
          <x:t xml:space="preserve">Women's</x:t>
        </x:is>
      </x:c>
      <x:c r="C224" t="inlineStr">
        <x:is>
          <x:t xml:space="preserve">C.R. Cooper</x:t>
        </x:is>
      </x:c>
      <x:c r="F224" t="inlineStr">
        <x:is>
          <x:t xml:space="preserve">6-4, 6-4</x:t>
        </x:is>
      </x:c>
      <x:c r="G224" t="inlineStr">
        <x:is>
          <x:t xml:space="preserve">M.L.Martin</x:t>
        </x:is>
      </x:c>
    </x:row>
    <x:row r="225">
      <x:c r="A225" t="n">
        <x:v>1898</x:v>
      </x:c>
      <x:c r="B225" t="inlineStr">
        <x:is>
          <x:t xml:space="preserve">Men's</x:t>
        </x:is>
      </x:c>
      <x:c r="C225" t="inlineStr">
        <x:is>
          <x:t xml:space="preserve">R.F. Doherty</x:t>
        </x:is>
      </x:c>
      <x:c r="E225" t="n">
        <x:v>55</x:v>
      </x:c>
      <x:c r="F225" t="inlineStr">
        <x:is>
          <x:t xml:space="preserve">6-3, 6-3, 2-6, 5-7, 6-1</x:t>
        </x:is>
      </x:c>
      <x:c r="G225" t="inlineStr">
        <x:is>
          <x:t xml:space="preserve">H.L. Doherty</x:t>
        </x:is>
      </x:c>
    </x:row>
    <x:row r="226">
      <x:c r="A226" t="n">
        <x:v>1897</x:v>
      </x:c>
      <x:c r="B226" t="inlineStr">
        <x:is>
          <x:t xml:space="preserve">Women's</x:t>
        </x:is>
      </x:c>
      <x:c r="C226" t="inlineStr">
        <x:is>
          <x:t xml:space="preserve">G.W. Hillyard</x:t>
        </x:is>
      </x:c>
      <x:c r="F226" t="inlineStr">
        <x:is>
          <x:t xml:space="preserve">5-7, 7-5, 6-2</x:t>
        </x:is>
      </x:c>
      <x:c r="G226" t="inlineStr">
        <x:is>
          <x:t xml:space="preserve">C.R. Cooper</x:t>
        </x:is>
      </x:c>
    </x:row>
    <x:row r="227">
      <x:c r="A227" t="n">
        <x:v>1897</x:v>
      </x:c>
      <x:c r="B227" t="inlineStr">
        <x:is>
          <x:t xml:space="preserve">Men's</x:t>
        </x:is>
      </x:c>
      <x:c r="C227" t="inlineStr">
        <x:is>
          <x:t xml:space="preserve">R.F. Doherty</x:t>
        </x:is>
      </x:c>
      <x:c r="E227" t="n">
        <x:v>67</x:v>
      </x:c>
      <x:c r="F227" t="inlineStr">
        <x:is>
          <x:t xml:space="preserve">6-4, 6-4, 6-3</x:t>
        </x:is>
      </x:c>
      <x:c r="G227" t="inlineStr">
        <x:is>
          <x:t xml:space="preserve">H.S. Mahony</x:t>
        </x:is>
      </x:c>
    </x:row>
    <x:row r="228">
      <x:c r="A228" t="n">
        <x:v>1896</x:v>
      </x:c>
      <x:c r="B228" t="inlineStr">
        <x:is>
          <x:t xml:space="preserve">Women's</x:t>
        </x:is>
      </x:c>
      <x:c r="C228" t="inlineStr">
        <x:is>
          <x:t xml:space="preserve">C.R. Cooper</x:t>
        </x:is>
      </x:c>
      <x:c r="F228" t="inlineStr">
        <x:is>
          <x:t xml:space="preserve">6-2, 6-3</x:t>
        </x:is>
      </x:c>
      <x:c r="G228" t="inlineStr">
        <x:is>
          <x:t xml:space="preserve">W.H. Pickering</x:t>
        </x:is>
      </x:c>
    </x:row>
    <x:row r="229">
      <x:c r="A229" t="n">
        <x:v>1896</x:v>
      </x:c>
      <x:c r="B229" t="inlineStr">
        <x:is>
          <x:t xml:space="preserve">Men's</x:t>
        </x:is>
      </x:c>
      <x:c r="C229" t="inlineStr">
        <x:is>
          <x:t xml:space="preserve">H.S. Mahony</x:t>
        </x:is>
      </x:c>
      <x:c r="E229" t="n">
        <x:v>120</x:v>
      </x:c>
      <x:c r="F229" t="inlineStr">
        <x:is>
          <x:t xml:space="preserve">6-2, 6-8, 5-7, 8-6, 6-3</x:t>
        </x:is>
      </x:c>
      <x:c r="G229" t="inlineStr">
        <x:is>
          <x:t xml:space="preserve">W. Baddeley</x:t>
        </x:is>
      </x:c>
    </x:row>
    <x:row r="230">
      <x:c r="A230" t="n">
        <x:v>1895</x:v>
      </x:c>
      <x:c r="B230" t="inlineStr">
        <x:is>
          <x:t xml:space="preserve">Women's</x:t>
        </x:is>
      </x:c>
      <x:c r="C230" t="inlineStr">
        <x:is>
          <x:t xml:space="preserve">C.R. Cooper</x:t>
        </x:is>
      </x:c>
      <x:c r="F230" t="inlineStr">
        <x:is>
          <x:t xml:space="preserve">7-5, 8-6</x:t>
        </x:is>
      </x:c>
      <x:c r="G230" t="inlineStr">
        <x:is>
          <x:t xml:space="preserve">H. Jackson</x:t>
        </x:is>
      </x:c>
    </x:row>
    <x:row r="231">
      <x:c r="A231" t="n">
        <x:v>1895</x:v>
      </x:c>
      <x:c r="B231" t="inlineStr">
        <x:is>
          <x:t xml:space="preserve">Men's</x:t>
        </x:is>
      </x:c>
      <x:c r="C231" t="inlineStr">
        <x:is>
          <x:t xml:space="preserve">W. Baddeley</x:t>
        </x:is>
      </x:c>
      <x:c r="E231" t="n">
        <x:v>95</x:v>
      </x:c>
      <x:c r="F231" t="inlineStr">
        <x:is>
          <x:t xml:space="preserve">4-6, 2-6, 8-6, 6-2, 6-3</x:t>
        </x:is>
      </x:c>
      <x:c r="G231" t="inlineStr">
        <x:is>
          <x:t xml:space="preserve">W.V. Eaves</x:t>
        </x:is>
      </x:c>
    </x:row>
    <x:row r="232">
      <x:c r="A232" t="n">
        <x:v>1894</x:v>
      </x:c>
      <x:c r="B232" t="inlineStr">
        <x:is>
          <x:t xml:space="preserve">Women's</x:t>
        </x:is>
      </x:c>
      <x:c r="C232" t="inlineStr">
        <x:is>
          <x:t xml:space="preserve">G.W. Hillyard</x:t>
        </x:is>
      </x:c>
      <x:c r="F232" t="inlineStr">
        <x:is>
          <x:t xml:space="preserve">6-1, 6-1</x:t>
        </x:is>
      </x:c>
      <x:c r="G232" t="inlineStr">
        <x:is>
          <x:t xml:space="preserve">E.L. Austin</x:t>
        </x:is>
      </x:c>
    </x:row>
    <x:row r="233">
      <x:c r="A233" t="n">
        <x:v>1894</x:v>
      </x:c>
      <x:c r="B233" t="inlineStr">
        <x:is>
          <x:t xml:space="preserve">Men's</x:t>
        </x:is>
      </x:c>
      <x:c r="C233" t="inlineStr">
        <x:is>
          <x:t xml:space="preserve">J. Pim</x:t>
        </x:is>
      </x:c>
      <x:c r="E233" t="n">
        <x:v>117</x:v>
      </x:c>
      <x:c r="F233" t="inlineStr">
        <x:is>
          <x:t xml:space="preserve">10-8, 6-2, 8-6</x:t>
        </x:is>
      </x:c>
      <x:c r="G233" t="inlineStr">
        <x:is>
          <x:t xml:space="preserve">W. Baddeley</x:t>
        </x:is>
      </x:c>
    </x:row>
    <x:row r="234">
      <x:c r="A234" t="n">
        <x:v>1893</x:v>
      </x:c>
      <x:c r="B234" t="inlineStr">
        <x:is>
          <x:t xml:space="preserve">Women's</x:t>
        </x:is>
      </x:c>
      <x:c r="C234" t="inlineStr">
        <x:is>
          <x:t xml:space="preserve">C. Dod</x:t>
        </x:is>
      </x:c>
      <x:c r="F234" t="inlineStr">
        <x:is>
          <x:t xml:space="preserve">6-8, 6-1, 6-4</x:t>
        </x:is>
      </x:c>
      <x:c r="G234" t="inlineStr">
        <x:is>
          <x:t xml:space="preserve">G.W. Hillyard</x:t>
        </x:is>
      </x:c>
    </x:row>
    <x:row r="235">
      <x:c r="A235" t="n">
        <x:v>1893</x:v>
      </x:c>
      <x:c r="B235" t="inlineStr">
        <x:is>
          <x:t xml:space="preserve">Men's</x:t>
        </x:is>
      </x:c>
      <x:c r="C235" t="inlineStr">
        <x:is>
          <x:t xml:space="preserve">J. Pim</x:t>
        </x:is>
      </x:c>
      <x:c r="E235" t="n">
        <x:v>65</x:v>
      </x:c>
      <x:c r="F235" t="inlineStr">
        <x:is>
          <x:t xml:space="preserve">3-6, 6-1, 6-3, 6-2</x:t>
        </x:is>
      </x:c>
      <x:c r="G235" t="inlineStr">
        <x:is>
          <x:t xml:space="preserve">W. Baddeley</x:t>
        </x:is>
      </x:c>
    </x:row>
    <x:row r="236">
      <x:c r="A236" t="n">
        <x:v>1892</x:v>
      </x:c>
      <x:c r="B236" t="inlineStr">
        <x:is>
          <x:t xml:space="preserve">Women's</x:t>
        </x:is>
      </x:c>
      <x:c r="C236" t="inlineStr">
        <x:is>
          <x:t xml:space="preserve">C. Dod</x:t>
        </x:is>
      </x:c>
      <x:c r="F236" t="inlineStr">
        <x:is>
          <x:t xml:space="preserve">6-1, 6-1</x:t>
        </x:is>
      </x:c>
      <x:c r="G236" t="inlineStr">
        <x:is>
          <x:t xml:space="preserve">G.W. Hillyard</x:t>
        </x:is>
      </x:c>
    </x:row>
    <x:row r="237">
      <x:c r="A237" t="n">
        <x:v>1892</x:v>
      </x:c>
      <x:c r="B237" t="inlineStr">
        <x:is>
          <x:t xml:space="preserve">Men's</x:t>
        </x:is>
      </x:c>
      <x:c r="C237" t="inlineStr">
        <x:is>
          <x:t xml:space="preserve">W. Baddeley</x:t>
        </x:is>
      </x:c>
      <x:c r="E237" t="n">
        <x:v>75</x:v>
      </x:c>
      <x:c r="F237" t="inlineStr">
        <x:is>
          <x:t xml:space="preserve">4-6, 6-3, 6-3, 6-2</x:t>
        </x:is>
      </x:c>
      <x:c r="G237" t="inlineStr">
        <x:is>
          <x:t xml:space="preserve">J. Pim</x:t>
        </x:is>
      </x:c>
    </x:row>
    <x:row r="238">
      <x:c r="A238" t="n">
        <x:v>1891</x:v>
      </x:c>
      <x:c r="B238" t="inlineStr">
        <x:is>
          <x:t xml:space="preserve">Women's</x:t>
        </x:is>
      </x:c>
      <x:c r="C238" t="inlineStr">
        <x:is>
          <x:t xml:space="preserve">C. Dod</x:t>
        </x:is>
      </x:c>
      <x:c r="F238" t="inlineStr">
        <x:is>
          <x:t xml:space="preserve">6-2, 6-1</x:t>
        </x:is>
      </x:c>
      <x:c r="G238" t="inlineStr">
        <x:is>
          <x:t xml:space="preserve">G.W. Hillyard</x:t>
        </x:is>
      </x:c>
    </x:row>
    <x:row r="239">
      <x:c r="A239" t="n">
        <x:v>1891</x:v>
      </x:c>
      <x:c r="B239" t="inlineStr">
        <x:is>
          <x:t xml:space="preserve">Men's</x:t>
        </x:is>
      </x:c>
      <x:c r="C239" t="inlineStr">
        <x:is>
          <x:t xml:space="preserve">W. Baddeley</x:t>
        </x:is>
      </x:c>
      <x:c r="F239" t="inlineStr">
        <x:is>
          <x:t xml:space="preserve">6-4, 1-6, 7-5, 6-0</x:t>
        </x:is>
      </x:c>
      <x:c r="G239" t="inlineStr">
        <x:is>
          <x:t xml:space="preserve">J.Pim</x:t>
        </x:is>
      </x:c>
    </x:row>
    <x:row r="240">
      <x:c r="A240" t="n">
        <x:v>1890</x:v>
      </x:c>
      <x:c r="B240" t="inlineStr">
        <x:is>
          <x:t xml:space="preserve">Women's</x:t>
        </x:is>
      </x:c>
      <x:c r="C240" t="inlineStr">
        <x:is>
          <x:t xml:space="preserve">H.G.B. Rice</x:t>
        </x:is>
      </x:c>
      <x:c r="F240" t="inlineStr">
        <x:is>
          <x:t xml:space="preserve">6-4, 6-1</x:t>
        </x:is>
      </x:c>
      <x:c r="G240" t="inlineStr">
        <x:is>
          <x:t xml:space="preserve">M. Jacks</x:t>
        </x:is>
      </x:c>
    </x:row>
    <x:row r="241">
      <x:c r="A241" t="n">
        <x:v>1890</x:v>
      </x:c>
      <x:c r="B241" t="inlineStr">
        <x:is>
          <x:t xml:space="preserve">Men's</x:t>
        </x:is>
      </x:c>
      <x:c r="C241" t="inlineStr">
        <x:is>
          <x:t xml:space="preserve">W.J. Hamilton</x:t>
        </x:is>
      </x:c>
      <x:c r="E241" t="n">
        <x:v>96</x:v>
      </x:c>
      <x:c r="F241" t="inlineStr">
        <x:is>
          <x:t xml:space="preserve">6-8, 6-2, 3-6, 6-1, 6-1</x:t>
        </x:is>
      </x:c>
      <x:c r="G241" t="inlineStr">
        <x:is>
          <x:t xml:space="preserve">W.C. Renshaw</x:t>
        </x:is>
      </x:c>
    </x:row>
    <x:row r="242">
      <x:c r="A242" t="n">
        <x:v>1889</x:v>
      </x:c>
      <x:c r="B242" t="inlineStr">
        <x:is>
          <x:t xml:space="preserve">Women's</x:t>
        </x:is>
      </x:c>
      <x:c r="C242" t="inlineStr">
        <x:is>
          <x:t xml:space="preserve">G.W. Hillyard</x:t>
        </x:is>
      </x:c>
      <x:c r="F242" t="inlineStr">
        <x:is>
          <x:t xml:space="preserve">4-6, 8-6, 6-4</x:t>
        </x:is>
      </x:c>
      <x:c r="G242" t="inlineStr">
        <x:is>
          <x:t xml:space="preserve">H.G.B. Rice</x:t>
        </x:is>
      </x:c>
    </x:row>
    <x:row r="243">
      <x:c r="A243" t="n">
        <x:v>1889</x:v>
      </x:c>
      <x:c r="B243" t="inlineStr">
        <x:is>
          <x:t xml:space="preserve">Men's</x:t>
        </x:is>
      </x:c>
      <x:c r="C243" t="inlineStr">
        <x:is>
          <x:t xml:space="preserve">W.C. Renshaw</x:t>
        </x:is>
      </x:c>
      <x:c r="E243" t="n">
        <x:v>63</x:v>
      </x:c>
      <x:c r="F243" t="inlineStr">
        <x:is>
          <x:t xml:space="preserve">6-4, 6-1, 3-6, 6-0</x:t>
        </x:is>
      </x:c>
      <x:c r="G243" t="inlineStr">
        <x:is>
          <x:t xml:space="preserve">J.E. Renshaw</x:t>
        </x:is>
      </x:c>
    </x:row>
    <x:row r="244">
      <x:c r="A244" t="n">
        <x:v>1888</x:v>
      </x:c>
      <x:c r="B244" t="inlineStr">
        <x:is>
          <x:t xml:space="preserve">Women's</x:t>
        </x:is>
      </x:c>
      <x:c r="C244" t="inlineStr">
        <x:is>
          <x:t xml:space="preserve">C. Dod</x:t>
        </x:is>
      </x:c>
      <x:c r="F244" t="inlineStr">
        <x:is>
          <x:t xml:space="preserve">6-3, 6-3</x:t>
        </x:is>
      </x:c>
      <x:c r="G244" t="inlineStr">
        <x:is>
          <x:t xml:space="preserve">G.W. Hillyard</x:t>
        </x:is>
      </x:c>
    </x:row>
    <x:row r="245">
      <x:c r="A245" t="n">
        <x:v>1888</x:v>
      </x:c>
      <x:c r="B245" t="inlineStr">
        <x:is>
          <x:t xml:space="preserve">Men's</x:t>
        </x:is>
      </x:c>
      <x:c r="C245" t="inlineStr">
        <x:is>
          <x:t xml:space="preserve">J.E. Renshaw</x:t>
        </x:is>
      </x:c>
      <x:c r="E245" t="n">
        <x:v>51</x:v>
      </x:c>
      <x:c r="F245" t="inlineStr">
        <x:is>
          <x:t xml:space="preserve">6-3, 7-5, 6-0</x:t>
        </x:is>
      </x:c>
      <x:c r="G245" t="inlineStr">
        <x:is>
          <x:t xml:space="preserve">H.F. Lawford</x:t>
        </x:is>
      </x:c>
    </x:row>
    <x:row r="246">
      <x:c r="A246" t="n">
        <x:v>1887</x:v>
      </x:c>
      <x:c r="B246" t="inlineStr">
        <x:is>
          <x:t xml:space="preserve">Women's</x:t>
        </x:is>
      </x:c>
      <x:c r="C246" t="inlineStr">
        <x:is>
          <x:t xml:space="preserve">C. Dod</x:t>
        </x:is>
      </x:c>
      <x:c r="F246" t="inlineStr">
        <x:is>
          <x:t xml:space="preserve">6-2, 6-0</x:t>
        </x:is>
      </x:c>
      <x:c r="G246" t="inlineStr">
        <x:is>
          <x:t xml:space="preserve">B. Bingley</x:t>
        </x:is>
      </x:c>
    </x:row>
    <x:row r="247">
      <x:c r="A247" t="n">
        <x:v>1887</x:v>
      </x:c>
      <x:c r="B247" t="inlineStr">
        <x:is>
          <x:t xml:space="preserve">Men's</x:t>
        </x:is>
      </x:c>
      <x:c r="C247" t="inlineStr">
        <x:is>
          <x:t xml:space="preserve">H.F. Lawford</x:t>
        </x:is>
      </x:c>
      <x:c r="E247" t="n">
        <x:v>120</x:v>
      </x:c>
      <x:c r="F247" t="inlineStr">
        <x:is>
          <x:t xml:space="preserve">1-6, 6-3, 3-6, 6-4, 6-4</x:t>
        </x:is>
      </x:c>
      <x:c r="G247" t="inlineStr">
        <x:is>
          <x:t xml:space="preserve">J.E. Renshaw</x:t>
        </x:is>
      </x:c>
    </x:row>
    <x:row r="248">
      <x:c r="A248" t="n">
        <x:v>1886</x:v>
      </x:c>
      <x:c r="B248" t="inlineStr">
        <x:is>
          <x:t xml:space="preserve">Women's</x:t>
        </x:is>
      </x:c>
      <x:c r="C248" t="inlineStr">
        <x:is>
          <x:t xml:space="preserve">B. Bingley</x:t>
        </x:is>
      </x:c>
      <x:c r="F248" t="inlineStr">
        <x:is>
          <x:t xml:space="preserve">6-3, 6-3</x:t>
        </x:is>
      </x:c>
      <x:c r="G248" t="inlineStr">
        <x:is>
          <x:t xml:space="preserve">M.E.E Watson</x:t>
        </x:is>
      </x:c>
    </x:row>
    <x:row r="249">
      <x:c r="A249" t="n">
        <x:v>1886</x:v>
      </x:c>
      <x:c r="B249" t="inlineStr">
        <x:is>
          <x:t xml:space="preserve">Men's</x:t>
        </x:is>
      </x:c>
      <x:c r="C249" t="inlineStr">
        <x:is>
          <x:t xml:space="preserve">W.C. Renshaw</x:t>
        </x:is>
      </x:c>
      <x:c r="E249" t="n">
        <x:v>96</x:v>
      </x:c>
      <x:c r="F249" t="inlineStr">
        <x:is>
          <x:t xml:space="preserve">6-0, 5-7, 6-3, 6-4</x:t>
        </x:is>
      </x:c>
      <x:c r="G249" t="inlineStr">
        <x:is>
          <x:t xml:space="preserve">H.F. Lawford</x:t>
        </x:is>
      </x:c>
    </x:row>
    <x:row r="250">
      <x:c r="A250" t="n">
        <x:v>1885</x:v>
      </x:c>
      <x:c r="B250" t="inlineStr">
        <x:is>
          <x:t xml:space="preserve">Women's</x:t>
        </x:is>
      </x:c>
      <x:c r="C250" t="inlineStr">
        <x:is>
          <x:t xml:space="preserve">M.E.E. Watson</x:t>
        </x:is>
      </x:c>
      <x:c r="F250" t="inlineStr">
        <x:is>
          <x:t xml:space="preserve">6-1, 7-5</x:t>
        </x:is>
      </x:c>
      <x:c r="G250" t="inlineStr">
        <x:is>
          <x:t xml:space="preserve">B Bingley</x:t>
        </x:is>
      </x:c>
    </x:row>
    <x:row r="251">
      <x:c r="A251" t="n">
        <x:v>1885</x:v>
      </x:c>
      <x:c r="B251" t="inlineStr">
        <x:is>
          <x:t xml:space="preserve">Men's</x:t>
        </x:is>
      </x:c>
      <x:c r="C251" t="inlineStr">
        <x:is>
          <x:t xml:space="preserve">W.C. Renshaw</x:t>
        </x:is>
      </x:c>
      <x:c r="E251" t="n">
        <x:v>122</x:v>
      </x:c>
      <x:c r="F251" t="inlineStr">
        <x:is>
          <x:t xml:space="preserve">7-5, 6-2, 4-6, 7-5</x:t>
        </x:is>
      </x:c>
      <x:c r="G251" t="inlineStr">
        <x:is>
          <x:t xml:space="preserve">H.F. Lawford</x:t>
        </x:is>
      </x:c>
    </x:row>
    <x:row r="252">
      <x:c r="A252" t="n">
        <x:v>1884</x:v>
      </x:c>
      <x:c r="B252" t="inlineStr">
        <x:is>
          <x:t xml:space="preserve">Women's</x:t>
        </x:is>
      </x:c>
      <x:c r="C252" t="inlineStr">
        <x:is>
          <x:t xml:space="preserve">M.E.E. Watson</x:t>
        </x:is>
      </x:c>
      <x:c r="F252" t="inlineStr">
        <x:is>
          <x:t xml:space="preserve">6-8, 6-3, 6-3</x:t>
        </x:is>
      </x:c>
      <x:c r="G252" t="inlineStr">
        <x:is>
          <x:t xml:space="preserve">L.M. Watson</x:t>
        </x:is>
      </x:c>
    </x:row>
    <x:row r="253">
      <x:c r="A253" t="n">
        <x:v>1884</x:v>
      </x:c>
      <x:c r="B253" t="inlineStr">
        <x:is>
          <x:t xml:space="preserve">Men's</x:t>
        </x:is>
      </x:c>
      <x:c r="C253" t="inlineStr">
        <x:is>
          <x:t xml:space="preserve">W.C. Renshaw</x:t>
        </x:is>
      </x:c>
      <x:c r="E253" t="n">
        <x:v>69</x:v>
      </x:c>
      <x:c r="F253" t="inlineStr">
        <x:is>
          <x:t xml:space="preserve">6-0, 6-4, 9-7</x:t>
        </x:is>
      </x:c>
      <x:c r="G253" t="inlineStr">
        <x:is>
          <x:t xml:space="preserve">H.F. Lawford</x:t>
        </x:is>
      </x:c>
    </x:row>
    <x:row r="254">
      <x:c r="A254" t="n">
        <x:v>1883</x:v>
      </x:c>
      <x:c r="B254" t="inlineStr">
        <x:is>
          <x:t xml:space="preserve">Men's</x:t>
        </x:is>
      </x:c>
      <x:c r="C254" t="inlineStr">
        <x:is>
          <x:t xml:space="preserve">W.C. Renshaw</x:t>
        </x:is>
      </x:c>
      <x:c r="E254" t="n">
        <x:v>89</x:v>
      </x:c>
      <x:c r="F254" t="inlineStr">
        <x:is>
          <x:t xml:space="preserve">2-6, 6-3, 6-3, 4-6, 6-3</x:t>
        </x:is>
      </x:c>
      <x:c r="G254" t="inlineStr">
        <x:is>
          <x:t xml:space="preserve">J.E. Renshaw</x:t>
        </x:is>
      </x:c>
    </x:row>
    <x:row r="255">
      <x:c r="A255" t="n">
        <x:v>1882</x:v>
      </x:c>
      <x:c r="B255" t="inlineStr">
        <x:is>
          <x:t xml:space="preserve">Men's</x:t>
        </x:is>
      </x:c>
      <x:c r="C255" t="inlineStr">
        <x:is>
          <x:t xml:space="preserve">W.C. Renshaw</x:t>
        </x:is>
      </x:c>
      <x:c r="E255" t="n">
        <x:v>85</x:v>
      </x:c>
      <x:c r="F255" t="inlineStr">
        <x:is>
          <x:t xml:space="preserve">6-1, 2-6, 4-6, 6-2, 6-2</x:t>
        </x:is>
      </x:c>
      <x:c r="G255" t="inlineStr">
        <x:is>
          <x:t xml:space="preserve">J.E. Renshaw</x:t>
        </x:is>
      </x:c>
    </x:row>
    <x:row r="256">
      <x:c r="A256" t="n">
        <x:v>1881</x:v>
      </x:c>
      <x:c r="B256" t="inlineStr">
        <x:is>
          <x:t xml:space="preserve">Men's</x:t>
        </x:is>
      </x:c>
      <x:c r="C256" t="inlineStr">
        <x:is>
          <x:t xml:space="preserve">W.C. Renshaw</x:t>
        </x:is>
      </x:c>
      <x:c r="E256" t="n">
        <x:v>37</x:v>
      </x:c>
      <x:c r="F256" t="inlineStr">
        <x:is>
          <x:t xml:space="preserve">6-0, 6-1, 6-1</x:t>
        </x:is>
      </x:c>
      <x:c r="G256" t="inlineStr">
        <x:is>
          <x:t xml:space="preserve">J.T. Hartley</x:t>
        </x:is>
      </x:c>
    </x:row>
    <x:row r="257">
      <x:c r="A257" t="n">
        <x:v>1880</x:v>
      </x:c>
      <x:c r="B257" t="inlineStr">
        <x:is>
          <x:t xml:space="preserve">Men's</x:t>
        </x:is>
      </x:c>
      <x:c r="C257" t="inlineStr">
        <x:is>
          <x:t xml:space="preserve">J.T. Hartley</x:t>
        </x:is>
      </x:c>
      <x:c r="F257" t="inlineStr">
        <x:is>
          <x:t xml:space="preserve">6-3, 6-2, 2-6, 6-3</x:t>
        </x:is>
      </x:c>
      <x:c r="G257" t="inlineStr">
        <x:is>
          <x:t xml:space="preserve">H.F. Lawford</x:t>
        </x:is>
      </x:c>
    </x:row>
    <x:row r="258">
      <x:c r="A258" t="n">
        <x:v>1879</x:v>
      </x:c>
      <x:c r="B258" t="inlineStr">
        <x:is>
          <x:t xml:space="preserve">Men's</x:t>
        </x:is>
      </x:c>
      <x:c r="C258" t="inlineStr">
        <x:is>
          <x:t xml:space="preserve">J.T. Hartley</x:t>
        </x:is>
      </x:c>
      <x:c r="F258" t="inlineStr">
        <x:is>
          <x:t xml:space="preserve">6-2, 6-4, 6-2</x:t>
        </x:is>
      </x:c>
      <x:c r="G258" t="inlineStr">
        <x:is>
          <x:t xml:space="preserve">V.T.St.L. Goold</x:t>
        </x:is>
      </x:c>
    </x:row>
    <x:row r="259">
      <x:c r="A259" t="n">
        <x:v>1878</x:v>
      </x:c>
      <x:c r="B259" t="inlineStr">
        <x:is>
          <x:t xml:space="preserve">Men's</x:t>
        </x:is>
      </x:c>
      <x:c r="C259" t="inlineStr">
        <x:is>
          <x:t xml:space="preserve">P.F. Hadow</x:t>
        </x:is>
      </x:c>
      <x:c r="F259" t="inlineStr">
        <x:is>
          <x:t xml:space="preserve">7-5, 6-1, 9-7</x:t>
        </x:is>
      </x:c>
      <x:c r="G259" t="inlineStr">
        <x:is>
          <x:t xml:space="preserve">S.W. Gore</x:t>
        </x:is>
      </x:c>
    </x:row>
    <x:row r="260">
      <x:c r="A260" t="n">
        <x:v>1877</x:v>
      </x:c>
      <x:c r="B260" t="inlineStr">
        <x:is>
          <x:t xml:space="preserve">Men's</x:t>
        </x:is>
      </x:c>
      <x:c r="C260" t="inlineStr">
        <x:is>
          <x:t xml:space="preserve">S.W. Gore</x:t>
        </x:is>
      </x:c>
      <x:c r="E260" t="n">
        <x:v>48</x:v>
      </x:c>
      <x:c r="F260" t="inlineStr">
        <x:is>
          <x:t xml:space="preserve">6-1, 6-2, 6-4</x:t>
        </x:is>
      </x:c>
      <x:c r="G260" t="inlineStr">
        <x:is>
          <x:t xml:space="preserve">W.C. Marshall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4.600000381469727"/>
  <x:cols>
    <x:col min="1" max="1" width="8.3046875" customWidth="1"/>
    <x:col min="2" max="2" width="9.3046875" customWidth="1"/>
    <x:col min="3" max="3" width="15.69140625" style="9" customWidth="1"/>
    <x:col min="4" max="4" width="20.53515625" customWidth="1"/>
    <x:col min="5" max="5" width="15" customWidth="1"/>
    <x:col min="6" max="6" width="5.4609375" customWidth="1"/>
    <x:col min="7" max="7" width="30.4609375" customWidth="1"/>
    <x:col min="8" max="8" width="20.69140625" customWidth="1"/>
    <x:col min="9" max="9" width="21" customWidth="1"/>
    <x:col min="10" max="10" width="15.4609375" customWidth="1"/>
  </x:cols>
  <x:sheetData>
    <x:row r="1" s="1" customFormat="1">
      <x:c r="A1" s="1" t="str">
        <x:f>wimbledons_champions!A1</x:f>
        <x:v>Year</x:v>
      </x:c>
      <x:c r="B1" s="1" t="str">
        <x:f>wimbledons_champions!B1</x:f>
        <x:v>Gender</x:v>
      </x:c>
      <x:c r="C1" s="8" t="str">
        <x:f>wimbledons_champions!C1</x:f>
        <x:v>Champion</x:v>
      </x:c>
      <x:c r="D1" s="1" t="str">
        <x:f>wimbledons_champions!D1</x:f>
        <x:v>Champion Nationality</x:v>
      </x:c>
      <x:c r="E1" s="1" t="str">
        <x:f>wimbledons_champions!F1</x:f>
        <x:v>Champion Seed</x:v>
      </x:c>
      <x:c r="F1" s="1" t="str">
        <x:f>wimbledons_champions!G1</x:f>
        <x:v>Mins</x:v>
      </x:c>
      <x:c r="G1" s="1" t="str">
        <x:f>wimbledons_champions!H1</x:f>
        <x:v>Score</x:v>
      </x:c>
      <x:c r="H1" s="1" t="str">
        <x:f>wimbledons_champions!S1</x:f>
        <x:v>Runner-up</x:v>
      </x:c>
      <x:c r="I1" s="1" t="str">
        <x:f>wimbledons_champions!T1</x:f>
        <x:v>Runner-up Nationality</x:v>
      </x:c>
      <x:c r="J1" s="1" t="str">
        <x:f>wimbledons_champions!V1</x:f>
        <x:v>Runner-up Seed</x:v>
      </x:c>
    </x:row>
    <x:row r="2">
      <x:c r="A2" t="n">
        <x:f>wimbledons_champions!A14</x:f>
        <x:v>2019</x:v>
      </x:c>
      <x:c r="B2" t="str">
        <x:f>wimbledons_champions!B14</x:f>
        <x:v>Women's</x:v>
      </x:c>
      <x:c r="C2" s="14" t="str">
        <x:f>wimbledons_champions!C14</x:f>
        <x:v>S.Halep</x:v>
      </x:c>
      <x:c r="D2" t="str">
        <x:f>wimbledons_champions!D14</x:f>
        <x:v>ROU</x:v>
      </x:c>
      <x:c r="E2" t="n">
        <x:f>wimbledons_champions!F14</x:f>
        <x:v>7</x:v>
      </x:c>
      <x:c r="F2" t="n">
        <x:f>wimbledons_champions!G14</x:f>
        <x:v>56</x:v>
      </x:c>
      <x:c r="G2" t="str">
        <x:f>wimbledons_champions!H14</x:f>
        <x:v>6-2,6-2</x:v>
      </x:c>
      <x:c r="H2" s="2" t="str">
        <x:f>wimbledons_champions!S14</x:f>
        <x:v>S. Williams</x:v>
      </x:c>
      <x:c r="I2" t="str">
        <x:f>wimbledons_champions!T14</x:f>
        <x:v>USA</x:v>
      </x:c>
      <x:c r="J2" t="n">
        <x:f>wimbledons_champions!V14</x:f>
        <x:v>11</x:v>
      </x:c>
    </x:row>
    <x:row r="3">
      <x:c r="A3" t="n">
        <x:f>wimbledons_champions!A15</x:f>
        <x:v>2019</x:v>
      </x:c>
      <x:c r="B3" t="str">
        <x:f>wimbledons_champions!B15</x:f>
        <x:v>Men's</x:v>
      </x:c>
      <x:c r="C3" s="9" t="str">
        <x:f>wimbledons_champions!C15</x:f>
        <x:v>N. Djokovic</x:v>
      </x:c>
      <x:c r="D3" t="str">
        <x:f>wimbledons_champions!D15</x:f>
        <x:v>SRB</x:v>
      </x:c>
      <x:c r="E3" t="n">
        <x:f>wimbledons_champions!F15</x:f>
        <x:v>1</x:v>
      </x:c>
      <x:c r="F3" t="n">
        <x:f>wimbledons_champions!G15</x:f>
        <x:v>297</x:v>
      </x:c>
      <x:c r="G3" t="str">
        <x:f>wimbledons_champions!H15</x:f>
        <x:v>7-6(7-5),1-6,7-6(7-4),4-6,13-12(7-3)</x:v>
      </x:c>
      <x:c r="H3" t="str">
        <x:f>wimbledons_champions!S15</x:f>
        <x:v>R. Federer</x:v>
      </x:c>
      <x:c r="I3" t="str">
        <x:f>wimbledons_champions!T15</x:f>
        <x:v>SUI</x:v>
      </x:c>
      <x:c r="J3" t="n">
        <x:f>wimbledons_champions!V15</x:f>
        <x:v>2</x:v>
      </x:c>
    </x:row>
    <x:row r="4">
      <x:c r="A4" t="n">
        <x:f>wimbledons_champions!A16</x:f>
        <x:v>2018</x:v>
      </x:c>
      <x:c r="B4" t="str">
        <x:f>wimbledons_champions!B16</x:f>
        <x:v>Women's</x:v>
      </x:c>
      <x:c r="C4" s="14" t="str">
        <x:f>wimbledons_champions!C16</x:f>
        <x:v>A. Kerber</x:v>
      </x:c>
      <x:c r="D4" t="str">
        <x:f>wimbledons_champions!D16</x:f>
        <x:v>GER</x:v>
      </x:c>
      <x:c r="E4" t="n">
        <x:f>wimbledons_champions!F16</x:f>
        <x:v>11</x:v>
      </x:c>
      <x:c r="F4" t="n">
        <x:f>wimbledons_champions!G16</x:f>
        <x:v>65</x:v>
      </x:c>
      <x:c r="G4" t="str">
        <x:f>wimbledons_champions!H16</x:f>
        <x:v>6-3,6-3</x:v>
      </x:c>
      <x:c r="H4" t="str">
        <x:f>wimbledons_champions!S16</x:f>
        <x:v>S. Williams</x:v>
      </x:c>
      <x:c r="I4" t="str">
        <x:f>wimbledons_champions!T16</x:f>
        <x:v>USA</x:v>
      </x:c>
      <x:c r="J4" t="n">
        <x:f>wimbledons_champions!V16</x:f>
        <x:v>25</x:v>
      </x:c>
    </x:row>
    <x:row r="5">
      <x:c r="A5" t="n">
        <x:f>wimbledons_champions!A17</x:f>
        <x:v>2018</x:v>
      </x:c>
      <x:c r="B5" t="str">
        <x:f>wimbledons_champions!B17</x:f>
        <x:v>Men's</x:v>
      </x:c>
      <x:c r="C5" s="9" t="str">
        <x:f>wimbledons_champions!C17</x:f>
        <x:v>N. Djokovic</x:v>
      </x:c>
      <x:c r="D5" t="str">
        <x:f>wimbledons_champions!D17</x:f>
        <x:v>SRB</x:v>
      </x:c>
      <x:c r="E5" t="n">
        <x:f>wimbledons_champions!F17</x:f>
        <x:v>12</x:v>
      </x:c>
      <x:c r="F5" t="n">
        <x:f>wimbledons_champions!G17</x:f>
        <x:v>170</x:v>
      </x:c>
      <x:c r="G5" t="str">
        <x:f>wimbledons_champions!H17</x:f>
        <x:v>6-2,6-2,7-6(7-3)</x:v>
      </x:c>
      <x:c r="H5" t="str">
        <x:f>wimbledons_champions!S17</x:f>
        <x:v>K. Anderson</x:v>
      </x:c>
      <x:c r="I5" t="str">
        <x:f>wimbledons_champions!T17</x:f>
        <x:v>RSA</x:v>
      </x:c>
      <x:c r="J5" t="n">
        <x:f>wimbledons_champions!V17</x:f>
        <x:v>8</x:v>
      </x:c>
    </x:row>
    <x:row r="6">
      <x:c r="A6" t="n">
        <x:f>wimbledons_champions!A18</x:f>
        <x:v>2017</x:v>
      </x:c>
      <x:c r="B6" t="str">
        <x:f>wimbledons_champions!B18</x:f>
        <x:v>Women's</x:v>
      </x:c>
      <x:c r="C6" s="10" t="str">
        <x:f>wimbledons_champions!C18</x:f>
        <x:v>G. Muguruza</x:v>
      </x:c>
      <x:c r="D6" t="str">
        <x:f>wimbledons_champions!D18</x:f>
        <x:v>ESP</x:v>
      </x:c>
      <x:c r="E6" t="n">
        <x:f>wimbledons_champions!F18</x:f>
        <x:v>14</x:v>
      </x:c>
      <x:c r="F6" t="n">
        <x:f>wimbledons_champions!G18</x:f>
        <x:v>77</x:v>
      </x:c>
      <x:c r="G6" t="str">
        <x:f>wimbledons_champions!H18</x:f>
        <x:v>7-5,6-0</x:v>
      </x:c>
      <x:c r="H6" t="str">
        <x:f>wimbledons_champions!S18</x:f>
        <x:v>V.E.S. Williams</x:v>
      </x:c>
      <x:c r="I6" t="str">
        <x:f>wimbledons_champions!T18</x:f>
        <x:v>USA</x:v>
      </x:c>
      <x:c r="J6" t="n">
        <x:f>wimbledons_champions!V18</x:f>
        <x:v>10</x:v>
      </x:c>
    </x:row>
    <x:row r="7">
      <x:c r="A7" t="n">
        <x:f>wimbledons_champions!A19</x:f>
        <x:v>2017</x:v>
      </x:c>
      <x:c r="B7" t="str">
        <x:f>wimbledons_champions!B19</x:f>
        <x:v>Men's</x:v>
      </x:c>
      <x:c r="C7" s="9" t="str">
        <x:f>wimbledons_champions!C19</x:f>
        <x:v>R. Federer</x:v>
      </x:c>
      <x:c r="D7" t="str">
        <x:f>wimbledons_champions!D19</x:f>
        <x:v>SUI</x:v>
      </x:c>
      <x:c r="E7" t="n">
        <x:f>wimbledons_champions!F19</x:f>
        <x:v>3</x:v>
      </x:c>
      <x:c r="F7" t="n">
        <x:f>wimbledons_champions!G19</x:f>
        <x:v>101</x:v>
      </x:c>
      <x:c r="G7" t="str">
        <x:f>wimbledons_champions!H19</x:f>
        <x:v>6-3,6-1,6-4</x:v>
      </x:c>
      <x:c r="H7" t="str">
        <x:f>wimbledons_champions!S19</x:f>
        <x:v>M.Cilic</x:v>
      </x:c>
      <x:c r="I7" t="str">
        <x:f>wimbledons_champions!T19</x:f>
        <x:v>CRO</x:v>
      </x:c>
      <x:c r="J7" t="n">
        <x:f>wimbledons_champions!V19</x:f>
        <x:v>7</x:v>
      </x:c>
    </x:row>
    <x:row r="8">
      <x:c r="A8" t="n">
        <x:f>wimbledons_champions!A20</x:f>
        <x:v>2016</x:v>
      </x:c>
      <x:c r="B8" t="str">
        <x:f>wimbledons_champions!B20</x:f>
        <x:v>Women's</x:v>
      </x:c>
      <x:c r="C8" s="9" t="str">
        <x:f>wimbledons_champions!C20</x:f>
        <x:v>S. Williams</x:v>
      </x:c>
      <x:c r="D8" t="str">
        <x:f>wimbledons_champions!D20</x:f>
        <x:v>USA</x:v>
      </x:c>
      <x:c r="E8" t="n">
        <x:f>wimbledons_champions!F20</x:f>
        <x:v>1</x:v>
      </x:c>
      <x:c r="F8" t="n">
        <x:f>wimbledons_champions!G20</x:f>
        <x:v>83</x:v>
      </x:c>
      <x:c r="G8" t="str">
        <x:f>wimbledons_champions!H20</x:f>
        <x:v>7-5, 6-3</x:v>
      </x:c>
      <x:c r="H8" t="str">
        <x:f>wimbledons_champions!S20</x:f>
        <x:v>A. Kerber</x:v>
      </x:c>
      <x:c r="I8" t="str">
        <x:f>wimbledons_champions!T20</x:f>
        <x:v>GER</x:v>
      </x:c>
      <x:c r="J8" t="n">
        <x:f>wimbledons_champions!V20</x:f>
        <x:v>4</x:v>
      </x:c>
    </x:row>
    <x:row r="9">
      <x:c r="A9" t="n">
        <x:f>wimbledons_champions!A21</x:f>
        <x:v>2016</x:v>
      </x:c>
      <x:c r="B9" t="str">
        <x:f>wimbledons_champions!B21</x:f>
        <x:v>Men's</x:v>
      </x:c>
      <x:c r="C9" s="9" t="str">
        <x:f>wimbledons_champions!C21</x:f>
        <x:v>A. Murray</x:v>
      </x:c>
      <x:c r="D9" t="str">
        <x:f>wimbledons_champions!D21</x:f>
        <x:v>GBR</x:v>
      </x:c>
      <x:c r="E9" t="n">
        <x:f>wimbledons_champions!F21</x:f>
        <x:v>2</x:v>
      </x:c>
      <x:c r="F9" t="n">
        <x:f>wimbledons_champions!G21</x:f>
        <x:v>170</x:v>
      </x:c>
      <x:c r="G9" t="str">
        <x:f>wimbledons_champions!H21</x:f>
        <x:v>6-4, 7-6(7-3), 7-6(7-2)</x:v>
      </x:c>
      <x:c r="H9" t="str">
        <x:f>wimbledons_champions!S21</x:f>
        <x:v>M. Raonic</x:v>
      </x:c>
      <x:c r="I9" t="str">
        <x:f>wimbledons_champions!T21</x:f>
        <x:v>CND</x:v>
      </x:c>
      <x:c r="J9" t="n">
        <x:f>wimbledons_champions!V21</x:f>
        <x:v>6</x:v>
      </x:c>
    </x:row>
    <x:row r="10">
      <x:c r="A10" t="n">
        <x:f>wimbledons_champions!A22</x:f>
        <x:v>2015</x:v>
      </x:c>
      <x:c r="B10" t="str">
        <x:f>wimbledons_champions!B22</x:f>
        <x:v>Women's</x:v>
      </x:c>
      <x:c r="C10" s="14" t="str">
        <x:f>wimbledons_champions!C22</x:f>
        <x:v>S. Williams</x:v>
      </x:c>
      <x:c r="D10" t="str">
        <x:f>wimbledons_champions!D22</x:f>
        <x:v>USA</x:v>
      </x:c>
      <x:c r="E10" t="n">
        <x:f>wimbledons_champions!F22</x:f>
        <x:v>1</x:v>
      </x:c>
      <x:c r="F10" t="n">
        <x:f>wimbledons_champions!G22</x:f>
        <x:v>83</x:v>
      </x:c>
      <x:c r="G10" t="str">
        <x:f>wimbledons_champions!H22</x:f>
        <x:v>6-4, 6-4</x:v>
      </x:c>
      <x:c r="H10" s="2" t="str">
        <x:f>wimbledons_champions!S22</x:f>
        <x:v>G. Muguruza</x:v>
      </x:c>
      <x:c r="I10" t="str">
        <x:f>wimbledons_champions!T22</x:f>
        <x:v>ESP</x:v>
      </x:c>
      <x:c r="J10" t="n">
        <x:f>wimbledons_champions!V22</x:f>
        <x:v>20</x:v>
      </x:c>
    </x:row>
    <x:row r="11">
      <x:c r="A11" t="n">
        <x:f>wimbledons_champions!A23</x:f>
        <x:v>2015</x:v>
      </x:c>
      <x:c r="B11" t="str">
        <x:f>wimbledons_champions!B23</x:f>
        <x:v>Men's</x:v>
      </x:c>
      <x:c r="C11" s="9" t="str">
        <x:f>wimbledons_champions!C23</x:f>
        <x:v>N. Djokovic</x:v>
      </x:c>
      <x:c r="D11" t="str">
        <x:f>wimbledons_champions!D23</x:f>
        <x:v>SRB</x:v>
      </x:c>
      <x:c r="E11" t="n">
        <x:f>wimbledons_champions!F23</x:f>
        <x:v>1</x:v>
      </x:c>
      <x:c r="F11" t="n">
        <x:f>wimbledons_champions!G23</x:f>
        <x:v>176</x:v>
      </x:c>
      <x:c r="G11" t="str">
        <x:f>wimbledons_champions!H23</x:f>
        <x:v>7-6(7-1), 6-7(10-12), 6-4, 6-3</x:v>
      </x:c>
      <x:c r="H11" t="str">
        <x:f>wimbledons_champions!S23</x:f>
        <x:v>R. Federer</x:v>
      </x:c>
      <x:c r="I11" t="str">
        <x:f>wimbledons_champions!T23</x:f>
        <x:v>SUI</x:v>
      </x:c>
      <x:c r="J11" t="n">
        <x:f>wimbledons_champions!V23</x:f>
        <x:v>2</x:v>
      </x:c>
    </x:row>
    <x:row r="12">
      <x:c r="A12" t="n">
        <x:f>wimbledons_champions!A24</x:f>
        <x:v>2014</x:v>
      </x:c>
      <x:c r="B12" t="str">
        <x:f>wimbledons_champions!B24</x:f>
        <x:v>Women's</x:v>
      </x:c>
      <x:c r="C12" s="14" t="str">
        <x:f>wimbledons_champions!C24</x:f>
        <x:v>P. Kvitová</x:v>
      </x:c>
      <x:c r="D12" t="str">
        <x:f>wimbledons_champions!D24</x:f>
        <x:v>CZE</x:v>
      </x:c>
      <x:c r="E12" t="n">
        <x:f>wimbledons_champions!F24</x:f>
        <x:v>6</x:v>
      </x:c>
      <x:c r="F12" t="n">
        <x:f>wimbledons_champions!G24</x:f>
        <x:v>55</x:v>
      </x:c>
      <x:c r="G12" t="str">
        <x:f>wimbledons_champions!H24</x:f>
        <x:v>6-3, 6-0</x:v>
      </x:c>
      <x:c r="H12" s="2" t="str">
        <x:f>wimbledons_champions!S24</x:f>
        <x:v>E. Bouchard</x:v>
      </x:c>
      <x:c r="I12" t="str">
        <x:f>wimbledons_champions!T24</x:f>
        <x:v>CND</x:v>
      </x:c>
      <x:c r="J12" t="n">
        <x:f>wimbledons_champions!V24</x:f>
        <x:v>13</x:v>
      </x:c>
    </x:row>
    <x:row r="13">
      <x:c r="A13" t="n">
        <x:f>wimbledons_champions!A25</x:f>
        <x:v>2014</x:v>
      </x:c>
      <x:c r="B13" t="str">
        <x:f>wimbledons_champions!B25</x:f>
        <x:v>Men's</x:v>
      </x:c>
      <x:c r="C13" s="9" t="str">
        <x:f>wimbledons_champions!C25</x:f>
        <x:v>N. Djokovic</x:v>
      </x:c>
      <x:c r="D13" t="str">
        <x:f>wimbledons_champions!D25</x:f>
        <x:v>SRB</x:v>
      </x:c>
      <x:c r="E13" t="n">
        <x:f>wimbledons_champions!F25</x:f>
        <x:v>1</x:v>
      </x:c>
      <x:c r="F13" t="n">
        <x:f>wimbledons_champions!G25</x:f>
        <x:v>236</x:v>
      </x:c>
      <x:c r="G13" t="str">
        <x:f>wimbledons_champions!H25</x:f>
        <x:v>6-7(7-9), 6-4, 7-6(7-4), 5-7, 6-4</x:v>
      </x:c>
      <x:c r="H13" t="str">
        <x:f>wimbledons_champions!S25</x:f>
        <x:v>R. Federer</x:v>
      </x:c>
      <x:c r="I13" t="str">
        <x:f>wimbledons_champions!T25</x:f>
        <x:v>SUI</x:v>
      </x:c>
      <x:c r="J13" t="n">
        <x:f>wimbledons_champions!V25</x:f>
        <x:v>4</x:v>
      </x:c>
    </x:row>
    <x:row r="14">
      <x:c r="A14" t="n">
        <x:f>wimbledons_champions!A26</x:f>
        <x:v>2013</x:v>
      </x:c>
      <x:c r="B14" t="str">
        <x:f>wimbledons_champions!B26</x:f>
        <x:v>Women's</x:v>
      </x:c>
      <x:c r="C14" s="9" t="str">
        <x:f>wimbledons_champions!C26</x:f>
        <x:v>M. Bartoli</x:v>
      </x:c>
      <x:c r="D14" t="str">
        <x:f>wimbledons_champions!D26</x:f>
        <x:v>FRA</x:v>
      </x:c>
      <x:c r="E14" t="n">
        <x:f>wimbledons_champions!F26</x:f>
        <x:v>15</x:v>
      </x:c>
      <x:c r="F14" t="n">
        <x:f>wimbledons_champions!G26</x:f>
        <x:v>81</x:v>
      </x:c>
      <x:c r="G14" t="str">
        <x:f>wimbledons_champions!H26</x:f>
        <x:v>6-2,1-6,6-4</x:v>
      </x:c>
      <x:c r="H14" t="str">
        <x:f>wimbledons_champions!S26</x:f>
        <x:v>S. Lisicki</x:v>
      </x:c>
      <x:c r="I14" t="str">
        <x:f>wimbledons_champions!T26</x:f>
        <x:v>GER</x:v>
      </x:c>
      <x:c r="J14" t="n">
        <x:f>wimbledons_champions!V26</x:f>
        <x:v>23</x:v>
      </x:c>
    </x:row>
    <x:row r="15">
      <x:c r="A15" t="n">
        <x:f>wimbledons_champions!A27</x:f>
        <x:v>2013</x:v>
      </x:c>
      <x:c r="B15" t="str">
        <x:f>wimbledons_champions!B27</x:f>
        <x:v>Men's</x:v>
      </x:c>
      <x:c r="C15" s="9" t="str">
        <x:f>wimbledons_champions!C27</x:f>
        <x:v>A. Murray</x:v>
      </x:c>
      <x:c r="D15" t="str">
        <x:f>wimbledons_champions!D27</x:f>
        <x:v>GBR</x:v>
      </x:c>
      <x:c r="E15" t="n">
        <x:f>wimbledons_champions!F27</x:f>
        <x:v>2</x:v>
      </x:c>
      <x:c r="F15" t="n">
        <x:f>wimbledons_champions!G27</x:f>
        <x:v>134</x:v>
      </x:c>
      <x:c r="G15" t="str">
        <x:f>wimbledons_champions!H27</x:f>
        <x:v>6-4, 7-5, 6-4</x:v>
      </x:c>
      <x:c r="H15" t="str">
        <x:f>wimbledons_champions!S27</x:f>
        <x:v>N. Djokovic</x:v>
      </x:c>
      <x:c r="I15" t="str">
        <x:f>wimbledons_champions!T27</x:f>
        <x:v>SRB</x:v>
      </x:c>
      <x:c r="J15" t="n">
        <x:f>wimbledons_champions!V27</x:f>
        <x:v>1</x:v>
      </x:c>
    </x:row>
    <x:row r="16">
      <x:c r="A16" t="n">
        <x:f>wimbledons_champions!A28</x:f>
        <x:v>2012</x:v>
      </x:c>
      <x:c r="B16" t="str">
        <x:f>wimbledons_champions!B28</x:f>
        <x:v>Women's</x:v>
      </x:c>
      <x:c r="C16" s="10" t="str">
        <x:f>wimbledons_champions!C28</x:f>
        <x:v>S. Williams</x:v>
      </x:c>
      <x:c r="D16" t="str">
        <x:f>wimbledons_champions!D28</x:f>
        <x:v>USA</x:v>
      </x:c>
      <x:c r="E16" t="n">
        <x:f>wimbledons_champions!F28</x:f>
        <x:v>6</x:v>
      </x:c>
      <x:c r="F16" t="n">
        <x:f>wimbledons_champions!G28</x:f>
        <x:v>122</x:v>
      </x:c>
      <x:c r="G16" t="str">
        <x:f>wimbledons_champions!H28</x:f>
        <x:v>6-1, 5-7, 6-2</x:v>
      </x:c>
      <x:c r="H16" t="str">
        <x:f>wimbledons_champions!S28</x:f>
        <x:v>A. Radwańska</x:v>
      </x:c>
      <x:c r="I16" t="str">
        <x:f>wimbledons_champions!T28</x:f>
        <x:v>POL</x:v>
      </x:c>
      <x:c r="J16" t="n">
        <x:f>wimbledons_champions!V28</x:f>
        <x:v>3</x:v>
      </x:c>
    </x:row>
    <x:row r="17">
      <x:c r="A17" t="n">
        <x:f>wimbledons_champions!A29</x:f>
        <x:v>2012</x:v>
      </x:c>
      <x:c r="B17" t="str">
        <x:f>wimbledons_champions!B29</x:f>
        <x:v>Men's</x:v>
      </x:c>
      <x:c r="C17" s="9" t="str">
        <x:f>wimbledons_champions!C29</x:f>
        <x:v>R. Federer</x:v>
      </x:c>
      <x:c r="D17" t="str">
        <x:f>wimbledons_champions!D29</x:f>
        <x:v>SUI</x:v>
      </x:c>
      <x:c r="E17" t="n">
        <x:f>wimbledons_champions!F29</x:f>
        <x:v>3</x:v>
      </x:c>
      <x:c r="F17" t="n">
        <x:f>wimbledons_champions!G29</x:f>
        <x:v>204</x:v>
      </x:c>
      <x:c r="G17" t="str">
        <x:f>wimbledons_champions!H29</x:f>
        <x:v>4-6, 7-5, 6-3, 6-4</x:v>
      </x:c>
      <x:c r="H17" t="str">
        <x:f>wimbledons_champions!S29</x:f>
        <x:v>A. Murray</x:v>
      </x:c>
      <x:c r="I17" t="str">
        <x:f>wimbledons_champions!T29</x:f>
        <x:v>GBR</x:v>
      </x:c>
      <x:c r="J17" t="n">
        <x:f>wimbledons_champions!V29</x:f>
        <x:v>4</x:v>
      </x:c>
    </x:row>
    <x:row r="18">
      <x:c r="A18" t="n">
        <x:f>wimbledons_champions!A30</x:f>
        <x:v>2011</x:v>
      </x:c>
      <x:c r="B18" t="str">
        <x:f>wimbledons_champions!B30</x:f>
        <x:v>Women's</x:v>
      </x:c>
      <x:c r="C18" s="14" t="str">
        <x:f>wimbledons_champions!C30</x:f>
        <x:v>P. Kvitova</x:v>
      </x:c>
      <x:c r="D18" t="str">
        <x:f>wimbledons_champions!D30</x:f>
        <x:v>CZE</x:v>
      </x:c>
      <x:c r="E18" t="n">
        <x:f>wimbledons_champions!F30</x:f>
        <x:v>8</x:v>
      </x:c>
      <x:c r="F18" t="n">
        <x:f>wimbledons_champions!G30</x:f>
        <x:v>85</x:v>
      </x:c>
      <x:c r="G18" t="str">
        <x:f>wimbledons_champions!H30</x:f>
        <x:v>6-3, 6-4</x:v>
      </x:c>
      <x:c r="H18" t="str">
        <x:f>wimbledons_champions!S30</x:f>
        <x:v>M. Sharapova</x:v>
      </x:c>
      <x:c r="I18" t="str">
        <x:f>wimbledons_champions!T30</x:f>
        <x:v>RUS</x:v>
      </x:c>
      <x:c r="J18" t="n">
        <x:f>wimbledons_champions!V30</x:f>
        <x:v>5</x:v>
      </x:c>
    </x:row>
    <x:row r="19">
      <x:c r="A19" t="n">
        <x:f>wimbledons_champions!A31</x:f>
        <x:v>2011</x:v>
      </x:c>
      <x:c r="B19" t="str">
        <x:f>wimbledons_champions!B31</x:f>
        <x:v>Men's</x:v>
      </x:c>
      <x:c r="C19" s="9" t="str">
        <x:f>wimbledons_champions!C31</x:f>
        <x:v>N. Djokovic</x:v>
      </x:c>
      <x:c r="D19" t="str">
        <x:f>wimbledons_champions!D31</x:f>
        <x:v>SRB</x:v>
      </x:c>
      <x:c r="E19" t="n">
        <x:f>wimbledons_champions!F31</x:f>
        <x:v>2</x:v>
      </x:c>
      <x:c r="F19" t="n">
        <x:f>wimbledons_champions!G31</x:f>
        <x:v>148</x:v>
      </x:c>
      <x:c r="G19" t="str">
        <x:f>wimbledons_champions!H31</x:f>
        <x:v>6-4 6-1 1-6 6-3</x:v>
      </x:c>
      <x:c r="H19" t="str">
        <x:f>wimbledons_champions!S31</x:f>
        <x:v>R. Nadal</x:v>
      </x:c>
      <x:c r="I19" t="str">
        <x:f>wimbledons_champions!T31</x:f>
        <x:v>ESP</x:v>
      </x:c>
      <x:c r="J19" t="n">
        <x:f>wimbledons_champions!V31</x:f>
        <x:v>1</x:v>
      </x:c>
    </x:row>
    <x:row r="20">
      <x:c r="A20" t="n">
        <x:f>wimbledons_champions!A32</x:f>
        <x:v>2010</x:v>
      </x:c>
      <x:c r="B20" t="str">
        <x:f>wimbledons_champions!B32</x:f>
        <x:v>Women's</x:v>
      </x:c>
      <x:c r="C20" s="9" t="str">
        <x:f>wimbledons_champions!C32</x:f>
        <x:v>S. Williams</x:v>
      </x:c>
      <x:c r="D20" t="str">
        <x:f>wimbledons_champions!D32</x:f>
        <x:v>USA</x:v>
      </x:c>
      <x:c r="E20" t="n">
        <x:f>wimbledons_champions!F32</x:f>
        <x:v>1</x:v>
      </x:c>
      <x:c r="F20" t="n">
        <x:f>wimbledons_champions!G32</x:f>
        <x:v>66</x:v>
      </x:c>
      <x:c r="G20" t="str">
        <x:f>wimbledons_champions!H32</x:f>
        <x:v>6-3, 6-2</x:v>
      </x:c>
      <x:c r="H20" t="str">
        <x:f>wimbledons_champions!S32</x:f>
        <x:v>V. Zvonareva</x:v>
      </x:c>
      <x:c r="I20" t="str">
        <x:f>wimbledons_champions!T32</x:f>
        <x:v>RUS</x:v>
      </x:c>
      <x:c r="J20" t="n">
        <x:f>wimbledons_champions!V32</x:f>
        <x:v>21</x:v>
      </x:c>
    </x:row>
    <x:row r="21">
      <x:c r="A21" t="n">
        <x:f>wimbledons_champions!A33</x:f>
        <x:v>2010</x:v>
      </x:c>
      <x:c r="B21" t="str">
        <x:f>wimbledons_champions!B33</x:f>
        <x:v>Men's</x:v>
      </x:c>
      <x:c r="C21" s="9" t="str">
        <x:f>wimbledons_champions!C33</x:f>
        <x:v>R. Nadal</x:v>
      </x:c>
      <x:c r="D21" t="str">
        <x:f>wimbledons_champions!D33</x:f>
        <x:v>ESP</x:v>
      </x:c>
      <x:c r="E21" t="n">
        <x:f>wimbledons_champions!F33</x:f>
        <x:v>2</x:v>
      </x:c>
      <x:c r="F21" t="n">
        <x:f>wimbledons_champions!G33</x:f>
        <x:v>133</x:v>
      </x:c>
      <x:c r="G21" t="str">
        <x:f>wimbledons_champions!H33</x:f>
        <x:v>6-3, 7-5, 6-4</x:v>
      </x:c>
      <x:c r="H21" t="str">
        <x:f>wimbledons_champions!S33</x:f>
        <x:v>T. Berdych</x:v>
      </x:c>
      <x:c r="I21" t="str">
        <x:f>wimbledons_champions!T33</x:f>
        <x:v>CZE</x:v>
      </x:c>
      <x:c r="J21" t="n">
        <x:f>wimbledons_champions!V33</x:f>
        <x:v>12</x:v>
      </x:c>
    </x:row>
    <x:row r="22">
      <x:c r="A22" t="n">
        <x:f>wimbledons_champions!A34</x:f>
        <x:v>2009</x:v>
      </x:c>
      <x:c r="B22" t="str">
        <x:f>wimbledons_champions!B34</x:f>
        <x:v>Women's</x:v>
      </x:c>
      <x:c r="C22" s="10" t="str">
        <x:f>wimbledons_champions!C34</x:f>
        <x:v>S. Williams</x:v>
      </x:c>
      <x:c r="D22" t="str">
        <x:f>wimbledons_champions!D34</x:f>
        <x:v>USA</x:v>
      </x:c>
      <x:c r="E22" t="n">
        <x:f>wimbledons_champions!F34</x:f>
        <x:v>2</x:v>
      </x:c>
      <x:c r="F22" t="n">
        <x:f>wimbledons_champions!G34</x:f>
        <x:v>87</x:v>
      </x:c>
      <x:c r="G22" t="str">
        <x:f>wimbledons_champions!H34</x:f>
        <x:v>7-6 (7-3), 6-2</x:v>
      </x:c>
      <x:c r="H22" t="str">
        <x:f>wimbledons_champions!S34</x:f>
        <x:v>V.E.S. Williams</x:v>
      </x:c>
      <x:c r="I22" t="str">
        <x:f>wimbledons_champions!T34</x:f>
        <x:v>USA</x:v>
      </x:c>
      <x:c r="J22" t="n">
        <x:f>wimbledons_champions!V34</x:f>
        <x:v>3</x:v>
      </x:c>
    </x:row>
    <x:row r="23">
      <x:c r="A23" t="n">
        <x:f>wimbledons_champions!A35</x:f>
        <x:v>2009</x:v>
      </x:c>
      <x:c r="B23" t="str">
        <x:f>wimbledons_champions!B35</x:f>
        <x:v>Men's</x:v>
      </x:c>
      <x:c r="C23" s="9" t="str">
        <x:f>wimbledons_champions!C35</x:f>
        <x:v>R. Federer</x:v>
      </x:c>
      <x:c r="D23" t="str">
        <x:f>wimbledons_champions!D35</x:f>
        <x:v>SUI</x:v>
      </x:c>
      <x:c r="E23" t="n">
        <x:f>wimbledons_champions!F35</x:f>
        <x:v>2</x:v>
      </x:c>
      <x:c r="F23" t="n">
        <x:f>wimbledons_champions!G35</x:f>
        <x:v>256</x:v>
      </x:c>
      <x:c r="G23" t="str">
        <x:f>wimbledons_champions!H35</x:f>
        <x:v>5-7, 7-6 (8-6), 7-6 (7-5), 3-6, 16-14</x:v>
      </x:c>
      <x:c r="H23" t="str">
        <x:f>wimbledons_champions!S35</x:f>
        <x:v>A. Roddick</x:v>
      </x:c>
      <x:c r="I23" t="str">
        <x:f>wimbledons_champions!T35</x:f>
        <x:v>USA</x:v>
      </x:c>
      <x:c r="J23" t="n">
        <x:f>wimbledons_champions!V35</x:f>
        <x:v>6</x:v>
      </x:c>
    </x:row>
    <x:row r="24">
      <x:c r="A24" t="n">
        <x:f>wimbledons_champions!A36</x:f>
        <x:v>2008</x:v>
      </x:c>
      <x:c r="B24" t="str">
        <x:f>wimbledons_champions!B36</x:f>
        <x:v>Women's</x:v>
      </x:c>
      <x:c r="C24" s="9" t="str">
        <x:f>wimbledons_champions!C36</x:f>
        <x:v>V.E.S. Williams</x:v>
      </x:c>
      <x:c r="D24" t="str">
        <x:f>wimbledons_champions!D36</x:f>
        <x:v>USA</x:v>
      </x:c>
      <x:c r="E24" t="n">
        <x:f>wimbledons_champions!F36</x:f>
        <x:v>7</x:v>
      </x:c>
      <x:c r="F24" t="n">
        <x:f>wimbledons_champions!G36</x:f>
        <x:v>111</x:v>
      </x:c>
      <x:c r="G24" t="str">
        <x:f>wimbledons_champions!H36</x:f>
        <x:v>7-5, 6-4</x:v>
      </x:c>
      <x:c r="H24" s="2" t="str">
        <x:f>wimbledons_champions!S36</x:f>
        <x:v>S. Williams</x:v>
      </x:c>
      <x:c r="I24" t="str">
        <x:f>wimbledons_champions!T36</x:f>
        <x:v>USA</x:v>
      </x:c>
      <x:c r="J24" t="n">
        <x:f>wimbledons_champions!V36</x:f>
        <x:v>6</x:v>
      </x:c>
    </x:row>
    <x:row r="25">
      <x:c r="A25" t="n">
        <x:f>wimbledons_champions!A37</x:f>
        <x:v>2008</x:v>
      </x:c>
      <x:c r="B25" t="str">
        <x:f>wimbledons_champions!B37</x:f>
        <x:v>Men's</x:v>
      </x:c>
      <x:c r="C25" s="14" t="str">
        <x:f>wimbledons_champions!C37</x:f>
        <x:v>R. Nadal</x:v>
      </x:c>
      <x:c r="D25" t="str">
        <x:f>wimbledons_champions!D37</x:f>
        <x:v>ESP</x:v>
      </x:c>
      <x:c r="E25" t="n">
        <x:f>wimbledons_champions!F37</x:f>
        <x:v>2</x:v>
      </x:c>
      <x:c r="F25" t="n">
        <x:f>wimbledons_champions!G37</x:f>
        <x:v>288</x:v>
      </x:c>
      <x:c r="G25" t="str">
        <x:f>wimbledons_champions!H37</x:f>
        <x:v>6-4, 6-4, 6-7 (5-7), 6-7 (8-10), 9-7</x:v>
      </x:c>
      <x:c r="H25" t="str">
        <x:f>wimbledons_champions!S37</x:f>
        <x:v>R. Federer</x:v>
      </x:c>
      <x:c r="I25" t="str">
        <x:f>wimbledons_champions!T37</x:f>
        <x:v>SUI</x:v>
      </x:c>
      <x:c r="J25" t="n">
        <x:f>wimbledons_champions!V37</x:f>
        <x:v>1</x:v>
      </x:c>
    </x:row>
    <x:row r="26">
      <x:c r="A26" t="n">
        <x:f>wimbledons_champions!A38</x:f>
        <x:v>2007</x:v>
      </x:c>
      <x:c r="B26" t="str">
        <x:f>wimbledons_champions!B38</x:f>
        <x:v>Women's</x:v>
      </x:c>
      <x:c r="C26" s="10" t="str">
        <x:f>wimbledons_champions!C38</x:f>
        <x:v>V.E.S. Williams</x:v>
      </x:c>
      <x:c r="D26" t="str">
        <x:f>wimbledons_champions!D38</x:f>
        <x:v>USA</x:v>
      </x:c>
      <x:c r="E26" t="n">
        <x:f>wimbledons_champions!F38</x:f>
        <x:v>23</x:v>
      </x:c>
      <x:c r="F26" t="n">
        <x:f>wimbledons_champions!G38</x:f>
        <x:v>90</x:v>
      </x:c>
      <x:c r="G26" t="str">
        <x:f>wimbledons_champions!H38</x:f>
        <x:v>6-4, 6-1</x:v>
      </x:c>
      <x:c r="H26" t="str">
        <x:f>wimbledons_champions!S38</x:f>
        <x:v>M. Bartoli</x:v>
      </x:c>
      <x:c r="I26" t="str">
        <x:f>wimbledons_champions!T38</x:f>
        <x:v>FRA</x:v>
      </x:c>
      <x:c r="J26" t="n">
        <x:f>wimbledons_champions!V38</x:f>
        <x:v>18</x:v>
      </x:c>
    </x:row>
    <x:row r="27">
      <x:c r="A27" t="n">
        <x:f>wimbledons_champions!A39</x:f>
        <x:v>2007</x:v>
      </x:c>
      <x:c r="B27" t="str">
        <x:f>wimbledons_champions!B39</x:f>
        <x:v>Men's</x:v>
      </x:c>
      <x:c r="C27" s="14" t="str">
        <x:f>wimbledons_champions!C39</x:f>
        <x:v>R. Federer</x:v>
      </x:c>
      <x:c r="D27" t="str">
        <x:f>wimbledons_champions!D39</x:f>
        <x:v>SUI</x:v>
      </x:c>
      <x:c r="E27" t="n">
        <x:f>wimbledons_champions!F39</x:f>
        <x:v>1</x:v>
      </x:c>
      <x:c r="F27" t="n">
        <x:f>wimbledons_champions!G39</x:f>
        <x:v>225</x:v>
      </x:c>
      <x:c r="G27" t="str">
        <x:f>wimbledons_champions!H39</x:f>
        <x:v>7-6 (9-7), 4-6, 7-6 (7-3), 2-6, 6-2</x:v>
      </x:c>
      <x:c r="H27" t="str">
        <x:f>wimbledons_champions!S39</x:f>
        <x:v>R. Nadal</x:v>
      </x:c>
      <x:c r="I27" t="str">
        <x:f>wimbledons_champions!T39</x:f>
        <x:v>ESP</x:v>
      </x:c>
      <x:c r="J27" t="n">
        <x:f>wimbledons_champions!V39</x:f>
        <x:v>2</x:v>
      </x:c>
    </x:row>
    <x:row r="28">
      <x:c r="A28" t="n">
        <x:f>wimbledons_champions!A40</x:f>
        <x:v>2006</x:v>
      </x:c>
      <x:c r="B28" t="str">
        <x:f>wimbledons_champions!B40</x:f>
        <x:v>Women's</x:v>
      </x:c>
      <x:c r="C28" s="10" t="str">
        <x:f>wimbledons_champions!C40</x:f>
        <x:v>A. Mauresmo</x:v>
      </x:c>
      <x:c r="D28" t="str">
        <x:f>wimbledons_champions!D40</x:f>
        <x:v>FRA</x:v>
      </x:c>
      <x:c r="E28" t="n">
        <x:f>wimbledons_champions!F40</x:f>
        <x:v>1</x:v>
      </x:c>
      <x:c r="F28" t="n">
        <x:f>wimbledons_champions!G40</x:f>
        <x:v>122</x:v>
      </x:c>
      <x:c r="G28" t="str">
        <x:f>wimbledons_champions!H40</x:f>
        <x:v>2-6, 6-3, 6-4</x:v>
      </x:c>
      <x:c r="H28" t="str">
        <x:f>wimbledons_champions!S40</x:f>
        <x:v>PY. Hardenne</x:v>
      </x:c>
      <x:c r="I28" t="str">
        <x:f>wimbledons_champions!T40</x:f>
        <x:v>BEL</x:v>
      </x:c>
      <x:c r="J28" t="n">
        <x:f>wimbledons_champions!V40</x:f>
        <x:v>3</x:v>
      </x:c>
    </x:row>
    <x:row r="29">
      <x:c r="A29" t="n">
        <x:f>wimbledons_champions!A41</x:f>
        <x:v>2006</x:v>
      </x:c>
      <x:c r="B29" t="str">
        <x:f>wimbledons_champions!B41</x:f>
        <x:v>Men's</x:v>
      </x:c>
      <x:c r="C29" s="9" t="str">
        <x:f>wimbledons_champions!C41</x:f>
        <x:v>R. Federer</x:v>
      </x:c>
      <x:c r="D29" t="str">
        <x:f>wimbledons_champions!D41</x:f>
        <x:v>SUI</x:v>
      </x:c>
      <x:c r="E29" t="n">
        <x:f>wimbledons_champions!F41</x:f>
        <x:v>1</x:v>
      </x:c>
      <x:c r="F29" t="n">
        <x:f>wimbledons_champions!G41</x:f>
        <x:v>170</x:v>
      </x:c>
      <x:c r="G29" t="str">
        <x:f>wimbledons_champions!H41</x:f>
        <x:v>6-0, 7-6 (7-5), 6-7 (2-7), 6-3</x:v>
      </x:c>
      <x:c r="H29" t="str">
        <x:f>wimbledons_champions!S41</x:f>
        <x:v>R. Nadal</x:v>
      </x:c>
      <x:c r="I29" t="str">
        <x:f>wimbledons_champions!T41</x:f>
        <x:v>ESP</x:v>
      </x:c>
      <x:c r="J29" t="n">
        <x:f>wimbledons_champions!V41</x:f>
        <x:v>2</x:v>
      </x:c>
    </x:row>
    <x:row r="30">
      <x:c r="A30" t="n">
        <x:f>wimbledons_champions!A42</x:f>
        <x:v>2005</x:v>
      </x:c>
      <x:c r="B30" t="str">
        <x:f>wimbledons_champions!B42</x:f>
        <x:v>Women's</x:v>
      </x:c>
      <x:c r="C30" s="10" t="str">
        <x:f>wimbledons_champions!C42</x:f>
        <x:v>V.E.S. Williams</x:v>
      </x:c>
      <x:c r="D30" t="str">
        <x:f>wimbledons_champions!D42</x:f>
        <x:v>USA</x:v>
      </x:c>
      <x:c r="E30" t="n">
        <x:f>wimbledons_champions!F42</x:f>
        <x:v>14</x:v>
      </x:c>
      <x:c r="F30" t="n">
        <x:f>wimbledons_champions!G42</x:f>
        <x:v>166</x:v>
      </x:c>
      <x:c r="G30" t="str">
        <x:f>wimbledons_champions!H42</x:f>
        <x:v>4-6, 7-6 (7-4), 9-7</x:v>
      </x:c>
      <x:c r="H30" t="str">
        <x:f>wimbledons_champions!S42</x:f>
        <x:v>L.A. Davenport</x:v>
      </x:c>
      <x:c r="I30" t="str">
        <x:f>wimbledons_champions!T42</x:f>
        <x:v>USA</x:v>
      </x:c>
      <x:c r="J30" t="n">
        <x:f>wimbledons_champions!V42</x:f>
        <x:v>1</x:v>
      </x:c>
    </x:row>
    <x:row r="31">
      <x:c r="A31" t="n">
        <x:f>wimbledons_champions!A43</x:f>
        <x:v>2005</x:v>
      </x:c>
      <x:c r="B31" t="str">
        <x:f>wimbledons_champions!B43</x:f>
        <x:v>Men's</x:v>
      </x:c>
      <x:c r="C31" s="14" t="str">
        <x:f>wimbledons_champions!C43</x:f>
        <x:v>R. Federer</x:v>
      </x:c>
      <x:c r="D31" t="str">
        <x:f>wimbledons_champions!D43</x:f>
        <x:v>SUI</x:v>
      </x:c>
      <x:c r="E31" t="n">
        <x:f>wimbledons_champions!F43</x:f>
        <x:v>1</x:v>
      </x:c>
      <x:c r="F31" t="n">
        <x:f>wimbledons_champions!G43</x:f>
        <x:v>101</x:v>
      </x:c>
      <x:c r="G31" t="str">
        <x:f>wimbledons_champions!H43</x:f>
        <x:v>6-2, 7-6 (7-2), 6-4</x:v>
      </x:c>
      <x:c r="H31" t="str">
        <x:f>wimbledons_champions!S43</x:f>
        <x:v>A. Roddick</x:v>
      </x:c>
      <x:c r="I31" t="str">
        <x:f>wimbledons_champions!T43</x:f>
        <x:v>USA</x:v>
      </x:c>
      <x:c r="J31" t="n">
        <x:f>wimbledons_champions!V43</x:f>
        <x:v>2</x:v>
      </x:c>
    </x:row>
    <x:row r="32">
      <x:c r="A32" t="n">
        <x:f>wimbledons_champions!A44</x:f>
        <x:v>2004</x:v>
      </x:c>
      <x:c r="B32" t="str">
        <x:f>wimbledons_champions!B44</x:f>
        <x:v>Women's</x:v>
      </x:c>
      <x:c r="C32" s="10" t="str">
        <x:f>wimbledons_champions!C44</x:f>
        <x:v>M. Sharapova</x:v>
      </x:c>
      <x:c r="D32" t="str">
        <x:f>wimbledons_champions!D44</x:f>
        <x:v>RUS</x:v>
      </x:c>
      <x:c r="E32" t="n">
        <x:f>wimbledons_champions!F44</x:f>
        <x:v>13</x:v>
      </x:c>
      <x:c r="F32" t="n">
        <x:f>wimbledons_champions!G44</x:f>
        <x:v>74</x:v>
      </x:c>
      <x:c r="G32" t="str">
        <x:f>wimbledons_champions!H44</x:f>
        <x:v>6-1, 6-4</x:v>
      </x:c>
      <x:c r="H32" t="str">
        <x:f>wimbledons_champions!S44</x:f>
        <x:v>S. Williams</x:v>
      </x:c>
      <x:c r="I32" t="str">
        <x:f>wimbledons_champions!T44</x:f>
        <x:v>USA</x:v>
      </x:c>
      <x:c r="J32" t="n">
        <x:f>wimbledons_champions!V44</x:f>
        <x:v>1</x:v>
      </x:c>
    </x:row>
    <x:row r="33">
      <x:c r="A33" t="n">
        <x:f>wimbledons_champions!A45</x:f>
        <x:v>2004</x:v>
      </x:c>
      <x:c r="B33" t="str">
        <x:f>wimbledons_champions!B45</x:f>
        <x:v>Men's</x:v>
      </x:c>
      <x:c r="C33" s="9" t="str">
        <x:f>wimbledons_champions!C45</x:f>
        <x:v>R. Federer</x:v>
      </x:c>
      <x:c r="D33" t="str">
        <x:f>wimbledons_champions!D45</x:f>
        <x:v>SUI</x:v>
      </x:c>
      <x:c r="E33" t="n">
        <x:f>wimbledons_champions!F45</x:f>
        <x:v>1</x:v>
      </x:c>
      <x:c r="F33" t="n">
        <x:f>wimbledons_champions!G45</x:f>
        <x:v>151</x:v>
      </x:c>
      <x:c r="G33" t="str">
        <x:f>wimbledons_champions!H45</x:f>
        <x:v>4-6, 7-5, 7-6 (7-3), 6-4</x:v>
      </x:c>
      <x:c r="H33" t="str">
        <x:f>wimbledons_champions!S45</x:f>
        <x:v>A. Roddick</x:v>
      </x:c>
      <x:c r="I33" t="str">
        <x:f>wimbledons_champions!T45</x:f>
        <x:v>USA</x:v>
      </x:c>
      <x:c r="J33" t="n">
        <x:f>wimbledons_champions!V45</x:f>
        <x:v>2</x:v>
      </x:c>
    </x:row>
    <x:row r="34">
      <x:c r="A34" t="n">
        <x:f>wimbledons_champions!A46</x:f>
        <x:v>2003</x:v>
      </x:c>
      <x:c r="B34" t="str">
        <x:f>wimbledons_champions!B46</x:f>
        <x:v>Women's</x:v>
      </x:c>
      <x:c r="C34" s="10" t="str">
        <x:f>wimbledons_champions!C46</x:f>
        <x:v>S. Williams</x:v>
      </x:c>
      <x:c r="D34" t="str">
        <x:f>wimbledons_champions!D46</x:f>
        <x:v>USA</x:v>
      </x:c>
      <x:c r="E34" t="n">
        <x:f>wimbledons_champions!F46</x:f>
        <x:v>1</x:v>
      </x:c>
      <x:c r="F34" t="n">
        <x:f>wimbledons_champions!G46</x:f>
        <x:v>123</x:v>
      </x:c>
      <x:c r="G34" t="str">
        <x:f>wimbledons_champions!H46</x:f>
        <x:v>4-6, 6-4, 6-2</x:v>
      </x:c>
      <x:c r="H34" t="str">
        <x:f>wimbledons_champions!S46</x:f>
        <x:v>V.E.S. Williams</x:v>
      </x:c>
      <x:c r="I34" t="str">
        <x:f>wimbledons_champions!T46</x:f>
        <x:v>USA</x:v>
      </x:c>
      <x:c r="J34" t="n">
        <x:f>wimbledons_champions!V46</x:f>
        <x:v>4</x:v>
      </x:c>
    </x:row>
    <x:row r="35">
      <x:c r="A35" t="n">
        <x:f>wimbledons_champions!A47</x:f>
        <x:v>2003</x:v>
      </x:c>
      <x:c r="B35" t="str">
        <x:f>wimbledons_champions!B47</x:f>
        <x:v>Men's</x:v>
      </x:c>
      <x:c r="C35" s="9" t="str">
        <x:f>wimbledons_champions!C47</x:f>
        <x:v>R. Federer</x:v>
      </x:c>
      <x:c r="D35" t="str">
        <x:f>wimbledons_champions!D47</x:f>
        <x:v>SUI</x:v>
      </x:c>
      <x:c r="E35" t="n">
        <x:f>wimbledons_champions!F47</x:f>
        <x:v>4</x:v>
      </x:c>
      <x:c r="F35" t="n">
        <x:f>wimbledons_champions!G47</x:f>
        <x:v>119</x:v>
      </x:c>
      <x:c r="G35" t="str">
        <x:f>wimbledons_champions!H47</x:f>
        <x:v>7-6 (7-5), 6-2, 7-6 (7-3)</x:v>
      </x:c>
      <x:c r="H35" t="str">
        <x:f>wimbledons_champions!S47</x:f>
        <x:v>M. Philippousis</x:v>
      </x:c>
      <x:c r="I35" t="str">
        <x:f>wimbledons_champions!T47</x:f>
        <x:v>AUS</x:v>
      </x:c>
      <x:c r="J35" t="str">
        <x:f>wimbledons_champions!V47</x:f>
        <x:v>U</x:v>
      </x:c>
    </x:row>
    <x:row r="36">
      <x:c r="A36" t="n">
        <x:f>wimbledons_champions!A48</x:f>
        <x:v>2002</x:v>
      </x:c>
      <x:c r="B36" t="str">
        <x:f>wimbledons_champions!B48</x:f>
        <x:v>Women's</x:v>
      </x:c>
      <x:c r="C36" s="9" t="str">
        <x:f>wimbledons_champions!C48</x:f>
        <x:v>S. Williams</x:v>
      </x:c>
      <x:c r="D36" t="str">
        <x:f>wimbledons_champions!D48</x:f>
        <x:v>USA</x:v>
      </x:c>
      <x:c r="E36" t="n">
        <x:f>wimbledons_champions!F48</x:f>
        <x:v>2</x:v>
      </x:c>
      <x:c r="F36" t="n">
        <x:f>wimbledons_champions!G48</x:f>
        <x:v>78</x:v>
      </x:c>
      <x:c r="G36" t="str">
        <x:f>wimbledons_champions!H48</x:f>
        <x:v>7-6 (7-4), 6-3</x:v>
      </x:c>
      <x:c r="H36" t="str">
        <x:f>wimbledons_champions!S48</x:f>
        <x:v>V.E.S. Williams</x:v>
      </x:c>
      <x:c r="I36" t="str">
        <x:f>wimbledons_champions!T48</x:f>
        <x:v>USA</x:v>
      </x:c>
      <x:c r="J36" t="n">
        <x:f>wimbledons_champions!V48</x:f>
        <x:v>1</x:v>
      </x:c>
    </x:row>
    <x:row r="37">
      <x:c r="A37" t="n">
        <x:f>wimbledons_champions!A49</x:f>
        <x:v>2002</x:v>
      </x:c>
      <x:c r="B37" t="str">
        <x:f>wimbledons_champions!B49</x:f>
        <x:v>Men's</x:v>
      </x:c>
      <x:c r="C37" s="9" t="str">
        <x:f>wimbledons_champions!C49</x:f>
        <x:v>L.G. Hewitt</x:v>
      </x:c>
      <x:c r="D37" t="str">
        <x:f>wimbledons_champions!D49</x:f>
        <x:v>AUS</x:v>
      </x:c>
      <x:c r="E37" t="n">
        <x:f>wimbledons_champions!F49</x:f>
        <x:v>1</x:v>
      </x:c>
      <x:c r="F37" t="n">
        <x:f>wimbledons_champions!G49</x:f>
        <x:v>116</x:v>
      </x:c>
      <x:c r="G37" t="str">
        <x:f>wimbledons_champions!H49</x:f>
        <x:v>6-1, 6-3, 6-2</x:v>
      </x:c>
      <x:c r="H37" t="str">
        <x:f>wimbledons_champions!S49</x:f>
        <x:v>D.P. Nalbandian</x:v>
      </x:c>
      <x:c r="I37" t="str">
        <x:f>wimbledons_champions!T49</x:f>
        <x:v>ARG</x:v>
      </x:c>
      <x:c r="J37" t="n">
        <x:f>wimbledons_champions!V49</x:f>
        <x:v>28</x:v>
      </x:c>
    </x:row>
    <x:row r="38">
      <x:c r="A38" t="n">
        <x:f>wimbledons_champions!A50</x:f>
        <x:v>2001</x:v>
      </x:c>
      <x:c r="B38" t="str">
        <x:f>wimbledons_champions!B50</x:f>
        <x:v>Women's</x:v>
      </x:c>
      <x:c r="C38" s="9" t="str">
        <x:f>wimbledons_champions!C50</x:f>
        <x:v>V.E.S. Williams</x:v>
      </x:c>
      <x:c r="D38" t="str">
        <x:f>wimbledons_champions!D50</x:f>
        <x:v>USA</x:v>
      </x:c>
      <x:c r="E38" t="n">
        <x:f>wimbledons_champions!F50</x:f>
        <x:v>2</x:v>
      </x:c>
      <x:c r="F38" t="n">
        <x:f>wimbledons_champions!G50</x:f>
        <x:v>69</x:v>
      </x:c>
      <x:c r="G38" t="str">
        <x:f>wimbledons_champions!H50</x:f>
        <x:v>6-1, 3-6, 6-0</x:v>
      </x:c>
      <x:c r="H38" t="str">
        <x:f>wimbledons_champions!S50</x:f>
        <x:v>J. Henin</x:v>
      </x:c>
      <x:c r="I38" t="str">
        <x:f>wimbledons_champions!T50</x:f>
        <x:v>BEL</x:v>
      </x:c>
      <x:c r="J38" t="n">
        <x:f>wimbledons_champions!V50</x:f>
        <x:v>8</x:v>
      </x:c>
    </x:row>
    <x:row r="39">
      <x:c r="A39" t="n">
        <x:f>wimbledons_champions!A51</x:f>
        <x:v>2001</x:v>
      </x:c>
      <x:c r="B39" t="str">
        <x:f>wimbledons_champions!B51</x:f>
        <x:v>Men's</x:v>
      </x:c>
      <x:c r="C39" s="14" t="str">
        <x:f>wimbledons_champions!C51</x:f>
        <x:v>G.S. Ivanisevic</x:v>
      </x:c>
      <x:c r="D39" t="str">
        <x:f>wimbledons_champions!D51</x:f>
        <x:v>CRO</x:v>
      </x:c>
      <x:c r="E39" t="str">
        <x:f>wimbledons_champions!F51</x:f>
        <x:v>WC</x:v>
      </x:c>
      <x:c r="F39" t="n">
        <x:f>wimbledons_champions!G51</x:f>
        <x:v>182</x:v>
      </x:c>
      <x:c r="G39" t="str">
        <x:f>wimbledons_champions!H51</x:f>
        <x:v>6-3, 3-6, 6-3, 2-6, 9-7</x:v>
      </x:c>
      <x:c r="H39" t="str">
        <x:f>wimbledons_champions!S51</x:f>
        <x:v>P.M. Rafter</x:v>
      </x:c>
      <x:c r="I39" t="str">
        <x:f>wimbledons_champions!T51</x:f>
        <x:v>AUS</x:v>
      </x:c>
      <x:c r="J39" t="n">
        <x:f>wimbledons_champions!V51</x:f>
        <x:v>3</x:v>
      </x:c>
    </x:row>
    <x:row r="40">
      <x:c r="A40" t="n">
        <x:f>wimbledons_champions!A52</x:f>
        <x:v>2000</x:v>
      </x:c>
      <x:c r="B40" t="str">
        <x:f>wimbledons_champions!B52</x:f>
        <x:v>Women's</x:v>
      </x:c>
      <x:c r="C40" s="12" t="str">
        <x:f>wimbledons_champions!C52</x:f>
        <x:v>V.E.S. Williams</x:v>
      </x:c>
      <x:c r="D40" t="str">
        <x:f>wimbledons_champions!D52</x:f>
        <x:v>USA</x:v>
      </x:c>
      <x:c r="E40" t="n">
        <x:f>wimbledons_champions!F52</x:f>
        <x:v>5</x:v>
      </x:c>
      <x:c r="F40" t="n">
        <x:f>wimbledons_champions!G52</x:f>
        <x:v>84</x:v>
      </x:c>
      <x:c r="G40" t="str">
        <x:f>wimbledons_champions!H52</x:f>
        <x:v>6-3, 7-6 (7-3)</x:v>
      </x:c>
      <x:c r="H40" t="str">
        <x:f>wimbledons_champions!S52</x:f>
        <x:v>L.A. Davenport</x:v>
      </x:c>
      <x:c r="I40" t="str">
        <x:f>wimbledons_champions!T52</x:f>
        <x:v>USA</x:v>
      </x:c>
      <x:c r="J40" t="n">
        <x:f>wimbledons_champions!V52</x:f>
        <x:v>2</x:v>
      </x:c>
    </x:row>
    <x:row r="41">
      <x:c r="A41" t="n">
        <x:f>wimbledons_champions!A53</x:f>
        <x:v>2000</x:v>
      </x:c>
      <x:c r="B41" t="str">
        <x:f>wimbledons_champions!B53</x:f>
        <x:v>Men's</x:v>
      </x:c>
      <x:c r="C41" s="14" t="str">
        <x:f>wimbledons_champions!C53</x:f>
        <x:v>P. Sampras</x:v>
      </x:c>
      <x:c r="D41" t="str">
        <x:f>wimbledons_champions!D53</x:f>
        <x:v>USA</x:v>
      </x:c>
      <x:c r="E41" t="n">
        <x:f>wimbledons_champions!F53</x:f>
        <x:v>1</x:v>
      </x:c>
      <x:c r="F41" t="n">
        <x:f>wimbledons_champions!G53</x:f>
        <x:v>182</x:v>
      </x:c>
      <x:c r="G41" t="str">
        <x:f>wimbledons_champions!H53</x:f>
        <x:v>6-7 (10-12), 7-6 (7-5), 6-4, 6-2</x:v>
      </x:c>
      <x:c r="H41" t="str">
        <x:f>wimbledons_champions!S53</x:f>
        <x:v>P.M. Rafter</x:v>
      </x:c>
      <x:c r="I41" t="str">
        <x:f>wimbledons_champions!T53</x:f>
        <x:v>AUS</x:v>
      </x:c>
      <x:c r="J41" t="n">
        <x:f>wimbledons_champions!V53</x:f>
        <x:v>12</x:v>
      </x:c>
    </x:row>
    <x:row r="42">
      <x:c r="A42" t="n">
        <x:f>wimbledons_champions!A54</x:f>
        <x:v>1999</x:v>
      </x:c>
      <x:c r="B42" t="str">
        <x:f>wimbledons_champions!B54</x:f>
        <x:v>Women's</x:v>
      </x:c>
      <x:c r="C42" s="12" t="str">
        <x:f>wimbledons_champions!C54</x:f>
        <x:v>L.A. Davenport</x:v>
      </x:c>
      <x:c r="D42" t="str">
        <x:f>wimbledons_champions!D54</x:f>
        <x:v>USA</x:v>
      </x:c>
      <x:c r="E42" t="n">
        <x:f>wimbledons_champions!F54</x:f>
        <x:v>3</x:v>
      </x:c>
      <x:c r="F42" t="n">
        <x:f>wimbledons_champions!G54</x:f>
        <x:v>75</x:v>
      </x:c>
      <x:c r="G42" t="str">
        <x:f>wimbledons_champions!H54</x:f>
        <x:v>6-4, 7-5</x:v>
      </x:c>
      <x:c r="H42" t="str">
        <x:f>wimbledons_champions!S54</x:f>
        <x:v>S.M. Graf</x:v>
      </x:c>
      <x:c r="I42" t="str">
        <x:f>wimbledons_champions!T54</x:f>
        <x:v>GER</x:v>
      </x:c>
      <x:c r="J42" t="n">
        <x:f>wimbledons_champions!V54</x:f>
        <x:v>2</x:v>
      </x:c>
    </x:row>
    <x:row r="43">
      <x:c r="A43" t="n">
        <x:f>wimbledons_champions!A55</x:f>
        <x:v>1999</x:v>
      </x:c>
      <x:c r="B43" t="str">
        <x:f>wimbledons_champions!B55</x:f>
        <x:v>Men's</x:v>
      </x:c>
      <x:c r="C43" s="9" t="str">
        <x:f>wimbledons_champions!C55</x:f>
        <x:v>P. Sampras</x:v>
      </x:c>
      <x:c r="D43" t="str">
        <x:f>wimbledons_champions!D55</x:f>
        <x:v>USA</x:v>
      </x:c>
      <x:c r="E43" t="n">
        <x:f>wimbledons_champions!F55</x:f>
        <x:v>1</x:v>
      </x:c>
      <x:c r="F43" t="n">
        <x:f>wimbledons_champions!G55</x:f>
        <x:v>115</x:v>
      </x:c>
      <x:c r="G43" t="str">
        <x:f>wimbledons_champions!H55</x:f>
        <x:v>6-3, 6-4, 7-5</x:v>
      </x:c>
      <x:c r="H43" t="str">
        <x:f>wimbledons_champions!S55</x:f>
        <x:v>A.K. Agassi</x:v>
      </x:c>
      <x:c r="I43" t="str">
        <x:f>wimbledons_champions!T55</x:f>
        <x:v>USA</x:v>
      </x:c>
      <x:c r="J43" t="n">
        <x:f>wimbledons_champions!V55</x:f>
        <x:v>4</x:v>
      </x:c>
    </x:row>
    <x:row r="44">
      <x:c r="A44" t="n">
        <x:f>wimbledons_champions!A56</x:f>
        <x:v>1998</x:v>
      </x:c>
      <x:c r="B44" t="str">
        <x:f>wimbledons_champions!B56</x:f>
        <x:v>Women's</x:v>
      </x:c>
      <x:c r="C44" s="12" t="str">
        <x:f>wimbledons_champions!C56</x:f>
        <x:v>J. Novotna</x:v>
      </x:c>
      <x:c r="D44" t="str">
        <x:f>wimbledons_champions!D56</x:f>
        <x:v>CZE</x:v>
      </x:c>
      <x:c r="E44" t="n">
        <x:f>wimbledons_champions!F56</x:f>
        <x:v>3</x:v>
      </x:c>
      <x:c r="F44" t="n">
        <x:f>wimbledons_champions!G56</x:f>
        <x:v>94</x:v>
      </x:c>
      <x:c r="G44" t="str">
        <x:f>wimbledons_champions!H56</x:f>
        <x:v>6-4, 7-6 (7-2)</x:v>
      </x:c>
      <x:c r="H44" t="str">
        <x:f>wimbledons_champions!S56</x:f>
        <x:v>N. Tauziat</x:v>
      </x:c>
      <x:c r="I44" t="str">
        <x:f>wimbledons_champions!T56</x:f>
        <x:v>FRA</x:v>
      </x:c>
      <x:c r="J44" t="n">
        <x:f>wimbledons_champions!V56</x:f>
        <x:v>16</x:v>
      </x:c>
    </x:row>
    <x:row r="45">
      <x:c r="A45" t="n">
        <x:f>wimbledons_champions!A57</x:f>
        <x:v>1998</x:v>
      </x:c>
      <x:c r="B45" t="str">
        <x:f>wimbledons_champions!B57</x:f>
        <x:v>Men's</x:v>
      </x:c>
      <x:c r="C45" s="9" t="str">
        <x:f>wimbledons_champions!C57</x:f>
        <x:v>P. Sampras</x:v>
      </x:c>
      <x:c r="D45" t="str">
        <x:f>wimbledons_champions!D57</x:f>
        <x:v>USA</x:v>
      </x:c>
      <x:c r="E45" t="n">
        <x:f>wimbledons_champions!F57</x:f>
        <x:v>1</x:v>
      </x:c>
      <x:c r="F45" t="n">
        <x:f>wimbledons_champions!G57</x:f>
        <x:v>172</x:v>
      </x:c>
      <x:c r="G45" t="str">
        <x:f>wimbledons_champions!H57</x:f>
        <x:v>6-7 (2-7), 7-6 (11-9), 6-4, 3-6, 6-2</x:v>
      </x:c>
      <x:c r="H45" t="str">
        <x:f>wimbledons_champions!S57</x:f>
        <x:v>G.S. Ivanisevic</x:v>
      </x:c>
      <x:c r="I45" t="str">
        <x:f>wimbledons_champions!T57</x:f>
        <x:v>CRO</x:v>
      </x:c>
      <x:c r="J45" t="n">
        <x:f>wimbledons_champions!V57</x:f>
        <x:v>14</x:v>
      </x:c>
    </x:row>
    <x:row r="46">
      <x:c r="A46" t="n">
        <x:f>wimbledons_champions!A58</x:f>
        <x:v>1997</x:v>
      </x:c>
      <x:c r="B46" t="str">
        <x:f>wimbledons_champions!B58</x:f>
        <x:v>Women's</x:v>
      </x:c>
      <x:c r="C46" s="12" t="str">
        <x:f>wimbledons_champions!C58</x:f>
        <x:v>M. Hingis</x:v>
      </x:c>
      <x:c r="D46" t="str">
        <x:f>wimbledons_champions!D58</x:f>
        <x:v>SUI</x:v>
      </x:c>
      <x:c r="E46" t="n">
        <x:f>wimbledons_champions!F58</x:f>
        <x:v>1</x:v>
      </x:c>
      <x:c r="F46" t="n">
        <x:f>wimbledons_champions!G58</x:f>
        <x:v>110</x:v>
      </x:c>
      <x:c r="G46" t="str">
        <x:f>wimbledons_champions!H58</x:f>
        <x:v>2-6, 6-3, 6-3</x:v>
      </x:c>
      <x:c r="H46" t="str">
        <x:f>wimbledons_champions!S58</x:f>
        <x:v>J. Novotna</x:v>
      </x:c>
      <x:c r="I46" t="str">
        <x:f>wimbledons_champions!T58</x:f>
        <x:v>CZE</x:v>
      </x:c>
      <x:c r="J46" t="n">
        <x:f>wimbledons_champions!V58</x:f>
        <x:v>3</x:v>
      </x:c>
    </x:row>
    <x:row r="47">
      <x:c r="A47" t="n">
        <x:f>wimbledons_champions!A59</x:f>
        <x:v>1997</x:v>
      </x:c>
      <x:c r="B47" t="str">
        <x:f>wimbledons_champions!B59</x:f>
        <x:v>Men's</x:v>
      </x:c>
      <x:c r="C47" s="9" t="str">
        <x:f>wimbledons_champions!C59</x:f>
        <x:v>P. Sampras</x:v>
      </x:c>
      <x:c r="D47" t="str">
        <x:f>wimbledons_champions!D59</x:f>
        <x:v>USA</x:v>
      </x:c>
      <x:c r="E47" t="n">
        <x:f>wimbledons_champions!F59</x:f>
        <x:v>1</x:v>
      </x:c>
      <x:c r="F47" t="n">
        <x:f>wimbledons_champions!G59</x:f>
        <x:v>94</x:v>
      </x:c>
      <x:c r="G47" t="str">
        <x:f>wimbledons_champions!H59</x:f>
        <x:v>6-4, 6-2, 6-4</x:v>
      </x:c>
      <x:c r="H47" t="str">
        <x:f>wimbledons_champions!S59</x:f>
        <x:v>C.A. Pioline</x:v>
      </x:c>
      <x:c r="I47" t="str">
        <x:f>wimbledons_champions!T59</x:f>
        <x:v>FRA</x:v>
      </x:c>
      <x:c r="J47" t="str">
        <x:f>wimbledons_champions!V59</x:f>
        <x:v>U</x:v>
      </x:c>
    </x:row>
    <x:row r="48">
      <x:c r="A48" t="n">
        <x:f>wimbledons_champions!A60</x:f>
        <x:v>1996</x:v>
      </x:c>
      <x:c r="B48" t="str">
        <x:f>wimbledons_champions!B60</x:f>
        <x:v>Women's</x:v>
      </x:c>
      <x:c r="C48" s="9" t="str">
        <x:f>wimbledons_champions!C60</x:f>
        <x:v>S.M. Graf</x:v>
      </x:c>
      <x:c r="D48" t="str">
        <x:f>wimbledons_champions!D60</x:f>
        <x:v>GER</x:v>
      </x:c>
      <x:c r="E48" s="2" t="n">
        <x:f>wimbledons_champions!F60</x:f>
        <x:v>1</x:v>
      </x:c>
      <x:c r="F48" t="n">
        <x:f>wimbledons_champions!G60</x:f>
        <x:v>88</x:v>
      </x:c>
      <x:c r="G48" t="str">
        <x:f>wimbledons_champions!H60</x:f>
        <x:v>6-3, 7-5,</x:v>
      </x:c>
      <x:c r="H48" t="str">
        <x:f>wimbledons_champions!S60</x:f>
        <x:v>A.I.M. Sanchez Vicario</x:v>
      </x:c>
      <x:c r="I48" t="str">
        <x:f>wimbledons_champions!T60</x:f>
        <x:v>ESP</x:v>
      </x:c>
      <x:c r="J48" t="n">
        <x:f>wimbledons_champions!V60</x:f>
        <x:v>4</x:v>
      </x:c>
    </x:row>
    <x:row r="49">
      <x:c r="A49" t="n">
        <x:f>wimbledons_champions!A61</x:f>
        <x:v>1996</x:v>
      </x:c>
      <x:c r="B49" t="str">
        <x:f>wimbledons_champions!B61</x:f>
        <x:v>Men's</x:v>
      </x:c>
      <x:c r="C49" s="12" t="str">
        <x:f>wimbledons_champions!C61</x:f>
        <x:v>R.P.S. Krajicek</x:v>
      </x:c>
      <x:c r="D49" t="str">
        <x:f>wimbledons_champions!D61</x:f>
        <x:v>NED</x:v>
      </x:c>
      <x:c r="E49" t="str">
        <x:f>wimbledons_champions!F61</x:f>
        <x:v>U</x:v>
      </x:c>
      <x:c r="F49" t="n">
        <x:f>wimbledons_champions!G61</x:f>
        <x:v>94</x:v>
      </x:c>
      <x:c r="G49" t="str">
        <x:f>wimbledons_champions!H61</x:f>
        <x:v>6-3, 6-4, 6-3</x:v>
      </x:c>
      <x:c r="H49" t="str">
        <x:f>wimbledons_champions!S61</x:f>
        <x:v>M.O. Washington</x:v>
      </x:c>
      <x:c r="I49" t="str">
        <x:f>wimbledons_champions!T61</x:f>
        <x:v>USA</x:v>
      </x:c>
      <x:c r="J49" t="str">
        <x:f>wimbledons_champions!V61</x:f>
        <x:v>U</x:v>
      </x:c>
    </x:row>
    <x:row r="50">
      <x:c r="A50" t="n">
        <x:f>wimbledons_champions!A62</x:f>
        <x:v>1995</x:v>
      </x:c>
      <x:c r="B50" t="str">
        <x:f>wimbledons_champions!B62</x:f>
        <x:v>Women's</x:v>
      </x:c>
      <x:c r="C50" s="12" t="str">
        <x:f>wimbledons_champions!C62</x:f>
        <x:v>S.M. Graf</x:v>
      </x:c>
      <x:c r="D50" t="str">
        <x:f>wimbledons_champions!D62</x:f>
        <x:v>GER</x:v>
      </x:c>
      <x:c r="E50" t="n">
        <x:f>wimbledons_champions!F62</x:f>
        <x:v>1</x:v>
      </x:c>
      <x:c r="F50" t="n">
        <x:f>wimbledons_champions!G62</x:f>
        <x:v>122</x:v>
      </x:c>
      <x:c r="G50" t="str">
        <x:f>wimbledons_champions!H62</x:f>
        <x:v>4-6, 6-1, 7-5,</x:v>
      </x:c>
      <x:c r="H50" t="str">
        <x:f>wimbledons_champions!S62</x:f>
        <x:v>A.I.M. Sanchez Vicario</x:v>
      </x:c>
      <x:c r="I50" t="str">
        <x:f>wimbledons_champions!T62</x:f>
        <x:v>ESP</x:v>
      </x:c>
      <x:c r="J50" t="n">
        <x:f>wimbledons_champions!V62</x:f>
        <x:v>2</x:v>
      </x:c>
    </x:row>
    <x:row r="51">
      <x:c r="A51" t="n">
        <x:f>wimbledons_champions!A63</x:f>
        <x:v>1995</x:v>
      </x:c>
      <x:c r="B51" t="str">
        <x:f>wimbledons_champions!B63</x:f>
        <x:v>Men's</x:v>
      </x:c>
      <x:c r="C51" s="12" t="str">
        <x:f>wimbledons_champions!C63</x:f>
        <x:v>P. Sampras</x:v>
      </x:c>
      <x:c r="D51" t="str">
        <x:f>wimbledons_champions!D63</x:f>
        <x:v>USA</x:v>
      </x:c>
      <x:c r="E51" t="n">
        <x:f>wimbledons_champions!F63</x:f>
        <x:v>2</x:v>
      </x:c>
      <x:c r="F51" t="n">
        <x:f>wimbledons_champions!G63</x:f>
        <x:v>149</x:v>
      </x:c>
      <x:c r="G51" t="str">
        <x:f>wimbledons_champions!H63</x:f>
        <x:v>6-7 (5-7), 6-2, 6-4, 6-2</x:v>
      </x:c>
      <x:c r="H51" t="str">
        <x:f>wimbledons_champions!S63</x:f>
        <x:v>B.F. Becker</x:v>
      </x:c>
      <x:c r="I51" t="str">
        <x:f>wimbledons_champions!T63</x:f>
        <x:v>GER</x:v>
      </x:c>
      <x:c r="J51" t="n">
        <x:f>wimbledons_champions!V63</x:f>
        <x:v>3</x:v>
      </x:c>
    </x:row>
    <x:row r="52">
      <x:c r="A52" t="n">
        <x:f>wimbledons_champions!A64</x:f>
        <x:v>1994</x:v>
      </x:c>
      <x:c r="B52" t="str">
        <x:f>wimbledons_champions!B64</x:f>
        <x:v>Women's</x:v>
      </x:c>
      <x:c r="C52" s="12" t="str">
        <x:f>wimbledons_champions!C64</x:f>
        <x:v>I.C. Martinez</x:v>
      </x:c>
      <x:c r="D52" t="str">
        <x:f>wimbledons_champions!D64</x:f>
        <x:v>ESP</x:v>
      </x:c>
      <x:c r="E52" t="n">
        <x:f>wimbledons_champions!F64</x:f>
        <x:v>3</x:v>
      </x:c>
      <x:c r="F52" t="n">
        <x:f>wimbledons_champions!G64</x:f>
        <x:v>119</x:v>
      </x:c>
      <x:c r="G52" t="str">
        <x:f>wimbledons_champions!H64</x:f>
        <x:v>6-4, 3-6, 6-3,</x:v>
      </x:c>
      <x:c r="H52" t="str">
        <x:f>wimbledons_champions!S64</x:f>
        <x:v>M. Navratilova</x:v>
      </x:c>
      <x:c r="I52" t="str">
        <x:f>wimbledons_champions!T64</x:f>
        <x:v>USA</x:v>
      </x:c>
      <x:c r="J52" t="n">
        <x:f>wimbledons_champions!V64</x:f>
        <x:v>4</x:v>
      </x:c>
    </x:row>
    <x:row r="53">
      <x:c r="A53" t="n">
        <x:f>wimbledons_champions!A65</x:f>
        <x:v>1994</x:v>
      </x:c>
      <x:c r="B53" t="str">
        <x:f>wimbledons_champions!B65</x:f>
        <x:v>Men's</x:v>
      </x:c>
      <x:c r="C53" s="9" t="str">
        <x:f>wimbledons_champions!C65</x:f>
        <x:v>P. Sampras</x:v>
      </x:c>
      <x:c r="D53" t="str">
        <x:f>wimbledons_champions!D65</x:f>
        <x:v>USA</x:v>
      </x:c>
      <x:c r="E53" t="n">
        <x:f>wimbledons_champions!F65</x:f>
        <x:v>1</x:v>
      </x:c>
      <x:c r="F53" t="n">
        <x:f>wimbledons_champions!G65</x:f>
        <x:v>115</x:v>
      </x:c>
      <x:c r="G53" t="str">
        <x:f>wimbledons_champions!H65</x:f>
        <x:v>7-6 (7-2), 7-6 (7-5), 6-0</x:v>
      </x:c>
      <x:c r="H53" s="2" t="str">
        <x:f>wimbledons_champions!S65</x:f>
        <x:v>G.S. Ivanisevic</x:v>
      </x:c>
      <x:c r="I53" t="str">
        <x:f>wimbledons_champions!T65</x:f>
        <x:v>CRO</x:v>
      </x:c>
      <x:c r="J53" t="n">
        <x:f>wimbledons_champions!V65</x:f>
        <x:v>4</x:v>
      </x:c>
    </x:row>
    <x:row r="54">
      <x:c r="A54" t="n">
        <x:f>wimbledons_champions!A66</x:f>
        <x:v>1993</x:v>
      </x:c>
      <x:c r="B54" t="str">
        <x:f>wimbledons_champions!B66</x:f>
        <x:v>Women's</x:v>
      </x:c>
      <x:c r="C54" s="12" t="str">
        <x:f>wimbledons_champions!C66</x:f>
        <x:v>S.M. Graf</x:v>
      </x:c>
      <x:c r="D54" t="str">
        <x:f>wimbledons_champions!D66</x:f>
        <x:v>GER</x:v>
      </x:c>
      <x:c r="E54" t="n">
        <x:f>wimbledons_champions!F66</x:f>
        <x:v>1</x:v>
      </x:c>
      <x:c r="F54" t="n">
        <x:f>wimbledons_champions!G66</x:f>
        <x:v>134</x:v>
      </x:c>
      <x:c r="G54" t="str">
        <x:f>wimbledons_champions!H66</x:f>
        <x:v>7-6 (8-6), 1-6, 6-4,</x:v>
      </x:c>
      <x:c r="H54" t="str">
        <x:f>wimbledons_champions!S66</x:f>
        <x:v>J. Novotna</x:v>
      </x:c>
      <x:c r="I54" t="str">
        <x:f>wimbledons_champions!T66</x:f>
        <x:v>CZE</x:v>
      </x:c>
      <x:c r="J54" t="n">
        <x:f>wimbledons_champions!V66</x:f>
        <x:v>8</x:v>
      </x:c>
    </x:row>
    <x:row r="55">
      <x:c r="A55" t="n">
        <x:f>wimbledons_champions!A67</x:f>
        <x:v>1993</x:v>
      </x:c>
      <x:c r="B55" t="str">
        <x:f>wimbledons_champions!B67</x:f>
        <x:v>Men's</x:v>
      </x:c>
      <x:c r="C55" s="12" t="str">
        <x:f>wimbledons_champions!C67</x:f>
        <x:v>P. Sampras</x:v>
      </x:c>
      <x:c r="D55" t="str">
        <x:f>wimbledons_champions!D67</x:f>
        <x:v>USA</x:v>
      </x:c>
      <x:c r="E55" t="n">
        <x:f>wimbledons_champions!F67</x:f>
        <x:v>1</x:v>
      </x:c>
      <x:c r="F55" t="n">
        <x:f>wimbledons_champions!G67</x:f>
        <x:v>178</x:v>
      </x:c>
      <x:c r="G55" t="str">
        <x:f>wimbledons_champions!H67</x:f>
        <x:v>7-6 (7-3), 7-6 (8-6), 3-6, 6-3</x:v>
      </x:c>
      <x:c r="H55" t="str">
        <x:f>wimbledons_champions!S67</x:f>
        <x:v>J.S. Courier</x:v>
      </x:c>
      <x:c r="I55" t="str">
        <x:f>wimbledons_champions!T67</x:f>
        <x:v>USA</x:v>
      </x:c>
      <x:c r="J55" t="n">
        <x:f>wimbledons_champions!V67</x:f>
        <x:v>3</x:v>
      </x:c>
    </x:row>
    <x:row r="56">
      <x:c r="A56" t="n">
        <x:f>wimbledons_champions!A68</x:f>
        <x:v>1992</x:v>
      </x:c>
      <x:c r="B56" t="str">
        <x:f>wimbledons_champions!B68</x:f>
        <x:v>Women's</x:v>
      </x:c>
      <x:c r="C56" s="9" t="str">
        <x:f>wimbledons_champions!C68</x:f>
        <x:v>S.M. Graf</x:v>
      </x:c>
      <x:c r="D56" t="str">
        <x:f>wimbledons_champions!D68</x:f>
        <x:v>GER</x:v>
      </x:c>
      <x:c r="E56" t="n">
        <x:f>wimbledons_champions!F68</x:f>
        <x:v>2</x:v>
      </x:c>
      <x:c r="F56" t="n">
        <x:f>wimbledons_champions!G68</x:f>
        <x:v>58</x:v>
      </x:c>
      <x:c r="G56" t="str">
        <x:f>wimbledons_champions!H68</x:f>
        <x:v>6-2, 6-1,</x:v>
      </x:c>
      <x:c r="H56" t="str">
        <x:f>wimbledons_champions!S68</x:f>
        <x:v>M. Seles</x:v>
      </x:c>
      <x:c r="I56" t="str">
        <x:f>wimbledons_champions!T68</x:f>
        <x:v>SRB</x:v>
      </x:c>
      <x:c r="J56" t="n">
        <x:f>wimbledons_champions!V68</x:f>
        <x:v>1</x:v>
      </x:c>
    </x:row>
    <x:row r="57">
      <x:c r="A57" t="n">
        <x:f>wimbledons_champions!A69</x:f>
        <x:v>1992</x:v>
      </x:c>
      <x:c r="B57" t="str">
        <x:f>wimbledons_champions!B69</x:f>
        <x:v>Men's</x:v>
      </x:c>
      <x:c r="C57" s="12" t="str">
        <x:f>wimbledons_champions!C69</x:f>
        <x:v>A.K. Agassi</x:v>
      </x:c>
      <x:c r="D57" t="str">
        <x:f>wimbledons_champions!D69</x:f>
        <x:v>USA</x:v>
      </x:c>
      <x:c r="E57" t="n">
        <x:f>wimbledons_champions!F69</x:f>
        <x:v>12</x:v>
      </x:c>
      <x:c r="F57" t="n">
        <x:f>wimbledons_champions!G69</x:f>
        <x:v>170</x:v>
      </x:c>
      <x:c r="G57" t="str">
        <x:f>wimbledons_champions!H69</x:f>
        <x:v>6-7 (8-10), 6-4, 6-4, 1-6, 6-4</x:v>
      </x:c>
      <x:c r="H57" t="str">
        <x:f>wimbledons_champions!S69</x:f>
        <x:v>G.S. Ivanisevic</x:v>
      </x:c>
      <x:c r="I57" t="str">
        <x:f>wimbledons_champions!T69</x:f>
        <x:v>CRO</x:v>
      </x:c>
      <x:c r="J57" t="n">
        <x:f>wimbledons_champions!V69</x:f>
        <x:v>8</x:v>
      </x:c>
    </x:row>
    <x:row r="58">
      <x:c r="A58" t="n">
        <x:f>wimbledons_champions!A70</x:f>
        <x:v>1991</x:v>
      </x:c>
      <x:c r="B58" t="str">
        <x:f>wimbledons_champions!B70</x:f>
        <x:v>Women's</x:v>
      </x:c>
      <x:c r="C58" s="9" t="str">
        <x:f>wimbledons_champions!C70</x:f>
        <x:v>S.M. Graf</x:v>
      </x:c>
      <x:c r="D58" t="str">
        <x:f>wimbledons_champions!D70</x:f>
        <x:v>GER</x:v>
      </x:c>
      <x:c r="E58" t="n">
        <x:f>wimbledons_champions!F70</x:f>
        <x:v>1</x:v>
      </x:c>
      <x:c r="F58" t="n">
        <x:f>wimbledons_champions!G70</x:f>
        <x:v>127</x:v>
      </x:c>
      <x:c r="G58" t="str">
        <x:f>wimbledons_champions!H70</x:f>
        <x:v>6-4, 3-6, 8-6,</x:v>
      </x:c>
      <x:c r="H58" t="str">
        <x:f>wimbledons_champions!S70</x:f>
        <x:v>G.B. Sabatini</x:v>
      </x:c>
      <x:c r="I58" t="str">
        <x:f>wimbledons_champions!T70</x:f>
        <x:v>ARG</x:v>
      </x:c>
      <x:c r="J58" t="n">
        <x:f>wimbledons_champions!V70</x:f>
        <x:v>2</x:v>
      </x:c>
    </x:row>
    <x:row r="59">
      <x:c r="A59" t="n">
        <x:f>wimbledons_champions!A71</x:f>
        <x:v>1991</x:v>
      </x:c>
      <x:c r="B59" t="str">
        <x:f>wimbledons_champions!B71</x:f>
        <x:v>Men's</x:v>
      </x:c>
      <x:c r="C59" s="12" t="str">
        <x:f>wimbledons_champions!C71</x:f>
        <x:v>M.D. Stich</x:v>
      </x:c>
      <x:c r="D59" t="str">
        <x:f>wimbledons_champions!D71</x:f>
        <x:v>GER</x:v>
      </x:c>
      <x:c r="E59" t="n">
        <x:f>wimbledons_champions!F71</x:f>
        <x:v>6</x:v>
      </x:c>
      <x:c r="F59" t="n">
        <x:f>wimbledons_champions!G71</x:f>
        <x:v>153</x:v>
      </x:c>
      <x:c r="G59" t="str">
        <x:f>wimbledons_champions!H71</x:f>
        <x:v>6-4, 7-6 (7-4), 6-4</x:v>
      </x:c>
      <x:c r="H59" t="str">
        <x:f>wimbledons_champions!S71</x:f>
        <x:v>B.F. Becker</x:v>
      </x:c>
      <x:c r="I59" t="str">
        <x:f>wimbledons_champions!T71</x:f>
        <x:v>GER</x:v>
      </x:c>
      <x:c r="J59" t="n">
        <x:f>wimbledons_champions!V71</x:f>
        <x:v>2</x:v>
      </x:c>
    </x:row>
    <x:row r="60">
      <x:c r="A60" t="n">
        <x:f>wimbledons_champions!A72</x:f>
        <x:v>1990</x:v>
      </x:c>
      <x:c r="B60" t="str">
        <x:f>wimbledons_champions!B72</x:f>
        <x:v>Women's</x:v>
      </x:c>
      <x:c r="C60" s="9" t="str">
        <x:f>wimbledons_champions!C72</x:f>
        <x:v>M. Navratilova</x:v>
      </x:c>
      <x:c r="D60" t="str">
        <x:f>wimbledons_champions!D72</x:f>
        <x:v>USA</x:v>
      </x:c>
      <x:c r="E60" t="n">
        <x:f>wimbledons_champions!F72</x:f>
        <x:v>2</x:v>
      </x:c>
      <x:c r="F60" t="n">
        <x:f>wimbledons_champions!G72</x:f>
        <x:v>75</x:v>
      </x:c>
      <x:c r="G60" t="str">
        <x:f>wimbledons_champions!H72</x:f>
        <x:v>6-4, 6-1,</x:v>
      </x:c>
      <x:c r="H60" t="str">
        <x:f>wimbledons_champions!S72</x:f>
        <x:v>Z.L. Garrison</x:v>
      </x:c>
      <x:c r="I60" t="str">
        <x:f>wimbledons_champions!T72</x:f>
        <x:v>USA</x:v>
      </x:c>
      <x:c r="J60" t="n">
        <x:f>wimbledons_champions!V72</x:f>
        <x:v>5</x:v>
      </x:c>
    </x:row>
    <x:row r="61">
      <x:c r="A61" t="n">
        <x:f>wimbledons_champions!A73</x:f>
        <x:v>1990</x:v>
      </x:c>
      <x:c r="B61" t="str">
        <x:f>wimbledons_champions!B73</x:f>
        <x:v>Men's</x:v>
      </x:c>
      <x:c r="C61" s="10" t="str">
        <x:f>wimbledons_champions!C73</x:f>
        <x:v>S.B. Edberg</x:v>
      </x:c>
      <x:c r="D61" t="str">
        <x:f>wimbledons_champions!D73</x:f>
        <x:v>SWE</x:v>
      </x:c>
      <x:c r="E61" t="n">
        <x:f>wimbledons_champions!F73</x:f>
        <x:v>3</x:v>
      </x:c>
      <x:c r="F61" t="n">
        <x:f>wimbledons_champions!G73</x:f>
        <x:v>178</x:v>
      </x:c>
      <x:c r="G61" t="str">
        <x:f>wimbledons_champions!H73</x:f>
        <x:v>6-2, 6-2, 3-6, 3-6, 6-4</x:v>
      </x:c>
      <x:c r="H61" t="str">
        <x:f>wimbledons_champions!S73</x:f>
        <x:v>B.F. Becker</x:v>
      </x:c>
      <x:c r="I61" t="str">
        <x:f>wimbledons_champions!T73</x:f>
        <x:v>GER</x:v>
      </x:c>
      <x:c r="J61" t="n">
        <x:f>wimbledons_champions!V73</x:f>
        <x:v>2</x:v>
      </x:c>
    </x:row>
    <x:row r="62">
      <x:c r="A62" t="n">
        <x:f>wimbledons_champions!A74</x:f>
        <x:v>1989</x:v>
      </x:c>
      <x:c r="B62" t="str">
        <x:f>wimbledons_champions!B74</x:f>
        <x:v>Women's</x:v>
      </x:c>
      <x:c r="C62" s="9" t="str">
        <x:f>wimbledons_champions!C74</x:f>
        <x:v>S.M. Graf</x:v>
      </x:c>
      <x:c r="D62" t="str">
        <x:f>wimbledons_champions!D74</x:f>
        <x:v>GER</x:v>
      </x:c>
      <x:c r="E62" t="n">
        <x:f>wimbledons_champions!F74</x:f>
        <x:v>1</x:v>
      </x:c>
      <x:c r="F62" t="n">
        <x:f>wimbledons_champions!G74</x:f>
        <x:v>92</x:v>
      </x:c>
      <x:c r="G62" t="str">
        <x:f>wimbledons_champions!H74</x:f>
        <x:v>6-2, 6-7 (1-7), 6-1,</x:v>
      </x:c>
      <x:c r="H62" t="str">
        <x:f>wimbledons_champions!S74</x:f>
        <x:v>M. Navratilova</x:v>
      </x:c>
      <x:c r="I62" t="str">
        <x:f>wimbledons_champions!T74</x:f>
        <x:v>USA</x:v>
      </x:c>
      <x:c r="J62" t="n">
        <x:f>wimbledons_champions!V74</x:f>
        <x:v>2</x:v>
      </x:c>
    </x:row>
    <x:row r="63">
      <x:c r="A63" t="n">
        <x:f>wimbledons_champions!A75</x:f>
        <x:v>1989</x:v>
      </x:c>
      <x:c r="B63" t="str">
        <x:f>wimbledons_champions!B75</x:f>
        <x:v>Men's</x:v>
      </x:c>
      <x:c r="C63" s="12" t="str">
        <x:f>wimbledons_champions!C75</x:f>
        <x:v>B.F. Becker</x:v>
      </x:c>
      <x:c r="D63" t="str">
        <x:f>wimbledons_champions!D75</x:f>
        <x:v>GER</x:v>
      </x:c>
      <x:c r="E63" t="n">
        <x:f>wimbledons_champions!F75</x:f>
        <x:v>3</x:v>
      </x:c>
      <x:c r="F63" t="n">
        <x:f>wimbledons_champions!G75</x:f>
        <x:v>132</x:v>
      </x:c>
      <x:c r="G63" t="str">
        <x:f>wimbledons_champions!H75</x:f>
        <x:v>6-0, 7-6 (7-1), 6-4</x:v>
      </x:c>
      <x:c r="H63" s="2" t="str">
        <x:f>wimbledons_champions!S75</x:f>
        <x:v>S.B. Edberg</x:v>
      </x:c>
      <x:c r="I63" t="str">
        <x:f>wimbledons_champions!T75</x:f>
        <x:v>SWE</x:v>
      </x:c>
      <x:c r="J63" t="n">
        <x:f>wimbledons_champions!V75</x:f>
        <x:v>2</x:v>
      </x:c>
    </x:row>
    <x:row r="64">
      <x:c r="A64" t="n">
        <x:f>wimbledons_champions!A76</x:f>
        <x:v>1988</x:v>
      </x:c>
      <x:c r="B64" t="str">
        <x:f>wimbledons_champions!B76</x:f>
        <x:v>Women's</x:v>
      </x:c>
      <x:c r="C64" s="9" t="str">
        <x:f>wimbledons_champions!C76</x:f>
        <x:v>S.M. Graf</x:v>
      </x:c>
      <x:c r="D64" t="str">
        <x:f>wimbledons_champions!D76</x:f>
        <x:v>GER</x:v>
      </x:c>
      <x:c r="E64" t="n">
        <x:f>wimbledons_champions!F76</x:f>
        <x:v>1</x:v>
      </x:c>
      <x:c r="F64" t="n">
        <x:f>wimbledons_champions!G76</x:f>
        <x:v>93</x:v>
      </x:c>
      <x:c r="G64" t="str">
        <x:f>wimbledons_champions!H76</x:f>
        <x:v>5-7, 6-2, 6-1,</x:v>
      </x:c>
      <x:c r="H64" t="str">
        <x:f>wimbledons_champions!S76</x:f>
        <x:v>M. Navratilova</x:v>
      </x:c>
      <x:c r="I64" t="str">
        <x:f>wimbledons_champions!T76</x:f>
        <x:v>USA</x:v>
      </x:c>
      <x:c r="J64" t="n">
        <x:f>wimbledons_champions!V76</x:f>
        <x:v>2</x:v>
      </x:c>
    </x:row>
    <x:row r="65">
      <x:c r="A65" t="n">
        <x:f>wimbledons_champions!A77</x:f>
        <x:v>1988</x:v>
      </x:c>
      <x:c r="B65" t="str">
        <x:f>wimbledons_champions!B77</x:f>
        <x:v>Men's</x:v>
      </x:c>
      <x:c r="C65" s="12" t="str">
        <x:f>wimbledons_champions!C77</x:f>
        <x:v>S.B. Edberg</x:v>
      </x:c>
      <x:c r="D65" t="str">
        <x:f>wimbledons_champions!D77</x:f>
        <x:v>SWE</x:v>
      </x:c>
      <x:c r="E65" t="n">
        <x:f>wimbledons_champions!F77</x:f>
        <x:v>3</x:v>
      </x:c>
      <x:c r="F65" t="n">
        <x:f>wimbledons_champions!G77</x:f>
        <x:v>170</x:v>
      </x:c>
      <x:c r="G65" t="str">
        <x:f>wimbledons_champions!H77</x:f>
        <x:v>4-6, 7-6 (7-2), 6-4, 6-2</x:v>
      </x:c>
      <x:c r="H65" s="2" t="str">
        <x:f>wimbledons_champions!S77</x:f>
        <x:v>B.F. Becker</x:v>
      </x:c>
      <x:c r="I65" t="str">
        <x:f>wimbledons_champions!T77</x:f>
        <x:v>GER</x:v>
      </x:c>
      <x:c r="J65" t="n">
        <x:f>wimbledons_champions!V77</x:f>
        <x:v>6</x:v>
      </x:c>
    </x:row>
    <x:row r="66">
      <x:c r="A66" t="n">
        <x:f>wimbledons_champions!A78</x:f>
        <x:v>1987</x:v>
      </x:c>
      <x:c r="B66" t="str">
        <x:f>wimbledons_champions!B78</x:f>
        <x:v>Women's</x:v>
      </x:c>
      <x:c r="C66" s="9" t="str">
        <x:f>wimbledons_champions!C78</x:f>
        <x:v>M. Navratilova</x:v>
      </x:c>
      <x:c r="D66" t="str">
        <x:f>wimbledons_champions!D78</x:f>
        <x:v>USA</x:v>
      </x:c>
      <x:c r="E66" t="n">
        <x:f>wimbledons_champions!F78</x:f>
        <x:v>1</x:v>
      </x:c>
      <x:c r="F66" t="n">
        <x:f>wimbledons_champions!G78</x:f>
        <x:v>69</x:v>
      </x:c>
      <x:c r="G66" t="str">
        <x:f>wimbledons_champions!H78</x:f>
        <x:v>7-5, 6-3,</x:v>
      </x:c>
      <x:c r="H66" t="str">
        <x:f>wimbledons_champions!S78</x:f>
        <x:v>S.M. Graf</x:v>
      </x:c>
      <x:c r="I66" t="str">
        <x:f>wimbledons_champions!T78</x:f>
        <x:v>GER</x:v>
      </x:c>
      <x:c r="J66" t="n">
        <x:f>wimbledons_champions!V78</x:f>
        <x:v>2</x:v>
      </x:c>
    </x:row>
    <x:row r="67">
      <x:c r="A67" t="n">
        <x:f>wimbledons_champions!A79</x:f>
        <x:v>1987</x:v>
      </x:c>
      <x:c r="B67" t="str">
        <x:f>wimbledons_champions!B79</x:f>
        <x:v>Men's</x:v>
      </x:c>
      <x:c r="C67" s="10" t="str">
        <x:f>wimbledons_champions!C79</x:f>
        <x:v>P.H. Cash</x:v>
      </x:c>
      <x:c r="D67" t="str">
        <x:f>wimbledons_champions!D79</x:f>
        <x:v>AUS</x:v>
      </x:c>
      <x:c r="E67" t="n">
        <x:f>wimbledons_champions!F79</x:f>
        <x:v>11</x:v>
      </x:c>
      <x:c r="F67" t="n">
        <x:f>wimbledons_champions!G79</x:f>
        <x:v>165</x:v>
      </x:c>
      <x:c r="G67" t="str">
        <x:f>wimbledons_champions!H79</x:f>
        <x:v>7-6 (7-5), 6-2, 7-5</x:v>
      </x:c>
      <x:c r="H67" t="str">
        <x:f>wimbledons_champions!S79</x:f>
        <x:v>I. Lendl</x:v>
      </x:c>
      <x:c r="I67" t="str">
        <x:f>wimbledons_champions!T79</x:f>
        <x:v>CZE</x:v>
      </x:c>
      <x:c r="J67" t="n">
        <x:f>wimbledons_champions!V79</x:f>
        <x:v>2</x:v>
      </x:c>
    </x:row>
    <x:row r="68">
      <x:c r="A68" t="n">
        <x:f>wimbledons_champions!A80</x:f>
        <x:v>1986</x:v>
      </x:c>
      <x:c r="B68" t="str">
        <x:f>wimbledons_champions!B80</x:f>
        <x:v>Women's</x:v>
      </x:c>
      <x:c r="C68" s="9" t="str">
        <x:f>wimbledons_champions!C80</x:f>
        <x:v>M. Navratilova</x:v>
      </x:c>
      <x:c r="D68" t="str">
        <x:f>wimbledons_champions!D80</x:f>
        <x:v>USA</x:v>
      </x:c>
      <x:c r="E68" t="n">
        <x:f>wimbledons_champions!F80</x:f>
        <x:v>1</x:v>
      </x:c>
      <x:c r="F68" t="n">
        <x:f>wimbledons_champions!G80</x:f>
        <x:v>72</x:v>
      </x:c>
      <x:c r="G68" t="str">
        <x:f>wimbledons_champions!H80</x:f>
        <x:v>7-6 (7-1), 6-3,</x:v>
      </x:c>
      <x:c r="H68" t="str">
        <x:f>wimbledons_champions!S80</x:f>
        <x:v>H. Mandlikova</x:v>
      </x:c>
      <x:c r="I68" t="str">
        <x:f>wimbledons_champions!T80</x:f>
        <x:v>CZE</x:v>
      </x:c>
      <x:c r="J68" t="n">
        <x:f>wimbledons_champions!V80</x:f>
        <x:v>3</x:v>
      </x:c>
    </x:row>
    <x:row r="69">
      <x:c r="A69" t="n">
        <x:f>wimbledons_champions!A81</x:f>
        <x:v>1986</x:v>
      </x:c>
      <x:c r="B69" t="str">
        <x:f>wimbledons_champions!B81</x:f>
        <x:v>Men's</x:v>
      </x:c>
      <x:c r="C69" s="10" t="str">
        <x:f>wimbledons_champions!C81</x:f>
        <x:v>B.F. Becker</x:v>
      </x:c>
      <x:c r="D69" t="str">
        <x:f>wimbledons_champions!D81</x:f>
        <x:v>GER</x:v>
      </x:c>
      <x:c r="E69" t="n">
        <x:f>wimbledons_champions!F81</x:f>
        <x:v>4</x:v>
      </x:c>
      <x:c r="F69" t="n">
        <x:f>wimbledons_champions!G81</x:f>
        <x:v>122</x:v>
      </x:c>
      <x:c r="G69" t="str">
        <x:f>wimbledons_champions!H81</x:f>
        <x:v>6-4, 6-3, 7-5</x:v>
      </x:c>
      <x:c r="H69" t="str">
        <x:f>wimbledons_champions!S81</x:f>
        <x:v>I. Lendl</x:v>
      </x:c>
      <x:c r="I69" t="str">
        <x:f>wimbledons_champions!T81</x:f>
        <x:v>CZE</x:v>
      </x:c>
      <x:c r="J69" t="n">
        <x:f>wimbledons_champions!V81</x:f>
        <x:v>1</x:v>
      </x:c>
    </x:row>
    <x:row r="70">
      <x:c r="A70" t="n">
        <x:f>wimbledons_champions!A82</x:f>
        <x:v>1985</x:v>
      </x:c>
      <x:c r="B70" t="str">
        <x:f>wimbledons_champions!B82</x:f>
        <x:v>Women's</x:v>
      </x:c>
      <x:c r="C70" s="9" t="str">
        <x:f>wimbledons_champions!C82</x:f>
        <x:v>M. Navratilova</x:v>
      </x:c>
      <x:c r="D70" t="str">
        <x:f>wimbledons_champions!D82</x:f>
        <x:v>USA</x:v>
      </x:c>
      <x:c r="E70" s="2" t="n">
        <x:f>wimbledons_champions!F82</x:f>
        <x:v>1</x:v>
      </x:c>
      <x:c r="F70" t="n">
        <x:f>wimbledons_champions!G82</x:f>
        <x:v>107</x:v>
      </x:c>
      <x:c r="G70" t="str">
        <x:f>wimbledons_champions!H82</x:f>
        <x:v>4-6, 6-3, 6-2,</x:v>
      </x:c>
      <x:c r="H70" t="str">
        <x:f>wimbledons_champions!S82</x:f>
        <x:v>J.M. Lloyd</x:v>
      </x:c>
      <x:c r="I70" t="str">
        <x:f>wimbledons_champions!T82</x:f>
        <x:v>USA</x:v>
      </x:c>
      <x:c r="J70" t="n">
        <x:f>wimbledons_champions!V82</x:f>
        <x:v>1</x:v>
      </x:c>
    </x:row>
    <x:row r="71">
      <x:c r="A71" t="n">
        <x:f>wimbledons_champions!A83</x:f>
        <x:v>1985</x:v>
      </x:c>
      <x:c r="B71" t="str">
        <x:f>wimbledons_champions!B83</x:f>
        <x:v>Men's</x:v>
      </x:c>
      <x:c r="C71" s="10" t="str">
        <x:f>wimbledons_champions!C83</x:f>
        <x:v>B.F. Becker</x:v>
      </x:c>
      <x:c r="D71" t="str">
        <x:f>wimbledons_champions!D83</x:f>
        <x:v>GER</x:v>
      </x:c>
      <x:c r="E71" t="str">
        <x:f>wimbledons_champions!F83</x:f>
        <x:v>U</x:v>
      </x:c>
      <x:c r="F71" t="n">
        <x:f>wimbledons_champions!G83</x:f>
        <x:v>198</x:v>
      </x:c>
      <x:c r="G71" t="str">
        <x:f>wimbledons_champions!H83</x:f>
        <x:v>6-3, 6-7 (4-7), 7-6 (7-3), 6-4</x:v>
      </x:c>
      <x:c r="H71" t="str">
        <x:f>wimbledons_champions!S83</x:f>
        <x:v>K.M. Curren</x:v>
      </x:c>
      <x:c r="I71" t="str">
        <x:f>wimbledons_champions!T83</x:f>
        <x:v>USA</x:v>
      </x:c>
      <x:c r="J71" t="n">
        <x:f>wimbledons_champions!V83</x:f>
        <x:v>8</x:v>
      </x:c>
    </x:row>
    <x:row r="72">
      <x:c r="A72" t="n">
        <x:f>wimbledons_champions!A84</x:f>
        <x:v>1984</x:v>
      </x:c>
      <x:c r="B72" t="str">
        <x:f>wimbledons_champions!B84</x:f>
        <x:v>Women's</x:v>
      </x:c>
      <x:c r="C72" s="9" t="str">
        <x:f>wimbledons_champions!C84</x:f>
        <x:v>M. Navratilova</x:v>
      </x:c>
      <x:c r="D72" t="str">
        <x:f>wimbledons_champions!D84</x:f>
        <x:v>USA</x:v>
      </x:c>
      <x:c r="E72" t="n">
        <x:f>wimbledons_champions!F84</x:f>
        <x:v>1</x:v>
      </x:c>
      <x:c r="F72" t="n">
        <x:f>wimbledons_champions!G84</x:f>
        <x:v>84</x:v>
      </x:c>
      <x:c r="G72" t="str">
        <x:f>wimbledons_champions!H84</x:f>
        <x:v>7-6 (7-5), 6-2,</x:v>
      </x:c>
      <x:c r="H72" t="str">
        <x:f>wimbledons_champions!S84</x:f>
        <x:v>J.M. Lloyd</x:v>
      </x:c>
      <x:c r="I72" t="str">
        <x:f>wimbledons_champions!T84</x:f>
        <x:v>USA</x:v>
      </x:c>
      <x:c r="J72" t="n">
        <x:f>wimbledons_champions!V84</x:f>
        <x:v>2</x:v>
      </x:c>
    </x:row>
    <x:row r="73">
      <x:c r="A73" t="n">
        <x:f>wimbledons_champions!A85</x:f>
        <x:v>1984</x:v>
      </x:c>
      <x:c r="B73" t="str">
        <x:f>wimbledons_champions!B85</x:f>
        <x:v>Men's</x:v>
      </x:c>
      <x:c r="C73" s="10" t="str">
        <x:f>wimbledons_champions!C85</x:f>
        <x:v>J.P. McEnroe</x:v>
      </x:c>
      <x:c r="D73" t="str">
        <x:f>wimbledons_champions!D85</x:f>
        <x:v>USA</x:v>
      </x:c>
      <x:c r="E73" t="n">
        <x:f>wimbledons_champions!F85</x:f>
        <x:v>1</x:v>
      </x:c>
      <x:c r="F73" t="n">
        <x:f>wimbledons_champions!G85</x:f>
        <x:v>80</x:v>
      </x:c>
      <x:c r="G73" t="str">
        <x:f>wimbledons_champions!H85</x:f>
        <x:v>6-1, 6-1, 6-2</x:v>
      </x:c>
      <x:c r="H73" t="str">
        <x:f>wimbledons_champions!S85</x:f>
        <x:v>J.S. Connors</x:v>
      </x:c>
      <x:c r="I73" t="str">
        <x:f>wimbledons_champions!T85</x:f>
        <x:v>USA</x:v>
      </x:c>
      <x:c r="J73" t="n">
        <x:f>wimbledons_champions!V85</x:f>
        <x:v>3</x:v>
      </x:c>
    </x:row>
    <x:row r="74">
      <x:c r="A74" t="n">
        <x:f>wimbledons_champions!A86</x:f>
        <x:v>1983</x:v>
      </x:c>
      <x:c r="B74" t="str">
        <x:f>wimbledons_champions!B86</x:f>
        <x:v>Women's</x:v>
      </x:c>
      <x:c r="C74" s="9" t="str">
        <x:f>wimbledons_champions!C86</x:f>
        <x:v>M. Navratilova</x:v>
      </x:c>
      <x:c r="D74" t="str">
        <x:f>wimbledons_champions!D86</x:f>
        <x:v>USA</x:v>
      </x:c>
      <x:c r="E74" t="n">
        <x:f>wimbledons_champions!F86</x:f>
        <x:v>1</x:v>
      </x:c>
      <x:c r="F74" t="n">
        <x:f>wimbledons_champions!G86</x:f>
        <x:v>54</x:v>
      </x:c>
      <x:c r="G74" t="str">
        <x:f>wimbledons_champions!H86</x:f>
        <x:v>6-0, 6-3,</x:v>
      </x:c>
      <x:c r="H74" t="str">
        <x:f>wimbledons_champions!S86</x:f>
        <x:v>A. Jaeger</x:v>
      </x:c>
      <x:c r="I74" t="str">
        <x:f>wimbledons_champions!T86</x:f>
        <x:v>USA</x:v>
      </x:c>
      <x:c r="J74" t="n">
        <x:f>wimbledons_champions!V86</x:f>
        <x:v>3</x:v>
      </x:c>
    </x:row>
    <x:row r="75">
      <x:c r="A75" t="n">
        <x:f>wimbledons_champions!A87</x:f>
        <x:v>1983</x:v>
      </x:c>
      <x:c r="B75" t="str">
        <x:f>wimbledons_champions!B87</x:f>
        <x:v>Men's</x:v>
      </x:c>
      <x:c r="C75" s="10" t="str">
        <x:f>wimbledons_champions!C87</x:f>
        <x:v>J.P. McEnroe</x:v>
      </x:c>
      <x:c r="D75" t="str">
        <x:f>wimbledons_champions!D87</x:f>
        <x:v>USA</x:v>
      </x:c>
      <x:c r="E75" t="n">
        <x:f>wimbledons_champions!F87</x:f>
        <x:v>2</x:v>
      </x:c>
      <x:c r="F75" t="n">
        <x:f>wimbledons_champions!G87</x:f>
        <x:v>85</x:v>
      </x:c>
      <x:c r="G75" t="str">
        <x:f>wimbledons_champions!H87</x:f>
        <x:v>6-2, 6-2, 6-2</x:v>
      </x:c>
      <x:c r="H75" t="str">
        <x:f>wimbledons_champions!S87</x:f>
        <x:v>C.J. Lewis</x:v>
      </x:c>
      <x:c r="I75" t="str">
        <x:f>wimbledons_champions!T87</x:f>
        <x:v>NZL</x:v>
      </x:c>
      <x:c r="J75" t="str">
        <x:f>wimbledons_champions!V87</x:f>
        <x:v>U</x:v>
      </x:c>
    </x:row>
    <x:row r="76">
      <x:c r="A76" t="n">
        <x:f>wimbledons_champions!A88</x:f>
        <x:v>1982</x:v>
      </x:c>
      <x:c r="B76" t="str">
        <x:f>wimbledons_champions!B88</x:f>
        <x:v>Women's</x:v>
      </x:c>
      <x:c r="C76" s="9" t="str">
        <x:f>wimbledons_champions!C88</x:f>
        <x:v>M. Navratilova</x:v>
      </x:c>
      <x:c r="D76" t="str">
        <x:f>wimbledons_champions!D88</x:f>
        <x:v>USA</x:v>
      </x:c>
      <x:c r="E76" t="n">
        <x:f>wimbledons_champions!F88</x:f>
        <x:v>1</x:v>
      </x:c>
      <x:c r="F76" t="n">
        <x:f>wimbledons_champions!G88</x:f>
        <x:v>87</x:v>
      </x:c>
      <x:c r="G76" t="str">
        <x:f>wimbledons_champions!H88</x:f>
        <x:v>6-1, 3-6, 6-2,</x:v>
      </x:c>
      <x:c r="H76" t="str">
        <x:f>wimbledons_champions!S88</x:f>
        <x:v>J.M. Lloyd</x:v>
      </x:c>
      <x:c r="I76" t="str">
        <x:f>wimbledons_champions!T88</x:f>
        <x:v>USA</x:v>
      </x:c>
      <x:c r="J76" t="n">
        <x:f>wimbledons_champions!V88</x:f>
        <x:v>2</x:v>
      </x:c>
    </x:row>
    <x:row r="77">
      <x:c r="A77" t="n">
        <x:f>wimbledons_champions!A89</x:f>
        <x:v>1982</x:v>
      </x:c>
      <x:c r="B77" t="str">
        <x:f>wimbledons_champions!B89</x:f>
        <x:v>Men's</x:v>
      </x:c>
      <x:c r="C77" s="10" t="str">
        <x:f>wimbledons_champions!C89</x:f>
        <x:v>J.S. Connors</x:v>
      </x:c>
      <x:c r="D77" t="str">
        <x:f>wimbledons_champions!D89</x:f>
        <x:v>USA</x:v>
      </x:c>
      <x:c r="E77" t="n">
        <x:f>wimbledons_champions!F89</x:f>
        <x:v>2</x:v>
      </x:c>
      <x:c r="F77" t="n">
        <x:f>wimbledons_champions!G89</x:f>
        <x:v>256</x:v>
      </x:c>
      <x:c r="G77" t="str">
        <x:f>wimbledons_champions!H89</x:f>
        <x:v>3-6, 6-3, 6-7 (2-7), 7-6 (7-5), 6-4</x:v>
      </x:c>
      <x:c r="H77" t="str">
        <x:f>wimbledons_champions!S89</x:f>
        <x:v>J.P. McEnroe</x:v>
      </x:c>
      <x:c r="I77" t="str">
        <x:f>wimbledons_champions!T89</x:f>
        <x:v>USA</x:v>
      </x:c>
      <x:c r="J77" t="n">
        <x:f>wimbledons_champions!V89</x:f>
        <x:v>1</x:v>
      </x:c>
    </x:row>
    <x:row r="78">
      <x:c r="A78" t="n">
        <x:f>wimbledons_champions!A90</x:f>
        <x:v>1981</x:v>
      </x:c>
      <x:c r="B78" t="str">
        <x:f>wimbledons_champions!B90</x:f>
        <x:v>Women's</x:v>
      </x:c>
      <x:c r="C78" s="9" t="str">
        <x:f>wimbledons_champions!C90</x:f>
        <x:v>J.M. Lloyd</x:v>
      </x:c>
      <x:c r="D78" t="str">
        <x:f>wimbledons_champions!D90</x:f>
        <x:v>USA</x:v>
      </x:c>
      <x:c r="E78" t="n">
        <x:f>wimbledons_champions!F90</x:f>
        <x:v>1</x:v>
      </x:c>
      <x:c r="F78" t="n">
        <x:f>wimbledons_champions!G90</x:f>
        <x:v>60</x:v>
      </x:c>
      <x:c r="G78" t="str">
        <x:f>wimbledons_champions!H90</x:f>
        <x:v>6-2, 6-2,</x:v>
      </x:c>
      <x:c r="H78" t="str">
        <x:f>wimbledons_champions!S90</x:f>
        <x:v>H. Mandlikova</x:v>
      </x:c>
      <x:c r="I78" t="str">
        <x:f>wimbledons_champions!T90</x:f>
        <x:v>CZE</x:v>
      </x:c>
      <x:c r="J78" t="n">
        <x:f>wimbledons_champions!V90</x:f>
        <x:v>2</x:v>
      </x:c>
    </x:row>
    <x:row r="79">
      <x:c r="A79" t="n">
        <x:f>wimbledons_champions!A91</x:f>
        <x:v>1981</x:v>
      </x:c>
      <x:c r="B79" t="str">
        <x:f>wimbledons_champions!B91</x:f>
        <x:v>Men's</x:v>
      </x:c>
      <x:c r="C79" s="9" t="str">
        <x:f>wimbledons_champions!C91</x:f>
        <x:v>J.P. McEnroe</x:v>
      </x:c>
      <x:c r="D79" t="str">
        <x:f>wimbledons_champions!D91</x:f>
        <x:v>USA</x:v>
      </x:c>
      <x:c r="E79" t="n">
        <x:f>wimbledons_champions!F91</x:f>
        <x:v>2</x:v>
      </x:c>
      <x:c r="F79" t="n">
        <x:f>wimbledons_champions!G91</x:f>
        <x:v>202</x:v>
      </x:c>
      <x:c r="G79" t="str">
        <x:f>wimbledons_champions!H91</x:f>
        <x:v>4-6, 7-6 (7-1), 7-6 (7-4), 6-4</x:v>
      </x:c>
      <x:c r="H79" t="str">
        <x:f>wimbledons_champions!S91</x:f>
        <x:v>B.R. Borg</x:v>
      </x:c>
      <x:c r="I79" t="str">
        <x:f>wimbledons_champions!T91</x:f>
        <x:v>SWE</x:v>
      </x:c>
      <x:c r="J79" t="n">
        <x:f>wimbledons_champions!V91</x:f>
        <x:v>1</x:v>
      </x:c>
    </x:row>
    <x:row r="80">
      <x:c r="A80" t="n">
        <x:f>wimbledons_champions!A92</x:f>
        <x:v>1980</x:v>
      </x:c>
      <x:c r="B80" t="str">
        <x:f>wimbledons_champions!B92</x:f>
        <x:v>Women's</x:v>
      </x:c>
      <x:c r="C80" s="14" t="str">
        <x:f>wimbledons_champions!C92</x:f>
        <x:v>R.A. Cawley</x:v>
      </x:c>
      <x:c r="D80" t="str">
        <x:f>wimbledons_champions!D92</x:f>
        <x:v>AUS</x:v>
      </x:c>
      <x:c r="E80" t="n">
        <x:f>wimbledons_champions!F92</x:f>
        <x:v>4</x:v>
      </x:c>
      <x:c r="F80" t="n">
        <x:f>wimbledons_champions!G92</x:f>
        <x:v>93</x:v>
      </x:c>
      <x:c r="G80" t="str">
        <x:f>wimbledons_champions!H92</x:f>
        <x:v>6-1, 7-6 (7-4)</x:v>
      </x:c>
      <x:c r="H80" t="str">
        <x:f>wimbledons_champions!S92</x:f>
        <x:v>J.M. Lloyd</x:v>
      </x:c>
      <x:c r="I80" t="str">
        <x:f>wimbledons_champions!T92</x:f>
        <x:v>USA</x:v>
      </x:c>
      <x:c r="J80" t="n">
        <x:f>wimbledons_champions!V92</x:f>
        <x:v>3</x:v>
      </x:c>
    </x:row>
    <x:row r="81">
      <x:c r="A81" t="n">
        <x:f>wimbledons_champions!A93</x:f>
        <x:v>1980</x:v>
      </x:c>
      <x:c r="B81" t="str">
        <x:f>wimbledons_champions!B93</x:f>
        <x:v>Men's</x:v>
      </x:c>
      <x:c r="C81" s="9" t="str">
        <x:f>wimbledons_champions!C93</x:f>
        <x:v>B.R. Borg</x:v>
      </x:c>
      <x:c r="D81" t="str">
        <x:f>wimbledons_champions!D93</x:f>
        <x:v>SWE</x:v>
      </x:c>
      <x:c r="E81" t="n">
        <x:f>wimbledons_champions!F93</x:f>
        <x:v>1</x:v>
      </x:c>
      <x:c r="F81" t="n">
        <x:f>wimbledons_champions!G93</x:f>
        <x:v>233</x:v>
      </x:c>
      <x:c r="G81" t="str">
        <x:f>wimbledons_champions!H93</x:f>
        <x:v>1-6, 7-5, 6-3, 6-7 (16-18), 8-6</x:v>
      </x:c>
      <x:c r="H81" t="str">
        <x:f>wimbledons_champions!S93</x:f>
        <x:v>J.P. McEnroe</x:v>
      </x:c>
      <x:c r="I81" t="str">
        <x:f>wimbledons_champions!T93</x:f>
        <x:v>USA</x:v>
      </x:c>
      <x:c r="J81" t="n">
        <x:f>wimbledons_champions!V93</x:f>
        <x:v>2</x:v>
      </x:c>
    </x:row>
    <x:row r="82">
      <x:c r="A82" t="n">
        <x:f>wimbledons_champions!A94</x:f>
        <x:v>1979</x:v>
      </x:c>
      <x:c r="B82" t="str">
        <x:f>wimbledons_champions!B94</x:f>
        <x:v>Women's</x:v>
      </x:c>
      <x:c r="C82" s="14" t="str">
        <x:f>wimbledons_champions!C94</x:f>
        <x:v>M. Navratilova</x:v>
      </x:c>
      <x:c r="D82" t="str">
        <x:f>wimbledons_champions!D94</x:f>
        <x:v>USA</x:v>
      </x:c>
      <x:c r="E82" t="n">
        <x:f>wimbledons_champions!F94</x:f>
        <x:v>1</x:v>
      </x:c>
      <x:c r="F82" t="n">
        <x:f>wimbledons_champions!G94</x:f>
        <x:v>60</x:v>
      </x:c>
      <x:c r="G82" t="str">
        <x:f>wimbledons_champions!H94</x:f>
        <x:v>6-4, 6-4,</x:v>
      </x:c>
      <x:c r="H82" t="str">
        <x:f>wimbledons_champions!S94</x:f>
        <x:v>J.M. Lloyd</x:v>
      </x:c>
      <x:c r="I82" t="str">
        <x:f>wimbledons_champions!T94</x:f>
        <x:v>USA</x:v>
      </x:c>
      <x:c r="J82" t="n">
        <x:f>wimbledons_champions!V94</x:f>
        <x:v>2</x:v>
      </x:c>
    </x:row>
    <x:row r="83">
      <x:c r="A83" t="n">
        <x:f>wimbledons_champions!A95</x:f>
        <x:v>1979</x:v>
      </x:c>
      <x:c r="B83" t="str">
        <x:f>wimbledons_champions!B95</x:f>
        <x:v>Men's</x:v>
      </x:c>
      <x:c r="C83" s="10" t="str">
        <x:f>wimbledons_champions!C95</x:f>
        <x:v>B.R. Borg</x:v>
      </x:c>
      <x:c r="D83" t="str">
        <x:f>wimbledons_champions!D95</x:f>
        <x:v>SWE</x:v>
      </x:c>
      <x:c r="E83" t="n">
        <x:f>wimbledons_champions!F95</x:f>
        <x:v>1</x:v>
      </x:c>
      <x:c r="F83" t="n">
        <x:f>wimbledons_champions!G95</x:f>
        <x:v>169</x:v>
      </x:c>
      <x:c r="G83" t="str">
        <x:f>wimbledons_champions!H95</x:f>
        <x:v>6-7(4-7), 6-1, 3-6, 6-3, 6-4</x:v>
      </x:c>
      <x:c r="H83" t="str">
        <x:f>wimbledons_champions!S95</x:f>
        <x:v>R. Tanner</x:v>
      </x:c>
      <x:c r="I83" t="str">
        <x:f>wimbledons_champions!T95</x:f>
        <x:v>USA</x:v>
      </x:c>
      <x:c r="J83" t="n">
        <x:f>wimbledons_champions!V95</x:f>
        <x:v>5</x:v>
      </x:c>
    </x:row>
    <x:row r="84">
      <x:c r="A84" t="n">
        <x:f>wimbledons_champions!A96</x:f>
        <x:v>1978</x:v>
      </x:c>
      <x:c r="B84" t="str">
        <x:f>wimbledons_champions!B96</x:f>
        <x:v>Women's</x:v>
      </x:c>
      <x:c r="C84" s="14" t="str">
        <x:f>wimbledons_champions!C96</x:f>
        <x:v>M. Navratilova</x:v>
      </x:c>
      <x:c r="D84" t="str">
        <x:f>wimbledons_champions!D96</x:f>
        <x:v>USA</x:v>
      </x:c>
      <x:c r="E84" t="n">
        <x:f>wimbledons_champions!F96</x:f>
        <x:v>2</x:v>
      </x:c>
      <x:c r="F84" t="n">
        <x:f>wimbledons_champions!G96</x:f>
        <x:v>102</x:v>
      </x:c>
      <x:c r="G84" t="str">
        <x:f>wimbledons_champions!H96</x:f>
        <x:v>2-6, 6-4, 7-5,</x:v>
      </x:c>
      <x:c r="H84" t="str">
        <x:f>wimbledons_champions!S96</x:f>
        <x:v>C.M. Evert</x:v>
      </x:c>
      <x:c r="I84" t="str">
        <x:f>wimbledons_champions!T96</x:f>
        <x:v>USA</x:v>
      </x:c>
      <x:c r="J84" t="n">
        <x:f>wimbledons_champions!V96</x:f>
        <x:v>1</x:v>
      </x:c>
    </x:row>
    <x:row r="85">
      <x:c r="A85" t="n">
        <x:f>wimbledons_champions!A97</x:f>
        <x:v>1978</x:v>
      </x:c>
      <x:c r="B85" t="str">
        <x:f>wimbledons_champions!B97</x:f>
        <x:v>Men's</x:v>
      </x:c>
      <x:c r="C85" s="10" t="str">
        <x:f>wimbledons_champions!C97</x:f>
        <x:v>B.R. Borg</x:v>
      </x:c>
      <x:c r="D85" t="str">
        <x:f>wimbledons_champions!D97</x:f>
        <x:v>SWE</x:v>
      </x:c>
      <x:c r="E85" t="n">
        <x:f>wimbledons_champions!F97</x:f>
        <x:v>1</x:v>
      </x:c>
      <x:c r="F85" t="n">
        <x:f>wimbledons_champions!G97</x:f>
        <x:v>108</x:v>
      </x:c>
      <x:c r="G85" t="str">
        <x:f>wimbledons_champions!H97</x:f>
        <x:v>6-2, 6-2, 6-3</x:v>
      </x:c>
      <x:c r="H85" t="str">
        <x:f>wimbledons_champions!S97</x:f>
        <x:v>J.S. Connors</x:v>
      </x:c>
      <x:c r="I85" t="str">
        <x:f>wimbledons_champions!T97</x:f>
        <x:v>USA</x:v>
      </x:c>
      <x:c r="J85" t="n">
        <x:f>wimbledons_champions!V97</x:f>
        <x:v>2</x:v>
      </x:c>
    </x:row>
    <x:row r="86">
      <x:c r="A86" t="n">
        <x:f>wimbledons_champions!A98</x:f>
        <x:v>1977</x:v>
      </x:c>
      <x:c r="B86" t="str">
        <x:f>wimbledons_champions!B98</x:f>
        <x:v>Women's</x:v>
      </x:c>
      <x:c r="C86" s="14" t="str">
        <x:f>wimbledons_champions!C98</x:f>
        <x:v>S.V. Wade</x:v>
      </x:c>
      <x:c r="D86" t="str">
        <x:f>wimbledons_champions!D98</x:f>
        <x:v>GBR</x:v>
      </x:c>
      <x:c r="E86" t="n">
        <x:f>wimbledons_champions!F98</x:f>
        <x:v>3</x:v>
      </x:c>
      <x:c r="F86" t="n">
        <x:f>wimbledons_champions!G98</x:f>
        <x:v>98</x:v>
      </x:c>
      <x:c r="G86" t="str">
        <x:f>wimbledons_champions!H98</x:f>
        <x:v>4-6, 6-3, 6-1,</x:v>
      </x:c>
      <x:c r="H86" t="str">
        <x:f>wimbledons_champions!S98</x:f>
        <x:v>B.F. Stove</x:v>
      </x:c>
      <x:c r="I86" t="str">
        <x:f>wimbledons_champions!T98</x:f>
        <x:v>NED</x:v>
      </x:c>
      <x:c r="J86" t="n">
        <x:f>wimbledons_champions!V98</x:f>
        <x:v>7</x:v>
      </x:c>
    </x:row>
    <x:row r="87">
      <x:c r="A87" t="n">
        <x:f>wimbledons_champions!A99</x:f>
        <x:v>1977</x:v>
      </x:c>
      <x:c r="B87" t="str">
        <x:f>wimbledons_champions!B99</x:f>
        <x:v>Men's</x:v>
      </x:c>
      <x:c r="C87" s="9" t="str">
        <x:f>wimbledons_champions!C99</x:f>
        <x:v>B.R. Borg</x:v>
      </x:c>
      <x:c r="D87" t="str">
        <x:f>wimbledons_champions!D99</x:f>
        <x:v>SWE</x:v>
      </x:c>
      <x:c r="E87" t="n">
        <x:f>wimbledons_champions!F99</x:f>
        <x:v>2</x:v>
      </x:c>
      <x:c r="F87" t="n">
        <x:f>wimbledons_champions!G99</x:f>
        <x:v>194</x:v>
      </x:c>
      <x:c r="G87" t="str">
        <x:f>wimbledons_champions!H99</x:f>
        <x:v>3-6, 6-2, 6-1, 5-7, 6-4</x:v>
      </x:c>
      <x:c r="H87" t="str">
        <x:f>wimbledons_champions!S99</x:f>
        <x:v>J.S. Connors</x:v>
      </x:c>
      <x:c r="I87" t="str">
        <x:f>wimbledons_champions!T99</x:f>
        <x:v>USA</x:v>
      </x:c>
      <x:c r="J87" t="n">
        <x:f>wimbledons_champions!V99</x:f>
        <x:v>1</x:v>
      </x:c>
    </x:row>
    <x:row r="88">
      <x:c r="A88" t="n">
        <x:f>wimbledons_champions!A100</x:f>
        <x:v>1976</x:v>
      </x:c>
      <x:c r="B88" t="str">
        <x:f>wimbledons_champions!B100</x:f>
        <x:v>Women's</x:v>
      </x:c>
      <x:c r="C88" s="14" t="str">
        <x:f>wimbledons_champions!C100</x:f>
        <x:v>C.M. Evert</x:v>
      </x:c>
      <x:c r="D88" t="str">
        <x:f>wimbledons_champions!D100</x:f>
        <x:v>USA</x:v>
      </x:c>
      <x:c r="E88" t="n">
        <x:f>wimbledons_champions!F100</x:f>
        <x:v>1</x:v>
      </x:c>
      <x:c r="F88" t="n">
        <x:f>wimbledons_champions!G100</x:f>
        <x:v>120</x:v>
      </x:c>
      <x:c r="G88" t="str">
        <x:f>wimbledons_champions!H100</x:f>
        <x:v>6-3, 4-6, 8-6,</x:v>
      </x:c>
      <x:c r="H88" t="str">
        <x:f>wimbledons_champions!S100</x:f>
        <x:v>R.A. Cawley</x:v>
      </x:c>
      <x:c r="I88" t="str">
        <x:f>wimbledons_champions!T100</x:f>
        <x:v>AUS</x:v>
      </x:c>
      <x:c r="J88" t="n">
        <x:f>wimbledons_champions!V100</x:f>
        <x:v>2</x:v>
      </x:c>
    </x:row>
    <x:row r="89">
      <x:c r="A89" t="n">
        <x:f>wimbledons_champions!A101</x:f>
        <x:v>1976</x:v>
      </x:c>
      <x:c r="B89" t="str">
        <x:f>wimbledons_champions!B101</x:f>
        <x:v>Men's</x:v>
      </x:c>
      <x:c r="C89" s="9" t="str">
        <x:f>wimbledons_champions!C101</x:f>
        <x:v>B.R. Borg</x:v>
      </x:c>
      <x:c r="D89" t="str">
        <x:f>wimbledons_champions!D101</x:f>
        <x:v>SWE</x:v>
      </x:c>
      <x:c r="E89" t="n">
        <x:f>wimbledons_champions!F101</x:f>
        <x:v>4</x:v>
      </x:c>
      <x:c r="F89" t="n">
        <x:f>wimbledons_champions!G101</x:f>
        <x:v>110</x:v>
      </x:c>
      <x:c r="G89" t="str">
        <x:f>wimbledons_champions!H101</x:f>
        <x:v>6-4, 6-2, 9-7</x:v>
      </x:c>
      <x:c r="H89" t="str">
        <x:f>wimbledons_champions!S101</x:f>
        <x:v>I. Nastase</x:v>
      </x:c>
      <x:c r="I89" t="str">
        <x:f>wimbledons_champions!T101</x:f>
        <x:v>ROM</x:v>
      </x:c>
      <x:c r="J89" t="n">
        <x:f>wimbledons_champions!V101</x:f>
        <x:v>3</x:v>
      </x:c>
    </x:row>
    <x:row r="90">
      <x:c r="A90" t="n">
        <x:f>wimbledons_champions!A102</x:f>
        <x:v>1975</x:v>
      </x:c>
      <x:c r="B90" t="str">
        <x:f>wimbledons_champions!B102</x:f>
        <x:v>Women's</x:v>
      </x:c>
      <x:c r="C90" s="9" t="str">
        <x:f>wimbledons_champions!C102</x:f>
        <x:v>L.W. King</x:v>
      </x:c>
      <x:c r="D90" t="str">
        <x:f>wimbledons_champions!D102</x:f>
        <x:v>USA</x:v>
      </x:c>
      <x:c r="E90" t="n">
        <x:f>wimbledons_champions!F102</x:f>
        <x:v>3</x:v>
      </x:c>
      <x:c r="F90" t="n">
        <x:f>wimbledons_champions!G102</x:f>
        <x:v>38</x:v>
      </x:c>
      <x:c r="G90" t="str">
        <x:f>wimbledons_champions!H102</x:f>
        <x:v>6-0, 6-1,</x:v>
      </x:c>
      <x:c r="H90" t="str">
        <x:f>wimbledons_champions!S102</x:f>
        <x:v>R.A. Cawley</x:v>
      </x:c>
      <x:c r="I90" t="str">
        <x:f>wimbledons_champions!T102</x:f>
        <x:v>AUS</x:v>
      </x:c>
      <x:c r="J90" t="n">
        <x:f>wimbledons_champions!V102</x:f>
        <x:v>4</x:v>
      </x:c>
    </x:row>
    <x:row r="91">
      <x:c r="A91" t="n">
        <x:f>wimbledons_champions!A103</x:f>
        <x:v>1975</x:v>
      </x:c>
      <x:c r="B91" t="str">
        <x:f>wimbledons_champions!B103</x:f>
        <x:v>Men's</x:v>
      </x:c>
      <x:c r="C91" s="13" t="str">
        <x:f>wimbledons_champions!C103</x:f>
        <x:v>A.R. Ashe</x:v>
      </x:c>
      <x:c r="D91" t="str">
        <x:f>wimbledons_champions!D103</x:f>
        <x:v>USA</x:v>
      </x:c>
      <x:c r="E91" t="n">
        <x:f>wimbledons_champions!F103</x:f>
        <x:v>6</x:v>
      </x:c>
      <x:c r="F91" t="n">
        <x:f>wimbledons_champions!G103</x:f>
        <x:v>125</x:v>
      </x:c>
      <x:c r="G91" t="str">
        <x:f>wimbledons_champions!H103</x:f>
        <x:v>6-1, 6-1, 5-7, 6-4</x:v>
      </x:c>
      <x:c r="H91" t="str">
        <x:f>wimbledons_champions!S103</x:f>
        <x:v>J.S. Connors</x:v>
      </x:c>
      <x:c r="I91" t="str">
        <x:f>wimbledons_champions!T103</x:f>
        <x:v>USA</x:v>
      </x:c>
      <x:c r="J91" t="n">
        <x:f>wimbledons_champions!V103</x:f>
        <x:v>1</x:v>
      </x:c>
    </x:row>
    <x:row r="92">
      <x:c r="A92" t="n">
        <x:f>wimbledons_champions!A104</x:f>
        <x:v>1974</x:v>
      </x:c>
      <x:c r="B92" t="str">
        <x:f>wimbledons_champions!B104</x:f>
        <x:v>Women's</x:v>
      </x:c>
      <x:c r="C92" s="9" t="str">
        <x:f>wimbledons_champions!C104</x:f>
        <x:v>C.M. Evert</x:v>
      </x:c>
      <x:c r="D92" t="str">
        <x:f>wimbledons_champions!D104</x:f>
        <x:v>USA</x:v>
      </x:c>
      <x:c r="E92" t="n">
        <x:f>wimbledons_champions!F104</x:f>
        <x:v>2</x:v>
      </x:c>
      <x:c r="F92" t="n">
        <x:f>wimbledons_champions!G104</x:f>
        <x:v>59</x:v>
      </x:c>
      <x:c r="G92" t="str">
        <x:f>wimbledons_champions!H104</x:f>
        <x:v>6-0, 6-4</x:v>
      </x:c>
      <x:c r="H92" t="str">
        <x:f>wimbledons_champions!S104</x:f>
        <x:v>O.V. Morozova</x:v>
      </x:c>
      <x:c r="I92" t="str">
        <x:f>wimbledons_champions!T104</x:f>
        <x:v>URS</x:v>
      </x:c>
      <x:c r="J92" t="n">
        <x:f>wimbledons_champions!V104</x:f>
        <x:v>8</x:v>
      </x:c>
    </x:row>
    <x:row r="93">
      <x:c r="A93" t="n">
        <x:f>wimbledons_champions!A105</x:f>
        <x:v>1974</x:v>
      </x:c>
      <x:c r="B93" t="str">
        <x:f>wimbledons_champions!B105</x:f>
        <x:v>Men's</x:v>
      </x:c>
      <x:c r="C93" s="9" t="str">
        <x:f>wimbledons_champions!C105</x:f>
        <x:v>J.S. Connors</x:v>
      </x:c>
      <x:c r="D93" t="str">
        <x:f>wimbledons_champions!D105</x:f>
        <x:v>USA</x:v>
      </x:c>
      <x:c r="E93" t="n">
        <x:f>wimbledons_champions!F105</x:f>
        <x:v>3</x:v>
      </x:c>
      <x:c r="F93" t="n">
        <x:f>wimbledons_champions!G105</x:f>
        <x:v>93</x:v>
      </x:c>
      <x:c r="G93" t="str">
        <x:f>wimbledons_champions!H105</x:f>
        <x:v>6-1, 6-1, 6-4</x:v>
      </x:c>
      <x:c r="H93" t="str">
        <x:f>wimbledons_champions!S105</x:f>
        <x:v>K.R. Rosewall</x:v>
      </x:c>
      <x:c r="I93" t="str">
        <x:f>wimbledons_champions!T105</x:f>
        <x:v>AUS</x:v>
      </x:c>
      <x:c r="J93" t="n">
        <x:f>wimbledons_champions!V105</x:f>
        <x:v>9</x:v>
      </x:c>
    </x:row>
    <x:row r="94">
      <x:c r="A94" t="n">
        <x:f>wimbledons_champions!A106</x:f>
        <x:v>1973</x:v>
      </x:c>
      <x:c r="B94" t="str">
        <x:f>wimbledons_champions!B106</x:f>
        <x:v>Women's</x:v>
      </x:c>
      <x:c r="C94" s="9" t="str">
        <x:f>wimbledons_champions!C106</x:f>
        <x:v>L.W. King</x:v>
      </x:c>
      <x:c r="D94" t="str">
        <x:f>wimbledons_champions!D106</x:f>
        <x:v>USA</x:v>
      </x:c>
      <x:c r="E94" t="n">
        <x:f>wimbledons_champions!F106</x:f>
        <x:v>2</x:v>
      </x:c>
      <x:c r="F94" t="n">
        <x:f>wimbledons_champions!G106</x:f>
        <x:v>53</x:v>
      </x:c>
      <x:c r="G94" t="str">
        <x:f>wimbledons_champions!H106</x:f>
        <x:v>6-0, 7-5</x:v>
      </x:c>
      <x:c r="H94" t="str">
        <x:f>wimbledons_champions!S106</x:f>
        <x:v>C.M. Evert</x:v>
      </x:c>
      <x:c r="I94" t="str">
        <x:f>wimbledons_champions!T106</x:f>
        <x:v>USA</x:v>
      </x:c>
      <x:c r="J94" t="n">
        <x:f>wimbledons_champions!V106</x:f>
        <x:v>4</x:v>
      </x:c>
    </x:row>
    <x:row r="95">
      <x:c r="A95" t="n">
        <x:f>wimbledons_champions!A107</x:f>
        <x:v>1973</x:v>
      </x:c>
      <x:c r="B95" t="str">
        <x:f>wimbledons_champions!B107</x:f>
        <x:v>Men's</x:v>
      </x:c>
      <x:c r="C95" s="13" t="str">
        <x:f>wimbledons_champions!C107</x:f>
        <x:v>J. Kodes</x:v>
      </x:c>
      <x:c r="D95" t="str">
        <x:f>wimbledons_champions!D107</x:f>
        <x:v>CZE</x:v>
      </x:c>
      <x:c r="E95" t="n">
        <x:f>wimbledons_champions!F107</x:f>
        <x:v>2</x:v>
      </x:c>
      <x:c r="F95" t="n">
        <x:f>wimbledons_champions!G107</x:f>
        <x:v>110</x:v>
      </x:c>
      <x:c r="G95" t="str">
        <x:f>wimbledons_champions!H107</x:f>
        <x:v>6-1, 9-8(7-5), 6-3</x:v>
      </x:c>
      <x:c r="H95" t="str">
        <x:f>wimbledons_champions!S107</x:f>
        <x:v>A. Metreveli</x:v>
      </x:c>
      <x:c r="I95" t="str">
        <x:f>wimbledons_champions!T107</x:f>
        <x:v>URS</x:v>
      </x:c>
      <x:c r="J95" t="n">
        <x:f>wimbledons_champions!V107</x:f>
        <x:v>4</x:v>
      </x:c>
    </x:row>
    <x:row r="96">
      <x:c r="A96" t="n">
        <x:f>wimbledons_champions!A108</x:f>
        <x:v>1972</x:v>
      </x:c>
      <x:c r="B96" t="str">
        <x:f>wimbledons_champions!B108</x:f>
        <x:v>Women's</x:v>
      </x:c>
      <x:c r="C96" s="9" t="str">
        <x:f>wimbledons_champions!C108</x:f>
        <x:v>L.W. King</x:v>
      </x:c>
      <x:c r="D96" t="str">
        <x:f>wimbledons_champions!D108</x:f>
        <x:v>USA</x:v>
      </x:c>
      <x:c r="E96" t="n">
        <x:f>wimbledons_champions!F108</x:f>
        <x:v>2</x:v>
      </x:c>
      <x:c r="F96" t="n">
        <x:f>wimbledons_champions!G108</x:f>
        <x:v>50</x:v>
      </x:c>
      <x:c r="G96" t="str">
        <x:f>wimbledons_champions!H108</x:f>
        <x:v>6-3, 6-3,</x:v>
      </x:c>
      <x:c r="H96" t="str">
        <x:f>wimbledons_champions!S108</x:f>
        <x:v>E.F. Goolagong</x:v>
      </x:c>
      <x:c r="I96" t="str">
        <x:f>wimbledons_champions!T108</x:f>
        <x:v>AUS</x:v>
      </x:c>
      <x:c r="J96" t="n">
        <x:f>wimbledons_champions!V108</x:f>
        <x:v>1</x:v>
      </x:c>
    </x:row>
    <x:row r="97">
      <x:c r="A97" t="n">
        <x:f>wimbledons_champions!A109</x:f>
        <x:v>1972</x:v>
      </x:c>
      <x:c r="B97" t="str">
        <x:f>wimbledons_champions!B109</x:f>
        <x:v>Men's</x:v>
      </x:c>
      <x:c r="C97" s="13" t="str">
        <x:f>wimbledons_champions!C109</x:f>
        <x:v>S.R. Smith</x:v>
      </x:c>
      <x:c r="D97" t="str">
        <x:f>wimbledons_champions!D109</x:f>
        <x:v>USA</x:v>
      </x:c>
      <x:c r="E97" t="n">
        <x:f>wimbledons_champions!F109</x:f>
        <x:v>1</x:v>
      </x:c>
      <x:c r="F97" t="n">
        <x:f>wimbledons_champions!G109</x:f>
        <x:v>161</x:v>
      </x:c>
      <x:c r="G97" t="str">
        <x:f>wimbledons_champions!H109</x:f>
        <x:v>4-6, 6-3, 6-3, 4-6, 7-5</x:v>
      </x:c>
      <x:c r="H97" t="str">
        <x:f>wimbledons_champions!S109</x:f>
        <x:v>I. Nastase</x:v>
      </x:c>
      <x:c r="I97" t="str">
        <x:f>wimbledons_champions!T109</x:f>
        <x:v>ROM</x:v>
      </x:c>
      <x:c r="J97" t="n">
        <x:f>wimbledons_champions!V109</x:f>
        <x:v>2</x:v>
      </x:c>
    </x:row>
    <x:row r="98">
      <x:c r="A98" t="n">
        <x:f>wimbledons_champions!A110</x:f>
        <x:v>1971</x:v>
      </x:c>
      <x:c r="B98" t="str">
        <x:f>wimbledons_champions!B110</x:f>
        <x:v>Women's</x:v>
      </x:c>
      <x:c r="C98" s="9" t="str">
        <x:f>wimbledons_champions!C110</x:f>
        <x:v>E.F. Goolagong</x:v>
      </x:c>
      <x:c r="D98" t="str">
        <x:f>wimbledons_champions!D110</x:f>
        <x:v>AUS</x:v>
      </x:c>
      <x:c r="E98" t="n">
        <x:f>wimbledons_champions!F110</x:f>
        <x:v>3</x:v>
      </x:c>
      <x:c r="F98" t="n">
        <x:f>wimbledons_champions!G110</x:f>
        <x:v>62</x:v>
      </x:c>
      <x:c r="G98" t="str">
        <x:f>wimbledons_champions!H110</x:f>
        <x:v>6-4, 6-1,</x:v>
      </x:c>
      <x:c r="H98" t="str">
        <x:f>wimbledons_champions!S110</x:f>
        <x:v>B.M. Court</x:v>
      </x:c>
      <x:c r="I98" t="str">
        <x:f>wimbledons_champions!T110</x:f>
        <x:v>AUS</x:v>
      </x:c>
      <x:c r="J98" t="n">
        <x:f>wimbledons_champions!V110</x:f>
        <x:v>1</x:v>
      </x:c>
    </x:row>
    <x:row r="99">
      <x:c r="A99" t="n">
        <x:f>wimbledons_champions!A111</x:f>
        <x:v>1971</x:v>
      </x:c>
      <x:c r="B99" t="str">
        <x:f>wimbledons_champions!B111</x:f>
        <x:v>Men's</x:v>
      </x:c>
      <x:c r="C99" s="9" t="str">
        <x:f>wimbledons_champions!C111</x:f>
        <x:v>J.D. Newcombe</x:v>
      </x:c>
      <x:c r="D99" t="str">
        <x:f>wimbledons_champions!D111</x:f>
        <x:v>AUS</x:v>
      </x:c>
      <x:c r="E99" t="n">
        <x:f>wimbledons_champions!F111</x:f>
        <x:v>2</x:v>
      </x:c>
      <x:c r="F99" t="n">
        <x:f>wimbledons_champions!G111</x:f>
        <x:v>170</x:v>
      </x:c>
      <x:c r="G99" t="str">
        <x:f>wimbledons_champions!H111</x:f>
        <x:v>6-3, 5-7, 2-6, 6-4, 6-4</x:v>
      </x:c>
      <x:c r="H99" t="str">
        <x:f>wimbledons_champions!S111</x:f>
        <x:v>S.R. Smith</x:v>
      </x:c>
      <x:c r="I99" t="str">
        <x:f>wimbledons_champions!T111</x:f>
        <x:v>USA</x:v>
      </x:c>
      <x:c r="J99" t="n">
        <x:f>wimbledons_champions!V111</x:f>
        <x:v>4</x:v>
      </x:c>
    </x:row>
    <x:row r="100">
      <x:c r="A100" t="n">
        <x:f>wimbledons_champions!A112</x:f>
        <x:v>1970</x:v>
      </x:c>
      <x:c r="B100" t="str">
        <x:f>wimbledons_champions!B112</x:f>
        <x:v>Women's</x:v>
      </x:c>
      <x:c r="C100" s="9" t="str">
        <x:f>wimbledons_champions!C112</x:f>
        <x:v>B.M. Court</x:v>
      </x:c>
      <x:c r="D100" t="str">
        <x:f>wimbledons_champions!D112</x:f>
        <x:v>AUS</x:v>
      </x:c>
      <x:c r="E100" t="n">
        <x:f>wimbledons_champions!F112</x:f>
        <x:v>1</x:v>
      </x:c>
      <x:c r="F100" t="n">
        <x:f>wimbledons_champions!G112</x:f>
        <x:v>148</x:v>
      </x:c>
      <x:c r="G100" t="str">
        <x:f>wimbledons_champions!H112</x:f>
        <x:v>14-12, 11-9,</x:v>
      </x:c>
      <x:c r="H100" t="str">
        <x:f>wimbledons_champions!S112</x:f>
        <x:v>L.W. King</x:v>
      </x:c>
      <x:c r="I100" t="str">
        <x:f>wimbledons_champions!T112</x:f>
        <x:v>USA</x:v>
      </x:c>
      <x:c r="J100" t="n">
        <x:f>wimbledons_champions!V112</x:f>
        <x:v>2</x:v>
      </x:c>
    </x:row>
    <x:row r="101">
      <x:c r="A101" t="n">
        <x:f>wimbledons_champions!A113</x:f>
        <x:v>1970</x:v>
      </x:c>
      <x:c r="B101" t="str">
        <x:f>wimbledons_champions!B113</x:f>
        <x:v>Men's</x:v>
      </x:c>
      <x:c r="C101" s="9" t="str">
        <x:f>wimbledons_champions!C113</x:f>
        <x:v>J.D. Newcombe</x:v>
      </x:c>
      <x:c r="D101" t="str">
        <x:f>wimbledons_champions!D113</x:f>
        <x:v>AUS</x:v>
      </x:c>
      <x:c r="E101" t="n">
        <x:f>wimbledons_champions!F113</x:f>
        <x:v>2</x:v>
      </x:c>
      <x:c r="F101" t="n">
        <x:f>wimbledons_champions!G113</x:f>
        <x:v>163</x:v>
      </x:c>
      <x:c r="G101" t="str">
        <x:f>wimbledons_champions!H113</x:f>
        <x:v>5-7, 6-3, 6-2, 3-6, 6-1</x:v>
      </x:c>
      <x:c r="H101" t="str">
        <x:f>wimbledons_champions!S113</x:f>
        <x:v>K.R. Rosewall</x:v>
      </x:c>
      <x:c r="I101" t="str">
        <x:f>wimbledons_champions!T113</x:f>
        <x:v>AUS</x:v>
      </x:c>
      <x:c r="J101" t="n">
        <x:f>wimbledons_champions!V113</x:f>
        <x:v>5</x:v>
      </x:c>
    </x:row>
    <x:row r="102">
      <x:c r="A102" t="n">
        <x:f>wimbledons_champions!A114</x:f>
        <x:v>1969</x:v>
      </x:c>
      <x:c r="B102" t="str">
        <x:f>wimbledons_champions!B114</x:f>
        <x:v>Women's</x:v>
      </x:c>
      <x:c r="C102" s="9" t="str">
        <x:f>wimbledons_champions!C114</x:f>
        <x:v>P.F. Jones</x:v>
      </x:c>
      <x:c r="D102" t="str">
        <x:f>wimbledons_champions!D114</x:f>
        <x:v>GBR</x:v>
      </x:c>
      <x:c r="E102" t="n">
        <x:f>wimbledons_champions!F114</x:f>
        <x:v>4</x:v>
      </x:c>
      <x:c r="F102" t="n">
        <x:f>wimbledons_champions!G114</x:f>
        <x:v>71</x:v>
      </x:c>
      <x:c r="G102" t="str">
        <x:f>wimbledons_champions!H114</x:f>
        <x:v>3-6, 6-3, 6-2,</x:v>
      </x:c>
      <x:c r="H102" t="str">
        <x:f>wimbledons_champions!S114</x:f>
        <x:v>L.W. King</x:v>
      </x:c>
      <x:c r="I102" t="str">
        <x:f>wimbledons_champions!T114</x:f>
        <x:v>USA</x:v>
      </x:c>
      <x:c r="J102" t="n">
        <x:f>wimbledons_champions!V114</x:f>
        <x:v>2</x:v>
      </x:c>
    </x:row>
    <x:row r="103">
      <x:c r="A103" t="n">
        <x:f>wimbledons_champions!A115</x:f>
        <x:v>1969</x:v>
      </x:c>
      <x:c r="B103" t="str">
        <x:f>wimbledons_champions!B115</x:f>
        <x:v>Men's</x:v>
      </x:c>
      <x:c r="C103" s="9" t="str">
        <x:f>wimbledons_champions!C115</x:f>
        <x:v>R.G. Laver</x:v>
      </x:c>
      <x:c r="D103" t="str">
        <x:f>wimbledons_champions!D115</x:f>
        <x:v>AUS</x:v>
      </x:c>
      <x:c r="E103" t="n">
        <x:f>wimbledons_champions!F115</x:f>
        <x:v>1</x:v>
      </x:c>
      <x:c r="F103" t="n">
        <x:f>wimbledons_champions!G115</x:f>
        <x:v>136</x:v>
      </x:c>
      <x:c r="G103" t="str">
        <x:f>wimbledons_champions!H115</x:f>
        <x:v>6-4, 5-7, 6-4, 6-4</x:v>
      </x:c>
      <x:c r="H103" t="str">
        <x:f>wimbledons_champions!S115</x:f>
        <x:v>J.D. Newcombe</x:v>
      </x:c>
      <x:c r="I103" t="str">
        <x:f>wimbledons_champions!T115</x:f>
        <x:v>AUS</x:v>
      </x:c>
      <x:c r="J103" t="n">
        <x:f>wimbledons_champions!V115</x:f>
        <x:v>6</x:v>
      </x:c>
    </x:row>
    <x:row r="104">
      <x:c r="A104" t="n">
        <x:f>wimbledons_champions!A116</x:f>
        <x:v>1968</x:v>
      </x:c>
      <x:c r="B104" t="str">
        <x:f>wimbledons_champions!B116</x:f>
        <x:v>Women's</x:v>
      </x:c>
      <x:c r="C104" s="9" t="str">
        <x:f>wimbledons_champions!C116</x:f>
        <x:v>L.W. King</x:v>
      </x:c>
      <x:c r="D104" t="str">
        <x:f>wimbledons_champions!D116</x:f>
        <x:v>USA</x:v>
      </x:c>
      <x:c r="E104" t="n">
        <x:f>wimbledons_champions!F116</x:f>
        <x:v>1</x:v>
      </x:c>
      <x:c r="F104" t="n">
        <x:f>wimbledons_champions!G116</x:f>
        <x:v>69</x:v>
      </x:c>
      <x:c r="G104" t="str">
        <x:f>wimbledons_champions!H116</x:f>
        <x:v>9-7, 7-5,</x:v>
      </x:c>
      <x:c r="H104" t="str">
        <x:f>wimbledons_champions!S116</x:f>
        <x:v>J.A.M. Tegart</x:v>
      </x:c>
      <x:c r="I104" t="str">
        <x:f>wimbledons_champions!T116</x:f>
        <x:v>AUS</x:v>
      </x:c>
      <x:c r="J104" t="n">
        <x:f>wimbledons_champions!V116</x:f>
        <x:v>7</x:v>
      </x:c>
    </x:row>
    <x:row r="105">
      <x:c r="A105" t="n">
        <x:f>wimbledons_champions!A117</x:f>
        <x:v>1968</x:v>
      </x:c>
      <x:c r="B105" t="str">
        <x:f>wimbledons_champions!B117</x:f>
        <x:v>Men's</x:v>
      </x:c>
      <x:c r="C105" s="13" t="str">
        <x:f>wimbledons_champions!C117</x:f>
        <x:v>R.G. Laver</x:v>
      </x:c>
      <x:c r="D105" t="str">
        <x:f>wimbledons_champions!D117</x:f>
        <x:v>AUS</x:v>
      </x:c>
      <x:c r="E105" t="n">
        <x:f>wimbledons_champions!F117</x:f>
        <x:v>1</x:v>
      </x:c>
      <x:c r="F105" t="n">
        <x:f>wimbledons_champions!G117</x:f>
        <x:v>60</x:v>
      </x:c>
      <x:c r="G105" t="str">
        <x:f>wimbledons_champions!H117</x:f>
        <x:v>6-3, 6-4, 6-2</x:v>
      </x:c>
      <x:c r="H105" t="str">
        <x:f>wimbledons_champions!S117</x:f>
        <x:v>A.D. Roche</x:v>
      </x:c>
      <x:c r="I105" t="str">
        <x:f>wimbledons_champions!T117</x:f>
        <x:v>AUS</x:v>
      </x:c>
      <x:c r="J105" t="n">
        <x:f>wimbledons_champions!V117</x:f>
        <x:v>15</x:v>
      </x:c>
    </x:row>
    <x:row r="106">
      <x:c r="A106" t="n">
        <x:f>wimbledons_champions!A118</x:f>
        <x:v>1967</x:v>
      </x:c>
      <x:c r="B106" t="str">
        <x:f>wimbledons_champions!B118</x:f>
        <x:v>Women's</x:v>
      </x:c>
      <x:c r="C106" s="9" t="str">
        <x:f>wimbledons_champions!C118</x:f>
        <x:v>L.W. King</x:v>
      </x:c>
      <x:c r="D106" t="str">
        <x:f>wimbledons_champions!D118</x:f>
        <x:v>USA</x:v>
      </x:c>
      <x:c r="E106" t="n">
        <x:f>wimbledons_champions!F118</x:f>
        <x:v>1</x:v>
      </x:c>
      <x:c r="F106" t="n">
        <x:f>wimbledons_champions!G118</x:f>
        <x:v>60</x:v>
      </x:c>
      <x:c r="G106" t="str">
        <x:f>wimbledons_champions!H118</x:f>
        <x:v>6-3, 6-4,</x:v>
      </x:c>
      <x:c r="H106" t="str">
        <x:f>wimbledons_champions!S118</x:f>
        <x:v>P.F. Jones</x:v>
      </x:c>
      <x:c r="I106" t="str">
        <x:f>wimbledons_champions!T118</x:f>
        <x:v>GBR</x:v>
      </x:c>
      <x:c r="J106" t="n">
        <x:f>wimbledons_champions!V118</x:f>
        <x:v>3</x:v>
      </x:c>
    </x:row>
    <x:row r="107">
      <x:c r="A107" t="n">
        <x:f>wimbledons_champions!A119</x:f>
        <x:v>1967</x:v>
      </x:c>
      <x:c r="B107" t="str">
        <x:f>wimbledons_champions!B119</x:f>
        <x:v>Men's</x:v>
      </x:c>
      <x:c r="C107" s="13" t="str">
        <x:f>wimbledons_champions!C119</x:f>
        <x:v>J.D. Newcombe</x:v>
      </x:c>
      <x:c r="D107" t="str">
        <x:f>wimbledons_champions!D119</x:f>
        <x:v>AUS</x:v>
      </x:c>
      <x:c r="E107" t="n">
        <x:f>wimbledons_champions!F119</x:f>
        <x:v>3</x:v>
      </x:c>
      <x:c r="F107" t="n">
        <x:f>wimbledons_champions!G119</x:f>
        <x:v>71</x:v>
      </x:c>
      <x:c r="G107" t="str">
        <x:f>wimbledons_champions!H119</x:f>
        <x:v>6-3, 6-1, 6-1</x:v>
      </x:c>
      <x:c r="H107" t="str">
        <x:f>wimbledons_champions!S119</x:f>
        <x:v>W.P. Bungert</x:v>
      </x:c>
      <x:c r="I107" t="str">
        <x:f>wimbledons_champions!T119</x:f>
        <x:v>GER</x:v>
      </x:c>
      <x:c r="J107" t="str">
        <x:f>wimbledons_champions!V119</x:f>
        <x:v>U</x:v>
      </x:c>
    </x:row>
    <x:row r="108">
      <x:c r="A108" t="n">
        <x:f>wimbledons_champions!A120</x:f>
        <x:v>1966</x:v>
      </x:c>
      <x:c r="B108" t="str">
        <x:f>wimbledons_champions!B120</x:f>
        <x:v>Women's</x:v>
      </x:c>
      <x:c r="C108" s="9" t="str">
        <x:f>wimbledons_champions!C120</x:f>
        <x:v>L.W. King</x:v>
      </x:c>
      <x:c r="D108" t="str">
        <x:f>wimbledons_champions!D120</x:f>
        <x:v>USA</x:v>
      </x:c>
      <x:c r="E108" t="n">
        <x:f>wimbledons_champions!F120</x:f>
        <x:v>4</x:v>
      </x:c>
      <x:c r="F108" t="n">
        <x:f>wimbledons_champions!G120</x:f>
        <x:v>68</x:v>
      </x:c>
      <x:c r="G108" t="str">
        <x:f>wimbledons_champions!H120</x:f>
        <x:v>6-3, 3-6, 6-1,</x:v>
      </x:c>
      <x:c r="H108" t="str">
        <x:f>wimbledons_champions!S120</x:f>
        <x:v>M.E.A. Bueno</x:v>
      </x:c>
      <x:c r="I108" t="str">
        <x:f>wimbledons_champions!T120</x:f>
        <x:v>BRA</x:v>
      </x:c>
      <x:c r="J108" t="n">
        <x:f>wimbledons_champions!V120</x:f>
        <x:v>2</x:v>
      </x:c>
    </x:row>
    <x:row r="109">
      <x:c r="A109" t="n">
        <x:f>wimbledons_champions!A121</x:f>
        <x:v>1966</x:v>
      </x:c>
      <x:c r="B109" t="str">
        <x:f>wimbledons_champions!B121</x:f>
        <x:v>Men's</x:v>
      </x:c>
      <x:c r="C109" s="13" t="str">
        <x:f>wimbledons_champions!C121</x:f>
        <x:v>M.M. Santana</x:v>
      </x:c>
      <x:c r="D109" t="str">
        <x:f>wimbledons_champions!D121</x:f>
        <x:v>ESP</x:v>
      </x:c>
      <x:c r="E109" t="n">
        <x:f>wimbledons_champions!F121</x:f>
        <x:v>4</x:v>
      </x:c>
      <x:c r="F109" t="n">
        <x:f>wimbledons_champions!G121</x:f>
        <x:v>104</x:v>
      </x:c>
      <x:c r="G109" t="str">
        <x:f>wimbledons_champions!H121</x:f>
        <x:v>6-4, 11-9, 6-4</x:v>
      </x:c>
      <x:c r="H109" t="str">
        <x:f>wimbledons_champions!S121</x:f>
        <x:v>R.D. Ralston</x:v>
      </x:c>
      <x:c r="I109" t="str">
        <x:f>wimbledons_champions!T121</x:f>
        <x:v>USA</x:v>
      </x:c>
      <x:c r="J109" t="n">
        <x:f>wimbledons_champions!V121</x:f>
        <x:v>6</x:v>
      </x:c>
    </x:row>
    <x:row r="110">
      <x:c r="A110" t="n">
        <x:f>wimbledons_champions!A122</x:f>
        <x:v>1965</x:v>
      </x:c>
      <x:c r="B110" t="str">
        <x:f>wimbledons_champions!B122</x:f>
        <x:v>Women's</x:v>
      </x:c>
      <x:c r="C110" s="9" t="str">
        <x:f>wimbledons_champions!C122</x:f>
        <x:v>B.M. Court</x:v>
      </x:c>
      <x:c r="D110" t="str">
        <x:f>wimbledons_champions!D122</x:f>
        <x:v>AUS</x:v>
      </x:c>
      <x:c r="E110" t="n">
        <x:f>wimbledons_champions!F122</x:f>
        <x:v>2</x:v>
      </x:c>
      <x:c r="F110" t="n">
        <x:f>wimbledons_champions!G122</x:f>
        <x:v>56</x:v>
      </x:c>
      <x:c r="G110" t="str">
        <x:f>wimbledons_champions!H122</x:f>
        <x:v>6-4, 7-5,</x:v>
      </x:c>
      <x:c r="H110" t="str">
        <x:f>wimbledons_champions!S122</x:f>
        <x:v>M.E.A. Bueno</x:v>
      </x:c>
      <x:c r="I110" t="str">
        <x:f>wimbledons_champions!T122</x:f>
        <x:v>BRA</x:v>
      </x:c>
      <x:c r="J110" t="n">
        <x:f>wimbledons_champions!V122</x:f>
        <x:v>1</x:v>
      </x:c>
    </x:row>
    <x:row r="111">
      <x:c r="A111" t="n">
        <x:f>wimbledons_champions!A123</x:f>
        <x:v>1965</x:v>
      </x:c>
      <x:c r="B111" t="str">
        <x:f>wimbledons_champions!B123</x:f>
        <x:v>Men's</x:v>
      </x:c>
      <x:c r="C111" s="9" t="str">
        <x:f>wimbledons_champions!C123</x:f>
        <x:v>R.S. Emerson</x:v>
      </x:c>
      <x:c r="D111" t="str">
        <x:f>wimbledons_champions!D123</x:f>
        <x:v>AUS</x:v>
      </x:c>
      <x:c r="E111" t="n">
        <x:f>wimbledons_champions!F123</x:f>
        <x:v>1</x:v>
      </x:c>
      <x:c r="F111" t="n">
        <x:f>wimbledons_champions!G123</x:f>
        <x:v>67</x:v>
      </x:c>
      <x:c r="G111" t="str">
        <x:f>wimbledons_champions!H123</x:f>
        <x:v>6-2, 6-4, 6-4</x:v>
      </x:c>
      <x:c r="H111" t="str">
        <x:f>wimbledons_champions!S123</x:f>
        <x:v>F.S. Stolle</x:v>
      </x:c>
      <x:c r="I111" t="str">
        <x:f>wimbledons_champions!T123</x:f>
        <x:v>AUS</x:v>
      </x:c>
      <x:c r="J111" t="n">
        <x:f>wimbledons_champions!V123</x:f>
        <x:v>2</x:v>
      </x:c>
    </x:row>
    <x:row r="112">
      <x:c r="A112" t="n">
        <x:f>wimbledons_champions!A124</x:f>
        <x:v>1964</x:v>
      </x:c>
      <x:c r="B112" t="str">
        <x:f>wimbledons_champions!B124</x:f>
        <x:v>Women's</x:v>
      </x:c>
      <x:c r="C112" s="9" t="str">
        <x:f>wimbledons_champions!C124</x:f>
        <x:v>M.E.A. Bueno</x:v>
      </x:c>
      <x:c r="D112" t="str">
        <x:f>wimbledons_champions!D124</x:f>
        <x:v>BRA</x:v>
      </x:c>
      <x:c r="E112" t="n">
        <x:f>wimbledons_champions!F124</x:f>
        <x:v>2</x:v>
      </x:c>
      <x:c r="F112" t="n">
        <x:f>wimbledons_champions!G124</x:f>
        <x:v>90</x:v>
      </x:c>
      <x:c r="G112" t="str">
        <x:f>wimbledons_champions!H124</x:f>
        <x:v>6-4, 7-9, 6-3,</x:v>
      </x:c>
      <x:c r="H112" t="str">
        <x:f>wimbledons_champions!S124</x:f>
        <x:v>B.M. Court</x:v>
      </x:c>
      <x:c r="I112" t="str">
        <x:f>wimbledons_champions!T124</x:f>
        <x:v>AUS</x:v>
      </x:c>
      <x:c r="J112" t="n">
        <x:f>wimbledons_champions!V124</x:f>
        <x:v>1</x:v>
      </x:c>
    </x:row>
    <x:row r="113">
      <x:c r="A113" t="n">
        <x:f>wimbledons_champions!A125</x:f>
        <x:v>1964</x:v>
      </x:c>
      <x:c r="B113" t="str">
        <x:f>wimbledons_champions!B125</x:f>
        <x:v>Men's</x:v>
      </x:c>
      <x:c r="C113" s="9" t="str">
        <x:f>wimbledons_champions!C125</x:f>
        <x:v>R.S. Emerson</x:v>
      </x:c>
      <x:c r="D113" t="str">
        <x:f>wimbledons_champions!D125</x:f>
        <x:v>AUS</x:v>
      </x:c>
      <x:c r="E113" t="n">
        <x:f>wimbledons_champions!F125</x:f>
        <x:v>1</x:v>
      </x:c>
      <x:c r="F113" t="n">
        <x:f>wimbledons_champions!G125</x:f>
        <x:v>127</x:v>
      </x:c>
      <x:c r="G113" t="str">
        <x:f>wimbledons_champions!H125</x:f>
        <x:v>6-4, 12-10, 4-6, 6-3</x:v>
      </x:c>
      <x:c r="H113" t="str">
        <x:f>wimbledons_champions!S125</x:f>
        <x:v>F.S. Stolle</x:v>
      </x:c>
      <x:c r="I113" t="str">
        <x:f>wimbledons_champions!T125</x:f>
        <x:v>AUS</x:v>
      </x:c>
      <x:c r="J113" t="n">
        <x:f>wimbledons_champions!V125</x:f>
        <x:v>6</x:v>
      </x:c>
    </x:row>
    <x:row r="114">
      <x:c r="A114" t="n">
        <x:f>wimbledons_champions!A126</x:f>
        <x:v>1963</x:v>
      </x:c>
      <x:c r="B114" t="str">
        <x:f>wimbledons_champions!B126</x:f>
        <x:v>Women's</x:v>
      </x:c>
      <x:c r="C114" s="9" t="str">
        <x:f>wimbledons_champions!C126</x:f>
        <x:v>B.M. Court</x:v>
      </x:c>
      <x:c r="D114" t="str">
        <x:f>wimbledons_champions!D126</x:f>
        <x:v>AUS</x:v>
      </x:c>
      <x:c r="E114" t="n">
        <x:f>wimbledons_champions!F126</x:f>
        <x:v>1</x:v>
      </x:c>
      <x:c r="F114" t="n">
        <x:f>wimbledons_champions!G126</x:f>
        <x:v>51</x:v>
      </x:c>
      <x:c r="G114" t="str">
        <x:f>wimbledons_champions!H126</x:f>
        <x:v>6-3, 6-4,</x:v>
      </x:c>
      <x:c r="H114" t="str">
        <x:f>wimbledons_champions!S126</x:f>
        <x:v>B.J. Moffitt</x:v>
      </x:c>
      <x:c r="I114" t="str">
        <x:f>wimbledons_champions!T126</x:f>
        <x:v>USA</x:v>
      </x:c>
      <x:c r="J114" t="str">
        <x:f>wimbledons_champions!V126</x:f>
        <x:v>U</x:v>
      </x:c>
    </x:row>
    <x:row r="115">
      <x:c r="A115" t="n">
        <x:f>wimbledons_champions!A127</x:f>
        <x:v>1963</x:v>
      </x:c>
      <x:c r="B115" t="str">
        <x:f>wimbledons_champions!B127</x:f>
        <x:v>Men's</x:v>
      </x:c>
      <x:c r="C115" s="9" t="str">
        <x:f>wimbledons_champions!C127</x:f>
        <x:v>C.R. McKinley</x:v>
      </x:c>
      <x:c r="D115" t="str">
        <x:f>wimbledons_champions!D127</x:f>
        <x:v>USA</x:v>
      </x:c>
      <x:c r="E115" t="n">
        <x:f>wimbledons_champions!F127</x:f>
        <x:v>4</x:v>
      </x:c>
      <x:c r="F115" t="n">
        <x:f>wimbledons_champions!G127</x:f>
        <x:v>78</x:v>
      </x:c>
      <x:c r="G115" t="str">
        <x:f>wimbledons_champions!H127</x:f>
        <x:v>9-7, 6-1, 6-4</x:v>
      </x:c>
      <x:c r="H115" t="str">
        <x:f>wimbledons_champions!S127</x:f>
        <x:v>F.S. Stolle</x:v>
      </x:c>
      <x:c r="I115" t="str">
        <x:f>wimbledons_champions!T127</x:f>
        <x:v>AUS</x:v>
      </x:c>
      <x:c r="J115" s="2" t="str">
        <x:f>wimbledons_champions!V127</x:f>
        <x:v>U</x:v>
      </x:c>
    </x:row>
    <x:row r="116">
      <x:c r="A116" t="n">
        <x:f>wimbledons_champions!A128</x:f>
        <x:v>1962</x:v>
      </x:c>
      <x:c r="B116" t="str">
        <x:f>wimbledons_champions!B128</x:f>
        <x:v>Women's</x:v>
      </x:c>
      <x:c r="C116" s="9" t="str">
        <x:f>wimbledons_champions!C128</x:f>
        <x:v>J.R. Susman</x:v>
      </x:c>
      <x:c r="D116" t="str">
        <x:f>wimbledons_champions!D128</x:f>
        <x:v>USA</x:v>
      </x:c>
      <x:c r="E116" t="n">
        <x:f>wimbledons_champions!F128</x:f>
        <x:v>8</x:v>
      </x:c>
      <x:c r="F116" t="n">
        <x:f>wimbledons_champions!G128</x:f>
        <x:v>57</x:v>
      </x:c>
      <x:c r="G116" t="str">
        <x:f>wimbledons_champions!H128</x:f>
        <x:v>6-4, 6-4,</x:v>
      </x:c>
      <x:c r="H116" t="str">
        <x:f>wimbledons_champions!S128</x:f>
        <x:v>C. Sukova</x:v>
      </x:c>
      <x:c r="I116" t="str">
        <x:f>wimbledons_champions!T128</x:f>
        <x:v>CZE</x:v>
      </x:c>
      <x:c r="J116" t="str">
        <x:f>wimbledons_champions!V128</x:f>
        <x:v>U</x:v>
      </x:c>
    </x:row>
    <x:row r="117">
      <x:c r="A117" t="n">
        <x:f>wimbledons_champions!A129</x:f>
        <x:v>1962</x:v>
      </x:c>
      <x:c r="B117" t="str">
        <x:f>wimbledons_champions!B129</x:f>
        <x:v>Men's</x:v>
      </x:c>
      <x:c r="C117" s="9" t="str">
        <x:f>wimbledons_champions!C129</x:f>
        <x:v>R.G. Laver</x:v>
      </x:c>
      <x:c r="D117" t="str">
        <x:f>wimbledons_champions!D129</x:f>
        <x:v>AUS</x:v>
      </x:c>
      <x:c r="E117" t="n">
        <x:f>wimbledons_champions!F129</x:f>
        <x:v>1</x:v>
      </x:c>
      <x:c r="F117" t="n">
        <x:f>wimbledons_champions!G129</x:f>
        <x:v>51</x:v>
      </x:c>
      <x:c r="G117" t="str">
        <x:f>wimbledons_champions!H129</x:f>
        <x:v>6-2, 6-2, 6-1</x:v>
      </x:c>
      <x:c r="H117" t="str">
        <x:f>wimbledons_champions!S129</x:f>
        <x:v>M.F. Mulligan</x:v>
      </x:c>
      <x:c r="I117" t="str">
        <x:f>wimbledons_champions!T129</x:f>
        <x:v>AUS</x:v>
      </x:c>
      <x:c r="J117" s="2" t="str">
        <x:f>wimbledons_champions!V129</x:f>
        <x:v>U</x:v>
      </x:c>
    </x:row>
    <x:row r="118">
      <x:c r="A118" t="n">
        <x:f>wimbledons_champions!A130</x:f>
        <x:v>1961</x:v>
      </x:c>
      <x:c r="B118" t="str">
        <x:f>wimbledons_champions!B130</x:f>
        <x:v>Women's</x:v>
      </x:c>
      <x:c r="C118" s="9" t="str">
        <x:f>wimbledons_champions!C130</x:f>
        <x:v>F.A.M. Mortimer</x:v>
      </x:c>
      <x:c r="D118" t="str">
        <x:f>wimbledons_champions!D130</x:f>
        <x:v>GBR</x:v>
      </x:c>
      <x:c r="E118" t="n">
        <x:f>wimbledons_champions!F130</x:f>
        <x:v>7</x:v>
      </x:c>
      <x:c r="F118" t="n">
        <x:f>wimbledons_champions!G130</x:f>
        <x:v>96</x:v>
      </x:c>
      <x:c r="G118" t="str">
        <x:f>wimbledons_champions!H130</x:f>
        <x:v>4-6, 6-4, 7-5,</x:v>
      </x:c>
      <x:c r="H118" t="str">
        <x:f>wimbledons_champions!S130</x:f>
        <x:v>C.C. Truman</x:v>
      </x:c>
      <x:c r="I118" t="str">
        <x:f>wimbledons_champions!T130</x:f>
        <x:v>GBR</x:v>
      </x:c>
      <x:c r="J118" t="n">
        <x:f>wimbledons_champions!V130</x:f>
        <x:v>6</x:v>
      </x:c>
    </x:row>
    <x:row r="119">
      <x:c r="A119" t="n">
        <x:f>wimbledons_champions!A131</x:f>
        <x:v>1961</x:v>
      </x:c>
      <x:c r="B119" t="str">
        <x:f>wimbledons_champions!B131</x:f>
        <x:v>Men's</x:v>
      </x:c>
      <x:c r="C119" s="9" t="str">
        <x:f>wimbledons_champions!C131</x:f>
        <x:v>R.G. Laver</x:v>
      </x:c>
      <x:c r="D119" t="str">
        <x:f>wimbledons_champions!D131</x:f>
        <x:v>AUS</x:v>
      </x:c>
      <x:c r="E119" t="n">
        <x:f>wimbledons_champions!F131</x:f>
        <x:v>2</x:v>
      </x:c>
      <x:c r="F119" t="n">
        <x:f>wimbledons_champions!G131</x:f>
        <x:v>55</x:v>
      </x:c>
      <x:c r="G119" t="str">
        <x:f>wimbledons_champions!H131</x:f>
        <x:v>6-3, 6-1, 6-4</x:v>
      </x:c>
      <x:c r="H119" t="str">
        <x:f>wimbledons_champions!S131</x:f>
        <x:v>C.R. McKinley</x:v>
      </x:c>
      <x:c r="I119" t="str">
        <x:f>wimbledons_champions!T131</x:f>
        <x:v>USA</x:v>
      </x:c>
      <x:c r="J119" t="n">
        <x:f>wimbledons_champions!V131</x:f>
        <x:v>8</x:v>
      </x:c>
    </x:row>
    <x:row r="120">
      <x:c r="A120" t="n">
        <x:f>wimbledons_champions!A132</x:f>
        <x:v>1960</x:v>
      </x:c>
      <x:c r="B120" t="str">
        <x:f>wimbledons_champions!B132</x:f>
        <x:v>Women's</x:v>
      </x:c>
      <x:c r="C120" s="9" t="str">
        <x:f>wimbledons_champions!C132</x:f>
        <x:v>M.E.A. Bueno</x:v>
      </x:c>
      <x:c r="D120" t="str">
        <x:f>wimbledons_champions!D132</x:f>
        <x:v>BRA</x:v>
      </x:c>
      <x:c r="E120" t="n">
        <x:f>wimbledons_champions!F132</x:f>
        <x:v>1</x:v>
      </x:c>
      <x:c r="F120" t="n">
        <x:f>wimbledons_champions!G132</x:f>
        <x:v>59</x:v>
      </x:c>
      <x:c r="G120" t="str">
        <x:f>wimbledons_champions!H132</x:f>
        <x:v>8-6, 6-0</x:v>
      </x:c>
      <x:c r="H120" t="str">
        <x:f>wimbledons_champions!S132</x:f>
        <x:v>S. Reynolds</x:v>
      </x:c>
      <x:c r="I120" t="str">
        <x:f>wimbledons_champions!T132</x:f>
        <x:v>RSA</x:v>
      </x:c>
      <x:c r="J120" t="n">
        <x:f>wimbledons_champions!V132</x:f>
        <x:v>8</x:v>
      </x:c>
    </x:row>
    <x:row r="121">
      <x:c r="A121" t="n">
        <x:f>wimbledons_champions!A133</x:f>
        <x:v>1960</x:v>
      </x:c>
      <x:c r="B121" t="str">
        <x:f>wimbledons_champions!B133</x:f>
        <x:v>Men's</x:v>
      </x:c>
      <x:c r="C121" s="9" t="str">
        <x:f>wimbledons_champions!C133</x:f>
        <x:v>N.A. Fraser</x:v>
      </x:c>
      <x:c r="D121" t="str">
        <x:f>wimbledons_champions!D133</x:f>
        <x:v>AUS</x:v>
      </x:c>
      <x:c r="E121" t="n">
        <x:f>wimbledons_champions!F133</x:f>
        <x:v>1</x:v>
      </x:c>
      <x:c r="F121" t="n">
        <x:f>wimbledons_champions!G133</x:f>
        <x:v>130</x:v>
      </x:c>
      <x:c r="G121" t="str">
        <x:f>wimbledons_champions!H133</x:f>
        <x:v>6-4, 3-6, 9-7, 7-5</x:v>
      </x:c>
      <x:c r="H121" t="str">
        <x:f>wimbledons_champions!S133</x:f>
        <x:v>R.G. Laver</x:v>
      </x:c>
      <x:c r="I121" t="str">
        <x:f>wimbledons_champions!T133</x:f>
        <x:v>AUS</x:v>
      </x:c>
      <x:c r="J121" t="n">
        <x:f>wimbledons_champions!V133</x:f>
        <x:v>3</x:v>
      </x:c>
    </x:row>
    <x:row r="122">
      <x:c r="A122" t="n">
        <x:f>wimbledons_champions!A134</x:f>
        <x:v>1959</x:v>
      </x:c>
      <x:c r="B122" t="str">
        <x:f>wimbledons_champions!B134</x:f>
        <x:v>Women's</x:v>
      </x:c>
      <x:c r="C122" s="9" t="str">
        <x:f>wimbledons_champions!C134</x:f>
        <x:v>M.E.A. Bueno</x:v>
      </x:c>
      <x:c r="D122" t="str">
        <x:f>wimbledons_champions!D134</x:f>
        <x:v>BRA</x:v>
      </x:c>
      <x:c r="E122" t="n">
        <x:f>wimbledons_champions!F134</x:f>
        <x:v>6</x:v>
      </x:c>
      <x:c r="F122" t="n">
        <x:f>wimbledons_champions!G134</x:f>
        <x:v>43</x:v>
      </x:c>
      <x:c r="G122" t="str">
        <x:f>wimbledons_champions!H134</x:f>
        <x:v>6-4, 6-3,</x:v>
      </x:c>
      <x:c r="H122" t="str">
        <x:f>wimbledons_champions!S134</x:f>
        <x:v>D.R. Hard</x:v>
      </x:c>
      <x:c r="I122" t="str">
        <x:f>wimbledons_champions!T134</x:f>
        <x:v>USA</x:v>
      </x:c>
      <x:c r="J122" t="n">
        <x:f>wimbledons_champions!V134</x:f>
        <x:v>4</x:v>
      </x:c>
    </x:row>
    <x:row r="123">
      <x:c r="A123" t="n">
        <x:f>wimbledons_champions!A135</x:f>
        <x:v>1959</x:v>
      </x:c>
      <x:c r="B123" t="str">
        <x:f>wimbledons_champions!B135</x:f>
        <x:v>Men's</x:v>
      </x:c>
      <x:c r="C123" s="9" t="str">
        <x:f>wimbledons_champions!C135</x:f>
        <x:v>A.R. Olmedo</x:v>
      </x:c>
      <x:c r="D123" t="str">
        <x:f>wimbledons_champions!D135</x:f>
        <x:v>USA</x:v>
      </x:c>
      <x:c r="E123" t="n">
        <x:f>wimbledons_champions!F135</x:f>
        <x:v>1</x:v>
      </x:c>
      <x:c r="F123" t="n">
        <x:f>wimbledons_champions!G135</x:f>
        <x:v>71</x:v>
      </x:c>
      <x:c r="G123" t="str">
        <x:f>wimbledons_champions!H135</x:f>
        <x:v>6-4, 6-3, 6-4</x:v>
      </x:c>
      <x:c r="H123" t="str">
        <x:f>wimbledons_champions!S135</x:f>
        <x:v>R.G. Laver</x:v>
      </x:c>
      <x:c r="I123" t="str">
        <x:f>wimbledons_champions!T135</x:f>
        <x:v>AUS</x:v>
      </x:c>
      <x:c r="J123" t="str">
        <x:f>wimbledons_champions!V135</x:f>
        <x:v>U</x:v>
      </x:c>
    </x:row>
    <x:row r="124">
      <x:c r="A124" t="n">
        <x:f>wimbledons_champions!A136</x:f>
        <x:v>1958</x:v>
      </x:c>
      <x:c r="B124" t="str">
        <x:f>wimbledons_champions!B136</x:f>
        <x:v>Women's</x:v>
      </x:c>
      <x:c r="C124" s="9" t="str">
        <x:f>wimbledons_champions!C136</x:f>
        <x:v>A. Gibson</x:v>
      </x:c>
      <x:c r="D124" t="str">
        <x:f>wimbledons_champions!D136</x:f>
        <x:v>USA</x:v>
      </x:c>
      <x:c r="E124" t="n">
        <x:f>wimbledons_champions!F136</x:f>
        <x:v>1</x:v>
      </x:c>
      <x:c r="F124" t="n">
        <x:f>wimbledons_champions!G136</x:f>
        <x:v>62</x:v>
      </x:c>
      <x:c r="G124" t="str">
        <x:f>wimbledons_champions!H136</x:f>
        <x:v>8-6, 6-2,</x:v>
      </x:c>
      <x:c r="H124" t="str">
        <x:f>wimbledons_champions!S136</x:f>
        <x:v>F.A.M. Mortimer</x:v>
      </x:c>
      <x:c r="I124" t="str">
        <x:f>wimbledons_champions!T136</x:f>
        <x:v>GBR</x:v>
      </x:c>
      <x:c r="J124" t="str">
        <x:f>wimbledons_champions!V136</x:f>
        <x:v>U</x:v>
      </x:c>
    </x:row>
    <x:row r="125">
      <x:c r="A125" t="n">
        <x:f>wimbledons_champions!A137</x:f>
        <x:v>1958</x:v>
      </x:c>
      <x:c r="B125" t="str">
        <x:f>wimbledons_champions!B137</x:f>
        <x:v>Men's</x:v>
      </x:c>
      <x:c r="C125" s="9" t="str">
        <x:f>wimbledons_champions!C137</x:f>
        <x:v>A.J. Cooper</x:v>
      </x:c>
      <x:c r="D125" t="str">
        <x:f>wimbledons_champions!D137</x:f>
        <x:v>AUS</x:v>
      </x:c>
      <x:c r="E125" t="n">
        <x:f>wimbledons_champions!F137</x:f>
        <x:v>1</x:v>
      </x:c>
      <x:c r="F125" t="n">
        <x:f>wimbledons_champions!G137</x:f>
        <x:v>130</x:v>
      </x:c>
      <x:c r="G125" t="str">
        <x:f>wimbledons_champions!H137</x:f>
        <x:v>3-6, 6-3, 6-4, 13-11</x:v>
      </x:c>
      <x:c r="H125" t="str">
        <x:f>wimbledons_champions!S137</x:f>
        <x:v>N.A. Fraser</x:v>
      </x:c>
      <x:c r="I125" t="str">
        <x:f>wimbledons_champions!T137</x:f>
        <x:v>AUS</x:v>
      </x:c>
      <x:c r="J125" s="2" t="n">
        <x:f>wimbledons_champions!V137</x:f>
        <x:v>4</x:v>
      </x:c>
    </x:row>
    <x:row r="126">
      <x:c r="A126" t="n">
        <x:f>wimbledons_champions!A138</x:f>
        <x:v>1957</x:v>
      </x:c>
      <x:c r="B126" t="str">
        <x:f>wimbledons_champions!B138</x:f>
        <x:v>Women's</x:v>
      </x:c>
      <x:c r="C126" s="9" t="str">
        <x:f>wimbledons_champions!C138</x:f>
        <x:v>A. Gibson</x:v>
      </x:c>
      <x:c r="D126" t="str">
        <x:f>wimbledons_champions!D138</x:f>
        <x:v>USA</x:v>
      </x:c>
      <x:c r="E126" t="n">
        <x:f>wimbledons_champions!F138</x:f>
        <x:v>1</x:v>
      </x:c>
      <x:c r="F126" t="n">
        <x:f>wimbledons_champions!G138</x:f>
        <x:v>50</x:v>
      </x:c>
      <x:c r="G126" t="str">
        <x:f>wimbledons_champions!H138</x:f>
        <x:v>6-3, 6-2,</x:v>
      </x:c>
      <x:c r="H126" t="str">
        <x:f>wimbledons_champions!S138</x:f>
        <x:v>D.R. Hard</x:v>
      </x:c>
      <x:c r="I126" t="str">
        <x:f>wimbledons_champions!T138</x:f>
        <x:v>USA</x:v>
      </x:c>
      <x:c r="J126" t="n">
        <x:f>wimbledons_champions!V138</x:f>
        <x:v>5</x:v>
      </x:c>
    </x:row>
    <x:row r="127">
      <x:c r="A127" t="n">
        <x:f>wimbledons_champions!A139</x:f>
        <x:v>1957</x:v>
      </x:c>
      <x:c r="B127" t="str">
        <x:f>wimbledons_champions!B139</x:f>
        <x:v>Men's</x:v>
      </x:c>
      <x:c r="C127" s="9" t="str">
        <x:f>wimbledons_champions!C139</x:f>
        <x:v>L.A. Hoad</x:v>
      </x:c>
      <x:c r="D127" t="str">
        <x:f>wimbledons_champions!D139</x:f>
        <x:v>AUS</x:v>
      </x:c>
      <x:c r="E127" t="n">
        <x:f>wimbledons_champions!F139</x:f>
        <x:v>1</x:v>
      </x:c>
      <x:c r="F127" t="n">
        <x:f>wimbledons_champions!G139</x:f>
        <x:v>57</x:v>
      </x:c>
      <x:c r="G127" t="str">
        <x:f>wimbledons_champions!H139</x:f>
        <x:v>6-2, 6-1, 6-2</x:v>
      </x:c>
      <x:c r="H127" t="str">
        <x:f>wimbledons_champions!S139</x:f>
        <x:v>A.J. Cooper</x:v>
      </x:c>
      <x:c r="I127" t="str">
        <x:f>wimbledons_champions!T139</x:f>
        <x:v>AUS</x:v>
      </x:c>
      <x:c r="J127" t="n">
        <x:f>wimbledons_champions!V139</x:f>
        <x:v>2</x:v>
      </x:c>
    </x:row>
    <x:row r="128">
      <x:c r="A128" t="n">
        <x:f>wimbledons_champions!A140</x:f>
        <x:v>1956</x:v>
      </x:c>
      <x:c r="B128" t="str">
        <x:f>wimbledons_champions!B140</x:f>
        <x:v>Women's</x:v>
      </x:c>
      <x:c r="C128" s="9" t="str">
        <x:f>wimbledons_champions!C140</x:f>
        <x:v>S.J. Fry</x:v>
      </x:c>
      <x:c r="D128" t="str">
        <x:f>wimbledons_champions!D140</x:f>
        <x:v>USA</x:v>
      </x:c>
      <x:c r="E128" t="n">
        <x:f>wimbledons_champions!F140</x:f>
        <x:v>5</x:v>
      </x:c>
      <x:c r="F128" t="n">
        <x:f>wimbledons_champions!G140</x:f>
        <x:v>50</x:v>
      </x:c>
      <x:c r="G128" t="str">
        <x:f>wimbledons_champions!H140</x:f>
        <x:v>6-3, 6-1,</x:v>
      </x:c>
      <x:c r="H128" t="str">
        <x:f>wimbledons_champions!S140</x:f>
        <x:v>A. Buxton</x:v>
      </x:c>
      <x:c r="I128" t="str">
        <x:f>wimbledons_champions!T140</x:f>
        <x:v>GBR</x:v>
      </x:c>
      <x:c r="J128" t="n">
        <x:f>wimbledons_champions!V140</x:f>
        <x:v>6</x:v>
      </x:c>
    </x:row>
    <x:row r="129">
      <x:c r="A129" t="n">
        <x:f>wimbledons_champions!A141</x:f>
        <x:v>1956</x:v>
      </x:c>
      <x:c r="B129" t="str">
        <x:f>wimbledons_champions!B141</x:f>
        <x:v>Men's</x:v>
      </x:c>
      <x:c r="C129" s="9" t="str">
        <x:f>wimbledons_champions!C141</x:f>
        <x:v>L.A. Hoad</x:v>
      </x:c>
      <x:c r="D129" t="str">
        <x:f>wimbledons_champions!D141</x:f>
        <x:v>AUS</x:v>
      </x:c>
      <x:c r="E129" t="n">
        <x:f>wimbledons_champions!F141</x:f>
        <x:v>1</x:v>
      </x:c>
      <x:c r="F129" t="n">
        <x:f>wimbledons_champions!G141</x:f>
        <x:v>117</x:v>
      </x:c>
      <x:c r="G129" t="str">
        <x:f>wimbledons_champions!H141</x:f>
        <x:v>6-2, 4-6, 7-5, 6-4</x:v>
      </x:c>
      <x:c r="H129" t="str">
        <x:f>wimbledons_champions!S141</x:f>
        <x:v>K.R. Rosewall</x:v>
      </x:c>
      <x:c r="I129" t="str">
        <x:f>wimbledons_champions!T141</x:f>
        <x:v>AUS</x:v>
      </x:c>
      <x:c r="J129" t="n">
        <x:f>wimbledons_champions!V141</x:f>
        <x:v>2</x:v>
      </x:c>
    </x:row>
    <x:row r="130">
      <x:c r="A130" t="n">
        <x:f>wimbledons_champions!A142</x:f>
        <x:v>1955</x:v>
      </x:c>
      <x:c r="B130" t="str">
        <x:f>wimbledons_champions!B142</x:f>
        <x:v>Women's</x:v>
      </x:c>
      <x:c r="C130" s="9" t="str">
        <x:f>wimbledons_champions!C142</x:f>
        <x:v>A.L. Brough</x:v>
      </x:c>
      <x:c r="D130" t="str">
        <x:f>wimbledons_champions!D142</x:f>
        <x:v>USA</x:v>
      </x:c>
      <x:c r="E130" t="n">
        <x:f>wimbledons_champions!F142</x:f>
        <x:v>2</x:v>
      </x:c>
      <x:c r="F130" t="n">
        <x:f>wimbledons_champions!G142</x:f>
        <x:v>90</x:v>
      </x:c>
      <x:c r="G130" t="str">
        <x:f>wimbledons_champions!H142</x:f>
        <x:v>7-5, 8-6,</x:v>
      </x:c>
      <x:c r="H130" t="str">
        <x:f>wimbledons_champions!S142</x:f>
        <x:v>J.G. Fleitz</x:v>
      </x:c>
      <x:c r="I130" t="str">
        <x:f>wimbledons_champions!T142</x:f>
        <x:v>USA</x:v>
      </x:c>
      <x:c r="J130" t="n">
        <x:f>wimbledons_champions!V142</x:f>
        <x:v>3</x:v>
      </x:c>
    </x:row>
    <x:row r="131">
      <x:c r="A131" t="n">
        <x:f>wimbledons_champions!A143</x:f>
        <x:v>1955</x:v>
      </x:c>
      <x:c r="B131" t="str">
        <x:f>wimbledons_champions!B143</x:f>
        <x:v>Men's</x:v>
      </x:c>
      <x:c r="C131" s="9" t="str">
        <x:f>wimbledons_champions!C143</x:f>
        <x:v>M.A. Trabert</x:v>
      </x:c>
      <x:c r="D131" t="str">
        <x:f>wimbledons_champions!D143</x:f>
        <x:v>USA</x:v>
      </x:c>
      <x:c r="E131" t="n">
        <x:f>wimbledons_champions!F143</x:f>
        <x:v>1</x:v>
      </x:c>
      <x:c r="F131" t="n">
        <x:f>wimbledons_champions!G143</x:f>
        <x:v>73</x:v>
      </x:c>
      <x:c r="G131" t="str">
        <x:f>wimbledons_champions!H143</x:f>
        <x:v>6-3, 7-5, 6-1</x:v>
      </x:c>
      <x:c r="H131" t="str">
        <x:f>wimbledons_champions!S143</x:f>
        <x:v>K. Nielsen</x:v>
      </x:c>
      <x:c r="I131" t="str">
        <x:f>wimbledons_champions!T143</x:f>
        <x:v>DEN</x:v>
      </x:c>
      <x:c r="J131" t="str">
        <x:f>wimbledons_champions!V143</x:f>
        <x:v>U</x:v>
      </x:c>
    </x:row>
    <x:row r="132">
      <x:c r="A132" t="n">
        <x:f>wimbledons_champions!A144</x:f>
        <x:v>1954</x:v>
      </x:c>
      <x:c r="B132" t="str">
        <x:f>wimbledons_champions!B144</x:f>
        <x:v>Women's</x:v>
      </x:c>
      <x:c r="C132" s="9" t="str">
        <x:f>wimbledons_champions!C144</x:f>
        <x:v>M.C. Connolly</x:v>
      </x:c>
      <x:c r="D132" t="str">
        <x:f>wimbledons_champions!D144</x:f>
        <x:v>USA</x:v>
      </x:c>
      <x:c r="E132" t="n">
        <x:f>wimbledons_champions!F144</x:f>
        <x:v>1</x:v>
      </x:c>
      <x:c r="F132" t="n">
        <x:f>wimbledons_champions!G144</x:f>
        <x:v>50</x:v>
      </x:c>
      <x:c r="G132" t="str">
        <x:f>wimbledons_champions!H144</x:f>
        <x:v>6-2, 7-5,</x:v>
      </x:c>
      <x:c r="H132" t="str">
        <x:f>wimbledons_champions!S144</x:f>
        <x:v>A.L. Brough</x:v>
      </x:c>
      <x:c r="I132" t="str">
        <x:f>wimbledons_champions!T144</x:f>
        <x:v>USA</x:v>
      </x:c>
      <x:c r="J132" t="n">
        <x:f>wimbledons_champions!V144</x:f>
        <x:v>4</x:v>
      </x:c>
    </x:row>
    <x:row r="133">
      <x:c r="A133" t="n">
        <x:f>wimbledons_champions!A145</x:f>
        <x:v>1954</x:v>
      </x:c>
      <x:c r="B133" t="str">
        <x:f>wimbledons_champions!B145</x:f>
        <x:v>Men's</x:v>
      </x:c>
      <x:c r="C133" s="9" t="str">
        <x:f>wimbledons_champions!C145</x:f>
        <x:v>J. Drobny</x:v>
      </x:c>
      <x:c r="D133" t="str">
        <x:f>wimbledons_champions!D145</x:f>
        <x:v>CZE</x:v>
      </x:c>
      <x:c r="E133" t="n">
        <x:f>wimbledons_champions!F145</x:f>
        <x:v>11</x:v>
      </x:c>
      <x:c r="F133" t="n">
        <x:f>wimbledons_champions!G145</x:f>
        <x:v>157</x:v>
      </x:c>
      <x:c r="G133" t="str">
        <x:f>wimbledons_champions!H145</x:f>
        <x:v>13-11, 4-6, 6-2, 9-7</x:v>
      </x:c>
      <x:c r="H133" t="str">
        <x:f>wimbledons_champions!S145</x:f>
        <x:v>K.R. Rosewall</x:v>
      </x:c>
      <x:c r="I133" t="str">
        <x:f>wimbledons_champions!T145</x:f>
        <x:v>AUS</x:v>
      </x:c>
      <x:c r="J133" t="n">
        <x:f>wimbledons_champions!V145</x:f>
        <x:v>3</x:v>
      </x:c>
    </x:row>
    <x:row r="134">
      <x:c r="A134" t="n">
        <x:f>wimbledons_champions!A146</x:f>
        <x:v>1953</x:v>
      </x:c>
      <x:c r="B134" t="str">
        <x:f>wimbledons_champions!B146</x:f>
        <x:v>Women's</x:v>
      </x:c>
      <x:c r="C134" s="9" t="str">
        <x:f>wimbledons_champions!C146</x:f>
        <x:v>M.C. Connolly</x:v>
      </x:c>
      <x:c r="D134" t="str">
        <x:f>wimbledons_champions!D146</x:f>
        <x:v>USA</x:v>
      </x:c>
      <x:c r="E134" t="n">
        <x:f>wimbledons_champions!F146</x:f>
        <x:v>1</x:v>
      </x:c>
      <x:c r="F134" t="n">
        <x:f>wimbledons_champions!G146</x:f>
        <x:v>67</x:v>
      </x:c>
      <x:c r="G134" t="str">
        <x:f>wimbledons_champions!H146</x:f>
        <x:v>8-6, 7-5,</x:v>
      </x:c>
      <x:c r="H134" t="str">
        <x:f>wimbledons_champions!S146</x:f>
        <x:v>D.J. Hart</x:v>
      </x:c>
      <x:c r="I134" t="str">
        <x:f>wimbledons_champions!T146</x:f>
        <x:v>USA</x:v>
      </x:c>
      <x:c r="J134" t="n">
        <x:f>wimbledons_champions!V146</x:f>
        <x:v>2</x:v>
      </x:c>
    </x:row>
    <x:row r="135">
      <x:c r="A135" t="n">
        <x:f>wimbledons_champions!A147</x:f>
        <x:v>1953</x:v>
      </x:c>
      <x:c r="B135" t="str">
        <x:f>wimbledons_champions!B147</x:f>
        <x:v>Men's</x:v>
      </x:c>
      <x:c r="C135" s="9" t="str">
        <x:f>wimbledons_champions!C147</x:f>
        <x:v>E.V. Seixas</x:v>
      </x:c>
      <x:c r="D135" t="str">
        <x:f>wimbledons_champions!D147</x:f>
        <x:v>USA</x:v>
      </x:c>
      <x:c r="E135" t="n">
        <x:f>wimbledons_champions!F147</x:f>
        <x:v>2</x:v>
      </x:c>
      <x:c r="F135" t="n">
        <x:f>wimbledons_champions!G147</x:f>
        <x:v>80</x:v>
      </x:c>
      <x:c r="G135" t="str">
        <x:f>wimbledons_champions!H147</x:f>
        <x:v>9-7, 6-3, 6-4</x:v>
      </x:c>
      <x:c r="H135" t="str">
        <x:f>wimbledons_champions!S147</x:f>
        <x:v>K. Nielsen</x:v>
      </x:c>
      <x:c r="I135" t="str">
        <x:f>wimbledons_champions!T147</x:f>
        <x:v>DEN</x:v>
      </x:c>
      <x:c r="J135" t="str">
        <x:f>wimbledons_champions!V147</x:f>
        <x:v>U</x:v>
      </x:c>
    </x:row>
    <x:row r="136">
      <x:c r="A136" t="n">
        <x:f>wimbledons_champions!A148</x:f>
        <x:v>1952</x:v>
      </x:c>
      <x:c r="B136" t="str">
        <x:f>wimbledons_champions!B148</x:f>
        <x:v>Women's</x:v>
      </x:c>
      <x:c r="C136" s="9" t="str">
        <x:f>wimbledons_champions!C148</x:f>
        <x:v>M.C. Connolly</x:v>
      </x:c>
      <x:c r="D136" t="str">
        <x:f>wimbledons_champions!D148</x:f>
        <x:v>USA</x:v>
      </x:c>
      <x:c r="E136" t="n">
        <x:f>wimbledons_champions!F148</x:f>
        <x:v>2</x:v>
      </x:c>
      <x:c r="F136" t="n">
        <x:f>wimbledons_champions!G148</x:f>
        <x:v>65</x:v>
      </x:c>
      <x:c r="G136" t="str">
        <x:f>wimbledons_champions!H148</x:f>
        <x:v>7-5, 6-3,</x:v>
      </x:c>
      <x:c r="H136" t="str">
        <x:f>wimbledons_champions!S148</x:f>
        <x:v>A.L. Brough</x:v>
      </x:c>
      <x:c r="I136" t="str">
        <x:f>wimbledons_champions!T148</x:f>
        <x:v>USA</x:v>
      </x:c>
      <x:c r="J136" t="n">
        <x:f>wimbledons_champions!V148</x:f>
        <x:v>4</x:v>
      </x:c>
    </x:row>
    <x:row r="137">
      <x:c r="A137" t="n">
        <x:f>wimbledons_champions!A149</x:f>
        <x:v>1952</x:v>
      </x:c>
      <x:c r="B137" t="str">
        <x:f>wimbledons_champions!B149</x:f>
        <x:v>Men's</x:v>
      </x:c>
      <x:c r="C137" s="9" t="str">
        <x:f>wimbledons_champions!C149</x:f>
        <x:v>F.A. Sedgman</x:v>
      </x:c>
      <x:c r="D137" t="str">
        <x:f>wimbledons_champions!D149</x:f>
        <x:v>AUS</x:v>
      </x:c>
      <x:c r="E137" t="n">
        <x:f>wimbledons_champions!F149</x:f>
        <x:v>1</x:v>
      </x:c>
      <x:c r="F137" t="n">
        <x:f>wimbledons_champions!G149</x:f>
        <x:v>80</x:v>
      </x:c>
      <x:c r="G137" t="str">
        <x:f>wimbledons_champions!H149</x:f>
        <x:v>4-6, 6-2, 6-3, 6-2</x:v>
      </x:c>
      <x:c r="H137" t="str">
        <x:f>wimbledons_champions!S149</x:f>
        <x:v>J. Drobny</x:v>
      </x:c>
      <x:c r="I137" t="str">
        <x:f>wimbledons_champions!T149</x:f>
        <x:v>CZE</x:v>
      </x:c>
      <x:c r="J137" t="n">
        <x:f>wimbledons_champions!V149</x:f>
        <x:v>2</x:v>
      </x:c>
    </x:row>
    <x:row r="138">
      <x:c r="A138" t="n">
        <x:f>wimbledons_champions!A150</x:f>
        <x:v>1951</x:v>
      </x:c>
      <x:c r="B138" t="str">
        <x:f>wimbledons_champions!B150</x:f>
        <x:v>Women's</x:v>
      </x:c>
      <x:c r="C138" s="9" t="str">
        <x:f>wimbledons_champions!C150</x:f>
        <x:v>D.J. Hart</x:v>
      </x:c>
      <x:c r="D138" t="str">
        <x:f>wimbledons_champions!D150</x:f>
        <x:v>USA</x:v>
      </x:c>
      <x:c r="E138" t="n">
        <x:f>wimbledons_champions!F150</x:f>
        <x:v>3</x:v>
      </x:c>
      <x:c r="F138" t="n">
        <x:f>wimbledons_champions!G150</x:f>
        <x:v>35</x:v>
      </x:c>
      <x:c r="G138" t="str">
        <x:f>wimbledons_champions!H150</x:f>
        <x:v>6-1, 6-0</x:v>
      </x:c>
      <x:c r="H138" t="str">
        <x:f>wimbledons_champions!S150</x:f>
        <x:v>S.J. Fry</x:v>
      </x:c>
      <x:c r="I138" t="str">
        <x:f>wimbledons_champions!T150</x:f>
        <x:v>USA</x:v>
      </x:c>
      <x:c r="J138" t="n">
        <x:f>wimbledons_champions!V150</x:f>
        <x:v>4</x:v>
      </x:c>
    </x:row>
    <x:row r="139">
      <x:c r="A139" t="n">
        <x:f>wimbledons_champions!A151</x:f>
        <x:v>1951</x:v>
      </x:c>
      <x:c r="B139" t="str">
        <x:f>wimbledons_champions!B151</x:f>
        <x:v>Men's</x:v>
      </x:c>
      <x:c r="C139" s="9" t="str">
        <x:f>wimbledons_champions!C151</x:f>
        <x:v>R. Savitt</x:v>
      </x:c>
      <x:c r="D139" t="str">
        <x:f>wimbledons_champions!D151</x:f>
        <x:v>USA</x:v>
      </x:c>
      <x:c r="E139" t="n">
        <x:f>wimbledons_champions!F151</x:f>
        <x:v>6</x:v>
      </x:c>
      <x:c r="F139" t="n">
        <x:f>wimbledons_champions!G151</x:f>
        <x:v>62</x:v>
      </x:c>
      <x:c r="G139" t="str">
        <x:f>wimbledons_champions!H151</x:f>
        <x:v>6-4, 6-4, 6-4</x:v>
      </x:c>
      <x:c r="H139" t="str">
        <x:f>wimbledons_champions!S151</x:f>
        <x:v>K.B. McGregor</x:v>
      </x:c>
      <x:c r="I139" t="str">
        <x:f>wimbledons_champions!T151</x:f>
        <x:v>AUS</x:v>
      </x:c>
      <x:c r="J139" t="n">
        <x:f>wimbledons_champions!V151</x:f>
        <x:v>7</x:v>
      </x:c>
    </x:row>
    <x:row r="140">
      <x:c r="A140" t="n">
        <x:f>wimbledons_champions!A152</x:f>
        <x:v>1950</x:v>
      </x:c>
      <x:c r="B140" t="str">
        <x:f>wimbledons_champions!B152</x:f>
        <x:v>Women's</x:v>
      </x:c>
      <x:c r="C140" s="9" t="str">
        <x:f>wimbledons_champions!C152</x:f>
        <x:v>A.L. Brough</x:v>
      </x:c>
      <x:c r="D140" t="str">
        <x:f>wimbledons_champions!D152</x:f>
        <x:v>USA</x:v>
      </x:c>
      <x:c r="E140" t="n">
        <x:f>wimbledons_champions!F152</x:f>
        <x:v>1</x:v>
      </x:c>
      <x:c r="F140" t="n">
        <x:f>wimbledons_champions!G152</x:f>
        <x:v>62</x:v>
      </x:c>
      <x:c r="G140" t="str">
        <x:f>wimbledons_champions!H152</x:f>
        <x:v>6-1, 3-6, 6-1,</x:v>
      </x:c>
      <x:c r="H140" t="str">
        <x:f>wimbledons_champions!S152</x:f>
        <x:v>M. duPont</x:v>
      </x:c>
      <x:c r="I140" t="str">
        <x:f>wimbledons_champions!T152</x:f>
        <x:v>USA</x:v>
      </x:c>
      <x:c r="J140" t="n">
        <x:f>wimbledons_champions!V152</x:f>
        <x:v>2</x:v>
      </x:c>
    </x:row>
    <x:row r="141">
      <x:c r="A141" t="n">
        <x:f>wimbledons_champions!A153</x:f>
        <x:v>1950</x:v>
      </x:c>
      <x:c r="B141" t="str">
        <x:f>wimbledons_champions!B153</x:f>
        <x:v>Men's</x:v>
      </x:c>
      <x:c r="C141" s="9" t="str">
        <x:f>wimbledons_champions!C153</x:f>
        <x:v>J.E. Patty</x:v>
      </x:c>
      <x:c r="D141" t="str">
        <x:f>wimbledons_champions!D153</x:f>
        <x:v>USA</x:v>
      </x:c>
      <x:c r="E141" t="n">
        <x:f>wimbledons_champions!F153</x:f>
        <x:v>5</x:v>
      </x:c>
      <x:c r="F141" t="n">
        <x:f>wimbledons_champions!G153</x:f>
        <x:v>120</x:v>
      </x:c>
      <x:c r="G141" t="str">
        <x:f>wimbledons_champions!H153</x:f>
        <x:v>6-1, 8-10, 6-2, 6-3</x:v>
      </x:c>
      <x:c r="H141" t="str">
        <x:f>wimbledons_champions!S153</x:f>
        <x:v>F.A. Sedgman</x:v>
      </x:c>
      <x:c r="I141" t="str">
        <x:f>wimbledons_champions!T153</x:f>
        <x:v>AUS</x:v>
      </x:c>
      <x:c r="J141" t="n">
        <x:f>wimbledons_champions!V153</x:f>
        <x:v>1</x:v>
      </x:c>
    </x:row>
    <x:row r="142">
      <x:c r="A142" t="n">
        <x:f>wimbledons_champions!A154</x:f>
        <x:v>1949</x:v>
      </x:c>
      <x:c r="B142" t="str">
        <x:f>wimbledons_champions!B154</x:f>
        <x:v>Women's</x:v>
      </x:c>
      <x:c r="C142" s="9" t="str">
        <x:f>wimbledons_champions!C154</x:f>
        <x:v>A.L. Brough</x:v>
      </x:c>
      <x:c r="D142" t="str">
        <x:f>wimbledons_champions!D154</x:f>
        <x:v>USA</x:v>
      </x:c>
      <x:c r="E142" t="n">
        <x:f>wimbledons_champions!F154</x:f>
        <x:v>1</x:v>
      </x:c>
      <x:c r="F142" t="n">
        <x:f>wimbledons_champions!G154</x:f>
        <x:v>120</x:v>
      </x:c>
      <x:c r="G142" t="str">
        <x:f>wimbledons_champions!H154</x:f>
        <x:v>10-8, 1-6, 10-8,</x:v>
      </x:c>
      <x:c r="H142" t="str">
        <x:f>wimbledons_champions!S154</x:f>
        <x:v>M. duPont</x:v>
      </x:c>
      <x:c r="I142" t="str">
        <x:f>wimbledons_champions!T154</x:f>
        <x:v>USA</x:v>
      </x:c>
      <x:c r="J142" t="n">
        <x:f>wimbledons_champions!V154</x:f>
        <x:v>2</x:v>
      </x:c>
    </x:row>
    <x:row r="143">
      <x:c r="A143" t="n">
        <x:f>wimbledons_champions!A155</x:f>
        <x:v>1949</x:v>
      </x:c>
      <x:c r="B143" t="str">
        <x:f>wimbledons_champions!B155</x:f>
        <x:v>Men's</x:v>
      </x:c>
      <x:c r="C143" s="9" t="str">
        <x:f>wimbledons_champions!C155</x:f>
        <x:v>F.R. Schroeder</x:v>
      </x:c>
      <x:c r="D143" t="str">
        <x:f>wimbledons_champions!D155</x:f>
        <x:v>USA</x:v>
      </x:c>
      <x:c r="E143" t="n">
        <x:f>wimbledons_champions!F155</x:f>
        <x:v>1</x:v>
      </x:c>
      <x:c r="F143" t="n">
        <x:f>wimbledons_champions!G155</x:f>
        <x:v>100</x:v>
      </x:c>
      <x:c r="G143" t="str">
        <x:f>wimbledons_champions!H155</x:f>
        <x:v>3-6, 6-0, 6-3, 4-6, 6-4</x:v>
      </x:c>
      <x:c r="H143" t="str">
        <x:f>wimbledons_champions!S155</x:f>
        <x:v>J. Drobny</x:v>
      </x:c>
      <x:c r="I143" t="str">
        <x:f>wimbledons_champions!T155</x:f>
        <x:v>CZE</x:v>
      </x:c>
      <x:c r="J143" t="n">
        <x:f>wimbledons_champions!V155</x:f>
        <x:v>6</x:v>
      </x:c>
    </x:row>
    <x:row r="144">
      <x:c r="A144" t="n">
        <x:f>wimbledons_champions!A156</x:f>
        <x:v>1948</x:v>
      </x:c>
      <x:c r="B144" t="str">
        <x:f>wimbledons_champions!B156</x:f>
        <x:v>Women's</x:v>
      </x:c>
      <x:c r="C144" s="9" t="str">
        <x:f>wimbledons_champions!C156</x:f>
        <x:v>A.L. Brough</x:v>
      </x:c>
      <x:c r="D144" t="str">
        <x:f>wimbledons_champions!D156</x:f>
        <x:v>USA</x:v>
      </x:c>
      <x:c r="E144" t="n">
        <x:f>wimbledons_champions!F156</x:f>
        <x:v>2</x:v>
      </x:c>
      <x:c r="F144" t="n">
        <x:f>wimbledons_champions!G156</x:f>
        <x:v>76</x:v>
      </x:c>
      <x:c r="G144" t="str">
        <x:f>wimbledons_champions!H156</x:f>
        <x:v>6-3, 8-6,</x:v>
      </x:c>
      <x:c r="H144" t="str">
        <x:f>wimbledons_champions!S156</x:f>
        <x:v>D.J. Hart</x:v>
      </x:c>
      <x:c r="I144" t="str">
        <x:f>wimbledons_champions!T156</x:f>
        <x:v>USA</x:v>
      </x:c>
      <x:c r="J144" t="n">
        <x:f>wimbledons_champions!V156</x:f>
        <x:v>4</x:v>
      </x:c>
    </x:row>
    <x:row r="145">
      <x:c r="A145" t="n">
        <x:f>wimbledons_champions!A157</x:f>
        <x:v>1948</x:v>
      </x:c>
      <x:c r="B145" t="str">
        <x:f>wimbledons_champions!B157</x:f>
        <x:v>Men's</x:v>
      </x:c>
      <x:c r="C145" s="9" t="str">
        <x:f>wimbledons_champions!C157</x:f>
        <x:v>R. Falkenburg</x:v>
      </x:c>
      <x:c r="D145" t="str">
        <x:f>wimbledons_champions!D157</x:f>
        <x:v>USA</x:v>
      </x:c>
      <x:c r="E145" t="n">
        <x:f>wimbledons_champions!F157</x:f>
        <x:v>7</x:v>
      </x:c>
      <x:c r="F145" t="n">
        <x:f>wimbledons_champions!G157</x:f>
        <x:v>125</x:v>
      </x:c>
      <x:c r="G145" t="str">
        <x:f>wimbledons_champions!H157</x:f>
        <x:v>7-5, 0-6, 6-2, 3-6, 7-5</x:v>
      </x:c>
      <x:c r="H145" t="str">
        <x:f>wimbledons_champions!S157</x:f>
        <x:v>J.E. Bromwich</x:v>
      </x:c>
      <x:c r="I145" t="str">
        <x:f>wimbledons_champions!T157</x:f>
        <x:v>AUS</x:v>
      </x:c>
      <x:c r="J145" t="n">
        <x:f>wimbledons_champions!V157</x:f>
        <x:v>2</x:v>
      </x:c>
    </x:row>
    <x:row r="146">
      <x:c r="A146" t="n">
        <x:f>wimbledons_champions!A158</x:f>
        <x:v>1947</x:v>
      </x:c>
      <x:c r="B146" t="str">
        <x:f>wimbledons_champions!B158</x:f>
        <x:v>Women's</x:v>
      </x:c>
      <x:c r="C146" s="9" t="str">
        <x:f>wimbledons_champions!C158</x:f>
        <x:v>M.E. Osborne</x:v>
      </x:c>
      <x:c r="D146" t="str">
        <x:f>wimbledons_champions!D158</x:f>
        <x:v>USA</x:v>
      </x:c>
      <x:c r="E146" t="n">
        <x:f>wimbledons_champions!F158</x:f>
        <x:v>1</x:v>
      </x:c>
      <x:c r="F146" t="n">
        <x:f>wimbledons_champions!G158</x:f>
        <x:v>0</x:v>
      </x:c>
      <x:c r="G146" t="str">
        <x:f>wimbledons_champions!H158</x:f>
        <x:v>6-2, 6-4,</x:v>
      </x:c>
      <x:c r="H146" t="str">
        <x:f>wimbledons_champions!S158</x:f>
        <x:v>D.J. Hart</x:v>
      </x:c>
      <x:c r="I146" t="str">
        <x:f>wimbledons_champions!T158</x:f>
        <x:v>USA</x:v>
      </x:c>
      <x:c r="J146" t="n">
        <x:f>wimbledons_champions!V158</x:f>
        <x:v>3</x:v>
      </x:c>
    </x:row>
    <x:row r="147">
      <x:c r="A147" t="n">
        <x:f>wimbledons_champions!A159</x:f>
        <x:v>1947</x:v>
      </x:c>
      <x:c r="B147" t="str">
        <x:f>wimbledons_champions!B159</x:f>
        <x:v>Men's</x:v>
      </x:c>
      <x:c r="C147" s="9" t="str">
        <x:f>wimbledons_champions!C159</x:f>
        <x:v>J.A. Kramer</x:v>
      </x:c>
      <x:c r="D147" t="str">
        <x:f>wimbledons_champions!D159</x:f>
        <x:v>USA</x:v>
      </x:c>
      <x:c r="E147" t="n">
        <x:f>wimbledons_champions!F159</x:f>
        <x:v>1</x:v>
      </x:c>
      <x:c r="F147" t="n">
        <x:f>wimbledons_champions!G159</x:f>
        <x:v>45</x:v>
      </x:c>
      <x:c r="G147" t="str">
        <x:f>wimbledons_champions!H159</x:f>
        <x:v>6-1, 6-3, 6-2</x:v>
      </x:c>
      <x:c r="H147" t="str">
        <x:f>wimbledons_champions!S159</x:f>
        <x:v>T.P. Brown</x:v>
      </x:c>
      <x:c r="I147" t="str">
        <x:f>wimbledons_champions!T159</x:f>
        <x:v>USA</x:v>
      </x:c>
      <x:c r="J147" t="n">
        <x:f>wimbledons_champions!V159</x:f>
        <x:v>3</x:v>
      </x:c>
    </x:row>
    <x:row r="148">
      <x:c r="A148" t="n">
        <x:f>wimbledons_champions!A160</x:f>
        <x:v>1946</x:v>
      </x:c>
      <x:c r="B148" t="str">
        <x:f>wimbledons_champions!B160</x:f>
        <x:v>Women's</x:v>
      </x:c>
      <x:c r="C148" s="9" t="str">
        <x:f>wimbledons_champions!C160</x:f>
        <x:v>P.M. Betz</x:v>
      </x:c>
      <x:c r="D148" t="str">
        <x:f>wimbledons_champions!D160</x:f>
        <x:v>USA</x:v>
      </x:c>
      <x:c r="E148" t="n">
        <x:f>wimbledons_champions!F160</x:f>
        <x:v>1</x:v>
      </x:c>
      <x:c r="F148" t="n">
        <x:f>wimbledons_champions!G160</x:f>
        <x:v>0</x:v>
      </x:c>
      <x:c r="G148" t="str">
        <x:f>wimbledons_champions!H160</x:f>
        <x:v>6-2, 6-4,</x:v>
      </x:c>
      <x:c r="H148" t="str">
        <x:f>wimbledons_champions!S160</x:f>
        <x:v>A.L. Brough</x:v>
      </x:c>
      <x:c r="I148" t="str">
        <x:f>wimbledons_champions!T160</x:f>
        <x:v>USA</x:v>
      </x:c>
      <x:c r="J148" t="n">
        <x:f>wimbledons_champions!V160</x:f>
        <x:v>3</x:v>
      </x:c>
    </x:row>
    <x:row r="149">
      <x:c r="A149" t="n">
        <x:f>wimbledons_champions!A161</x:f>
        <x:v>1946</x:v>
      </x:c>
      <x:c r="B149" t="str">
        <x:f>wimbledons_champions!B161</x:f>
        <x:v>Men's</x:v>
      </x:c>
      <x:c r="C149" s="9" t="str">
        <x:f>wimbledons_champions!C161</x:f>
        <x:v>Y.F.M. Petra</x:v>
      </x:c>
      <x:c r="D149" t="str">
        <x:f>wimbledons_champions!D161</x:f>
        <x:v>FRA</x:v>
      </x:c>
      <x:c r="E149" t="n">
        <x:f>wimbledons_champions!F161</x:f>
        <x:v>5</x:v>
      </x:c>
      <x:c r="F149" t="n">
        <x:f>wimbledons_champions!G161</x:f>
        <x:v>0</x:v>
      </x:c>
      <x:c r="G149" t="str">
        <x:f>wimbledons_champions!H161</x:f>
        <x:v>6-2, 6-4, 7-9, 5-7, 6-4</x:v>
      </x:c>
      <x:c r="H149" t="str">
        <x:f>wimbledons_champions!S161</x:f>
        <x:v>G.E. Brown</x:v>
      </x:c>
      <x:c r="I149" t="str">
        <x:f>wimbledons_champions!T161</x:f>
        <x:v>AUS</x:v>
      </x:c>
      <x:c r="J149" t="n">
        <x:f>wimbledons_champions!V161</x:f>
        <x:v>3</x:v>
      </x:c>
    </x:row>
    <x:row r="150">
      <x:c r="A150" t="n">
        <x:f>wimbledons_champions!A162</x:f>
        <x:v>1939</x:v>
      </x:c>
      <x:c r="B150" t="str">
        <x:f>wimbledons_champions!B162</x:f>
        <x:v>Women's</x:v>
      </x:c>
      <x:c r="C150" s="9" t="str">
        <x:f>wimbledons_champions!C162</x:f>
        <x:v>A. Marble</x:v>
      </x:c>
      <x:c r="D150" t="str">
        <x:f>wimbledons_champions!D162</x:f>
        <x:v>USA</x:v>
      </x:c>
      <x:c r="E150" t="n">
        <x:f>wimbledons_champions!F162</x:f>
        <x:v>1</x:v>
      </x:c>
      <x:c r="F150" t="n">
        <x:f>wimbledons_champions!G162</x:f>
        <x:v>30</x:v>
      </x:c>
      <x:c r="G150" t="str">
        <x:f>wimbledons_champions!H162</x:f>
        <x:v>6-2, 6-0</x:v>
      </x:c>
      <x:c r="H150" t="str">
        <x:f>wimbledons_champions!S162</x:f>
        <x:v>K.E. Stammers</x:v>
      </x:c>
      <x:c r="I150" t="str">
        <x:f>wimbledons_champions!T162</x:f>
        <x:v>GBR</x:v>
      </x:c>
      <x:c r="J150" t="n">
        <x:f>wimbledons_champions!V162</x:f>
        <x:v>6</x:v>
      </x:c>
    </x:row>
    <x:row r="151">
      <x:c r="A151" t="n">
        <x:f>wimbledons_champions!A163</x:f>
        <x:v>1939</x:v>
      </x:c>
      <x:c r="B151" t="str">
        <x:f>wimbledons_champions!B163</x:f>
        <x:v>Men's</x:v>
      </x:c>
      <x:c r="C151" s="9" t="str">
        <x:f>wimbledons_champions!C163</x:f>
        <x:v>R.L. Riggs</x:v>
      </x:c>
      <x:c r="D151" t="str">
        <x:f>wimbledons_champions!D163</x:f>
        <x:v>USA</x:v>
      </x:c>
      <x:c r="E151" t="n">
        <x:f>wimbledons_champions!F163</x:f>
        <x:v>2</x:v>
      </x:c>
      <x:c r="F151" t="n">
        <x:f>wimbledons_champions!G163</x:f>
        <x:v>135</x:v>
      </x:c>
      <x:c r="G151" t="str">
        <x:f>wimbledons_champions!H163</x:f>
        <x:v>2-6, 8-6, 3-6, 6-3, 6-2</x:v>
      </x:c>
      <x:c r="H151" t="str">
        <x:f>wimbledons_champions!S163</x:f>
        <x:v>E.T. Cooke</x:v>
      </x:c>
      <x:c r="I151" t="str">
        <x:f>wimbledons_champions!T163</x:f>
        <x:v>USA</x:v>
      </x:c>
      <x:c r="J151" t="n">
        <x:f>wimbledons_champions!V163</x:f>
        <x:v>6</x:v>
      </x:c>
    </x:row>
    <x:row r="152">
      <x:c r="A152" t="n">
        <x:f>wimbledons_champions!A164</x:f>
        <x:v>1938</x:v>
      </x:c>
      <x:c r="B152" t="str">
        <x:f>wimbledons_champions!B164</x:f>
        <x:v>Women's</x:v>
      </x:c>
      <x:c r="C152" s="9" t="str">
        <x:f>wimbledons_champions!C164</x:f>
        <x:v>H.W. Moody</x:v>
      </x:c>
      <x:c r="D152" t="str">
        <x:f>wimbledons_champions!D164</x:f>
        <x:v>USA</x:v>
      </x:c>
      <x:c r="E152" t="n">
        <x:f>wimbledons_champions!F164</x:f>
        <x:v>1</x:v>
      </x:c>
      <x:c r="F152" t="n">
        <x:f>wimbledons_champions!G164</x:f>
        <x:v>0</x:v>
      </x:c>
      <x:c r="G152" t="str">
        <x:f>wimbledons_champions!H164</x:f>
        <x:v>6-4, 6-0</x:v>
      </x:c>
      <x:c r="H152" t="str">
        <x:f>wimbledons_champions!S164</x:f>
        <x:v>H.H. Jacobs</x:v>
      </x:c>
      <x:c r="I152" t="str">
        <x:f>wimbledons_champions!T164</x:f>
        <x:v>USA</x:v>
      </x:c>
      <x:c r="J152" t="str">
        <x:f>wimbledons_champions!V164</x:f>
        <x:v>U</x:v>
      </x:c>
    </x:row>
    <x:row r="153">
      <x:c r="A153" t="n">
        <x:f>wimbledons_champions!A165</x:f>
        <x:v>1938</x:v>
      </x:c>
      <x:c r="B153" t="str">
        <x:f>wimbledons_champions!B165</x:f>
        <x:v>Men's</x:v>
      </x:c>
      <x:c r="C153" s="14" t="str">
        <x:f>wimbledons_champions!C165</x:f>
        <x:v>J.D. Budge</x:v>
      </x:c>
      <x:c r="D153" t="str">
        <x:f>wimbledons_champions!D165</x:f>
        <x:v>USA</x:v>
      </x:c>
      <x:c r="E153" t="n">
        <x:f>wimbledons_champions!F165</x:f>
        <x:v>1</x:v>
      </x:c>
      <x:c r="F153" t="n">
        <x:f>wimbledons_champions!G165</x:f>
        <x:v>59</x:v>
      </x:c>
      <x:c r="G153" t="str">
        <x:f>wimbledons_champions!H165</x:f>
        <x:v>6-1, 6-0, 6-3</x:v>
      </x:c>
      <x:c r="H153" t="str">
        <x:f>wimbledons_champions!S165</x:f>
        <x:v>H.W. Austin</x:v>
      </x:c>
      <x:c r="I153" t="str">
        <x:f>wimbledons_champions!T165</x:f>
        <x:v>GBR</x:v>
      </x:c>
      <x:c r="J153" s="2" t="n">
        <x:f>wimbledons_champions!V165</x:f>
        <x:v>2</x:v>
      </x:c>
    </x:row>
    <x:row r="154">
      <x:c r="A154" t="n">
        <x:f>wimbledons_champions!A166</x:f>
        <x:v>1937</x:v>
      </x:c>
      <x:c r="B154" t="str">
        <x:f>wimbledons_champions!B166</x:f>
        <x:v>Women's</x:v>
      </x:c>
      <x:c r="C154" s="9" t="str">
        <x:f>wimbledons_champions!C166</x:f>
        <x:v>D.E. Round</x:v>
      </x:c>
      <x:c r="D154" t="str">
        <x:f>wimbledons_champions!D166</x:f>
        <x:v>GBR</x:v>
      </x:c>
      <x:c r="E154" t="n">
        <x:f>wimbledons_champions!F166</x:f>
        <x:v>7</x:v>
      </x:c>
      <x:c r="F154" t="n">
        <x:f>wimbledons_champions!G166</x:f>
        <x:v>60</x:v>
      </x:c>
      <x:c r="G154" t="str">
        <x:f>wimbledons_champions!H166</x:f>
        <x:v>6-2, 2-6, 7-5</x:v>
      </x:c>
      <x:c r="H154" t="str">
        <x:f>wimbledons_champions!S166</x:f>
        <x:v>J. Jedrzejowska</x:v>
      </x:c>
      <x:c r="I154" t="str">
        <x:f>wimbledons_champions!T166</x:f>
        <x:v>POL</x:v>
      </x:c>
      <x:c r="J154" t="n">
        <x:f>wimbledons_champions!V166</x:f>
        <x:v>4</x:v>
      </x:c>
    </x:row>
    <x:row r="155">
      <x:c r="A155" t="n">
        <x:f>wimbledons_champions!A167</x:f>
        <x:v>1937</x:v>
      </x:c>
      <x:c r="B155" t="str">
        <x:f>wimbledons_champions!B167</x:f>
        <x:v>Men's</x:v>
      </x:c>
      <x:c r="C155" s="9" t="str">
        <x:f>wimbledons_champions!C167</x:f>
        <x:v>J.D. Budge</x:v>
      </x:c>
      <x:c r="D155" t="str">
        <x:f>wimbledons_champions!D167</x:f>
        <x:v>USA</x:v>
      </x:c>
      <x:c r="E155" t="n">
        <x:f>wimbledons_champions!F167</x:f>
        <x:v>1</x:v>
      </x:c>
      <x:c r="F155" t="n">
        <x:f>wimbledons_champions!G167</x:f>
        <x:v>65</x:v>
      </x:c>
      <x:c r="G155" t="str">
        <x:f>wimbledons_champions!H167</x:f>
        <x:v>6-3, 6-4, 6-2</x:v>
      </x:c>
      <x:c r="H155" t="str">
        <x:f>wimbledons_champions!S167</x:f>
        <x:v>G. von Cramm</x:v>
      </x:c>
      <x:c r="I155" t="str">
        <x:f>wimbledons_champions!T167</x:f>
        <x:v>GER</x:v>
      </x:c>
      <x:c r="J155" t="n">
        <x:f>wimbledons_champions!V167</x:f>
        <x:v>2</x:v>
      </x:c>
    </x:row>
    <x:row r="156">
      <x:c r="A156" t="n">
        <x:f>wimbledons_champions!A168</x:f>
        <x:v>1936</x:v>
      </x:c>
      <x:c r="B156" t="str">
        <x:f>wimbledons_champions!B168</x:f>
        <x:v>Women's</x:v>
      </x:c>
      <x:c r="C156" s="9" t="str">
        <x:f>wimbledons_champions!C168</x:f>
        <x:v>H.H. Jacobs</x:v>
      </x:c>
      <x:c r="D156" t="str">
        <x:f>wimbledons_champions!D168</x:f>
        <x:v>USA</x:v>
      </x:c>
      <x:c r="E156" t="n">
        <x:f>wimbledons_champions!F168</x:f>
        <x:v>2</x:v>
      </x:c>
      <x:c r="F156" t="n">
        <x:f>wimbledons_champions!G168</x:f>
        <x:v>101</x:v>
      </x:c>
      <x:c r="G156" t="str">
        <x:f>wimbledons_champions!H168</x:f>
        <x:v>6-2, 4-6, 7-5</x:v>
      </x:c>
      <x:c r="H156" t="str">
        <x:f>wimbledons_champions!S168</x:f>
        <x:v>S. Sperling</x:v>
      </x:c>
      <x:c r="I156" t="str">
        <x:f>wimbledons_champions!T168</x:f>
        <x:v>GER</x:v>
      </x:c>
      <x:c r="J156" t="n">
        <x:f>wimbledons_champions!V168</x:f>
        <x:v>5</x:v>
      </x:c>
    </x:row>
    <x:row r="157">
      <x:c r="A157" t="n">
        <x:f>wimbledons_champions!A169</x:f>
        <x:v>1936</x:v>
      </x:c>
      <x:c r="B157" t="str">
        <x:f>wimbledons_champions!B169</x:f>
        <x:v>Men's</x:v>
      </x:c>
      <x:c r="C157" s="9" t="str">
        <x:f>wimbledons_champions!C169</x:f>
        <x:v>F.J. Perry</x:v>
      </x:c>
      <x:c r="D157" t="str">
        <x:f>wimbledons_champions!D169</x:f>
        <x:v>GBR</x:v>
      </x:c>
      <x:c r="E157" t="n">
        <x:f>wimbledons_champions!F169</x:f>
        <x:v>1</x:v>
      </x:c>
      <x:c r="F157" t="n">
        <x:f>wimbledons_champions!G169</x:f>
        <x:v>40</x:v>
      </x:c>
      <x:c r="G157" t="str">
        <x:f>wimbledons_champions!H169</x:f>
        <x:v>6-1, 6-1, 6-0</x:v>
      </x:c>
      <x:c r="H157" t="str">
        <x:f>wimbledons_champions!S169</x:f>
        <x:v>G. von Cramm</x:v>
      </x:c>
      <x:c r="I157" t="str">
        <x:f>wimbledons_champions!T169</x:f>
        <x:v>GER</x:v>
      </x:c>
      <x:c r="J157" t="n">
        <x:f>wimbledons_champions!V169</x:f>
        <x:v>2</x:v>
      </x:c>
    </x:row>
    <x:row r="158">
      <x:c r="A158" t="n">
        <x:f>wimbledons_champions!A170</x:f>
        <x:v>1935</x:v>
      </x:c>
      <x:c r="B158" t="str">
        <x:f>wimbledons_champions!B170</x:f>
        <x:v>Women's</x:v>
      </x:c>
      <x:c r="C158" s="9" t="str">
        <x:f>wimbledons_champions!C170</x:f>
        <x:v>H.W. Moody</x:v>
      </x:c>
      <x:c r="D158" t="str">
        <x:f>wimbledons_champions!D170</x:f>
        <x:v>USA</x:v>
      </x:c>
      <x:c r="E158" t="n">
        <x:f>wimbledons_champions!F170</x:f>
        <x:v>4</x:v>
      </x:c>
      <x:c r="F158" t="n">
        <x:f>wimbledons_champions!G170</x:f>
        <x:v>100</x:v>
      </x:c>
      <x:c r="G158" t="str">
        <x:f>wimbledons_champions!H170</x:f>
        <x:v>6-3, 3-6, 7-5</x:v>
      </x:c>
      <x:c r="H158" t="str">
        <x:f>wimbledons_champions!S170</x:f>
        <x:v>H.H. Jacobs</x:v>
      </x:c>
      <x:c r="I158" t="str">
        <x:f>wimbledons_champions!T170</x:f>
        <x:v>USA</x:v>
      </x:c>
      <x:c r="J158" t="n">
        <x:f>wimbledons_champions!V170</x:f>
        <x:v>3</x:v>
      </x:c>
    </x:row>
    <x:row r="159">
      <x:c r="A159" t="n">
        <x:f>wimbledons_champions!A171</x:f>
        <x:v>1935</x:v>
      </x:c>
      <x:c r="B159" t="str">
        <x:f>wimbledons_champions!B171</x:f>
        <x:v>Men's</x:v>
      </x:c>
      <x:c r="C159" s="14" t="str">
        <x:f>wimbledons_champions!C171</x:f>
        <x:v>F.J. Perry</x:v>
      </x:c>
      <x:c r="D159" t="str">
        <x:f>wimbledons_champions!D171</x:f>
        <x:v>GBR</x:v>
      </x:c>
      <x:c r="E159" t="n">
        <x:f>wimbledons_champions!F171</x:f>
        <x:v>1</x:v>
      </x:c>
      <x:c r="F159" t="n">
        <x:f>wimbledons_champions!G171</x:f>
        <x:v>80</x:v>
      </x:c>
      <x:c r="G159" t="str">
        <x:f>wimbledons_champions!H171</x:f>
        <x:v>6-2, 6-4, 6-4</x:v>
      </x:c>
      <x:c r="H159" t="str">
        <x:f>wimbledons_champions!S171</x:f>
        <x:v>G. von Cramm</x:v>
      </x:c>
      <x:c r="I159" t="str">
        <x:f>wimbledons_champions!T171</x:f>
        <x:v>GER</x:v>
      </x:c>
      <x:c r="J159" t="n">
        <x:f>wimbledons_champions!V171</x:f>
        <x:v>2</x:v>
      </x:c>
    </x:row>
    <x:row r="160">
      <x:c r="A160" t="n">
        <x:f>wimbledons_champions!A172</x:f>
        <x:v>1934</x:v>
      </x:c>
      <x:c r="B160" t="str">
        <x:f>wimbledons_champions!B172</x:f>
        <x:v>Women's</x:v>
      </x:c>
      <x:c r="C160" s="9" t="str">
        <x:f>wimbledons_champions!C172</x:f>
        <x:v>D.E. Round</x:v>
      </x:c>
      <x:c r="D160" t="str">
        <x:f>wimbledons_champions!D172</x:f>
        <x:v>GBR</x:v>
      </x:c>
      <x:c r="E160" t="n">
        <x:f>wimbledons_champions!F172</x:f>
        <x:v>2</x:v>
      </x:c>
      <x:c r="F160" t="n">
        <x:f>wimbledons_champions!G172</x:f>
        <x:v>0</x:v>
      </x:c>
      <x:c r="G160" t="str">
        <x:f>wimbledons_champions!H172</x:f>
        <x:v>6-2, 5-7, 6-3</x:v>
      </x:c>
      <x:c r="H160" t="str">
        <x:f>wimbledons_champions!S172</x:f>
        <x:v>H.H. Jacobs</x:v>
      </x:c>
      <x:c r="I160" t="str">
        <x:f>wimbledons_champions!T172</x:f>
        <x:v>USA</x:v>
      </x:c>
      <x:c r="J160" t="n">
        <x:f>wimbledons_champions!V172</x:f>
        <x:v>1</x:v>
      </x:c>
    </x:row>
    <x:row r="161">
      <x:c r="A161" t="n">
        <x:f>wimbledons_champions!A173</x:f>
        <x:v>1934</x:v>
      </x:c>
      <x:c r="B161" t="str">
        <x:f>wimbledons_champions!B173</x:f>
        <x:v>Men's</x:v>
      </x:c>
      <x:c r="C161" s="9" t="str">
        <x:f>wimbledons_champions!C173</x:f>
        <x:v>F.J. Perry</x:v>
      </x:c>
      <x:c r="D161" t="str">
        <x:f>wimbledons_champions!D173</x:f>
        <x:v>GBR</x:v>
      </x:c>
      <x:c r="E161" t="n">
        <x:f>wimbledons_champions!F173</x:f>
        <x:v>2</x:v>
      </x:c>
      <x:c r="F161" t="n">
        <x:f>wimbledons_champions!G173</x:f>
        <x:v>72</x:v>
      </x:c>
      <x:c r="G161" t="str">
        <x:f>wimbledons_champions!H173</x:f>
        <x:v>6-3, 6-0, 7-5</x:v>
      </x:c>
      <x:c r="H161" t="str">
        <x:f>wimbledons_champions!S173</x:f>
        <x:v>J.H. Crawford</x:v>
      </x:c>
      <x:c r="I161" t="str">
        <x:f>wimbledons_champions!T173</x:f>
        <x:v>AUS</x:v>
      </x:c>
      <x:c r="J161" t="n">
        <x:f>wimbledons_champions!V173</x:f>
        <x:v>1</x:v>
      </x:c>
    </x:row>
    <x:row r="162">
      <x:c r="A162" t="n">
        <x:f>wimbledons_champions!A174</x:f>
        <x:v>1933</x:v>
      </x:c>
      <x:c r="B162" t="str">
        <x:f>wimbledons_champions!B174</x:f>
        <x:v>Women's</x:v>
      </x:c>
      <x:c r="C162" s="9" t="str">
        <x:f>wimbledons_champions!C174</x:f>
        <x:v>H.W. Moody</x:v>
      </x:c>
      <x:c r="D162" t="str">
        <x:f>wimbledons_champions!D174</x:f>
        <x:v>USA</x:v>
      </x:c>
      <x:c r="E162" t="n">
        <x:f>wimbledons_champions!F174</x:f>
        <x:v>1</x:v>
      </x:c>
      <x:c r="F162" t="n">
        <x:f>wimbledons_champions!G174</x:f>
        <x:v>120</x:v>
      </x:c>
      <x:c r="G162" t="str">
        <x:f>wimbledons_champions!H174</x:f>
        <x:v>6-4, 6-8, 6-3</x:v>
      </x:c>
      <x:c r="H162" t="str">
        <x:f>wimbledons_champions!S174</x:f>
        <x:v>D.E. Round</x:v>
      </x:c>
      <x:c r="I162" t="str">
        <x:f>wimbledons_champions!T174</x:f>
        <x:v>GBR</x:v>
      </x:c>
      <x:c r="J162" t="n">
        <x:f>wimbledons_champions!V174</x:f>
        <x:v>2</x:v>
      </x:c>
    </x:row>
    <x:row r="163">
      <x:c r="A163" t="n">
        <x:f>wimbledons_champions!A175</x:f>
        <x:v>1933</x:v>
      </x:c>
      <x:c r="B163" t="str">
        <x:f>wimbledons_champions!B175</x:f>
        <x:v>Men's</x:v>
      </x:c>
      <x:c r="C163" s="14" t="str">
        <x:f>wimbledons_champions!C175</x:f>
        <x:v>J.H. Crawford</x:v>
      </x:c>
      <x:c r="D163" t="str">
        <x:f>wimbledons_champions!D175</x:f>
        <x:v>AUS</x:v>
      </x:c>
      <x:c r="E163" t="n">
        <x:f>wimbledons_champions!F175</x:f>
        <x:v>2</x:v>
      </x:c>
      <x:c r="F163" t="n">
        <x:f>wimbledons_champions!G175</x:f>
        <x:v>120</x:v>
      </x:c>
      <x:c r="G163" t="str">
        <x:f>wimbledons_champions!H175</x:f>
        <x:v>4-6, 11-9, 6-2, 2-6, 6-4</x:v>
      </x:c>
      <x:c r="H163" t="str">
        <x:f>wimbledons_champions!S175</x:f>
        <x:v>H.E. Vines</x:v>
      </x:c>
      <x:c r="I163" t="str">
        <x:f>wimbledons_champions!T175</x:f>
        <x:v>USA</x:v>
      </x:c>
      <x:c r="J163" t="n">
        <x:f>wimbledons_champions!V175</x:f>
        <x:v>1</x:v>
      </x:c>
    </x:row>
    <x:row r="164">
      <x:c r="A164" t="n">
        <x:f>wimbledons_champions!A176</x:f>
        <x:v>1932</x:v>
      </x:c>
      <x:c r="B164" t="str">
        <x:f>wimbledons_champions!B176</x:f>
        <x:v>Women's</x:v>
      </x:c>
      <x:c r="C164" s="9" t="str">
        <x:f>wimbledons_champions!C176</x:f>
        <x:v>H.W. Moody</x:v>
      </x:c>
      <x:c r="D164" t="str">
        <x:f>wimbledons_champions!D176</x:f>
        <x:v>USA</x:v>
      </x:c>
      <x:c r="E164" t="n">
        <x:f>wimbledons_champions!F176</x:f>
        <x:v>1</x:v>
      </x:c>
      <x:c r="F164" t="n">
        <x:f>wimbledons_champions!G176</x:f>
        <x:v>50</x:v>
      </x:c>
      <x:c r="G164" t="str">
        <x:f>wimbledons_champions!H176</x:f>
        <x:v>6-3, 6-1</x:v>
      </x:c>
      <x:c r="H164" t="str">
        <x:f>wimbledons_champions!S176</x:f>
        <x:v>H.H. Jacobs</x:v>
      </x:c>
      <x:c r="I164" t="str">
        <x:f>wimbledons_champions!T176</x:f>
        <x:v>USA</x:v>
      </x:c>
      <x:c r="J164" t="n">
        <x:f>wimbledons_champions!V176</x:f>
        <x:v>5</x:v>
      </x:c>
    </x:row>
    <x:row r="165">
      <x:c r="A165" t="n">
        <x:f>wimbledons_champions!A177</x:f>
        <x:v>1932</x:v>
      </x:c>
      <x:c r="B165" t="str">
        <x:f>wimbledons_champions!B177</x:f>
        <x:v>Men's</x:v>
      </x:c>
      <x:c r="C165" s="14" t="str">
        <x:f>wimbledons_champions!C177</x:f>
        <x:v>H.E. Vines</x:v>
      </x:c>
      <x:c r="D165" t="str">
        <x:f>wimbledons_champions!D177</x:f>
        <x:v>USA</x:v>
      </x:c>
      <x:c r="E165" t="n">
        <x:f>wimbledons_champions!F177</x:f>
        <x:v>2</x:v>
      </x:c>
      <x:c r="F165" t="n">
        <x:f>wimbledons_champions!G177</x:f>
        <x:v>50</x:v>
      </x:c>
      <x:c r="G165" t="str">
        <x:f>wimbledons_champions!H177</x:f>
        <x:v>6-2, 6-2, 6-0</x:v>
      </x:c>
      <x:c r="H165" t="str">
        <x:f>wimbledons_champions!S177</x:f>
        <x:v>H.W. Austin</x:v>
      </x:c>
      <x:c r="I165" t="str">
        <x:f>wimbledons_champions!T177</x:f>
        <x:v>GBR</x:v>
      </x:c>
      <x:c r="J165" t="n">
        <x:f>wimbledons_champions!V177</x:f>
        <x:v>6</x:v>
      </x:c>
    </x:row>
    <x:row r="166">
      <x:c r="A166" t="n">
        <x:f>wimbledons_champions!A178</x:f>
        <x:v>1931</x:v>
      </x:c>
      <x:c r="B166" t="str">
        <x:f>wimbledons_champions!B178</x:f>
        <x:v>Women's</x:v>
      </x:c>
      <x:c r="C166" s="9" t="str">
        <x:f>wimbledons_champions!C178</x:f>
        <x:v>C. Aussem</x:v>
      </x:c>
      <x:c r="D166" t="str">
        <x:f>wimbledons_champions!D178</x:f>
        <x:v>GER</x:v>
      </x:c>
      <x:c r="E166" t="n">
        <x:f>wimbledons_champions!F178</x:f>
        <x:v>1</x:v>
      </x:c>
      <x:c r="F166" t="n">
        <x:f>wimbledons_champions!G178</x:f>
        <x:v>0</x:v>
      </x:c>
      <x:c r="G166" t="str">
        <x:f>wimbledons_champions!H178</x:f>
        <x:v>6-2, 7-5</x:v>
      </x:c>
      <x:c r="H166" t="str">
        <x:f>wimbledons_champions!S178</x:f>
        <x:v>H. Krahwinkel</x:v>
      </x:c>
      <x:c r="I166" t="str">
        <x:f>wimbledons_champions!T178</x:f>
        <x:v>GER</x:v>
      </x:c>
      <x:c r="J166" t="n">
        <x:f>wimbledons_champions!V178</x:f>
        <x:v>4</x:v>
      </x:c>
    </x:row>
    <x:row r="167">
      <x:c r="A167" t="n">
        <x:f>wimbledons_champions!A179</x:f>
        <x:v>1931</x:v>
      </x:c>
      <x:c r="B167" t="str">
        <x:f>wimbledons_champions!B179</x:f>
        <x:v>Men's</x:v>
      </x:c>
      <x:c r="C167" s="9" t="str">
        <x:f>wimbledons_champions!C179</x:f>
        <x:v>S.B.B. Wood</x:v>
      </x:c>
      <x:c r="D167" t="str">
        <x:f>wimbledons_champions!D179</x:f>
        <x:v>USA</x:v>
      </x:c>
      <x:c r="E167" t="n">
        <x:f>wimbledons_champions!F179</x:f>
        <x:v>7</x:v>
      </x:c>
      <x:c r="F167" t="n">
        <x:f>wimbledons_champions!G179</x:f>
        <x:v>0</x:v>
      </x:c>
      <x:c r="G167" t="str">
        <x:f>wimbledons_champions!H179</x:f>
        <x:v>walk over</x:v>
      </x:c>
      <x:c r="H167" t="str">
        <x:f>wimbledons_champions!S179</x:f>
        <x:v>F.X. Shields</x:v>
      </x:c>
      <x:c r="I167" t="str">
        <x:f>wimbledons_champions!T179</x:f>
        <x:v>USA</x:v>
      </x:c>
      <x:c r="J167" t="n">
        <x:f>wimbledons_champions!V179</x:f>
        <x:v>3</x:v>
      </x:c>
    </x:row>
    <x:row r="168">
      <x:c r="A168" t="n">
        <x:f>wimbledons_champions!A180</x:f>
        <x:v>1930</x:v>
      </x:c>
      <x:c r="B168" t="str">
        <x:f>wimbledons_champions!B180</x:f>
        <x:v>Women's</x:v>
      </x:c>
      <x:c r="C168" s="9" t="str">
        <x:f>wimbledons_champions!C180</x:f>
        <x:v>H.W. Moody</x:v>
      </x:c>
      <x:c r="D168" t="str">
        <x:f>wimbledons_champions!D180</x:f>
        <x:v>USA</x:v>
      </x:c>
      <x:c r="E168" t="n">
        <x:f>wimbledons_champions!F180</x:f>
        <x:v>1</x:v>
      </x:c>
      <x:c r="F168" t="n">
        <x:f>wimbledons_champions!G180</x:f>
        <x:v>0</x:v>
      </x:c>
      <x:c r="G168" t="str">
        <x:f>wimbledons_champions!H180</x:f>
        <x:v>6-2, 6-2</x:v>
      </x:c>
      <x:c r="H168" t="str">
        <x:f>wimbledons_champions!S180</x:f>
        <x:v>E.M. Ryan</x:v>
      </x:c>
      <x:c r="I168" t="str">
        <x:f>wimbledons_champions!T180</x:f>
        <x:v>USA</x:v>
      </x:c>
      <x:c r="J168" t="n">
        <x:f>wimbledons_champions!V180</x:f>
        <x:v>8</x:v>
      </x:c>
    </x:row>
    <x:row r="169">
      <x:c r="A169" t="n">
        <x:f>wimbledons_champions!A181</x:f>
        <x:v>1930</x:v>
      </x:c>
      <x:c r="B169" t="str">
        <x:f>wimbledons_champions!B181</x:f>
        <x:v>Men's</x:v>
      </x:c>
      <x:c r="C169" s="14" t="str">
        <x:f>wimbledons_champions!C181</x:f>
        <x:v>W.T. Tilden</x:v>
      </x:c>
      <x:c r="D169" t="str">
        <x:f>wimbledons_champions!D181</x:f>
        <x:v>USA</x:v>
      </x:c>
      <x:c r="E169" t="n">
        <x:f>wimbledons_champions!F181</x:f>
        <x:v>2</x:v>
      </x:c>
      <x:c r="F169" t="n">
        <x:f>wimbledons_champions!G181</x:f>
        <x:v>70</x:v>
      </x:c>
      <x:c r="G169" t="str">
        <x:f>wimbledons_champions!H181</x:f>
        <x:v>6-3, 9-7, 6-4</x:v>
      </x:c>
      <x:c r="H169" t="str">
        <x:f>wimbledons_champions!S181</x:f>
        <x:v>W.L. Allison</x:v>
      </x:c>
      <x:c r="I169" t="str">
        <x:f>wimbledons_champions!T181</x:f>
        <x:v>USA</x:v>
      </x:c>
      <x:c r="J169" t="str">
        <x:f>wimbledons_champions!V181</x:f>
        <x:v>U</x:v>
      </x:c>
    </x:row>
    <x:row r="170">
      <x:c r="A170" t="n">
        <x:f>wimbledons_champions!A182</x:f>
        <x:v>1929</x:v>
      </x:c>
      <x:c r="B170" t="str">
        <x:f>wimbledons_champions!B182</x:f>
        <x:v>Women's</x:v>
      </x:c>
      <x:c r="C170" s="9" t="str">
        <x:f>wimbledons_champions!C182</x:f>
        <x:v>H.W. Moody</x:v>
      </x:c>
      <x:c r="D170" t="str">
        <x:f>wimbledons_champions!D182</x:f>
        <x:v>USA</x:v>
      </x:c>
      <x:c r="E170" t="n">
        <x:f>wimbledons_champions!F182</x:f>
        <x:v>1</x:v>
      </x:c>
      <x:c r="F170" t="n">
        <x:f>wimbledons_champions!G182</x:f>
        <x:v>0</x:v>
      </x:c>
      <x:c r="G170" t="str">
        <x:f>wimbledons_champions!H182</x:f>
        <x:v>6-1, 6-2</x:v>
      </x:c>
      <x:c r="H170" t="str">
        <x:f>wimbledons_champions!S182</x:f>
        <x:v>H.H. Jacobs</x:v>
      </x:c>
      <x:c r="I170" t="str">
        <x:f>wimbledons_champions!T182</x:f>
        <x:v>USA</x:v>
      </x:c>
      <x:c r="J170" t="n">
        <x:f>wimbledons_champions!V182</x:f>
        <x:v>5</x:v>
      </x:c>
    </x:row>
    <x:row r="171">
      <x:c r="A171" t="n">
        <x:f>wimbledons_champions!A183</x:f>
        <x:v>1929</x:v>
      </x:c>
      <x:c r="B171" t="str">
        <x:f>wimbledons_champions!B183</x:f>
        <x:v>Men's</x:v>
      </x:c>
      <x:c r="C171" s="9" t="str">
        <x:f>wimbledons_champions!C183</x:f>
        <x:v>H.J. Cochet</x:v>
      </x:c>
      <x:c r="D171" t="str">
        <x:f>wimbledons_champions!D183</x:f>
        <x:v>FRA</x:v>
      </x:c>
      <x:c r="E171" t="n">
        <x:f>wimbledons_champions!F183</x:f>
        <x:v>1</x:v>
      </x:c>
      <x:c r="F171" t="n">
        <x:f>wimbledons_champions!G183</x:f>
        <x:v>60</x:v>
      </x:c>
      <x:c r="G171" t="str">
        <x:f>wimbledons_champions!H183</x:f>
        <x:v>6-4, 6-3, 6-4</x:v>
      </x:c>
      <x:c r="H171" t="str">
        <x:f>wimbledons_champions!S183</x:f>
        <x:v>J.R. Borotra</x:v>
      </x:c>
      <x:c r="I171" t="str">
        <x:f>wimbledons_champions!T183</x:f>
        <x:v>FRA</x:v>
      </x:c>
      <x:c r="J171" t="n">
        <x:f>wimbledons_champions!V183</x:f>
        <x:v>2</x:v>
      </x:c>
    </x:row>
    <x:row r="172">
      <x:c r="A172" t="n">
        <x:f>wimbledons_champions!A184</x:f>
        <x:v>1928</x:v>
      </x:c>
      <x:c r="B172" t="str">
        <x:f>wimbledons_champions!B184</x:f>
        <x:v>Women's</x:v>
      </x:c>
      <x:c r="C172" s="9" t="str">
        <x:f>wimbledons_champions!C184</x:f>
        <x:v>H.W. Moody</x:v>
      </x:c>
      <x:c r="D172" t="str">
        <x:f>wimbledons_champions!D184</x:f>
        <x:v>USA</x:v>
      </x:c>
      <x:c r="E172" t="n">
        <x:f>wimbledons_champions!F184</x:f>
        <x:v>1</x:v>
      </x:c>
      <x:c r="F172" t="n">
        <x:f>wimbledons_champions!G184</x:f>
        <x:v>0</x:v>
      </x:c>
      <x:c r="G172" t="str">
        <x:f>wimbledons_champions!H184</x:f>
        <x:v>6-2, 6-3</x:v>
      </x:c>
      <x:c r="H172" t="str">
        <x:f>wimbledons_champions!S184</x:f>
        <x:v>E.M. de Alvarez</x:v>
      </x:c>
      <x:c r="I172" t="str">
        <x:f>wimbledons_champions!T184</x:f>
        <x:v>ESP</x:v>
      </x:c>
      <x:c r="J172" t="n">
        <x:f>wimbledons_champions!V184</x:f>
        <x:v>2</x:v>
      </x:c>
    </x:row>
    <x:row r="173">
      <x:c r="A173" t="n">
        <x:f>wimbledons_champions!A185</x:f>
        <x:v>1928</x:v>
      </x:c>
      <x:c r="B173" t="str">
        <x:f>wimbledons_champions!B185</x:f>
        <x:v>Men's</x:v>
      </x:c>
      <x:c r="C173" s="9" t="str">
        <x:f>wimbledons_champions!C185</x:f>
        <x:v>J.R. Lacoste</x:v>
      </x:c>
      <x:c r="D173" t="str">
        <x:f>wimbledons_champions!D185</x:f>
        <x:v>FRA</x:v>
      </x:c>
      <x:c r="E173" t="n">
        <x:f>wimbledons_champions!F185</x:f>
        <x:v>2</x:v>
      </x:c>
      <x:c r="F173" t="n">
        <x:f>wimbledons_champions!G185</x:f>
        <x:v>0</x:v>
      </x:c>
      <x:c r="G173" t="str">
        <x:f>wimbledons_champions!H185</x:f>
        <x:v>6-1, 4-6, 6-4, 6-2</x:v>
      </x:c>
      <x:c r="H173" t="str">
        <x:f>wimbledons_champions!S185</x:f>
        <x:v>H.J. Cochet</x:v>
      </x:c>
      <x:c r="I173" t="str">
        <x:f>wimbledons_champions!T185</x:f>
        <x:v>FRA</x:v>
      </x:c>
      <x:c r="J173" t="n">
        <x:f>wimbledons_champions!V185</x:f>
        <x:v>1</x:v>
      </x:c>
    </x:row>
    <x:row r="174">
      <x:c r="A174" t="n">
        <x:f>wimbledons_champions!A186</x:f>
        <x:v>1927</x:v>
      </x:c>
      <x:c r="B174" t="str">
        <x:f>wimbledons_champions!B186</x:f>
        <x:v>Women's</x:v>
      </x:c>
      <x:c r="C174" s="9" t="str">
        <x:f>wimbledons_champions!C186</x:f>
        <x:v>H.W. Moody</x:v>
      </x:c>
      <x:c r="D174" t="str">
        <x:f>wimbledons_champions!D186</x:f>
        <x:v>USA</x:v>
      </x:c>
      <x:c r="E174" t="n">
        <x:f>wimbledons_champions!F186</x:f>
        <x:v>1</x:v>
      </x:c>
      <x:c r="F174" t="n">
        <x:f>wimbledons_champions!G186</x:f>
        <x:v>0</x:v>
      </x:c>
      <x:c r="G174" t="str">
        <x:f>wimbledons_champions!H186</x:f>
        <x:v>6-2, 6-4</x:v>
      </x:c>
      <x:c r="H174" t="str">
        <x:f>wimbledons_champions!S186</x:f>
        <x:v>E.M. de Alvarez</x:v>
      </x:c>
      <x:c r="I174" t="str">
        <x:f>wimbledons_champions!T186</x:f>
        <x:v>ESP</x:v>
      </x:c>
      <x:c r="J174" t="n">
        <x:f>wimbledons_champions!V186</x:f>
        <x:v>4</x:v>
      </x:c>
    </x:row>
    <x:row r="175">
      <x:c r="A175" s="3" t="n">
        <x:f>wimbledons_champions!A187</x:f>
        <x:v>1927</x:v>
      </x:c>
      <x:c r="B175" t="str">
        <x:f>wimbledons_champions!B187</x:f>
        <x:v>Men's</x:v>
      </x:c>
      <x:c r="C175" s="9" t="str">
        <x:f>wimbledons_champions!C187</x:f>
        <x:v>H.J. Cochet</x:v>
      </x:c>
      <x:c r="D175" t="str">
        <x:f>wimbledons_champions!D187</x:f>
        <x:v>FRA</x:v>
      </x:c>
      <x:c r="E175" t="n">
        <x:f>wimbledons_champions!F187</x:f>
        <x:v>4</x:v>
      </x:c>
      <x:c r="F175" t="n">
        <x:f>wimbledons_champions!G187</x:f>
        <x:v>0</x:v>
      </x:c>
      <x:c r="G175" t="str">
        <x:f>wimbledons_champions!H187</x:f>
        <x:v>4-6, 4-6, 6-3, 6-4, 7-5</x:v>
      </x:c>
      <x:c r="H175" t="str">
        <x:f>wimbledons_champions!S187</x:f>
        <x:v>J.R. Borotra</x:v>
      </x:c>
      <x:c r="I175" t="str">
        <x:f>wimbledons_champions!T187</x:f>
        <x:v>FRA</x:v>
      </x:c>
      <x:c r="J175" t="n">
        <x:f>wimbledons_champions!V187</x:f>
        <x:v>3</x:v>
      </x:c>
    </x:row>
    <x:row r="176">
      <x:c r="A176" t="n">
        <x:f>wimbledons_champions!A188</x:f>
        <x:v>1926</x:v>
      </x:c>
      <x:c r="B176" t="str">
        <x:f>wimbledons_champions!B188</x:f>
        <x:v>Women's</x:v>
      </x:c>
      <x:c r="C176" s="9" t="str">
        <x:f>wimbledons_champions!C188</x:f>
        <x:v>L.A. Godfree</x:v>
      </x:c>
      <x:c r="D176" t="str">
        <x:f>wimbledons_champions!D188</x:f>
        <x:v>GBR</x:v>
      </x:c>
      <x:c r="E176" t="n">
        <x:f>wimbledons_champions!F188</x:f>
        <x:v>0</x:v>
      </x:c>
      <x:c r="F176" t="n">
        <x:f>wimbledons_champions!G188</x:f>
        <x:v>60</x:v>
      </x:c>
      <x:c r="G176" t="str">
        <x:f>wimbledons_champions!H188</x:f>
        <x:v>6-2, 4-6, 6-3</x:v>
      </x:c>
      <x:c r="H176" t="str">
        <x:f>wimbledons_champions!S188</x:f>
        <x:v>E.M. de Alvarez</x:v>
      </x:c>
      <x:c r="I176" t="str">
        <x:f>wimbledons_champions!T188</x:f>
        <x:v>ESP</x:v>
      </x:c>
      <x:c r="J176" t="n">
        <x:f>wimbledons_champions!V188</x:f>
        <x:v>0</x:v>
      </x:c>
    </x:row>
    <x:row r="177">
      <x:c r="A177" t="n">
        <x:f>wimbledons_champions!A189</x:f>
        <x:v>1926</x:v>
      </x:c>
      <x:c r="B177" t="str">
        <x:f>wimbledons_champions!B189</x:f>
        <x:v>Men's</x:v>
      </x:c>
      <x:c r="C177" s="9" t="str">
        <x:f>wimbledons_champions!C189</x:f>
        <x:v>J.R. Borotra</x:v>
      </x:c>
      <x:c r="D177" t="str">
        <x:f>wimbledons_champions!D189</x:f>
        <x:v>FRA</x:v>
      </x:c>
      <x:c r="E177" t="n">
        <x:f>wimbledons_champions!F189</x:f>
        <x:v>0</x:v>
      </x:c>
      <x:c r="F177" t="n">
        <x:f>wimbledons_champions!G189</x:f>
        <x:v>65</x:v>
      </x:c>
      <x:c r="G177" t="str">
        <x:f>wimbledons_champions!H189</x:f>
        <x:v>8-6, 6-1, 6-3</x:v>
      </x:c>
      <x:c r="H177" t="str">
        <x:f>wimbledons_champions!S189</x:f>
        <x:v>H.O. Kinsey</x:v>
      </x:c>
      <x:c r="I177" t="str">
        <x:f>wimbledons_champions!T189</x:f>
        <x:v>USA</x:v>
      </x:c>
      <x:c r="J177" t="n">
        <x:f>wimbledons_champions!V189</x:f>
        <x:v>0</x:v>
      </x:c>
    </x:row>
    <x:row r="178">
      <x:c r="A178" t="n">
        <x:f>wimbledons_champions!A190</x:f>
        <x:v>1925</x:v>
      </x:c>
      <x:c r="B178" t="str">
        <x:f>wimbledons_champions!B190</x:f>
        <x:v>Women's</x:v>
      </x:c>
      <x:c r="C178" s="9" t="str">
        <x:f>wimbledons_champions!C190</x:f>
        <x:v>S.R.F. Lenglen</x:v>
      </x:c>
      <x:c r="D178" t="str">
        <x:f>wimbledons_champions!D190</x:f>
        <x:v>FRA</x:v>
      </x:c>
      <x:c r="E178" t="n">
        <x:f>wimbledons_champions!F190</x:f>
        <x:v>0</x:v>
      </x:c>
      <x:c r="F178" t="n">
        <x:f>wimbledons_champions!G190</x:f>
        <x:v>25</x:v>
      </x:c>
      <x:c r="G178" t="str">
        <x:f>wimbledons_champions!H190</x:f>
        <x:v>6-2, 6-0</x:v>
      </x:c>
      <x:c r="H178" t="str">
        <x:f>wimbledons_champions!S190</x:f>
        <x:v>J.C. Fry</x:v>
      </x:c>
      <x:c r="I178" t="str">
        <x:f>wimbledons_champions!T190</x:f>
        <x:v>GBR</x:v>
      </x:c>
      <x:c r="J178" t="n">
        <x:f>wimbledons_champions!V190</x:f>
        <x:v>0</x:v>
      </x:c>
    </x:row>
    <x:row r="179">
      <x:c r="A179" t="n">
        <x:f>wimbledons_champions!A191</x:f>
        <x:v>1925</x:v>
      </x:c>
      <x:c r="B179" t="str">
        <x:f>wimbledons_champions!B191</x:f>
        <x:v>Men's</x:v>
      </x:c>
      <x:c r="C179" s="13" t="str">
        <x:f>wimbledons_champions!C191</x:f>
        <x:v>J.R. Lacoste</x:v>
      </x:c>
      <x:c r="D179" t="str">
        <x:f>wimbledons_champions!D191</x:f>
        <x:v>FRA</x:v>
      </x:c>
      <x:c r="E179" t="n">
        <x:f>wimbledons_champions!F191</x:f>
        <x:v>0</x:v>
      </x:c>
      <x:c r="F179" t="n">
        <x:f>wimbledons_champions!G191</x:f>
        <x:v>0</x:v>
      </x:c>
      <x:c r="G179" t="str">
        <x:f>wimbledons_champions!H191</x:f>
        <x:v>6-3, 6-3, 4-6, 8-6</x:v>
      </x:c>
      <x:c r="H179" t="str">
        <x:f>wimbledons_champions!S191</x:f>
        <x:v>J.R. Borotra</x:v>
      </x:c>
      <x:c r="I179" t="str">
        <x:f>wimbledons_champions!T191</x:f>
        <x:v>FRA</x:v>
      </x:c>
      <x:c r="J179" t="n">
        <x:f>wimbledons_champions!V191</x:f>
        <x:v>0</x:v>
      </x:c>
    </x:row>
    <x:row r="180">
      <x:c r="A180" t="n">
        <x:f>wimbledons_champions!A192</x:f>
        <x:v>1924</x:v>
      </x:c>
      <x:c r="B180" t="str">
        <x:f>wimbledons_champions!B192</x:f>
        <x:v>Women's</x:v>
      </x:c>
      <x:c r="C180" s="9" t="str">
        <x:f>wimbledons_champions!C192</x:f>
        <x:v>K. McKane</x:v>
      </x:c>
      <x:c r="D180" t="str">
        <x:f>wimbledons_champions!D192</x:f>
        <x:v>GBR</x:v>
      </x:c>
      <x:c r="E180" t="n">
        <x:f>wimbledons_champions!F192</x:f>
        <x:v>0</x:v>
      </x:c>
      <x:c r="F180" t="n">
        <x:f>wimbledons_champions!G192</x:f>
        <x:v>75</x:v>
      </x:c>
      <x:c r="G180" t="str">
        <x:f>wimbledons_champions!H192</x:f>
        <x:v>4-6, 6-4, 6-4</x:v>
      </x:c>
      <x:c r="H180" t="str">
        <x:f>wimbledons_champions!S192</x:f>
        <x:v>H.W. Moody</x:v>
      </x:c>
      <x:c r="I180" t="str">
        <x:f>wimbledons_champions!T192</x:f>
        <x:v>USA</x:v>
      </x:c>
      <x:c r="J180" t="n">
        <x:f>wimbledons_champions!V192</x:f>
        <x:v>0</x:v>
      </x:c>
    </x:row>
    <x:row r="181">
      <x:c r="A181" t="n">
        <x:f>wimbledons_champions!A193</x:f>
        <x:v>1924</x:v>
      </x:c>
      <x:c r="B181" t="str">
        <x:f>wimbledons_champions!B193</x:f>
        <x:v>Men's</x:v>
      </x:c>
      <x:c r="C181" s="9" t="str">
        <x:f>wimbledons_champions!C193</x:f>
        <x:v>J.R. Borotra</x:v>
      </x:c>
      <x:c r="D181" t="str">
        <x:f>wimbledons_champions!D193</x:f>
        <x:v>FRA</x:v>
      </x:c>
      <x:c r="E181" t="n">
        <x:f>wimbledons_champions!F193</x:f>
        <x:v>0</x:v>
      </x:c>
      <x:c r="F181" t="n">
        <x:f>wimbledons_champions!G193</x:f>
        <x:v>80</x:v>
      </x:c>
      <x:c r="G181" t="str">
        <x:f>wimbledons_champions!H193</x:f>
        <x:v>6-1, 3-6, 6-1, 3-6, 6-4</x:v>
      </x:c>
      <x:c r="H181" t="str">
        <x:f>wimbledons_champions!S193</x:f>
        <x:v>J.R. Lacoste</x:v>
      </x:c>
      <x:c r="I181" t="str">
        <x:f>wimbledons_champions!T193</x:f>
        <x:v>FRA</x:v>
      </x:c>
      <x:c r="J181" t="n">
        <x:f>wimbledons_champions!V193</x:f>
        <x:v>0</x:v>
      </x:c>
    </x:row>
    <x:row r="182">
      <x:c r="A182" t="n">
        <x:f>wimbledons_champions!A194</x:f>
        <x:v>1923</x:v>
      </x:c>
      <x:c r="B182" t="str">
        <x:f>wimbledons_champions!B194</x:f>
        <x:v>Women's</x:v>
      </x:c>
      <x:c r="C182" s="9" t="str">
        <x:f>wimbledons_champions!C194</x:f>
        <x:v>S.R.F. Lenglen</x:v>
      </x:c>
      <x:c r="D182" t="str">
        <x:f>wimbledons_champions!D194</x:f>
        <x:v>FRA</x:v>
      </x:c>
      <x:c r="E182" t="n">
        <x:f>wimbledons_champions!F194</x:f>
        <x:v>0</x:v>
      </x:c>
      <x:c r="F182" t="n">
        <x:f>wimbledons_champions!G194</x:f>
        <x:v>0</x:v>
      </x:c>
      <x:c r="G182" t="str">
        <x:f>wimbledons_champions!H194</x:f>
        <x:v>6-2, 6-2</x:v>
      </x:c>
      <x:c r="H182" t="str">
        <x:f>wimbledons_champions!S194</x:f>
        <x:v>K. McKane</x:v>
      </x:c>
      <x:c r="I182" t="str">
        <x:f>wimbledons_champions!T194</x:f>
        <x:v>GBR</x:v>
      </x:c>
      <x:c r="J182" t="n">
        <x:f>wimbledons_champions!V194</x:f>
        <x:v>0</x:v>
      </x:c>
    </x:row>
    <x:row r="183">
      <x:c r="A183" t="n">
        <x:f>wimbledons_champions!A195</x:f>
        <x:v>1923</x:v>
      </x:c>
      <x:c r="B183" t="str">
        <x:f>wimbledons_champions!B195</x:f>
        <x:v>Men's</x:v>
      </x:c>
      <x:c r="C183" s="13" t="str">
        <x:f>wimbledons_champions!C195</x:f>
        <x:v>W. M. Johnston</x:v>
      </x:c>
      <x:c r="D183" t="str">
        <x:f>wimbledons_champions!D195</x:f>
        <x:v>USA</x:v>
      </x:c>
      <x:c r="E183" t="n">
        <x:f>wimbledons_champions!F195</x:f>
        <x:v>0</x:v>
      </x:c>
      <x:c r="F183" t="n">
        <x:f>wimbledons_champions!G195</x:f>
        <x:v>46</x:v>
      </x:c>
      <x:c r="G183" t="str">
        <x:f>wimbledons_champions!H195</x:f>
        <x:v>6-0, 6-3, 6-1</x:v>
      </x:c>
      <x:c r="H183" t="str">
        <x:f>wimbledons_champions!S195</x:f>
        <x:v>F.T. Hunter</x:v>
      </x:c>
      <x:c r="I183" t="str">
        <x:f>wimbledons_champions!T195</x:f>
        <x:v>USA</x:v>
      </x:c>
      <x:c r="J183" t="n">
        <x:f>wimbledons_champions!V195</x:f>
        <x:v>0</x:v>
      </x:c>
    </x:row>
    <x:row r="184">
      <x:c r="A184" t="n">
        <x:f>wimbledons_champions!A196</x:f>
        <x:v>1922</x:v>
      </x:c>
      <x:c r="B184" t="str">
        <x:f>wimbledons_champions!B196</x:f>
        <x:v>Women's</x:v>
      </x:c>
      <x:c r="C184" s="9" t="str">
        <x:f>wimbledons_champions!C196</x:f>
        <x:v>S.R.F. Lenglen</x:v>
      </x:c>
      <x:c r="D184" t="str">
        <x:f>wimbledons_champions!D196</x:f>
        <x:v>FRA</x:v>
      </x:c>
      <x:c r="E184" t="n">
        <x:f>wimbledons_champions!F196</x:f>
        <x:v>0</x:v>
      </x:c>
      <x:c r="F184" t="n">
        <x:f>wimbledons_champions!G196</x:f>
        <x:v>23</x:v>
      </x:c>
      <x:c r="G184" t="str">
        <x:f>wimbledons_champions!H196</x:f>
        <x:v>6-2, 6-0</x:v>
      </x:c>
      <x:c r="H184" t="str">
        <x:f>wimbledons_champions!S196</x:f>
        <x:v>F.I. Mallory</x:v>
      </x:c>
      <x:c r="I184" t="str">
        <x:f>wimbledons_champions!T196</x:f>
        <x:v>USA</x:v>
      </x:c>
      <x:c r="J184" t="n">
        <x:f>wimbledons_champions!V196</x:f>
        <x:v>0</x:v>
      </x:c>
    </x:row>
    <x:row r="185">
      <x:c r="A185" t="n">
        <x:f>wimbledons_champions!A197</x:f>
        <x:v>1922</x:v>
      </x:c>
      <x:c r="B185" t="str">
        <x:f>wimbledons_champions!B197</x:f>
        <x:v>Men's</x:v>
      </x:c>
      <x:c r="C185" s="13" t="str">
        <x:f>wimbledons_champions!C197</x:f>
        <x:v>G.L. Patterson</x:v>
      </x:c>
      <x:c r="D185" t="str">
        <x:f>wimbledons_champions!D197</x:f>
        <x:v>AUS</x:v>
      </x:c>
      <x:c r="E185" t="n">
        <x:f>wimbledons_champions!F197</x:f>
        <x:v>0</x:v>
      </x:c>
      <x:c r="F185" t="n">
        <x:f>wimbledons_champions!G197</x:f>
        <x:v>0</x:v>
      </x:c>
      <x:c r="G185" t="str">
        <x:f>wimbledons_champions!H197</x:f>
        <x:v>6-3, 6-4, 6-2</x:v>
      </x:c>
      <x:c r="H185" t="str">
        <x:f>wimbledons_champions!S197</x:f>
        <x:v>R. Lycett</x:v>
      </x:c>
      <x:c r="I185" t="str">
        <x:f>wimbledons_champions!T197</x:f>
        <x:v>GBR</x:v>
      </x:c>
      <x:c r="J185" t="n">
        <x:f>wimbledons_champions!V197</x:f>
        <x:v>0</x:v>
      </x:c>
    </x:row>
    <x:row r="186">
      <x:c r="A186" t="n">
        <x:f>wimbledons_champions!A198</x:f>
        <x:v>1921</x:v>
      </x:c>
      <x:c r="B186" t="str">
        <x:f>wimbledons_champions!B198</x:f>
        <x:v>Women's</x:v>
      </x:c>
      <x:c r="C186" s="9" t="str">
        <x:f>wimbledons_champions!C198</x:f>
        <x:v>S.R.F. Lenglen</x:v>
      </x:c>
      <x:c r="D186" t="str">
        <x:f>wimbledons_champions!D198</x:f>
        <x:v>FRA</x:v>
      </x:c>
      <x:c r="E186" t="n">
        <x:f>wimbledons_champions!F198</x:f>
        <x:v>0</x:v>
      </x:c>
      <x:c r="F186" t="n">
        <x:f>wimbledons_champions!G198</x:f>
        <x:v>0</x:v>
      </x:c>
      <x:c r="G186" t="str">
        <x:f>wimbledons_champions!H198</x:f>
        <x:v>6-2, 6-0</x:v>
      </x:c>
      <x:c r="H186" t="str">
        <x:f>wimbledons_champions!S198</x:f>
        <x:v>E.M. Ryan</x:v>
      </x:c>
      <x:c r="I186" t="str">
        <x:f>wimbledons_champions!T198</x:f>
        <x:v>USA</x:v>
      </x:c>
      <x:c r="J186" t="n">
        <x:f>wimbledons_champions!V198</x:f>
        <x:v>0</x:v>
      </x:c>
    </x:row>
    <x:row r="187">
      <x:c r="A187" t="n">
        <x:f>wimbledons_champions!A199</x:f>
        <x:v>1921</x:v>
      </x:c>
      <x:c r="B187" t="str">
        <x:f>wimbledons_champions!B199</x:f>
        <x:v>Men's</x:v>
      </x:c>
      <x:c r="C187" s="13" t="str">
        <x:f>wimbledons_champions!C199</x:f>
        <x:v>W.T. Tilden</x:v>
      </x:c>
      <x:c r="D187" t="str">
        <x:f>wimbledons_champions!D199</x:f>
        <x:v>USA</x:v>
      </x:c>
      <x:c r="E187" t="n">
        <x:f>wimbledons_champions!F199</x:f>
        <x:v>0</x:v>
      </x:c>
      <x:c r="F187" t="n">
        <x:f>wimbledons_champions!G199</x:f>
        <x:v>0</x:v>
      </x:c>
      <x:c r="G187" t="str">
        <x:f>wimbledons_champions!H199</x:f>
        <x:v>4-6, 2-6, 6-1, 6-0, 7-5</x:v>
      </x:c>
      <x:c r="H187" t="str">
        <x:f>wimbledons_champions!S199</x:f>
        <x:v>B.I.C. Norton</x:v>
      </x:c>
      <x:c r="I187" t="str">
        <x:f>wimbledons_champions!T199</x:f>
        <x:v>RSA</x:v>
      </x:c>
      <x:c r="J187" t="n">
        <x:f>wimbledons_champions!V199</x:f>
        <x:v>0</x:v>
      </x:c>
    </x:row>
    <x:row r="188">
      <x:c r="A188" t="n">
        <x:f>wimbledons_champions!A200</x:f>
        <x:v>1920</x:v>
      </x:c>
      <x:c r="B188" t="str">
        <x:f>wimbledons_champions!B200</x:f>
        <x:v>Women's</x:v>
      </x:c>
      <x:c r="C188" s="9" t="str">
        <x:f>wimbledons_champions!C200</x:f>
        <x:v>S.R.F. Lenglen</x:v>
      </x:c>
      <x:c r="D188" t="str">
        <x:f>wimbledons_champions!D200</x:f>
        <x:v>FRA</x:v>
      </x:c>
      <x:c r="E188" t="n">
        <x:f>wimbledons_champions!F200</x:f>
        <x:v>0</x:v>
      </x:c>
      <x:c r="F188" t="n">
        <x:f>wimbledons_champions!G200</x:f>
        <x:v>0</x:v>
      </x:c>
      <x:c r="G188" t="str">
        <x:f>wimbledons_champions!H200</x:f>
        <x:v>6-3, 6-0</x:v>
      </x:c>
      <x:c r="H188" t="str">
        <x:f>wimbledons_champions!S200</x:f>
        <x:v>D.L. Chambers</x:v>
      </x:c>
      <x:c r="I188" t="str">
        <x:f>wimbledons_champions!T200</x:f>
        <x:v>GBR</x:v>
      </x:c>
      <x:c r="J188" t="n">
        <x:f>wimbledons_champions!V200</x:f>
        <x:v>0</x:v>
      </x:c>
    </x:row>
    <x:row r="189">
      <x:c r="A189" t="n">
        <x:f>wimbledons_champions!A201</x:f>
        <x:v>1920</x:v>
      </x:c>
      <x:c r="B189" t="str">
        <x:f>wimbledons_champions!B201</x:f>
        <x:v>Men's</x:v>
      </x:c>
      <x:c r="C189" s="13" t="str">
        <x:f>wimbledons_champions!C201</x:f>
        <x:v>W.T. Tilden</x:v>
      </x:c>
      <x:c r="D189" t="str">
        <x:f>wimbledons_champions!D201</x:f>
        <x:v>USA</x:v>
      </x:c>
      <x:c r="E189" t="n">
        <x:f>wimbledons_champions!F201</x:f>
        <x:v>0</x:v>
      </x:c>
      <x:c r="F189" t="n">
        <x:f>wimbledons_champions!G201</x:f>
        <x:v>0</x:v>
      </x:c>
      <x:c r="G189" t="str">
        <x:f>wimbledons_champions!H201</x:f>
        <x:v>2-6, 6-3, 6-2, 6-4</x:v>
      </x:c>
      <x:c r="H189" t="str">
        <x:f>wimbledons_champions!S201</x:f>
        <x:v>G.L. Patterson</x:v>
      </x:c>
      <x:c r="I189" t="str">
        <x:f>wimbledons_champions!T201</x:f>
        <x:v>AUS</x:v>
      </x:c>
      <x:c r="J189" t="n">
        <x:f>wimbledons_champions!V201</x:f>
        <x:v>0</x:v>
      </x:c>
    </x:row>
    <x:row r="190">
      <x:c r="A190" t="n">
        <x:f>wimbledons_champions!A202</x:f>
        <x:v>1919</x:v>
      </x:c>
      <x:c r="B190" t="str">
        <x:f>wimbledons_champions!B202</x:f>
        <x:v>Women's</x:v>
      </x:c>
      <x:c r="C190" s="9" t="str">
        <x:f>wimbledons_champions!C202</x:f>
        <x:v>S.R.F. Lenglen</x:v>
      </x:c>
      <x:c r="D190" t="str">
        <x:f>wimbledons_champions!D202</x:f>
        <x:v>FRA</x:v>
      </x:c>
      <x:c r="E190" t="n">
        <x:f>wimbledons_champions!F202</x:f>
        <x:v>0</x:v>
      </x:c>
      <x:c r="F190" t="n">
        <x:f>wimbledons_champions!G202</x:f>
        <x:v>125</x:v>
      </x:c>
      <x:c r="G190" t="str">
        <x:f>wimbledons_champions!H202</x:f>
        <x:v>10-8, 4-6, 9-7</x:v>
      </x:c>
      <x:c r="H190" t="str">
        <x:f>wimbledons_champions!S202</x:f>
        <x:v>D.L. Chambers</x:v>
      </x:c>
      <x:c r="I190" t="str">
        <x:f>wimbledons_champions!T202</x:f>
        <x:v>GBR</x:v>
      </x:c>
      <x:c r="J190" t="n">
        <x:f>wimbledons_champions!V202</x:f>
        <x:v>0</x:v>
      </x:c>
    </x:row>
    <x:row r="191">
      <x:c r="A191" t="n">
        <x:f>wimbledons_champions!A203</x:f>
        <x:v>1919</x:v>
      </x:c>
      <x:c r="B191" t="str">
        <x:f>wimbledons_champions!B203</x:f>
        <x:v>Men's</x:v>
      </x:c>
      <x:c r="C191" s="13" t="str">
        <x:f>wimbledons_champions!C203</x:f>
        <x:v>G.L. Patterson</x:v>
      </x:c>
      <x:c r="D191" t="str">
        <x:f>wimbledons_champions!D203</x:f>
        <x:v>AUS</x:v>
      </x:c>
      <x:c r="E191" t="n">
        <x:f>wimbledons_champions!F203</x:f>
        <x:v>0</x:v>
      </x:c>
      <x:c r="F191" t="n">
        <x:f>wimbledons_champions!G203</x:f>
        <x:v>0</x:v>
      </x:c>
      <x:c r="G191" t="str">
        <x:f>wimbledons_champions!H203</x:f>
        <x:v>6-3, 7-5, 6-2</x:v>
      </x:c>
      <x:c r="H191" t="str">
        <x:f>wimbledons_champions!S203</x:f>
        <x:v>N.E. Brookes</x:v>
      </x:c>
      <x:c r="I191" t="str">
        <x:f>wimbledons_champions!T203</x:f>
        <x:v>AUS</x:v>
      </x:c>
      <x:c r="J191" t="n">
        <x:f>wimbledons_champions!V203</x:f>
        <x:v>0</x:v>
      </x:c>
    </x:row>
    <x:row r="192">
      <x:c r="A192" t="n">
        <x:f>wimbledons_champions!A204</x:f>
        <x:v>1914</x:v>
      </x:c>
      <x:c r="B192" t="str">
        <x:f>wimbledons_champions!B204</x:f>
        <x:v>Women's</x:v>
      </x:c>
      <x:c r="C192" s="9" t="str">
        <x:f>wimbledons_champions!C204</x:f>
        <x:v>D.L. Chambers</x:v>
      </x:c>
      <x:c r="D192" t="str">
        <x:f>wimbledons_champions!D204</x:f>
        <x:v>GBR</x:v>
      </x:c>
      <x:c r="E192" t="n">
        <x:f>wimbledons_champions!F204</x:f>
        <x:v>0</x:v>
      </x:c>
      <x:c r="F192" t="n">
        <x:f>wimbledons_champions!G204</x:f>
        <x:v>0</x:v>
      </x:c>
      <x:c r="G192" t="str">
        <x:f>wimbledons_champions!H204</x:f>
        <x:v>7-5, 6-4</x:v>
      </x:c>
      <x:c r="H192" t="str">
        <x:f>wimbledons_champions!S204</x:f>
        <x:v>D.T.R. Larcombe</x:v>
      </x:c>
      <x:c r="I192" t="str">
        <x:f>wimbledons_champions!T204</x:f>
        <x:v>GBR</x:v>
      </x:c>
      <x:c r="J192" t="n">
        <x:f>wimbledons_champions!V204</x:f>
        <x:v>0</x:v>
      </x:c>
    </x:row>
    <x:row r="193">
      <x:c r="A193" t="n">
        <x:f>wimbledons_champions!A205</x:f>
        <x:v>1914</x:v>
      </x:c>
      <x:c r="B193" t="str">
        <x:f>wimbledons_champions!B205</x:f>
        <x:v>Men's</x:v>
      </x:c>
      <x:c r="C193" s="9" t="str">
        <x:f>wimbledons_champions!C205</x:f>
        <x:v>N.E. Brookes</x:v>
      </x:c>
      <x:c r="D193" t="str">
        <x:f>wimbledons_champions!D205</x:f>
        <x:v>AUS</x:v>
      </x:c>
      <x:c r="E193" t="n">
        <x:f>wimbledons_champions!F205</x:f>
        <x:v>0</x:v>
      </x:c>
      <x:c r="F193" t="n">
        <x:f>wimbledons_champions!G205</x:f>
        <x:v>0</x:v>
      </x:c>
      <x:c r="G193" t="str">
        <x:f>wimbledons_champions!H205</x:f>
        <x:v>6-4, 6-4, 7-5</x:v>
      </x:c>
      <x:c r="H193" t="str">
        <x:f>wimbledons_champions!S205</x:f>
        <x:v>A.F. Wilding</x:v>
      </x:c>
      <x:c r="I193" t="str">
        <x:f>wimbledons_champions!T205</x:f>
        <x:v>NZL</x:v>
      </x:c>
      <x:c r="J193" t="n">
        <x:f>wimbledons_champions!V205</x:f>
        <x:v>0</x:v>
      </x:c>
    </x:row>
    <x:row r="194">
      <x:c r="A194" t="n">
        <x:f>wimbledons_champions!A206</x:f>
        <x:v>1913</x:v>
      </x:c>
      <x:c r="B194" t="str">
        <x:f>wimbledons_champions!B206</x:f>
        <x:v>Women's</x:v>
      </x:c>
      <x:c r="C194" s="9" t="str">
        <x:f>wimbledons_champions!C206</x:f>
        <x:v>D.L. Chambers</x:v>
      </x:c>
      <x:c r="D194" t="str">
        <x:f>wimbledons_champions!D206</x:f>
        <x:v>GBR</x:v>
      </x:c>
      <x:c r="E194" t="n">
        <x:f>wimbledons_champions!F206</x:f>
        <x:v>0</x:v>
      </x:c>
      <x:c r="F194" t="n">
        <x:f>wimbledons_champions!G206</x:f>
        <x:v>0</x:v>
      </x:c>
      <x:c r="G194" t="str">
        <x:f>wimbledons_champions!H206</x:f>
        <x:v>6-0, 6-4</x:v>
      </x:c>
      <x:c r="H194" t="str">
        <x:f>wimbledons_champions!S206</x:f>
        <x:v>R.J. McNair</x:v>
      </x:c>
      <x:c r="I194" t="str">
        <x:f>wimbledons_champions!T206</x:f>
        <x:v>GBR</x:v>
      </x:c>
      <x:c r="J194" t="n">
        <x:f>wimbledons_champions!V206</x:f>
        <x:v>0</x:v>
      </x:c>
    </x:row>
    <x:row r="195">
      <x:c r="A195" t="n">
        <x:f>wimbledons_champions!A207</x:f>
        <x:v>1913</x:v>
      </x:c>
      <x:c r="B195" t="str">
        <x:f>wimbledons_champions!B207</x:f>
        <x:v>Men's</x:v>
      </x:c>
      <x:c r="C195" s="9" t="str">
        <x:f>wimbledons_champions!C207</x:f>
        <x:v>A.F. Wilding</x:v>
      </x:c>
      <x:c r="D195" t="str">
        <x:f>wimbledons_champions!D207</x:f>
        <x:v>NZL</x:v>
      </x:c>
      <x:c r="E195" t="n">
        <x:f>wimbledons_champions!F207</x:f>
        <x:v>0</x:v>
      </x:c>
      <x:c r="F195" t="n">
        <x:f>wimbledons_champions!G207</x:f>
        <x:v>0</x:v>
      </x:c>
      <x:c r="G195" t="str">
        <x:f>wimbledons_champions!H207</x:f>
        <x:v>8-6, 6-3, 10-8</x:v>
      </x:c>
      <x:c r="H195" t="str">
        <x:f>wimbledons_champions!S207</x:f>
        <x:v>M.E. McLoughlin</x:v>
      </x:c>
      <x:c r="I195" t="str">
        <x:f>wimbledons_champions!T207</x:f>
        <x:v>USA</x:v>
      </x:c>
      <x:c r="J195" t="n">
        <x:f>wimbledons_champions!V207</x:f>
        <x:v>0</x:v>
      </x:c>
    </x:row>
    <x:row r="196">
      <x:c r="A196" t="n">
        <x:f>wimbledons_champions!A208</x:f>
        <x:v>1912</x:v>
      </x:c>
      <x:c r="B196" t="str">
        <x:f>wimbledons_champions!B208</x:f>
        <x:v>Women's</x:v>
      </x:c>
      <x:c r="C196" s="9" t="str">
        <x:f>wimbledons_champions!C208</x:f>
        <x:v>D.T.R. Larcombe</x:v>
      </x:c>
      <x:c r="D196" t="str">
        <x:f>wimbledons_champions!D208</x:f>
        <x:v>GBR</x:v>
      </x:c>
      <x:c r="E196" t="n">
        <x:f>wimbledons_champions!F208</x:f>
        <x:v>0</x:v>
      </x:c>
      <x:c r="F196" t="n">
        <x:f>wimbledons_champions!G208</x:f>
        <x:v>0</x:v>
      </x:c>
      <x:c r="G196" t="str">
        <x:f>wimbledons_champions!H208</x:f>
        <x:v>6-3, 6-1</x:v>
      </x:c>
      <x:c r="H196" t="str">
        <x:f>wimbledons_champions!S208</x:f>
        <x:v>C.R. Cooper</x:v>
      </x:c>
      <x:c r="I196" t="str">
        <x:f>wimbledons_champions!T208</x:f>
        <x:v>GBR</x:v>
      </x:c>
      <x:c r="J196" t="n">
        <x:f>wimbledons_champions!V208</x:f>
        <x:v>0</x:v>
      </x:c>
    </x:row>
    <x:row r="197">
      <x:c r="A197" t="n">
        <x:f>wimbledons_champions!A209</x:f>
        <x:v>1912</x:v>
      </x:c>
      <x:c r="B197" t="str">
        <x:f>wimbledons_champions!B209</x:f>
        <x:v>Men's</x:v>
      </x:c>
      <x:c r="C197" s="9" t="str">
        <x:f>wimbledons_champions!C209</x:f>
        <x:v>A.F. Wilding</x:v>
      </x:c>
      <x:c r="D197" t="str">
        <x:f>wimbledons_champions!D209</x:f>
        <x:v>NZL</x:v>
      </x:c>
      <x:c r="E197" t="n">
        <x:f>wimbledons_champions!F209</x:f>
        <x:v>0</x:v>
      </x:c>
      <x:c r="F197" t="n">
        <x:f>wimbledons_champions!G209</x:f>
        <x:v>0</x:v>
      </x:c>
      <x:c r="G197" t="str">
        <x:f>wimbledons_champions!H209</x:f>
        <x:v>6-4, 6-4, 4-6, 6-4</x:v>
      </x:c>
      <x:c r="H197" t="str">
        <x:f>wimbledons_champions!S209</x:f>
        <x:v>A.W. Gore</x:v>
      </x:c>
      <x:c r="I197" t="str">
        <x:f>wimbledons_champions!T209</x:f>
        <x:v>GBR</x:v>
      </x:c>
      <x:c r="J197" t="n">
        <x:f>wimbledons_champions!V209</x:f>
        <x:v>0</x:v>
      </x:c>
    </x:row>
    <x:row r="198">
      <x:c r="A198" t="n">
        <x:f>wimbledons_champions!A210</x:f>
        <x:v>1911</x:v>
      </x:c>
      <x:c r="B198" t="str">
        <x:f>wimbledons_champions!B210</x:f>
        <x:v>Women's</x:v>
      </x:c>
      <x:c r="C198" s="9" t="str">
        <x:f>wimbledons_champions!C210</x:f>
        <x:v>D.L. Chambers</x:v>
      </x:c>
      <x:c r="D198" t="str">
        <x:f>wimbledons_champions!D210</x:f>
        <x:v>GBR</x:v>
      </x:c>
      <x:c r="E198" t="n">
        <x:f>wimbledons_champions!F210</x:f>
        <x:v>0</x:v>
      </x:c>
      <x:c r="F198" t="n">
        <x:f>wimbledons_champions!G210</x:f>
        <x:v>25</x:v>
      </x:c>
      <x:c r="G198" t="str">
        <x:f>wimbledons_champions!H210</x:f>
        <x:v>6-0, 6-0</x:v>
      </x:c>
      <x:c r="H198" t="str">
        <x:f>wimbledons_champions!S210</x:f>
        <x:v>P.D.H. Boothby</x:v>
      </x:c>
      <x:c r="I198" t="str">
        <x:f>wimbledons_champions!T210</x:f>
        <x:v>GBR</x:v>
      </x:c>
      <x:c r="J198" t="n">
        <x:f>wimbledons_champions!V210</x:f>
        <x:v>0</x:v>
      </x:c>
    </x:row>
    <x:row r="199">
      <x:c r="A199" t="n">
        <x:f>wimbledons_champions!A211</x:f>
        <x:v>1911</x:v>
      </x:c>
      <x:c r="B199" t="str">
        <x:f>wimbledons_champions!B211</x:f>
        <x:v>Men's</x:v>
      </x:c>
      <x:c r="C199" s="9" t="str">
        <x:f>wimbledons_champions!C211</x:f>
        <x:v>A.F. Wilding</x:v>
      </x:c>
      <x:c r="D199" t="str">
        <x:f>wimbledons_champions!D211</x:f>
        <x:v>NZL</x:v>
      </x:c>
      <x:c r="E199" t="n">
        <x:f>wimbledons_champions!F211</x:f>
        <x:v>0</x:v>
      </x:c>
      <x:c r="F199" t="n">
        <x:f>wimbledons_champions!G211</x:f>
        <x:v>0</x:v>
      </x:c>
      <x:c r="G199" t="str">
        <x:f>wimbledons_champions!H211</x:f>
        <x:v>6-4, 4-6, 2-6, 6-2, retd</x:v>
      </x:c>
      <x:c r="H199" t="str">
        <x:f>wimbledons_champions!S211</x:f>
        <x:v>H.R. Barrett</x:v>
      </x:c>
      <x:c r="I199" t="str">
        <x:f>wimbledons_champions!T211</x:f>
        <x:v>GBR</x:v>
      </x:c>
      <x:c r="J199" t="n">
        <x:f>wimbledons_champions!V211</x:f>
        <x:v>0</x:v>
      </x:c>
    </x:row>
    <x:row r="200">
      <x:c r="A200" t="n">
        <x:f>wimbledons_champions!A212</x:f>
        <x:v>1910</x:v>
      </x:c>
      <x:c r="B200" t="str">
        <x:f>wimbledons_champions!B212</x:f>
        <x:v>Women's</x:v>
      </x:c>
      <x:c r="C200" s="9" t="str">
        <x:f>wimbledons_champions!C212</x:f>
        <x:v>D.L. Chambers</x:v>
      </x:c>
      <x:c r="D200" t="str">
        <x:f>wimbledons_champions!D212</x:f>
        <x:v>GBR</x:v>
      </x:c>
      <x:c r="E200" t="n">
        <x:f>wimbledons_champions!F212</x:f>
        <x:v>0</x:v>
      </x:c>
      <x:c r="F200" t="n">
        <x:f>wimbledons_champions!G212</x:f>
        <x:v>0</x:v>
      </x:c>
      <x:c r="G200" t="str">
        <x:f>wimbledons_champions!H212</x:f>
        <x:v>6-2, 6-2</x:v>
      </x:c>
      <x:c r="H200" t="str">
        <x:f>wimbledons_champions!S212</x:f>
        <x:v>P.D.H. Boothby</x:v>
      </x:c>
      <x:c r="I200" t="str">
        <x:f>wimbledons_champions!T212</x:f>
        <x:v>GBR</x:v>
      </x:c>
      <x:c r="J200" t="n">
        <x:f>wimbledons_champions!V212</x:f>
        <x:v>0</x:v>
      </x:c>
    </x:row>
    <x:row r="201">
      <x:c r="A201" t="n">
        <x:f>wimbledons_champions!A213</x:f>
        <x:v>1910</x:v>
      </x:c>
      <x:c r="B201" t="str">
        <x:f>wimbledons_champions!B213</x:f>
        <x:v>Men's</x:v>
      </x:c>
      <x:c r="C201" s="9" t="str">
        <x:f>wimbledons_champions!C213</x:f>
        <x:v>A.F. Wilding</x:v>
      </x:c>
      <x:c r="D201" t="str">
        <x:f>wimbledons_champions!D213</x:f>
        <x:v>NZL</x:v>
      </x:c>
      <x:c r="E201" t="n">
        <x:f>wimbledons_champions!F213</x:f>
        <x:v>0</x:v>
      </x:c>
      <x:c r="F201" t="n">
        <x:f>wimbledons_champions!G213</x:f>
        <x:v>0</x:v>
      </x:c>
      <x:c r="G201" t="str">
        <x:f>wimbledons_champions!H213</x:f>
        <x:v>6-4, 7-5, 4-6, 6-2</x:v>
      </x:c>
      <x:c r="H201" t="str">
        <x:f>wimbledons_champions!S213</x:f>
        <x:v>A.W. Gore</x:v>
      </x:c>
      <x:c r="I201" t="str">
        <x:f>wimbledons_champions!T213</x:f>
        <x:v>GBR</x:v>
      </x:c>
      <x:c r="J201" t="n">
        <x:f>wimbledons_champions!V213</x:f>
        <x:v>0</x:v>
      </x:c>
    </x:row>
    <x:row r="202">
      <x:c r="A202" t="n">
        <x:f>wimbledons_champions!A214</x:f>
        <x:v>1909</x:v>
      </x:c>
      <x:c r="B202" t="str">
        <x:f>wimbledons_champions!B214</x:f>
        <x:v>Women's</x:v>
      </x:c>
      <x:c r="C202" s="9" t="str">
        <x:f>wimbledons_champions!C214</x:f>
        <x:v>P.D.H. Boothby</x:v>
      </x:c>
      <x:c r="D202" t="str">
        <x:f>wimbledons_champions!D214</x:f>
        <x:v>GBR</x:v>
      </x:c>
      <x:c r="E202" t="n">
        <x:f>wimbledons_champions!F214</x:f>
        <x:v>0</x:v>
      </x:c>
      <x:c r="F202" t="n">
        <x:f>wimbledons_champions!G214</x:f>
        <x:v>0</x:v>
      </x:c>
      <x:c r="G202" t="str">
        <x:f>wimbledons_champions!H214</x:f>
        <x:v>6-4, 4-6, 8-6</x:v>
      </x:c>
      <x:c r="H202" t="str">
        <x:f>wimbledons_champions!S214</x:f>
        <x:v>A.M. Morton</x:v>
      </x:c>
      <x:c r="I202" t="str">
        <x:f>wimbledons_champions!T214</x:f>
        <x:v>GBR</x:v>
      </x:c>
      <x:c r="J202" t="n">
        <x:f>wimbledons_champions!V214</x:f>
        <x:v>0</x:v>
      </x:c>
    </x:row>
    <x:row r="203">
      <x:c r="A203" t="n">
        <x:f>wimbledons_champions!A215</x:f>
        <x:v>1909</x:v>
      </x:c>
      <x:c r="B203" t="str">
        <x:f>wimbledons_champions!B215</x:f>
        <x:v>Men's</x:v>
      </x:c>
      <x:c r="C203" s="9" t="str">
        <x:f>wimbledons_champions!C215</x:f>
        <x:v>A.W. Gore</x:v>
      </x:c>
      <x:c r="D203" t="str">
        <x:f>wimbledons_champions!D215</x:f>
        <x:v>GBR</x:v>
      </x:c>
      <x:c r="E203" t="n">
        <x:f>wimbledons_champions!F215</x:f>
        <x:v>0</x:v>
      </x:c>
      <x:c r="F203" t="n">
        <x:f>wimbledons_champions!G215</x:f>
        <x:v>95</x:v>
      </x:c>
      <x:c r="G203" t="str">
        <x:f>wimbledons_champions!H215</x:f>
        <x:v>6-8, 1-6, 6-2, 6-2, 6-2</x:v>
      </x:c>
      <x:c r="H203" t="str">
        <x:f>wimbledons_champions!S215</x:f>
        <x:v>M.J.G. Ritchie</x:v>
      </x:c>
      <x:c r="I203" t="str">
        <x:f>wimbledons_champions!T215</x:f>
        <x:v>GBR</x:v>
      </x:c>
      <x:c r="J203" t="n">
        <x:f>wimbledons_champions!V215</x:f>
        <x:v>0</x:v>
      </x:c>
    </x:row>
    <x:row r="204">
      <x:c r="A204" t="n">
        <x:f>wimbledons_champions!A216</x:f>
        <x:v>1908</x:v>
      </x:c>
      <x:c r="B204" t="str">
        <x:f>wimbledons_champions!B216</x:f>
        <x:v>Women's</x:v>
      </x:c>
      <x:c r="C204" s="9" t="str">
        <x:f>wimbledons_champions!C216</x:f>
        <x:v>C.R. Cooper</x:v>
      </x:c>
      <x:c r="D204" t="str">
        <x:f>wimbledons_champions!D216</x:f>
        <x:v>GBR</x:v>
      </x:c>
      <x:c r="E204" t="n">
        <x:f>wimbledons_champions!F216</x:f>
        <x:v>0</x:v>
      </x:c>
      <x:c r="F204" t="n">
        <x:f>wimbledons_champions!G216</x:f>
        <x:v>0</x:v>
      </x:c>
      <x:c r="G204" t="str">
        <x:f>wimbledons_champions!H216</x:f>
        <x:v>6-4, 6-4</x:v>
      </x:c>
      <x:c r="H204" t="str">
        <x:f>wimbledons_champions!S216</x:f>
        <x:v>A.M. Morton</x:v>
      </x:c>
      <x:c r="I204" t="str">
        <x:f>wimbledons_champions!T216</x:f>
        <x:v>GBR</x:v>
      </x:c>
      <x:c r="J204" t="n">
        <x:f>wimbledons_champions!V216</x:f>
        <x:v>0</x:v>
      </x:c>
    </x:row>
    <x:row r="205">
      <x:c r="A205" t="n">
        <x:f>wimbledons_champions!A217</x:f>
        <x:v>1908</x:v>
      </x:c>
      <x:c r="B205" t="str">
        <x:f>wimbledons_champions!B217</x:f>
        <x:v>Men's</x:v>
      </x:c>
      <x:c r="C205" s="9" t="str">
        <x:f>wimbledons_champions!C217</x:f>
        <x:v>A.W. Gore</x:v>
      </x:c>
      <x:c r="D205" t="str">
        <x:f>wimbledons_champions!D217</x:f>
        <x:v>GBR</x:v>
      </x:c>
      <x:c r="E205" t="n">
        <x:f>wimbledons_champions!F217</x:f>
        <x:v>0</x:v>
      </x:c>
      <x:c r="F205" t="n">
        <x:f>wimbledons_champions!G217</x:f>
        <x:v>0</x:v>
      </x:c>
      <x:c r="G205" t="str">
        <x:f>wimbledons_champions!H217</x:f>
        <x:v>6-3, 6-2, 4-6, 3-6, 6-4</x:v>
      </x:c>
      <x:c r="H205" t="str">
        <x:f>wimbledons_champions!S217</x:f>
        <x:v>H.R. Barrett</x:v>
      </x:c>
      <x:c r="I205" t="str">
        <x:f>wimbledons_champions!T217</x:f>
        <x:v>GBR</x:v>
      </x:c>
      <x:c r="J205" t="n">
        <x:f>wimbledons_champions!V217</x:f>
        <x:v>0</x:v>
      </x:c>
    </x:row>
    <x:row r="206">
      <x:c r="A206" t="n">
        <x:f>wimbledons_champions!A218</x:f>
        <x:v>1907</x:v>
      </x:c>
      <x:c r="B206" t="str">
        <x:f>wimbledons_champions!B218</x:f>
        <x:v>Women's</x:v>
      </x:c>
      <x:c r="C206" s="9" t="str">
        <x:f>wimbledons_champions!C218</x:f>
        <x:v>M.G. Sutton</x:v>
      </x:c>
      <x:c r="D206" t="str">
        <x:f>wimbledons_champions!D218</x:f>
        <x:v>USA</x:v>
      </x:c>
      <x:c r="E206" t="n">
        <x:f>wimbledons_champions!F218</x:f>
        <x:v>0</x:v>
      </x:c>
      <x:c r="F206" t="n">
        <x:f>wimbledons_champions!G218</x:f>
        <x:v>0</x:v>
      </x:c>
      <x:c r="G206" t="str">
        <x:f>wimbledons_champions!H218</x:f>
        <x:v>6-1, 6-4</x:v>
      </x:c>
      <x:c r="H206" t="str">
        <x:f>wimbledons_champions!S218</x:f>
        <x:v>D.L. Chambers</x:v>
      </x:c>
      <x:c r="I206" t="str">
        <x:f>wimbledons_champions!T218</x:f>
        <x:v>GBR</x:v>
      </x:c>
      <x:c r="J206" t="n">
        <x:f>wimbledons_champions!V218</x:f>
        <x:v>0</x:v>
      </x:c>
    </x:row>
    <x:row r="207">
      <x:c r="A207" t="n">
        <x:f>wimbledons_champions!A219</x:f>
        <x:v>1907</x:v>
      </x:c>
      <x:c r="B207" t="str">
        <x:f>wimbledons_champions!B219</x:f>
        <x:v>Men's</x:v>
      </x:c>
      <x:c r="C207" s="9" t="str">
        <x:f>wimbledons_champions!C219</x:f>
        <x:v>N.E. Brookes</x:v>
      </x:c>
      <x:c r="D207" t="str">
        <x:f>wimbledons_champions!D219</x:f>
        <x:v>AUS</x:v>
      </x:c>
      <x:c r="E207" t="n">
        <x:f>wimbledons_champions!F219</x:f>
        <x:v>0</x:v>
      </x:c>
      <x:c r="F207" t="n">
        <x:f>wimbledons_champions!G219</x:f>
        <x:v>0</x:v>
      </x:c>
      <x:c r="G207" t="str">
        <x:f>wimbledons_champions!H219</x:f>
        <x:v>6-4, 6-2, 6-2</x:v>
      </x:c>
      <x:c r="H207" t="str">
        <x:f>wimbledons_champions!S219</x:f>
        <x:v>A.W. Gore</x:v>
      </x:c>
      <x:c r="I207" t="str">
        <x:f>wimbledons_champions!T219</x:f>
        <x:v>GBR</x:v>
      </x:c>
      <x:c r="J207" t="n">
        <x:f>wimbledons_champions!V219</x:f>
        <x:v>0</x:v>
      </x:c>
    </x:row>
    <x:row r="208">
      <x:c r="A208" t="n">
        <x:f>wimbledons_champions!A220</x:f>
        <x:v>1906</x:v>
      </x:c>
      <x:c r="B208" t="str">
        <x:f>wimbledons_champions!B220</x:f>
        <x:v>Women's</x:v>
      </x:c>
      <x:c r="C208" s="14" t="str">
        <x:f>wimbledons_champions!C220</x:f>
        <x:v>D.L. Chambers</x:v>
      </x:c>
      <x:c r="D208" t="str">
        <x:f>wimbledons_champions!D220</x:f>
        <x:v>GBR</x:v>
      </x:c>
      <x:c r="E208" t="n">
        <x:f>wimbledons_champions!F220</x:f>
        <x:v>0</x:v>
      </x:c>
      <x:c r="F208" t="n">
        <x:f>wimbledons_champions!G220</x:f>
        <x:v>57</x:v>
      </x:c>
      <x:c r="G208" t="str">
        <x:f>wimbledons_champions!H220</x:f>
        <x:v>6-3, 9-7</x:v>
      </x:c>
      <x:c r="H208" t="str">
        <x:f>wimbledons_champions!S220</x:f>
        <x:v>M.G. Sutton</x:v>
      </x:c>
      <x:c r="I208" t="str">
        <x:f>wimbledons_champions!T220</x:f>
        <x:v>USA</x:v>
      </x:c>
      <x:c r="J208" t="n">
        <x:f>wimbledons_champions!V220</x:f>
        <x:v>0</x:v>
      </x:c>
    </x:row>
    <x:row r="209">
      <x:c r="A209" t="n">
        <x:f>wimbledons_champions!A221</x:f>
        <x:v>1906</x:v>
      </x:c>
      <x:c r="B209" t="str">
        <x:f>wimbledons_champions!B221</x:f>
        <x:v>Men's</x:v>
      </x:c>
      <x:c r="C209" s="9" t="str">
        <x:f>wimbledons_champions!C221</x:f>
        <x:v>H.L. Doherty</x:v>
      </x:c>
      <x:c r="D209" t="str">
        <x:f>wimbledons_champions!D221</x:f>
        <x:v>GBR</x:v>
      </x:c>
      <x:c r="E209" t="n">
        <x:f>wimbledons_champions!F221</x:f>
        <x:v>0</x:v>
      </x:c>
      <x:c r="F209" t="n">
        <x:f>wimbledons_champions!G221</x:f>
        <x:v>74</x:v>
      </x:c>
      <x:c r="G209" t="str">
        <x:f>wimbledons_champions!H221</x:f>
        <x:v>6-4, 4-6, 6-2, 6-3</x:v>
      </x:c>
      <x:c r="H209" t="str">
        <x:f>wimbledons_champions!S221</x:f>
        <x:v>F.L. Riseley</x:v>
      </x:c>
      <x:c r="I209" t="str">
        <x:f>wimbledons_champions!T221</x:f>
        <x:v>GBR</x:v>
      </x:c>
      <x:c r="J209" t="n">
        <x:f>wimbledons_champions!V221</x:f>
        <x:v>0</x:v>
      </x:c>
    </x:row>
    <x:row r="210">
      <x:c r="A210" t="n">
        <x:f>wimbledons_champions!A222</x:f>
        <x:v>1905</x:v>
      </x:c>
      <x:c r="B210" t="str">
        <x:f>wimbledons_champions!B222</x:f>
        <x:v>Women's</x:v>
      </x:c>
      <x:c r="C210" s="14" t="str">
        <x:f>wimbledons_champions!C222</x:f>
        <x:v>M.G. Sutton</x:v>
      </x:c>
      <x:c r="D210" t="str">
        <x:f>wimbledons_champions!D222</x:f>
        <x:v>USA</x:v>
      </x:c>
      <x:c r="E210" t="n">
        <x:f>wimbledons_champions!F222</x:f>
        <x:v>0</x:v>
      </x:c>
      <x:c r="F210" t="n">
        <x:f>wimbledons_champions!G222</x:f>
        <x:v>0</x:v>
      </x:c>
      <x:c r="G210" t="str">
        <x:f>wimbledons_champions!H222</x:f>
        <x:v>6-3, 6-4</x:v>
      </x:c>
      <x:c r="H210" t="str">
        <x:f>wimbledons_champions!S222</x:f>
        <x:v>D.L. Chambers</x:v>
      </x:c>
      <x:c r="I210" t="str">
        <x:f>wimbledons_champions!T222</x:f>
        <x:v>GBR</x:v>
      </x:c>
      <x:c r="J210" t="n">
        <x:f>wimbledons_champions!V222</x:f>
        <x:v>0</x:v>
      </x:c>
    </x:row>
    <x:row r="211">
      <x:c r="A211" t="n">
        <x:f>wimbledons_champions!A223</x:f>
        <x:v>1905</x:v>
      </x:c>
      <x:c r="B211" t="str">
        <x:f>wimbledons_champions!B223</x:f>
        <x:v>Men's</x:v>
      </x:c>
      <x:c r="C211" s="9" t="str">
        <x:f>wimbledons_champions!C223</x:f>
        <x:v>H.L. Doherty</x:v>
      </x:c>
      <x:c r="D211" t="str">
        <x:f>wimbledons_champions!D223</x:f>
        <x:v>GBR</x:v>
      </x:c>
      <x:c r="E211" t="n">
        <x:f>wimbledons_champions!F223</x:f>
        <x:v>0</x:v>
      </x:c>
      <x:c r="F211" t="n">
        <x:f>wimbledons_champions!G223</x:f>
        <x:v>65</x:v>
      </x:c>
      <x:c r="G211" t="str">
        <x:f>wimbledons_champions!H223</x:f>
        <x:v>8-6, 6-2, 6-4</x:v>
      </x:c>
      <x:c r="H211" t="str">
        <x:f>wimbledons_champions!S223</x:f>
        <x:v>N.E. Brookes</x:v>
      </x:c>
      <x:c r="I211" t="str">
        <x:f>wimbledons_champions!T223</x:f>
        <x:v>AUS</x:v>
      </x:c>
      <x:c r="J211" t="n">
        <x:f>wimbledons_champions!V223</x:f>
        <x:v>0</x:v>
      </x:c>
    </x:row>
    <x:row r="212">
      <x:c r="A212" t="n">
        <x:f>wimbledons_champions!A224</x:f>
        <x:v>1904</x:v>
      </x:c>
      <x:c r="B212" t="str">
        <x:f>wimbledons_champions!B224</x:f>
        <x:v>Women's</x:v>
      </x:c>
      <x:c r="C212" s="14" t="str">
        <x:f>wimbledons_champions!C224</x:f>
        <x:v>D.L. Chambers</x:v>
      </x:c>
      <x:c r="D212" t="str">
        <x:f>wimbledons_champions!D224</x:f>
        <x:v>GBR</x:v>
      </x:c>
      <x:c r="E212" t="n">
        <x:f>wimbledons_champions!F224</x:f>
        <x:v>0</x:v>
      </x:c>
      <x:c r="F212" t="n">
        <x:f>wimbledons_champions!G224</x:f>
        <x:v>0</x:v>
      </x:c>
      <x:c r="G212" t="str">
        <x:f>wimbledons_champions!H224</x:f>
        <x:v>6-0, 6-3</x:v>
      </x:c>
      <x:c r="H212" t="str">
        <x:f>wimbledons_champions!S224</x:f>
        <x:v>C.R. Cooper</x:v>
      </x:c>
      <x:c r="I212" t="str">
        <x:f>wimbledons_champions!T224</x:f>
        <x:v>GBR</x:v>
      </x:c>
      <x:c r="J212" t="n">
        <x:f>wimbledons_champions!V224</x:f>
        <x:v>0</x:v>
      </x:c>
    </x:row>
    <x:row r="213">
      <x:c r="A213" t="n">
        <x:f>wimbledons_champions!A225</x:f>
        <x:v>1904</x:v>
      </x:c>
      <x:c r="B213" t="str">
        <x:f>wimbledons_champions!B225</x:f>
        <x:v>Men's</x:v>
      </x:c>
      <x:c r="C213" s="9" t="str">
        <x:f>wimbledons_champions!C225</x:f>
        <x:v>H.L. Doherty</x:v>
      </x:c>
      <x:c r="D213" t="str">
        <x:f>wimbledons_champions!D225</x:f>
        <x:v>GBR</x:v>
      </x:c>
      <x:c r="E213" t="n">
        <x:f>wimbledons_champions!F225</x:f>
        <x:v>0</x:v>
      </x:c>
      <x:c r="F213" t="n">
        <x:f>wimbledons_champions!G225</x:f>
        <x:v>0</x:v>
      </x:c>
      <x:c r="G213" t="str">
        <x:f>wimbledons_champions!H225</x:f>
        <x:v>6-1, 7-5, 8-6</x:v>
      </x:c>
      <x:c r="H213" t="str">
        <x:f>wimbledons_champions!S225</x:f>
        <x:v>F.L. Riseley</x:v>
      </x:c>
      <x:c r="I213" t="str">
        <x:f>wimbledons_champions!T225</x:f>
        <x:v>GBR</x:v>
      </x:c>
      <x:c r="J213" t="n">
        <x:f>wimbledons_champions!V225</x:f>
        <x:v>0</x:v>
      </x:c>
    </x:row>
    <x:row r="214">
      <x:c r="A214" t="n">
        <x:f>wimbledons_champions!A226</x:f>
        <x:v>1903</x:v>
      </x:c>
      <x:c r="B214" t="str">
        <x:f>wimbledons_champions!B226</x:f>
        <x:v>Women's</x:v>
      </x:c>
      <x:c r="C214" s="14" t="str">
        <x:f>wimbledons_champions!C226</x:f>
        <x:v>D.L. Chambers</x:v>
      </x:c>
      <x:c r="D214" t="str">
        <x:f>wimbledons_champions!D226</x:f>
        <x:v>GBR</x:v>
      </x:c>
      <x:c r="E214" t="n">
        <x:f>wimbledons_champions!F226</x:f>
        <x:v>0</x:v>
      </x:c>
      <x:c r="F214" t="n">
        <x:f>wimbledons_champions!G226</x:f>
        <x:v>0</x:v>
      </x:c>
      <x:c r="G214" t="str">
        <x:f>wimbledons_champions!H226</x:f>
        <x:v>4-6, 6-4, 6-2</x:v>
      </x:c>
      <x:c r="H214" t="str">
        <x:f>wimbledons_champions!S226</x:f>
        <x:v>E.W. Thomson</x:v>
      </x:c>
      <x:c r="I214" t="str">
        <x:f>wimbledons_champions!T226</x:f>
        <x:v>GBR</x:v>
      </x:c>
      <x:c r="J214" t="n">
        <x:f>wimbledons_champions!V226</x:f>
        <x:v>0</x:v>
      </x:c>
    </x:row>
    <x:row r="215">
      <x:c r="A215" t="n">
        <x:f>wimbledons_champions!A227</x:f>
        <x:v>1903</x:v>
      </x:c>
      <x:c r="B215" t="str">
        <x:f>wimbledons_champions!B227</x:f>
        <x:v>Men's</x:v>
      </x:c>
      <x:c r="C215" s="9" t="str">
        <x:f>wimbledons_champions!C227</x:f>
        <x:v>H.L. Doherty</x:v>
      </x:c>
      <x:c r="D215" t="str">
        <x:f>wimbledons_champions!D227</x:f>
        <x:v>GBR</x:v>
      </x:c>
      <x:c r="E215" t="n">
        <x:f>wimbledons_champions!F227</x:f>
        <x:v>0</x:v>
      </x:c>
      <x:c r="F215" t="n">
        <x:f>wimbledons_champions!G227</x:f>
        <x:v>0</x:v>
      </x:c>
      <x:c r="G215" t="str">
        <x:f>wimbledons_champions!H227</x:f>
        <x:v>7-5, 6-3, 6-0</x:v>
      </x:c>
      <x:c r="H215" t="str">
        <x:f>wimbledons_champions!S227</x:f>
        <x:v>F.L. Riseley</x:v>
      </x:c>
      <x:c r="I215" t="str">
        <x:f>wimbledons_champions!T227</x:f>
        <x:v>GBR</x:v>
      </x:c>
      <x:c r="J215" t="n">
        <x:f>wimbledons_champions!V227</x:f>
        <x:v>0</x:v>
      </x:c>
    </x:row>
    <x:row r="216">
      <x:c r="A216" t="n">
        <x:f>wimbledons_champions!A228</x:f>
        <x:v>1902</x:v>
      </x:c>
      <x:c r="B216" t="str">
        <x:f>wimbledons_champions!B228</x:f>
        <x:v>Women's</x:v>
      </x:c>
      <x:c r="C216" s="14" t="str">
        <x:f>wimbledons_champions!C228</x:f>
        <x:v>M.E. Robb</x:v>
      </x:c>
      <x:c r="D216" t="str">
        <x:f>wimbledons_champions!D228</x:f>
        <x:v>GBR</x:v>
      </x:c>
      <x:c r="E216" t="n">
        <x:f>wimbledons_champions!F228</x:f>
        <x:v>0</x:v>
      </x:c>
      <x:c r="F216" t="n">
        <x:f>wimbledons_champions!G228</x:f>
        <x:v>0</x:v>
      </x:c>
      <x:c r="G216" t="str">
        <x:f>wimbledons_champions!H228</x:f>
        <x:v>7-5, 6-1</x:v>
      </x:c>
      <x:c r="H216" t="str">
        <x:f>wimbledons_champions!S228</x:f>
        <x:v>C.R. Cooper</x:v>
      </x:c>
      <x:c r="I216" t="str">
        <x:f>wimbledons_champions!T228</x:f>
        <x:v>GBR</x:v>
      </x:c>
      <x:c r="J216" t="n">
        <x:f>wimbledons_champions!V228</x:f>
        <x:v>0</x:v>
      </x:c>
    </x:row>
    <x:row r="217">
      <x:c r="A217" t="n">
        <x:f>wimbledons_champions!A229</x:f>
        <x:v>1902</x:v>
      </x:c>
      <x:c r="B217" t="str">
        <x:f>wimbledons_champions!B229</x:f>
        <x:v>Men's</x:v>
      </x:c>
      <x:c r="C217" s="9" t="str">
        <x:f>wimbledons_champions!C229</x:f>
        <x:v>H.L. Doherty</x:v>
      </x:c>
      <x:c r="D217" t="str">
        <x:f>wimbledons_champions!D229</x:f>
        <x:v>GBR</x:v>
      </x:c>
      <x:c r="E217" t="n">
        <x:f>wimbledons_champions!F229</x:f>
        <x:v>0</x:v>
      </x:c>
      <x:c r="F217" t="n">
        <x:f>wimbledons_champions!G229</x:f>
        <x:v>84</x:v>
      </x:c>
      <x:c r="G217" t="str">
        <x:f>wimbledons_champions!H229</x:f>
        <x:v>6-4, 6-3, 3-6, 6-0</x:v>
      </x:c>
      <x:c r="H217" t="str">
        <x:f>wimbledons_champions!S229</x:f>
        <x:v>A.W. Gore</x:v>
      </x:c>
      <x:c r="I217" t="str">
        <x:f>wimbledons_champions!T229</x:f>
        <x:v>GBR</x:v>
      </x:c>
      <x:c r="J217" t="n">
        <x:f>wimbledons_champions!V229</x:f>
        <x:v>0</x:v>
      </x:c>
    </x:row>
    <x:row r="218">
      <x:c r="A218" t="n">
        <x:f>wimbledons_champions!A230</x:f>
        <x:v>1901</x:v>
      </x:c>
      <x:c r="B218" t="str">
        <x:f>wimbledons_champions!B230</x:f>
        <x:v>Women's</x:v>
      </x:c>
      <x:c r="C218" s="9" t="str">
        <x:f>wimbledons_champions!C230</x:f>
        <x:v>C.R. Cooper</x:v>
      </x:c>
      <x:c r="D218" t="str">
        <x:f>wimbledons_champions!D230</x:f>
        <x:v>GBR</x:v>
      </x:c>
      <x:c r="E218" t="n">
        <x:f>wimbledons_champions!F230</x:f>
        <x:v>0</x:v>
      </x:c>
      <x:c r="F218" t="n">
        <x:f>wimbledons_champions!G230</x:f>
        <x:v>0</x:v>
      </x:c>
      <x:c r="G218" t="str">
        <x:f>wimbledons_champions!H230</x:f>
        <x:v>6-2, 6-2</x:v>
      </x:c>
      <x:c r="H218" t="str">
        <x:f>wimbledons_champions!S230</x:f>
        <x:v>G.W. Hillyard</x:v>
      </x:c>
      <x:c r="I218" t="str">
        <x:f>wimbledons_champions!T230</x:f>
        <x:v>GBR</x:v>
      </x:c>
      <x:c r="J218" t="n">
        <x:f>wimbledons_champions!V230</x:f>
        <x:v>0</x:v>
      </x:c>
    </x:row>
    <x:row r="219">
      <x:c r="A219" t="n">
        <x:f>wimbledons_champions!A231</x:f>
        <x:v>1901</x:v>
      </x:c>
      <x:c r="B219" t="str">
        <x:f>wimbledons_champions!B231</x:f>
        <x:v>Men's</x:v>
      </x:c>
      <x:c r="C219" s="9" t="str">
        <x:f>wimbledons_champions!C231</x:f>
        <x:v>A.W. Gore</x:v>
      </x:c>
      <x:c r="D219" t="str">
        <x:f>wimbledons_champions!D231</x:f>
        <x:v>GBR</x:v>
      </x:c>
      <x:c r="E219" t="n">
        <x:f>wimbledons_champions!F231</x:f>
        <x:v>0</x:v>
      </x:c>
      <x:c r="F219" t="n">
        <x:f>wimbledons_champions!G231</x:f>
        <x:v>95</x:v>
      </x:c>
      <x:c r="G219" t="str">
        <x:f>wimbledons_champions!H231</x:f>
        <x:v>4-6, 7-5, 6-4, 6-4</x:v>
      </x:c>
      <x:c r="H219" t="str">
        <x:f>wimbledons_champions!S231</x:f>
        <x:v>R.F. Doherty</x:v>
      </x:c>
      <x:c r="I219" t="str">
        <x:f>wimbledons_champions!T231</x:f>
        <x:v>GBR</x:v>
      </x:c>
      <x:c r="J219" t="n">
        <x:f>wimbledons_champions!V231</x:f>
        <x:v>0</x:v>
      </x:c>
    </x:row>
    <x:row r="220">
      <x:c r="A220" t="n">
        <x:f>wimbledons_champions!A232</x:f>
        <x:v>1900</x:v>
      </x:c>
      <x:c r="B220" t="str">
        <x:f>wimbledons_champions!B232</x:f>
        <x:v>Women's</x:v>
      </x:c>
      <x:c r="C220" s="9" t="str">
        <x:f>wimbledons_champions!C232</x:f>
        <x:v>G.W. Hillyard</x:v>
      </x:c>
      <x:c r="D220" t="str">
        <x:f>wimbledons_champions!D232</x:f>
        <x:v>GBR</x:v>
      </x:c>
      <x:c r="E220" t="n">
        <x:f>wimbledons_champions!F232</x:f>
        <x:v>0</x:v>
      </x:c>
      <x:c r="F220" t="n">
        <x:f>wimbledons_champions!G232</x:f>
        <x:v>0</x:v>
      </x:c>
      <x:c r="G220" t="str">
        <x:f>wimbledons_champions!H232</x:f>
        <x:v>4-6, 6-4, 6-4</x:v>
      </x:c>
      <x:c r="H220" t="str">
        <x:f>wimbledons_champions!S232</x:f>
        <x:v>C.R. Cooper</x:v>
      </x:c>
      <x:c r="I220" t="str">
        <x:f>wimbledons_champions!T232</x:f>
        <x:v>GBR</x:v>
      </x:c>
      <x:c r="J220" t="n">
        <x:f>wimbledons_champions!V232</x:f>
        <x:v>0</x:v>
      </x:c>
    </x:row>
    <x:row r="221">
      <x:c r="A221" t="n">
        <x:f>wimbledons_champions!A233</x:f>
        <x:v>1900</x:v>
      </x:c>
      <x:c r="B221" t="str">
        <x:f>wimbledons_champions!B233</x:f>
        <x:v>Men's</x:v>
      </x:c>
      <x:c r="C221" s="14" t="str">
        <x:f>wimbledons_champions!C233</x:f>
        <x:v>R.F. Doherty</x:v>
      </x:c>
      <x:c r="D221" t="str">
        <x:f>wimbledons_champions!D233</x:f>
        <x:v>GBR</x:v>
      </x:c>
      <x:c r="E221" t="n">
        <x:f>wimbledons_champions!F233</x:f>
        <x:v>0</x:v>
      </x:c>
      <x:c r="F221" t="n">
        <x:f>wimbledons_champions!G233</x:f>
        <x:v>0</x:v>
      </x:c>
      <x:c r="G221" t="str">
        <x:f>wimbledons_champions!H233</x:f>
        <x:v>6-8, 6-3, 6-1, 6-2</x:v>
      </x:c>
      <x:c r="H221" t="str">
        <x:f>wimbledons_champions!S233</x:f>
        <x:v>S.H. Smith</x:v>
      </x:c>
      <x:c r="I221" t="str">
        <x:f>wimbledons_champions!T233</x:f>
        <x:v>GBR</x:v>
      </x:c>
      <x:c r="J221" t="n">
        <x:f>wimbledons_champions!V233</x:f>
        <x:v>0</x:v>
      </x:c>
    </x:row>
    <x:row r="222">
      <x:c r="A222" t="n">
        <x:f>wimbledons_champions!A234</x:f>
        <x:v>1899</x:v>
      </x:c>
      <x:c r="B222" t="str">
        <x:f>wimbledons_champions!B234</x:f>
        <x:v>Women's</x:v>
      </x:c>
      <x:c r="C222" s="9" t="str">
        <x:f>wimbledons_champions!C234</x:f>
        <x:v>G.W. Hillyard</x:v>
      </x:c>
      <x:c r="D222" t="str">
        <x:f>wimbledons_champions!D234</x:f>
        <x:v>GBR</x:v>
      </x:c>
      <x:c r="E222" t="n">
        <x:f>wimbledons_champions!F234</x:f>
        <x:v>0</x:v>
      </x:c>
      <x:c r="F222" t="n">
        <x:f>wimbledons_champions!G234</x:f>
        <x:v>0</x:v>
      </x:c>
      <x:c r="G222" t="str">
        <x:f>wimbledons_champions!H234</x:f>
        <x:v>6-2, 6-3</x:v>
      </x:c>
      <x:c r="H222" t="str">
        <x:f>wimbledons_champions!S234</x:f>
        <x:v>C.R. Cooper</x:v>
      </x:c>
      <x:c r="I222" t="str">
        <x:f>wimbledons_champions!T234</x:f>
        <x:v>GBR</x:v>
      </x:c>
      <x:c r="J222" t="n">
        <x:f>wimbledons_champions!V234</x:f>
        <x:v>0</x:v>
      </x:c>
    </x:row>
    <x:row r="223">
      <x:c r="A223" t="n">
        <x:f>wimbledons_champions!A235</x:f>
        <x:v>1899</x:v>
      </x:c>
      <x:c r="B223" t="str">
        <x:f>wimbledons_champions!B235</x:f>
        <x:v>Men's</x:v>
      </x:c>
      <x:c r="C223" s="14" t="str">
        <x:f>wimbledons_champions!C235</x:f>
        <x:v>R.F. Doherty</x:v>
      </x:c>
      <x:c r="D223" t="str">
        <x:f>wimbledons_champions!D235</x:f>
        <x:v>GBR</x:v>
      </x:c>
      <x:c r="E223" t="n">
        <x:f>wimbledons_champions!F235</x:f>
        <x:v>0</x:v>
      </x:c>
      <x:c r="F223" t="n">
        <x:f>wimbledons_champions!G235</x:f>
        <x:v>0</x:v>
      </x:c>
      <x:c r="G223" t="str">
        <x:f>wimbledons_champions!H235</x:f>
        <x:v>1-6, 4-6, 6-3, 6-3, 6-3</x:v>
      </x:c>
      <x:c r="H223" t="str">
        <x:f>wimbledons_champions!S235</x:f>
        <x:v>A.W. Gore</x:v>
      </x:c>
      <x:c r="I223" t="str">
        <x:f>wimbledons_champions!T235</x:f>
        <x:v>GBR</x:v>
      </x:c>
      <x:c r="J223" t="n">
        <x:f>wimbledons_champions!V235</x:f>
        <x:v>0</x:v>
      </x:c>
    </x:row>
    <x:row r="224">
      <x:c r="A224" t="n">
        <x:f>wimbledons_champions!A236</x:f>
        <x:v>1898</x:v>
      </x:c>
      <x:c r="B224" t="str">
        <x:f>wimbledons_champions!B236</x:f>
        <x:v>Women's</x:v>
      </x:c>
      <x:c r="C224" s="9" t="str">
        <x:f>wimbledons_champions!C236</x:f>
        <x:v>C.R. Cooper</x:v>
      </x:c>
      <x:c r="D224" t="str">
        <x:f>wimbledons_champions!D236</x:f>
        <x:v>GBR</x:v>
      </x:c>
      <x:c r="E224" t="n">
        <x:f>wimbledons_champions!F236</x:f>
        <x:v>0</x:v>
      </x:c>
      <x:c r="F224" t="n">
        <x:f>wimbledons_champions!G236</x:f>
        <x:v>0</x:v>
      </x:c>
      <x:c r="G224" t="str">
        <x:f>wimbledons_champions!H236</x:f>
        <x:v>6-4, 6-4</x:v>
      </x:c>
      <x:c r="H224" t="str">
        <x:f>wimbledons_champions!S236</x:f>
        <x:v>M.L.Martin</x:v>
      </x:c>
      <x:c r="I224" t="str">
        <x:f>wimbledons_champions!T236</x:f>
        <x:v>GBR</x:v>
      </x:c>
      <x:c r="J224" t="n">
        <x:f>wimbledons_champions!V236</x:f>
        <x:v>0</x:v>
      </x:c>
    </x:row>
    <x:row r="225">
      <x:c r="A225" t="n">
        <x:f>wimbledons_champions!A237</x:f>
        <x:v>1898</x:v>
      </x:c>
      <x:c r="B225" t="str">
        <x:f>wimbledons_champions!B237</x:f>
        <x:v>Men's</x:v>
      </x:c>
      <x:c r="C225" s="9" t="str">
        <x:f>wimbledons_champions!C237</x:f>
        <x:v>R.F. Doherty</x:v>
      </x:c>
      <x:c r="D225" t="str">
        <x:f>wimbledons_champions!D237</x:f>
        <x:v>GBR</x:v>
      </x:c>
      <x:c r="E225" t="n">
        <x:f>wimbledons_champions!F237</x:f>
        <x:v>0</x:v>
      </x:c>
      <x:c r="F225" t="n">
        <x:f>wimbledons_champions!G237</x:f>
        <x:v>55</x:v>
      </x:c>
      <x:c r="G225" t="str">
        <x:f>wimbledons_champions!H237</x:f>
        <x:v>6-3, 6-3, 2-6, 5-7, 6-1</x:v>
      </x:c>
      <x:c r="H225" t="str">
        <x:f>wimbledons_champions!S237</x:f>
        <x:v>H.L. Doherty</x:v>
      </x:c>
      <x:c r="I225" t="str">
        <x:f>wimbledons_champions!T237</x:f>
        <x:v>GBR</x:v>
      </x:c>
      <x:c r="J225" t="n">
        <x:f>wimbledons_champions!V237</x:f>
        <x:v>0</x:v>
      </x:c>
    </x:row>
    <x:row r="226">
      <x:c r="A226" t="n">
        <x:f>wimbledons_champions!A238</x:f>
        <x:v>1897</x:v>
      </x:c>
      <x:c r="B226" t="str">
        <x:f>wimbledons_champions!B238</x:f>
        <x:v>Women's</x:v>
      </x:c>
      <x:c r="C226" s="9" t="str">
        <x:f>wimbledons_champions!C238</x:f>
        <x:v>G.W. Hillyard</x:v>
      </x:c>
      <x:c r="D226" t="str">
        <x:f>wimbledons_champions!D238</x:f>
        <x:v>GBR</x:v>
      </x:c>
      <x:c r="E226" t="n">
        <x:f>wimbledons_champions!F238</x:f>
        <x:v>0</x:v>
      </x:c>
      <x:c r="F226" t="n">
        <x:f>wimbledons_champions!G238</x:f>
        <x:v>0</x:v>
      </x:c>
      <x:c r="G226" t="str">
        <x:f>wimbledons_champions!H238</x:f>
        <x:v>5-7, 7-5, 6-2</x:v>
      </x:c>
      <x:c r="H226" t="str">
        <x:f>wimbledons_champions!S238</x:f>
        <x:v>C.R. Cooper</x:v>
      </x:c>
      <x:c r="I226" t="str">
        <x:f>wimbledons_champions!T238</x:f>
        <x:v>GBR</x:v>
      </x:c>
      <x:c r="J226" t="n">
        <x:f>wimbledons_champions!V238</x:f>
        <x:v>0</x:v>
      </x:c>
    </x:row>
    <x:row r="227">
      <x:c r="A227" t="n">
        <x:f>wimbledons_champions!A239</x:f>
        <x:v>1897</x:v>
      </x:c>
      <x:c r="B227" t="str">
        <x:f>wimbledons_champions!B239</x:f>
        <x:v>Men's</x:v>
      </x:c>
      <x:c r="C227" s="14" t="str">
        <x:f>wimbledons_champions!C239</x:f>
        <x:v>R.F. Doherty</x:v>
      </x:c>
      <x:c r="D227" t="str">
        <x:f>wimbledons_champions!D239</x:f>
        <x:v>GBR</x:v>
      </x:c>
      <x:c r="E227" t="n">
        <x:f>wimbledons_champions!F239</x:f>
        <x:v>0</x:v>
      </x:c>
      <x:c r="F227" t="n">
        <x:f>wimbledons_champions!G239</x:f>
        <x:v>67</x:v>
      </x:c>
      <x:c r="G227" t="str">
        <x:f>wimbledons_champions!H239</x:f>
        <x:v>6-4, 6-4, 6-3</x:v>
      </x:c>
      <x:c r="H227" t="str">
        <x:f>wimbledons_champions!S239</x:f>
        <x:v>H.S. Mahony</x:v>
      </x:c>
      <x:c r="I227" t="str">
        <x:f>wimbledons_champions!T239</x:f>
        <x:v>GBR</x:v>
      </x:c>
      <x:c r="J227" t="n">
        <x:f>wimbledons_champions!V239</x:f>
        <x:v>0</x:v>
      </x:c>
    </x:row>
    <x:row r="228">
      <x:c r="A228" t="n">
        <x:f>wimbledons_champions!A240</x:f>
        <x:v>1896</x:v>
      </x:c>
      <x:c r="B228" t="str">
        <x:f>wimbledons_champions!B240</x:f>
        <x:v>Women's</x:v>
      </x:c>
      <x:c r="C228" s="9" t="str">
        <x:f>wimbledons_champions!C240</x:f>
        <x:v>C.R. Cooper</x:v>
      </x:c>
      <x:c r="D228" t="str">
        <x:f>wimbledons_champions!D240</x:f>
        <x:v>GBR</x:v>
      </x:c>
      <x:c r="E228" t="n">
        <x:f>wimbledons_champions!F240</x:f>
        <x:v>0</x:v>
      </x:c>
      <x:c r="F228" t="n">
        <x:f>wimbledons_champions!G240</x:f>
        <x:v>0</x:v>
      </x:c>
      <x:c r="G228" t="str">
        <x:f>wimbledons_champions!H240</x:f>
        <x:v>6-2, 6-3</x:v>
      </x:c>
      <x:c r="H228" t="str">
        <x:f>wimbledons_champions!S240</x:f>
        <x:v>W.H. Pickering</x:v>
      </x:c>
      <x:c r="I228" t="str">
        <x:f>wimbledons_champions!T240</x:f>
        <x:v>GBR</x:v>
      </x:c>
      <x:c r="J228" t="n">
        <x:f>wimbledons_champions!V240</x:f>
        <x:v>0</x:v>
      </x:c>
    </x:row>
    <x:row r="229">
      <x:c r="A229" t="n">
        <x:f>wimbledons_champions!A241</x:f>
        <x:v>1896</x:v>
      </x:c>
      <x:c r="B229" t="str">
        <x:f>wimbledons_champions!B241</x:f>
        <x:v>Men's</x:v>
      </x:c>
      <x:c r="C229" s="9" t="str">
        <x:f>wimbledons_champions!C241</x:f>
        <x:v>H.S. Mahony</x:v>
      </x:c>
      <x:c r="D229" t="str">
        <x:f>wimbledons_champions!D241</x:f>
        <x:v>GBR</x:v>
      </x:c>
      <x:c r="E229" t="n">
        <x:f>wimbledons_champions!F241</x:f>
        <x:v>0</x:v>
      </x:c>
      <x:c r="F229" t="n">
        <x:f>wimbledons_champions!G241</x:f>
        <x:v>120</x:v>
      </x:c>
      <x:c r="G229" t="str">
        <x:f>wimbledons_champions!H241</x:f>
        <x:v>6-2, 6-8, 5-7, 8-6, 6-3</x:v>
      </x:c>
      <x:c r="H229" t="str">
        <x:f>wimbledons_champions!S241</x:f>
        <x:v>W. Baddeley</x:v>
      </x:c>
      <x:c r="I229" t="str">
        <x:f>wimbledons_champions!T241</x:f>
        <x:v>GBR</x:v>
      </x:c>
      <x:c r="J229" t="n">
        <x:f>wimbledons_champions!V241</x:f>
        <x:v>0</x:v>
      </x:c>
    </x:row>
    <x:row r="230">
      <x:c r="A230" t="n">
        <x:f>wimbledons_champions!A242</x:f>
        <x:v>1895</x:v>
      </x:c>
      <x:c r="B230" t="str">
        <x:f>wimbledons_champions!B242</x:f>
        <x:v>Women's</x:v>
      </x:c>
      <x:c r="C230" s="9" t="str">
        <x:f>wimbledons_champions!C242</x:f>
        <x:v>C.R. Cooper</x:v>
      </x:c>
      <x:c r="D230" t="str">
        <x:f>wimbledons_champions!D242</x:f>
        <x:v>GBR</x:v>
      </x:c>
      <x:c r="E230" t="n">
        <x:f>wimbledons_champions!F242</x:f>
        <x:v>0</x:v>
      </x:c>
      <x:c r="F230" t="n">
        <x:f>wimbledons_champions!G242</x:f>
        <x:v>0</x:v>
      </x:c>
      <x:c r="G230" t="str">
        <x:f>wimbledons_champions!H242</x:f>
        <x:v>7-5, 8-6</x:v>
      </x:c>
      <x:c r="H230" t="str">
        <x:f>wimbledons_champions!S242</x:f>
        <x:v>H. Jackson</x:v>
      </x:c>
      <x:c r="I230" t="str">
        <x:f>wimbledons_champions!T242</x:f>
        <x:v>GBR</x:v>
      </x:c>
      <x:c r="J230" t="n">
        <x:f>wimbledons_champions!V242</x:f>
        <x:v>0</x:v>
      </x:c>
    </x:row>
    <x:row r="231">
      <x:c r="A231" t="n">
        <x:f>wimbledons_champions!A243</x:f>
        <x:v>1895</x:v>
      </x:c>
      <x:c r="B231" t="str">
        <x:f>wimbledons_champions!B243</x:f>
        <x:v>Men's</x:v>
      </x:c>
      <x:c r="C231" s="9" t="str">
        <x:f>wimbledons_champions!C243</x:f>
        <x:v>W. Baddeley</x:v>
      </x:c>
      <x:c r="D231" t="str">
        <x:f>wimbledons_champions!D243</x:f>
        <x:v>GBR</x:v>
      </x:c>
      <x:c r="E231" t="n">
        <x:f>wimbledons_champions!F243</x:f>
        <x:v>0</x:v>
      </x:c>
      <x:c r="F231" t="n">
        <x:f>wimbledons_champions!G243</x:f>
        <x:v>95</x:v>
      </x:c>
      <x:c r="G231" t="str">
        <x:f>wimbledons_champions!H243</x:f>
        <x:v>4-6, 2-6, 8-6, 6-2, 6-3</x:v>
      </x:c>
      <x:c r="H231" t="str">
        <x:f>wimbledons_champions!S243</x:f>
        <x:v>W.V. Eaves</x:v>
      </x:c>
      <x:c r="I231" t="str">
        <x:f>wimbledons_champions!T243</x:f>
        <x:v>GBR</x:v>
      </x:c>
      <x:c r="J231" t="n">
        <x:f>wimbledons_champions!V243</x:f>
        <x:v>0</x:v>
      </x:c>
    </x:row>
    <x:row r="232">
      <x:c r="A232" t="n">
        <x:f>wimbledons_champions!A244</x:f>
        <x:v>1894</x:v>
      </x:c>
      <x:c r="B232" t="str">
        <x:f>wimbledons_champions!B244</x:f>
        <x:v>Women's</x:v>
      </x:c>
      <x:c r="C232" s="9" t="str">
        <x:f>wimbledons_champions!C244</x:f>
        <x:v>G.W. Hillyard</x:v>
      </x:c>
      <x:c r="D232" t="str">
        <x:f>wimbledons_champions!D244</x:f>
        <x:v>GBR</x:v>
      </x:c>
      <x:c r="E232" t="n">
        <x:f>wimbledons_champions!F244</x:f>
        <x:v>0</x:v>
      </x:c>
      <x:c r="F232" t="n">
        <x:f>wimbledons_champions!G244</x:f>
        <x:v>0</x:v>
      </x:c>
      <x:c r="G232" t="str">
        <x:f>wimbledons_champions!H244</x:f>
        <x:v>6-1, 6-1</x:v>
      </x:c>
      <x:c r="H232" t="str">
        <x:f>wimbledons_champions!S244</x:f>
        <x:v>E.L. Austin</x:v>
      </x:c>
      <x:c r="I232" t="str">
        <x:f>wimbledons_champions!T244</x:f>
        <x:v>GBR</x:v>
      </x:c>
      <x:c r="J232" t="n">
        <x:f>wimbledons_champions!V244</x:f>
        <x:v>0</x:v>
      </x:c>
    </x:row>
    <x:row r="233">
      <x:c r="A233" t="n">
        <x:f>wimbledons_champions!A245</x:f>
        <x:v>1894</x:v>
      </x:c>
      <x:c r="B233" t="str">
        <x:f>wimbledons_champions!B245</x:f>
        <x:v>Men's</x:v>
      </x:c>
      <x:c r="C233" s="14" t="str">
        <x:f>wimbledons_champions!C245</x:f>
        <x:v>J. Pim</x:v>
      </x:c>
      <x:c r="D233" t="str">
        <x:f>wimbledons_champions!D245</x:f>
        <x:v>GBR</x:v>
      </x:c>
      <x:c r="E233" t="n">
        <x:f>wimbledons_champions!F245</x:f>
        <x:v>0</x:v>
      </x:c>
      <x:c r="F233" t="n">
        <x:f>wimbledons_champions!G245</x:f>
        <x:v>117</x:v>
      </x:c>
      <x:c r="G233" t="str">
        <x:f>wimbledons_champions!H245</x:f>
        <x:v>10-8, 6-2, 8-6</x:v>
      </x:c>
      <x:c r="H233" t="str">
        <x:f>wimbledons_champions!S245</x:f>
        <x:v>W. Baddeley</x:v>
      </x:c>
      <x:c r="I233" t="str">
        <x:f>wimbledons_champions!T245</x:f>
        <x:v>GBR</x:v>
      </x:c>
      <x:c r="J233" t="n">
        <x:f>wimbledons_champions!V245</x:f>
        <x:v>0</x:v>
      </x:c>
    </x:row>
    <x:row r="234">
      <x:c r="A234" t="n">
        <x:f>wimbledons_champions!A246</x:f>
        <x:v>1893</x:v>
      </x:c>
      <x:c r="B234" t="str">
        <x:f>wimbledons_champions!B246</x:f>
        <x:v>Women's</x:v>
      </x:c>
      <x:c r="C234" s="9" t="str">
        <x:f>wimbledons_champions!C246</x:f>
        <x:v>C. Dod</x:v>
      </x:c>
      <x:c r="D234" t="str">
        <x:f>wimbledons_champions!D246</x:f>
        <x:v>GBR</x:v>
      </x:c>
      <x:c r="E234" t="n">
        <x:f>wimbledons_champions!F246</x:f>
        <x:v>0</x:v>
      </x:c>
      <x:c r="F234" t="n">
        <x:f>wimbledons_champions!G246</x:f>
        <x:v>0</x:v>
      </x:c>
      <x:c r="G234" t="str">
        <x:f>wimbledons_champions!H246</x:f>
        <x:v>6-8, 6-1, 6-4</x:v>
      </x:c>
      <x:c r="H234" t="str">
        <x:f>wimbledons_champions!S246</x:f>
        <x:v>G.W. Hillyard</x:v>
      </x:c>
      <x:c r="I234" t="str">
        <x:f>wimbledons_champions!T246</x:f>
        <x:v>GBR</x:v>
      </x:c>
      <x:c r="J234" t="n">
        <x:f>wimbledons_champions!V246</x:f>
        <x:v>0</x:v>
      </x:c>
    </x:row>
    <x:row r="235">
      <x:c r="A235" t="n">
        <x:f>wimbledons_champions!A247</x:f>
        <x:v>1893</x:v>
      </x:c>
      <x:c r="B235" t="str">
        <x:f>wimbledons_champions!B247</x:f>
        <x:v>Men's</x:v>
      </x:c>
      <x:c r="C235" s="14" t="str">
        <x:f>wimbledons_champions!C247</x:f>
        <x:v>J. Pim</x:v>
      </x:c>
      <x:c r="D235" t="str">
        <x:f>wimbledons_champions!D247</x:f>
        <x:v>GBR</x:v>
      </x:c>
      <x:c r="E235" t="n">
        <x:f>wimbledons_champions!F247</x:f>
        <x:v>0</x:v>
      </x:c>
      <x:c r="F235" t="n">
        <x:f>wimbledons_champions!G247</x:f>
        <x:v>65</x:v>
      </x:c>
      <x:c r="G235" t="str">
        <x:f>wimbledons_champions!H247</x:f>
        <x:v>3-6, 6-1, 6-3, 6-2</x:v>
      </x:c>
      <x:c r="H235" t="str">
        <x:f>wimbledons_champions!S247</x:f>
        <x:v>W. Baddeley</x:v>
      </x:c>
      <x:c r="I235" t="str">
        <x:f>wimbledons_champions!T247</x:f>
        <x:v>GBR</x:v>
      </x:c>
      <x:c r="J235" t="n">
        <x:f>wimbledons_champions!V247</x:f>
        <x:v>0</x:v>
      </x:c>
    </x:row>
    <x:row r="236">
      <x:c r="A236" t="n">
        <x:f>wimbledons_champions!A248</x:f>
        <x:v>1892</x:v>
      </x:c>
      <x:c r="B236" t="str">
        <x:f>wimbledons_champions!B248</x:f>
        <x:v>Women's</x:v>
      </x:c>
      <x:c r="C236" s="9" t="str">
        <x:f>wimbledons_champions!C248</x:f>
        <x:v>C. Dod</x:v>
      </x:c>
      <x:c r="D236" t="str">
        <x:f>wimbledons_champions!D248</x:f>
        <x:v>GBR</x:v>
      </x:c>
      <x:c r="E236" t="n">
        <x:f>wimbledons_champions!F248</x:f>
        <x:v>0</x:v>
      </x:c>
      <x:c r="F236" t="n">
        <x:f>wimbledons_champions!G248</x:f>
        <x:v>0</x:v>
      </x:c>
      <x:c r="G236" t="str">
        <x:f>wimbledons_champions!H248</x:f>
        <x:v>6-1, 6-1</x:v>
      </x:c>
      <x:c r="H236" t="str">
        <x:f>wimbledons_champions!S248</x:f>
        <x:v>G.W. Hillyard</x:v>
      </x:c>
      <x:c r="I236" t="str">
        <x:f>wimbledons_champions!T248</x:f>
        <x:v>GBR</x:v>
      </x:c>
      <x:c r="J236" t="n">
        <x:f>wimbledons_champions!V248</x:f>
        <x:v>0</x:v>
      </x:c>
    </x:row>
    <x:row r="237">
      <x:c r="A237" t="n">
        <x:f>wimbledons_champions!A249</x:f>
        <x:v>1892</x:v>
      </x:c>
      <x:c r="B237" t="str">
        <x:f>wimbledons_champions!B249</x:f>
        <x:v>Men's</x:v>
      </x:c>
      <x:c r="C237" s="14" t="str">
        <x:f>wimbledons_champions!C249</x:f>
        <x:v>W. Baddeley</x:v>
      </x:c>
      <x:c r="D237" t="str">
        <x:f>wimbledons_champions!D249</x:f>
        <x:v>GBR</x:v>
      </x:c>
      <x:c r="E237" t="n">
        <x:f>wimbledons_champions!F249</x:f>
        <x:v>0</x:v>
      </x:c>
      <x:c r="F237" t="n">
        <x:f>wimbledons_champions!G249</x:f>
        <x:v>75</x:v>
      </x:c>
      <x:c r="G237" t="str">
        <x:f>wimbledons_champions!H249</x:f>
        <x:v>4-6, 6-3, 6-3, 6-2</x:v>
      </x:c>
      <x:c r="H237" t="str">
        <x:f>wimbledons_champions!S249</x:f>
        <x:v>J. Pim</x:v>
      </x:c>
      <x:c r="I237" t="str">
        <x:f>wimbledons_champions!T249</x:f>
        <x:v>GBR</x:v>
      </x:c>
      <x:c r="J237" t="n">
        <x:f>wimbledons_champions!V249</x:f>
        <x:v>0</x:v>
      </x:c>
    </x:row>
    <x:row r="238">
      <x:c r="A238" t="n">
        <x:f>wimbledons_champions!A250</x:f>
        <x:v>1891</x:v>
      </x:c>
      <x:c r="B238" t="str">
        <x:f>wimbledons_champions!B250</x:f>
        <x:v>Women's</x:v>
      </x:c>
      <x:c r="C238" s="9" t="str">
        <x:f>wimbledons_champions!C250</x:f>
        <x:v>C. Dod</x:v>
      </x:c>
      <x:c r="D238" t="str">
        <x:f>wimbledons_champions!D250</x:f>
        <x:v>GBR</x:v>
      </x:c>
      <x:c r="E238" t="n">
        <x:f>wimbledons_champions!F250</x:f>
        <x:v>0</x:v>
      </x:c>
      <x:c r="F238" t="n">
        <x:f>wimbledons_champions!G250</x:f>
        <x:v>0</x:v>
      </x:c>
      <x:c r="G238" t="str">
        <x:f>wimbledons_champions!H250</x:f>
        <x:v>6-2, 6-1</x:v>
      </x:c>
      <x:c r="H238" t="str">
        <x:f>wimbledons_champions!S250</x:f>
        <x:v>G.W. Hillyard</x:v>
      </x:c>
      <x:c r="I238" t="str">
        <x:f>wimbledons_champions!T250</x:f>
        <x:v>GBR</x:v>
      </x:c>
      <x:c r="J238" t="n">
        <x:f>wimbledons_champions!V250</x:f>
        <x:v>0</x:v>
      </x:c>
    </x:row>
    <x:row r="239">
      <x:c r="A239" t="n">
        <x:f>wimbledons_champions!A251</x:f>
        <x:v>1891</x:v>
      </x:c>
      <x:c r="B239" t="str">
        <x:f>wimbledons_champions!B251</x:f>
        <x:v>Men's</x:v>
      </x:c>
      <x:c r="C239" s="14" t="str">
        <x:f>wimbledons_champions!C251</x:f>
        <x:v>W. Baddeley</x:v>
      </x:c>
      <x:c r="D239" t="str">
        <x:f>wimbledons_champions!D251</x:f>
        <x:v>GBR</x:v>
      </x:c>
      <x:c r="E239" t="n">
        <x:f>wimbledons_champions!F251</x:f>
        <x:v>0</x:v>
      </x:c>
      <x:c r="F239" t="n">
        <x:f>wimbledons_champions!G251</x:f>
        <x:v>0</x:v>
      </x:c>
      <x:c r="G239" t="str">
        <x:f>wimbledons_champions!H251</x:f>
        <x:v>6-4, 1-6, 7-5, 6-0</x:v>
      </x:c>
      <x:c r="H239" t="str">
        <x:f>wimbledons_champions!S251</x:f>
        <x:v>J. Pim</x:v>
      </x:c>
      <x:c r="I239" t="str">
        <x:f>wimbledons_champions!T251</x:f>
        <x:v>GBR</x:v>
      </x:c>
      <x:c r="J239" t="n">
        <x:f>wimbledons_champions!V251</x:f>
        <x:v>0</x:v>
      </x:c>
    </x:row>
    <x:row r="240">
      <x:c r="A240" t="n">
        <x:f>wimbledons_champions!A252</x:f>
        <x:v>1890</x:v>
      </x:c>
      <x:c r="B240" t="str">
        <x:f>wimbledons_champions!B252</x:f>
        <x:v>Women's</x:v>
      </x:c>
      <x:c r="C240" s="9" t="str">
        <x:f>wimbledons_champions!C252</x:f>
        <x:v>H.G.B. Rice</x:v>
      </x:c>
      <x:c r="D240" t="str">
        <x:f>wimbledons_champions!D252</x:f>
        <x:v>GBR</x:v>
      </x:c>
      <x:c r="E240" t="n">
        <x:f>wimbledons_champions!F252</x:f>
        <x:v>0</x:v>
      </x:c>
      <x:c r="F240" t="n">
        <x:f>wimbledons_champions!G252</x:f>
        <x:v>0</x:v>
      </x:c>
      <x:c r="G240" t="str">
        <x:f>wimbledons_champions!H252</x:f>
        <x:v>6-4, 6-1</x:v>
      </x:c>
      <x:c r="H240" t="str">
        <x:f>wimbledons_champions!S252</x:f>
        <x:v>M. Jacks</x:v>
      </x:c>
      <x:c r="I240" t="str">
        <x:f>wimbledons_champions!T252</x:f>
        <x:v>GBR</x:v>
      </x:c>
      <x:c r="J240" t="n">
        <x:f>wimbledons_champions!V252</x:f>
        <x:v>0</x:v>
      </x:c>
    </x:row>
    <x:row r="241">
      <x:c r="A241" t="n">
        <x:f>wimbledons_champions!A253</x:f>
        <x:v>1890</x:v>
      </x:c>
      <x:c r="B241" t="str">
        <x:f>wimbledons_champions!B253</x:f>
        <x:v>Men's</x:v>
      </x:c>
      <x:c r="C241" s="9" t="str">
        <x:f>wimbledons_champions!C253</x:f>
        <x:v>W.J. Hamilton</x:v>
      </x:c>
      <x:c r="D241" t="str">
        <x:f>wimbledons_champions!D253</x:f>
        <x:v>GBR</x:v>
      </x:c>
      <x:c r="E241" t="n">
        <x:f>wimbledons_champions!F253</x:f>
        <x:v>0</x:v>
      </x:c>
      <x:c r="F241" t="n">
        <x:f>wimbledons_champions!G253</x:f>
        <x:v>96</x:v>
      </x:c>
      <x:c r="G241" t="str">
        <x:f>wimbledons_champions!H253</x:f>
        <x:v>6-8, 6-2, 3-6, 6-1, 6-1</x:v>
      </x:c>
      <x:c r="H241" t="str">
        <x:f>wimbledons_champions!S253</x:f>
        <x:v>W.C. Renshaw</x:v>
      </x:c>
      <x:c r="I241" t="str">
        <x:f>wimbledons_champions!T253</x:f>
        <x:v>GBR</x:v>
      </x:c>
      <x:c r="J241" t="n">
        <x:f>wimbledons_champions!V253</x:f>
        <x:v>0</x:v>
      </x:c>
    </x:row>
    <x:row r="242">
      <x:c r="A242" t="n">
        <x:f>wimbledons_champions!A254</x:f>
        <x:v>1889</x:v>
      </x:c>
      <x:c r="B242" t="str">
        <x:f>wimbledons_champions!B254</x:f>
        <x:v>Women's</x:v>
      </x:c>
      <x:c r="C242" s="13" t="str">
        <x:f>wimbledons_champions!C254</x:f>
        <x:v>G.W. Hillyard</x:v>
      </x:c>
      <x:c r="D242" t="str">
        <x:f>wimbledons_champions!D254</x:f>
        <x:v>GBR</x:v>
      </x:c>
      <x:c r="E242" t="n">
        <x:f>wimbledons_champions!F254</x:f>
        <x:v>0</x:v>
      </x:c>
      <x:c r="F242" t="n">
        <x:f>wimbledons_champions!G254</x:f>
        <x:v>0</x:v>
      </x:c>
      <x:c r="G242" t="str">
        <x:f>wimbledons_champions!H254</x:f>
        <x:v>4-6, 8-6, 6-4</x:v>
      </x:c>
      <x:c r="H242" t="str">
        <x:f>wimbledons_champions!S254</x:f>
        <x:v>H.G.B. Rice</x:v>
      </x:c>
      <x:c r="I242" t="str">
        <x:f>wimbledons_champions!T254</x:f>
        <x:v>GBR</x:v>
      </x:c>
      <x:c r="J242" t="n">
        <x:f>wimbledons_champions!V254</x:f>
        <x:v>0</x:v>
      </x:c>
    </x:row>
    <x:row r="243">
      <x:c r="A243" t="n">
        <x:f>wimbledons_champions!A255</x:f>
        <x:v>1889</x:v>
      </x:c>
      <x:c r="B243" t="str">
        <x:f>wimbledons_champions!B255</x:f>
        <x:v>Men's</x:v>
      </x:c>
      <x:c r="C243" s="14" t="str">
        <x:f>wimbledons_champions!C255</x:f>
        <x:v>W.C. Renshaw</x:v>
      </x:c>
      <x:c r="D243" t="str">
        <x:f>wimbledons_champions!D255</x:f>
        <x:v>GBR</x:v>
      </x:c>
      <x:c r="E243" t="n">
        <x:f>wimbledons_champions!F255</x:f>
        <x:v>0</x:v>
      </x:c>
      <x:c r="F243" t="n">
        <x:f>wimbledons_champions!G255</x:f>
        <x:v>63</x:v>
      </x:c>
      <x:c r="G243" t="str">
        <x:f>wimbledons_champions!H255</x:f>
        <x:v>6-4, 6-1, 3-6, 6-0</x:v>
      </x:c>
      <x:c r="H243" t="str">
        <x:f>wimbledons_champions!S255</x:f>
        <x:v>J.E. Renshaw</x:v>
      </x:c>
      <x:c r="I243" t="str">
        <x:f>wimbledons_champions!T255</x:f>
        <x:v>GBR</x:v>
      </x:c>
      <x:c r="J243" t="n">
        <x:f>wimbledons_champions!V255</x:f>
        <x:v>0</x:v>
      </x:c>
    </x:row>
    <x:row r="244">
      <x:c r="A244" t="n">
        <x:f>wimbledons_champions!A256</x:f>
        <x:v>1888</x:v>
      </x:c>
      <x:c r="B244" t="str">
        <x:f>wimbledons_champions!B256</x:f>
        <x:v>Women's</x:v>
      </x:c>
      <x:c r="C244" s="9" t="str">
        <x:f>wimbledons_champions!C256</x:f>
        <x:v>C. Dod</x:v>
      </x:c>
      <x:c r="D244" t="str">
        <x:f>wimbledons_champions!D256</x:f>
        <x:v>GBR</x:v>
      </x:c>
      <x:c r="E244" t="n">
        <x:f>wimbledons_champions!F256</x:f>
        <x:v>0</x:v>
      </x:c>
      <x:c r="F244" t="n">
        <x:f>wimbledons_champions!G256</x:f>
        <x:v>0</x:v>
      </x:c>
      <x:c r="G244" t="str">
        <x:f>wimbledons_champions!H256</x:f>
        <x:v>6-3, 6-3</x:v>
      </x:c>
      <x:c r="H244" t="str">
        <x:f>wimbledons_champions!S256</x:f>
        <x:v>G.W. Hillyard</x:v>
      </x:c>
      <x:c r="I244" t="str">
        <x:f>wimbledons_champions!T256</x:f>
        <x:v>GBR</x:v>
      </x:c>
      <x:c r="J244" t="n">
        <x:f>wimbledons_champions!V256</x:f>
        <x:v>0</x:v>
      </x:c>
    </x:row>
    <x:row r="245">
      <x:c r="A245" t="n">
        <x:f>wimbledons_champions!A257</x:f>
        <x:v>1888</x:v>
      </x:c>
      <x:c r="B245" t="str">
        <x:f>wimbledons_champions!B257</x:f>
        <x:v>Men's</x:v>
      </x:c>
      <x:c r="C245" s="14" t="str">
        <x:f>wimbledons_champions!C257</x:f>
        <x:v>J.E. Renshaw</x:v>
      </x:c>
      <x:c r="D245" t="str">
        <x:f>wimbledons_champions!D257</x:f>
        <x:v>GBR</x:v>
      </x:c>
      <x:c r="E245" t="n">
        <x:f>wimbledons_champions!F257</x:f>
        <x:v>0</x:v>
      </x:c>
      <x:c r="F245" t="n">
        <x:f>wimbledons_champions!G257</x:f>
        <x:v>51</x:v>
      </x:c>
      <x:c r="G245" t="str">
        <x:f>wimbledons_champions!H257</x:f>
        <x:v>6-3, 7-5, 6-0</x:v>
      </x:c>
      <x:c r="H245" t="str">
        <x:f>wimbledons_champions!S257</x:f>
        <x:v>H.F. Lawford</x:v>
      </x:c>
      <x:c r="I245" t="str">
        <x:f>wimbledons_champions!T257</x:f>
        <x:v>GBR</x:v>
      </x:c>
      <x:c r="J245" t="n">
        <x:f>wimbledons_champions!V257</x:f>
        <x:v>0</x:v>
      </x:c>
    </x:row>
    <x:row r="246">
      <x:c r="A246" t="n">
        <x:f>wimbledons_champions!A258</x:f>
        <x:v>1887</x:v>
      </x:c>
      <x:c r="B246" t="str">
        <x:f>wimbledons_champions!B258</x:f>
        <x:v>Women's</x:v>
      </x:c>
      <x:c r="C246" s="9" t="str">
        <x:f>wimbledons_champions!C258</x:f>
        <x:v>C. Dod</x:v>
      </x:c>
      <x:c r="D246" t="str">
        <x:f>wimbledons_champions!D258</x:f>
        <x:v>GBR</x:v>
      </x:c>
      <x:c r="E246" t="n">
        <x:f>wimbledons_champions!F258</x:f>
        <x:v>0</x:v>
      </x:c>
      <x:c r="F246" t="n">
        <x:f>wimbledons_champions!G258</x:f>
        <x:v>0</x:v>
      </x:c>
      <x:c r="G246" t="str">
        <x:f>wimbledons_champions!H258</x:f>
        <x:v>6-2, 6-0</x:v>
      </x:c>
      <x:c r="H246" t="str">
        <x:f>wimbledons_champions!S258</x:f>
        <x:v>G.W. Hillyard</x:v>
      </x:c>
      <x:c r="I246" t="str">
        <x:f>wimbledons_champions!T258</x:f>
        <x:v>GBR</x:v>
      </x:c>
      <x:c r="J246" t="n">
        <x:f>wimbledons_champions!V258</x:f>
        <x:v>0</x:v>
      </x:c>
    </x:row>
    <x:row r="247">
      <x:c r="A247" t="n">
        <x:f>wimbledons_champions!A259</x:f>
        <x:v>1887</x:v>
      </x:c>
      <x:c r="B247" t="str">
        <x:f>wimbledons_champions!B259</x:f>
        <x:v>Men's</x:v>
      </x:c>
      <x:c r="C247" s="14" t="str">
        <x:f>wimbledons_champions!C259</x:f>
        <x:v>H.F. Lawford</x:v>
      </x:c>
      <x:c r="D247" t="str">
        <x:f>wimbledons_champions!D259</x:f>
        <x:v>GBR</x:v>
      </x:c>
      <x:c r="E247" t="n">
        <x:f>wimbledons_champions!F259</x:f>
        <x:v>0</x:v>
      </x:c>
      <x:c r="F247" t="n">
        <x:f>wimbledons_champions!G259</x:f>
        <x:v>120</x:v>
      </x:c>
      <x:c r="G247" t="str">
        <x:f>wimbledons_champions!H259</x:f>
        <x:v>1-6, 6-3, 3-6, 6-4, 6-4</x:v>
      </x:c>
      <x:c r="H247" t="str">
        <x:f>wimbledons_champions!S259</x:f>
        <x:v>J.E. Renshaw</x:v>
      </x:c>
      <x:c r="I247" t="str">
        <x:f>wimbledons_champions!T259</x:f>
        <x:v>GBR</x:v>
      </x:c>
      <x:c r="J247" t="n">
        <x:f>wimbledons_champions!V259</x:f>
        <x:v>0</x:v>
      </x:c>
    </x:row>
    <x:row r="248">
      <x:c r="A248" t="n">
        <x:f>wimbledons_champions!A260</x:f>
        <x:v>1886</x:v>
      </x:c>
      <x:c r="B248" t="str">
        <x:f>wimbledons_champions!B260</x:f>
        <x:v>Women's</x:v>
      </x:c>
      <x:c r="C248" s="13" t="str">
        <x:f>wimbledons_champions!C260</x:f>
        <x:v>G.W. Hillyard</x:v>
      </x:c>
      <x:c r="D248" t="str">
        <x:f>wimbledons_champions!D260</x:f>
        <x:v>GBR</x:v>
      </x:c>
      <x:c r="E248" t="n">
        <x:f>wimbledons_champions!F260</x:f>
        <x:v>0</x:v>
      </x:c>
      <x:c r="F248" t="n">
        <x:f>wimbledons_champions!G260</x:f>
        <x:v>0</x:v>
      </x:c>
      <x:c r="G248" t="str">
        <x:f>wimbledons_champions!H260</x:f>
        <x:v>6-3, 6-3</x:v>
      </x:c>
      <x:c r="H248" t="str">
        <x:f>wimbledons_champions!S260</x:f>
        <x:v>M.E.E. Watson</x:v>
      </x:c>
      <x:c r="I248" t="str">
        <x:f>wimbledons_champions!T260</x:f>
        <x:v>GBR</x:v>
      </x:c>
      <x:c r="J248" t="n">
        <x:f>wimbledons_champions!V260</x:f>
        <x:v>0</x:v>
      </x:c>
    </x:row>
    <x:row r="249">
      <x:c r="A249" t="n">
        <x:f>wimbledons_champions!A261</x:f>
        <x:v>1886</x:v>
      </x:c>
      <x:c r="B249" t="str">
        <x:f>wimbledons_champions!B261</x:f>
        <x:v>Men's</x:v>
      </x:c>
      <x:c r="C249" s="9" t="str">
        <x:f>wimbledons_champions!C261</x:f>
        <x:v>W.C. Renshaw</x:v>
      </x:c>
      <x:c r="D249" t="str">
        <x:f>wimbledons_champions!D261</x:f>
        <x:v>GBR</x:v>
      </x:c>
      <x:c r="E249" t="n">
        <x:f>wimbledons_champions!F261</x:f>
        <x:v>0</x:v>
      </x:c>
      <x:c r="F249" t="n">
        <x:f>wimbledons_champions!G261</x:f>
        <x:v>96</x:v>
      </x:c>
      <x:c r="G249" t="str">
        <x:f>wimbledons_champions!H261</x:f>
        <x:v>6-0, 5-7, 6-3, 6-4</x:v>
      </x:c>
      <x:c r="H249" t="str">
        <x:f>wimbledons_champions!S261</x:f>
        <x:v>H.F. Lawford</x:v>
      </x:c>
      <x:c r="I249" t="str">
        <x:f>wimbledons_champions!T261</x:f>
        <x:v>GBR</x:v>
      </x:c>
      <x:c r="J249" t="n">
        <x:f>wimbledons_champions!V261</x:f>
        <x:v>0</x:v>
      </x:c>
    </x:row>
    <x:row r="250">
      <x:c r="A250" t="n">
        <x:f>wimbledons_champions!A262</x:f>
        <x:v>1885</x:v>
      </x:c>
      <x:c r="B250" t="str">
        <x:f>wimbledons_champions!B262</x:f>
        <x:v>Women's</x:v>
      </x:c>
      <x:c r="C250" s="13" t="str">
        <x:f>wimbledons_champions!C262</x:f>
        <x:v>M.E.E. Watson</x:v>
      </x:c>
      <x:c r="D250" t="str">
        <x:f>wimbledons_champions!D262</x:f>
        <x:v>GBR</x:v>
      </x:c>
      <x:c r="E250" t="n">
        <x:f>wimbledons_champions!F262</x:f>
        <x:v>0</x:v>
      </x:c>
      <x:c r="F250" t="n">
        <x:f>wimbledons_champions!G262</x:f>
        <x:v>0</x:v>
      </x:c>
      <x:c r="G250" t="str">
        <x:f>wimbledons_champions!H262</x:f>
        <x:v>6-1, 7-5</x:v>
      </x:c>
      <x:c r="H250" t="str">
        <x:f>wimbledons_champions!S262</x:f>
        <x:v>G.W. Hillyard</x:v>
      </x:c>
      <x:c r="I250" t="str">
        <x:f>wimbledons_champions!T262</x:f>
        <x:v>GBR</x:v>
      </x:c>
      <x:c r="J250" t="n">
        <x:f>wimbledons_champions!V262</x:f>
        <x:v>0</x:v>
      </x:c>
    </x:row>
    <x:row r="251">
      <x:c r="A251" t="n">
        <x:f>wimbledons_champions!A263</x:f>
        <x:v>1885</x:v>
      </x:c>
      <x:c r="B251" t="str">
        <x:f>wimbledons_champions!B263</x:f>
        <x:v>Men's</x:v>
      </x:c>
      <x:c r="C251" s="9" t="str">
        <x:f>wimbledons_champions!C263</x:f>
        <x:v>W.C. Renshaw</x:v>
      </x:c>
      <x:c r="D251" t="str">
        <x:f>wimbledons_champions!D263</x:f>
        <x:v>GBR</x:v>
      </x:c>
      <x:c r="E251" t="n">
        <x:f>wimbledons_champions!F263</x:f>
        <x:v>0</x:v>
      </x:c>
      <x:c r="F251" t="n">
        <x:f>wimbledons_champions!G263</x:f>
        <x:v>122</x:v>
      </x:c>
      <x:c r="G251" t="str">
        <x:f>wimbledons_champions!H263</x:f>
        <x:v>7-5, 6-2, 4-6, 7-5</x:v>
      </x:c>
      <x:c r="H251" t="str">
        <x:f>wimbledons_champions!S263</x:f>
        <x:v>H.F. Lawford</x:v>
      </x:c>
      <x:c r="I251" t="str">
        <x:f>wimbledons_champions!T263</x:f>
        <x:v>GBR</x:v>
      </x:c>
      <x:c r="J251" t="n">
        <x:f>wimbledons_champions!V263</x:f>
        <x:v>0</x:v>
      </x:c>
    </x:row>
    <x:row r="252">
      <x:c r="A252" t="n">
        <x:f>wimbledons_champions!A264</x:f>
        <x:v>1884</x:v>
      </x:c>
      <x:c r="B252" t="str">
        <x:f>wimbledons_champions!B264</x:f>
        <x:v>Women's</x:v>
      </x:c>
      <x:c r="C252" s="13" t="str">
        <x:f>wimbledons_champions!C264</x:f>
        <x:v>M.E.E. Watson</x:v>
      </x:c>
      <x:c r="D252" t="str">
        <x:f>wimbledons_champions!D264</x:f>
        <x:v>GBR</x:v>
      </x:c>
      <x:c r="E252" t="n">
        <x:f>wimbledons_champions!F264</x:f>
        <x:v>0</x:v>
      </x:c>
      <x:c r="F252" t="n">
        <x:f>wimbledons_champions!G264</x:f>
        <x:v>0</x:v>
      </x:c>
      <x:c r="G252" t="str">
        <x:f>wimbledons_champions!H264</x:f>
        <x:v>6-8, 6-3, 6-3</x:v>
      </x:c>
      <x:c r="H252" t="str">
        <x:f>wimbledons_champions!S264</x:f>
        <x:v>L.M. Watson</x:v>
      </x:c>
      <x:c r="I252" t="str">
        <x:f>wimbledons_champions!T264</x:f>
        <x:v>GBR</x:v>
      </x:c>
      <x:c r="J252" t="n">
        <x:f>wimbledons_champions!V264</x:f>
        <x:v>0</x:v>
      </x:c>
    </x:row>
    <x:row r="253">
      <x:c r="A253" t="n">
        <x:f>wimbledons_champions!A265</x:f>
        <x:v>1884</x:v>
      </x:c>
      <x:c r="B253" t="str">
        <x:f>wimbledons_champions!B265</x:f>
        <x:v>Men's</x:v>
      </x:c>
      <x:c r="C253" s="9" t="str">
        <x:f>wimbledons_champions!C265</x:f>
        <x:v>W.C. Renshaw</x:v>
      </x:c>
      <x:c r="D253" t="str">
        <x:f>wimbledons_champions!D265</x:f>
        <x:v>GBR</x:v>
      </x:c>
      <x:c r="E253" t="n">
        <x:f>wimbledons_champions!F265</x:f>
        <x:v>0</x:v>
      </x:c>
      <x:c r="F253" t="n">
        <x:f>wimbledons_champions!G265</x:f>
        <x:v>69</x:v>
      </x:c>
      <x:c r="G253" t="str">
        <x:f>wimbledons_champions!H265</x:f>
        <x:v>6-0, 6-4, 9-7</x:v>
      </x:c>
      <x:c r="H253" t="str">
        <x:f>wimbledons_champions!S265</x:f>
        <x:v>H.F. Lawford</x:v>
      </x:c>
      <x:c r="I253" t="str">
        <x:f>wimbledons_champions!T265</x:f>
        <x:v>GBR</x:v>
      </x:c>
      <x:c r="J253" t="n">
        <x:f>wimbledons_champions!V265</x:f>
        <x:v>0</x:v>
      </x:c>
    </x:row>
    <x:row r="254">
      <x:c r="A254" t="n">
        <x:f>wimbledons_champions!A266</x:f>
        <x:v>1883</x:v>
      </x:c>
      <x:c r="B254" t="str">
        <x:f>wimbledons_champions!B266</x:f>
        <x:v>Men's</x:v>
      </x:c>
      <x:c r="C254" s="13" t="str">
        <x:f>wimbledons_champions!C266</x:f>
        <x:v>W.C. Renshaw</x:v>
      </x:c>
      <x:c r="D254" t="str">
        <x:f>wimbledons_champions!D266</x:f>
        <x:v>GBR</x:v>
      </x:c>
      <x:c r="E254" t="n">
        <x:f>wimbledons_champions!F266</x:f>
        <x:v>0</x:v>
      </x:c>
      <x:c r="F254" t="n">
        <x:f>wimbledons_champions!G266</x:f>
        <x:v>89</x:v>
      </x:c>
      <x:c r="G254" t="str">
        <x:f>wimbledons_champions!H266</x:f>
        <x:v>2-6, 6-3, 6-3, 4-6, 6-3</x:v>
      </x:c>
      <x:c r="H254" t="str">
        <x:f>wimbledons_champions!S266</x:f>
        <x:v>J.E. Renshaw</x:v>
      </x:c>
      <x:c r="I254" t="str">
        <x:f>wimbledons_champions!T266</x:f>
        <x:v>GBR</x:v>
      </x:c>
      <x:c r="J254" t="n">
        <x:f>wimbledons_champions!V266</x:f>
        <x:v>0</x:v>
      </x:c>
    </x:row>
    <x:row r="255">
      <x:c r="A255" t="n">
        <x:f>wimbledons_champions!A267</x:f>
        <x:v>1882</x:v>
      </x:c>
      <x:c r="B255" t="str">
        <x:f>wimbledons_champions!B267</x:f>
        <x:v>Men's</x:v>
      </x:c>
      <x:c r="C255" s="13" t="str">
        <x:f>wimbledons_champions!C267</x:f>
        <x:v>W.C. Renshaw</x:v>
      </x:c>
      <x:c r="D255" t="str">
        <x:f>wimbledons_champions!D267</x:f>
        <x:v>GBR</x:v>
      </x:c>
      <x:c r="E255" t="n">
        <x:f>wimbledons_champions!F267</x:f>
        <x:v>0</x:v>
      </x:c>
      <x:c r="F255" t="n">
        <x:f>wimbledons_champions!G267</x:f>
        <x:v>85</x:v>
      </x:c>
      <x:c r="G255" t="str">
        <x:f>wimbledons_champions!H267</x:f>
        <x:v>6-1, 2-6, 4-6, 6-2, 6-2</x:v>
      </x:c>
      <x:c r="H255" t="str">
        <x:f>wimbledons_champions!S267</x:f>
        <x:v>J.E. Renshaw</x:v>
      </x:c>
      <x:c r="I255" t="str">
        <x:f>wimbledons_champions!T267</x:f>
        <x:v>GBR</x:v>
      </x:c>
      <x:c r="J255" t="n">
        <x:f>wimbledons_champions!V267</x:f>
        <x:v>0</x:v>
      </x:c>
    </x:row>
    <x:row r="256">
      <x:c r="A256" t="n">
        <x:f>wimbledons_champions!A268</x:f>
        <x:v>1881</x:v>
      </x:c>
      <x:c r="B256" t="str">
        <x:f>wimbledons_champions!B268</x:f>
        <x:v>Men's</x:v>
      </x:c>
      <x:c r="C256" s="13" t="str">
        <x:f>wimbledons_champions!C268</x:f>
        <x:v>W.C. Renshaw</x:v>
      </x:c>
      <x:c r="D256" t="str">
        <x:f>wimbledons_champions!D268</x:f>
        <x:v>GBR</x:v>
      </x:c>
      <x:c r="E256" t="n">
        <x:f>wimbledons_champions!F268</x:f>
        <x:v>0</x:v>
      </x:c>
      <x:c r="F256" t="n">
        <x:f>wimbledons_champions!G268</x:f>
        <x:v>37</x:v>
      </x:c>
      <x:c r="G256" t="str">
        <x:f>wimbledons_champions!H268</x:f>
        <x:v>6-0, 6-1, 6-1</x:v>
      </x:c>
      <x:c r="H256" t="str">
        <x:f>wimbledons_champions!S268</x:f>
        <x:v>J.T. Hartley</x:v>
      </x:c>
      <x:c r="I256" t="str">
        <x:f>wimbledons_champions!T268</x:f>
        <x:v>GBR</x:v>
      </x:c>
      <x:c r="J256" t="n">
        <x:f>wimbledons_champions!V268</x:f>
        <x:v>0</x:v>
      </x:c>
    </x:row>
    <x:row r="257">
      <x:c r="A257" t="n">
        <x:f>wimbledons_champions!A269</x:f>
        <x:v>1880</x:v>
      </x:c>
      <x:c r="B257" t="str">
        <x:f>wimbledons_champions!B269</x:f>
        <x:v>Men's</x:v>
      </x:c>
      <x:c r="C257" s="9" t="str">
        <x:f>wimbledons_champions!C269</x:f>
        <x:v>J.T. Hartley</x:v>
      </x:c>
      <x:c r="D257" t="str">
        <x:f>wimbledons_champions!D269</x:f>
        <x:v>GBR</x:v>
      </x:c>
      <x:c r="E257" t="n">
        <x:f>wimbledons_champions!F269</x:f>
        <x:v>0</x:v>
      </x:c>
      <x:c r="F257" t="n">
        <x:f>wimbledons_champions!G269</x:f>
        <x:v>0</x:v>
      </x:c>
      <x:c r="G257" t="str">
        <x:f>wimbledons_champions!H269</x:f>
        <x:v>6-3, 6-2, 2-6, 6-3</x:v>
      </x:c>
      <x:c r="H257" t="str">
        <x:f>wimbledons_champions!S269</x:f>
        <x:v>H.F. Lawford</x:v>
      </x:c>
      <x:c r="I257" t="str">
        <x:f>wimbledons_champions!T269</x:f>
        <x:v>GBR</x:v>
      </x:c>
      <x:c r="J257" t="n">
        <x:f>wimbledons_champions!V269</x:f>
        <x:v>0</x:v>
      </x:c>
    </x:row>
    <x:row r="258">
      <x:c r="A258" t="n">
        <x:f>wimbledons_champions!A270</x:f>
        <x:v>1879</x:v>
      </x:c>
      <x:c r="B258" t="str">
        <x:f>wimbledons_champions!B270</x:f>
        <x:v>Men's</x:v>
      </x:c>
      <x:c r="C258" s="9" t="str">
        <x:f>wimbledons_champions!C270</x:f>
        <x:v>J.T. Hartley</x:v>
      </x:c>
      <x:c r="D258" t="str">
        <x:f>wimbledons_champions!D270</x:f>
        <x:v>GBR</x:v>
      </x:c>
      <x:c r="E258" t="n">
        <x:f>wimbledons_champions!F270</x:f>
        <x:v>0</x:v>
      </x:c>
      <x:c r="F258" t="n">
        <x:f>wimbledons_champions!G270</x:f>
        <x:v>0</x:v>
      </x:c>
      <x:c r="G258" t="str">
        <x:f>wimbledons_champions!H270</x:f>
        <x:v>6-2, 6-4, 6-2</x:v>
      </x:c>
      <x:c r="H258" t="str">
        <x:f>wimbledons_champions!S270</x:f>
        <x:v>V.T.St.L. Goold</x:v>
      </x:c>
      <x:c r="I258" t="str">
        <x:f>wimbledons_champions!T270</x:f>
        <x:v>GBR</x:v>
      </x:c>
      <x:c r="J258" t="n">
        <x:f>wimbledons_champions!V270</x:f>
        <x:v>0</x:v>
      </x:c>
    </x:row>
    <x:row r="259">
      <x:c r="A259" t="n">
        <x:f>wimbledons_champions!A271</x:f>
        <x:v>1878</x:v>
      </x:c>
      <x:c r="B259" t="str">
        <x:f>wimbledons_champions!B271</x:f>
        <x:v>Men's</x:v>
      </x:c>
      <x:c r="C259" s="9" t="str">
        <x:f>wimbledons_champions!C271</x:f>
        <x:v>P.F. Hadow</x:v>
      </x:c>
      <x:c r="D259" t="str">
        <x:f>wimbledons_champions!D271</x:f>
        <x:v>GBR</x:v>
      </x:c>
      <x:c r="E259" t="n">
        <x:f>wimbledons_champions!F271</x:f>
        <x:v>0</x:v>
      </x:c>
      <x:c r="F259" t="n">
        <x:f>wimbledons_champions!G271</x:f>
        <x:v>0</x:v>
      </x:c>
      <x:c r="G259" t="str">
        <x:f>wimbledons_champions!H271</x:f>
        <x:v>7-5, 6-1, 9-7</x:v>
      </x:c>
      <x:c r="H259" t="str">
        <x:f>wimbledons_champions!S271</x:f>
        <x:v>S.W. Gore</x:v>
      </x:c>
      <x:c r="I259" t="str">
        <x:f>wimbledons_champions!T271</x:f>
        <x:v>GBR</x:v>
      </x:c>
      <x:c r="J259" t="n">
        <x:f>wimbledons_champions!V271</x:f>
        <x:v>0</x:v>
      </x:c>
    </x:row>
    <x:row r="260">
      <x:c r="A260" t="n">
        <x:f>wimbledons_champions!A272</x:f>
        <x:v>1877</x:v>
      </x:c>
      <x:c r="B260" t="str">
        <x:f>wimbledons_champions!B272</x:f>
        <x:v>Men's</x:v>
      </x:c>
      <x:c r="C260" s="9" t="str">
        <x:f>wimbledons_champions!C272</x:f>
        <x:v>S.W. Gore</x:v>
      </x:c>
      <x:c r="D260" t="str">
        <x:f>wimbledons_champions!D272</x:f>
        <x:v>GBR</x:v>
      </x:c>
      <x:c r="E260" t="n">
        <x:f>wimbledons_champions!F272</x:f>
        <x:v>0</x:v>
      </x:c>
      <x:c r="F260" t="n">
        <x:f>wimbledons_champions!G272</x:f>
        <x:v>48</x:v>
      </x:c>
      <x:c r="G260" t="str">
        <x:f>wimbledons_champions!H272</x:f>
        <x:v>6-1, 6-2, 6-4</x:v>
      </x:c>
      <x:c r="H260" t="str">
        <x:f>wimbledons_champions!S272</x:f>
        <x:v>W.C. Marshall</x:v>
      </x:c>
      <x:c r="I260" t="str">
        <x:f>wimbledons_champions!T272</x:f>
        <x:v>GBR</x:v>
      </x:c>
      <x:c r="J260" t="n">
        <x:f>wimbledons_champions!V272</x:f>
        <x:v>0</x:v>
      </x:c>
    </x:row>
    <x:row r="263">
      <x:c r="B263" s="4" t="inlineStr">
        <x:is>
          <x:t xml:space="preserve">total</x:t>
        </x:is>
      </x:c>
      <x:c r="C263" s="11" t="n">
        <x:v>124</x:v>
      </x:c>
      <x:c r="D263" s="3" t="n">
        <x:v>16</x:v>
      </x:c>
      <x:c r="E263" s="5" t="n">
        <x:f>AVERAGE(E2:E175)</x:f>
        <x:v>2.8596491228070176</x:v>
      </x:c>
      <x:c r="F263" s="3" t="n">
        <x:v>101</x:v>
      </x:c>
      <x:c r="H263" s="3" t="n">
        <x:v>167</x:v>
      </x:c>
      <x:c r="I263" s="3" t="n">
        <x:v>27</x:v>
      </x:c>
    </x:row>
    <x:row r="267">
      <x:c r="B267" t="inlineStr">
        <x:is>
          <x:t xml:space="preserve">men's</x:t>
        </x:is>
      </x:c>
      <x:c r="C267" s="9" t="n">
        <x:v>65</x:v>
      </x:c>
      <x:c r="F267" s="3" t="n">
        <x:v>119</x:v>
      </x:c>
    </x:row>
    <x:row r="268">
      <x:c r="B268" t="inlineStr">
        <x:is>
          <x:t xml:space="preserve">women</x:t>
        </x:is>
      </x:c>
      <x:c r="C268" s="9" t="n">
        <x:v>59</x:v>
      </x:c>
      <x:c r="F268" s="3" t="n">
        <x:v>78.59999999999999</x:v>
      </x:c>
    </x:row>
    <x:row r="271">
      <x:c r="A271" s="6" t="n">
        <x:f>8/(8+4)</x:f>
        <x:v>0.6666666666666666</x:v>
      </x:c>
      <x:c r="B271" t="inlineStr">
        <x:is>
          <x:t xml:space="preserve">Men</x:t>
        </x:is>
      </x:c>
      <x:c r="C271" s="9" t="inlineStr">
        <x:is>
          <x:t xml:space="preserve">R. Federer win rate 8 to 4</x:t>
        </x:is>
      </x:c>
      <x:c r="D271" s="7" t="inlineStr">
        <x:is>
          <x:t xml:space="preserve">SUI</x:t>
        </x:is>
      </x:c>
    </x:row>
    <x:row r="272">
      <x:c r="A272" s="6" t="n">
        <x:f>9/(9+6)</x:f>
        <x:v>0.6</x:v>
      </x:c>
      <x:c r="B272" t="inlineStr">
        <x:is>
          <x:t xml:space="preserve">Woman</x:t>
        </x:is>
      </x:c>
      <x:c r="C272" s="9" t="inlineStr">
        <x:is>
          <x:t xml:space="preserve">M. Navratilova win rate 9 to 3</x:t>
        </x:is>
      </x:c>
      <x:c r="D272" s="7" t="inlineStr">
        <x:is>
          <x:t xml:space="preserve">USA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600000381469727"/>
  <x:cols>
    <x:col min="1" max="1" width="5" customWidth="1"/>
    <x:col min="2" max="2" width="9.3046875" customWidth="1"/>
    <x:col min="3" max="3" width="15.69140625" customWidth="1"/>
    <x:col min="4" max="4" width="20.53515625" customWidth="1"/>
    <x:col min="5" max="5" width="15" customWidth="1"/>
    <x:col min="6" max="6" width="5.4609375" customWidth="1"/>
    <x:col min="7" max="7" width="30.4609375" customWidth="1"/>
    <x:col min="8" max="8" width="20.69140625" customWidth="1"/>
    <x:col min="9" max="9" width="21" customWidth="1"/>
    <x:col min="10" max="10" width="15.4609375" customWidth="1"/>
  </x:cols>
  <x:sheetData>
    <x:row r="1">
      <x:c r="A1" s="15" t="inlineStr">
        <x:is>
          <x:t xml:space="preserve">Year</x:t>
        </x:is>
      </x:c>
      <x:c r="B1" s="15" t="inlineStr">
        <x:is>
          <x:t xml:space="preserve">Gender</x:t>
        </x:is>
      </x:c>
      <x:c r="C1" s="15" t="inlineStr">
        <x:is>
          <x:t xml:space="preserve">Champion</x:t>
        </x:is>
      </x:c>
      <x:c r="D1" s="15" t="inlineStr">
        <x:is>
          <x:t xml:space="preserve">Champion Nationality</x:t>
        </x:is>
      </x:c>
      <x:c r="E1" s="15" t="inlineStr">
        <x:is>
          <x:t xml:space="preserve">Champion Seed</x:t>
        </x:is>
      </x:c>
      <x:c r="F1" s="15" t="inlineStr">
        <x:is>
          <x:t xml:space="preserve">Mins</x:t>
        </x:is>
      </x:c>
      <x:c r="G1" s="15" t="inlineStr">
        <x:is>
          <x:t xml:space="preserve">Score</x:t>
        </x:is>
      </x:c>
      <x:c r="H1" s="15" t="inlineStr">
        <x:is>
          <x:t xml:space="preserve">Runner-up</x:t>
        </x:is>
      </x:c>
      <x:c r="I1" s="15" t="inlineStr">
        <x:is>
          <x:t xml:space="preserve">Runner-up Nationality</x:t>
        </x:is>
      </x:c>
      <x:c r="J1" s="15" t="inlineStr">
        <x:is>
          <x:t xml:space="preserve">Runner-up Seed</x:t>
        </x:is>
      </x:c>
    </x:row>
    <x:row r="2">
      <x:c r="A2" t="n">
        <x:v>2019</x:v>
      </x:c>
      <x:c r="B2" t="inlineStr">
        <x:is>
          <x:t xml:space="preserve">Women's</x:t>
        </x:is>
      </x:c>
      <x:c r="C2" t="inlineStr">
        <x:is>
          <x:t xml:space="preserve">S.Halep</x:t>
        </x:is>
      </x:c>
      <x:c r="D2" t="inlineStr">
        <x:is>
          <x:t xml:space="preserve">ROU</x:t>
        </x:is>
      </x:c>
      <x:c r="E2" t="n">
        <x:v>7</x:v>
      </x:c>
      <x:c r="F2" t="n">
        <x:v>56</x:v>
      </x:c>
      <x:c r="G2" t="inlineStr">
        <x:is>
          <x:t xml:space="preserve">6-2,6-2</x:t>
        </x:is>
      </x:c>
      <x:c r="H2" t="inlineStr">
        <x:is>
          <x:t xml:space="preserve">S. Williams</x:t>
        </x:is>
      </x:c>
      <x:c r="I2" t="inlineStr">
        <x:is>
          <x:t xml:space="preserve">USA</x:t>
        </x:is>
      </x:c>
      <x:c r="J2" t="n">
        <x:v>11</x:v>
      </x:c>
    </x:row>
    <x:row r="3">
      <x:c r="A3" t="n">
        <x:v>2019</x:v>
      </x:c>
      <x:c r="B3" t="inlineStr">
        <x:is>
          <x:t xml:space="preserve">Men's</x:t>
        </x:is>
      </x:c>
      <x:c r="C3" t="inlineStr">
        <x:is>
          <x:t xml:space="preserve">N. Djokovic</x:t>
        </x:is>
      </x:c>
      <x:c r="D3" t="inlineStr">
        <x:is>
          <x:t xml:space="preserve">SRB</x:t>
        </x:is>
      </x:c>
      <x:c r="E3" t="n">
        <x:v>1</x:v>
      </x:c>
      <x:c r="F3" t="n">
        <x:v>297</x:v>
      </x:c>
      <x:c r="G3" t="inlineStr">
        <x:is>
          <x:t xml:space="preserve">7-6,1-6,7-6,4-6,7-6</x:t>
        </x:is>
      </x:c>
      <x:c r="H3" t="inlineStr">
        <x:is>
          <x:t xml:space="preserve">R. Federer</x:t>
        </x:is>
      </x:c>
      <x:c r="I3" t="inlineStr">
        <x:is>
          <x:t xml:space="preserve">SUI</x:t>
        </x:is>
      </x:c>
      <x:c r="J3" t="n">
        <x:v>2</x:v>
      </x:c>
    </x:row>
    <x:row r="4">
      <x:c r="A4" t="n">
        <x:v>2018</x:v>
      </x:c>
      <x:c r="B4" t="inlineStr">
        <x:is>
          <x:t xml:space="preserve">Women's</x:t>
        </x:is>
      </x:c>
      <x:c r="C4" t="inlineStr">
        <x:is>
          <x:t xml:space="preserve">A.Kerber</x:t>
        </x:is>
      </x:c>
      <x:c r="D4" t="inlineStr">
        <x:is>
          <x:t xml:space="preserve">GER</x:t>
        </x:is>
      </x:c>
      <x:c r="E4" t="n">
        <x:v>11</x:v>
      </x:c>
      <x:c r="F4" t="n">
        <x:v>65</x:v>
      </x:c>
      <x:c r="G4" t="inlineStr">
        <x:is>
          <x:t xml:space="preserve">6-3,6-3</x:t>
        </x:is>
      </x:c>
      <x:c r="H4" t="inlineStr">
        <x:is>
          <x:t xml:space="preserve">S. Williams</x:t>
        </x:is>
      </x:c>
      <x:c r="I4" t="inlineStr">
        <x:is>
          <x:t xml:space="preserve">USA</x:t>
        </x:is>
      </x:c>
      <x:c r="J4" t="n">
        <x:v>25</x:v>
      </x:c>
    </x:row>
    <x:row r="5">
      <x:c r="A5" t="n">
        <x:v>2018</x:v>
      </x:c>
      <x:c r="B5" t="inlineStr">
        <x:is>
          <x:t xml:space="preserve">Men's</x:t>
        </x:is>
      </x:c>
      <x:c r="C5" t="inlineStr">
        <x:is>
          <x:t xml:space="preserve">N. Djokovic</x:t>
        </x:is>
      </x:c>
      <x:c r="D5" t="inlineStr">
        <x:is>
          <x:t xml:space="preserve">SRB</x:t>
        </x:is>
      </x:c>
      <x:c r="E5" t="n">
        <x:v>12</x:v>
      </x:c>
      <x:c r="F5" t="n">
        <x:v>170</x:v>
      </x:c>
      <x:c r="G5" t="inlineStr">
        <x:is>
          <x:t xml:space="preserve">6-2,6-2,7-6</x:t>
        </x:is>
      </x:c>
      <x:c r="H5" t="inlineStr">
        <x:is>
          <x:t xml:space="preserve">K.Anderson</x:t>
        </x:is>
      </x:c>
      <x:c r="I5" t="inlineStr">
        <x:is>
          <x:t xml:space="preserve">RSA</x:t>
        </x:is>
      </x:c>
      <x:c r="J5" t="n">
        <x:v>8</x:v>
      </x:c>
    </x:row>
    <x:row r="6">
      <x:c r="A6" t="n">
        <x:v>2017</x:v>
      </x:c>
      <x:c r="B6" t="inlineStr">
        <x:is>
          <x:t xml:space="preserve">Women's</x:t>
        </x:is>
      </x:c>
      <x:c r="C6" t="inlineStr">
        <x:is>
          <x:t xml:space="preserve">G.Muguruza</x:t>
        </x:is>
      </x:c>
      <x:c r="D6" t="inlineStr">
        <x:is>
          <x:t xml:space="preserve">ESP</x:t>
        </x:is>
      </x:c>
      <x:c r="E6" t="n">
        <x:v>14</x:v>
      </x:c>
      <x:c r="F6" t="n">
        <x:v>77</x:v>
      </x:c>
      <x:c r="G6" t="inlineStr">
        <x:is>
          <x:t xml:space="preserve">7-5,6-0</x:t>
        </x:is>
      </x:c>
      <x:c r="H6" t="inlineStr">
        <x:is>
          <x:t xml:space="preserve">V.E.S Williams</x:t>
        </x:is>
      </x:c>
      <x:c r="I6" t="inlineStr">
        <x:is>
          <x:t xml:space="preserve">USA</x:t>
        </x:is>
      </x:c>
      <x:c r="J6" t="n">
        <x:v>10</x:v>
      </x:c>
    </x:row>
    <x:row r="7">
      <x:c r="A7" t="n">
        <x:v>2017</x:v>
      </x:c>
      <x:c r="B7" t="inlineStr">
        <x:is>
          <x:t xml:space="preserve">Men's</x:t>
        </x:is>
      </x:c>
      <x:c r="C7" t="inlineStr">
        <x:is>
          <x:t xml:space="preserve">R. Federer</x:t>
        </x:is>
      </x:c>
      <x:c r="D7" t="inlineStr">
        <x:is>
          <x:t xml:space="preserve">SUI</x:t>
        </x:is>
      </x:c>
      <x:c r="E7" t="n">
        <x:v>3</x:v>
      </x:c>
      <x:c r="F7" t="n">
        <x:v>101</x:v>
      </x:c>
      <x:c r="G7" t="inlineStr">
        <x:is>
          <x:t xml:space="preserve">6-3,6-1,6-4</x:t>
        </x:is>
      </x:c>
      <x:c r="H7" t="inlineStr">
        <x:is>
          <x:t xml:space="preserve">M.Cilic</x:t>
        </x:is>
      </x:c>
      <x:c r="I7" t="inlineStr">
        <x:is>
          <x:t xml:space="preserve">HRV</x:t>
        </x:is>
      </x:c>
      <x:c r="J7" t="n">
        <x:v>7</x:v>
      </x:c>
    </x:row>
    <x:row r="8">
      <x:c r="A8" t="n">
        <x:v>2016</x:v>
      </x:c>
      <x:c r="B8" t="inlineStr">
        <x:is>
          <x:t xml:space="preserve">Women's</x:t>
        </x:is>
      </x:c>
      <x:c r="C8" t="inlineStr">
        <x:is>
          <x:t xml:space="preserve">S. Williams</x:t>
        </x:is>
      </x:c>
      <x:c r="D8" t="inlineStr">
        <x:is>
          <x:t xml:space="preserve">USA</x:t>
        </x:is>
      </x:c>
      <x:c r="E8" t="n">
        <x:v>1</x:v>
      </x:c>
      <x:c r="F8" t="n">
        <x:v>83</x:v>
      </x:c>
      <x:c r="G8" t="inlineStr">
        <x:is>
          <x:t xml:space="preserve">7-5, 6-3</x:t>
        </x:is>
      </x:c>
      <x:c r="H8" t="inlineStr">
        <x:is>
          <x:t xml:space="preserve">A. Kerber</x:t>
        </x:is>
      </x:c>
      <x:c r="I8" t="inlineStr">
        <x:is>
          <x:t xml:space="preserve">GER</x:t>
        </x:is>
      </x:c>
      <x:c r="J8" t="n">
        <x:v>4</x:v>
      </x:c>
    </x:row>
    <x:row r="9">
      <x:c r="A9" t="n">
        <x:v>2016</x:v>
      </x:c>
      <x:c r="B9" t="inlineStr">
        <x:is>
          <x:t xml:space="preserve">Men's</x:t>
        </x:is>
      </x:c>
      <x:c r="C9" t="inlineStr">
        <x:is>
          <x:t xml:space="preserve">A. Murray</x:t>
        </x:is>
      </x:c>
      <x:c r="D9" t="inlineStr">
        <x:is>
          <x:t xml:space="preserve">GBR</x:t>
        </x:is>
      </x:c>
      <x:c r="E9" t="n">
        <x:v>2</x:v>
      </x:c>
      <x:c r="F9" t="n">
        <x:v>170</x:v>
      </x:c>
      <x:c r="G9" t="inlineStr">
        <x:is>
          <x:t xml:space="preserve">6-4, 7-6, 7-6</x:t>
        </x:is>
      </x:c>
      <x:c r="H9" t="inlineStr">
        <x:is>
          <x:t xml:space="preserve">M. Raonic</x:t>
        </x:is>
      </x:c>
      <x:c r="I9" t="inlineStr">
        <x:is>
          <x:t xml:space="preserve">CND</x:t>
        </x:is>
      </x:c>
      <x:c r="J9" t="n">
        <x:v>6</x:v>
      </x:c>
    </x:row>
    <x:row r="10">
      <x:c r="A10" t="n">
        <x:v>2015</x:v>
      </x:c>
      <x:c r="B10" t="inlineStr">
        <x:is>
          <x:t xml:space="preserve">Women's</x:t>
        </x:is>
      </x:c>
      <x:c r="C10" t="inlineStr">
        <x:is>
          <x:t xml:space="preserve">S. Williams</x:t>
        </x:is>
      </x:c>
      <x:c r="D10" t="inlineStr">
        <x:is>
          <x:t xml:space="preserve">USA</x:t>
        </x:is>
      </x:c>
      <x:c r="E10" t="n">
        <x:v>1</x:v>
      </x:c>
      <x:c r="F10" t="n">
        <x:v>83</x:v>
      </x:c>
      <x:c r="G10" t="inlineStr">
        <x:is>
          <x:t xml:space="preserve">6-4, 6-4</x:t>
        </x:is>
      </x:c>
      <x:c r="H10" t="inlineStr">
        <x:is>
          <x:t xml:space="preserve">G. Muguruza</x:t>
        </x:is>
      </x:c>
      <x:c r="I10" t="inlineStr">
        <x:is>
          <x:t xml:space="preserve">ESP</x:t>
        </x:is>
      </x:c>
      <x:c r="J10" t="n">
        <x:v>20</x:v>
      </x:c>
    </x:row>
    <x:row r="11">
      <x:c r="A11" t="n">
        <x:v>2015</x:v>
      </x:c>
      <x:c r="B11" t="inlineStr">
        <x:is>
          <x:t xml:space="preserve">Men's</x:t>
        </x:is>
      </x:c>
      <x:c r="C11" t="inlineStr">
        <x:is>
          <x:t xml:space="preserve">N. Djokovic</x:t>
        </x:is>
      </x:c>
      <x:c r="D11" t="inlineStr">
        <x:is>
          <x:t xml:space="preserve">SRB</x:t>
        </x:is>
      </x:c>
      <x:c r="E11" t="n">
        <x:v>1</x:v>
      </x:c>
      <x:c r="F11" t="n">
        <x:v>176</x:v>
      </x:c>
      <x:c r="G11" t="inlineStr">
        <x:is>
          <x:t xml:space="preserve">7-6, 6-7, 6-4, 6-3</x:t>
        </x:is>
      </x:c>
      <x:c r="H11" t="inlineStr">
        <x:is>
          <x:t xml:space="preserve">R. Federer</x:t>
        </x:is>
      </x:c>
      <x:c r="I11" t="inlineStr">
        <x:is>
          <x:t xml:space="preserve">SUI</x:t>
        </x:is>
      </x:c>
      <x:c r="J11" t="n">
        <x:v>2</x:v>
      </x:c>
    </x:row>
    <x:row r="12">
      <x:c r="A12" t="n">
        <x:v>2014</x:v>
      </x:c>
      <x:c r="B12" t="inlineStr">
        <x:is>
          <x:t xml:space="preserve">Women's</x:t>
        </x:is>
      </x:c>
      <x:c r="C12" t="inlineStr">
        <x:is>
          <x:t xml:space="preserve">P. Kvitová</x:t>
        </x:is>
      </x:c>
      <x:c r="D12" t="inlineStr">
        <x:is>
          <x:t xml:space="preserve">CZE</x:t>
        </x:is>
      </x:c>
      <x:c r="E12" t="n">
        <x:v>6</x:v>
      </x:c>
      <x:c r="F12" t="n">
        <x:v>55</x:v>
      </x:c>
      <x:c r="G12" t="inlineStr">
        <x:is>
          <x:t xml:space="preserve">6-3, 6-0</x:t>
        </x:is>
      </x:c>
      <x:c r="H12" t="inlineStr">
        <x:is>
          <x:t xml:space="preserve">E. Bouchard</x:t>
        </x:is>
      </x:c>
      <x:c r="I12" t="inlineStr">
        <x:is>
          <x:t xml:space="preserve">CND</x:t>
        </x:is>
      </x:c>
      <x:c r="J12" t="n">
        <x:v>13</x:v>
      </x:c>
    </x:row>
    <x:row r="13">
      <x:c r="A13" t="n">
        <x:v>2014</x:v>
      </x:c>
      <x:c r="B13" t="inlineStr">
        <x:is>
          <x:t xml:space="preserve">Men's</x:t>
        </x:is>
      </x:c>
      <x:c r="C13" t="inlineStr">
        <x:is>
          <x:t xml:space="preserve">N. Djokovic</x:t>
        </x:is>
      </x:c>
      <x:c r="D13" t="inlineStr">
        <x:is>
          <x:t xml:space="preserve">SRB</x:t>
        </x:is>
      </x:c>
      <x:c r="E13" t="n">
        <x:v>1</x:v>
      </x:c>
      <x:c r="F13" t="n">
        <x:v>236</x:v>
      </x:c>
      <x:c r="G13" t="inlineStr">
        <x:is>
          <x:t xml:space="preserve">6-7, 6-4, 7-64, 5-7, 6-4</x:t>
        </x:is>
      </x:c>
      <x:c r="H13" t="inlineStr">
        <x:is>
          <x:t xml:space="preserve">R. Federer</x:t>
        </x:is>
      </x:c>
      <x:c r="I13" t="inlineStr">
        <x:is>
          <x:t xml:space="preserve">SUI</x:t>
        </x:is>
      </x:c>
      <x:c r="J13" t="n">
        <x:v>4</x:v>
      </x:c>
    </x:row>
    <x:row r="14">
      <x:c r="A14" t="n">
        <x:v>2013</x:v>
      </x:c>
      <x:c r="B14" t="inlineStr">
        <x:is>
          <x:t xml:space="preserve">Women's</x:t>
        </x:is>
      </x:c>
      <x:c r="C14" t="inlineStr">
        <x:is>
          <x:t xml:space="preserve">M. Bartoli</x:t>
        </x:is>
      </x:c>
      <x:c r="D14" t="inlineStr">
        <x:is>
          <x:t xml:space="preserve">FRA</x:t>
        </x:is>
      </x:c>
      <x:c r="E14" t="n">
        <x:v>15</x:v>
      </x:c>
      <x:c r="F14" t="n">
        <x:v>81</x:v>
      </x:c>
      <x:c r="G14" t="inlineStr">
        <x:is>
          <x:t xml:space="preserve">6-2,1-6,6-4</x:t>
        </x:is>
      </x:c>
      <x:c r="H14" t="inlineStr">
        <x:is>
          <x:t xml:space="preserve">S. Lisicki</x:t>
        </x:is>
      </x:c>
      <x:c r="I14" t="inlineStr">
        <x:is>
          <x:t xml:space="preserve">GER</x:t>
        </x:is>
      </x:c>
      <x:c r="J14" t="n">
        <x:v>23</x:v>
      </x:c>
    </x:row>
    <x:row r="15">
      <x:c r="A15" t="n">
        <x:v>2013</x:v>
      </x:c>
      <x:c r="B15" t="inlineStr">
        <x:is>
          <x:t xml:space="preserve">Men's</x:t>
        </x:is>
      </x:c>
      <x:c r="C15" t="inlineStr">
        <x:is>
          <x:t xml:space="preserve">A. Murray</x:t>
        </x:is>
      </x:c>
      <x:c r="D15" t="inlineStr">
        <x:is>
          <x:t xml:space="preserve">GBR</x:t>
        </x:is>
      </x:c>
      <x:c r="E15" t="n">
        <x:v>2</x:v>
      </x:c>
      <x:c r="F15" t="n">
        <x:v>134</x:v>
      </x:c>
      <x:c r="G15" t="inlineStr">
        <x:is>
          <x:t xml:space="preserve">6-4, 7-5, 6-4</x:t>
        </x:is>
      </x:c>
      <x:c r="H15" t="inlineStr">
        <x:is>
          <x:t xml:space="preserve">N. Djokovic</x:t>
        </x:is>
      </x:c>
      <x:c r="I15" t="inlineStr">
        <x:is>
          <x:t xml:space="preserve">SRB</x:t>
        </x:is>
      </x:c>
      <x:c r="J15" t="n">
        <x:v>1</x:v>
      </x:c>
    </x:row>
    <x:row r="16">
      <x:c r="A16" t="n">
        <x:v>2012</x:v>
      </x:c>
      <x:c r="B16" t="inlineStr">
        <x:is>
          <x:t xml:space="preserve">Women's</x:t>
        </x:is>
      </x:c>
      <x:c r="C16" t="inlineStr">
        <x:is>
          <x:t xml:space="preserve">S. Williams</x:t>
        </x:is>
      </x:c>
      <x:c r="D16" t="inlineStr">
        <x:is>
          <x:t xml:space="preserve">USA</x:t>
        </x:is>
      </x:c>
      <x:c r="E16" t="n">
        <x:v>6</x:v>
      </x:c>
      <x:c r="F16" t="n">
        <x:v>122</x:v>
      </x:c>
      <x:c r="G16" t="inlineStr">
        <x:is>
          <x:t xml:space="preserve">6-1, 5-7, 6-2</x:t>
        </x:is>
      </x:c>
      <x:c r="H16" t="inlineStr">
        <x:is>
          <x:t xml:space="preserve">A. Radwańska</x:t>
        </x:is>
      </x:c>
      <x:c r="I16" t="inlineStr">
        <x:is>
          <x:t xml:space="preserve">POL</x:t>
        </x:is>
      </x:c>
      <x:c r="J16" t="n">
        <x:v>3</x:v>
      </x:c>
    </x:row>
    <x:row r="17">
      <x:c r="A17" t="n">
        <x:v>2012</x:v>
      </x:c>
      <x:c r="B17" t="inlineStr">
        <x:is>
          <x:t xml:space="preserve">Men's</x:t>
        </x:is>
      </x:c>
      <x:c r="C17" t="inlineStr">
        <x:is>
          <x:t xml:space="preserve">R. Federer</x:t>
        </x:is>
      </x:c>
      <x:c r="D17" t="inlineStr">
        <x:is>
          <x:t xml:space="preserve">SUI</x:t>
        </x:is>
      </x:c>
      <x:c r="E17" t="n">
        <x:v>3</x:v>
      </x:c>
      <x:c r="F17" t="n">
        <x:v>204</x:v>
      </x:c>
      <x:c r="G17" t="inlineStr">
        <x:is>
          <x:t xml:space="preserve">4-6, 7-5, 6-3, 6-4</x:t>
        </x:is>
      </x:c>
      <x:c r="H17" t="inlineStr">
        <x:is>
          <x:t xml:space="preserve">A. Murray</x:t>
        </x:is>
      </x:c>
      <x:c r="I17" t="inlineStr">
        <x:is>
          <x:t xml:space="preserve">GBR</x:t>
        </x:is>
      </x:c>
      <x:c r="J17" t="n">
        <x:v>4</x:v>
      </x:c>
    </x:row>
    <x:row r="18">
      <x:c r="A18" t="n">
        <x:v>2011</x:v>
      </x:c>
      <x:c r="B18" t="inlineStr">
        <x:is>
          <x:t xml:space="preserve">Women's</x:t>
        </x:is>
      </x:c>
      <x:c r="C18" t="inlineStr">
        <x:is>
          <x:t xml:space="preserve">P.Kvitova</x:t>
        </x:is>
      </x:c>
      <x:c r="D18" t="inlineStr">
        <x:is>
          <x:t xml:space="preserve">CZE</x:t>
        </x:is>
      </x:c>
      <x:c r="E18" t="n">
        <x:v>8</x:v>
      </x:c>
      <x:c r="F18" t="n">
        <x:v>85</x:v>
      </x:c>
      <x:c r="G18" t="inlineStr">
        <x:is>
          <x:t xml:space="preserve">6-3, 6-4</x:t>
        </x:is>
      </x:c>
      <x:c r="H18" t="inlineStr">
        <x:is>
          <x:t xml:space="preserve">M. Sharapova</x:t>
        </x:is>
      </x:c>
      <x:c r="I18" t="inlineStr">
        <x:is>
          <x:t xml:space="preserve">RUS</x:t>
        </x:is>
      </x:c>
      <x:c r="J18" t="n">
        <x:v>5</x:v>
      </x:c>
    </x:row>
    <x:row r="19">
      <x:c r="A19" t="n">
        <x:v>2011</x:v>
      </x:c>
      <x:c r="B19" t="inlineStr">
        <x:is>
          <x:t xml:space="preserve">Men's</x:t>
        </x:is>
      </x:c>
      <x:c r="C19" t="inlineStr">
        <x:is>
          <x:t xml:space="preserve">N. Djokovic</x:t>
        </x:is>
      </x:c>
      <x:c r="D19" t="inlineStr">
        <x:is>
          <x:t xml:space="preserve">SRB</x:t>
        </x:is>
      </x:c>
      <x:c r="E19" t="n">
        <x:v>2</x:v>
      </x:c>
      <x:c r="F19" t="n">
        <x:v>148</x:v>
      </x:c>
      <x:c r="G19" t="inlineStr">
        <x:is>
          <x:t xml:space="preserve">6-4 6-1 1-6 6-3</x:t>
        </x:is>
      </x:c>
      <x:c r="H19" t="inlineStr">
        <x:is>
          <x:t xml:space="preserve">R. Nadal</x:t>
        </x:is>
      </x:c>
      <x:c r="I19" t="inlineStr">
        <x:is>
          <x:t xml:space="preserve">ESP</x:t>
        </x:is>
      </x:c>
      <x:c r="J19" t="n">
        <x:v>1</x:v>
      </x:c>
    </x:row>
    <x:row r="20">
      <x:c r="A20" t="n">
        <x:v>2010</x:v>
      </x:c>
      <x:c r="B20" t="inlineStr">
        <x:is>
          <x:t xml:space="preserve">Women's</x:t>
        </x:is>
      </x:c>
      <x:c r="C20" t="inlineStr">
        <x:is>
          <x:t xml:space="preserve">S. Williams</x:t>
        </x:is>
      </x:c>
      <x:c r="D20" t="inlineStr">
        <x:is>
          <x:t xml:space="preserve">USA</x:t>
        </x:is>
      </x:c>
      <x:c r="E20" t="n">
        <x:v>1</x:v>
      </x:c>
      <x:c r="F20" t="n">
        <x:v>66</x:v>
      </x:c>
      <x:c r="G20" t="inlineStr">
        <x:is>
          <x:t xml:space="preserve">6-3, 6-2</x:t>
        </x:is>
      </x:c>
      <x:c r="H20" t="inlineStr">
        <x:is>
          <x:t xml:space="preserve">V. Zvonareva</x:t>
        </x:is>
      </x:c>
      <x:c r="I20" t="inlineStr">
        <x:is>
          <x:t xml:space="preserve">RUS</x:t>
        </x:is>
      </x:c>
      <x:c r="J20" t="n">
        <x:v>21</x:v>
      </x:c>
    </x:row>
    <x:row r="21">
      <x:c r="A21" t="n">
        <x:v>2010</x:v>
      </x:c>
      <x:c r="B21" t="inlineStr">
        <x:is>
          <x:t xml:space="preserve">Men's</x:t>
        </x:is>
      </x:c>
      <x:c r="C21" t="inlineStr">
        <x:is>
          <x:t xml:space="preserve">R. Nadal</x:t>
        </x:is>
      </x:c>
      <x:c r="D21" t="inlineStr">
        <x:is>
          <x:t xml:space="preserve">ESP</x:t>
        </x:is>
      </x:c>
      <x:c r="E21" t="n">
        <x:v>2</x:v>
      </x:c>
      <x:c r="F21" t="n">
        <x:v>133</x:v>
      </x:c>
      <x:c r="G21" t="inlineStr">
        <x:is>
          <x:t xml:space="preserve">6-3, 7-5, 6-4</x:t>
        </x:is>
      </x:c>
      <x:c r="H21" t="inlineStr">
        <x:is>
          <x:t xml:space="preserve">T. Berdych</x:t>
        </x:is>
      </x:c>
      <x:c r="I21" t="inlineStr">
        <x:is>
          <x:t xml:space="preserve">CZ</x:t>
        </x:is>
      </x:c>
      <x:c r="J21" t="n">
        <x:v>12</x:v>
      </x:c>
    </x:row>
    <x:row r="22">
      <x:c r="A22" t="n">
        <x:v>2009</x:v>
      </x:c>
      <x:c r="B22" t="inlineStr">
        <x:is>
          <x:t xml:space="preserve">Women's</x:t>
        </x:is>
      </x:c>
      <x:c r="C22" t="inlineStr">
        <x:is>
          <x:t xml:space="preserve">S. Williams</x:t>
        </x:is>
      </x:c>
      <x:c r="D22" t="inlineStr">
        <x:is>
          <x:t xml:space="preserve">USA</x:t>
        </x:is>
      </x:c>
      <x:c r="E22" t="n">
        <x:v>2</x:v>
      </x:c>
      <x:c r="F22" t="n">
        <x:v>87</x:v>
      </x:c>
      <x:c r="G22" t="inlineStr">
        <x:is>
          <x:t xml:space="preserve">7-6 (7-3), 6-2</x:t>
        </x:is>
      </x:c>
      <x:c r="H22" t="inlineStr">
        <x:is>
          <x:t xml:space="preserve">V.E.S. Williams</x:t>
        </x:is>
      </x:c>
      <x:c r="I22" t="inlineStr">
        <x:is>
          <x:t xml:space="preserve">USA</x:t>
        </x:is>
      </x:c>
      <x:c r="J22" t="n">
        <x:v>3</x:v>
      </x:c>
    </x:row>
    <x:row r="23">
      <x:c r="A23" t="n">
        <x:v>2009</x:v>
      </x:c>
      <x:c r="B23" t="inlineStr">
        <x:is>
          <x:t xml:space="preserve">Men's</x:t>
        </x:is>
      </x:c>
      <x:c r="C23" t="inlineStr">
        <x:is>
          <x:t xml:space="preserve">R. Federer</x:t>
        </x:is>
      </x:c>
      <x:c r="D23" t="inlineStr">
        <x:is>
          <x:t xml:space="preserve">SUI</x:t>
        </x:is>
      </x:c>
      <x:c r="E23" t="n">
        <x:v>2</x:v>
      </x:c>
      <x:c r="F23" t="n">
        <x:v>256</x:v>
      </x:c>
      <x:c r="G23" t="inlineStr">
        <x:is>
          <x:t xml:space="preserve">5-7, 7-6 (8-6), 7-6 (7-5), 3-6, 16-14</x:t>
        </x:is>
      </x:c>
      <x:c r="H23" t="inlineStr">
        <x:is>
          <x:t xml:space="preserve">A. Roddick</x:t>
        </x:is>
      </x:c>
      <x:c r="I23" t="inlineStr">
        <x:is>
          <x:t xml:space="preserve">USA</x:t>
        </x:is>
      </x:c>
      <x:c r="J23" t="n">
        <x:v>6</x:v>
      </x:c>
    </x:row>
    <x:row r="24">
      <x:c r="A24" t="n">
        <x:v>2008</x:v>
      </x:c>
      <x:c r="B24" t="inlineStr">
        <x:is>
          <x:t xml:space="preserve">Women's</x:t>
        </x:is>
      </x:c>
      <x:c r="C24" t="inlineStr">
        <x:is>
          <x:t xml:space="preserve">V.E.S. Williams</x:t>
        </x:is>
      </x:c>
      <x:c r="D24" t="inlineStr">
        <x:is>
          <x:t xml:space="preserve">USA</x:t>
        </x:is>
      </x:c>
      <x:c r="E24" t="n">
        <x:v>7</x:v>
      </x:c>
      <x:c r="F24" t="n">
        <x:v>111</x:v>
      </x:c>
      <x:c r="G24" t="inlineStr">
        <x:is>
          <x:t xml:space="preserve">7-5, 6-4</x:t>
        </x:is>
      </x:c>
      <x:c r="H24" t="inlineStr">
        <x:is>
          <x:t xml:space="preserve">S. Williams</x:t>
        </x:is>
      </x:c>
      <x:c r="I24" t="inlineStr">
        <x:is>
          <x:t xml:space="preserve">USA</x:t>
        </x:is>
      </x:c>
      <x:c r="J24" t="n">
        <x:v>6</x:v>
      </x:c>
    </x:row>
    <x:row r="25">
      <x:c r="A25" t="n">
        <x:v>2008</x:v>
      </x:c>
      <x:c r="B25" t="inlineStr">
        <x:is>
          <x:t xml:space="preserve">Men's</x:t>
        </x:is>
      </x:c>
      <x:c r="C25" t="inlineStr">
        <x:is>
          <x:t xml:space="preserve">R. Nadal</x:t>
        </x:is>
      </x:c>
      <x:c r="D25" t="inlineStr">
        <x:is>
          <x:t xml:space="preserve">ESP</x:t>
        </x:is>
      </x:c>
      <x:c r="E25" t="n">
        <x:v>2</x:v>
      </x:c>
      <x:c r="F25" t="n">
        <x:v>288</x:v>
      </x:c>
      <x:c r="G25" t="inlineStr">
        <x:is>
          <x:t xml:space="preserve">6-4, 6-4, 6-7 (5-7), 6-7 (8-10), 9-7</x:t>
        </x:is>
      </x:c>
      <x:c r="H25" t="inlineStr">
        <x:is>
          <x:t xml:space="preserve">R. Federer</x:t>
        </x:is>
      </x:c>
      <x:c r="I25" t="inlineStr">
        <x:is>
          <x:t xml:space="preserve">SUI</x:t>
        </x:is>
      </x:c>
      <x:c r="J25" t="n">
        <x:v>1</x:v>
      </x:c>
    </x:row>
    <x:row r="26">
      <x:c r="A26" t="n">
        <x:v>2007</x:v>
      </x:c>
      <x:c r="B26" t="inlineStr">
        <x:is>
          <x:t xml:space="preserve">Women's</x:t>
        </x:is>
      </x:c>
      <x:c r="C26" t="inlineStr">
        <x:is>
          <x:t xml:space="preserve">V.E.S. Williams</x:t>
        </x:is>
      </x:c>
      <x:c r="D26" t="inlineStr">
        <x:is>
          <x:t xml:space="preserve">USA</x:t>
        </x:is>
      </x:c>
      <x:c r="E26" t="n">
        <x:v>23</x:v>
      </x:c>
      <x:c r="F26" t="n">
        <x:v>90</x:v>
      </x:c>
      <x:c r="G26" t="inlineStr">
        <x:is>
          <x:t xml:space="preserve">6-4, 6-1</x:t>
        </x:is>
      </x:c>
      <x:c r="H26" t="inlineStr">
        <x:is>
          <x:t xml:space="preserve">M. Bartoli</x:t>
        </x:is>
      </x:c>
      <x:c r="I26" t="inlineStr">
        <x:is>
          <x:t xml:space="preserve">FRA</x:t>
        </x:is>
      </x:c>
      <x:c r="J26" t="n">
        <x:v>18</x:v>
      </x:c>
    </x:row>
    <x:row r="27">
      <x:c r="A27" t="n">
        <x:v>2007</x:v>
      </x:c>
      <x:c r="B27" t="inlineStr">
        <x:is>
          <x:t xml:space="preserve">Men's</x:t>
        </x:is>
      </x:c>
      <x:c r="C27" t="inlineStr">
        <x:is>
          <x:t xml:space="preserve">R. Federer</x:t>
        </x:is>
      </x:c>
      <x:c r="D27" t="inlineStr">
        <x:is>
          <x:t xml:space="preserve">SUI</x:t>
        </x:is>
      </x:c>
      <x:c r="E27" t="n">
        <x:v>1</x:v>
      </x:c>
      <x:c r="F27" t="n">
        <x:v>225</x:v>
      </x:c>
      <x:c r="G27" t="inlineStr">
        <x:is>
          <x:t xml:space="preserve">7-6 (9-7), 4-6, 7-6 (7-3), 2-6, 6-2</x:t>
        </x:is>
      </x:c>
      <x:c r="H27" t="inlineStr">
        <x:is>
          <x:t xml:space="preserve">R. Nadal</x:t>
        </x:is>
      </x:c>
      <x:c r="I27" t="inlineStr">
        <x:is>
          <x:t xml:space="preserve">ESP</x:t>
        </x:is>
      </x:c>
      <x:c r="J27" t="n">
        <x:v>2</x:v>
      </x:c>
    </x:row>
    <x:row r="28">
      <x:c r="A28" t="n">
        <x:v>2006</x:v>
      </x:c>
      <x:c r="B28" t="inlineStr">
        <x:is>
          <x:t xml:space="preserve">Women's</x:t>
        </x:is>
      </x:c>
      <x:c r="C28" t="inlineStr">
        <x:is>
          <x:t xml:space="preserve">A. Mauresmo</x:t>
        </x:is>
      </x:c>
      <x:c r="D28" t="inlineStr">
        <x:is>
          <x:t xml:space="preserve">FRA</x:t>
        </x:is>
      </x:c>
      <x:c r="E28" t="n">
        <x:v>1</x:v>
      </x:c>
      <x:c r="F28" t="n">
        <x:v>122</x:v>
      </x:c>
      <x:c r="G28" t="inlineStr">
        <x:is>
          <x:t xml:space="preserve">2-6, 6-3, 6-4</x:t>
        </x:is>
      </x:c>
      <x:c r="H28" t="inlineStr">
        <x:is>
          <x:t xml:space="preserve">P-Y Hardenne</x:t>
        </x:is>
      </x:c>
      <x:c r="I28" t="inlineStr">
        <x:is>
          <x:t xml:space="preserve">BEL</x:t>
        </x:is>
      </x:c>
      <x:c r="J28" t="n">
        <x:v>3</x:v>
      </x:c>
    </x:row>
    <x:row r="29">
      <x:c r="A29" t="n">
        <x:v>2006</x:v>
      </x:c>
      <x:c r="B29" t="inlineStr">
        <x:is>
          <x:t xml:space="preserve">Men's</x:t>
        </x:is>
      </x:c>
      <x:c r="C29" t="inlineStr">
        <x:is>
          <x:t xml:space="preserve">R. Federer</x:t>
        </x:is>
      </x:c>
      <x:c r="D29" t="inlineStr">
        <x:is>
          <x:t xml:space="preserve">SUI</x:t>
        </x:is>
      </x:c>
      <x:c r="E29" t="n">
        <x:v>1</x:v>
      </x:c>
      <x:c r="F29" t="n">
        <x:v>170</x:v>
      </x:c>
      <x:c r="G29" t="inlineStr">
        <x:is>
          <x:t xml:space="preserve">6-0, 7-6 (7-5), 6-7 (2-7), 6-3</x:t>
        </x:is>
      </x:c>
      <x:c r="H29" t="inlineStr">
        <x:is>
          <x:t xml:space="preserve">R. Nadal</x:t>
        </x:is>
      </x:c>
      <x:c r="I29" t="inlineStr">
        <x:is>
          <x:t xml:space="preserve">ESP</x:t>
        </x:is>
      </x:c>
      <x:c r="J29" t="n">
        <x:v>2</x:v>
      </x:c>
    </x:row>
    <x:row r="30">
      <x:c r="A30" t="n">
        <x:v>2005</x:v>
      </x:c>
      <x:c r="B30" t="inlineStr">
        <x:is>
          <x:t xml:space="preserve">Women's</x:t>
        </x:is>
      </x:c>
      <x:c r="C30" t="inlineStr">
        <x:is>
          <x:t xml:space="preserve">V.E.S. Williams</x:t>
        </x:is>
      </x:c>
      <x:c r="D30" t="inlineStr">
        <x:is>
          <x:t xml:space="preserve">USA</x:t>
        </x:is>
      </x:c>
      <x:c r="E30" t="n">
        <x:v>14</x:v>
      </x:c>
      <x:c r="F30" t="n">
        <x:v>166</x:v>
      </x:c>
      <x:c r="G30" t="inlineStr">
        <x:is>
          <x:t xml:space="preserve">4-6, 7-6 (7-4), 9-7</x:t>
        </x:is>
      </x:c>
      <x:c r="H30" t="inlineStr">
        <x:is>
          <x:t xml:space="preserve">L. Davenport</x:t>
        </x:is>
      </x:c>
      <x:c r="I30" t="inlineStr">
        <x:is>
          <x:t xml:space="preserve">USA</x:t>
        </x:is>
      </x:c>
      <x:c r="J30" t="n">
        <x:v>1</x:v>
      </x:c>
    </x:row>
    <x:row r="31">
      <x:c r="A31" t="n">
        <x:v>2005</x:v>
      </x:c>
      <x:c r="B31" t="inlineStr">
        <x:is>
          <x:t xml:space="preserve">Men's</x:t>
        </x:is>
      </x:c>
      <x:c r="C31" t="inlineStr">
        <x:is>
          <x:t xml:space="preserve">R. Federer</x:t>
        </x:is>
      </x:c>
      <x:c r="D31" t="inlineStr">
        <x:is>
          <x:t xml:space="preserve">SUI</x:t>
        </x:is>
      </x:c>
      <x:c r="E31" t="n">
        <x:v>1</x:v>
      </x:c>
      <x:c r="F31" t="n">
        <x:v>101</x:v>
      </x:c>
      <x:c r="G31" t="inlineStr">
        <x:is>
          <x:t xml:space="preserve">6-2, 7-6 (7-2), 6-4</x:t>
        </x:is>
      </x:c>
      <x:c r="H31" t="inlineStr">
        <x:is>
          <x:t xml:space="preserve">A. Roddick</x:t>
        </x:is>
      </x:c>
      <x:c r="I31" t="inlineStr">
        <x:is>
          <x:t xml:space="preserve">USA</x:t>
        </x:is>
      </x:c>
      <x:c r="J31" t="n">
        <x:v>2</x:v>
      </x:c>
    </x:row>
    <x:row r="32">
      <x:c r="A32" t="n">
        <x:v>2004</x:v>
      </x:c>
      <x:c r="B32" t="inlineStr">
        <x:is>
          <x:t xml:space="preserve">Women's</x:t>
        </x:is>
      </x:c>
      <x:c r="C32" t="inlineStr">
        <x:is>
          <x:t xml:space="preserve">M. Sharapova</x:t>
        </x:is>
      </x:c>
      <x:c r="D32" t="inlineStr">
        <x:is>
          <x:t xml:space="preserve">RUS</x:t>
        </x:is>
      </x:c>
      <x:c r="E32" t="n">
        <x:v>13</x:v>
      </x:c>
      <x:c r="F32" t="n">
        <x:v>74</x:v>
      </x:c>
      <x:c r="G32" t="inlineStr">
        <x:is>
          <x:t xml:space="preserve">6-1, 6-4</x:t>
        </x:is>
      </x:c>
      <x:c r="H32" t="inlineStr">
        <x:is>
          <x:t xml:space="preserve">S. Williams</x:t>
        </x:is>
      </x:c>
      <x:c r="I32" t="inlineStr">
        <x:is>
          <x:t xml:space="preserve">USA</x:t>
        </x:is>
      </x:c>
      <x:c r="J32" t="n">
        <x:v>1</x:v>
      </x:c>
    </x:row>
    <x:row r="33">
      <x:c r="A33" t="n">
        <x:v>2004</x:v>
      </x:c>
      <x:c r="B33" t="inlineStr">
        <x:is>
          <x:t xml:space="preserve">Men's</x:t>
        </x:is>
      </x:c>
      <x:c r="C33" t="inlineStr">
        <x:is>
          <x:t xml:space="preserve">R. Federer</x:t>
        </x:is>
      </x:c>
      <x:c r="D33" t="inlineStr">
        <x:is>
          <x:t xml:space="preserve">SUI</x:t>
        </x:is>
      </x:c>
      <x:c r="E33" t="n">
        <x:v>1</x:v>
      </x:c>
      <x:c r="F33" t="n">
        <x:v>151</x:v>
      </x:c>
      <x:c r="G33" t="inlineStr">
        <x:is>
          <x:t xml:space="preserve">4-6, 7-5, 7-6 (7-3), 6-4</x:t>
        </x:is>
      </x:c>
      <x:c r="H33" t="inlineStr">
        <x:is>
          <x:t xml:space="preserve">A. Roddick</x:t>
        </x:is>
      </x:c>
      <x:c r="I33" t="inlineStr">
        <x:is>
          <x:t xml:space="preserve">USA</x:t>
        </x:is>
      </x:c>
      <x:c r="J33" t="n">
        <x:v>2</x:v>
      </x:c>
    </x:row>
    <x:row r="34">
      <x:c r="A34" t="n">
        <x:v>2003</x:v>
      </x:c>
      <x:c r="B34" t="inlineStr">
        <x:is>
          <x:t xml:space="preserve">Women's</x:t>
        </x:is>
      </x:c>
      <x:c r="C34" t="inlineStr">
        <x:is>
          <x:t xml:space="preserve">S. Williams</x:t>
        </x:is>
      </x:c>
      <x:c r="D34" t="inlineStr">
        <x:is>
          <x:t xml:space="preserve">USA</x:t>
        </x:is>
      </x:c>
      <x:c r="E34" t="n">
        <x:v>1</x:v>
      </x:c>
      <x:c r="F34" t="n">
        <x:v>123</x:v>
      </x:c>
      <x:c r="G34" t="inlineStr">
        <x:is>
          <x:t xml:space="preserve">4-6, 6-4, 6-2</x:t>
        </x:is>
      </x:c>
      <x:c r="H34" t="inlineStr">
        <x:is>
          <x:t xml:space="preserve">V.E.S. Williams</x:t>
        </x:is>
      </x:c>
      <x:c r="I34" t="inlineStr">
        <x:is>
          <x:t xml:space="preserve">USA</x:t>
        </x:is>
      </x:c>
      <x:c r="J34" t="n">
        <x:v>4</x:v>
      </x:c>
    </x:row>
    <x:row r="35">
      <x:c r="A35" t="n">
        <x:v>2003</x:v>
      </x:c>
      <x:c r="B35" t="inlineStr">
        <x:is>
          <x:t xml:space="preserve">Men's</x:t>
        </x:is>
      </x:c>
      <x:c r="C35" t="inlineStr">
        <x:is>
          <x:t xml:space="preserve">R. Federer</x:t>
        </x:is>
      </x:c>
      <x:c r="D35" t="inlineStr">
        <x:is>
          <x:t xml:space="preserve">SUI</x:t>
        </x:is>
      </x:c>
      <x:c r="E35" t="n">
        <x:v>4</x:v>
      </x:c>
      <x:c r="F35" t="n">
        <x:v>119</x:v>
      </x:c>
      <x:c r="G35" t="inlineStr">
        <x:is>
          <x:t xml:space="preserve">7-6 (7-5), 6-2, 7-6 (7-3)</x:t>
        </x:is>
      </x:c>
      <x:c r="H35" t="inlineStr">
        <x:is>
          <x:t xml:space="preserve">M. Philippousis</x:t>
        </x:is>
      </x:c>
      <x:c r="I35" t="inlineStr">
        <x:is>
          <x:t xml:space="preserve">AUS</x:t>
        </x:is>
      </x:c>
      <x:c r="J35" t="inlineStr">
        <x:is>
          <x:t xml:space="preserve">U</x:t>
        </x:is>
      </x:c>
    </x:row>
    <x:row r="36">
      <x:c r="A36" t="n">
        <x:v>2002</x:v>
      </x:c>
      <x:c r="B36" t="inlineStr">
        <x:is>
          <x:t xml:space="preserve">Women's</x:t>
        </x:is>
      </x:c>
      <x:c r="C36" t="inlineStr">
        <x:is>
          <x:t xml:space="preserve">S. Williams</x:t>
        </x:is>
      </x:c>
      <x:c r="D36" t="inlineStr">
        <x:is>
          <x:t xml:space="preserve">USA</x:t>
        </x:is>
      </x:c>
      <x:c r="E36" t="n">
        <x:v>2</x:v>
      </x:c>
      <x:c r="F36" t="n">
        <x:v>78</x:v>
      </x:c>
      <x:c r="G36" t="inlineStr">
        <x:is>
          <x:t xml:space="preserve">7-6 (7-4), 6-3</x:t>
        </x:is>
      </x:c>
      <x:c r="H36" t="inlineStr">
        <x:is>
          <x:t xml:space="preserve">V.E.S. Williams</x:t>
        </x:is>
      </x:c>
      <x:c r="I36" t="inlineStr">
        <x:is>
          <x:t xml:space="preserve">USA</x:t>
        </x:is>
      </x:c>
      <x:c r="J36" t="n">
        <x:v>1</x:v>
      </x:c>
    </x:row>
    <x:row r="37">
      <x:c r="A37" t="n">
        <x:v>2002</x:v>
      </x:c>
      <x:c r="B37" t="inlineStr">
        <x:is>
          <x:t xml:space="preserve">Men's</x:t>
        </x:is>
      </x:c>
      <x:c r="C37" t="inlineStr">
        <x:is>
          <x:t xml:space="preserve">L.G. Hewitt</x:t>
        </x:is>
      </x:c>
      <x:c r="D37" t="inlineStr">
        <x:is>
          <x:t xml:space="preserve">AUS</x:t>
        </x:is>
      </x:c>
      <x:c r="E37" t="n">
        <x:v>1</x:v>
      </x:c>
      <x:c r="F37" t="n">
        <x:v>116</x:v>
      </x:c>
      <x:c r="G37" t="inlineStr">
        <x:is>
          <x:t xml:space="preserve">6-1, 6-3, 6-2</x:t>
        </x:is>
      </x:c>
      <x:c r="H37" t="inlineStr">
        <x:is>
          <x:t xml:space="preserve">D.P. Nalbandian</x:t>
        </x:is>
      </x:c>
      <x:c r="I37" t="inlineStr">
        <x:is>
          <x:t xml:space="preserve">ARG</x:t>
        </x:is>
      </x:c>
      <x:c r="J37" t="n">
        <x:v>28</x:v>
      </x:c>
    </x:row>
    <x:row r="38">
      <x:c r="A38" t="n">
        <x:v>2001</x:v>
      </x:c>
      <x:c r="B38" t="inlineStr">
        <x:is>
          <x:t xml:space="preserve">Women's</x:t>
        </x:is>
      </x:c>
      <x:c r="C38" t="inlineStr">
        <x:is>
          <x:t xml:space="preserve">V.E.S. Williams</x:t>
        </x:is>
      </x:c>
      <x:c r="D38" t="inlineStr">
        <x:is>
          <x:t xml:space="preserve">USA</x:t>
        </x:is>
      </x:c>
      <x:c r="E38" t="n">
        <x:v>2</x:v>
      </x:c>
      <x:c r="F38" t="n">
        <x:v>69</x:v>
      </x:c>
      <x:c r="G38" t="inlineStr">
        <x:is>
          <x:t xml:space="preserve">6-1, 3-6, 6-0</x:t>
        </x:is>
      </x:c>
      <x:c r="H38" t="inlineStr">
        <x:is>
          <x:t xml:space="preserve">J. Henin</x:t>
        </x:is>
      </x:c>
      <x:c r="I38" t="inlineStr">
        <x:is>
          <x:t xml:space="preserve">BEL</x:t>
        </x:is>
      </x:c>
      <x:c r="J38" t="n">
        <x:v>8</x:v>
      </x:c>
    </x:row>
    <x:row r="39">
      <x:c r="A39" t="n">
        <x:v>2001</x:v>
      </x:c>
      <x:c r="B39" t="inlineStr">
        <x:is>
          <x:t xml:space="preserve">Men's</x:t>
        </x:is>
      </x:c>
      <x:c r="C39" t="inlineStr">
        <x:is>
          <x:t xml:space="preserve">G.S. Ivanisevic</x:t>
        </x:is>
      </x:c>
      <x:c r="D39" t="inlineStr">
        <x:is>
          <x:t xml:space="preserve">CRO</x:t>
        </x:is>
      </x:c>
      <x:c r="F39" t="n">
        <x:v>182</x:v>
      </x:c>
      <x:c r="G39" t="inlineStr">
        <x:is>
          <x:t xml:space="preserve">6-3, 3-6, 6-3, 2-6, 9-7</x:t>
        </x:is>
      </x:c>
      <x:c r="H39" t="inlineStr">
        <x:is>
          <x:t xml:space="preserve">P.M. Rafter</x:t>
        </x:is>
      </x:c>
      <x:c r="I39" t="inlineStr">
        <x:is>
          <x:t xml:space="preserve">AUS</x:t>
        </x:is>
      </x:c>
      <x:c r="J39" t="n">
        <x:v>3</x:v>
      </x:c>
    </x:row>
    <x:row r="40">
      <x:c r="A40" t="n">
        <x:v>2000</x:v>
      </x:c>
      <x:c r="B40" t="inlineStr">
        <x:is>
          <x:t xml:space="preserve">Women's</x:t>
        </x:is>
      </x:c>
      <x:c r="C40" t="inlineStr">
        <x:is>
          <x:t xml:space="preserve">V.E.S. Williams</x:t>
        </x:is>
      </x:c>
      <x:c r="D40" t="inlineStr">
        <x:is>
          <x:t xml:space="preserve">USA</x:t>
        </x:is>
      </x:c>
      <x:c r="E40" t="n">
        <x:v>5</x:v>
      </x:c>
      <x:c r="F40" t="n">
        <x:v>84</x:v>
      </x:c>
      <x:c r="G40" t="inlineStr">
        <x:is>
          <x:t xml:space="preserve">6-3, 7-6 (7-3)</x:t>
        </x:is>
      </x:c>
      <x:c r="H40" t="inlineStr">
        <x:is>
          <x:t xml:space="preserve">L.A. Davenport</x:t>
        </x:is>
      </x:c>
      <x:c r="I40" t="inlineStr">
        <x:is>
          <x:t xml:space="preserve">USA</x:t>
        </x:is>
      </x:c>
      <x:c r="J40" t="n">
        <x:v>2</x:v>
      </x:c>
    </x:row>
    <x:row r="41">
      <x:c r="A41" t="n">
        <x:v>2000</x:v>
      </x:c>
      <x:c r="B41" t="inlineStr">
        <x:is>
          <x:t xml:space="preserve">Men's</x:t>
        </x:is>
      </x:c>
      <x:c r="C41" t="inlineStr">
        <x:is>
          <x:t xml:space="preserve">P. Sampras</x:t>
        </x:is>
      </x:c>
      <x:c r="D41" t="inlineStr">
        <x:is>
          <x:t xml:space="preserve">USA</x:t>
        </x:is>
      </x:c>
      <x:c r="E41" t="n">
        <x:v>1</x:v>
      </x:c>
      <x:c r="F41" t="n">
        <x:v>182</x:v>
      </x:c>
      <x:c r="G41" t="inlineStr">
        <x:is>
          <x:t xml:space="preserve">6-7 (10-12), 7-6 (7-5), 6-4, 6-2</x:t>
        </x:is>
      </x:c>
      <x:c r="H41" t="inlineStr">
        <x:is>
          <x:t xml:space="preserve">P.M. Rafter</x:t>
        </x:is>
      </x:c>
      <x:c r="I41" t="inlineStr">
        <x:is>
          <x:t xml:space="preserve">AUS</x:t>
        </x:is>
      </x:c>
      <x:c r="J41" t="n">
        <x:v>12</x:v>
      </x:c>
    </x:row>
    <x:row r="42">
      <x:c r="A42" t="n">
        <x:v>1999</x:v>
      </x:c>
      <x:c r="B42" t="inlineStr">
        <x:is>
          <x:t xml:space="preserve">Women's</x:t>
        </x:is>
      </x:c>
      <x:c r="C42" t="inlineStr">
        <x:is>
          <x:t xml:space="preserve">L.A. Davenport</x:t>
        </x:is>
      </x:c>
      <x:c r="D42" t="inlineStr">
        <x:is>
          <x:t xml:space="preserve">USA</x:t>
        </x:is>
      </x:c>
      <x:c r="E42" t="n">
        <x:v>3</x:v>
      </x:c>
      <x:c r="F42" t="n">
        <x:v>75</x:v>
      </x:c>
      <x:c r="G42" t="inlineStr">
        <x:is>
          <x:t xml:space="preserve">6-4, 7-5</x:t>
        </x:is>
      </x:c>
      <x:c r="H42" t="inlineStr">
        <x:is>
          <x:t xml:space="preserve">S.M. Graf</x:t>
        </x:is>
      </x:c>
      <x:c r="I42" t="inlineStr">
        <x:is>
          <x:t xml:space="preserve">GER</x:t>
        </x:is>
      </x:c>
      <x:c r="J42" t="n">
        <x:v>2</x:v>
      </x:c>
    </x:row>
    <x:row r="43">
      <x:c r="A43" t="n">
        <x:v>1999</x:v>
      </x:c>
      <x:c r="B43" t="inlineStr">
        <x:is>
          <x:t xml:space="preserve">Men's</x:t>
        </x:is>
      </x:c>
      <x:c r="C43" t="inlineStr">
        <x:is>
          <x:t xml:space="preserve">P. Sampras</x:t>
        </x:is>
      </x:c>
      <x:c r="D43" t="inlineStr">
        <x:is>
          <x:t xml:space="preserve">USA</x:t>
        </x:is>
      </x:c>
      <x:c r="E43" t="n">
        <x:v>1</x:v>
      </x:c>
      <x:c r="F43" t="n">
        <x:v>115</x:v>
      </x:c>
      <x:c r="G43" t="inlineStr">
        <x:is>
          <x:t xml:space="preserve">6-3, 6-4, 7-5</x:t>
        </x:is>
      </x:c>
      <x:c r="H43" t="inlineStr">
        <x:is>
          <x:t xml:space="preserve">A.K. Agassi</x:t>
        </x:is>
      </x:c>
      <x:c r="I43" t="inlineStr">
        <x:is>
          <x:t xml:space="preserve">USA</x:t>
        </x:is>
      </x:c>
      <x:c r="J43" t="n">
        <x:v>4</x:v>
      </x:c>
    </x:row>
    <x:row r="44">
      <x:c r="A44" t="n">
        <x:v>1998</x:v>
      </x:c>
      <x:c r="B44" t="inlineStr">
        <x:is>
          <x:t xml:space="preserve">Women's</x:t>
        </x:is>
      </x:c>
      <x:c r="C44" t="inlineStr">
        <x:is>
          <x:t xml:space="preserve">J. Novotna</x:t>
        </x:is>
      </x:c>
      <x:c r="D44" t="inlineStr">
        <x:is>
          <x:t xml:space="preserve">CZE</x:t>
        </x:is>
      </x:c>
      <x:c r="E44" t="n">
        <x:v>3</x:v>
      </x:c>
      <x:c r="F44" t="n">
        <x:v>94</x:v>
      </x:c>
      <x:c r="G44" t="inlineStr">
        <x:is>
          <x:t xml:space="preserve">6-4, 7-6 (7-2)</x:t>
        </x:is>
      </x:c>
      <x:c r="H44" t="inlineStr">
        <x:is>
          <x:t xml:space="preserve">N. Tauziat</x:t>
        </x:is>
      </x:c>
      <x:c r="I44" t="inlineStr">
        <x:is>
          <x:t xml:space="preserve">FRA</x:t>
        </x:is>
      </x:c>
      <x:c r="J44" t="n">
        <x:v>16</x:v>
      </x:c>
    </x:row>
    <x:row r="45">
      <x:c r="A45" t="n">
        <x:v>1998</x:v>
      </x:c>
      <x:c r="B45" t="inlineStr">
        <x:is>
          <x:t xml:space="preserve">Men's</x:t>
        </x:is>
      </x:c>
      <x:c r="C45" t="inlineStr">
        <x:is>
          <x:t xml:space="preserve">P. Sampras</x:t>
        </x:is>
      </x:c>
      <x:c r="D45" t="inlineStr">
        <x:is>
          <x:t xml:space="preserve">USA</x:t>
        </x:is>
      </x:c>
      <x:c r="E45" t="n">
        <x:v>1</x:v>
      </x:c>
      <x:c r="F45" t="n">
        <x:v>172</x:v>
      </x:c>
      <x:c r="G45" t="inlineStr">
        <x:is>
          <x:t xml:space="preserve">6-7 (2-7), 7-6 (11-9), 6-4, 3-6, 6-2</x:t>
        </x:is>
      </x:c>
      <x:c r="H45" t="inlineStr">
        <x:is>
          <x:t xml:space="preserve">G.S. Ivanisevic</x:t>
        </x:is>
      </x:c>
      <x:c r="I45" t="inlineStr">
        <x:is>
          <x:t xml:space="preserve">CRO</x:t>
        </x:is>
      </x:c>
      <x:c r="J45" t="n">
        <x:v>14</x:v>
      </x:c>
    </x:row>
    <x:row r="46">
      <x:c r="A46" t="n">
        <x:v>1997</x:v>
      </x:c>
      <x:c r="B46" t="inlineStr">
        <x:is>
          <x:t xml:space="preserve">Women's</x:t>
        </x:is>
      </x:c>
      <x:c r="C46" t="inlineStr">
        <x:is>
          <x:t xml:space="preserve">M. Hingis</x:t>
        </x:is>
      </x:c>
      <x:c r="D46" t="inlineStr">
        <x:is>
          <x:t xml:space="preserve">SUI</x:t>
        </x:is>
      </x:c>
      <x:c r="E46" t="n">
        <x:v>1</x:v>
      </x:c>
      <x:c r="F46" t="n">
        <x:v>110</x:v>
      </x:c>
      <x:c r="G46" t="inlineStr">
        <x:is>
          <x:t xml:space="preserve">2-6, 6-3, 6-3</x:t>
        </x:is>
      </x:c>
      <x:c r="H46" t="inlineStr">
        <x:is>
          <x:t xml:space="preserve">J. Novotna</x:t>
        </x:is>
      </x:c>
      <x:c r="I46" t="inlineStr">
        <x:is>
          <x:t xml:space="preserve">CZE</x:t>
        </x:is>
      </x:c>
      <x:c r="J46" t="n">
        <x:v>3</x:v>
      </x:c>
    </x:row>
    <x:row r="47">
      <x:c r="A47" t="n">
        <x:v>1997</x:v>
      </x:c>
      <x:c r="B47" t="inlineStr">
        <x:is>
          <x:t xml:space="preserve">Men's</x:t>
        </x:is>
      </x:c>
      <x:c r="C47" t="inlineStr">
        <x:is>
          <x:t xml:space="preserve">P. Sampras</x:t>
        </x:is>
      </x:c>
      <x:c r="D47" t="inlineStr">
        <x:is>
          <x:t xml:space="preserve">USA</x:t>
        </x:is>
      </x:c>
      <x:c r="E47" t="n">
        <x:v>1</x:v>
      </x:c>
      <x:c r="F47" t="n">
        <x:v>94</x:v>
      </x:c>
      <x:c r="G47" t="inlineStr">
        <x:is>
          <x:t xml:space="preserve">6-4, 6-2, 6-4</x:t>
        </x:is>
      </x:c>
      <x:c r="H47" t="inlineStr">
        <x:is>
          <x:t xml:space="preserve">C.A. Pioline</x:t>
        </x:is>
      </x:c>
      <x:c r="I47" t="inlineStr">
        <x:is>
          <x:t xml:space="preserve">FRA</x:t>
        </x:is>
      </x:c>
      <x:c r="J47" t="inlineStr">
        <x:is>
          <x:t xml:space="preserve">U</x:t>
        </x:is>
      </x:c>
    </x:row>
    <x:row r="48">
      <x:c r="A48" t="n">
        <x:v>1996</x:v>
      </x:c>
      <x:c r="B48" t="inlineStr">
        <x:is>
          <x:t xml:space="preserve">Women's</x:t>
        </x:is>
      </x:c>
      <x:c r="C48" t="inlineStr">
        <x:is>
          <x:t xml:space="preserve">S.M. Graf</x:t>
        </x:is>
      </x:c>
      <x:c r="D48" t="inlineStr">
        <x:is>
          <x:t xml:space="preserve">GER</x:t>
        </x:is>
      </x:c>
      <x:c r="E48" t="n">
        <x:v>1</x:v>
      </x:c>
      <x:c r="F48" t="n">
        <x:v>88</x:v>
      </x:c>
      <x:c r="G48" t="inlineStr">
        <x:is>
          <x:t xml:space="preserve">6-3, 7-5,</x:t>
        </x:is>
      </x:c>
      <x:c r="H48" t="inlineStr">
        <x:is>
          <x:t xml:space="preserve">A.I.M. Sanchez Vicario</x:t>
        </x:is>
      </x:c>
      <x:c r="I48" t="inlineStr">
        <x:is>
          <x:t xml:space="preserve">ESP</x:t>
        </x:is>
      </x:c>
      <x:c r="J48" t="n">
        <x:v>4</x:v>
      </x:c>
    </x:row>
    <x:row r="49">
      <x:c r="A49" t="n">
        <x:v>1996</x:v>
      </x:c>
      <x:c r="B49" t="inlineStr">
        <x:is>
          <x:t xml:space="preserve">Men's</x:t>
        </x:is>
      </x:c>
      <x:c r="C49" t="inlineStr">
        <x:is>
          <x:t xml:space="preserve">R.P.S. Krajicek</x:t>
        </x:is>
      </x:c>
      <x:c r="D49" t="inlineStr">
        <x:is>
          <x:t xml:space="preserve">NED</x:t>
        </x:is>
      </x:c>
      <x:c r="F49" t="n">
        <x:v>94</x:v>
      </x:c>
      <x:c r="G49" t="inlineStr">
        <x:is>
          <x:t xml:space="preserve">6-3, 6-4, 6-3</x:t>
        </x:is>
      </x:c>
      <x:c r="H49" t="inlineStr">
        <x:is>
          <x:t xml:space="preserve">M.O. Washington</x:t>
        </x:is>
      </x:c>
      <x:c r="I49" t="inlineStr">
        <x:is>
          <x:t xml:space="preserve">USA</x:t>
        </x:is>
      </x:c>
      <x:c r="J49" t="inlineStr">
        <x:is>
          <x:t xml:space="preserve">U</x:t>
        </x:is>
      </x:c>
    </x:row>
    <x:row r="50">
      <x:c r="A50" t="n">
        <x:v>1995</x:v>
      </x:c>
      <x:c r="B50" t="inlineStr">
        <x:is>
          <x:t xml:space="preserve">Women's</x:t>
        </x:is>
      </x:c>
      <x:c r="C50" t="inlineStr">
        <x:is>
          <x:t xml:space="preserve">S.M. Graf</x:t>
        </x:is>
      </x:c>
      <x:c r="D50" t="inlineStr">
        <x:is>
          <x:t xml:space="preserve">GER</x:t>
        </x:is>
      </x:c>
      <x:c r="E50" t="n">
        <x:v>1</x:v>
      </x:c>
      <x:c r="F50" t="n">
        <x:v>122</x:v>
      </x:c>
      <x:c r="G50" t="inlineStr">
        <x:is>
          <x:t xml:space="preserve">4-6, 6-1, 7-5,</x:t>
        </x:is>
      </x:c>
      <x:c r="H50" t="inlineStr">
        <x:is>
          <x:t xml:space="preserve">A.I.M. Sanchez Vicario</x:t>
        </x:is>
      </x:c>
      <x:c r="I50" t="inlineStr">
        <x:is>
          <x:t xml:space="preserve">ESP</x:t>
        </x:is>
      </x:c>
      <x:c r="J50" t="n">
        <x:v>2</x:v>
      </x:c>
    </x:row>
    <x:row r="51">
      <x:c r="A51" t="n">
        <x:v>1995</x:v>
      </x:c>
      <x:c r="B51" t="inlineStr">
        <x:is>
          <x:t xml:space="preserve">Men's</x:t>
        </x:is>
      </x:c>
      <x:c r="C51" t="inlineStr">
        <x:is>
          <x:t xml:space="preserve">P. Sampras</x:t>
        </x:is>
      </x:c>
      <x:c r="D51" t="inlineStr">
        <x:is>
          <x:t xml:space="preserve">USA</x:t>
        </x:is>
      </x:c>
      <x:c r="E51" t="n">
        <x:v>2</x:v>
      </x:c>
      <x:c r="F51" t="n">
        <x:v>149</x:v>
      </x:c>
      <x:c r="G51" t="inlineStr">
        <x:is>
          <x:t xml:space="preserve">6-7 (5-7), 6-2, 6-4, 6-2</x:t>
        </x:is>
      </x:c>
      <x:c r="H51" t="inlineStr">
        <x:is>
          <x:t xml:space="preserve">B.F. Becker</x:t>
        </x:is>
      </x:c>
      <x:c r="I51" t="inlineStr">
        <x:is>
          <x:t xml:space="preserve">GER</x:t>
        </x:is>
      </x:c>
      <x:c r="J51" t="n">
        <x:v>3</x:v>
      </x:c>
    </x:row>
    <x:row r="52">
      <x:c r="A52" t="n">
        <x:v>1994</x:v>
      </x:c>
      <x:c r="B52" t="inlineStr">
        <x:is>
          <x:t xml:space="preserve">Women's</x:t>
        </x:is>
      </x:c>
      <x:c r="C52" t="inlineStr">
        <x:is>
          <x:t xml:space="preserve">I.C. Martinez</x:t>
        </x:is>
      </x:c>
      <x:c r="D52" t="inlineStr">
        <x:is>
          <x:t xml:space="preserve">ESP</x:t>
        </x:is>
      </x:c>
      <x:c r="E52" t="n">
        <x:v>3</x:v>
      </x:c>
      <x:c r="F52" t="n">
        <x:v>119</x:v>
      </x:c>
      <x:c r="G52" t="inlineStr">
        <x:is>
          <x:t xml:space="preserve">6-4, 3-6, 6-3,</x:t>
        </x:is>
      </x:c>
      <x:c r="H52" t="inlineStr">
        <x:is>
          <x:t xml:space="preserve">M. Navratilova</x:t>
        </x:is>
      </x:c>
      <x:c r="I52" t="inlineStr">
        <x:is>
          <x:t xml:space="preserve">USA</x:t>
        </x:is>
      </x:c>
      <x:c r="J52" t="n">
        <x:v>4</x:v>
      </x:c>
    </x:row>
    <x:row r="53">
      <x:c r="A53" t="n">
        <x:v>1994</x:v>
      </x:c>
      <x:c r="B53" t="inlineStr">
        <x:is>
          <x:t xml:space="preserve">Men's</x:t>
        </x:is>
      </x:c>
      <x:c r="C53" t="inlineStr">
        <x:is>
          <x:t xml:space="preserve">P. Sampras</x:t>
        </x:is>
      </x:c>
      <x:c r="D53" t="inlineStr">
        <x:is>
          <x:t xml:space="preserve">USA</x:t>
        </x:is>
      </x:c>
      <x:c r="E53" t="n">
        <x:v>1</x:v>
      </x:c>
      <x:c r="F53" t="n">
        <x:v>115</x:v>
      </x:c>
      <x:c r="G53" t="inlineStr">
        <x:is>
          <x:t xml:space="preserve">7-6 (7-2), 7-6 (7-5), 6-0</x:t>
        </x:is>
      </x:c>
      <x:c r="H53" t="inlineStr">
        <x:is>
          <x:t xml:space="preserve">G.S. Ivanisevic</x:t>
        </x:is>
      </x:c>
      <x:c r="I53" t="inlineStr">
        <x:is>
          <x:t xml:space="preserve">CRO</x:t>
        </x:is>
      </x:c>
      <x:c r="J53" t="n">
        <x:v>4</x:v>
      </x:c>
    </x:row>
    <x:row r="54">
      <x:c r="A54" t="n">
        <x:v>1993</x:v>
      </x:c>
      <x:c r="B54" t="inlineStr">
        <x:is>
          <x:t xml:space="preserve">Women's</x:t>
        </x:is>
      </x:c>
      <x:c r="C54" t="inlineStr">
        <x:is>
          <x:t xml:space="preserve">S.M. Graf</x:t>
        </x:is>
      </x:c>
      <x:c r="D54" t="inlineStr">
        <x:is>
          <x:t xml:space="preserve">GER</x:t>
        </x:is>
      </x:c>
      <x:c r="E54" t="n">
        <x:v>1</x:v>
      </x:c>
      <x:c r="F54" t="n">
        <x:v>134</x:v>
      </x:c>
      <x:c r="G54" t="inlineStr">
        <x:is>
          <x:t xml:space="preserve">7-6 (8-6), 1-6, 6-4,</x:t>
        </x:is>
      </x:c>
      <x:c r="H54" t="inlineStr">
        <x:is>
          <x:t xml:space="preserve">J. Novotna</x:t>
        </x:is>
      </x:c>
      <x:c r="I54" t="inlineStr">
        <x:is>
          <x:t xml:space="preserve">CZE</x:t>
        </x:is>
      </x:c>
      <x:c r="J54" t="n">
        <x:v>8</x:v>
      </x:c>
    </x:row>
    <x:row r="55">
      <x:c r="A55" t="n">
        <x:v>1993</x:v>
      </x:c>
      <x:c r="B55" t="inlineStr">
        <x:is>
          <x:t xml:space="preserve">Men's</x:t>
        </x:is>
      </x:c>
      <x:c r="C55" t="inlineStr">
        <x:is>
          <x:t xml:space="preserve">P. Sampras</x:t>
        </x:is>
      </x:c>
      <x:c r="D55" t="inlineStr">
        <x:is>
          <x:t xml:space="preserve">USA</x:t>
        </x:is>
      </x:c>
      <x:c r="E55" t="n">
        <x:v>1</x:v>
      </x:c>
      <x:c r="F55" t="n">
        <x:v>178</x:v>
      </x:c>
      <x:c r="G55" t="inlineStr">
        <x:is>
          <x:t xml:space="preserve">7-6 (7-3), 7-6 (8-6), 3-6, 6-3</x:t>
        </x:is>
      </x:c>
      <x:c r="H55" t="inlineStr">
        <x:is>
          <x:t xml:space="preserve">J.S. Courier</x:t>
        </x:is>
      </x:c>
      <x:c r="I55" t="inlineStr">
        <x:is>
          <x:t xml:space="preserve">USA</x:t>
        </x:is>
      </x:c>
      <x:c r="J55" t="n">
        <x:v>3</x:v>
      </x:c>
    </x:row>
    <x:row r="56">
      <x:c r="A56" t="n">
        <x:v>1992</x:v>
      </x:c>
      <x:c r="B56" t="inlineStr">
        <x:is>
          <x:t xml:space="preserve">Women's</x:t>
        </x:is>
      </x:c>
      <x:c r="C56" t="inlineStr">
        <x:is>
          <x:t xml:space="preserve">S.M. Graf</x:t>
        </x:is>
      </x:c>
      <x:c r="D56" t="inlineStr">
        <x:is>
          <x:t xml:space="preserve">GER</x:t>
        </x:is>
      </x:c>
      <x:c r="E56" t="n">
        <x:v>2</x:v>
      </x:c>
      <x:c r="F56" t="n">
        <x:v>58</x:v>
      </x:c>
      <x:c r="G56" t="inlineStr">
        <x:is>
          <x:t xml:space="preserve">6-2, 6-1,</x:t>
        </x:is>
      </x:c>
      <x:c r="H56" t="inlineStr">
        <x:is>
          <x:t xml:space="preserve">M. Seles</x:t>
        </x:is>
      </x:c>
      <x:c r="I56" t="inlineStr">
        <x:is>
          <x:t xml:space="preserve">YUG</x:t>
        </x:is>
      </x:c>
      <x:c r="J56" t="n">
        <x:v>1</x:v>
      </x:c>
    </x:row>
    <x:row r="57">
      <x:c r="A57" t="n">
        <x:v>1992</x:v>
      </x:c>
      <x:c r="B57" t="inlineStr">
        <x:is>
          <x:t xml:space="preserve">Men's</x:t>
        </x:is>
      </x:c>
      <x:c r="C57" t="inlineStr">
        <x:is>
          <x:t xml:space="preserve">A.K. Agassi</x:t>
        </x:is>
      </x:c>
      <x:c r="D57" t="inlineStr">
        <x:is>
          <x:t xml:space="preserve">USA</x:t>
        </x:is>
      </x:c>
      <x:c r="E57" t="n">
        <x:v>12</x:v>
      </x:c>
      <x:c r="F57" t="n">
        <x:v>170</x:v>
      </x:c>
      <x:c r="G57" t="inlineStr">
        <x:is>
          <x:t xml:space="preserve">6-7 (8-10), 6-4, 6-4, 1-6, 6-4</x:t>
        </x:is>
      </x:c>
      <x:c r="H57" t="inlineStr">
        <x:is>
          <x:t xml:space="preserve">G.S. Ivanisevic</x:t>
        </x:is>
      </x:c>
      <x:c r="I57" t="inlineStr">
        <x:is>
          <x:t xml:space="preserve">CRO</x:t>
        </x:is>
      </x:c>
      <x:c r="J57" t="n">
        <x:v>8</x:v>
      </x:c>
    </x:row>
    <x:row r="58">
      <x:c r="A58" t="n">
        <x:v>1991</x:v>
      </x:c>
      <x:c r="B58" t="inlineStr">
        <x:is>
          <x:t xml:space="preserve">Women's</x:t>
        </x:is>
      </x:c>
      <x:c r="C58" t="inlineStr">
        <x:is>
          <x:t xml:space="preserve">S.M. Graf</x:t>
        </x:is>
      </x:c>
      <x:c r="D58" t="inlineStr">
        <x:is>
          <x:t xml:space="preserve">GER</x:t>
        </x:is>
      </x:c>
      <x:c r="E58" t="n">
        <x:v>1</x:v>
      </x:c>
      <x:c r="F58" t="n">
        <x:v>127</x:v>
      </x:c>
      <x:c r="G58" t="inlineStr">
        <x:is>
          <x:t xml:space="preserve">6-4, 3-6, 8-6,</x:t>
        </x:is>
      </x:c>
      <x:c r="H58" t="inlineStr">
        <x:is>
          <x:t xml:space="preserve">G.B. Sabatini</x:t>
        </x:is>
      </x:c>
      <x:c r="I58" t="inlineStr">
        <x:is>
          <x:t xml:space="preserve">ARG</x:t>
        </x:is>
      </x:c>
      <x:c r="J58" t="n">
        <x:v>2</x:v>
      </x:c>
    </x:row>
    <x:row r="59">
      <x:c r="A59" t="n">
        <x:v>1991</x:v>
      </x:c>
      <x:c r="B59" t="inlineStr">
        <x:is>
          <x:t xml:space="preserve">Men's</x:t>
        </x:is>
      </x:c>
      <x:c r="C59" t="inlineStr">
        <x:is>
          <x:t xml:space="preserve">M.D. Stich</x:t>
        </x:is>
      </x:c>
      <x:c r="D59" t="inlineStr">
        <x:is>
          <x:t xml:space="preserve">GER</x:t>
        </x:is>
      </x:c>
      <x:c r="E59" t="n">
        <x:v>6</x:v>
      </x:c>
      <x:c r="F59" t="n">
        <x:v>153</x:v>
      </x:c>
      <x:c r="G59" t="inlineStr">
        <x:is>
          <x:t xml:space="preserve">6-4, 7-6 (7-4), 6-4</x:t>
        </x:is>
      </x:c>
      <x:c r="H59" t="inlineStr">
        <x:is>
          <x:t xml:space="preserve">B.F. Becker</x:t>
        </x:is>
      </x:c>
      <x:c r="I59" t="inlineStr">
        <x:is>
          <x:t xml:space="preserve">GER</x:t>
        </x:is>
      </x:c>
      <x:c r="J59" t="n">
        <x:v>2</x:v>
      </x:c>
    </x:row>
    <x:row r="60">
      <x:c r="A60" t="n">
        <x:v>1990</x:v>
      </x:c>
      <x:c r="B60" t="inlineStr">
        <x:is>
          <x:t xml:space="preserve">Women's</x:t>
        </x:is>
      </x:c>
      <x:c r="C60" t="inlineStr">
        <x:is>
          <x:t xml:space="preserve">M. Navratilova</x:t>
        </x:is>
      </x:c>
      <x:c r="D60" t="inlineStr">
        <x:is>
          <x:t xml:space="preserve">USA</x:t>
        </x:is>
      </x:c>
      <x:c r="E60" t="n">
        <x:v>2</x:v>
      </x:c>
      <x:c r="F60" t="n">
        <x:v>75</x:v>
      </x:c>
      <x:c r="G60" t="inlineStr">
        <x:is>
          <x:t xml:space="preserve">6-4, 6-1,</x:t>
        </x:is>
      </x:c>
      <x:c r="H60" t="inlineStr">
        <x:is>
          <x:t xml:space="preserve">Z.L. Garrison</x:t>
        </x:is>
      </x:c>
      <x:c r="I60" t="inlineStr">
        <x:is>
          <x:t xml:space="preserve">USA</x:t>
        </x:is>
      </x:c>
      <x:c r="J60" t="n">
        <x:v>5</x:v>
      </x:c>
    </x:row>
    <x:row r="61">
      <x:c r="A61" t="n">
        <x:v>1990</x:v>
      </x:c>
      <x:c r="B61" t="inlineStr">
        <x:is>
          <x:t xml:space="preserve">Men's</x:t>
        </x:is>
      </x:c>
      <x:c r="C61" t="inlineStr">
        <x:is>
          <x:t xml:space="preserve">S.B. Edberg</x:t>
        </x:is>
      </x:c>
      <x:c r="D61" t="inlineStr">
        <x:is>
          <x:t xml:space="preserve">SWE</x:t>
        </x:is>
      </x:c>
      <x:c r="E61" t="n">
        <x:v>3</x:v>
      </x:c>
      <x:c r="F61" t="n">
        <x:v>178</x:v>
      </x:c>
      <x:c r="G61" t="inlineStr">
        <x:is>
          <x:t xml:space="preserve">6-2, 6-2, 3-6, 3-6, 6-4</x:t>
        </x:is>
      </x:c>
      <x:c r="H61" t="inlineStr">
        <x:is>
          <x:t xml:space="preserve">B.F. Becker</x:t>
        </x:is>
      </x:c>
      <x:c r="I61" t="inlineStr">
        <x:is>
          <x:t xml:space="preserve">GER</x:t>
        </x:is>
      </x:c>
      <x:c r="J61" t="n">
        <x:v>2</x:v>
      </x:c>
    </x:row>
    <x:row r="62">
      <x:c r="A62" t="n">
        <x:v>1989</x:v>
      </x:c>
      <x:c r="B62" t="inlineStr">
        <x:is>
          <x:t xml:space="preserve">Women's</x:t>
        </x:is>
      </x:c>
      <x:c r="C62" t="inlineStr">
        <x:is>
          <x:t xml:space="preserve">S.M. Graf</x:t>
        </x:is>
      </x:c>
      <x:c r="D62" t="inlineStr">
        <x:is>
          <x:t xml:space="preserve">GER</x:t>
        </x:is>
      </x:c>
      <x:c r="E62" t="n">
        <x:v>1</x:v>
      </x:c>
      <x:c r="F62" t="n">
        <x:v>92</x:v>
      </x:c>
      <x:c r="G62" t="inlineStr">
        <x:is>
          <x:t xml:space="preserve">6-2, 6-7 (1-7), 6-1,</x:t>
        </x:is>
      </x:c>
      <x:c r="H62" t="inlineStr">
        <x:is>
          <x:t xml:space="preserve">M. Navratilova</x:t>
        </x:is>
      </x:c>
      <x:c r="I62" t="inlineStr">
        <x:is>
          <x:t xml:space="preserve">USA</x:t>
        </x:is>
      </x:c>
      <x:c r="J62" t="n">
        <x:v>2</x:v>
      </x:c>
    </x:row>
    <x:row r="63">
      <x:c r="A63" t="n">
        <x:v>1989</x:v>
      </x:c>
      <x:c r="B63" t="inlineStr">
        <x:is>
          <x:t xml:space="preserve">Men's</x:t>
        </x:is>
      </x:c>
      <x:c r="C63" t="inlineStr">
        <x:is>
          <x:t xml:space="preserve">B.F. Becker</x:t>
        </x:is>
      </x:c>
      <x:c r="D63" t="inlineStr">
        <x:is>
          <x:t xml:space="preserve">GER</x:t>
        </x:is>
      </x:c>
      <x:c r="E63" t="n">
        <x:v>3</x:v>
      </x:c>
      <x:c r="F63" t="n">
        <x:v>132</x:v>
      </x:c>
      <x:c r="G63" t="inlineStr">
        <x:is>
          <x:t xml:space="preserve">6-0, 7-6 (7-1), 6-4</x:t>
        </x:is>
      </x:c>
      <x:c r="H63" t="inlineStr">
        <x:is>
          <x:t xml:space="preserve">S.B. Edberg</x:t>
        </x:is>
      </x:c>
      <x:c r="I63" t="inlineStr">
        <x:is>
          <x:t xml:space="preserve">SWE</x:t>
        </x:is>
      </x:c>
      <x:c r="J63" t="n">
        <x:v>2</x:v>
      </x:c>
    </x:row>
    <x:row r="64">
      <x:c r="A64" t="n">
        <x:v>1988</x:v>
      </x:c>
      <x:c r="B64" t="inlineStr">
        <x:is>
          <x:t xml:space="preserve">Women's</x:t>
        </x:is>
      </x:c>
      <x:c r="C64" t="inlineStr">
        <x:is>
          <x:t xml:space="preserve">S.M. Graf</x:t>
        </x:is>
      </x:c>
      <x:c r="D64" t="inlineStr">
        <x:is>
          <x:t xml:space="preserve">GER</x:t>
        </x:is>
      </x:c>
      <x:c r="E64" t="n">
        <x:v>1</x:v>
      </x:c>
      <x:c r="F64" t="n">
        <x:v>93</x:v>
      </x:c>
      <x:c r="G64" t="inlineStr">
        <x:is>
          <x:t xml:space="preserve">5-7, 6-2, 6-1,</x:t>
        </x:is>
      </x:c>
      <x:c r="H64" t="inlineStr">
        <x:is>
          <x:t xml:space="preserve">M. Navratilova</x:t>
        </x:is>
      </x:c>
      <x:c r="I64" t="inlineStr">
        <x:is>
          <x:t xml:space="preserve">USA</x:t>
        </x:is>
      </x:c>
      <x:c r="J64" t="n">
        <x:v>2</x:v>
      </x:c>
    </x:row>
    <x:row r="65">
      <x:c r="A65" t="n">
        <x:v>1988</x:v>
      </x:c>
      <x:c r="B65" t="inlineStr">
        <x:is>
          <x:t xml:space="preserve">Men's</x:t>
        </x:is>
      </x:c>
      <x:c r="C65" t="inlineStr">
        <x:is>
          <x:t xml:space="preserve">S.B. Edberg</x:t>
        </x:is>
      </x:c>
      <x:c r="D65" t="inlineStr">
        <x:is>
          <x:t xml:space="preserve">SWE</x:t>
        </x:is>
      </x:c>
      <x:c r="E65" t="n">
        <x:v>3</x:v>
      </x:c>
      <x:c r="F65" t="n">
        <x:v>170</x:v>
      </x:c>
      <x:c r="G65" t="inlineStr">
        <x:is>
          <x:t xml:space="preserve">4-6, 7-6 (7-2), 6-4, 6-2</x:t>
        </x:is>
      </x:c>
      <x:c r="H65" t="inlineStr">
        <x:is>
          <x:t xml:space="preserve">B.F. Becker</x:t>
        </x:is>
      </x:c>
      <x:c r="I65" t="inlineStr">
        <x:is>
          <x:t xml:space="preserve">GER</x:t>
        </x:is>
      </x:c>
      <x:c r="J65" t="n">
        <x:v>6</x:v>
      </x:c>
    </x:row>
    <x:row r="66">
      <x:c r="A66" t="n">
        <x:v>1987</x:v>
      </x:c>
      <x:c r="B66" t="inlineStr">
        <x:is>
          <x:t xml:space="preserve">Women's</x:t>
        </x:is>
      </x:c>
      <x:c r="C66" t="inlineStr">
        <x:is>
          <x:t xml:space="preserve">M. Navratilova</x:t>
        </x:is>
      </x:c>
      <x:c r="D66" t="inlineStr">
        <x:is>
          <x:t xml:space="preserve">USA</x:t>
        </x:is>
      </x:c>
      <x:c r="E66" t="n">
        <x:v>1</x:v>
      </x:c>
      <x:c r="F66" t="n">
        <x:v>69</x:v>
      </x:c>
      <x:c r="G66" t="inlineStr">
        <x:is>
          <x:t xml:space="preserve">7-5, 6-3,</x:t>
        </x:is>
      </x:c>
      <x:c r="H66" t="inlineStr">
        <x:is>
          <x:t xml:space="preserve">S.M. Graf</x:t>
        </x:is>
      </x:c>
      <x:c r="I66" t="inlineStr">
        <x:is>
          <x:t xml:space="preserve">GER</x:t>
        </x:is>
      </x:c>
      <x:c r="J66" t="n">
        <x:v>2</x:v>
      </x:c>
    </x:row>
    <x:row r="67">
      <x:c r="A67" t="n">
        <x:v>1987</x:v>
      </x:c>
      <x:c r="B67" t="inlineStr">
        <x:is>
          <x:t xml:space="preserve">Men's</x:t>
        </x:is>
      </x:c>
      <x:c r="C67" t="inlineStr">
        <x:is>
          <x:t xml:space="preserve">P.H. Cash</x:t>
        </x:is>
      </x:c>
      <x:c r="D67" t="inlineStr">
        <x:is>
          <x:t xml:space="preserve">AUS</x:t>
        </x:is>
      </x:c>
      <x:c r="E67" t="n">
        <x:v>11</x:v>
      </x:c>
      <x:c r="F67" t="n">
        <x:v>165</x:v>
      </x:c>
      <x:c r="G67" t="inlineStr">
        <x:is>
          <x:t xml:space="preserve">7-6 (7-5), 6-2, 7-5</x:t>
        </x:is>
      </x:c>
      <x:c r="H67" t="inlineStr">
        <x:is>
          <x:t xml:space="preserve">I. Lendl</x:t>
        </x:is>
      </x:c>
      <x:c r="I67" t="inlineStr">
        <x:is>
          <x:t xml:space="preserve">TCH</x:t>
        </x:is>
      </x:c>
      <x:c r="J67" t="n">
        <x:v>2</x:v>
      </x:c>
    </x:row>
    <x:row r="68">
      <x:c r="A68" t="n">
        <x:v>1986</x:v>
      </x:c>
      <x:c r="B68" t="inlineStr">
        <x:is>
          <x:t xml:space="preserve">Women's</x:t>
        </x:is>
      </x:c>
      <x:c r="C68" t="inlineStr">
        <x:is>
          <x:t xml:space="preserve">M. Navratilova</x:t>
        </x:is>
      </x:c>
      <x:c r="D68" t="inlineStr">
        <x:is>
          <x:t xml:space="preserve">USA</x:t>
        </x:is>
      </x:c>
      <x:c r="E68" t="n">
        <x:v>1</x:v>
      </x:c>
      <x:c r="F68" t="n">
        <x:v>72</x:v>
      </x:c>
      <x:c r="G68" t="inlineStr">
        <x:is>
          <x:t xml:space="preserve">7-6 (7-1), 6-3,</x:t>
        </x:is>
      </x:c>
      <x:c r="H68" t="inlineStr">
        <x:is>
          <x:t xml:space="preserve">H. Mandlikova</x:t>
        </x:is>
      </x:c>
      <x:c r="I68" t="inlineStr">
        <x:is>
          <x:t xml:space="preserve">TCH</x:t>
        </x:is>
      </x:c>
      <x:c r="J68" t="n">
        <x:v>3</x:v>
      </x:c>
    </x:row>
    <x:row r="69">
      <x:c r="A69" t="n">
        <x:v>1986</x:v>
      </x:c>
      <x:c r="B69" t="inlineStr">
        <x:is>
          <x:t xml:space="preserve">Men's</x:t>
        </x:is>
      </x:c>
      <x:c r="C69" t="inlineStr">
        <x:is>
          <x:t xml:space="preserve">B.F. Becker</x:t>
        </x:is>
      </x:c>
      <x:c r="D69" t="inlineStr">
        <x:is>
          <x:t xml:space="preserve">GER</x:t>
        </x:is>
      </x:c>
      <x:c r="E69" t="n">
        <x:v>4</x:v>
      </x:c>
      <x:c r="F69" t="n">
        <x:v>122</x:v>
      </x:c>
      <x:c r="G69" t="inlineStr">
        <x:is>
          <x:t xml:space="preserve">6-4, 6-3, 7-5</x:t>
        </x:is>
      </x:c>
      <x:c r="H69" t="inlineStr">
        <x:is>
          <x:t xml:space="preserve">I. Lendl</x:t>
        </x:is>
      </x:c>
      <x:c r="I69" t="inlineStr">
        <x:is>
          <x:t xml:space="preserve">TCH</x:t>
        </x:is>
      </x:c>
      <x:c r="J69" t="n">
        <x:v>1</x:v>
      </x:c>
    </x:row>
    <x:row r="70">
      <x:c r="A70" t="n">
        <x:v>1985</x:v>
      </x:c>
      <x:c r="B70" t="inlineStr">
        <x:is>
          <x:t xml:space="preserve">Women's</x:t>
        </x:is>
      </x:c>
      <x:c r="C70" t="inlineStr">
        <x:is>
          <x:t xml:space="preserve">M. Navratilova</x:t>
        </x:is>
      </x:c>
      <x:c r="D70" t="inlineStr">
        <x:is>
          <x:t xml:space="preserve">USA</x:t>
        </x:is>
      </x:c>
      <x:c r="E70" t="n">
        <x:v>1</x:v>
      </x:c>
      <x:c r="F70" t="n">
        <x:v>107</x:v>
      </x:c>
      <x:c r="G70" t="inlineStr">
        <x:is>
          <x:t xml:space="preserve">4-6, 6-3, 6-2,</x:t>
        </x:is>
      </x:c>
      <x:c r="H70" t="inlineStr">
        <x:is>
          <x:t xml:space="preserve">J.M. Lloyd</x:t>
        </x:is>
      </x:c>
      <x:c r="I70" t="inlineStr">
        <x:is>
          <x:t xml:space="preserve">USA</x:t>
        </x:is>
      </x:c>
      <x:c r="J70" t="n">
        <x:v>1</x:v>
      </x:c>
    </x:row>
    <x:row r="71">
      <x:c r="A71" t="n">
        <x:v>1985</x:v>
      </x:c>
      <x:c r="B71" t="inlineStr">
        <x:is>
          <x:t xml:space="preserve">Men's</x:t>
        </x:is>
      </x:c>
      <x:c r="C71" t="inlineStr">
        <x:is>
          <x:t xml:space="preserve">B.F. Becker</x:t>
        </x:is>
      </x:c>
      <x:c r="D71" t="inlineStr">
        <x:is>
          <x:t xml:space="preserve">GER</x:t>
        </x:is>
      </x:c>
      <x:c r="F71" t="n">
        <x:v>198</x:v>
      </x:c>
      <x:c r="G71" t="inlineStr">
        <x:is>
          <x:t xml:space="preserve">6-3, 6-7 (4-7), 7-6 (7-3), 6-4</x:t>
        </x:is>
      </x:c>
      <x:c r="H71" t="inlineStr">
        <x:is>
          <x:t xml:space="preserve">K.M. Curren</x:t>
        </x:is>
      </x:c>
      <x:c r="I71" t="inlineStr">
        <x:is>
          <x:t xml:space="preserve">USA</x:t>
        </x:is>
      </x:c>
      <x:c r="J71" t="n">
        <x:v>8</x:v>
      </x:c>
    </x:row>
    <x:row r="72">
      <x:c r="A72" t="n">
        <x:v>1984</x:v>
      </x:c>
      <x:c r="B72" t="inlineStr">
        <x:is>
          <x:t xml:space="preserve">Women's</x:t>
        </x:is>
      </x:c>
      <x:c r="C72" t="inlineStr">
        <x:is>
          <x:t xml:space="preserve">M. Navratilova</x:t>
        </x:is>
      </x:c>
      <x:c r="D72" t="inlineStr">
        <x:is>
          <x:t xml:space="preserve">USA</x:t>
        </x:is>
      </x:c>
      <x:c r="E72" t="n">
        <x:v>1</x:v>
      </x:c>
      <x:c r="F72" t="n">
        <x:v>84</x:v>
      </x:c>
      <x:c r="G72" t="inlineStr">
        <x:is>
          <x:t xml:space="preserve">7-6 (7-5), 6-2,</x:t>
        </x:is>
      </x:c>
      <x:c r="H72" t="inlineStr">
        <x:is>
          <x:t xml:space="preserve">J.M. Lloyd</x:t>
        </x:is>
      </x:c>
      <x:c r="I72" t="inlineStr">
        <x:is>
          <x:t xml:space="preserve">USA</x:t>
        </x:is>
      </x:c>
      <x:c r="J72" t="n">
        <x:v>2</x:v>
      </x:c>
    </x:row>
    <x:row r="73">
      <x:c r="A73" t="n">
        <x:v>1984</x:v>
      </x:c>
      <x:c r="B73" t="inlineStr">
        <x:is>
          <x:t xml:space="preserve">Men's</x:t>
        </x:is>
      </x:c>
      <x:c r="C73" t="inlineStr">
        <x:is>
          <x:t xml:space="preserve">J.P. McEnroe</x:t>
        </x:is>
      </x:c>
      <x:c r="D73" t="inlineStr">
        <x:is>
          <x:t xml:space="preserve">USA</x:t>
        </x:is>
      </x:c>
      <x:c r="E73" t="n">
        <x:v>1</x:v>
      </x:c>
      <x:c r="F73" t="n">
        <x:v>80</x:v>
      </x:c>
      <x:c r="G73" t="inlineStr">
        <x:is>
          <x:t xml:space="preserve">6-1, 6-1, 6-2</x:t>
        </x:is>
      </x:c>
      <x:c r="H73" t="inlineStr">
        <x:is>
          <x:t xml:space="preserve">J.S. Connors</x:t>
        </x:is>
      </x:c>
      <x:c r="I73" t="inlineStr">
        <x:is>
          <x:t xml:space="preserve">USA</x:t>
        </x:is>
      </x:c>
      <x:c r="J73" t="n">
        <x:v>3</x:v>
      </x:c>
    </x:row>
    <x:row r="74">
      <x:c r="A74" t="n">
        <x:v>1983</x:v>
      </x:c>
      <x:c r="B74" t="inlineStr">
        <x:is>
          <x:t xml:space="preserve">Women's</x:t>
        </x:is>
      </x:c>
      <x:c r="C74" t="inlineStr">
        <x:is>
          <x:t xml:space="preserve">M. Navratilova</x:t>
        </x:is>
      </x:c>
      <x:c r="D74" t="inlineStr">
        <x:is>
          <x:t xml:space="preserve">USA</x:t>
        </x:is>
      </x:c>
      <x:c r="E74" t="n">
        <x:v>1</x:v>
      </x:c>
      <x:c r="F74" t="n">
        <x:v>54</x:v>
      </x:c>
      <x:c r="G74" t="inlineStr">
        <x:is>
          <x:t xml:space="preserve">6-0, 6-3,</x:t>
        </x:is>
      </x:c>
      <x:c r="H74" t="inlineStr">
        <x:is>
          <x:t xml:space="preserve">A. Jaeger</x:t>
        </x:is>
      </x:c>
      <x:c r="I74" t="inlineStr">
        <x:is>
          <x:t xml:space="preserve">USA</x:t>
        </x:is>
      </x:c>
      <x:c r="J74" t="n">
        <x:v>3</x:v>
      </x:c>
    </x:row>
    <x:row r="75">
      <x:c r="A75" t="n">
        <x:v>1983</x:v>
      </x:c>
      <x:c r="B75" t="inlineStr">
        <x:is>
          <x:t xml:space="preserve">Men's</x:t>
        </x:is>
      </x:c>
      <x:c r="C75" t="inlineStr">
        <x:is>
          <x:t xml:space="preserve">J.P. McEnroe</x:t>
        </x:is>
      </x:c>
      <x:c r="D75" t="inlineStr">
        <x:is>
          <x:t xml:space="preserve">USA</x:t>
        </x:is>
      </x:c>
      <x:c r="E75" t="n">
        <x:v>2</x:v>
      </x:c>
      <x:c r="F75" t="n">
        <x:v>85</x:v>
      </x:c>
      <x:c r="G75" t="inlineStr">
        <x:is>
          <x:t xml:space="preserve">6-2, 6-2, 6-2</x:t>
        </x:is>
      </x:c>
      <x:c r="H75" t="inlineStr">
        <x:is>
          <x:t xml:space="preserve">C.J. Lewis</x:t>
        </x:is>
      </x:c>
      <x:c r="I75" t="inlineStr">
        <x:is>
          <x:t xml:space="preserve">NZL</x:t>
        </x:is>
      </x:c>
      <x:c r="J75" t="inlineStr">
        <x:is>
          <x:t xml:space="preserve">U</x:t>
        </x:is>
      </x:c>
    </x:row>
    <x:row r="76">
      <x:c r="A76" t="n">
        <x:v>1982</x:v>
      </x:c>
      <x:c r="B76" t="inlineStr">
        <x:is>
          <x:t xml:space="preserve">Women's</x:t>
        </x:is>
      </x:c>
      <x:c r="C76" t="inlineStr">
        <x:is>
          <x:t xml:space="preserve">M. Navratilova</x:t>
        </x:is>
      </x:c>
      <x:c r="D76" t="inlineStr">
        <x:is>
          <x:t xml:space="preserve">USA</x:t>
        </x:is>
      </x:c>
      <x:c r="E76" t="n">
        <x:v>1</x:v>
      </x:c>
      <x:c r="F76" t="n">
        <x:v>87</x:v>
      </x:c>
      <x:c r="G76" t="inlineStr">
        <x:is>
          <x:t xml:space="preserve">6-1, 3-6, 6-2,</x:t>
        </x:is>
      </x:c>
      <x:c r="H76" t="inlineStr">
        <x:is>
          <x:t xml:space="preserve">J.M. Lloyd</x:t>
        </x:is>
      </x:c>
      <x:c r="I76" t="inlineStr">
        <x:is>
          <x:t xml:space="preserve">USA</x:t>
        </x:is>
      </x:c>
      <x:c r="J76" t="n">
        <x:v>2</x:v>
      </x:c>
    </x:row>
    <x:row r="77">
      <x:c r="A77" t="n">
        <x:v>1982</x:v>
      </x:c>
      <x:c r="B77" t="inlineStr">
        <x:is>
          <x:t xml:space="preserve">Men's</x:t>
        </x:is>
      </x:c>
      <x:c r="C77" t="inlineStr">
        <x:is>
          <x:t xml:space="preserve">J.S. Connors</x:t>
        </x:is>
      </x:c>
      <x:c r="D77" t="inlineStr">
        <x:is>
          <x:t xml:space="preserve">USA</x:t>
        </x:is>
      </x:c>
      <x:c r="E77" t="n">
        <x:v>2</x:v>
      </x:c>
      <x:c r="F77" t="n">
        <x:v>256</x:v>
      </x:c>
      <x:c r="G77" t="inlineStr">
        <x:is>
          <x:t xml:space="preserve">3-6, 6-3, 6-7 (2-7), 7-6 (7-5), 6-4</x:t>
        </x:is>
      </x:c>
      <x:c r="H77" t="inlineStr">
        <x:is>
          <x:t xml:space="preserve">J.P. McEnroe</x:t>
        </x:is>
      </x:c>
      <x:c r="I77" t="inlineStr">
        <x:is>
          <x:t xml:space="preserve">USA</x:t>
        </x:is>
      </x:c>
      <x:c r="J77" t="n">
        <x:v>1</x:v>
      </x:c>
    </x:row>
    <x:row r="78">
      <x:c r="A78" t="n">
        <x:v>1981</x:v>
      </x:c>
      <x:c r="B78" t="inlineStr">
        <x:is>
          <x:t xml:space="preserve">Women's</x:t>
        </x:is>
      </x:c>
      <x:c r="C78" t="inlineStr">
        <x:is>
          <x:t xml:space="preserve">J.M. Lloyd</x:t>
        </x:is>
      </x:c>
      <x:c r="D78" t="inlineStr">
        <x:is>
          <x:t xml:space="preserve">USA</x:t>
        </x:is>
      </x:c>
      <x:c r="E78" t="n">
        <x:v>1</x:v>
      </x:c>
      <x:c r="F78" t="n">
        <x:v>60</x:v>
      </x:c>
      <x:c r="G78" t="inlineStr">
        <x:is>
          <x:t xml:space="preserve">6-2, 6-2,</x:t>
        </x:is>
      </x:c>
      <x:c r="H78" t="inlineStr">
        <x:is>
          <x:t xml:space="preserve">H. Mandlikova</x:t>
        </x:is>
      </x:c>
      <x:c r="I78" t="inlineStr">
        <x:is>
          <x:t xml:space="preserve">TCH</x:t>
        </x:is>
      </x:c>
      <x:c r="J78" t="n">
        <x:v>2</x:v>
      </x:c>
    </x:row>
    <x:row r="79">
      <x:c r="A79" t="n">
        <x:v>1981</x:v>
      </x:c>
      <x:c r="B79" t="inlineStr">
        <x:is>
          <x:t xml:space="preserve">Men's</x:t>
        </x:is>
      </x:c>
      <x:c r="C79" t="inlineStr">
        <x:is>
          <x:t xml:space="preserve">J.P. McEnroe</x:t>
        </x:is>
      </x:c>
      <x:c r="D79" t="inlineStr">
        <x:is>
          <x:t xml:space="preserve">USA</x:t>
        </x:is>
      </x:c>
      <x:c r="E79" t="n">
        <x:v>2</x:v>
      </x:c>
      <x:c r="F79" t="n">
        <x:v>202</x:v>
      </x:c>
      <x:c r="G79" t="inlineStr">
        <x:is>
          <x:t xml:space="preserve">4-6, 7-6 (7-1), 7-6 (7-4), 6-4</x:t>
        </x:is>
      </x:c>
      <x:c r="H79" t="inlineStr">
        <x:is>
          <x:t xml:space="preserve">B.R. Borg</x:t>
        </x:is>
      </x:c>
      <x:c r="I79" t="inlineStr">
        <x:is>
          <x:t xml:space="preserve">SWE</x:t>
        </x:is>
      </x:c>
      <x:c r="J79" t="n">
        <x:v>1</x:v>
      </x:c>
    </x:row>
    <x:row r="80">
      <x:c r="A80" t="n">
        <x:v>1980</x:v>
      </x:c>
      <x:c r="B80" t="inlineStr">
        <x:is>
          <x:t xml:space="preserve">Women's</x:t>
        </x:is>
      </x:c>
      <x:c r="C80" t="inlineStr">
        <x:is>
          <x:t xml:space="preserve">R.A. Cawley</x:t>
        </x:is>
      </x:c>
      <x:c r="D80" t="inlineStr">
        <x:is>
          <x:t xml:space="preserve">AUS</x:t>
        </x:is>
      </x:c>
      <x:c r="E80" t="n">
        <x:v>4</x:v>
      </x:c>
      <x:c r="F80" t="n">
        <x:v>93</x:v>
      </x:c>
      <x:c r="G80" t="inlineStr">
        <x:is>
          <x:t xml:space="preserve">6-1, 7-6 (7-4)</x:t>
        </x:is>
      </x:c>
      <x:c r="H80" t="inlineStr">
        <x:is>
          <x:t xml:space="preserve">J.M. Lloyd</x:t>
        </x:is>
      </x:c>
      <x:c r="I80" t="inlineStr">
        <x:is>
          <x:t xml:space="preserve">USA</x:t>
        </x:is>
      </x:c>
      <x:c r="J80" t="n">
        <x:v>3</x:v>
      </x:c>
    </x:row>
    <x:row r="81">
      <x:c r="A81" t="n">
        <x:v>1980</x:v>
      </x:c>
      <x:c r="B81" t="inlineStr">
        <x:is>
          <x:t xml:space="preserve">Men's</x:t>
        </x:is>
      </x:c>
      <x:c r="C81" t="inlineStr">
        <x:is>
          <x:t xml:space="preserve">B.R. Borg</x:t>
        </x:is>
      </x:c>
      <x:c r="D81" t="inlineStr">
        <x:is>
          <x:t xml:space="preserve">SWE</x:t>
        </x:is>
      </x:c>
      <x:c r="E81" t="n">
        <x:v>1</x:v>
      </x:c>
      <x:c r="F81" t="n">
        <x:v>233</x:v>
      </x:c>
      <x:c r="G81" t="inlineStr">
        <x:is>
          <x:t xml:space="preserve">1-6, 7-5, 6-3, 6-7 (16-18), 8-6</x:t>
        </x:is>
      </x:c>
      <x:c r="H81" t="inlineStr">
        <x:is>
          <x:t xml:space="preserve">J.P. McEnroe</x:t>
        </x:is>
      </x:c>
      <x:c r="I81" t="inlineStr">
        <x:is>
          <x:t xml:space="preserve">USA</x:t>
        </x:is>
      </x:c>
      <x:c r="J81" t="n">
        <x:v>2</x:v>
      </x:c>
    </x:row>
    <x:row r="82">
      <x:c r="A82" t="n">
        <x:v>1979</x:v>
      </x:c>
      <x:c r="B82" t="inlineStr">
        <x:is>
          <x:t xml:space="preserve">Women's</x:t>
        </x:is>
      </x:c>
      <x:c r="C82" t="inlineStr">
        <x:is>
          <x:t xml:space="preserve">M. Navratilova</x:t>
        </x:is>
      </x:c>
      <x:c r="D82" t="inlineStr">
        <x:is>
          <x:t xml:space="preserve">USA</x:t>
        </x:is>
      </x:c>
      <x:c r="E82" t="n">
        <x:v>1</x:v>
      </x:c>
      <x:c r="F82" t="n">
        <x:v>60</x:v>
      </x:c>
      <x:c r="G82" t="inlineStr">
        <x:is>
          <x:t xml:space="preserve">6-4, 6-4,</x:t>
        </x:is>
      </x:c>
      <x:c r="H82" t="inlineStr">
        <x:is>
          <x:t xml:space="preserve">J.M. Lloyd</x:t>
        </x:is>
      </x:c>
      <x:c r="I82" t="inlineStr">
        <x:is>
          <x:t xml:space="preserve">USA</x:t>
        </x:is>
      </x:c>
      <x:c r="J82" t="n">
        <x:v>2</x:v>
      </x:c>
    </x:row>
    <x:row r="83">
      <x:c r="A83" t="n">
        <x:v>1979</x:v>
      </x:c>
      <x:c r="B83" t="inlineStr">
        <x:is>
          <x:t xml:space="preserve">Men's</x:t>
        </x:is>
      </x:c>
      <x:c r="C83" t="inlineStr">
        <x:is>
          <x:t xml:space="preserve">B.R. Borg</x:t>
        </x:is>
      </x:c>
      <x:c r="D83" t="inlineStr">
        <x:is>
          <x:t xml:space="preserve">SWE</x:t>
        </x:is>
      </x:c>
      <x:c r="E83" t="n">
        <x:v>1</x:v>
      </x:c>
      <x:c r="F83" t="n">
        <x:v>169</x:v>
      </x:c>
      <x:c r="G83" t="inlineStr">
        <x:is>
          <x:t xml:space="preserve">6-7(4-7), 6-1, 3-6, 6-3, 6-4</x:t>
        </x:is>
      </x:c>
      <x:c r="H83" t="inlineStr">
        <x:is>
          <x:t xml:space="preserve">R. Tanner</x:t>
        </x:is>
      </x:c>
      <x:c r="I83" t="inlineStr">
        <x:is>
          <x:t xml:space="preserve">USA</x:t>
        </x:is>
      </x:c>
      <x:c r="J83" t="n">
        <x:v>5</x:v>
      </x:c>
    </x:row>
    <x:row r="84">
      <x:c r="A84" t="n">
        <x:v>1978</x:v>
      </x:c>
      <x:c r="B84" t="inlineStr">
        <x:is>
          <x:t xml:space="preserve">Women's</x:t>
        </x:is>
      </x:c>
      <x:c r="C84" t="inlineStr">
        <x:is>
          <x:t xml:space="preserve">M. Navratilova</x:t>
        </x:is>
      </x:c>
      <x:c r="D84" t="inlineStr">
        <x:is>
          <x:t xml:space="preserve">USA</x:t>
        </x:is>
      </x:c>
      <x:c r="E84" t="n">
        <x:v>2</x:v>
      </x:c>
      <x:c r="F84" t="n">
        <x:v>102</x:v>
      </x:c>
      <x:c r="G84" t="inlineStr">
        <x:is>
          <x:t xml:space="preserve">2-6, 6-4, 7-5,</x:t>
        </x:is>
      </x:c>
      <x:c r="H84" t="inlineStr">
        <x:is>
          <x:t xml:space="preserve">C.M. Evert</x:t>
        </x:is>
      </x:c>
      <x:c r="I84" t="inlineStr">
        <x:is>
          <x:t xml:space="preserve">USA</x:t>
        </x:is>
      </x:c>
      <x:c r="J84" t="n">
        <x:v>1</x:v>
      </x:c>
    </x:row>
    <x:row r="85">
      <x:c r="A85" t="n">
        <x:v>1978</x:v>
      </x:c>
      <x:c r="B85" t="inlineStr">
        <x:is>
          <x:t xml:space="preserve">Men's</x:t>
        </x:is>
      </x:c>
      <x:c r="C85" t="inlineStr">
        <x:is>
          <x:t xml:space="preserve">B.R. Borg</x:t>
        </x:is>
      </x:c>
      <x:c r="D85" t="inlineStr">
        <x:is>
          <x:t xml:space="preserve">SWE</x:t>
        </x:is>
      </x:c>
      <x:c r="E85" t="n">
        <x:v>1</x:v>
      </x:c>
      <x:c r="F85" t="n">
        <x:v>108</x:v>
      </x:c>
      <x:c r="G85" t="inlineStr">
        <x:is>
          <x:t xml:space="preserve">6-2, 6-2, 6-3</x:t>
        </x:is>
      </x:c>
      <x:c r="H85" t="inlineStr">
        <x:is>
          <x:t xml:space="preserve">J.S. Connors</x:t>
        </x:is>
      </x:c>
      <x:c r="I85" t="inlineStr">
        <x:is>
          <x:t xml:space="preserve">USA</x:t>
        </x:is>
      </x:c>
      <x:c r="J85" t="n">
        <x:v>2</x:v>
      </x:c>
    </x:row>
    <x:row r="86">
      <x:c r="A86" t="n">
        <x:v>1977</x:v>
      </x:c>
      <x:c r="B86" t="inlineStr">
        <x:is>
          <x:t xml:space="preserve">Women's</x:t>
        </x:is>
      </x:c>
      <x:c r="C86" t="inlineStr">
        <x:is>
          <x:t xml:space="preserve">S.V. Wade</x:t>
        </x:is>
      </x:c>
      <x:c r="D86" t="inlineStr">
        <x:is>
          <x:t xml:space="preserve">GBR</x:t>
        </x:is>
      </x:c>
      <x:c r="E86" t="n">
        <x:v>3</x:v>
      </x:c>
      <x:c r="F86" t="n">
        <x:v>98</x:v>
      </x:c>
      <x:c r="G86" t="inlineStr">
        <x:is>
          <x:t xml:space="preserve">4-6, 6-3, 6-1,</x:t>
        </x:is>
      </x:c>
      <x:c r="H86" t="inlineStr">
        <x:is>
          <x:t xml:space="preserve">B.F. Stove</x:t>
        </x:is>
      </x:c>
      <x:c r="I86" t="inlineStr">
        <x:is>
          <x:t xml:space="preserve">NED</x:t>
        </x:is>
      </x:c>
      <x:c r="J86" t="n">
        <x:v>7</x:v>
      </x:c>
    </x:row>
    <x:row r="87">
      <x:c r="A87" t="n">
        <x:v>1977</x:v>
      </x:c>
      <x:c r="B87" t="inlineStr">
        <x:is>
          <x:t xml:space="preserve">Men's</x:t>
        </x:is>
      </x:c>
      <x:c r="C87" t="inlineStr">
        <x:is>
          <x:t xml:space="preserve">B.R. Borg</x:t>
        </x:is>
      </x:c>
      <x:c r="D87" t="inlineStr">
        <x:is>
          <x:t xml:space="preserve">SWE</x:t>
        </x:is>
      </x:c>
      <x:c r="E87" t="n">
        <x:v>2</x:v>
      </x:c>
      <x:c r="F87" t="n">
        <x:v>194</x:v>
      </x:c>
      <x:c r="G87" t="inlineStr">
        <x:is>
          <x:t xml:space="preserve">3-6, 6-2, 6-1, 5-7, 6-4</x:t>
        </x:is>
      </x:c>
      <x:c r="H87" t="inlineStr">
        <x:is>
          <x:t xml:space="preserve">J.S. Connors</x:t>
        </x:is>
      </x:c>
      <x:c r="I87" t="inlineStr">
        <x:is>
          <x:t xml:space="preserve">USA</x:t>
        </x:is>
      </x:c>
      <x:c r="J87" t="n">
        <x:v>1</x:v>
      </x:c>
    </x:row>
    <x:row r="88">
      <x:c r="A88" t="n">
        <x:v>1976</x:v>
      </x:c>
      <x:c r="B88" t="inlineStr">
        <x:is>
          <x:t xml:space="preserve">Women's</x:t>
        </x:is>
      </x:c>
      <x:c r="C88" t="inlineStr">
        <x:is>
          <x:t xml:space="preserve">C.M. Evert</x:t>
        </x:is>
      </x:c>
      <x:c r="D88" t="inlineStr">
        <x:is>
          <x:t xml:space="preserve">USA</x:t>
        </x:is>
      </x:c>
      <x:c r="E88" t="n">
        <x:v>1</x:v>
      </x:c>
      <x:c r="F88" t="n">
        <x:v>120</x:v>
      </x:c>
      <x:c r="G88" t="inlineStr">
        <x:is>
          <x:t xml:space="preserve">6-3, 4-6, 8-6,</x:t>
        </x:is>
      </x:c>
      <x:c r="H88" t="inlineStr">
        <x:is>
          <x:t xml:space="preserve">R.A. Cawley</x:t>
        </x:is>
      </x:c>
      <x:c r="I88" t="inlineStr">
        <x:is>
          <x:t xml:space="preserve">AUS</x:t>
        </x:is>
      </x:c>
      <x:c r="J88" t="n">
        <x:v>2</x:v>
      </x:c>
    </x:row>
    <x:row r="89">
      <x:c r="A89" t="n">
        <x:v>1976</x:v>
      </x:c>
      <x:c r="B89" t="inlineStr">
        <x:is>
          <x:t xml:space="preserve">Men's</x:t>
        </x:is>
      </x:c>
      <x:c r="C89" t="inlineStr">
        <x:is>
          <x:t xml:space="preserve">B.R. Borg</x:t>
        </x:is>
      </x:c>
      <x:c r="D89" t="inlineStr">
        <x:is>
          <x:t xml:space="preserve">SWE</x:t>
        </x:is>
      </x:c>
      <x:c r="E89" t="n">
        <x:v>4</x:v>
      </x:c>
      <x:c r="F89" t="n">
        <x:v>110</x:v>
      </x:c>
      <x:c r="G89" t="inlineStr">
        <x:is>
          <x:t xml:space="preserve">6-4, 6-2, 9-7</x:t>
        </x:is>
      </x:c>
      <x:c r="H89" t="inlineStr">
        <x:is>
          <x:t xml:space="preserve">I. Nastase</x:t>
        </x:is>
      </x:c>
      <x:c r="I89" t="inlineStr">
        <x:is>
          <x:t xml:space="preserve">ROM</x:t>
        </x:is>
      </x:c>
      <x:c r="J89" t="n">
        <x:v>3</x:v>
      </x:c>
    </x:row>
    <x:row r="90">
      <x:c r="A90" t="n">
        <x:v>1975</x:v>
      </x:c>
      <x:c r="B90" t="inlineStr">
        <x:is>
          <x:t xml:space="preserve">Women's</x:t>
        </x:is>
      </x:c>
      <x:c r="C90" t="inlineStr">
        <x:is>
          <x:t xml:space="preserve">L.W. King</x:t>
        </x:is>
      </x:c>
      <x:c r="D90" t="inlineStr">
        <x:is>
          <x:t xml:space="preserve">USA</x:t>
        </x:is>
      </x:c>
      <x:c r="E90" t="n">
        <x:v>3</x:v>
      </x:c>
      <x:c r="F90" t="n">
        <x:v>38</x:v>
      </x:c>
      <x:c r="G90" t="inlineStr">
        <x:is>
          <x:t xml:space="preserve">6-0, 6-1,</x:t>
        </x:is>
      </x:c>
      <x:c r="H90" t="inlineStr">
        <x:is>
          <x:t xml:space="preserve">R.A. Cawley</x:t>
        </x:is>
      </x:c>
      <x:c r="I90" t="inlineStr">
        <x:is>
          <x:t xml:space="preserve">AUS</x:t>
        </x:is>
      </x:c>
      <x:c r="J90" t="n">
        <x:v>4</x:v>
      </x:c>
    </x:row>
    <x:row r="91">
      <x:c r="A91" t="n">
        <x:v>1975</x:v>
      </x:c>
      <x:c r="B91" t="inlineStr">
        <x:is>
          <x:t xml:space="preserve">Men's</x:t>
        </x:is>
      </x:c>
      <x:c r="C91" t="inlineStr">
        <x:is>
          <x:t xml:space="preserve">A.R. Ashe</x:t>
        </x:is>
      </x:c>
      <x:c r="D91" t="inlineStr">
        <x:is>
          <x:t xml:space="preserve">USA</x:t>
        </x:is>
      </x:c>
      <x:c r="E91" t="n">
        <x:v>6</x:v>
      </x:c>
      <x:c r="F91" t="n">
        <x:v>125</x:v>
      </x:c>
      <x:c r="G91" t="inlineStr">
        <x:is>
          <x:t xml:space="preserve">6-1, 6-1, 5-7, 6-4</x:t>
        </x:is>
      </x:c>
      <x:c r="H91" t="inlineStr">
        <x:is>
          <x:t xml:space="preserve">J.S. Connors</x:t>
        </x:is>
      </x:c>
      <x:c r="I91" t="inlineStr">
        <x:is>
          <x:t xml:space="preserve">USA</x:t>
        </x:is>
      </x:c>
      <x:c r="J91" t="n">
        <x:v>1</x:v>
      </x:c>
    </x:row>
    <x:row r="92">
      <x:c r="A92" t="n">
        <x:v>1974</x:v>
      </x:c>
      <x:c r="B92" t="inlineStr">
        <x:is>
          <x:t xml:space="preserve">Women's</x:t>
        </x:is>
      </x:c>
      <x:c r="C92" t="inlineStr">
        <x:is>
          <x:t xml:space="preserve">C.M. Evert</x:t>
        </x:is>
      </x:c>
      <x:c r="D92" t="inlineStr">
        <x:is>
          <x:t xml:space="preserve">USA</x:t>
        </x:is>
      </x:c>
      <x:c r="E92" t="n">
        <x:v>2</x:v>
      </x:c>
      <x:c r="F92" t="n">
        <x:v>59</x:v>
      </x:c>
      <x:c r="G92" t="inlineStr">
        <x:is>
          <x:t xml:space="preserve">6-0, 6-4</x:t>
        </x:is>
      </x:c>
      <x:c r="H92" t="inlineStr">
        <x:is>
          <x:t xml:space="preserve">O.V. Morozova</x:t>
        </x:is>
      </x:c>
      <x:c r="I92" t="inlineStr">
        <x:is>
          <x:t xml:space="preserve">URS</x:t>
        </x:is>
      </x:c>
      <x:c r="J92" t="n">
        <x:v>8</x:v>
      </x:c>
    </x:row>
    <x:row r="93">
      <x:c r="A93" t="n">
        <x:v>1974</x:v>
      </x:c>
      <x:c r="B93" t="inlineStr">
        <x:is>
          <x:t xml:space="preserve">Men's</x:t>
        </x:is>
      </x:c>
      <x:c r="C93" t="inlineStr">
        <x:is>
          <x:t xml:space="preserve">J.S. Connors</x:t>
        </x:is>
      </x:c>
      <x:c r="D93" t="inlineStr">
        <x:is>
          <x:t xml:space="preserve">USA</x:t>
        </x:is>
      </x:c>
      <x:c r="E93" t="n">
        <x:v>3</x:v>
      </x:c>
      <x:c r="F93" t="n">
        <x:v>93</x:v>
      </x:c>
      <x:c r="G93" t="inlineStr">
        <x:is>
          <x:t xml:space="preserve">6-1, 6-1, 6-4</x:t>
        </x:is>
      </x:c>
      <x:c r="H93" t="inlineStr">
        <x:is>
          <x:t xml:space="preserve">K.R. Rosewall</x:t>
        </x:is>
      </x:c>
      <x:c r="I93" t="inlineStr">
        <x:is>
          <x:t xml:space="preserve">AUS</x:t>
        </x:is>
      </x:c>
      <x:c r="J93" t="n">
        <x:v>9</x:v>
      </x:c>
    </x:row>
    <x:row r="94">
      <x:c r="A94" t="n">
        <x:v>1973</x:v>
      </x:c>
      <x:c r="B94" t="inlineStr">
        <x:is>
          <x:t xml:space="preserve">Women's</x:t>
        </x:is>
      </x:c>
      <x:c r="C94" t="inlineStr">
        <x:is>
          <x:t xml:space="preserve">L.W. King</x:t>
        </x:is>
      </x:c>
      <x:c r="D94" t="inlineStr">
        <x:is>
          <x:t xml:space="preserve">USA</x:t>
        </x:is>
      </x:c>
      <x:c r="E94" t="n">
        <x:v>2</x:v>
      </x:c>
      <x:c r="F94" t="n">
        <x:v>53</x:v>
      </x:c>
      <x:c r="G94" t="inlineStr">
        <x:is>
          <x:t xml:space="preserve">6-0, 7-5</x:t>
        </x:is>
      </x:c>
      <x:c r="H94" t="inlineStr">
        <x:is>
          <x:t xml:space="preserve">C.M. Evert</x:t>
        </x:is>
      </x:c>
      <x:c r="I94" t="inlineStr">
        <x:is>
          <x:t xml:space="preserve">USA</x:t>
        </x:is>
      </x:c>
      <x:c r="J94" t="n">
        <x:v>4</x:v>
      </x:c>
    </x:row>
    <x:row r="95">
      <x:c r="A95" t="n">
        <x:v>1973</x:v>
      </x:c>
      <x:c r="B95" t="inlineStr">
        <x:is>
          <x:t xml:space="preserve">Men's</x:t>
        </x:is>
      </x:c>
      <x:c r="C95" t="inlineStr">
        <x:is>
          <x:t xml:space="preserve">J. Kodes</x:t>
        </x:is>
      </x:c>
      <x:c r="D95" t="inlineStr">
        <x:is>
          <x:t xml:space="preserve">CZE</x:t>
        </x:is>
      </x:c>
      <x:c r="E95" t="n">
        <x:v>2</x:v>
      </x:c>
      <x:c r="F95" t="n">
        <x:v>110</x:v>
      </x:c>
      <x:c r="G95" t="inlineStr">
        <x:is>
          <x:t xml:space="preserve">6-1, 9-8(7-5), 6-3</x:t>
        </x:is>
      </x:c>
      <x:c r="H95" t="inlineStr">
        <x:is>
          <x:t xml:space="preserve">A. Metreveli</x:t>
        </x:is>
      </x:c>
      <x:c r="I95" t="inlineStr">
        <x:is>
          <x:t xml:space="preserve">URS</x:t>
        </x:is>
      </x:c>
      <x:c r="J95" t="n">
        <x:v>4</x:v>
      </x:c>
    </x:row>
    <x:row r="96">
      <x:c r="A96" t="n">
        <x:v>1972</x:v>
      </x:c>
      <x:c r="B96" t="inlineStr">
        <x:is>
          <x:t xml:space="preserve">Women's</x:t>
        </x:is>
      </x:c>
      <x:c r="C96" t="inlineStr">
        <x:is>
          <x:t xml:space="preserve">L.W. King</x:t>
        </x:is>
      </x:c>
      <x:c r="D96" t="inlineStr">
        <x:is>
          <x:t xml:space="preserve">USA</x:t>
        </x:is>
      </x:c>
      <x:c r="E96" t="n">
        <x:v>2</x:v>
      </x:c>
      <x:c r="F96" t="n">
        <x:v>50</x:v>
      </x:c>
      <x:c r="G96" t="inlineStr">
        <x:is>
          <x:t xml:space="preserve">6-3, 6-3,</x:t>
        </x:is>
      </x:c>
      <x:c r="H96" t="inlineStr">
        <x:is>
          <x:t xml:space="preserve">E.F. Goolagong</x:t>
        </x:is>
      </x:c>
      <x:c r="I96" t="inlineStr">
        <x:is>
          <x:t xml:space="preserve">AUS</x:t>
        </x:is>
      </x:c>
      <x:c r="J96" t="n">
        <x:v>1</x:v>
      </x:c>
    </x:row>
    <x:row r="97">
      <x:c r="A97" t="n">
        <x:v>1972</x:v>
      </x:c>
      <x:c r="B97" t="inlineStr">
        <x:is>
          <x:t xml:space="preserve">Men's</x:t>
        </x:is>
      </x:c>
      <x:c r="C97" t="inlineStr">
        <x:is>
          <x:t xml:space="preserve">S.R. Smith</x:t>
        </x:is>
      </x:c>
      <x:c r="D97" t="inlineStr">
        <x:is>
          <x:t xml:space="preserve">USA</x:t>
        </x:is>
      </x:c>
      <x:c r="E97" t="n">
        <x:v>1</x:v>
      </x:c>
      <x:c r="F97" t="n">
        <x:v>161</x:v>
      </x:c>
      <x:c r="G97" t="inlineStr">
        <x:is>
          <x:t xml:space="preserve">4-6, 6-3, 6-3, 4-6, 7-5</x:t>
        </x:is>
      </x:c>
      <x:c r="H97" t="inlineStr">
        <x:is>
          <x:t xml:space="preserve">I. Nastase</x:t>
        </x:is>
      </x:c>
      <x:c r="I97" t="inlineStr">
        <x:is>
          <x:t xml:space="preserve">ROM</x:t>
        </x:is>
      </x:c>
      <x:c r="J97" t="n">
        <x:v>2</x:v>
      </x:c>
    </x:row>
    <x:row r="98">
      <x:c r="A98" t="n">
        <x:v>1971</x:v>
      </x:c>
      <x:c r="B98" t="inlineStr">
        <x:is>
          <x:t xml:space="preserve">Women's</x:t>
        </x:is>
      </x:c>
      <x:c r="C98" t="inlineStr">
        <x:is>
          <x:t xml:space="preserve">E.F. Goolagong</x:t>
        </x:is>
      </x:c>
      <x:c r="D98" t="inlineStr">
        <x:is>
          <x:t xml:space="preserve">AUS</x:t>
        </x:is>
      </x:c>
      <x:c r="E98" t="n">
        <x:v>3</x:v>
      </x:c>
      <x:c r="F98" t="n">
        <x:v>62</x:v>
      </x:c>
      <x:c r="G98" t="inlineStr">
        <x:is>
          <x:t xml:space="preserve">6-4, 6-1,</x:t>
        </x:is>
      </x:c>
      <x:c r="H98" t="inlineStr">
        <x:is>
          <x:t xml:space="preserve">B.M. Court</x:t>
        </x:is>
      </x:c>
      <x:c r="I98" t="inlineStr">
        <x:is>
          <x:t xml:space="preserve">AUS</x:t>
        </x:is>
      </x:c>
      <x:c r="J98" t="n">
        <x:v>1</x:v>
      </x:c>
    </x:row>
    <x:row r="99">
      <x:c r="A99" t="n">
        <x:v>1971</x:v>
      </x:c>
      <x:c r="B99" t="inlineStr">
        <x:is>
          <x:t xml:space="preserve">Men's</x:t>
        </x:is>
      </x:c>
      <x:c r="C99" t="inlineStr">
        <x:is>
          <x:t xml:space="preserve">J.D. Newcombe</x:t>
        </x:is>
      </x:c>
      <x:c r="D99" t="inlineStr">
        <x:is>
          <x:t xml:space="preserve">AUS</x:t>
        </x:is>
      </x:c>
      <x:c r="E99" t="n">
        <x:v>2</x:v>
      </x:c>
      <x:c r="F99" t="n">
        <x:v>170</x:v>
      </x:c>
      <x:c r="G99" t="inlineStr">
        <x:is>
          <x:t xml:space="preserve">6-3, 5-7, 2-6, 6-4, 6-4</x:t>
        </x:is>
      </x:c>
      <x:c r="H99" t="inlineStr">
        <x:is>
          <x:t xml:space="preserve">S.R. Smith</x:t>
        </x:is>
      </x:c>
      <x:c r="I99" t="inlineStr">
        <x:is>
          <x:t xml:space="preserve">USA</x:t>
        </x:is>
      </x:c>
      <x:c r="J99" t="n">
        <x:v>4</x:v>
      </x:c>
    </x:row>
    <x:row r="100">
      <x:c r="A100" t="n">
        <x:v>1970</x:v>
      </x:c>
      <x:c r="B100" t="inlineStr">
        <x:is>
          <x:t xml:space="preserve">Women's</x:t>
        </x:is>
      </x:c>
      <x:c r="C100" t="inlineStr">
        <x:is>
          <x:t xml:space="preserve">B.M. Court</x:t>
        </x:is>
      </x:c>
      <x:c r="D100" t="inlineStr">
        <x:is>
          <x:t xml:space="preserve">AUS</x:t>
        </x:is>
      </x:c>
      <x:c r="E100" t="n">
        <x:v>1</x:v>
      </x:c>
      <x:c r="F100" t="n">
        <x:v>148</x:v>
      </x:c>
      <x:c r="G100" t="inlineStr">
        <x:is>
          <x:t xml:space="preserve">14-12, 11-9,</x:t>
        </x:is>
      </x:c>
      <x:c r="H100" t="inlineStr">
        <x:is>
          <x:t xml:space="preserve">L.W. King</x:t>
        </x:is>
      </x:c>
      <x:c r="I100" t="inlineStr">
        <x:is>
          <x:t xml:space="preserve">USA</x:t>
        </x:is>
      </x:c>
      <x:c r="J100" t="n">
        <x:v>2</x:v>
      </x:c>
    </x:row>
    <x:row r="101">
      <x:c r="A101" t="n">
        <x:v>1970</x:v>
      </x:c>
      <x:c r="B101" t="inlineStr">
        <x:is>
          <x:t xml:space="preserve">Men's</x:t>
        </x:is>
      </x:c>
      <x:c r="C101" t="inlineStr">
        <x:is>
          <x:t xml:space="preserve">J.D. Newcombe</x:t>
        </x:is>
      </x:c>
      <x:c r="D101" t="inlineStr">
        <x:is>
          <x:t xml:space="preserve">AUS</x:t>
        </x:is>
      </x:c>
      <x:c r="E101" t="n">
        <x:v>2</x:v>
      </x:c>
      <x:c r="F101" t="n">
        <x:v>163</x:v>
      </x:c>
      <x:c r="G101" t="inlineStr">
        <x:is>
          <x:t xml:space="preserve">5-7, 6-3, 6-2, 3-6, 6-1</x:t>
        </x:is>
      </x:c>
      <x:c r="H101" t="inlineStr">
        <x:is>
          <x:t xml:space="preserve">K.R. Rosewall</x:t>
        </x:is>
      </x:c>
      <x:c r="I101" t="inlineStr">
        <x:is>
          <x:t xml:space="preserve">AUS</x:t>
        </x:is>
      </x:c>
      <x:c r="J101" t="n">
        <x:v>5</x:v>
      </x:c>
    </x:row>
    <x:row r="102">
      <x:c r="A102" t="n">
        <x:v>1969</x:v>
      </x:c>
      <x:c r="B102" t="inlineStr">
        <x:is>
          <x:t xml:space="preserve">Women's</x:t>
        </x:is>
      </x:c>
      <x:c r="C102" t="inlineStr">
        <x:is>
          <x:t xml:space="preserve">P.F. Jones</x:t>
        </x:is>
      </x:c>
      <x:c r="D102" t="inlineStr">
        <x:is>
          <x:t xml:space="preserve">GBR</x:t>
        </x:is>
      </x:c>
      <x:c r="E102" t="n">
        <x:v>4</x:v>
      </x:c>
      <x:c r="F102" t="n">
        <x:v>71</x:v>
      </x:c>
      <x:c r="G102" t="inlineStr">
        <x:is>
          <x:t xml:space="preserve">3-6, 6-3, 6-2,</x:t>
        </x:is>
      </x:c>
      <x:c r="H102" t="inlineStr">
        <x:is>
          <x:t xml:space="preserve">L.W. King</x:t>
        </x:is>
      </x:c>
      <x:c r="I102" t="inlineStr">
        <x:is>
          <x:t xml:space="preserve">USA</x:t>
        </x:is>
      </x:c>
      <x:c r="J102" t="n">
        <x:v>2</x:v>
      </x:c>
    </x:row>
    <x:row r="103">
      <x:c r="A103" t="n">
        <x:v>1969</x:v>
      </x:c>
      <x:c r="B103" t="inlineStr">
        <x:is>
          <x:t xml:space="preserve">Men's</x:t>
        </x:is>
      </x:c>
      <x:c r="C103" t="inlineStr">
        <x:is>
          <x:t xml:space="preserve">R.G. Laver</x:t>
        </x:is>
      </x:c>
      <x:c r="D103" t="inlineStr">
        <x:is>
          <x:t xml:space="preserve">AUS</x:t>
        </x:is>
      </x:c>
      <x:c r="E103" t="n">
        <x:v>1</x:v>
      </x:c>
      <x:c r="F103" t="n">
        <x:v>136</x:v>
      </x:c>
      <x:c r="G103" t="inlineStr">
        <x:is>
          <x:t xml:space="preserve">6-4, 5-7, 6-4, 6-4</x:t>
        </x:is>
      </x:c>
      <x:c r="H103" t="inlineStr">
        <x:is>
          <x:t xml:space="preserve">J.D. Newcombe</x:t>
        </x:is>
      </x:c>
      <x:c r="I103" t="inlineStr">
        <x:is>
          <x:t xml:space="preserve">AUS</x:t>
        </x:is>
      </x:c>
      <x:c r="J103" t="n">
        <x:v>6</x:v>
      </x:c>
    </x:row>
    <x:row r="104">
      <x:c r="A104" t="n">
        <x:v>1968</x:v>
      </x:c>
      <x:c r="B104" t="inlineStr">
        <x:is>
          <x:t xml:space="preserve">Women's</x:t>
        </x:is>
      </x:c>
      <x:c r="C104" t="inlineStr">
        <x:is>
          <x:t xml:space="preserve">L.W. King</x:t>
        </x:is>
      </x:c>
      <x:c r="D104" t="inlineStr">
        <x:is>
          <x:t xml:space="preserve">USA</x:t>
        </x:is>
      </x:c>
      <x:c r="E104" t="n">
        <x:v>1</x:v>
      </x:c>
      <x:c r="F104" t="n">
        <x:v>69</x:v>
      </x:c>
      <x:c r="G104" t="inlineStr">
        <x:is>
          <x:t xml:space="preserve">9-7, 7-5,</x:t>
        </x:is>
      </x:c>
      <x:c r="H104" t="inlineStr">
        <x:is>
          <x:t xml:space="preserve">J.A.M. Tegart</x:t>
        </x:is>
      </x:c>
      <x:c r="I104" t="inlineStr">
        <x:is>
          <x:t xml:space="preserve">AUS</x:t>
        </x:is>
      </x:c>
      <x:c r="J104" t="n">
        <x:v>7</x:v>
      </x:c>
    </x:row>
    <x:row r="105">
      <x:c r="A105" t="n">
        <x:v>1968</x:v>
      </x:c>
      <x:c r="B105" t="inlineStr">
        <x:is>
          <x:t xml:space="preserve">Men's</x:t>
        </x:is>
      </x:c>
      <x:c r="C105" t="inlineStr">
        <x:is>
          <x:t xml:space="preserve">R.G. Laver</x:t>
        </x:is>
      </x:c>
      <x:c r="D105" t="inlineStr">
        <x:is>
          <x:t xml:space="preserve">AUS</x:t>
        </x:is>
      </x:c>
      <x:c r="E105" t="n">
        <x:v>1</x:v>
      </x:c>
      <x:c r="F105" t="n">
        <x:v>60</x:v>
      </x:c>
      <x:c r="G105" t="inlineStr">
        <x:is>
          <x:t xml:space="preserve">6-3, 6-4, 6-2</x:t>
        </x:is>
      </x:c>
      <x:c r="H105" t="inlineStr">
        <x:is>
          <x:t xml:space="preserve">A.D. Roche</x:t>
        </x:is>
      </x:c>
      <x:c r="I105" t="inlineStr">
        <x:is>
          <x:t xml:space="preserve">AUS</x:t>
        </x:is>
      </x:c>
      <x:c r="J105" t="n">
        <x:v>15</x:v>
      </x:c>
    </x:row>
    <x:row r="106">
      <x:c r="A106" t="n">
        <x:v>1967</x:v>
      </x:c>
      <x:c r="B106" t="inlineStr">
        <x:is>
          <x:t xml:space="preserve">Women's</x:t>
        </x:is>
      </x:c>
      <x:c r="C106" t="inlineStr">
        <x:is>
          <x:t xml:space="preserve">L.W. King</x:t>
        </x:is>
      </x:c>
      <x:c r="D106" t="inlineStr">
        <x:is>
          <x:t xml:space="preserve">USA</x:t>
        </x:is>
      </x:c>
      <x:c r="E106" t="n">
        <x:v>1</x:v>
      </x:c>
      <x:c r="F106" t="n">
        <x:v>60</x:v>
      </x:c>
      <x:c r="G106" t="inlineStr">
        <x:is>
          <x:t xml:space="preserve">6-3, 6-4,</x:t>
        </x:is>
      </x:c>
      <x:c r="H106" t="inlineStr">
        <x:is>
          <x:t xml:space="preserve">P.F. Jones</x:t>
        </x:is>
      </x:c>
      <x:c r="I106" t="inlineStr">
        <x:is>
          <x:t xml:space="preserve">GBR</x:t>
        </x:is>
      </x:c>
      <x:c r="J106" t="n">
        <x:v>3</x:v>
      </x:c>
    </x:row>
    <x:row r="107">
      <x:c r="A107" t="n">
        <x:v>1967</x:v>
      </x:c>
      <x:c r="B107" t="inlineStr">
        <x:is>
          <x:t xml:space="preserve">Men's</x:t>
        </x:is>
      </x:c>
      <x:c r="C107" t="inlineStr">
        <x:is>
          <x:t xml:space="preserve">J.D. Newcombe</x:t>
        </x:is>
      </x:c>
      <x:c r="D107" t="inlineStr">
        <x:is>
          <x:t xml:space="preserve">AUS</x:t>
        </x:is>
      </x:c>
      <x:c r="E107" t="n">
        <x:v>3</x:v>
      </x:c>
      <x:c r="F107" t="n">
        <x:v>71</x:v>
      </x:c>
      <x:c r="G107" t="inlineStr">
        <x:is>
          <x:t xml:space="preserve">6-3, 6-1, 6-1</x:t>
        </x:is>
      </x:c>
      <x:c r="H107" t="inlineStr">
        <x:is>
          <x:t xml:space="preserve">W.P. Bungert</x:t>
        </x:is>
      </x:c>
      <x:c r="I107" t="inlineStr">
        <x:is>
          <x:t xml:space="preserve">GER</x:t>
        </x:is>
      </x:c>
      <x:c r="J107" t="inlineStr">
        <x:is>
          <x:t xml:space="preserve">U</x:t>
        </x:is>
      </x:c>
    </x:row>
    <x:row r="108">
      <x:c r="A108" t="n">
        <x:v>1966</x:v>
      </x:c>
      <x:c r="B108" t="inlineStr">
        <x:is>
          <x:t xml:space="preserve">Women's</x:t>
        </x:is>
      </x:c>
      <x:c r="C108" t="inlineStr">
        <x:is>
          <x:t xml:space="preserve">L.W. King</x:t>
        </x:is>
      </x:c>
      <x:c r="D108" t="inlineStr">
        <x:is>
          <x:t xml:space="preserve">USA</x:t>
        </x:is>
      </x:c>
      <x:c r="E108" t="n">
        <x:v>4</x:v>
      </x:c>
      <x:c r="F108" t="n">
        <x:v>68</x:v>
      </x:c>
      <x:c r="G108" t="inlineStr">
        <x:is>
          <x:t xml:space="preserve">6-3, 3-6, 6-1,</x:t>
        </x:is>
      </x:c>
      <x:c r="H108" t="inlineStr">
        <x:is>
          <x:t xml:space="preserve">M.E.A. Bueno</x:t>
        </x:is>
      </x:c>
      <x:c r="I108" t="inlineStr">
        <x:is>
          <x:t xml:space="preserve">BRA</x:t>
        </x:is>
      </x:c>
      <x:c r="J108" t="n">
        <x:v>2</x:v>
      </x:c>
    </x:row>
    <x:row r="109">
      <x:c r="A109" t="n">
        <x:v>1966</x:v>
      </x:c>
      <x:c r="B109" t="inlineStr">
        <x:is>
          <x:t xml:space="preserve">Men's</x:t>
        </x:is>
      </x:c>
      <x:c r="C109" t="inlineStr">
        <x:is>
          <x:t xml:space="preserve">M.M. Santana</x:t>
        </x:is>
      </x:c>
      <x:c r="D109" t="inlineStr">
        <x:is>
          <x:t xml:space="preserve">ESP</x:t>
        </x:is>
      </x:c>
      <x:c r="E109" t="n">
        <x:v>4</x:v>
      </x:c>
      <x:c r="F109" t="n">
        <x:v>104</x:v>
      </x:c>
      <x:c r="G109" t="inlineStr">
        <x:is>
          <x:t xml:space="preserve">6-4, 11-9, 6-4</x:t>
        </x:is>
      </x:c>
      <x:c r="H109" t="inlineStr">
        <x:is>
          <x:t xml:space="preserve">R.D. Ralston</x:t>
        </x:is>
      </x:c>
      <x:c r="I109" t="inlineStr">
        <x:is>
          <x:t xml:space="preserve">USA</x:t>
        </x:is>
      </x:c>
      <x:c r="J109" t="n">
        <x:v>6</x:v>
      </x:c>
    </x:row>
    <x:row r="110">
      <x:c r="A110" t="n">
        <x:v>1965</x:v>
      </x:c>
      <x:c r="B110" t="inlineStr">
        <x:is>
          <x:t xml:space="preserve">Women's</x:t>
        </x:is>
      </x:c>
      <x:c r="C110" t="inlineStr">
        <x:is>
          <x:t xml:space="preserve">M. Smith</x:t>
        </x:is>
      </x:c>
      <x:c r="D110" t="inlineStr">
        <x:is>
          <x:t xml:space="preserve">AUS</x:t>
        </x:is>
      </x:c>
      <x:c r="E110" t="n">
        <x:v>2</x:v>
      </x:c>
      <x:c r="F110" t="n">
        <x:v>56</x:v>
      </x:c>
      <x:c r="G110" t="inlineStr">
        <x:is>
          <x:t xml:space="preserve">6-4, 7-5,</x:t>
        </x:is>
      </x:c>
      <x:c r="H110" t="inlineStr">
        <x:is>
          <x:t xml:space="preserve">M.E.A. Bueno</x:t>
        </x:is>
      </x:c>
      <x:c r="I110" t="inlineStr">
        <x:is>
          <x:t xml:space="preserve">BRA</x:t>
        </x:is>
      </x:c>
      <x:c r="J110" t="n">
        <x:v>1</x:v>
      </x:c>
    </x:row>
    <x:row r="111">
      <x:c r="A111" t="n">
        <x:v>1965</x:v>
      </x:c>
      <x:c r="B111" t="inlineStr">
        <x:is>
          <x:t xml:space="preserve">Men's</x:t>
        </x:is>
      </x:c>
      <x:c r="C111" t="inlineStr">
        <x:is>
          <x:t xml:space="preserve">R.S. Emerson</x:t>
        </x:is>
      </x:c>
      <x:c r="D111" t="inlineStr">
        <x:is>
          <x:t xml:space="preserve">AUS</x:t>
        </x:is>
      </x:c>
      <x:c r="E111" t="n">
        <x:v>1</x:v>
      </x:c>
      <x:c r="F111" t="n">
        <x:v>67</x:v>
      </x:c>
      <x:c r="G111" t="inlineStr">
        <x:is>
          <x:t xml:space="preserve">6-2, 6-4, 6-4</x:t>
        </x:is>
      </x:c>
      <x:c r="H111" t="inlineStr">
        <x:is>
          <x:t xml:space="preserve">F.S. Stolle</x:t>
        </x:is>
      </x:c>
      <x:c r="I111" t="inlineStr">
        <x:is>
          <x:t xml:space="preserve">AUS</x:t>
        </x:is>
      </x:c>
      <x:c r="J111" t="n">
        <x:v>2</x:v>
      </x:c>
    </x:row>
    <x:row r="112">
      <x:c r="A112" t="n">
        <x:v>1964</x:v>
      </x:c>
      <x:c r="B112" t="inlineStr">
        <x:is>
          <x:t xml:space="preserve">Women's</x:t>
        </x:is>
      </x:c>
      <x:c r="C112" t="inlineStr">
        <x:is>
          <x:t xml:space="preserve">M.E.A. Bueno</x:t>
        </x:is>
      </x:c>
      <x:c r="D112" t="inlineStr">
        <x:is>
          <x:t xml:space="preserve">BRA</x:t>
        </x:is>
      </x:c>
      <x:c r="E112" t="n">
        <x:v>2</x:v>
      </x:c>
      <x:c r="F112" t="n">
        <x:v>90</x:v>
      </x:c>
      <x:c r="G112" t="inlineStr">
        <x:is>
          <x:t xml:space="preserve">6-4, 7-9, 6-3,</x:t>
        </x:is>
      </x:c>
      <x:c r="H112" t="inlineStr">
        <x:is>
          <x:t xml:space="preserve">M. Smith</x:t>
        </x:is>
      </x:c>
      <x:c r="I112" t="inlineStr">
        <x:is>
          <x:t xml:space="preserve">AUS</x:t>
        </x:is>
      </x:c>
      <x:c r="J112" t="n">
        <x:v>1</x:v>
      </x:c>
    </x:row>
    <x:row r="113">
      <x:c r="A113" t="n">
        <x:v>1964</x:v>
      </x:c>
      <x:c r="B113" t="inlineStr">
        <x:is>
          <x:t xml:space="preserve">Men's</x:t>
        </x:is>
      </x:c>
      <x:c r="C113" t="inlineStr">
        <x:is>
          <x:t xml:space="preserve">R.S. Emerson</x:t>
        </x:is>
      </x:c>
      <x:c r="D113" t="inlineStr">
        <x:is>
          <x:t xml:space="preserve">AUS</x:t>
        </x:is>
      </x:c>
      <x:c r="E113" t="n">
        <x:v>1</x:v>
      </x:c>
      <x:c r="F113" t="n">
        <x:v>127</x:v>
      </x:c>
      <x:c r="G113" t="inlineStr">
        <x:is>
          <x:t xml:space="preserve">6-4, 12-10, 4-6, 6-3</x:t>
        </x:is>
      </x:c>
      <x:c r="H113" t="inlineStr">
        <x:is>
          <x:t xml:space="preserve">F.S. Stolle</x:t>
        </x:is>
      </x:c>
      <x:c r="I113" t="inlineStr">
        <x:is>
          <x:t xml:space="preserve">AUS</x:t>
        </x:is>
      </x:c>
      <x:c r="J113" t="n">
        <x:v>6</x:v>
      </x:c>
    </x:row>
    <x:row r="114">
      <x:c r="A114" t="n">
        <x:v>1963</x:v>
      </x:c>
      <x:c r="B114" t="inlineStr">
        <x:is>
          <x:t xml:space="preserve">Women's</x:t>
        </x:is>
      </x:c>
      <x:c r="C114" t="inlineStr">
        <x:is>
          <x:t xml:space="preserve">M. Smith</x:t>
        </x:is>
      </x:c>
      <x:c r="D114" t="inlineStr">
        <x:is>
          <x:t xml:space="preserve">AUS</x:t>
        </x:is>
      </x:c>
      <x:c r="E114" t="n">
        <x:v>1</x:v>
      </x:c>
      <x:c r="F114" t="n">
        <x:v>51</x:v>
      </x:c>
      <x:c r="G114" t="inlineStr">
        <x:is>
          <x:t xml:space="preserve">6-3, 6-4,</x:t>
        </x:is>
      </x:c>
      <x:c r="H114" t="inlineStr">
        <x:is>
          <x:t xml:space="preserve">B.J. Moffitt</x:t>
        </x:is>
      </x:c>
      <x:c r="I114" t="inlineStr">
        <x:is>
          <x:t xml:space="preserve">USA</x:t>
        </x:is>
      </x:c>
    </x:row>
    <x:row r="115">
      <x:c r="A115" t="n">
        <x:v>1963</x:v>
      </x:c>
      <x:c r="B115" t="inlineStr">
        <x:is>
          <x:t xml:space="preserve">Men's</x:t>
        </x:is>
      </x:c>
      <x:c r="C115" t="inlineStr">
        <x:is>
          <x:t xml:space="preserve">C.R. McKinley</x:t>
        </x:is>
      </x:c>
      <x:c r="D115" t="inlineStr">
        <x:is>
          <x:t xml:space="preserve">USA</x:t>
        </x:is>
      </x:c>
      <x:c r="E115" t="n">
        <x:v>4</x:v>
      </x:c>
      <x:c r="F115" t="n">
        <x:v>78</x:v>
      </x:c>
      <x:c r="G115" t="inlineStr">
        <x:is>
          <x:t xml:space="preserve">9-7, 6-1, 6-4</x:t>
        </x:is>
      </x:c>
      <x:c r="H115" t="inlineStr">
        <x:is>
          <x:t xml:space="preserve">F.S. Stolle</x:t>
        </x:is>
      </x:c>
      <x:c r="I115" t="inlineStr">
        <x:is>
          <x:t xml:space="preserve">AUS</x:t>
        </x:is>
      </x:c>
      <x:c r="J115" t="inlineStr">
        <x:is>
          <x:t xml:space="preserve">U</x:t>
        </x:is>
      </x:c>
    </x:row>
    <x:row r="116">
      <x:c r="A116" t="n">
        <x:v>1962</x:v>
      </x:c>
      <x:c r="B116" t="inlineStr">
        <x:is>
          <x:t xml:space="preserve">Women's</x:t>
        </x:is>
      </x:c>
      <x:c r="C116" t="inlineStr">
        <x:is>
          <x:t xml:space="preserve">J.R. Susman</x:t>
        </x:is>
      </x:c>
      <x:c r="D116" t="inlineStr">
        <x:is>
          <x:t xml:space="preserve">USA</x:t>
        </x:is>
      </x:c>
      <x:c r="E116" t="n">
        <x:v>8</x:v>
      </x:c>
      <x:c r="F116" t="n">
        <x:v>57</x:v>
      </x:c>
      <x:c r="G116" t="inlineStr">
        <x:is>
          <x:t xml:space="preserve">6-4, 6-4,</x:t>
        </x:is>
      </x:c>
      <x:c r="H116" t="inlineStr">
        <x:is>
          <x:t xml:space="preserve">C. Sukova</x:t>
        </x:is>
      </x:c>
      <x:c r="I116" t="inlineStr">
        <x:is>
          <x:t xml:space="preserve">TCH</x:t>
        </x:is>
      </x:c>
    </x:row>
    <x:row r="117">
      <x:c r="A117" t="n">
        <x:v>1962</x:v>
      </x:c>
      <x:c r="B117" t="inlineStr">
        <x:is>
          <x:t xml:space="preserve">Men's</x:t>
        </x:is>
      </x:c>
      <x:c r="C117" t="inlineStr">
        <x:is>
          <x:t xml:space="preserve">R.G. Laver</x:t>
        </x:is>
      </x:c>
      <x:c r="D117" t="inlineStr">
        <x:is>
          <x:t xml:space="preserve">AUS</x:t>
        </x:is>
      </x:c>
      <x:c r="E117" t="n">
        <x:v>1</x:v>
      </x:c>
      <x:c r="F117" t="n">
        <x:v>51</x:v>
      </x:c>
      <x:c r="G117" t="inlineStr">
        <x:is>
          <x:t xml:space="preserve">6-2, 6-2, 6-1</x:t>
        </x:is>
      </x:c>
      <x:c r="H117" t="inlineStr">
        <x:is>
          <x:t xml:space="preserve">M.F. Mulligan</x:t>
        </x:is>
      </x:c>
      <x:c r="I117" t="inlineStr">
        <x:is>
          <x:t xml:space="preserve">AUS</x:t>
        </x:is>
      </x:c>
      <x:c r="J117" t="inlineStr">
        <x:is>
          <x:t xml:space="preserve">U</x:t>
        </x:is>
      </x:c>
    </x:row>
    <x:row r="118">
      <x:c r="A118" t="n">
        <x:v>1961</x:v>
      </x:c>
      <x:c r="B118" t="inlineStr">
        <x:is>
          <x:t xml:space="preserve">Women's</x:t>
        </x:is>
      </x:c>
      <x:c r="C118" t="inlineStr">
        <x:is>
          <x:t xml:space="preserve">F.A.M. Mortimer</x:t>
        </x:is>
      </x:c>
      <x:c r="D118" t="inlineStr">
        <x:is>
          <x:t xml:space="preserve">GBR</x:t>
        </x:is>
      </x:c>
      <x:c r="E118" t="n">
        <x:v>7</x:v>
      </x:c>
      <x:c r="F118" t="n">
        <x:v>96</x:v>
      </x:c>
      <x:c r="G118" t="inlineStr">
        <x:is>
          <x:t xml:space="preserve">4-6, 6-4, 7-5,</x:t>
        </x:is>
      </x:c>
      <x:c r="H118" t="inlineStr">
        <x:is>
          <x:t xml:space="preserve">C.C. Truman</x:t>
        </x:is>
      </x:c>
      <x:c r="I118" t="inlineStr">
        <x:is>
          <x:t xml:space="preserve">GBR</x:t>
        </x:is>
      </x:c>
      <x:c r="J118" t="n">
        <x:v>6</x:v>
      </x:c>
    </x:row>
    <x:row r="119">
      <x:c r="A119" t="n">
        <x:v>1961</x:v>
      </x:c>
      <x:c r="B119" t="inlineStr">
        <x:is>
          <x:t xml:space="preserve">Men's</x:t>
        </x:is>
      </x:c>
      <x:c r="C119" t="inlineStr">
        <x:is>
          <x:t xml:space="preserve">R.G. Laver</x:t>
        </x:is>
      </x:c>
      <x:c r="D119" t="inlineStr">
        <x:is>
          <x:t xml:space="preserve">AUS</x:t>
        </x:is>
      </x:c>
      <x:c r="E119" t="n">
        <x:v>2</x:v>
      </x:c>
      <x:c r="F119" t="n">
        <x:v>55</x:v>
      </x:c>
      <x:c r="G119" t="inlineStr">
        <x:is>
          <x:t xml:space="preserve">6-3, 6-1, 6-4</x:t>
        </x:is>
      </x:c>
      <x:c r="H119" t="inlineStr">
        <x:is>
          <x:t xml:space="preserve">C.R. McKinley</x:t>
        </x:is>
      </x:c>
      <x:c r="I119" t="inlineStr">
        <x:is>
          <x:t xml:space="preserve">USA</x:t>
        </x:is>
      </x:c>
      <x:c r="J119" t="n">
        <x:v>8</x:v>
      </x:c>
    </x:row>
    <x:row r="120">
      <x:c r="A120" t="n">
        <x:v>1960</x:v>
      </x:c>
      <x:c r="B120" t="inlineStr">
        <x:is>
          <x:t xml:space="preserve">Women's</x:t>
        </x:is>
      </x:c>
      <x:c r="C120" t="inlineStr">
        <x:is>
          <x:t xml:space="preserve">M.E.A. Bueno</x:t>
        </x:is>
      </x:c>
      <x:c r="D120" t="inlineStr">
        <x:is>
          <x:t xml:space="preserve">BRA</x:t>
        </x:is>
      </x:c>
      <x:c r="E120" t="n">
        <x:v>1</x:v>
      </x:c>
      <x:c r="F120" t="n">
        <x:v>59</x:v>
      </x:c>
      <x:c r="G120" t="inlineStr">
        <x:is>
          <x:t xml:space="preserve">8-6, 6-0</x:t>
        </x:is>
      </x:c>
      <x:c r="H120" t="inlineStr">
        <x:is>
          <x:t xml:space="preserve">S. Reynolds</x:t>
        </x:is>
      </x:c>
      <x:c r="I120" t="inlineStr">
        <x:is>
          <x:t xml:space="preserve">RSA</x:t>
        </x:is>
      </x:c>
      <x:c r="J120" t="n">
        <x:v>8</x:v>
      </x:c>
    </x:row>
    <x:row r="121">
      <x:c r="A121" t="n">
        <x:v>1960</x:v>
      </x:c>
      <x:c r="B121" t="inlineStr">
        <x:is>
          <x:t xml:space="preserve">Men's</x:t>
        </x:is>
      </x:c>
      <x:c r="C121" t="inlineStr">
        <x:is>
          <x:t xml:space="preserve">N.A. Fraser</x:t>
        </x:is>
      </x:c>
      <x:c r="D121" t="inlineStr">
        <x:is>
          <x:t xml:space="preserve">AUS</x:t>
        </x:is>
      </x:c>
      <x:c r="E121" t="n">
        <x:v>1</x:v>
      </x:c>
      <x:c r="F121" t="n">
        <x:v>130</x:v>
      </x:c>
      <x:c r="G121" t="inlineStr">
        <x:is>
          <x:t xml:space="preserve">6-4, 3-6, 9-7, 7-5</x:t>
        </x:is>
      </x:c>
      <x:c r="H121" t="inlineStr">
        <x:is>
          <x:t xml:space="preserve">R.G. Laver</x:t>
        </x:is>
      </x:c>
      <x:c r="I121" t="inlineStr">
        <x:is>
          <x:t xml:space="preserve">AUS</x:t>
        </x:is>
      </x:c>
      <x:c r="J121" t="n">
        <x:v>3</x:v>
      </x:c>
    </x:row>
    <x:row r="122">
      <x:c r="A122" t="n">
        <x:v>1959</x:v>
      </x:c>
      <x:c r="B122" t="inlineStr">
        <x:is>
          <x:t xml:space="preserve">Women's</x:t>
        </x:is>
      </x:c>
      <x:c r="C122" t="inlineStr">
        <x:is>
          <x:t xml:space="preserve">M.E.A. Bueno</x:t>
        </x:is>
      </x:c>
      <x:c r="D122" t="inlineStr">
        <x:is>
          <x:t xml:space="preserve">BRA</x:t>
        </x:is>
      </x:c>
      <x:c r="E122" t="n">
        <x:v>6</x:v>
      </x:c>
      <x:c r="F122" t="n">
        <x:v>43</x:v>
      </x:c>
      <x:c r="G122" t="inlineStr">
        <x:is>
          <x:t xml:space="preserve">6-4, 6-3,</x:t>
        </x:is>
      </x:c>
      <x:c r="H122" t="inlineStr">
        <x:is>
          <x:t xml:space="preserve">D.R. Hard</x:t>
        </x:is>
      </x:c>
      <x:c r="I122" t="inlineStr">
        <x:is>
          <x:t xml:space="preserve">USA</x:t>
        </x:is>
      </x:c>
      <x:c r="J122" t="n">
        <x:v>4</x:v>
      </x:c>
    </x:row>
    <x:row r="123">
      <x:c r="A123" t="n">
        <x:v>1959</x:v>
      </x:c>
      <x:c r="B123" t="inlineStr">
        <x:is>
          <x:t xml:space="preserve">Men's</x:t>
        </x:is>
      </x:c>
      <x:c r="C123" t="inlineStr">
        <x:is>
          <x:t xml:space="preserve">A.R. Olmedo</x:t>
        </x:is>
      </x:c>
      <x:c r="D123" t="inlineStr">
        <x:is>
          <x:t xml:space="preserve">USA</x:t>
        </x:is>
      </x:c>
      <x:c r="E123" t="n">
        <x:v>1</x:v>
      </x:c>
      <x:c r="F123" t="n">
        <x:v>71</x:v>
      </x:c>
      <x:c r="G123" t="inlineStr">
        <x:is>
          <x:t xml:space="preserve">6-4, 6-3, 6-4</x:t>
        </x:is>
      </x:c>
      <x:c r="H123" t="inlineStr">
        <x:is>
          <x:t xml:space="preserve">R.G. Laver</x:t>
        </x:is>
      </x:c>
      <x:c r="I123" t="inlineStr">
        <x:is>
          <x:t xml:space="preserve">AUS</x:t>
        </x:is>
      </x:c>
      <x:c r="J123" t="inlineStr">
        <x:is>
          <x:t xml:space="preserve">U</x:t>
        </x:is>
      </x:c>
    </x:row>
    <x:row r="124">
      <x:c r="A124" t="n">
        <x:v>1958</x:v>
      </x:c>
      <x:c r="B124" t="inlineStr">
        <x:is>
          <x:t xml:space="preserve">Women's</x:t>
        </x:is>
      </x:c>
      <x:c r="C124" t="inlineStr">
        <x:is>
          <x:t xml:space="preserve">A. Gibson</x:t>
        </x:is>
      </x:c>
      <x:c r="D124" t="inlineStr">
        <x:is>
          <x:t xml:space="preserve">USA</x:t>
        </x:is>
      </x:c>
      <x:c r="E124" t="n">
        <x:v>1</x:v>
      </x:c>
      <x:c r="F124" t="n">
        <x:v>62</x:v>
      </x:c>
      <x:c r="G124" t="inlineStr">
        <x:is>
          <x:t xml:space="preserve">8-6, 6-2,</x:t>
        </x:is>
      </x:c>
      <x:c r="H124" t="inlineStr">
        <x:is>
          <x:t xml:space="preserve">F.A.M. Mortimer</x:t>
        </x:is>
      </x:c>
      <x:c r="I124" t="inlineStr">
        <x:is>
          <x:t xml:space="preserve">GBR</x:t>
        </x:is>
      </x:c>
    </x:row>
    <x:row r="125">
      <x:c r="A125" t="n">
        <x:v>1958</x:v>
      </x:c>
      <x:c r="B125" t="inlineStr">
        <x:is>
          <x:t xml:space="preserve">Men's</x:t>
        </x:is>
      </x:c>
      <x:c r="C125" t="inlineStr">
        <x:is>
          <x:t xml:space="preserve">A.J. Cooper</x:t>
        </x:is>
      </x:c>
      <x:c r="D125" t="inlineStr">
        <x:is>
          <x:t xml:space="preserve">AUS</x:t>
        </x:is>
      </x:c>
      <x:c r="E125" t="n">
        <x:v>1</x:v>
      </x:c>
      <x:c r="F125" t="n">
        <x:v>130</x:v>
      </x:c>
      <x:c r="G125" t="inlineStr">
        <x:is>
          <x:t xml:space="preserve">3-6, 6-3, 6-4, 13-11</x:t>
        </x:is>
      </x:c>
      <x:c r="H125" t="inlineStr">
        <x:is>
          <x:t xml:space="preserve">N.A. Fraser</x:t>
        </x:is>
      </x:c>
      <x:c r="I125" t="inlineStr">
        <x:is>
          <x:t xml:space="preserve">AUS</x:t>
        </x:is>
      </x:c>
      <x:c r="J125" t="n">
        <x:v>4</x:v>
      </x:c>
    </x:row>
    <x:row r="126">
      <x:c r="A126" t="n">
        <x:v>1957</x:v>
      </x:c>
      <x:c r="B126" t="inlineStr">
        <x:is>
          <x:t xml:space="preserve">Women's</x:t>
        </x:is>
      </x:c>
      <x:c r="C126" t="inlineStr">
        <x:is>
          <x:t xml:space="preserve">A. Gibson</x:t>
        </x:is>
      </x:c>
      <x:c r="D126" t="inlineStr">
        <x:is>
          <x:t xml:space="preserve">USA</x:t>
        </x:is>
      </x:c>
      <x:c r="E126" t="n">
        <x:v>1</x:v>
      </x:c>
      <x:c r="F126" t="n">
        <x:v>50</x:v>
      </x:c>
      <x:c r="G126" t="inlineStr">
        <x:is>
          <x:t xml:space="preserve">6-3, 6-2,</x:t>
        </x:is>
      </x:c>
      <x:c r="H126" t="inlineStr">
        <x:is>
          <x:t xml:space="preserve">D.R. Hard</x:t>
        </x:is>
      </x:c>
      <x:c r="I126" t="inlineStr">
        <x:is>
          <x:t xml:space="preserve">USA</x:t>
        </x:is>
      </x:c>
      <x:c r="J126" t="n">
        <x:v>5</x:v>
      </x:c>
    </x:row>
    <x:row r="127">
      <x:c r="A127" t="n">
        <x:v>1957</x:v>
      </x:c>
      <x:c r="B127" t="inlineStr">
        <x:is>
          <x:t xml:space="preserve">Men's</x:t>
        </x:is>
      </x:c>
      <x:c r="C127" t="inlineStr">
        <x:is>
          <x:t xml:space="preserve">L.A. Hoad</x:t>
        </x:is>
      </x:c>
      <x:c r="D127" t="inlineStr">
        <x:is>
          <x:t xml:space="preserve">AUS</x:t>
        </x:is>
      </x:c>
      <x:c r="E127" t="n">
        <x:v>1</x:v>
      </x:c>
      <x:c r="F127" t="n">
        <x:v>57</x:v>
      </x:c>
      <x:c r="G127" t="inlineStr">
        <x:is>
          <x:t xml:space="preserve">6-2, 6-1, 6-2</x:t>
        </x:is>
      </x:c>
      <x:c r="H127" t="inlineStr">
        <x:is>
          <x:t xml:space="preserve">A.J. Cooper</x:t>
        </x:is>
      </x:c>
      <x:c r="I127" t="inlineStr">
        <x:is>
          <x:t xml:space="preserve">AUS</x:t>
        </x:is>
      </x:c>
      <x:c r="J127" t="n">
        <x:v>2</x:v>
      </x:c>
    </x:row>
    <x:row r="128">
      <x:c r="A128" t="n">
        <x:v>1956</x:v>
      </x:c>
      <x:c r="B128" t="inlineStr">
        <x:is>
          <x:t xml:space="preserve">Women's</x:t>
        </x:is>
      </x:c>
      <x:c r="C128" t="inlineStr">
        <x:is>
          <x:t xml:space="preserve">S.J. Fry</x:t>
        </x:is>
      </x:c>
      <x:c r="D128" t="inlineStr">
        <x:is>
          <x:t xml:space="preserve">USA</x:t>
        </x:is>
      </x:c>
      <x:c r="E128" t="n">
        <x:v>5</x:v>
      </x:c>
      <x:c r="F128" t="n">
        <x:v>50</x:v>
      </x:c>
      <x:c r="G128" t="inlineStr">
        <x:is>
          <x:t xml:space="preserve">6-3, 6-1,</x:t>
        </x:is>
      </x:c>
      <x:c r="H128" t="inlineStr">
        <x:is>
          <x:t xml:space="preserve">A. Buxton</x:t>
        </x:is>
      </x:c>
      <x:c r="I128" t="inlineStr">
        <x:is>
          <x:t xml:space="preserve">GBR</x:t>
        </x:is>
      </x:c>
      <x:c r="J128" t="n">
        <x:v>6</x:v>
      </x:c>
    </x:row>
    <x:row r="129">
      <x:c r="A129" t="n">
        <x:v>1956</x:v>
      </x:c>
      <x:c r="B129" t="inlineStr">
        <x:is>
          <x:t xml:space="preserve">Men's</x:t>
        </x:is>
      </x:c>
      <x:c r="C129" t="inlineStr">
        <x:is>
          <x:t xml:space="preserve">L.A. Hoad</x:t>
        </x:is>
      </x:c>
      <x:c r="D129" t="inlineStr">
        <x:is>
          <x:t xml:space="preserve">AUS</x:t>
        </x:is>
      </x:c>
      <x:c r="E129" t="n">
        <x:v>1</x:v>
      </x:c>
      <x:c r="F129" t="n">
        <x:v>117</x:v>
      </x:c>
      <x:c r="G129" t="inlineStr">
        <x:is>
          <x:t xml:space="preserve">6-2, 4-6, 7-5, 6-4</x:t>
        </x:is>
      </x:c>
      <x:c r="H129" t="inlineStr">
        <x:is>
          <x:t xml:space="preserve">K.R. Rosewall</x:t>
        </x:is>
      </x:c>
      <x:c r="I129" t="inlineStr">
        <x:is>
          <x:t xml:space="preserve">AUS</x:t>
        </x:is>
      </x:c>
      <x:c r="J129" t="n">
        <x:v>2</x:v>
      </x:c>
    </x:row>
    <x:row r="130">
      <x:c r="A130" t="n">
        <x:v>1955</x:v>
      </x:c>
      <x:c r="B130" t="inlineStr">
        <x:is>
          <x:t xml:space="preserve">Women's</x:t>
        </x:is>
      </x:c>
      <x:c r="C130" t="inlineStr">
        <x:is>
          <x:t xml:space="preserve">A.L. Brough</x:t>
        </x:is>
      </x:c>
      <x:c r="D130" t="inlineStr">
        <x:is>
          <x:t xml:space="preserve">USA</x:t>
        </x:is>
      </x:c>
      <x:c r="E130" t="n">
        <x:v>2</x:v>
      </x:c>
      <x:c r="F130" t="n">
        <x:v>90</x:v>
      </x:c>
      <x:c r="G130" t="inlineStr">
        <x:is>
          <x:t xml:space="preserve">7-5, 8-6,</x:t>
        </x:is>
      </x:c>
      <x:c r="H130" t="inlineStr">
        <x:is>
          <x:t xml:space="preserve">J.G. Fleitz</x:t>
        </x:is>
      </x:c>
      <x:c r="I130" t="inlineStr">
        <x:is>
          <x:t xml:space="preserve">USA</x:t>
        </x:is>
      </x:c>
      <x:c r="J130" t="n">
        <x:v>3</x:v>
      </x:c>
    </x:row>
    <x:row r="131">
      <x:c r="A131" t="n">
        <x:v>1955</x:v>
      </x:c>
      <x:c r="B131" t="inlineStr">
        <x:is>
          <x:t xml:space="preserve">Men's</x:t>
        </x:is>
      </x:c>
      <x:c r="C131" t="inlineStr">
        <x:is>
          <x:t xml:space="preserve">M.A. Trabert</x:t>
        </x:is>
      </x:c>
      <x:c r="D131" t="inlineStr">
        <x:is>
          <x:t xml:space="preserve">USA</x:t>
        </x:is>
      </x:c>
      <x:c r="E131" t="n">
        <x:v>1</x:v>
      </x:c>
      <x:c r="F131" t="n">
        <x:v>73</x:v>
      </x:c>
      <x:c r="G131" t="inlineStr">
        <x:is>
          <x:t xml:space="preserve">6-3, 7-5, 6-1</x:t>
        </x:is>
      </x:c>
      <x:c r="H131" t="inlineStr">
        <x:is>
          <x:t xml:space="preserve">K. Nielsen</x:t>
        </x:is>
      </x:c>
      <x:c r="I131" t="inlineStr">
        <x:is>
          <x:t xml:space="preserve">DEN</x:t>
        </x:is>
      </x:c>
      <x:c r="J131" t="inlineStr">
        <x:is>
          <x:t xml:space="preserve">U</x:t>
        </x:is>
      </x:c>
    </x:row>
    <x:row r="132">
      <x:c r="A132" t="n">
        <x:v>1954</x:v>
      </x:c>
      <x:c r="B132" t="inlineStr">
        <x:is>
          <x:t xml:space="preserve">Women's</x:t>
        </x:is>
      </x:c>
      <x:c r="C132" t="inlineStr">
        <x:is>
          <x:t xml:space="preserve">M.C. Connolly</x:t>
        </x:is>
      </x:c>
      <x:c r="D132" t="inlineStr">
        <x:is>
          <x:t xml:space="preserve">USA</x:t>
        </x:is>
      </x:c>
      <x:c r="E132" t="n">
        <x:v>1</x:v>
      </x:c>
      <x:c r="F132" t="n">
        <x:v>50</x:v>
      </x:c>
      <x:c r="G132" t="inlineStr">
        <x:is>
          <x:t xml:space="preserve">6-2, 7-5,</x:t>
        </x:is>
      </x:c>
      <x:c r="H132" t="inlineStr">
        <x:is>
          <x:t xml:space="preserve">A.L. Brough</x:t>
        </x:is>
      </x:c>
      <x:c r="I132" t="inlineStr">
        <x:is>
          <x:t xml:space="preserve">USA</x:t>
        </x:is>
      </x:c>
      <x:c r="J132" t="n">
        <x:v>4</x:v>
      </x:c>
    </x:row>
    <x:row r="133">
      <x:c r="A133" t="n">
        <x:v>1954</x:v>
      </x:c>
      <x:c r="B133" t="inlineStr">
        <x:is>
          <x:t xml:space="preserve">Men's</x:t>
        </x:is>
      </x:c>
      <x:c r="C133" t="inlineStr">
        <x:is>
          <x:t xml:space="preserve">J. Drobny</x:t>
        </x:is>
      </x:c>
      <x:c r="D133" t="inlineStr">
        <x:is>
          <x:t xml:space="preserve">CZE</x:t>
        </x:is>
      </x:c>
      <x:c r="E133" t="n">
        <x:v>11</x:v>
      </x:c>
      <x:c r="F133" t="n">
        <x:v>157</x:v>
      </x:c>
      <x:c r="G133" t="inlineStr">
        <x:is>
          <x:t xml:space="preserve">13-11, 4-6, 6-2, 9-7</x:t>
        </x:is>
      </x:c>
      <x:c r="H133" t="inlineStr">
        <x:is>
          <x:t xml:space="preserve">K.R. Rosewall</x:t>
        </x:is>
      </x:c>
      <x:c r="I133" t="inlineStr">
        <x:is>
          <x:t xml:space="preserve">AUS</x:t>
        </x:is>
      </x:c>
      <x:c r="J133" t="n">
        <x:v>3</x:v>
      </x:c>
    </x:row>
    <x:row r="134">
      <x:c r="A134" t="n">
        <x:v>1953</x:v>
      </x:c>
      <x:c r="B134" t="inlineStr">
        <x:is>
          <x:t xml:space="preserve">Women's</x:t>
        </x:is>
      </x:c>
      <x:c r="C134" t="inlineStr">
        <x:is>
          <x:t xml:space="preserve">M.C. Connolly</x:t>
        </x:is>
      </x:c>
      <x:c r="D134" t="inlineStr">
        <x:is>
          <x:t xml:space="preserve">USA</x:t>
        </x:is>
      </x:c>
      <x:c r="E134" t="n">
        <x:v>1</x:v>
      </x:c>
      <x:c r="F134" t="n">
        <x:v>67</x:v>
      </x:c>
      <x:c r="G134" t="inlineStr">
        <x:is>
          <x:t xml:space="preserve">8-6, 7-5,</x:t>
        </x:is>
      </x:c>
      <x:c r="H134" t="inlineStr">
        <x:is>
          <x:t xml:space="preserve">D.J. Hart</x:t>
        </x:is>
      </x:c>
      <x:c r="I134" t="inlineStr">
        <x:is>
          <x:t xml:space="preserve">USA</x:t>
        </x:is>
      </x:c>
      <x:c r="J134" t="n">
        <x:v>2</x:v>
      </x:c>
    </x:row>
    <x:row r="135">
      <x:c r="A135" t="n">
        <x:v>1953</x:v>
      </x:c>
      <x:c r="B135" t="inlineStr">
        <x:is>
          <x:t xml:space="preserve">Men's</x:t>
        </x:is>
      </x:c>
      <x:c r="C135" t="inlineStr">
        <x:is>
          <x:t xml:space="preserve">E.V. Seixas</x:t>
        </x:is>
      </x:c>
      <x:c r="D135" t="inlineStr">
        <x:is>
          <x:t xml:space="preserve">USA</x:t>
        </x:is>
      </x:c>
      <x:c r="E135" t="n">
        <x:v>2</x:v>
      </x:c>
      <x:c r="F135" t="n">
        <x:v>80</x:v>
      </x:c>
      <x:c r="G135" t="inlineStr">
        <x:is>
          <x:t xml:space="preserve">9-7, 6-3, 6-4</x:t>
        </x:is>
      </x:c>
      <x:c r="H135" t="inlineStr">
        <x:is>
          <x:t xml:space="preserve">K. Nielsen</x:t>
        </x:is>
      </x:c>
      <x:c r="I135" t="inlineStr">
        <x:is>
          <x:t xml:space="preserve">DEN</x:t>
        </x:is>
      </x:c>
      <x:c r="J135" t="inlineStr">
        <x:is>
          <x:t xml:space="preserve">U</x:t>
        </x:is>
      </x:c>
    </x:row>
    <x:row r="136">
      <x:c r="A136" t="n">
        <x:v>1952</x:v>
      </x:c>
      <x:c r="B136" t="inlineStr">
        <x:is>
          <x:t xml:space="preserve">Women's</x:t>
        </x:is>
      </x:c>
      <x:c r="C136" t="inlineStr">
        <x:is>
          <x:t xml:space="preserve">M.C. Connolly</x:t>
        </x:is>
      </x:c>
      <x:c r="D136" t="inlineStr">
        <x:is>
          <x:t xml:space="preserve">USA</x:t>
        </x:is>
      </x:c>
      <x:c r="E136" t="n">
        <x:v>2</x:v>
      </x:c>
      <x:c r="F136" t="n">
        <x:v>65</x:v>
      </x:c>
      <x:c r="G136" t="inlineStr">
        <x:is>
          <x:t xml:space="preserve">7-5, 6-3,</x:t>
        </x:is>
      </x:c>
      <x:c r="H136" t="inlineStr">
        <x:is>
          <x:t xml:space="preserve">A.L. Brough</x:t>
        </x:is>
      </x:c>
      <x:c r="I136" t="inlineStr">
        <x:is>
          <x:t xml:space="preserve">USA</x:t>
        </x:is>
      </x:c>
      <x:c r="J136" t="n">
        <x:v>4</x:v>
      </x:c>
    </x:row>
    <x:row r="137">
      <x:c r="A137" t="n">
        <x:v>1952</x:v>
      </x:c>
      <x:c r="B137" t="inlineStr">
        <x:is>
          <x:t xml:space="preserve">Men's</x:t>
        </x:is>
      </x:c>
      <x:c r="C137" t="inlineStr">
        <x:is>
          <x:t xml:space="preserve">F.A. Sedgman</x:t>
        </x:is>
      </x:c>
      <x:c r="D137" t="inlineStr">
        <x:is>
          <x:t xml:space="preserve">AUS</x:t>
        </x:is>
      </x:c>
      <x:c r="E137" t="n">
        <x:v>1</x:v>
      </x:c>
      <x:c r="F137" t="n">
        <x:v>80</x:v>
      </x:c>
      <x:c r="G137" t="inlineStr">
        <x:is>
          <x:t xml:space="preserve">4-6, 6-2, 6-3, 6-2</x:t>
        </x:is>
      </x:c>
      <x:c r="H137" t="inlineStr">
        <x:is>
          <x:t xml:space="preserve">J. Drobny</x:t>
        </x:is>
      </x:c>
      <x:c r="I137" t="inlineStr">
        <x:is>
          <x:t xml:space="preserve">CZE</x:t>
        </x:is>
      </x:c>
      <x:c r="J137" t="n">
        <x:v>2</x:v>
      </x:c>
    </x:row>
    <x:row r="138">
      <x:c r="A138" t="n">
        <x:v>1951</x:v>
      </x:c>
      <x:c r="B138" t="inlineStr">
        <x:is>
          <x:t xml:space="preserve">Women's</x:t>
        </x:is>
      </x:c>
      <x:c r="C138" t="inlineStr">
        <x:is>
          <x:t xml:space="preserve">D.J. Hart</x:t>
        </x:is>
      </x:c>
      <x:c r="D138" t="inlineStr">
        <x:is>
          <x:t xml:space="preserve">USA</x:t>
        </x:is>
      </x:c>
      <x:c r="E138" t="n">
        <x:v>3</x:v>
      </x:c>
      <x:c r="F138" t="n">
        <x:v>35</x:v>
      </x:c>
      <x:c r="G138" t="inlineStr">
        <x:is>
          <x:t xml:space="preserve">6-1, 6-0</x:t>
        </x:is>
      </x:c>
      <x:c r="H138" t="inlineStr">
        <x:is>
          <x:t xml:space="preserve">S.J. Fry</x:t>
        </x:is>
      </x:c>
      <x:c r="I138" t="inlineStr">
        <x:is>
          <x:t xml:space="preserve">USA</x:t>
        </x:is>
      </x:c>
      <x:c r="J138" t="n">
        <x:v>4</x:v>
      </x:c>
    </x:row>
    <x:row r="139">
      <x:c r="A139" t="n">
        <x:v>1951</x:v>
      </x:c>
      <x:c r="B139" t="inlineStr">
        <x:is>
          <x:t xml:space="preserve">Men's</x:t>
        </x:is>
      </x:c>
      <x:c r="C139" t="inlineStr">
        <x:is>
          <x:t xml:space="preserve">R. Savitt</x:t>
        </x:is>
      </x:c>
      <x:c r="D139" t="inlineStr">
        <x:is>
          <x:t xml:space="preserve">USA</x:t>
        </x:is>
      </x:c>
      <x:c r="E139" t="n">
        <x:v>6</x:v>
      </x:c>
      <x:c r="F139" t="n">
        <x:v>62</x:v>
      </x:c>
      <x:c r="G139" t="inlineStr">
        <x:is>
          <x:t xml:space="preserve">6-4, 6-4, 6-4</x:t>
        </x:is>
      </x:c>
      <x:c r="H139" t="inlineStr">
        <x:is>
          <x:t xml:space="preserve">K.B. McGregor</x:t>
        </x:is>
      </x:c>
      <x:c r="I139" t="inlineStr">
        <x:is>
          <x:t xml:space="preserve">AUS</x:t>
        </x:is>
      </x:c>
      <x:c r="J139" t="n">
        <x:v>7</x:v>
      </x:c>
    </x:row>
    <x:row r="140">
      <x:c r="A140" t="n">
        <x:v>1950</x:v>
      </x:c>
      <x:c r="B140" t="inlineStr">
        <x:is>
          <x:t xml:space="preserve">Women's</x:t>
        </x:is>
      </x:c>
      <x:c r="C140" t="inlineStr">
        <x:is>
          <x:t xml:space="preserve">A.L. Brough</x:t>
        </x:is>
      </x:c>
      <x:c r="D140" t="inlineStr">
        <x:is>
          <x:t xml:space="preserve">USA</x:t>
        </x:is>
      </x:c>
      <x:c r="E140" t="n">
        <x:v>1</x:v>
      </x:c>
      <x:c r="F140" t="n">
        <x:v>62</x:v>
      </x:c>
      <x:c r="G140" t="inlineStr">
        <x:is>
          <x:t xml:space="preserve">6-1, 3-6, 6-1,</x:t>
        </x:is>
      </x:c>
      <x:c r="H140" t="inlineStr">
        <x:is>
          <x:t xml:space="preserve">W. du Pont</x:t>
        </x:is>
      </x:c>
      <x:c r="I140" t="inlineStr">
        <x:is>
          <x:t xml:space="preserve">USA</x:t>
        </x:is>
      </x:c>
      <x:c r="J140" t="n">
        <x:v>2</x:v>
      </x:c>
    </x:row>
    <x:row r="141">
      <x:c r="A141" t="n">
        <x:v>1950</x:v>
      </x:c>
      <x:c r="B141" t="inlineStr">
        <x:is>
          <x:t xml:space="preserve">Men's</x:t>
        </x:is>
      </x:c>
      <x:c r="C141" t="inlineStr">
        <x:is>
          <x:t xml:space="preserve">J.E. Patty</x:t>
        </x:is>
      </x:c>
      <x:c r="D141" t="inlineStr">
        <x:is>
          <x:t xml:space="preserve">USA</x:t>
        </x:is>
      </x:c>
      <x:c r="E141" t="n">
        <x:v>5</x:v>
      </x:c>
      <x:c r="F141" t="n">
        <x:v>120</x:v>
      </x:c>
      <x:c r="G141" t="inlineStr">
        <x:is>
          <x:t xml:space="preserve">6-1, 8-10, 6-2, 6-3</x:t>
        </x:is>
      </x:c>
      <x:c r="H141" t="inlineStr">
        <x:is>
          <x:t xml:space="preserve">F.A. Sedgman</x:t>
        </x:is>
      </x:c>
      <x:c r="I141" t="inlineStr">
        <x:is>
          <x:t xml:space="preserve">AUS</x:t>
        </x:is>
      </x:c>
      <x:c r="J141" t="n">
        <x:v>1</x:v>
      </x:c>
    </x:row>
    <x:row r="142">
      <x:c r="A142" t="n">
        <x:v>1949</x:v>
      </x:c>
      <x:c r="B142" t="inlineStr">
        <x:is>
          <x:t xml:space="preserve">Women's</x:t>
        </x:is>
      </x:c>
      <x:c r="C142" t="inlineStr">
        <x:is>
          <x:t xml:space="preserve">A.L. Brough</x:t>
        </x:is>
      </x:c>
      <x:c r="D142" t="inlineStr">
        <x:is>
          <x:t xml:space="preserve">USA</x:t>
        </x:is>
      </x:c>
      <x:c r="E142" t="n">
        <x:v>1</x:v>
      </x:c>
      <x:c r="F142" t="n">
        <x:v>120</x:v>
      </x:c>
      <x:c r="G142" t="inlineStr">
        <x:is>
          <x:t xml:space="preserve">10-8, 1-6, 10-8,</x:t>
        </x:is>
      </x:c>
      <x:c r="H142" t="inlineStr">
        <x:is>
          <x:t xml:space="preserve">W. du Pont</x:t>
        </x:is>
      </x:c>
      <x:c r="I142" t="inlineStr">
        <x:is>
          <x:t xml:space="preserve">USA</x:t>
        </x:is>
      </x:c>
      <x:c r="J142" t="n">
        <x:v>2</x:v>
      </x:c>
    </x:row>
    <x:row r="143">
      <x:c r="A143" t="n">
        <x:v>1949</x:v>
      </x:c>
      <x:c r="B143" t="inlineStr">
        <x:is>
          <x:t xml:space="preserve">Men's</x:t>
        </x:is>
      </x:c>
      <x:c r="C143" t="inlineStr">
        <x:is>
          <x:t xml:space="preserve">F.R. Schroeder</x:t>
        </x:is>
      </x:c>
      <x:c r="D143" t="inlineStr">
        <x:is>
          <x:t xml:space="preserve">USA</x:t>
        </x:is>
      </x:c>
      <x:c r="E143" t="n">
        <x:v>1</x:v>
      </x:c>
      <x:c r="F143" t="n">
        <x:v>100</x:v>
      </x:c>
      <x:c r="G143" t="inlineStr">
        <x:is>
          <x:t xml:space="preserve">3-6, 6-0, 6-3, 4-6, 6-4</x:t>
        </x:is>
      </x:c>
      <x:c r="H143" t="inlineStr">
        <x:is>
          <x:t xml:space="preserve">J. Drobny</x:t>
        </x:is>
      </x:c>
      <x:c r="I143" t="inlineStr">
        <x:is>
          <x:t xml:space="preserve">CZE</x:t>
        </x:is>
      </x:c>
      <x:c r="J143" t="n">
        <x:v>6</x:v>
      </x:c>
    </x:row>
    <x:row r="144">
      <x:c r="A144" t="n">
        <x:v>1948</x:v>
      </x:c>
      <x:c r="B144" t="inlineStr">
        <x:is>
          <x:t xml:space="preserve">Women's</x:t>
        </x:is>
      </x:c>
      <x:c r="C144" t="inlineStr">
        <x:is>
          <x:t xml:space="preserve">A.L. Brough</x:t>
        </x:is>
      </x:c>
      <x:c r="D144" t="inlineStr">
        <x:is>
          <x:t xml:space="preserve">USA</x:t>
        </x:is>
      </x:c>
      <x:c r="E144" t="n">
        <x:v>2</x:v>
      </x:c>
      <x:c r="F144" t="n">
        <x:v>76</x:v>
      </x:c>
      <x:c r="G144" t="inlineStr">
        <x:is>
          <x:t xml:space="preserve">6-3, 8-6,</x:t>
        </x:is>
      </x:c>
      <x:c r="H144" t="inlineStr">
        <x:is>
          <x:t xml:space="preserve">D.J. Hart</x:t>
        </x:is>
      </x:c>
      <x:c r="I144" t="inlineStr">
        <x:is>
          <x:t xml:space="preserve">USA</x:t>
        </x:is>
      </x:c>
      <x:c r="J144" t="n">
        <x:v>4</x:v>
      </x:c>
    </x:row>
    <x:row r="145">
      <x:c r="A145" t="n">
        <x:v>1948</x:v>
      </x:c>
      <x:c r="B145" t="inlineStr">
        <x:is>
          <x:t xml:space="preserve">Men's</x:t>
        </x:is>
      </x:c>
      <x:c r="C145" t="inlineStr">
        <x:is>
          <x:t xml:space="preserve">R. Falkenburg</x:t>
        </x:is>
      </x:c>
      <x:c r="D145" t="inlineStr">
        <x:is>
          <x:t xml:space="preserve">USA</x:t>
        </x:is>
      </x:c>
      <x:c r="E145" t="n">
        <x:v>7</x:v>
      </x:c>
      <x:c r="F145" t="n">
        <x:v>125</x:v>
      </x:c>
      <x:c r="G145" t="inlineStr">
        <x:is>
          <x:t xml:space="preserve">7-5, 0-6, 6-2, 3-6, 7-5</x:t>
        </x:is>
      </x:c>
      <x:c r="H145" t="inlineStr">
        <x:is>
          <x:t xml:space="preserve">J.E. Bromwich</x:t>
        </x:is>
      </x:c>
      <x:c r="I145" t="inlineStr">
        <x:is>
          <x:t xml:space="preserve">AUS</x:t>
        </x:is>
      </x:c>
      <x:c r="J145" t="n">
        <x:v>2</x:v>
      </x:c>
    </x:row>
    <x:row r="146">
      <x:c r="A146" t="n">
        <x:v>1947</x:v>
      </x:c>
      <x:c r="B146" t="inlineStr">
        <x:is>
          <x:t xml:space="preserve">Women's</x:t>
        </x:is>
      </x:c>
      <x:c r="C146" t="inlineStr">
        <x:is>
          <x:t xml:space="preserve">M.E. Osborne</x:t>
        </x:is>
      </x:c>
      <x:c r="D146" t="inlineStr">
        <x:is>
          <x:t xml:space="preserve">USA</x:t>
        </x:is>
      </x:c>
      <x:c r="E146" t="n">
        <x:v>1</x:v>
      </x:c>
      <x:c r="G146" t="inlineStr">
        <x:is>
          <x:t xml:space="preserve">6-2, 6-4,</x:t>
        </x:is>
      </x:c>
      <x:c r="H146" t="inlineStr">
        <x:is>
          <x:t xml:space="preserve">D.J. Hart</x:t>
        </x:is>
      </x:c>
      <x:c r="I146" t="inlineStr">
        <x:is>
          <x:t xml:space="preserve">USA</x:t>
        </x:is>
      </x:c>
      <x:c r="J146" t="n">
        <x:v>3</x:v>
      </x:c>
    </x:row>
    <x:row r="147">
      <x:c r="A147" t="n">
        <x:v>1947</x:v>
      </x:c>
      <x:c r="B147" t="inlineStr">
        <x:is>
          <x:t xml:space="preserve">Men's</x:t>
        </x:is>
      </x:c>
      <x:c r="C147" t="inlineStr">
        <x:is>
          <x:t xml:space="preserve">J.A. Kramer</x:t>
        </x:is>
      </x:c>
      <x:c r="D147" t="inlineStr">
        <x:is>
          <x:t xml:space="preserve">USA</x:t>
        </x:is>
      </x:c>
      <x:c r="E147" t="n">
        <x:v>1</x:v>
      </x:c>
      <x:c r="F147" t="n">
        <x:v>45</x:v>
      </x:c>
      <x:c r="G147" t="inlineStr">
        <x:is>
          <x:t xml:space="preserve">6-1, 6-3, 6-2</x:t>
        </x:is>
      </x:c>
      <x:c r="H147" t="inlineStr">
        <x:is>
          <x:t xml:space="preserve">T.P. Brown</x:t>
        </x:is>
      </x:c>
      <x:c r="I147" t="inlineStr">
        <x:is>
          <x:t xml:space="preserve">USA</x:t>
        </x:is>
      </x:c>
      <x:c r="J147" t="n">
        <x:v>3</x:v>
      </x:c>
    </x:row>
    <x:row r="148">
      <x:c r="A148" t="n">
        <x:v>1946</x:v>
      </x:c>
      <x:c r="B148" t="inlineStr">
        <x:is>
          <x:t xml:space="preserve">Women's</x:t>
        </x:is>
      </x:c>
      <x:c r="C148" t="inlineStr">
        <x:is>
          <x:t xml:space="preserve">P.M. Betz</x:t>
        </x:is>
      </x:c>
      <x:c r="D148" t="inlineStr">
        <x:is>
          <x:t xml:space="preserve">USA</x:t>
        </x:is>
      </x:c>
      <x:c r="E148" t="n">
        <x:v>1</x:v>
      </x:c>
      <x:c r="G148" t="inlineStr">
        <x:is>
          <x:t xml:space="preserve">6-2, 6-4,</x:t>
        </x:is>
      </x:c>
      <x:c r="H148" t="inlineStr">
        <x:is>
          <x:t xml:space="preserve">A.L. Brough</x:t>
        </x:is>
      </x:c>
      <x:c r="I148" t="inlineStr">
        <x:is>
          <x:t xml:space="preserve">USA</x:t>
        </x:is>
      </x:c>
      <x:c r="J148" t="n">
        <x:v>3</x:v>
      </x:c>
    </x:row>
    <x:row r="149">
      <x:c r="A149" t="n">
        <x:v>1946</x:v>
      </x:c>
      <x:c r="B149" t="inlineStr">
        <x:is>
          <x:t xml:space="preserve">Men's</x:t>
        </x:is>
      </x:c>
      <x:c r="C149" t="inlineStr">
        <x:is>
          <x:t xml:space="preserve">Y.F.M. Petra</x:t>
        </x:is>
      </x:c>
      <x:c r="D149" t="inlineStr">
        <x:is>
          <x:t xml:space="preserve">FRA</x:t>
        </x:is>
      </x:c>
      <x:c r="E149" t="n">
        <x:v>5</x:v>
      </x:c>
      <x:c r="G149" t="inlineStr">
        <x:is>
          <x:t xml:space="preserve">6-2, 6-4, 7-9, 5-7, 6-4</x:t>
        </x:is>
      </x:c>
      <x:c r="H149" t="inlineStr">
        <x:is>
          <x:t xml:space="preserve">G.E. Brown</x:t>
        </x:is>
      </x:c>
      <x:c r="I149" t="inlineStr">
        <x:is>
          <x:t xml:space="preserve">AUS</x:t>
        </x:is>
      </x:c>
      <x:c r="J149" t="n">
        <x:v>3</x:v>
      </x:c>
    </x:row>
    <x:row r="150">
      <x:c r="A150" t="n">
        <x:v>1939</x:v>
      </x:c>
      <x:c r="B150" t="inlineStr">
        <x:is>
          <x:t xml:space="preserve">Women's</x:t>
        </x:is>
      </x:c>
      <x:c r="C150" t="inlineStr">
        <x:is>
          <x:t xml:space="preserve">A. Marble</x:t>
        </x:is>
      </x:c>
      <x:c r="D150" t="inlineStr">
        <x:is>
          <x:t xml:space="preserve">USA</x:t>
        </x:is>
      </x:c>
      <x:c r="E150" t="n">
        <x:v>1</x:v>
      </x:c>
      <x:c r="F150" t="n">
        <x:v>30</x:v>
      </x:c>
      <x:c r="G150" t="inlineStr">
        <x:is>
          <x:t xml:space="preserve">6-2, 6-0</x:t>
        </x:is>
      </x:c>
      <x:c r="H150" t="inlineStr">
        <x:is>
          <x:t xml:space="preserve">K.E. Stammers</x:t>
        </x:is>
      </x:c>
      <x:c r="I150" t="inlineStr">
        <x:is>
          <x:t xml:space="preserve">GBR</x:t>
        </x:is>
      </x:c>
      <x:c r="J150" t="n">
        <x:v>6</x:v>
      </x:c>
    </x:row>
    <x:row r="151">
      <x:c r="A151" t="n">
        <x:v>1939</x:v>
      </x:c>
      <x:c r="B151" t="inlineStr">
        <x:is>
          <x:t xml:space="preserve">Men's</x:t>
        </x:is>
      </x:c>
      <x:c r="C151" t="inlineStr">
        <x:is>
          <x:t xml:space="preserve">R.L. Riggs</x:t>
        </x:is>
      </x:c>
      <x:c r="D151" t="inlineStr">
        <x:is>
          <x:t xml:space="preserve">USA</x:t>
        </x:is>
      </x:c>
      <x:c r="E151" t="n">
        <x:v>2</x:v>
      </x:c>
      <x:c r="F151" t="n">
        <x:v>135</x:v>
      </x:c>
      <x:c r="G151" t="inlineStr">
        <x:is>
          <x:t xml:space="preserve">2-6, 8-6, 3-6, 6-3, 6-2</x:t>
        </x:is>
      </x:c>
      <x:c r="H151" t="inlineStr">
        <x:is>
          <x:t xml:space="preserve">E.T. Cooke</x:t>
        </x:is>
      </x:c>
      <x:c r="I151" t="inlineStr">
        <x:is>
          <x:t xml:space="preserve">USA</x:t>
        </x:is>
      </x:c>
      <x:c r="J151" t="n">
        <x:v>6</x:v>
      </x:c>
    </x:row>
    <x:row r="152">
      <x:c r="A152" t="n">
        <x:v>1938</x:v>
      </x:c>
      <x:c r="B152" t="inlineStr">
        <x:is>
          <x:t xml:space="preserve">Women's</x:t>
        </x:is>
      </x:c>
      <x:c r="C152" t="inlineStr">
        <x:is>
          <x:t xml:space="preserve">F.S. Moody</x:t>
        </x:is>
      </x:c>
      <x:c r="D152" t="inlineStr">
        <x:is>
          <x:t xml:space="preserve">USA</x:t>
        </x:is>
      </x:c>
      <x:c r="E152" t="n">
        <x:v>1</x:v>
      </x:c>
      <x:c r="G152" t="inlineStr">
        <x:is>
          <x:t xml:space="preserve">6-4, 6-0</x:t>
        </x:is>
      </x:c>
      <x:c r="H152" t="inlineStr">
        <x:is>
          <x:t xml:space="preserve">H.H. Jacobs</x:t>
        </x:is>
      </x:c>
      <x:c r="I152" t="inlineStr">
        <x:is>
          <x:t xml:space="preserve">USA</x:t>
        </x:is>
      </x:c>
    </x:row>
    <x:row r="153">
      <x:c r="A153" t="n">
        <x:v>1938</x:v>
      </x:c>
      <x:c r="B153" t="inlineStr">
        <x:is>
          <x:t xml:space="preserve">Men's</x:t>
        </x:is>
      </x:c>
      <x:c r="C153" t="inlineStr">
        <x:is>
          <x:t xml:space="preserve">J.D. Budge</x:t>
        </x:is>
      </x:c>
      <x:c r="D153" t="inlineStr">
        <x:is>
          <x:t xml:space="preserve">USA</x:t>
        </x:is>
      </x:c>
      <x:c r="E153" t="n">
        <x:v>1</x:v>
      </x:c>
      <x:c r="F153" t="n">
        <x:v>59</x:v>
      </x:c>
      <x:c r="G153" t="inlineStr">
        <x:is>
          <x:t xml:space="preserve">6-1, 6-0, 6-3</x:t>
        </x:is>
      </x:c>
      <x:c r="H153" t="inlineStr">
        <x:is>
          <x:t xml:space="preserve">H.W. Austin</x:t>
        </x:is>
      </x:c>
      <x:c r="I153" t="inlineStr">
        <x:is>
          <x:t xml:space="preserve">GBR</x:t>
        </x:is>
      </x:c>
      <x:c r="J153" t="n">
        <x:v>2</x:v>
      </x:c>
    </x:row>
    <x:row r="154">
      <x:c r="A154" t="n">
        <x:v>1937</x:v>
      </x:c>
      <x:c r="B154" t="inlineStr">
        <x:is>
          <x:t xml:space="preserve">Women's</x:t>
        </x:is>
      </x:c>
      <x:c r="C154" t="inlineStr">
        <x:is>
          <x:t xml:space="preserve">D.E. Round</x:t>
        </x:is>
      </x:c>
      <x:c r="D154" t="inlineStr">
        <x:is>
          <x:t xml:space="preserve">GBR</x:t>
        </x:is>
      </x:c>
      <x:c r="E154" t="n">
        <x:v>7</x:v>
      </x:c>
      <x:c r="F154" t="n">
        <x:v>60</x:v>
      </x:c>
      <x:c r="G154" t="inlineStr">
        <x:is>
          <x:t xml:space="preserve">6-2, 2-6, 7-5</x:t>
        </x:is>
      </x:c>
      <x:c r="H154" t="inlineStr">
        <x:is>
          <x:t xml:space="preserve">J. Jedrzejowska</x:t>
        </x:is>
      </x:c>
      <x:c r="I154" t="inlineStr">
        <x:is>
          <x:t xml:space="preserve">POL</x:t>
        </x:is>
      </x:c>
      <x:c r="J154" t="n">
        <x:v>4</x:v>
      </x:c>
    </x:row>
    <x:row r="155">
      <x:c r="A155" t="n">
        <x:v>1937</x:v>
      </x:c>
      <x:c r="B155" t="inlineStr">
        <x:is>
          <x:t xml:space="preserve">Men's</x:t>
        </x:is>
      </x:c>
      <x:c r="C155" t="inlineStr">
        <x:is>
          <x:t xml:space="preserve">J.D. Budge</x:t>
        </x:is>
      </x:c>
      <x:c r="D155" t="inlineStr">
        <x:is>
          <x:t xml:space="preserve">USA</x:t>
        </x:is>
      </x:c>
      <x:c r="E155" t="n">
        <x:v>1</x:v>
      </x:c>
      <x:c r="F155" t="n">
        <x:v>65</x:v>
      </x:c>
      <x:c r="G155" t="inlineStr">
        <x:is>
          <x:t xml:space="preserve">6-3, 6-4, 6-2</x:t>
        </x:is>
      </x:c>
      <x:c r="H155" t="inlineStr">
        <x:is>
          <x:t xml:space="preserve">G. von Cramm</x:t>
        </x:is>
      </x:c>
      <x:c r="I155" t="inlineStr">
        <x:is>
          <x:t xml:space="preserve">GER</x:t>
        </x:is>
      </x:c>
      <x:c r="J155" t="n">
        <x:v>2</x:v>
      </x:c>
    </x:row>
    <x:row r="156">
      <x:c r="A156" t="n">
        <x:v>1936</x:v>
      </x:c>
      <x:c r="B156" t="inlineStr">
        <x:is>
          <x:t xml:space="preserve">Women's</x:t>
        </x:is>
      </x:c>
      <x:c r="C156" t="inlineStr">
        <x:is>
          <x:t xml:space="preserve">H.H. Jacobs</x:t>
        </x:is>
      </x:c>
      <x:c r="D156" t="inlineStr">
        <x:is>
          <x:t xml:space="preserve">USA</x:t>
        </x:is>
      </x:c>
      <x:c r="E156" t="n">
        <x:v>2</x:v>
      </x:c>
      <x:c r="F156" t="n">
        <x:v>101</x:v>
      </x:c>
      <x:c r="G156" t="inlineStr">
        <x:is>
          <x:t xml:space="preserve">6-2, 4-6, 7-5</x:t>
        </x:is>
      </x:c>
      <x:c r="H156" t="inlineStr">
        <x:is>
          <x:t xml:space="preserve">S. Sperling</x:t>
        </x:is>
      </x:c>
      <x:c r="I156" t="inlineStr">
        <x:is>
          <x:t xml:space="preserve">GER</x:t>
        </x:is>
      </x:c>
      <x:c r="J156" t="n">
        <x:v>5</x:v>
      </x:c>
    </x:row>
    <x:row r="157">
      <x:c r="A157" t="n">
        <x:v>1936</x:v>
      </x:c>
      <x:c r="B157" t="inlineStr">
        <x:is>
          <x:t xml:space="preserve">Men's</x:t>
        </x:is>
      </x:c>
      <x:c r="C157" t="inlineStr">
        <x:is>
          <x:t xml:space="preserve">F.J. Perry</x:t>
        </x:is>
      </x:c>
      <x:c r="D157" t="inlineStr">
        <x:is>
          <x:t xml:space="preserve">GBR</x:t>
        </x:is>
      </x:c>
      <x:c r="E157" t="n">
        <x:v>1</x:v>
      </x:c>
      <x:c r="F157" t="n">
        <x:v>40</x:v>
      </x:c>
      <x:c r="G157" t="inlineStr">
        <x:is>
          <x:t xml:space="preserve">6-1, 6-1, 6-0</x:t>
        </x:is>
      </x:c>
      <x:c r="H157" t="inlineStr">
        <x:is>
          <x:t xml:space="preserve">G. von Cramm</x:t>
        </x:is>
      </x:c>
      <x:c r="I157" t="inlineStr">
        <x:is>
          <x:t xml:space="preserve">GER</x:t>
        </x:is>
      </x:c>
      <x:c r="J157" t="n">
        <x:v>2</x:v>
      </x:c>
    </x:row>
    <x:row r="158">
      <x:c r="A158" t="n">
        <x:v>1935</x:v>
      </x:c>
      <x:c r="B158" t="inlineStr">
        <x:is>
          <x:t xml:space="preserve">Women's</x:t>
        </x:is>
      </x:c>
      <x:c r="C158" t="inlineStr">
        <x:is>
          <x:t xml:space="preserve">F.S. Moody</x:t>
        </x:is>
      </x:c>
      <x:c r="D158" t="inlineStr">
        <x:is>
          <x:t xml:space="preserve">USA</x:t>
        </x:is>
      </x:c>
      <x:c r="E158" t="n">
        <x:v>4</x:v>
      </x:c>
      <x:c r="F158" t="n">
        <x:v>100</x:v>
      </x:c>
      <x:c r="G158" t="inlineStr">
        <x:is>
          <x:t xml:space="preserve">6-3, 3-6, 7-5</x:t>
        </x:is>
      </x:c>
      <x:c r="H158" t="inlineStr">
        <x:is>
          <x:t xml:space="preserve">H.H. Jacobs</x:t>
        </x:is>
      </x:c>
      <x:c r="I158" t="inlineStr">
        <x:is>
          <x:t xml:space="preserve">USA</x:t>
        </x:is>
      </x:c>
      <x:c r="J158" t="n">
        <x:v>3</x:v>
      </x:c>
    </x:row>
    <x:row r="159">
      <x:c r="A159" t="n">
        <x:v>1935</x:v>
      </x:c>
      <x:c r="B159" t="inlineStr">
        <x:is>
          <x:t xml:space="preserve">Men's</x:t>
        </x:is>
      </x:c>
      <x:c r="C159" t="inlineStr">
        <x:is>
          <x:t xml:space="preserve">F.J. Perry</x:t>
        </x:is>
      </x:c>
      <x:c r="D159" t="inlineStr">
        <x:is>
          <x:t xml:space="preserve">GBR</x:t>
        </x:is>
      </x:c>
      <x:c r="E159" t="n">
        <x:v>1</x:v>
      </x:c>
      <x:c r="F159" t="n">
        <x:v>80</x:v>
      </x:c>
      <x:c r="G159" t="inlineStr">
        <x:is>
          <x:t xml:space="preserve">6-2, 6-4, 6-4</x:t>
        </x:is>
      </x:c>
      <x:c r="H159" t="inlineStr">
        <x:is>
          <x:t xml:space="preserve">G. von Cramm</x:t>
        </x:is>
      </x:c>
      <x:c r="I159" t="inlineStr">
        <x:is>
          <x:t xml:space="preserve">GER</x:t>
        </x:is>
      </x:c>
      <x:c r="J159" t="n">
        <x:v>2</x:v>
      </x:c>
    </x:row>
    <x:row r="160">
      <x:c r="A160" t="n">
        <x:v>1934</x:v>
      </x:c>
      <x:c r="B160" t="inlineStr">
        <x:is>
          <x:t xml:space="preserve">Women's</x:t>
        </x:is>
      </x:c>
      <x:c r="C160" t="inlineStr">
        <x:is>
          <x:t xml:space="preserve">D.E. Round</x:t>
        </x:is>
      </x:c>
      <x:c r="D160" t="inlineStr">
        <x:is>
          <x:t xml:space="preserve">GBR</x:t>
        </x:is>
      </x:c>
      <x:c r="E160" t="n">
        <x:v>2</x:v>
      </x:c>
      <x:c r="G160" t="inlineStr">
        <x:is>
          <x:t xml:space="preserve">6-2, 5-7, 6-3</x:t>
        </x:is>
      </x:c>
      <x:c r="H160" t="inlineStr">
        <x:is>
          <x:t xml:space="preserve">H.H. Jacobs</x:t>
        </x:is>
      </x:c>
      <x:c r="I160" t="inlineStr">
        <x:is>
          <x:t xml:space="preserve">USA</x:t>
        </x:is>
      </x:c>
      <x:c r="J160" t="n">
        <x:v>1</x:v>
      </x:c>
    </x:row>
    <x:row r="161">
      <x:c r="A161" t="n">
        <x:v>1934</x:v>
      </x:c>
      <x:c r="B161" t="inlineStr">
        <x:is>
          <x:t xml:space="preserve">Men's</x:t>
        </x:is>
      </x:c>
      <x:c r="C161" t="inlineStr">
        <x:is>
          <x:t xml:space="preserve">F.J. Perry</x:t>
        </x:is>
      </x:c>
      <x:c r="D161" t="inlineStr">
        <x:is>
          <x:t xml:space="preserve">GBR</x:t>
        </x:is>
      </x:c>
      <x:c r="E161" t="n">
        <x:v>2</x:v>
      </x:c>
      <x:c r="F161" t="n">
        <x:v>72</x:v>
      </x:c>
      <x:c r="G161" t="inlineStr">
        <x:is>
          <x:t xml:space="preserve">6-3, 6-0, 7-5</x:t>
        </x:is>
      </x:c>
      <x:c r="H161" t="inlineStr">
        <x:is>
          <x:t xml:space="preserve">J.H. Crawford</x:t>
        </x:is>
      </x:c>
      <x:c r="I161" t="inlineStr">
        <x:is>
          <x:t xml:space="preserve">AUS</x:t>
        </x:is>
      </x:c>
      <x:c r="J161" t="n">
        <x:v>1</x:v>
      </x:c>
    </x:row>
    <x:row r="162">
      <x:c r="A162" t="n">
        <x:v>1933</x:v>
      </x:c>
      <x:c r="B162" t="inlineStr">
        <x:is>
          <x:t xml:space="preserve">Women's</x:t>
        </x:is>
      </x:c>
      <x:c r="C162" t="inlineStr">
        <x:is>
          <x:t xml:space="preserve">F.S. Moody</x:t>
        </x:is>
      </x:c>
      <x:c r="D162" t="inlineStr">
        <x:is>
          <x:t xml:space="preserve">USA</x:t>
        </x:is>
      </x:c>
      <x:c r="E162" t="n">
        <x:v>1</x:v>
      </x:c>
      <x:c r="F162" t="n">
        <x:v>120</x:v>
      </x:c>
      <x:c r="G162" t="inlineStr">
        <x:is>
          <x:t xml:space="preserve">6-4, 6-8, 6-3</x:t>
        </x:is>
      </x:c>
      <x:c r="H162" t="inlineStr">
        <x:is>
          <x:t xml:space="preserve">D.E. Round</x:t>
        </x:is>
      </x:c>
      <x:c r="I162" t="inlineStr">
        <x:is>
          <x:t xml:space="preserve">GBR</x:t>
        </x:is>
      </x:c>
      <x:c r="J162" t="n">
        <x:v>2</x:v>
      </x:c>
    </x:row>
    <x:row r="163">
      <x:c r="A163" t="n">
        <x:v>1933</x:v>
      </x:c>
      <x:c r="B163" t="inlineStr">
        <x:is>
          <x:t xml:space="preserve">Men's</x:t>
        </x:is>
      </x:c>
      <x:c r="C163" t="inlineStr">
        <x:is>
          <x:t xml:space="preserve">J.H. Crawford</x:t>
        </x:is>
      </x:c>
      <x:c r="D163" t="inlineStr">
        <x:is>
          <x:t xml:space="preserve">AUS</x:t>
        </x:is>
      </x:c>
      <x:c r="E163" t="n">
        <x:v>2</x:v>
      </x:c>
      <x:c r="F163" t="n">
        <x:v>120</x:v>
      </x:c>
      <x:c r="G163" t="inlineStr">
        <x:is>
          <x:t xml:space="preserve">4-6, 11-9, 6-2, 2-6, 6-4</x:t>
        </x:is>
      </x:c>
      <x:c r="H163" t="inlineStr">
        <x:is>
          <x:t xml:space="preserve">H.E. Vines</x:t>
        </x:is>
      </x:c>
      <x:c r="I163" t="inlineStr">
        <x:is>
          <x:t xml:space="preserve">USA</x:t>
        </x:is>
      </x:c>
      <x:c r="J163" t="n">
        <x:v>1</x:v>
      </x:c>
    </x:row>
    <x:row r="164">
      <x:c r="A164" t="n">
        <x:v>1932</x:v>
      </x:c>
      <x:c r="B164" t="inlineStr">
        <x:is>
          <x:t xml:space="preserve">Women's</x:t>
        </x:is>
      </x:c>
      <x:c r="C164" t="inlineStr">
        <x:is>
          <x:t xml:space="preserve">F.S. Moody</x:t>
        </x:is>
      </x:c>
      <x:c r="D164" t="inlineStr">
        <x:is>
          <x:t xml:space="preserve">USA</x:t>
        </x:is>
      </x:c>
      <x:c r="E164" t="n">
        <x:v>1</x:v>
      </x:c>
      <x:c r="F164" t="n">
        <x:v>50</x:v>
      </x:c>
      <x:c r="G164" t="inlineStr">
        <x:is>
          <x:t xml:space="preserve">6-3, 6-1</x:t>
        </x:is>
      </x:c>
      <x:c r="H164" t="inlineStr">
        <x:is>
          <x:t xml:space="preserve">H.H. Jacobs</x:t>
        </x:is>
      </x:c>
      <x:c r="I164" t="inlineStr">
        <x:is>
          <x:t xml:space="preserve">USA</x:t>
        </x:is>
      </x:c>
      <x:c r="J164" t="n">
        <x:v>5</x:v>
      </x:c>
    </x:row>
    <x:row r="165">
      <x:c r="A165" t="n">
        <x:v>1932</x:v>
      </x:c>
      <x:c r="B165" t="inlineStr">
        <x:is>
          <x:t xml:space="preserve">Men's</x:t>
        </x:is>
      </x:c>
      <x:c r="C165" t="inlineStr">
        <x:is>
          <x:t xml:space="preserve">H.E.Vines</x:t>
        </x:is>
      </x:c>
      <x:c r="D165" t="inlineStr">
        <x:is>
          <x:t xml:space="preserve">USA</x:t>
        </x:is>
      </x:c>
      <x:c r="E165" t="n">
        <x:v>2</x:v>
      </x:c>
      <x:c r="F165" t="n">
        <x:v>50</x:v>
      </x:c>
      <x:c r="G165" t="inlineStr">
        <x:is>
          <x:t xml:space="preserve">6-2, 6-2, 6-0</x:t>
        </x:is>
      </x:c>
      <x:c r="H165" t="inlineStr">
        <x:is>
          <x:t xml:space="preserve">H.W. Austin</x:t>
        </x:is>
      </x:c>
      <x:c r="I165" t="inlineStr">
        <x:is>
          <x:t xml:space="preserve">GBR</x:t>
        </x:is>
      </x:c>
      <x:c r="J165" t="n">
        <x:v>6</x:v>
      </x:c>
    </x:row>
    <x:row r="166">
      <x:c r="A166" t="n">
        <x:v>1931</x:v>
      </x:c>
      <x:c r="B166" t="inlineStr">
        <x:is>
          <x:t xml:space="preserve">Women's</x:t>
        </x:is>
      </x:c>
      <x:c r="C166" t="inlineStr">
        <x:is>
          <x:t xml:space="preserve">C. Aussem</x:t>
        </x:is>
      </x:c>
      <x:c r="D166" t="inlineStr">
        <x:is>
          <x:t xml:space="preserve">GER</x:t>
        </x:is>
      </x:c>
      <x:c r="E166" t="n">
        <x:v>1</x:v>
      </x:c>
      <x:c r="G166" t="inlineStr">
        <x:is>
          <x:t xml:space="preserve">6-2, 7-5</x:t>
        </x:is>
      </x:c>
      <x:c r="H166" t="inlineStr">
        <x:is>
          <x:t xml:space="preserve">H. Krahwinkel</x:t>
        </x:is>
      </x:c>
      <x:c r="I166" t="inlineStr">
        <x:is>
          <x:t xml:space="preserve">GER</x:t>
        </x:is>
      </x:c>
      <x:c r="J166" t="n">
        <x:v>4</x:v>
      </x:c>
    </x:row>
    <x:row r="167">
      <x:c r="A167" t="n">
        <x:v>1931</x:v>
      </x:c>
      <x:c r="B167" t="inlineStr">
        <x:is>
          <x:t xml:space="preserve">Men's</x:t>
        </x:is>
      </x:c>
      <x:c r="C167" t="inlineStr">
        <x:is>
          <x:t xml:space="preserve">S.B.B. Wood</x:t>
        </x:is>
      </x:c>
      <x:c r="D167" t="inlineStr">
        <x:is>
          <x:t xml:space="preserve">USA</x:t>
        </x:is>
      </x:c>
      <x:c r="E167" t="n">
        <x:v>7</x:v>
      </x:c>
      <x:c r="G167" t="inlineStr">
        <x:is>
          <x:t xml:space="preserve">walk over</x:t>
        </x:is>
      </x:c>
      <x:c r="H167" t="inlineStr">
        <x:is>
          <x:t xml:space="preserve">F.X. Shields</x:t>
        </x:is>
      </x:c>
      <x:c r="I167" t="inlineStr">
        <x:is>
          <x:t xml:space="preserve">USA</x:t>
        </x:is>
      </x:c>
      <x:c r="J167" t="n">
        <x:v>3</x:v>
      </x:c>
    </x:row>
    <x:row r="168">
      <x:c r="A168" t="n">
        <x:v>1930</x:v>
      </x:c>
      <x:c r="B168" t="inlineStr">
        <x:is>
          <x:t xml:space="preserve">Women's</x:t>
        </x:is>
      </x:c>
      <x:c r="C168" t="inlineStr">
        <x:is>
          <x:t xml:space="preserve">F.S. Moody</x:t>
        </x:is>
      </x:c>
      <x:c r="D168" t="inlineStr">
        <x:is>
          <x:t xml:space="preserve">USA</x:t>
        </x:is>
      </x:c>
      <x:c r="E168" t="n">
        <x:v>1</x:v>
      </x:c>
      <x:c r="G168" t="inlineStr">
        <x:is>
          <x:t xml:space="preserve">6-2, 6-2</x:t>
        </x:is>
      </x:c>
      <x:c r="H168" t="inlineStr">
        <x:is>
          <x:t xml:space="preserve">E.M. Ryan</x:t>
        </x:is>
      </x:c>
      <x:c r="I168" t="inlineStr">
        <x:is>
          <x:t xml:space="preserve">USA</x:t>
        </x:is>
      </x:c>
      <x:c r="J168" t="n">
        <x:v>8</x:v>
      </x:c>
    </x:row>
    <x:row r="169">
      <x:c r="A169" t="n">
        <x:v>1930</x:v>
      </x:c>
      <x:c r="B169" t="inlineStr">
        <x:is>
          <x:t xml:space="preserve">Men's</x:t>
        </x:is>
      </x:c>
      <x:c r="C169" t="inlineStr">
        <x:is>
          <x:t xml:space="preserve">W.T. Tilden</x:t>
        </x:is>
      </x:c>
      <x:c r="D169" t="inlineStr">
        <x:is>
          <x:t xml:space="preserve">USA</x:t>
        </x:is>
      </x:c>
      <x:c r="E169" t="n">
        <x:v>2</x:v>
      </x:c>
      <x:c r="F169" t="n">
        <x:v>70</x:v>
      </x:c>
      <x:c r="G169" t="inlineStr">
        <x:is>
          <x:t xml:space="preserve">6-3, 9-7, 6-4</x:t>
        </x:is>
      </x:c>
      <x:c r="H169" t="inlineStr">
        <x:is>
          <x:t xml:space="preserve">W.L. Allison</x:t>
        </x:is>
      </x:c>
      <x:c r="I169" t="inlineStr">
        <x:is>
          <x:t xml:space="preserve">USA</x:t>
        </x:is>
      </x:c>
      <x:c r="J169" t="inlineStr">
        <x:is>
          <x:t xml:space="preserve">U</x:t>
        </x:is>
      </x:c>
    </x:row>
    <x:row r="170">
      <x:c r="A170" t="n">
        <x:v>1929</x:v>
      </x:c>
      <x:c r="B170" t="inlineStr">
        <x:is>
          <x:t xml:space="preserve">Women's</x:t>
        </x:is>
      </x:c>
      <x:c r="C170" t="inlineStr">
        <x:is>
          <x:t xml:space="preserve">H.N. Wills</x:t>
        </x:is>
      </x:c>
      <x:c r="D170" t="inlineStr">
        <x:is>
          <x:t xml:space="preserve">USA</x:t>
        </x:is>
      </x:c>
      <x:c r="E170" t="n">
        <x:v>1</x:v>
      </x:c>
      <x:c r="G170" t="inlineStr">
        <x:is>
          <x:t xml:space="preserve">6-1, 6-2</x:t>
        </x:is>
      </x:c>
      <x:c r="H170" t="inlineStr">
        <x:is>
          <x:t xml:space="preserve">H.H. Jacobs</x:t>
        </x:is>
      </x:c>
      <x:c r="I170" t="inlineStr">
        <x:is>
          <x:t xml:space="preserve">USA</x:t>
        </x:is>
      </x:c>
      <x:c r="J170" t="n">
        <x:v>5</x:v>
      </x:c>
    </x:row>
    <x:row r="171">
      <x:c r="A171" t="n">
        <x:v>1929</x:v>
      </x:c>
      <x:c r="B171" t="inlineStr">
        <x:is>
          <x:t xml:space="preserve">Men's</x:t>
        </x:is>
      </x:c>
      <x:c r="C171" t="inlineStr">
        <x:is>
          <x:t xml:space="preserve">H.J. Cochet</x:t>
        </x:is>
      </x:c>
      <x:c r="D171" t="inlineStr">
        <x:is>
          <x:t xml:space="preserve">FRA</x:t>
        </x:is>
      </x:c>
      <x:c r="E171" t="n">
        <x:v>1</x:v>
      </x:c>
      <x:c r="F171" t="n">
        <x:v>60</x:v>
      </x:c>
      <x:c r="G171" t="inlineStr">
        <x:is>
          <x:t xml:space="preserve">6-4, 6-3, 6-4</x:t>
        </x:is>
      </x:c>
      <x:c r="H171" t="inlineStr">
        <x:is>
          <x:t xml:space="preserve">J.R. Borotra</x:t>
        </x:is>
      </x:c>
      <x:c r="I171" t="inlineStr">
        <x:is>
          <x:t xml:space="preserve">FRA</x:t>
        </x:is>
      </x:c>
      <x:c r="J171" t="n">
        <x:v>2</x:v>
      </x:c>
    </x:row>
    <x:row r="172">
      <x:c r="A172" t="n">
        <x:v>1928</x:v>
      </x:c>
      <x:c r="B172" t="inlineStr">
        <x:is>
          <x:t xml:space="preserve">Women's</x:t>
        </x:is>
      </x:c>
      <x:c r="C172" t="inlineStr">
        <x:is>
          <x:t xml:space="preserve">H.N. Wills</x:t>
        </x:is>
      </x:c>
      <x:c r="D172" t="inlineStr">
        <x:is>
          <x:t xml:space="preserve">USA</x:t>
        </x:is>
      </x:c>
      <x:c r="E172" t="n">
        <x:v>1</x:v>
      </x:c>
      <x:c r="G172" t="inlineStr">
        <x:is>
          <x:t xml:space="preserve">6-2, 6-3</x:t>
        </x:is>
      </x:c>
      <x:c r="H172" t="inlineStr">
        <x:is>
          <x:t xml:space="preserve">E.M. de Alvarez</x:t>
        </x:is>
      </x:c>
      <x:c r="I172" t="inlineStr">
        <x:is>
          <x:t xml:space="preserve">ESP</x:t>
        </x:is>
      </x:c>
      <x:c r="J172" t="n">
        <x:v>2</x:v>
      </x:c>
    </x:row>
    <x:row r="173">
      <x:c r="A173" t="n">
        <x:v>1928</x:v>
      </x:c>
      <x:c r="B173" t="inlineStr">
        <x:is>
          <x:t xml:space="preserve">Men's</x:t>
        </x:is>
      </x:c>
      <x:c r="C173" t="inlineStr">
        <x:is>
          <x:t xml:space="preserve">J.R. Lacoste</x:t>
        </x:is>
      </x:c>
      <x:c r="D173" t="inlineStr">
        <x:is>
          <x:t xml:space="preserve">FRA</x:t>
        </x:is>
      </x:c>
      <x:c r="E173" t="n">
        <x:v>2</x:v>
      </x:c>
      <x:c r="G173" t="inlineStr">
        <x:is>
          <x:t xml:space="preserve">6-1, 4-6, 6-4, 6-2</x:t>
        </x:is>
      </x:c>
      <x:c r="H173" t="inlineStr">
        <x:is>
          <x:t xml:space="preserve">H.J. Cochet</x:t>
        </x:is>
      </x:c>
      <x:c r="I173" t="inlineStr">
        <x:is>
          <x:t xml:space="preserve">FRA</x:t>
        </x:is>
      </x:c>
      <x:c r="J173" t="n">
        <x:v>1</x:v>
      </x:c>
    </x:row>
    <x:row r="174">
      <x:c r="A174" t="n">
        <x:v>1927</x:v>
      </x:c>
      <x:c r="B174" t="inlineStr">
        <x:is>
          <x:t xml:space="preserve">Women's</x:t>
        </x:is>
      </x:c>
      <x:c r="C174" t="inlineStr">
        <x:is>
          <x:t xml:space="preserve">H.N. Wills</x:t>
        </x:is>
      </x:c>
      <x:c r="D174" t="inlineStr">
        <x:is>
          <x:t xml:space="preserve">USA</x:t>
        </x:is>
      </x:c>
      <x:c r="E174" t="n">
        <x:v>1</x:v>
      </x:c>
      <x:c r="G174" t="inlineStr">
        <x:is>
          <x:t xml:space="preserve">6-2, 6-4</x:t>
        </x:is>
      </x:c>
      <x:c r="H174" t="inlineStr">
        <x:is>
          <x:t xml:space="preserve">E.M. de Alvarez</x:t>
        </x:is>
      </x:c>
      <x:c r="I174" t="inlineStr">
        <x:is>
          <x:t xml:space="preserve">ESP</x:t>
        </x:is>
      </x:c>
      <x:c r="J174" t="n">
        <x:v>4</x:v>
      </x:c>
    </x:row>
    <x:row r="175">
      <x:c r="A175" t="n">
        <x:v>1927</x:v>
      </x:c>
      <x:c r="B175" t="inlineStr">
        <x:is>
          <x:t xml:space="preserve">Men's</x:t>
        </x:is>
      </x:c>
      <x:c r="C175" t="inlineStr">
        <x:is>
          <x:t xml:space="preserve">H.J. Cochet</x:t>
        </x:is>
      </x:c>
      <x:c r="D175" t="inlineStr">
        <x:is>
          <x:t xml:space="preserve">FRA</x:t>
        </x:is>
      </x:c>
      <x:c r="E175" t="n">
        <x:v>4</x:v>
      </x:c>
      <x:c r="G175" t="inlineStr">
        <x:is>
          <x:t xml:space="preserve">4-6, 4-6, 6-3, 6-4, 7-5</x:t>
        </x:is>
      </x:c>
      <x:c r="H175" t="inlineStr">
        <x:is>
          <x:t xml:space="preserve">J.R. Borotra</x:t>
        </x:is>
      </x:c>
      <x:c r="I175" t="inlineStr">
        <x:is>
          <x:t xml:space="preserve">FRA</x:t>
        </x:is>
      </x:c>
      <x:c r="J175" t="n">
        <x:v>3</x:v>
      </x:c>
    </x:row>
    <x:row r="176">
      <x:c r="A176" t="n">
        <x:v>1926</x:v>
      </x:c>
      <x:c r="B176" t="inlineStr">
        <x:is>
          <x:t xml:space="preserve">Women's</x:t>
        </x:is>
      </x:c>
      <x:c r="C176" t="inlineStr">
        <x:is>
          <x:t xml:space="preserve">L.A. Godfree</x:t>
        </x:is>
      </x:c>
      <x:c r="D176" t="inlineStr">
        <x:is>
          <x:t xml:space="preserve">GBR</x:t>
        </x:is>
      </x:c>
      <x:c r="F176" t="n">
        <x:v>60</x:v>
      </x:c>
      <x:c r="G176" t="inlineStr">
        <x:is>
          <x:t xml:space="preserve">6-2, 4-6, 6-3</x:t>
        </x:is>
      </x:c>
      <x:c r="H176" t="inlineStr">
        <x:is>
          <x:t xml:space="preserve">E.M. de Alvarez</x:t>
        </x:is>
      </x:c>
      <x:c r="I176" t="inlineStr">
        <x:is>
          <x:t xml:space="preserve">ESP</x:t>
        </x:is>
      </x:c>
    </x:row>
    <x:row r="177">
      <x:c r="A177" t="n">
        <x:v>1926</x:v>
      </x:c>
      <x:c r="B177" t="inlineStr">
        <x:is>
          <x:t xml:space="preserve">Men's</x:t>
        </x:is>
      </x:c>
      <x:c r="C177" t="inlineStr">
        <x:is>
          <x:t xml:space="preserve">J.R. Borotra</x:t>
        </x:is>
      </x:c>
      <x:c r="D177" t="inlineStr">
        <x:is>
          <x:t xml:space="preserve">FRA</x:t>
        </x:is>
      </x:c>
      <x:c r="F177" t="n">
        <x:v>65</x:v>
      </x:c>
      <x:c r="G177" t="inlineStr">
        <x:is>
          <x:t xml:space="preserve">8-6, 6-1, 6-3</x:t>
        </x:is>
      </x:c>
      <x:c r="H177" t="inlineStr">
        <x:is>
          <x:t xml:space="preserve">H.O. Kinsey</x:t>
        </x:is>
      </x:c>
      <x:c r="I177" t="inlineStr">
        <x:is>
          <x:t xml:space="preserve">USA</x:t>
        </x:is>
      </x:c>
    </x:row>
    <x:row r="178">
      <x:c r="A178" t="n">
        <x:v>1925</x:v>
      </x:c>
      <x:c r="B178" t="inlineStr">
        <x:is>
          <x:t xml:space="preserve">Women's</x:t>
        </x:is>
      </x:c>
      <x:c r="C178" t="inlineStr">
        <x:is>
          <x:t xml:space="preserve">S.R.F. Lenglen</x:t>
        </x:is>
      </x:c>
      <x:c r="D178" t="inlineStr">
        <x:is>
          <x:t xml:space="preserve">FRA</x:t>
        </x:is>
      </x:c>
      <x:c r="F178" t="n">
        <x:v>25</x:v>
      </x:c>
      <x:c r="G178" t="inlineStr">
        <x:is>
          <x:t xml:space="preserve">6-2, 6-0</x:t>
        </x:is>
      </x:c>
      <x:c r="H178" t="inlineStr">
        <x:is>
          <x:t xml:space="preserve">J.C. Fry</x:t>
        </x:is>
      </x:c>
      <x:c r="I178" t="inlineStr">
        <x:is>
          <x:t xml:space="preserve">GBR</x:t>
        </x:is>
      </x:c>
    </x:row>
    <x:row r="179">
      <x:c r="A179" t="n">
        <x:v>1925</x:v>
      </x:c>
      <x:c r="B179" t="inlineStr">
        <x:is>
          <x:t xml:space="preserve">Men's</x:t>
        </x:is>
      </x:c>
      <x:c r="C179" t="inlineStr">
        <x:is>
          <x:t xml:space="preserve">J.R. Lacoste</x:t>
        </x:is>
      </x:c>
      <x:c r="D179" t="inlineStr">
        <x:is>
          <x:t xml:space="preserve">FRA</x:t>
        </x:is>
      </x:c>
      <x:c r="G179" t="inlineStr">
        <x:is>
          <x:t xml:space="preserve">6-3, 6-3, 4-6, 8-6</x:t>
        </x:is>
      </x:c>
      <x:c r="H179" t="inlineStr">
        <x:is>
          <x:t xml:space="preserve">J.R. Borotra</x:t>
        </x:is>
      </x:c>
      <x:c r="I179" t="inlineStr">
        <x:is>
          <x:t xml:space="preserve">FRA</x:t>
        </x:is>
      </x:c>
    </x:row>
    <x:row r="180">
      <x:c r="A180" t="n">
        <x:v>1924</x:v>
      </x:c>
      <x:c r="B180" t="inlineStr">
        <x:is>
          <x:t xml:space="preserve">Women's</x:t>
        </x:is>
      </x:c>
      <x:c r="C180" t="inlineStr">
        <x:is>
          <x:t xml:space="preserve">K. McKane</x:t>
        </x:is>
      </x:c>
      <x:c r="D180" t="inlineStr">
        <x:is>
          <x:t xml:space="preserve">GBR</x:t>
        </x:is>
      </x:c>
      <x:c r="F180" t="n">
        <x:v>75</x:v>
      </x:c>
      <x:c r="G180" t="inlineStr">
        <x:is>
          <x:t xml:space="preserve">4-6, 6-4, 6-4</x:t>
        </x:is>
      </x:c>
      <x:c r="H180" t="inlineStr">
        <x:is>
          <x:t xml:space="preserve">H.N. Wills</x:t>
        </x:is>
      </x:c>
      <x:c r="I180" t="inlineStr">
        <x:is>
          <x:t xml:space="preserve">USA</x:t>
        </x:is>
      </x:c>
    </x:row>
    <x:row r="181">
      <x:c r="A181" t="n">
        <x:v>1924</x:v>
      </x:c>
      <x:c r="B181" t="inlineStr">
        <x:is>
          <x:t xml:space="preserve">Men's</x:t>
        </x:is>
      </x:c>
      <x:c r="C181" t="inlineStr">
        <x:is>
          <x:t xml:space="preserve">J.R. Borotra</x:t>
        </x:is>
      </x:c>
      <x:c r="D181" t="inlineStr">
        <x:is>
          <x:t xml:space="preserve">FRA</x:t>
        </x:is>
      </x:c>
      <x:c r="F181" t="n">
        <x:v>80</x:v>
      </x:c>
      <x:c r="G181" t="inlineStr">
        <x:is>
          <x:t xml:space="preserve">6-1, 3-6, 6-1, 3-6, 6-4</x:t>
        </x:is>
      </x:c>
      <x:c r="H181" t="inlineStr">
        <x:is>
          <x:t xml:space="preserve">J.R. Lacoste</x:t>
        </x:is>
      </x:c>
      <x:c r="I181" t="inlineStr">
        <x:is>
          <x:t xml:space="preserve">FRA</x:t>
        </x:is>
      </x:c>
    </x:row>
    <x:row r="182">
      <x:c r="A182" t="n">
        <x:v>1923</x:v>
      </x:c>
      <x:c r="B182" t="inlineStr">
        <x:is>
          <x:t xml:space="preserve">Women's</x:t>
        </x:is>
      </x:c>
      <x:c r="C182" t="inlineStr">
        <x:is>
          <x:t xml:space="preserve">S.R.F. Lenglen</x:t>
        </x:is>
      </x:c>
      <x:c r="D182" t="inlineStr">
        <x:is>
          <x:t xml:space="preserve">FRA</x:t>
        </x:is>
      </x:c>
      <x:c r="G182" t="inlineStr">
        <x:is>
          <x:t xml:space="preserve">6-2, 6-2</x:t>
        </x:is>
      </x:c>
      <x:c r="H182" t="inlineStr">
        <x:is>
          <x:t xml:space="preserve">K. McKane</x:t>
        </x:is>
      </x:c>
      <x:c r="I182" t="inlineStr">
        <x:is>
          <x:t xml:space="preserve">GBR</x:t>
        </x:is>
      </x:c>
    </x:row>
    <x:row r="183">
      <x:c r="A183" t="n">
        <x:v>1923</x:v>
      </x:c>
      <x:c r="B183" t="inlineStr">
        <x:is>
          <x:t xml:space="preserve">Men's</x:t>
        </x:is>
      </x:c>
      <x:c r="C183" t="inlineStr">
        <x:is>
          <x:t xml:space="preserve">W. M. Johnston</x:t>
        </x:is>
      </x:c>
      <x:c r="D183" t="inlineStr">
        <x:is>
          <x:t xml:space="preserve">USA</x:t>
        </x:is>
      </x:c>
      <x:c r="F183" t="n">
        <x:v>46</x:v>
      </x:c>
      <x:c r="G183" t="inlineStr">
        <x:is>
          <x:t xml:space="preserve">6-0, 6-3, 6-1</x:t>
        </x:is>
      </x:c>
      <x:c r="H183" t="inlineStr">
        <x:is>
          <x:t xml:space="preserve">F.T. Hunter</x:t>
        </x:is>
      </x:c>
      <x:c r="I183" t="inlineStr">
        <x:is>
          <x:t xml:space="preserve">USA</x:t>
        </x:is>
      </x:c>
    </x:row>
    <x:row r="184">
      <x:c r="A184" t="n">
        <x:v>1922</x:v>
      </x:c>
      <x:c r="B184" t="inlineStr">
        <x:is>
          <x:t xml:space="preserve">Women's</x:t>
        </x:is>
      </x:c>
      <x:c r="C184" t="inlineStr">
        <x:is>
          <x:t xml:space="preserve">S.R.F. Lenglen</x:t>
        </x:is>
      </x:c>
      <x:c r="D184" t="inlineStr">
        <x:is>
          <x:t xml:space="preserve">FRA</x:t>
        </x:is>
      </x:c>
      <x:c r="F184" t="n">
        <x:v>23</x:v>
      </x:c>
      <x:c r="G184" t="inlineStr">
        <x:is>
          <x:t xml:space="preserve">6-2, 6-0</x:t>
        </x:is>
      </x:c>
      <x:c r="H184" t="inlineStr">
        <x:is>
          <x:t xml:space="preserve">F.I. Mallory</x:t>
        </x:is>
      </x:c>
      <x:c r="I184" t="inlineStr">
        <x:is>
          <x:t xml:space="preserve">USA</x:t>
        </x:is>
      </x:c>
    </x:row>
    <x:row r="185">
      <x:c r="A185" t="n">
        <x:v>1922</x:v>
      </x:c>
      <x:c r="B185" t="inlineStr">
        <x:is>
          <x:t xml:space="preserve">Men's</x:t>
        </x:is>
      </x:c>
      <x:c r="C185" t="inlineStr">
        <x:is>
          <x:t xml:space="preserve">G.L. Patterson</x:t>
        </x:is>
      </x:c>
      <x:c r="D185" t="inlineStr">
        <x:is>
          <x:t xml:space="preserve">AUS</x:t>
        </x:is>
      </x:c>
      <x:c r="G185" t="inlineStr">
        <x:is>
          <x:t xml:space="preserve">6-3, 6-4, 6-2</x:t>
        </x:is>
      </x:c>
      <x:c r="H185" t="inlineStr">
        <x:is>
          <x:t xml:space="preserve">R. Lycett</x:t>
        </x:is>
      </x:c>
      <x:c r="I185" t="inlineStr">
        <x:is>
          <x:t xml:space="preserve">GBR</x:t>
        </x:is>
      </x:c>
    </x:row>
    <x:row r="186">
      <x:c r="A186" t="n">
        <x:v>1921</x:v>
      </x:c>
      <x:c r="B186" t="inlineStr">
        <x:is>
          <x:t xml:space="preserve">Women's</x:t>
        </x:is>
      </x:c>
      <x:c r="C186" t="inlineStr">
        <x:is>
          <x:t xml:space="preserve">S.R.F. Lenglen</x:t>
        </x:is>
      </x:c>
      <x:c r="D186" t="inlineStr">
        <x:is>
          <x:t xml:space="preserve">FRA</x:t>
        </x:is>
      </x:c>
      <x:c r="G186" t="inlineStr">
        <x:is>
          <x:t xml:space="preserve">6-2, 6-0</x:t>
        </x:is>
      </x:c>
      <x:c r="H186" t="inlineStr">
        <x:is>
          <x:t xml:space="preserve">E.M. Ryan</x:t>
        </x:is>
      </x:c>
      <x:c r="I186" t="inlineStr">
        <x:is>
          <x:t xml:space="preserve">USA</x:t>
        </x:is>
      </x:c>
    </x:row>
    <x:row r="187">
      <x:c r="A187" t="n">
        <x:v>1921</x:v>
      </x:c>
      <x:c r="B187" t="inlineStr">
        <x:is>
          <x:t xml:space="preserve">Men's</x:t>
        </x:is>
      </x:c>
      <x:c r="C187" t="inlineStr">
        <x:is>
          <x:t xml:space="preserve">W.T. Tilden</x:t>
        </x:is>
      </x:c>
      <x:c r="D187" t="inlineStr">
        <x:is>
          <x:t xml:space="preserve">USA</x:t>
        </x:is>
      </x:c>
      <x:c r="G187" t="inlineStr">
        <x:is>
          <x:t xml:space="preserve">4-6, 2-6, 6-1, 6-0, 7-5</x:t>
        </x:is>
      </x:c>
      <x:c r="H187" t="inlineStr">
        <x:is>
          <x:t xml:space="preserve">B.I.C. Norton</x:t>
        </x:is>
      </x:c>
      <x:c r="I187" t="inlineStr">
        <x:is>
          <x:t xml:space="preserve">RSA</x:t>
        </x:is>
      </x:c>
    </x:row>
    <x:row r="188">
      <x:c r="A188" t="n">
        <x:v>1920</x:v>
      </x:c>
      <x:c r="B188" t="inlineStr">
        <x:is>
          <x:t xml:space="preserve">Women's</x:t>
        </x:is>
      </x:c>
      <x:c r="C188" t="inlineStr">
        <x:is>
          <x:t xml:space="preserve">S.R.F. Lenglen</x:t>
        </x:is>
      </x:c>
      <x:c r="D188" t="inlineStr">
        <x:is>
          <x:t xml:space="preserve">FRA</x:t>
        </x:is>
      </x:c>
      <x:c r="G188" t="inlineStr">
        <x:is>
          <x:t xml:space="preserve">6-3, 6-0</x:t>
        </x:is>
      </x:c>
      <x:c r="H188" t="inlineStr">
        <x:is>
          <x:t xml:space="preserve">R.L. Chambers</x:t>
        </x:is>
      </x:c>
      <x:c r="I188" t="inlineStr">
        <x:is>
          <x:t xml:space="preserve">GBR</x:t>
        </x:is>
      </x:c>
    </x:row>
    <x:row r="189">
      <x:c r="A189" t="n">
        <x:v>1920</x:v>
      </x:c>
      <x:c r="B189" t="inlineStr">
        <x:is>
          <x:t xml:space="preserve">Men's</x:t>
        </x:is>
      </x:c>
      <x:c r="C189" t="inlineStr">
        <x:is>
          <x:t xml:space="preserve">W.T. Tilden</x:t>
        </x:is>
      </x:c>
      <x:c r="D189" t="inlineStr">
        <x:is>
          <x:t xml:space="preserve">USA</x:t>
        </x:is>
      </x:c>
      <x:c r="G189" t="inlineStr">
        <x:is>
          <x:t xml:space="preserve">2-6, 6-3, 6-2, 6-4</x:t>
        </x:is>
      </x:c>
      <x:c r="H189" t="inlineStr">
        <x:is>
          <x:t xml:space="preserve">G.L. Patterson</x:t>
        </x:is>
      </x:c>
      <x:c r="I189" t="inlineStr">
        <x:is>
          <x:t xml:space="preserve">AUS</x:t>
        </x:is>
      </x:c>
    </x:row>
    <x:row r="190">
      <x:c r="A190" t="n">
        <x:v>1919</x:v>
      </x:c>
      <x:c r="B190" t="inlineStr">
        <x:is>
          <x:t xml:space="preserve">Women's</x:t>
        </x:is>
      </x:c>
      <x:c r="C190" t="inlineStr">
        <x:is>
          <x:t xml:space="preserve">S.R.F. Lenglen</x:t>
        </x:is>
      </x:c>
      <x:c r="D190" t="inlineStr">
        <x:is>
          <x:t xml:space="preserve">FRA</x:t>
        </x:is>
      </x:c>
      <x:c r="F190" t="n">
        <x:v>125</x:v>
      </x:c>
      <x:c r="G190" t="inlineStr">
        <x:is>
          <x:t xml:space="preserve">10-8, 4-6, 9-7</x:t>
        </x:is>
      </x:c>
      <x:c r="H190" t="inlineStr">
        <x:is>
          <x:t xml:space="preserve">R.L. Chambers</x:t>
        </x:is>
      </x:c>
      <x:c r="I190" t="inlineStr">
        <x:is>
          <x:t xml:space="preserve">GBR</x:t>
        </x:is>
      </x:c>
    </x:row>
    <x:row r="191">
      <x:c r="A191" t="n">
        <x:v>1919</x:v>
      </x:c>
      <x:c r="B191" t="inlineStr">
        <x:is>
          <x:t xml:space="preserve">Men's</x:t>
        </x:is>
      </x:c>
      <x:c r="C191" t="inlineStr">
        <x:is>
          <x:t xml:space="preserve">G.L. Patterson</x:t>
        </x:is>
      </x:c>
      <x:c r="D191" t="inlineStr">
        <x:is>
          <x:t xml:space="preserve">AUS</x:t>
        </x:is>
      </x:c>
      <x:c r="G191" t="inlineStr">
        <x:is>
          <x:t xml:space="preserve">6-3, 7-5, 6-2</x:t>
        </x:is>
      </x:c>
      <x:c r="H191" t="inlineStr">
        <x:is>
          <x:t xml:space="preserve">N.E. Brookes</x:t>
        </x:is>
      </x:c>
      <x:c r="I191" t="inlineStr">
        <x:is>
          <x:t xml:space="preserve">AUS</x:t>
        </x:is>
      </x:c>
    </x:row>
    <x:row r="192">
      <x:c r="A192" t="n">
        <x:v>1914</x:v>
      </x:c>
      <x:c r="B192" t="inlineStr">
        <x:is>
          <x:t xml:space="preserve">Women's</x:t>
        </x:is>
      </x:c>
      <x:c r="C192" t="inlineStr">
        <x:is>
          <x:t xml:space="preserve">R.L. Chambers</x:t>
        </x:is>
      </x:c>
      <x:c r="D192" t="inlineStr">
        <x:is>
          <x:t xml:space="preserve">GBR</x:t>
        </x:is>
      </x:c>
      <x:c r="G192" t="inlineStr">
        <x:is>
          <x:t xml:space="preserve">7-5, 6-4</x:t>
        </x:is>
      </x:c>
      <x:c r="H192" t="inlineStr">
        <x:is>
          <x:t xml:space="preserve">D.T.R. Larcombe</x:t>
        </x:is>
      </x:c>
      <x:c r="I192" t="inlineStr">
        <x:is>
          <x:t xml:space="preserve">GBR</x:t>
        </x:is>
      </x:c>
    </x:row>
    <x:row r="193">
      <x:c r="A193" t="n">
        <x:v>1914</x:v>
      </x:c>
      <x:c r="B193" t="inlineStr">
        <x:is>
          <x:t xml:space="preserve">Men's</x:t>
        </x:is>
      </x:c>
      <x:c r="C193" t="inlineStr">
        <x:is>
          <x:t xml:space="preserve">N.E. Brookes</x:t>
        </x:is>
      </x:c>
      <x:c r="D193" t="inlineStr">
        <x:is>
          <x:t xml:space="preserve">AUS</x:t>
        </x:is>
      </x:c>
      <x:c r="G193" t="inlineStr">
        <x:is>
          <x:t xml:space="preserve">6-4, 6-4, 7-5</x:t>
        </x:is>
      </x:c>
      <x:c r="H193" t="inlineStr">
        <x:is>
          <x:t xml:space="preserve">A.F. Wilding</x:t>
        </x:is>
      </x:c>
      <x:c r="I193" t="inlineStr">
        <x:is>
          <x:t xml:space="preserve">NZL</x:t>
        </x:is>
      </x:c>
    </x:row>
    <x:row r="194">
      <x:c r="A194" t="n">
        <x:v>1913</x:v>
      </x:c>
      <x:c r="B194" t="inlineStr">
        <x:is>
          <x:t xml:space="preserve">Women's</x:t>
        </x:is>
      </x:c>
      <x:c r="C194" t="inlineStr">
        <x:is>
          <x:t xml:space="preserve">R.L. Chambers</x:t>
        </x:is>
      </x:c>
      <x:c r="D194" t="inlineStr">
        <x:is>
          <x:t xml:space="preserve">GBR</x:t>
        </x:is>
      </x:c>
      <x:c r="G194" t="inlineStr">
        <x:is>
          <x:t xml:space="preserve">6-0, 6-4</x:t>
        </x:is>
      </x:c>
      <x:c r="H194" t="inlineStr">
        <x:is>
          <x:t xml:space="preserve">R.J. McNair</x:t>
        </x:is>
      </x:c>
      <x:c r="I194" t="inlineStr">
        <x:is>
          <x:t xml:space="preserve">GBR</x:t>
        </x:is>
      </x:c>
    </x:row>
    <x:row r="195">
      <x:c r="A195" t="n">
        <x:v>1913</x:v>
      </x:c>
      <x:c r="B195" t="inlineStr">
        <x:is>
          <x:t xml:space="preserve">Men's</x:t>
        </x:is>
      </x:c>
      <x:c r="C195" t="inlineStr">
        <x:is>
          <x:t xml:space="preserve">A.F. Wilding</x:t>
        </x:is>
      </x:c>
      <x:c r="D195" t="inlineStr">
        <x:is>
          <x:t xml:space="preserve">NZL</x:t>
        </x:is>
      </x:c>
      <x:c r="G195" t="inlineStr">
        <x:is>
          <x:t xml:space="preserve">8-6, 6-3, 10-8</x:t>
        </x:is>
      </x:c>
      <x:c r="H195" t="inlineStr">
        <x:is>
          <x:t xml:space="preserve">M.E. McLoughlin</x:t>
        </x:is>
      </x:c>
      <x:c r="I195" t="inlineStr">
        <x:is>
          <x:t xml:space="preserve">USA</x:t>
        </x:is>
      </x:c>
    </x:row>
    <x:row r="196">
      <x:c r="A196" t="n">
        <x:v>1912</x:v>
      </x:c>
      <x:c r="B196" t="inlineStr">
        <x:is>
          <x:t xml:space="preserve">Women's</x:t>
        </x:is>
      </x:c>
      <x:c r="C196" t="inlineStr">
        <x:is>
          <x:t xml:space="preserve">D.T.R. Larcombe</x:t>
        </x:is>
      </x:c>
      <x:c r="D196" t="inlineStr">
        <x:is>
          <x:t xml:space="preserve">GBR</x:t>
        </x:is>
      </x:c>
      <x:c r="G196" t="inlineStr">
        <x:is>
          <x:t xml:space="preserve">6-3, 6-1</x:t>
        </x:is>
      </x:c>
      <x:c r="H196" t="inlineStr">
        <x:is>
          <x:t xml:space="preserve">A. Sterry</x:t>
        </x:is>
      </x:c>
      <x:c r="I196" t="inlineStr">
        <x:is>
          <x:t xml:space="preserve">GBR</x:t>
        </x:is>
      </x:c>
    </x:row>
    <x:row r="197">
      <x:c r="A197" t="n">
        <x:v>1912</x:v>
      </x:c>
      <x:c r="B197" t="inlineStr">
        <x:is>
          <x:t xml:space="preserve">Men's</x:t>
        </x:is>
      </x:c>
      <x:c r="C197" t="inlineStr">
        <x:is>
          <x:t xml:space="preserve">A.F. Wilding</x:t>
        </x:is>
      </x:c>
      <x:c r="D197" t="inlineStr">
        <x:is>
          <x:t xml:space="preserve">NZL</x:t>
        </x:is>
      </x:c>
      <x:c r="G197" t="inlineStr">
        <x:is>
          <x:t xml:space="preserve">6-4, 6-4, 4-6, 6-4</x:t>
        </x:is>
      </x:c>
      <x:c r="H197" t="inlineStr">
        <x:is>
          <x:t xml:space="preserve">A.W. Gore</x:t>
        </x:is>
      </x:c>
      <x:c r="I197" t="inlineStr">
        <x:is>
          <x:t xml:space="preserve">GBR</x:t>
        </x:is>
      </x:c>
    </x:row>
    <x:row r="198">
      <x:c r="A198" t="n">
        <x:v>1911</x:v>
      </x:c>
      <x:c r="B198" t="inlineStr">
        <x:is>
          <x:t xml:space="preserve">Women's</x:t>
        </x:is>
      </x:c>
      <x:c r="C198" t="inlineStr">
        <x:is>
          <x:t xml:space="preserve">R.L. Chambers</x:t>
        </x:is>
      </x:c>
      <x:c r="D198" t="inlineStr">
        <x:is>
          <x:t xml:space="preserve">GBR</x:t>
        </x:is>
      </x:c>
      <x:c r="F198" t="n">
        <x:v>25</x:v>
      </x:c>
      <x:c r="G198" t="inlineStr">
        <x:is>
          <x:t xml:space="preserve">6-0, 6-0</x:t>
        </x:is>
      </x:c>
      <x:c r="H198" t="inlineStr">
        <x:is>
          <x:t xml:space="preserve">P.D.H. Boothby</x:t>
        </x:is>
      </x:c>
      <x:c r="I198" t="inlineStr">
        <x:is>
          <x:t xml:space="preserve">GBR</x:t>
        </x:is>
      </x:c>
    </x:row>
    <x:row r="199">
      <x:c r="A199" t="n">
        <x:v>1911</x:v>
      </x:c>
      <x:c r="B199" t="inlineStr">
        <x:is>
          <x:t xml:space="preserve">Men's</x:t>
        </x:is>
      </x:c>
      <x:c r="C199" t="inlineStr">
        <x:is>
          <x:t xml:space="preserve">A.F. Wilding</x:t>
        </x:is>
      </x:c>
      <x:c r="D199" t="inlineStr">
        <x:is>
          <x:t xml:space="preserve">NZL</x:t>
        </x:is>
      </x:c>
      <x:c r="G199" t="inlineStr">
        <x:is>
          <x:t xml:space="preserve">6-4, 4-6, 2-6, 6-2, retd</x:t>
        </x:is>
      </x:c>
      <x:c r="H199" t="inlineStr">
        <x:is>
          <x:t xml:space="preserve">H.R. Barrett</x:t>
        </x:is>
      </x:c>
      <x:c r="I199" t="inlineStr">
        <x:is>
          <x:t xml:space="preserve">GBR</x:t>
        </x:is>
      </x:c>
    </x:row>
    <x:row r="200">
      <x:c r="A200" t="n">
        <x:v>1910</x:v>
      </x:c>
      <x:c r="B200" t="inlineStr">
        <x:is>
          <x:t xml:space="preserve">Women's</x:t>
        </x:is>
      </x:c>
      <x:c r="C200" t="inlineStr">
        <x:is>
          <x:t xml:space="preserve">R.L. Chambers</x:t>
        </x:is>
      </x:c>
      <x:c r="D200" t="inlineStr">
        <x:is>
          <x:t xml:space="preserve">GBR</x:t>
        </x:is>
      </x:c>
      <x:c r="G200" t="inlineStr">
        <x:is>
          <x:t xml:space="preserve">6-2, 6-2</x:t>
        </x:is>
      </x:c>
      <x:c r="H200" t="inlineStr">
        <x:is>
          <x:t xml:space="preserve">P.D.H. Boothby</x:t>
        </x:is>
      </x:c>
      <x:c r="I200" t="inlineStr">
        <x:is>
          <x:t xml:space="preserve">GBR</x:t>
        </x:is>
      </x:c>
    </x:row>
    <x:row r="201">
      <x:c r="A201" t="n">
        <x:v>1910</x:v>
      </x:c>
      <x:c r="B201" t="inlineStr">
        <x:is>
          <x:t xml:space="preserve">Men's</x:t>
        </x:is>
      </x:c>
      <x:c r="C201" t="inlineStr">
        <x:is>
          <x:t xml:space="preserve">A.F. Wilding</x:t>
        </x:is>
      </x:c>
      <x:c r="D201" t="inlineStr">
        <x:is>
          <x:t xml:space="preserve">NZL</x:t>
        </x:is>
      </x:c>
      <x:c r="G201" t="inlineStr">
        <x:is>
          <x:t xml:space="preserve">6-4, 7-5, 4-6, 6-2</x:t>
        </x:is>
      </x:c>
      <x:c r="H201" t="inlineStr">
        <x:is>
          <x:t xml:space="preserve">A.W. Gore</x:t>
        </x:is>
      </x:c>
      <x:c r="I201" t="inlineStr">
        <x:is>
          <x:t xml:space="preserve">GBR</x:t>
        </x:is>
      </x:c>
    </x:row>
    <x:row r="202">
      <x:c r="A202" t="n">
        <x:v>1909</x:v>
      </x:c>
      <x:c r="B202" t="inlineStr">
        <x:is>
          <x:t xml:space="preserve">Women's</x:t>
        </x:is>
      </x:c>
      <x:c r="C202" t="inlineStr">
        <x:is>
          <x:t xml:space="preserve">P.D.H. Boothby</x:t>
        </x:is>
      </x:c>
      <x:c r="D202" t="inlineStr">
        <x:is>
          <x:t xml:space="preserve">GBR</x:t>
        </x:is>
      </x:c>
      <x:c r="G202" t="inlineStr">
        <x:is>
          <x:t xml:space="preserve">6-4, 4-6, 8-6</x:t>
        </x:is>
      </x:c>
      <x:c r="H202" t="inlineStr">
        <x:is>
          <x:t xml:space="preserve">A.M. Morton</x:t>
        </x:is>
      </x:c>
      <x:c r="I202" t="inlineStr">
        <x:is>
          <x:t xml:space="preserve">GBR</x:t>
        </x:is>
      </x:c>
    </x:row>
    <x:row r="203">
      <x:c r="A203" t="n">
        <x:v>1909</x:v>
      </x:c>
      <x:c r="B203" t="inlineStr">
        <x:is>
          <x:t xml:space="preserve">Men's</x:t>
        </x:is>
      </x:c>
      <x:c r="C203" t="inlineStr">
        <x:is>
          <x:t xml:space="preserve">A.W. Gore</x:t>
        </x:is>
      </x:c>
      <x:c r="D203" t="inlineStr">
        <x:is>
          <x:t xml:space="preserve">GBR</x:t>
        </x:is>
      </x:c>
      <x:c r="F203" t="n">
        <x:v>95</x:v>
      </x:c>
      <x:c r="G203" t="inlineStr">
        <x:is>
          <x:t xml:space="preserve">6-8, 1-6, 6-2, 6-2, 6-2</x:t>
        </x:is>
      </x:c>
      <x:c r="H203" t="inlineStr">
        <x:is>
          <x:t xml:space="preserve">M.J.G. Ritchie</x:t>
        </x:is>
      </x:c>
      <x:c r="I203" t="inlineStr">
        <x:is>
          <x:t xml:space="preserve">GBR</x:t>
        </x:is>
      </x:c>
    </x:row>
    <x:row r="204">
      <x:c r="A204" t="n">
        <x:v>1908</x:v>
      </x:c>
      <x:c r="B204" t="inlineStr">
        <x:is>
          <x:t xml:space="preserve">Women's</x:t>
        </x:is>
      </x:c>
      <x:c r="C204" t="inlineStr">
        <x:is>
          <x:t xml:space="preserve">A. Sterry</x:t>
        </x:is>
      </x:c>
      <x:c r="D204" t="inlineStr">
        <x:is>
          <x:t xml:space="preserve">GBR</x:t>
        </x:is>
      </x:c>
      <x:c r="G204" t="inlineStr">
        <x:is>
          <x:t xml:space="preserve">6-4, 6-4</x:t>
        </x:is>
      </x:c>
      <x:c r="H204" t="inlineStr">
        <x:is>
          <x:t xml:space="preserve">A.M. Morton</x:t>
        </x:is>
      </x:c>
      <x:c r="I204" t="inlineStr">
        <x:is>
          <x:t xml:space="preserve">GBR</x:t>
        </x:is>
      </x:c>
    </x:row>
    <x:row r="205">
      <x:c r="A205" t="n">
        <x:v>1908</x:v>
      </x:c>
      <x:c r="B205" t="inlineStr">
        <x:is>
          <x:t xml:space="preserve">Men's</x:t>
        </x:is>
      </x:c>
      <x:c r="C205" t="inlineStr">
        <x:is>
          <x:t xml:space="preserve">A.W. Gore</x:t>
        </x:is>
      </x:c>
      <x:c r="D205" t="inlineStr">
        <x:is>
          <x:t xml:space="preserve">GBR</x:t>
        </x:is>
      </x:c>
      <x:c r="G205" t="inlineStr">
        <x:is>
          <x:t xml:space="preserve">6-3, 6-2, 4-6, 3-6, 6-4</x:t>
        </x:is>
      </x:c>
      <x:c r="H205" t="inlineStr">
        <x:is>
          <x:t xml:space="preserve">H.R. Barrett</x:t>
        </x:is>
      </x:c>
      <x:c r="I205" t="inlineStr">
        <x:is>
          <x:t xml:space="preserve">GBR</x:t>
        </x:is>
      </x:c>
    </x:row>
    <x:row r="206">
      <x:c r="A206" t="n">
        <x:v>1907</x:v>
      </x:c>
      <x:c r="B206" t="inlineStr">
        <x:is>
          <x:t xml:space="preserve">Women's</x:t>
        </x:is>
      </x:c>
      <x:c r="C206" t="inlineStr">
        <x:is>
          <x:t xml:space="preserve">M.G. Sutton</x:t>
        </x:is>
      </x:c>
      <x:c r="D206" t="inlineStr">
        <x:is>
          <x:t xml:space="preserve">USA</x:t>
        </x:is>
      </x:c>
      <x:c r="G206" t="inlineStr">
        <x:is>
          <x:t xml:space="preserve">6-1, 6-4</x:t>
        </x:is>
      </x:c>
      <x:c r="H206" t="inlineStr">
        <x:is>
          <x:t xml:space="preserve">R.L. Chambers</x:t>
        </x:is>
      </x:c>
      <x:c r="I206" t="inlineStr">
        <x:is>
          <x:t xml:space="preserve">GBR</x:t>
        </x:is>
      </x:c>
    </x:row>
    <x:row r="207">
      <x:c r="A207" t="n">
        <x:v>1907</x:v>
      </x:c>
      <x:c r="B207" t="inlineStr">
        <x:is>
          <x:t xml:space="preserve">Men's</x:t>
        </x:is>
      </x:c>
      <x:c r="C207" t="inlineStr">
        <x:is>
          <x:t xml:space="preserve">N.E. Brookes</x:t>
        </x:is>
      </x:c>
      <x:c r="D207" t="inlineStr">
        <x:is>
          <x:t xml:space="preserve">AUS</x:t>
        </x:is>
      </x:c>
      <x:c r="G207" t="inlineStr">
        <x:is>
          <x:t xml:space="preserve">6-4, 6-2, 6-2</x:t>
        </x:is>
      </x:c>
      <x:c r="H207" t="inlineStr">
        <x:is>
          <x:t xml:space="preserve">A.W. Gore</x:t>
        </x:is>
      </x:c>
      <x:c r="I207" t="inlineStr">
        <x:is>
          <x:t xml:space="preserve">GBR</x:t>
        </x:is>
      </x:c>
    </x:row>
    <x:row r="208">
      <x:c r="A208" t="n">
        <x:v>1906</x:v>
      </x:c>
      <x:c r="B208" t="inlineStr">
        <x:is>
          <x:t xml:space="preserve">Women's</x:t>
        </x:is>
      </x:c>
      <x:c r="C208" t="inlineStr">
        <x:is>
          <x:t xml:space="preserve">D.K. Douglass</x:t>
        </x:is>
      </x:c>
      <x:c r="D208" t="inlineStr">
        <x:is>
          <x:t xml:space="preserve">GBR</x:t>
        </x:is>
      </x:c>
      <x:c r="F208" t="n">
        <x:v>57</x:v>
      </x:c>
      <x:c r="G208" t="inlineStr">
        <x:is>
          <x:t xml:space="preserve">6-3, 9-7</x:t>
        </x:is>
      </x:c>
      <x:c r="H208" t="inlineStr">
        <x:is>
          <x:t xml:space="preserve">M.G. Sutton</x:t>
        </x:is>
      </x:c>
      <x:c r="I208" t="inlineStr">
        <x:is>
          <x:t xml:space="preserve">USA</x:t>
        </x:is>
      </x:c>
    </x:row>
    <x:row r="209">
      <x:c r="A209" t="n">
        <x:v>1906</x:v>
      </x:c>
      <x:c r="B209" t="inlineStr">
        <x:is>
          <x:t xml:space="preserve">Men's</x:t>
        </x:is>
      </x:c>
      <x:c r="C209" t="inlineStr">
        <x:is>
          <x:t xml:space="preserve">H.L. Doherty</x:t>
        </x:is>
      </x:c>
      <x:c r="D209" t="inlineStr">
        <x:is>
          <x:t xml:space="preserve">GBR</x:t>
        </x:is>
      </x:c>
      <x:c r="F209" t="n">
        <x:v>74</x:v>
      </x:c>
      <x:c r="G209" t="inlineStr">
        <x:is>
          <x:t xml:space="preserve">6-4, 4-6, 6-2, 6-3</x:t>
        </x:is>
      </x:c>
      <x:c r="H209" t="inlineStr">
        <x:is>
          <x:t xml:space="preserve">F.L. Riseley</x:t>
        </x:is>
      </x:c>
      <x:c r="I209" t="inlineStr">
        <x:is>
          <x:t xml:space="preserve">GBR</x:t>
        </x:is>
      </x:c>
    </x:row>
    <x:row r="210">
      <x:c r="A210" t="n">
        <x:v>1905</x:v>
      </x:c>
      <x:c r="B210" t="inlineStr">
        <x:is>
          <x:t xml:space="preserve">Women's</x:t>
        </x:is>
      </x:c>
      <x:c r="C210" t="inlineStr">
        <x:is>
          <x:t xml:space="preserve">M.G. Sutton</x:t>
        </x:is>
      </x:c>
      <x:c r="D210" t="inlineStr">
        <x:is>
          <x:t xml:space="preserve">USA</x:t>
        </x:is>
      </x:c>
      <x:c r="G210" t="inlineStr">
        <x:is>
          <x:t xml:space="preserve">6-3, 6-4</x:t>
        </x:is>
      </x:c>
      <x:c r="H210" t="inlineStr">
        <x:is>
          <x:t xml:space="preserve">D.K. Douglass</x:t>
        </x:is>
      </x:c>
      <x:c r="I210" t="inlineStr">
        <x:is>
          <x:t xml:space="preserve">GBR</x:t>
        </x:is>
      </x:c>
    </x:row>
    <x:row r="211">
      <x:c r="A211" t="n">
        <x:v>1905</x:v>
      </x:c>
      <x:c r="B211" t="inlineStr">
        <x:is>
          <x:t xml:space="preserve">Men's</x:t>
        </x:is>
      </x:c>
      <x:c r="C211" t="inlineStr">
        <x:is>
          <x:t xml:space="preserve">H.L. Doherty</x:t>
        </x:is>
      </x:c>
      <x:c r="D211" t="inlineStr">
        <x:is>
          <x:t xml:space="preserve">GBR</x:t>
        </x:is>
      </x:c>
      <x:c r="F211" t="n">
        <x:v>65</x:v>
      </x:c>
      <x:c r="G211" t="inlineStr">
        <x:is>
          <x:t xml:space="preserve">8-6, 6-2, 6-4</x:t>
        </x:is>
      </x:c>
      <x:c r="H211" t="inlineStr">
        <x:is>
          <x:t xml:space="preserve">N.E. Brookes</x:t>
        </x:is>
      </x:c>
      <x:c r="I211" t="inlineStr">
        <x:is>
          <x:t xml:space="preserve">AUS</x:t>
        </x:is>
      </x:c>
    </x:row>
    <x:row r="212">
      <x:c r="A212" t="n">
        <x:v>1904</x:v>
      </x:c>
      <x:c r="B212" t="inlineStr">
        <x:is>
          <x:t xml:space="preserve">Women's</x:t>
        </x:is>
      </x:c>
      <x:c r="C212" t="inlineStr">
        <x:is>
          <x:t xml:space="preserve">D.K. Douglass</x:t>
        </x:is>
      </x:c>
      <x:c r="D212" t="inlineStr">
        <x:is>
          <x:t xml:space="preserve">GBR</x:t>
        </x:is>
      </x:c>
      <x:c r="G212" t="inlineStr">
        <x:is>
          <x:t xml:space="preserve">6-0, 6-3</x:t>
        </x:is>
      </x:c>
      <x:c r="H212" t="inlineStr">
        <x:is>
          <x:t xml:space="preserve">A. Sterry</x:t>
        </x:is>
      </x:c>
      <x:c r="I212" t="inlineStr">
        <x:is>
          <x:t xml:space="preserve">GBR</x:t>
        </x:is>
      </x:c>
    </x:row>
    <x:row r="213">
      <x:c r="A213" t="n">
        <x:v>1904</x:v>
      </x:c>
      <x:c r="B213" t="inlineStr">
        <x:is>
          <x:t xml:space="preserve">Men's</x:t>
        </x:is>
      </x:c>
      <x:c r="C213" t="inlineStr">
        <x:is>
          <x:t xml:space="preserve">H.L. Doherty</x:t>
        </x:is>
      </x:c>
      <x:c r="D213" t="inlineStr">
        <x:is>
          <x:t xml:space="preserve">GBR</x:t>
        </x:is>
      </x:c>
      <x:c r="G213" t="inlineStr">
        <x:is>
          <x:t xml:space="preserve">6-1, 7-5, 8-6</x:t>
        </x:is>
      </x:c>
      <x:c r="H213" t="inlineStr">
        <x:is>
          <x:t xml:space="preserve">F.L. Riseley</x:t>
        </x:is>
      </x:c>
      <x:c r="I213" t="inlineStr">
        <x:is>
          <x:t xml:space="preserve">GBR</x:t>
        </x:is>
      </x:c>
    </x:row>
    <x:row r="214">
      <x:c r="A214" t="n">
        <x:v>1903</x:v>
      </x:c>
      <x:c r="B214" t="inlineStr">
        <x:is>
          <x:t xml:space="preserve">Women's</x:t>
        </x:is>
      </x:c>
      <x:c r="C214" t="inlineStr">
        <x:is>
          <x:t xml:space="preserve">D.K. Douglass</x:t>
        </x:is>
      </x:c>
      <x:c r="D214" t="inlineStr">
        <x:is>
          <x:t xml:space="preserve">GBR</x:t>
        </x:is>
      </x:c>
      <x:c r="G214" t="inlineStr">
        <x:is>
          <x:t xml:space="preserve">4-6, 6-4, 6-2</x:t>
        </x:is>
      </x:c>
      <x:c r="H214" t="inlineStr">
        <x:is>
          <x:t xml:space="preserve">E.W. Thomson</x:t>
        </x:is>
      </x:c>
      <x:c r="I214" t="inlineStr">
        <x:is>
          <x:t xml:space="preserve">GBR</x:t>
        </x:is>
      </x:c>
    </x:row>
    <x:row r="215">
      <x:c r="A215" t="n">
        <x:v>1903</x:v>
      </x:c>
      <x:c r="B215" t="inlineStr">
        <x:is>
          <x:t xml:space="preserve">Men's</x:t>
        </x:is>
      </x:c>
      <x:c r="C215" t="inlineStr">
        <x:is>
          <x:t xml:space="preserve">H.L. Doherty</x:t>
        </x:is>
      </x:c>
      <x:c r="D215" t="inlineStr">
        <x:is>
          <x:t xml:space="preserve">GBR</x:t>
        </x:is>
      </x:c>
      <x:c r="G215" t="inlineStr">
        <x:is>
          <x:t xml:space="preserve">7-5, 6-3, 6-0</x:t>
        </x:is>
      </x:c>
      <x:c r="H215" t="inlineStr">
        <x:is>
          <x:t xml:space="preserve">F.L. Riseley</x:t>
        </x:is>
      </x:c>
      <x:c r="I215" t="inlineStr">
        <x:is>
          <x:t xml:space="preserve">GBR</x:t>
        </x:is>
      </x:c>
    </x:row>
    <x:row r="216">
      <x:c r="A216" t="n">
        <x:v>1902</x:v>
      </x:c>
      <x:c r="B216" t="inlineStr">
        <x:is>
          <x:t xml:space="preserve">Women's</x:t>
        </x:is>
      </x:c>
      <x:c r="C216" t="inlineStr">
        <x:is>
          <x:t xml:space="preserve">M.E. Robb</x:t>
        </x:is>
      </x:c>
      <x:c r="D216" t="inlineStr">
        <x:is>
          <x:t xml:space="preserve">GBR</x:t>
        </x:is>
      </x:c>
      <x:c r="G216" t="inlineStr">
        <x:is>
          <x:t xml:space="preserve">7-5, 6-1</x:t>
        </x:is>
      </x:c>
      <x:c r="H216" t="inlineStr">
        <x:is>
          <x:t xml:space="preserve">A. Sterry</x:t>
        </x:is>
      </x:c>
      <x:c r="I216" t="inlineStr">
        <x:is>
          <x:t xml:space="preserve">GBR</x:t>
        </x:is>
      </x:c>
    </x:row>
    <x:row r="217">
      <x:c r="A217" t="n">
        <x:v>1902</x:v>
      </x:c>
      <x:c r="B217" t="inlineStr">
        <x:is>
          <x:t xml:space="preserve">Men's</x:t>
        </x:is>
      </x:c>
      <x:c r="C217" t="inlineStr">
        <x:is>
          <x:t xml:space="preserve">H.L. Doherty</x:t>
        </x:is>
      </x:c>
      <x:c r="D217" t="inlineStr">
        <x:is>
          <x:t xml:space="preserve">GBR</x:t>
        </x:is>
      </x:c>
      <x:c r="F217" t="n">
        <x:v>84</x:v>
      </x:c>
      <x:c r="G217" t="inlineStr">
        <x:is>
          <x:t xml:space="preserve">6-4, 6-3, 3-6, 6-0</x:t>
        </x:is>
      </x:c>
      <x:c r="H217" t="inlineStr">
        <x:is>
          <x:t xml:space="preserve">A.W. Gore</x:t>
        </x:is>
      </x:c>
      <x:c r="I217" t="inlineStr">
        <x:is>
          <x:t xml:space="preserve">GBR</x:t>
        </x:is>
      </x:c>
    </x:row>
    <x:row r="218">
      <x:c r="A218" t="n">
        <x:v>1901</x:v>
      </x:c>
      <x:c r="B218" t="inlineStr">
        <x:is>
          <x:t xml:space="preserve">Women's</x:t>
        </x:is>
      </x:c>
      <x:c r="C218" t="inlineStr">
        <x:is>
          <x:t xml:space="preserve">A. Sterry</x:t>
        </x:is>
      </x:c>
      <x:c r="D218" t="inlineStr">
        <x:is>
          <x:t xml:space="preserve">GBR</x:t>
        </x:is>
      </x:c>
      <x:c r="G218" t="inlineStr">
        <x:is>
          <x:t xml:space="preserve">6-2, 6-2</x:t>
        </x:is>
      </x:c>
      <x:c r="H218" t="inlineStr">
        <x:is>
          <x:t xml:space="preserve">G.W. Hillyard</x:t>
        </x:is>
      </x:c>
      <x:c r="I218" t="inlineStr">
        <x:is>
          <x:t xml:space="preserve">GBR</x:t>
        </x:is>
      </x:c>
    </x:row>
    <x:row r="219">
      <x:c r="A219" t="n">
        <x:v>1901</x:v>
      </x:c>
      <x:c r="B219" t="inlineStr">
        <x:is>
          <x:t xml:space="preserve">Men's</x:t>
        </x:is>
      </x:c>
      <x:c r="C219" t="inlineStr">
        <x:is>
          <x:t xml:space="preserve">A.W. Gore</x:t>
        </x:is>
      </x:c>
      <x:c r="D219" t="inlineStr">
        <x:is>
          <x:t xml:space="preserve">GBR</x:t>
        </x:is>
      </x:c>
      <x:c r="F219" t="n">
        <x:v>95</x:v>
      </x:c>
      <x:c r="G219" t="inlineStr">
        <x:is>
          <x:t xml:space="preserve">4-6, 7-5, 6-4, 6-4</x:t>
        </x:is>
      </x:c>
      <x:c r="H219" t="inlineStr">
        <x:is>
          <x:t xml:space="preserve">R.F. Doherty</x:t>
        </x:is>
      </x:c>
      <x:c r="I219" t="inlineStr">
        <x:is>
          <x:t xml:space="preserve">GBR</x:t>
        </x:is>
      </x:c>
    </x:row>
    <x:row r="220">
      <x:c r="A220" t="n">
        <x:v>1900</x:v>
      </x:c>
      <x:c r="B220" t="inlineStr">
        <x:is>
          <x:t xml:space="preserve">Women's</x:t>
        </x:is>
      </x:c>
      <x:c r="C220" t="inlineStr">
        <x:is>
          <x:t xml:space="preserve">G.W. Hillyard</x:t>
        </x:is>
      </x:c>
      <x:c r="D220" t="inlineStr">
        <x:is>
          <x:t xml:space="preserve">GBR</x:t>
        </x:is>
      </x:c>
      <x:c r="G220" t="inlineStr">
        <x:is>
          <x:t xml:space="preserve">4-6, 6-4, 6-4</x:t>
        </x:is>
      </x:c>
      <x:c r="H220" t="inlineStr">
        <x:is>
          <x:t xml:space="preserve">C.R. Cooper</x:t>
        </x:is>
      </x:c>
      <x:c r="I220" t="inlineStr">
        <x:is>
          <x:t xml:space="preserve">GBR</x:t>
        </x:is>
      </x:c>
    </x:row>
    <x:row r="221">
      <x:c r="A221" t="n">
        <x:v>1900</x:v>
      </x:c>
      <x:c r="B221" t="inlineStr">
        <x:is>
          <x:t xml:space="preserve">Men's</x:t>
        </x:is>
      </x:c>
      <x:c r="C221" t="inlineStr">
        <x:is>
          <x:t xml:space="preserve">R.F. Doherty</x:t>
        </x:is>
      </x:c>
      <x:c r="D221" t="inlineStr">
        <x:is>
          <x:t xml:space="preserve">GBR</x:t>
        </x:is>
      </x:c>
      <x:c r="G221" t="inlineStr">
        <x:is>
          <x:t xml:space="preserve">6-8, 6-3, 6-1, 6-2</x:t>
        </x:is>
      </x:c>
      <x:c r="H221" t="inlineStr">
        <x:is>
          <x:t xml:space="preserve">S.H. Smith</x:t>
        </x:is>
      </x:c>
      <x:c r="I221" t="inlineStr">
        <x:is>
          <x:t xml:space="preserve">GBR</x:t>
        </x:is>
      </x:c>
    </x:row>
    <x:row r="222">
      <x:c r="A222" t="n">
        <x:v>1899</x:v>
      </x:c>
      <x:c r="B222" t="inlineStr">
        <x:is>
          <x:t xml:space="preserve">Women's</x:t>
        </x:is>
      </x:c>
      <x:c r="C222" t="inlineStr">
        <x:is>
          <x:t xml:space="preserve">G.W. Hillyard</x:t>
        </x:is>
      </x:c>
      <x:c r="D222" t="inlineStr">
        <x:is>
          <x:t xml:space="preserve">GBR</x:t>
        </x:is>
      </x:c>
      <x:c r="G222" t="inlineStr">
        <x:is>
          <x:t xml:space="preserve">6-2, 6-3</x:t>
        </x:is>
      </x:c>
      <x:c r="H222" t="inlineStr">
        <x:is>
          <x:t xml:space="preserve">C.R. Cooper</x:t>
        </x:is>
      </x:c>
      <x:c r="I222" t="inlineStr">
        <x:is>
          <x:t xml:space="preserve">GBR</x:t>
        </x:is>
      </x:c>
    </x:row>
    <x:row r="223">
      <x:c r="A223" t="n">
        <x:v>1899</x:v>
      </x:c>
      <x:c r="B223" t="inlineStr">
        <x:is>
          <x:t xml:space="preserve">Men's</x:t>
        </x:is>
      </x:c>
      <x:c r="C223" t="inlineStr">
        <x:is>
          <x:t xml:space="preserve">R.F. Doherty</x:t>
        </x:is>
      </x:c>
      <x:c r="D223" t="inlineStr">
        <x:is>
          <x:t xml:space="preserve">GBR</x:t>
        </x:is>
      </x:c>
      <x:c r="G223" t="inlineStr">
        <x:is>
          <x:t xml:space="preserve">1-6, 4-6, 6-3, 6-3, 6-3</x:t>
        </x:is>
      </x:c>
      <x:c r="H223" t="inlineStr">
        <x:is>
          <x:t xml:space="preserve">A.W. Gore</x:t>
        </x:is>
      </x:c>
      <x:c r="I223" t="inlineStr">
        <x:is>
          <x:t xml:space="preserve">GBR</x:t>
        </x:is>
      </x:c>
    </x:row>
    <x:row r="224">
      <x:c r="A224" t="n">
        <x:v>1898</x:v>
      </x:c>
      <x:c r="B224" t="inlineStr">
        <x:is>
          <x:t xml:space="preserve">Women's</x:t>
        </x:is>
      </x:c>
      <x:c r="C224" t="inlineStr">
        <x:is>
          <x:t xml:space="preserve">C.R. Cooper</x:t>
        </x:is>
      </x:c>
      <x:c r="D224" t="inlineStr">
        <x:is>
          <x:t xml:space="preserve">GBR</x:t>
        </x:is>
      </x:c>
      <x:c r="G224" t="inlineStr">
        <x:is>
          <x:t xml:space="preserve">6-4, 6-4</x:t>
        </x:is>
      </x:c>
      <x:c r="H224" t="inlineStr">
        <x:is>
          <x:t xml:space="preserve">M.L.Martin</x:t>
        </x:is>
      </x:c>
      <x:c r="I224" t="inlineStr">
        <x:is>
          <x:t xml:space="preserve">GBR</x:t>
        </x:is>
      </x:c>
    </x:row>
    <x:row r="225">
      <x:c r="A225" t="n">
        <x:v>1898</x:v>
      </x:c>
      <x:c r="B225" t="inlineStr">
        <x:is>
          <x:t xml:space="preserve">Men's</x:t>
        </x:is>
      </x:c>
      <x:c r="C225" t="inlineStr">
        <x:is>
          <x:t xml:space="preserve">R.F. Doherty</x:t>
        </x:is>
      </x:c>
      <x:c r="D225" t="inlineStr">
        <x:is>
          <x:t xml:space="preserve">GBR</x:t>
        </x:is>
      </x:c>
      <x:c r="F225" t="n">
        <x:v>55</x:v>
      </x:c>
      <x:c r="G225" t="inlineStr">
        <x:is>
          <x:t xml:space="preserve">6-3, 6-3, 2-6, 5-7, 6-1</x:t>
        </x:is>
      </x:c>
      <x:c r="H225" t="inlineStr">
        <x:is>
          <x:t xml:space="preserve">H.L. Doherty</x:t>
        </x:is>
      </x:c>
      <x:c r="I225" t="inlineStr">
        <x:is>
          <x:t xml:space="preserve">GBR</x:t>
        </x:is>
      </x:c>
    </x:row>
    <x:row r="226">
      <x:c r="A226" t="n">
        <x:v>1897</x:v>
      </x:c>
      <x:c r="B226" t="inlineStr">
        <x:is>
          <x:t xml:space="preserve">Women's</x:t>
        </x:is>
      </x:c>
      <x:c r="C226" t="inlineStr">
        <x:is>
          <x:t xml:space="preserve">G.W. Hillyard</x:t>
        </x:is>
      </x:c>
      <x:c r="D226" t="inlineStr">
        <x:is>
          <x:t xml:space="preserve">GBR</x:t>
        </x:is>
      </x:c>
      <x:c r="G226" t="inlineStr">
        <x:is>
          <x:t xml:space="preserve">5-7, 7-5, 6-2</x:t>
        </x:is>
      </x:c>
      <x:c r="H226" t="inlineStr">
        <x:is>
          <x:t xml:space="preserve">C.R. Cooper</x:t>
        </x:is>
      </x:c>
      <x:c r="I226" t="inlineStr">
        <x:is>
          <x:t xml:space="preserve">GBR</x:t>
        </x:is>
      </x:c>
    </x:row>
    <x:row r="227">
      <x:c r="A227" t="n">
        <x:v>1897</x:v>
      </x:c>
      <x:c r="B227" t="inlineStr">
        <x:is>
          <x:t xml:space="preserve">Men's</x:t>
        </x:is>
      </x:c>
      <x:c r="C227" t="inlineStr">
        <x:is>
          <x:t xml:space="preserve">R.F. Doherty</x:t>
        </x:is>
      </x:c>
      <x:c r="D227" t="inlineStr">
        <x:is>
          <x:t xml:space="preserve">GBR</x:t>
        </x:is>
      </x:c>
      <x:c r="F227" t="n">
        <x:v>67</x:v>
      </x:c>
      <x:c r="G227" t="inlineStr">
        <x:is>
          <x:t xml:space="preserve">6-4, 6-4, 6-3</x:t>
        </x:is>
      </x:c>
      <x:c r="H227" t="inlineStr">
        <x:is>
          <x:t xml:space="preserve">H.S. Mahony</x:t>
        </x:is>
      </x:c>
      <x:c r="I227" t="inlineStr">
        <x:is>
          <x:t xml:space="preserve">GBR</x:t>
        </x:is>
      </x:c>
    </x:row>
    <x:row r="228">
      <x:c r="A228" t="n">
        <x:v>1896</x:v>
      </x:c>
      <x:c r="B228" t="inlineStr">
        <x:is>
          <x:t xml:space="preserve">Women's</x:t>
        </x:is>
      </x:c>
      <x:c r="C228" t="inlineStr">
        <x:is>
          <x:t xml:space="preserve">C.R. Cooper</x:t>
        </x:is>
      </x:c>
      <x:c r="D228" t="inlineStr">
        <x:is>
          <x:t xml:space="preserve">GBR</x:t>
        </x:is>
      </x:c>
      <x:c r="G228" t="inlineStr">
        <x:is>
          <x:t xml:space="preserve">6-2, 6-3</x:t>
        </x:is>
      </x:c>
      <x:c r="H228" t="inlineStr">
        <x:is>
          <x:t xml:space="preserve">W.H. Pickering</x:t>
        </x:is>
      </x:c>
      <x:c r="I228" t="inlineStr">
        <x:is>
          <x:t xml:space="preserve">GBR</x:t>
        </x:is>
      </x:c>
    </x:row>
    <x:row r="229">
      <x:c r="A229" t="n">
        <x:v>1896</x:v>
      </x:c>
      <x:c r="B229" t="inlineStr">
        <x:is>
          <x:t xml:space="preserve">Men's</x:t>
        </x:is>
      </x:c>
      <x:c r="C229" t="inlineStr">
        <x:is>
          <x:t xml:space="preserve">H.S. Mahony</x:t>
        </x:is>
      </x:c>
      <x:c r="D229" t="inlineStr">
        <x:is>
          <x:t xml:space="preserve">GBR</x:t>
        </x:is>
      </x:c>
      <x:c r="F229" t="n">
        <x:v>120</x:v>
      </x:c>
      <x:c r="G229" t="inlineStr">
        <x:is>
          <x:t xml:space="preserve">6-2, 6-8, 5-7, 8-6, 6-3</x:t>
        </x:is>
      </x:c>
      <x:c r="H229" t="inlineStr">
        <x:is>
          <x:t xml:space="preserve">W. Baddeley</x:t>
        </x:is>
      </x:c>
      <x:c r="I229" t="inlineStr">
        <x:is>
          <x:t xml:space="preserve">GBR</x:t>
        </x:is>
      </x:c>
    </x:row>
    <x:row r="230">
      <x:c r="A230" t="n">
        <x:v>1895</x:v>
      </x:c>
      <x:c r="B230" t="inlineStr">
        <x:is>
          <x:t xml:space="preserve">Women's</x:t>
        </x:is>
      </x:c>
      <x:c r="C230" t="inlineStr">
        <x:is>
          <x:t xml:space="preserve">C.R. Cooper</x:t>
        </x:is>
      </x:c>
      <x:c r="D230" t="inlineStr">
        <x:is>
          <x:t xml:space="preserve">GBR</x:t>
        </x:is>
      </x:c>
      <x:c r="G230" t="inlineStr">
        <x:is>
          <x:t xml:space="preserve">7-5, 8-6</x:t>
        </x:is>
      </x:c>
      <x:c r="H230" t="inlineStr">
        <x:is>
          <x:t xml:space="preserve">H. Jackson</x:t>
        </x:is>
      </x:c>
      <x:c r="I230" t="inlineStr">
        <x:is>
          <x:t xml:space="preserve">GBR</x:t>
        </x:is>
      </x:c>
    </x:row>
    <x:row r="231">
      <x:c r="A231" t="n">
        <x:v>1895</x:v>
      </x:c>
      <x:c r="B231" t="inlineStr">
        <x:is>
          <x:t xml:space="preserve">Men's</x:t>
        </x:is>
      </x:c>
      <x:c r="C231" t="inlineStr">
        <x:is>
          <x:t xml:space="preserve">W. Baddeley</x:t>
        </x:is>
      </x:c>
      <x:c r="D231" t="inlineStr">
        <x:is>
          <x:t xml:space="preserve">GBR</x:t>
        </x:is>
      </x:c>
      <x:c r="F231" t="n">
        <x:v>95</x:v>
      </x:c>
      <x:c r="G231" t="inlineStr">
        <x:is>
          <x:t xml:space="preserve">4-6, 2-6, 8-6, 6-2, 6-3</x:t>
        </x:is>
      </x:c>
      <x:c r="H231" t="inlineStr">
        <x:is>
          <x:t xml:space="preserve">W.V. Eaves</x:t>
        </x:is>
      </x:c>
      <x:c r="I231" t="inlineStr">
        <x:is>
          <x:t xml:space="preserve">GBR</x:t>
        </x:is>
      </x:c>
    </x:row>
    <x:row r="232">
      <x:c r="A232" t="n">
        <x:v>1894</x:v>
      </x:c>
      <x:c r="B232" t="inlineStr">
        <x:is>
          <x:t xml:space="preserve">Women's</x:t>
        </x:is>
      </x:c>
      <x:c r="C232" t="inlineStr">
        <x:is>
          <x:t xml:space="preserve">G.W. Hillyard</x:t>
        </x:is>
      </x:c>
      <x:c r="D232" t="inlineStr">
        <x:is>
          <x:t xml:space="preserve">GBR</x:t>
        </x:is>
      </x:c>
      <x:c r="G232" t="inlineStr">
        <x:is>
          <x:t xml:space="preserve">6-1, 6-1</x:t>
        </x:is>
      </x:c>
      <x:c r="H232" t="inlineStr">
        <x:is>
          <x:t xml:space="preserve">E.L. Austin</x:t>
        </x:is>
      </x:c>
      <x:c r="I232" t="inlineStr">
        <x:is>
          <x:t xml:space="preserve">GBR</x:t>
        </x:is>
      </x:c>
    </x:row>
    <x:row r="233">
      <x:c r="A233" t="n">
        <x:v>1894</x:v>
      </x:c>
      <x:c r="B233" t="inlineStr">
        <x:is>
          <x:t xml:space="preserve">Men's</x:t>
        </x:is>
      </x:c>
      <x:c r="C233" t="inlineStr">
        <x:is>
          <x:t xml:space="preserve">J. Pim</x:t>
        </x:is>
      </x:c>
      <x:c r="D233" t="inlineStr">
        <x:is>
          <x:t xml:space="preserve">GBR</x:t>
        </x:is>
      </x:c>
      <x:c r="F233" t="n">
        <x:v>117</x:v>
      </x:c>
      <x:c r="G233" t="inlineStr">
        <x:is>
          <x:t xml:space="preserve">10-8, 6-2, 8-6</x:t>
        </x:is>
      </x:c>
      <x:c r="H233" t="inlineStr">
        <x:is>
          <x:t xml:space="preserve">W. Baddeley</x:t>
        </x:is>
      </x:c>
      <x:c r="I233" t="inlineStr">
        <x:is>
          <x:t xml:space="preserve">GBR</x:t>
        </x:is>
      </x:c>
    </x:row>
    <x:row r="234">
      <x:c r="A234" t="n">
        <x:v>1893</x:v>
      </x:c>
      <x:c r="B234" t="inlineStr">
        <x:is>
          <x:t xml:space="preserve">Women's</x:t>
        </x:is>
      </x:c>
      <x:c r="C234" t="inlineStr">
        <x:is>
          <x:t xml:space="preserve">C. Dod</x:t>
        </x:is>
      </x:c>
      <x:c r="D234" t="inlineStr">
        <x:is>
          <x:t xml:space="preserve">GBR</x:t>
        </x:is>
      </x:c>
      <x:c r="G234" t="inlineStr">
        <x:is>
          <x:t xml:space="preserve">6-8, 6-1, 6-4</x:t>
        </x:is>
      </x:c>
      <x:c r="H234" t="inlineStr">
        <x:is>
          <x:t xml:space="preserve">G.W. Hillyard</x:t>
        </x:is>
      </x:c>
      <x:c r="I234" t="inlineStr">
        <x:is>
          <x:t xml:space="preserve">GBR</x:t>
        </x:is>
      </x:c>
    </x:row>
    <x:row r="235">
      <x:c r="A235" t="n">
        <x:v>1893</x:v>
      </x:c>
      <x:c r="B235" t="inlineStr">
        <x:is>
          <x:t xml:space="preserve">Men's</x:t>
        </x:is>
      </x:c>
      <x:c r="C235" t="inlineStr">
        <x:is>
          <x:t xml:space="preserve">J. Pim</x:t>
        </x:is>
      </x:c>
      <x:c r="D235" t="inlineStr">
        <x:is>
          <x:t xml:space="preserve">GBR</x:t>
        </x:is>
      </x:c>
      <x:c r="F235" t="n">
        <x:v>65</x:v>
      </x:c>
      <x:c r="G235" t="inlineStr">
        <x:is>
          <x:t xml:space="preserve">3-6, 6-1, 6-3, 6-2</x:t>
        </x:is>
      </x:c>
      <x:c r="H235" t="inlineStr">
        <x:is>
          <x:t xml:space="preserve">W. Baddeley</x:t>
        </x:is>
      </x:c>
      <x:c r="I235" t="inlineStr">
        <x:is>
          <x:t xml:space="preserve">GBR</x:t>
        </x:is>
      </x:c>
    </x:row>
    <x:row r="236">
      <x:c r="A236" t="n">
        <x:v>1892</x:v>
      </x:c>
      <x:c r="B236" t="inlineStr">
        <x:is>
          <x:t xml:space="preserve">Women's</x:t>
        </x:is>
      </x:c>
      <x:c r="C236" t="inlineStr">
        <x:is>
          <x:t xml:space="preserve">C. Dod</x:t>
        </x:is>
      </x:c>
      <x:c r="D236" t="inlineStr">
        <x:is>
          <x:t xml:space="preserve">GBR</x:t>
        </x:is>
      </x:c>
      <x:c r="G236" t="inlineStr">
        <x:is>
          <x:t xml:space="preserve">6-1, 6-1</x:t>
        </x:is>
      </x:c>
      <x:c r="H236" t="inlineStr">
        <x:is>
          <x:t xml:space="preserve">G.W. Hillyard</x:t>
        </x:is>
      </x:c>
      <x:c r="I236" t="inlineStr">
        <x:is>
          <x:t xml:space="preserve">GBR</x:t>
        </x:is>
      </x:c>
    </x:row>
    <x:row r="237">
      <x:c r="A237" t="n">
        <x:v>1892</x:v>
      </x:c>
      <x:c r="B237" t="inlineStr">
        <x:is>
          <x:t xml:space="preserve">Men's</x:t>
        </x:is>
      </x:c>
      <x:c r="C237" t="inlineStr">
        <x:is>
          <x:t xml:space="preserve">W. Baddeley</x:t>
        </x:is>
      </x:c>
      <x:c r="D237" t="inlineStr">
        <x:is>
          <x:t xml:space="preserve">GBR</x:t>
        </x:is>
      </x:c>
      <x:c r="F237" t="n">
        <x:v>75</x:v>
      </x:c>
      <x:c r="G237" t="inlineStr">
        <x:is>
          <x:t xml:space="preserve">4-6, 6-3, 6-3, 6-2</x:t>
        </x:is>
      </x:c>
      <x:c r="H237" t="inlineStr">
        <x:is>
          <x:t xml:space="preserve">J. Pim</x:t>
        </x:is>
      </x:c>
      <x:c r="I237" t="inlineStr">
        <x:is>
          <x:t xml:space="preserve">GBR</x:t>
        </x:is>
      </x:c>
    </x:row>
    <x:row r="238">
      <x:c r="A238" t="n">
        <x:v>1891</x:v>
      </x:c>
      <x:c r="B238" t="inlineStr">
        <x:is>
          <x:t xml:space="preserve">Women's</x:t>
        </x:is>
      </x:c>
      <x:c r="C238" t="inlineStr">
        <x:is>
          <x:t xml:space="preserve">C. Dod</x:t>
        </x:is>
      </x:c>
      <x:c r="D238" t="inlineStr">
        <x:is>
          <x:t xml:space="preserve">GBR</x:t>
        </x:is>
      </x:c>
      <x:c r="G238" t="inlineStr">
        <x:is>
          <x:t xml:space="preserve">6-2, 6-1</x:t>
        </x:is>
      </x:c>
      <x:c r="H238" t="inlineStr">
        <x:is>
          <x:t xml:space="preserve">G.W. Hillyard</x:t>
        </x:is>
      </x:c>
      <x:c r="I238" t="inlineStr">
        <x:is>
          <x:t xml:space="preserve">GBR</x:t>
        </x:is>
      </x:c>
    </x:row>
    <x:row r="239">
      <x:c r="A239" t="n">
        <x:v>1891</x:v>
      </x:c>
      <x:c r="B239" t="inlineStr">
        <x:is>
          <x:t xml:space="preserve">Men's</x:t>
        </x:is>
      </x:c>
      <x:c r="C239" t="inlineStr">
        <x:is>
          <x:t xml:space="preserve">W. Baddeley</x:t>
        </x:is>
      </x:c>
      <x:c r="D239" t="inlineStr">
        <x:is>
          <x:t xml:space="preserve">GBR</x:t>
        </x:is>
      </x:c>
      <x:c r="G239" t="inlineStr">
        <x:is>
          <x:t xml:space="preserve">6-4, 1-6, 7-5, 6-0</x:t>
        </x:is>
      </x:c>
      <x:c r="H239" t="inlineStr">
        <x:is>
          <x:t xml:space="preserve">J.Pim</x:t>
        </x:is>
      </x:c>
      <x:c r="I239" t="inlineStr">
        <x:is>
          <x:t xml:space="preserve">GBR</x:t>
        </x:is>
      </x:c>
    </x:row>
    <x:row r="240">
      <x:c r="A240" t="n">
        <x:v>1890</x:v>
      </x:c>
      <x:c r="B240" t="inlineStr">
        <x:is>
          <x:t xml:space="preserve">Women's</x:t>
        </x:is>
      </x:c>
      <x:c r="C240" t="inlineStr">
        <x:is>
          <x:t xml:space="preserve">H.G.B. Rice</x:t>
        </x:is>
      </x:c>
      <x:c r="D240" t="inlineStr">
        <x:is>
          <x:t xml:space="preserve">GBR</x:t>
        </x:is>
      </x:c>
      <x:c r="G240" t="inlineStr">
        <x:is>
          <x:t xml:space="preserve">6-4, 6-1</x:t>
        </x:is>
      </x:c>
      <x:c r="H240" t="inlineStr">
        <x:is>
          <x:t xml:space="preserve">M. Jacks</x:t>
        </x:is>
      </x:c>
      <x:c r="I240" t="inlineStr">
        <x:is>
          <x:t xml:space="preserve">GBR</x:t>
        </x:is>
      </x:c>
    </x:row>
    <x:row r="241">
      <x:c r="A241" t="n">
        <x:v>1890</x:v>
      </x:c>
      <x:c r="B241" t="inlineStr">
        <x:is>
          <x:t xml:space="preserve">Men's</x:t>
        </x:is>
      </x:c>
      <x:c r="C241" t="inlineStr">
        <x:is>
          <x:t xml:space="preserve">W.J. Hamilton</x:t>
        </x:is>
      </x:c>
      <x:c r="D241" t="inlineStr">
        <x:is>
          <x:t xml:space="preserve">GBR</x:t>
        </x:is>
      </x:c>
      <x:c r="F241" t="n">
        <x:v>96</x:v>
      </x:c>
      <x:c r="G241" t="inlineStr">
        <x:is>
          <x:t xml:space="preserve">6-8, 6-2, 3-6, 6-1, 6-1</x:t>
        </x:is>
      </x:c>
      <x:c r="H241" t="inlineStr">
        <x:is>
          <x:t xml:space="preserve">W.C. Renshaw</x:t>
        </x:is>
      </x:c>
      <x:c r="I241" t="inlineStr">
        <x:is>
          <x:t xml:space="preserve">GBR</x:t>
        </x:is>
      </x:c>
    </x:row>
    <x:row r="242">
      <x:c r="A242" t="n">
        <x:v>1889</x:v>
      </x:c>
      <x:c r="B242" t="inlineStr">
        <x:is>
          <x:t xml:space="preserve">Women's</x:t>
        </x:is>
      </x:c>
      <x:c r="C242" t="inlineStr">
        <x:is>
          <x:t xml:space="preserve">G.W. Hillyard</x:t>
        </x:is>
      </x:c>
      <x:c r="D242" t="inlineStr">
        <x:is>
          <x:t xml:space="preserve">GBR</x:t>
        </x:is>
      </x:c>
      <x:c r="G242" t="inlineStr">
        <x:is>
          <x:t xml:space="preserve">4-6, 8-6, 6-4</x:t>
        </x:is>
      </x:c>
      <x:c r="H242" t="inlineStr">
        <x:is>
          <x:t xml:space="preserve">H.G.B. Rice</x:t>
        </x:is>
      </x:c>
      <x:c r="I242" t="inlineStr">
        <x:is>
          <x:t xml:space="preserve">GBR</x:t>
        </x:is>
      </x:c>
    </x:row>
    <x:row r="243">
      <x:c r="A243" t="n">
        <x:v>1889</x:v>
      </x:c>
      <x:c r="B243" t="inlineStr">
        <x:is>
          <x:t xml:space="preserve">Men's</x:t>
        </x:is>
      </x:c>
      <x:c r="C243" t="inlineStr">
        <x:is>
          <x:t xml:space="preserve">W.C. Renshaw</x:t>
        </x:is>
      </x:c>
      <x:c r="D243" t="inlineStr">
        <x:is>
          <x:t xml:space="preserve">GBR</x:t>
        </x:is>
      </x:c>
      <x:c r="F243" t="n">
        <x:v>63</x:v>
      </x:c>
      <x:c r="G243" t="inlineStr">
        <x:is>
          <x:t xml:space="preserve">6-4, 6-1, 3-6, 6-0</x:t>
        </x:is>
      </x:c>
      <x:c r="H243" t="inlineStr">
        <x:is>
          <x:t xml:space="preserve">J.E. Renshaw</x:t>
        </x:is>
      </x:c>
      <x:c r="I243" t="inlineStr">
        <x:is>
          <x:t xml:space="preserve">GBR</x:t>
        </x:is>
      </x:c>
    </x:row>
    <x:row r="244">
      <x:c r="A244" t="n">
        <x:v>1888</x:v>
      </x:c>
      <x:c r="B244" t="inlineStr">
        <x:is>
          <x:t xml:space="preserve">Women's</x:t>
        </x:is>
      </x:c>
      <x:c r="C244" t="inlineStr">
        <x:is>
          <x:t xml:space="preserve">C. Dod</x:t>
        </x:is>
      </x:c>
      <x:c r="D244" t="inlineStr">
        <x:is>
          <x:t xml:space="preserve">GBR</x:t>
        </x:is>
      </x:c>
      <x:c r="G244" t="inlineStr">
        <x:is>
          <x:t xml:space="preserve">6-3, 6-3</x:t>
        </x:is>
      </x:c>
      <x:c r="H244" t="inlineStr">
        <x:is>
          <x:t xml:space="preserve">G.W. Hillyard</x:t>
        </x:is>
      </x:c>
      <x:c r="I244" t="inlineStr">
        <x:is>
          <x:t xml:space="preserve">GBR</x:t>
        </x:is>
      </x:c>
    </x:row>
    <x:row r="245">
      <x:c r="A245" t="n">
        <x:v>1888</x:v>
      </x:c>
      <x:c r="B245" t="inlineStr">
        <x:is>
          <x:t xml:space="preserve">Men's</x:t>
        </x:is>
      </x:c>
      <x:c r="C245" t="inlineStr">
        <x:is>
          <x:t xml:space="preserve">J.E. Renshaw</x:t>
        </x:is>
      </x:c>
      <x:c r="D245" t="inlineStr">
        <x:is>
          <x:t xml:space="preserve">GBR</x:t>
        </x:is>
      </x:c>
      <x:c r="F245" t="n">
        <x:v>51</x:v>
      </x:c>
      <x:c r="G245" t="inlineStr">
        <x:is>
          <x:t xml:space="preserve">6-3, 7-5, 6-0</x:t>
        </x:is>
      </x:c>
      <x:c r="H245" t="inlineStr">
        <x:is>
          <x:t xml:space="preserve">H.F. Lawford</x:t>
        </x:is>
      </x:c>
      <x:c r="I245" t="inlineStr">
        <x:is>
          <x:t xml:space="preserve">GBR</x:t>
        </x:is>
      </x:c>
    </x:row>
    <x:row r="246">
      <x:c r="A246" t="n">
        <x:v>1887</x:v>
      </x:c>
      <x:c r="B246" t="inlineStr">
        <x:is>
          <x:t xml:space="preserve">Women's</x:t>
        </x:is>
      </x:c>
      <x:c r="C246" t="inlineStr">
        <x:is>
          <x:t xml:space="preserve">C. Dod</x:t>
        </x:is>
      </x:c>
      <x:c r="D246" t="inlineStr">
        <x:is>
          <x:t xml:space="preserve">GBR</x:t>
        </x:is>
      </x:c>
      <x:c r="G246" t="inlineStr">
        <x:is>
          <x:t xml:space="preserve">6-2, 6-0</x:t>
        </x:is>
      </x:c>
      <x:c r="H246" t="inlineStr">
        <x:is>
          <x:t xml:space="preserve">B. Bingley</x:t>
        </x:is>
      </x:c>
      <x:c r="I246" t="inlineStr">
        <x:is>
          <x:t xml:space="preserve">GBR</x:t>
        </x:is>
      </x:c>
    </x:row>
    <x:row r="247">
      <x:c r="A247" t="n">
        <x:v>1887</x:v>
      </x:c>
      <x:c r="B247" t="inlineStr">
        <x:is>
          <x:t xml:space="preserve">Men's</x:t>
        </x:is>
      </x:c>
      <x:c r="C247" t="inlineStr">
        <x:is>
          <x:t xml:space="preserve">H.F. Lawford</x:t>
        </x:is>
      </x:c>
      <x:c r="D247" t="inlineStr">
        <x:is>
          <x:t xml:space="preserve">GBR</x:t>
        </x:is>
      </x:c>
      <x:c r="F247" t="n">
        <x:v>120</x:v>
      </x:c>
      <x:c r="G247" t="inlineStr">
        <x:is>
          <x:t xml:space="preserve">1-6, 6-3, 3-6, 6-4, 6-4</x:t>
        </x:is>
      </x:c>
      <x:c r="H247" t="inlineStr">
        <x:is>
          <x:t xml:space="preserve">J.E. Renshaw</x:t>
        </x:is>
      </x:c>
      <x:c r="I247" t="inlineStr">
        <x:is>
          <x:t xml:space="preserve">GBR</x:t>
        </x:is>
      </x:c>
    </x:row>
    <x:row r="248">
      <x:c r="A248" t="n">
        <x:v>1886</x:v>
      </x:c>
      <x:c r="B248" t="inlineStr">
        <x:is>
          <x:t xml:space="preserve">Women's</x:t>
        </x:is>
      </x:c>
      <x:c r="C248" t="inlineStr">
        <x:is>
          <x:t xml:space="preserve">B. Bingley</x:t>
        </x:is>
      </x:c>
      <x:c r="D248" t="inlineStr">
        <x:is>
          <x:t xml:space="preserve">GBR</x:t>
        </x:is>
      </x:c>
      <x:c r="G248" t="inlineStr">
        <x:is>
          <x:t xml:space="preserve">6-3, 6-3</x:t>
        </x:is>
      </x:c>
      <x:c r="H248" t="inlineStr">
        <x:is>
          <x:t xml:space="preserve">M.E.E Watson</x:t>
        </x:is>
      </x:c>
      <x:c r="I248" t="inlineStr">
        <x:is>
          <x:t xml:space="preserve">GBR</x:t>
        </x:is>
      </x:c>
    </x:row>
    <x:row r="249">
      <x:c r="A249" t="n">
        <x:v>1886</x:v>
      </x:c>
      <x:c r="B249" t="inlineStr">
        <x:is>
          <x:t xml:space="preserve">Men's</x:t>
        </x:is>
      </x:c>
      <x:c r="C249" t="inlineStr">
        <x:is>
          <x:t xml:space="preserve">W.C. Renshaw</x:t>
        </x:is>
      </x:c>
      <x:c r="D249" t="inlineStr">
        <x:is>
          <x:t xml:space="preserve">GBR</x:t>
        </x:is>
      </x:c>
      <x:c r="F249" t="n">
        <x:v>96</x:v>
      </x:c>
      <x:c r="G249" t="inlineStr">
        <x:is>
          <x:t xml:space="preserve">6-0, 5-7, 6-3, 6-4</x:t>
        </x:is>
      </x:c>
      <x:c r="H249" t="inlineStr">
        <x:is>
          <x:t xml:space="preserve">H.F. Lawford</x:t>
        </x:is>
      </x:c>
      <x:c r="I249" t="inlineStr">
        <x:is>
          <x:t xml:space="preserve">GBR</x:t>
        </x:is>
      </x:c>
    </x:row>
    <x:row r="250">
      <x:c r="A250" t="n">
        <x:v>1885</x:v>
      </x:c>
      <x:c r="B250" t="inlineStr">
        <x:is>
          <x:t xml:space="preserve">Women's</x:t>
        </x:is>
      </x:c>
      <x:c r="C250" t="inlineStr">
        <x:is>
          <x:t xml:space="preserve">M.E.E. Watson</x:t>
        </x:is>
      </x:c>
      <x:c r="D250" t="inlineStr">
        <x:is>
          <x:t xml:space="preserve">GBR</x:t>
        </x:is>
      </x:c>
      <x:c r="G250" t="inlineStr">
        <x:is>
          <x:t xml:space="preserve">6-1, 7-5</x:t>
        </x:is>
      </x:c>
      <x:c r="H250" t="inlineStr">
        <x:is>
          <x:t xml:space="preserve">B Bingley</x:t>
        </x:is>
      </x:c>
      <x:c r="I250" t="inlineStr">
        <x:is>
          <x:t xml:space="preserve">GBR</x:t>
        </x:is>
      </x:c>
    </x:row>
    <x:row r="251">
      <x:c r="A251" t="n">
        <x:v>1885</x:v>
      </x:c>
      <x:c r="B251" t="inlineStr">
        <x:is>
          <x:t xml:space="preserve">Men's</x:t>
        </x:is>
      </x:c>
      <x:c r="C251" t="inlineStr">
        <x:is>
          <x:t xml:space="preserve">W.C. Renshaw</x:t>
        </x:is>
      </x:c>
      <x:c r="D251" t="inlineStr">
        <x:is>
          <x:t xml:space="preserve">GBR</x:t>
        </x:is>
      </x:c>
      <x:c r="F251" t="n">
        <x:v>122</x:v>
      </x:c>
      <x:c r="G251" t="inlineStr">
        <x:is>
          <x:t xml:space="preserve">7-5, 6-2, 4-6, 7-5</x:t>
        </x:is>
      </x:c>
      <x:c r="H251" t="inlineStr">
        <x:is>
          <x:t xml:space="preserve">H.F. Lawford</x:t>
        </x:is>
      </x:c>
      <x:c r="I251" t="inlineStr">
        <x:is>
          <x:t xml:space="preserve">GBR</x:t>
        </x:is>
      </x:c>
    </x:row>
    <x:row r="252">
      <x:c r="A252" t="n">
        <x:v>1884</x:v>
      </x:c>
      <x:c r="B252" t="inlineStr">
        <x:is>
          <x:t xml:space="preserve">Women's</x:t>
        </x:is>
      </x:c>
      <x:c r="C252" t="inlineStr">
        <x:is>
          <x:t xml:space="preserve">M.E.E. Watson</x:t>
        </x:is>
      </x:c>
      <x:c r="D252" t="inlineStr">
        <x:is>
          <x:t xml:space="preserve">GBR</x:t>
        </x:is>
      </x:c>
      <x:c r="G252" t="inlineStr">
        <x:is>
          <x:t xml:space="preserve">6-8, 6-3, 6-3</x:t>
        </x:is>
      </x:c>
      <x:c r="H252" t="inlineStr">
        <x:is>
          <x:t xml:space="preserve">L.M. Watson</x:t>
        </x:is>
      </x:c>
      <x:c r="I252" t="inlineStr">
        <x:is>
          <x:t xml:space="preserve">GBR</x:t>
        </x:is>
      </x:c>
    </x:row>
    <x:row r="253">
      <x:c r="A253" t="n">
        <x:v>1884</x:v>
      </x:c>
      <x:c r="B253" t="inlineStr">
        <x:is>
          <x:t xml:space="preserve">Men's</x:t>
        </x:is>
      </x:c>
      <x:c r="C253" t="inlineStr">
        <x:is>
          <x:t xml:space="preserve">W.C. Renshaw</x:t>
        </x:is>
      </x:c>
      <x:c r="D253" t="inlineStr">
        <x:is>
          <x:t xml:space="preserve">GBR</x:t>
        </x:is>
      </x:c>
      <x:c r="F253" t="n">
        <x:v>69</x:v>
      </x:c>
      <x:c r="G253" t="inlineStr">
        <x:is>
          <x:t xml:space="preserve">6-0, 6-4, 9-7</x:t>
        </x:is>
      </x:c>
      <x:c r="H253" t="inlineStr">
        <x:is>
          <x:t xml:space="preserve">H.F. Lawford</x:t>
        </x:is>
      </x:c>
      <x:c r="I253" t="inlineStr">
        <x:is>
          <x:t xml:space="preserve">GBR</x:t>
        </x:is>
      </x:c>
    </x:row>
    <x:row r="254">
      <x:c r="A254" t="n">
        <x:v>1883</x:v>
      </x:c>
      <x:c r="B254" t="inlineStr">
        <x:is>
          <x:t xml:space="preserve">Men's</x:t>
        </x:is>
      </x:c>
      <x:c r="C254" t="inlineStr">
        <x:is>
          <x:t xml:space="preserve">W.C. Renshaw</x:t>
        </x:is>
      </x:c>
      <x:c r="D254" t="inlineStr">
        <x:is>
          <x:t xml:space="preserve">GBR</x:t>
        </x:is>
      </x:c>
      <x:c r="F254" t="n">
        <x:v>89</x:v>
      </x:c>
      <x:c r="G254" t="inlineStr">
        <x:is>
          <x:t xml:space="preserve">2-6, 6-3, 6-3, 4-6, 6-3</x:t>
        </x:is>
      </x:c>
      <x:c r="H254" t="inlineStr">
        <x:is>
          <x:t xml:space="preserve">J.E. Renshaw</x:t>
        </x:is>
      </x:c>
      <x:c r="I254" t="inlineStr">
        <x:is>
          <x:t xml:space="preserve">GBR</x:t>
        </x:is>
      </x:c>
    </x:row>
    <x:row r="255">
      <x:c r="A255" t="n">
        <x:v>1882</x:v>
      </x:c>
      <x:c r="B255" t="inlineStr">
        <x:is>
          <x:t xml:space="preserve">Men's</x:t>
        </x:is>
      </x:c>
      <x:c r="C255" t="inlineStr">
        <x:is>
          <x:t xml:space="preserve">W.C. Renshaw</x:t>
        </x:is>
      </x:c>
      <x:c r="D255" t="inlineStr">
        <x:is>
          <x:t xml:space="preserve">GBR</x:t>
        </x:is>
      </x:c>
      <x:c r="F255" t="n">
        <x:v>85</x:v>
      </x:c>
      <x:c r="G255" t="inlineStr">
        <x:is>
          <x:t xml:space="preserve">6-1, 2-6, 4-6, 6-2, 6-2</x:t>
        </x:is>
      </x:c>
      <x:c r="H255" t="inlineStr">
        <x:is>
          <x:t xml:space="preserve">J.E. Renshaw</x:t>
        </x:is>
      </x:c>
      <x:c r="I255" t="inlineStr">
        <x:is>
          <x:t xml:space="preserve">GBR</x:t>
        </x:is>
      </x:c>
    </x:row>
    <x:row r="256">
      <x:c r="A256" t="n">
        <x:v>1881</x:v>
      </x:c>
      <x:c r="B256" t="inlineStr">
        <x:is>
          <x:t xml:space="preserve">Men's</x:t>
        </x:is>
      </x:c>
      <x:c r="C256" t="inlineStr">
        <x:is>
          <x:t xml:space="preserve">W.C. Renshaw</x:t>
        </x:is>
      </x:c>
      <x:c r="D256" t="inlineStr">
        <x:is>
          <x:t xml:space="preserve">GBR</x:t>
        </x:is>
      </x:c>
      <x:c r="F256" t="n">
        <x:v>37</x:v>
      </x:c>
      <x:c r="G256" t="inlineStr">
        <x:is>
          <x:t xml:space="preserve">6-0, 6-1, 6-1</x:t>
        </x:is>
      </x:c>
      <x:c r="H256" t="inlineStr">
        <x:is>
          <x:t xml:space="preserve">J.T. Hartley</x:t>
        </x:is>
      </x:c>
      <x:c r="I256" t="inlineStr">
        <x:is>
          <x:t xml:space="preserve">GBR</x:t>
        </x:is>
      </x:c>
    </x:row>
    <x:row r="257">
      <x:c r="A257" t="n">
        <x:v>1880</x:v>
      </x:c>
      <x:c r="B257" t="inlineStr">
        <x:is>
          <x:t xml:space="preserve">Men's</x:t>
        </x:is>
      </x:c>
      <x:c r="C257" t="inlineStr">
        <x:is>
          <x:t xml:space="preserve">J.T. Hartley</x:t>
        </x:is>
      </x:c>
      <x:c r="D257" t="inlineStr">
        <x:is>
          <x:t xml:space="preserve">GBR</x:t>
        </x:is>
      </x:c>
      <x:c r="G257" t="inlineStr">
        <x:is>
          <x:t xml:space="preserve">6-3, 6-2, 2-6, 6-3</x:t>
        </x:is>
      </x:c>
      <x:c r="H257" t="inlineStr">
        <x:is>
          <x:t xml:space="preserve">H.F. Lawford</x:t>
        </x:is>
      </x:c>
      <x:c r="I257" t="inlineStr">
        <x:is>
          <x:t xml:space="preserve">GBR</x:t>
        </x:is>
      </x:c>
    </x:row>
    <x:row r="258">
      <x:c r="A258" t="n">
        <x:v>1879</x:v>
      </x:c>
      <x:c r="B258" t="inlineStr">
        <x:is>
          <x:t xml:space="preserve">Men's</x:t>
        </x:is>
      </x:c>
      <x:c r="C258" t="inlineStr">
        <x:is>
          <x:t xml:space="preserve">J.T. Hartley</x:t>
        </x:is>
      </x:c>
      <x:c r="D258" t="inlineStr">
        <x:is>
          <x:t xml:space="preserve">GBR</x:t>
        </x:is>
      </x:c>
      <x:c r="G258" t="inlineStr">
        <x:is>
          <x:t xml:space="preserve">6-2, 6-4, 6-2</x:t>
        </x:is>
      </x:c>
      <x:c r="H258" t="inlineStr">
        <x:is>
          <x:t xml:space="preserve">V.T.St.L. Goold</x:t>
        </x:is>
      </x:c>
      <x:c r="I258" t="inlineStr">
        <x:is>
          <x:t xml:space="preserve">GBR</x:t>
        </x:is>
      </x:c>
    </x:row>
    <x:row r="259">
      <x:c r="A259" t="n">
        <x:v>1878</x:v>
      </x:c>
      <x:c r="B259" t="inlineStr">
        <x:is>
          <x:t xml:space="preserve">Men's</x:t>
        </x:is>
      </x:c>
      <x:c r="C259" t="inlineStr">
        <x:is>
          <x:t xml:space="preserve">P.F. Hadow</x:t>
        </x:is>
      </x:c>
      <x:c r="D259" t="inlineStr">
        <x:is>
          <x:t xml:space="preserve">GBR</x:t>
        </x:is>
      </x:c>
      <x:c r="G259" t="inlineStr">
        <x:is>
          <x:t xml:space="preserve">7-5, 6-1, 9-7</x:t>
        </x:is>
      </x:c>
      <x:c r="H259" t="inlineStr">
        <x:is>
          <x:t xml:space="preserve">S.W. Gore</x:t>
        </x:is>
      </x:c>
      <x:c r="I259" t="inlineStr">
        <x:is>
          <x:t xml:space="preserve">GBR</x:t>
        </x:is>
      </x:c>
    </x:row>
    <x:row r="260">
      <x:c r="A260" t="n">
        <x:v>1877</x:v>
      </x:c>
      <x:c r="B260" t="inlineStr">
        <x:is>
          <x:t xml:space="preserve">Men's</x:t>
        </x:is>
      </x:c>
      <x:c r="C260" t="inlineStr">
        <x:is>
          <x:t xml:space="preserve">S.W. Gore</x:t>
        </x:is>
      </x:c>
      <x:c r="D260" t="inlineStr">
        <x:is>
          <x:t xml:space="preserve">GBR</x:t>
        </x:is>
      </x:c>
      <x:c r="F260" t="n">
        <x:v>48</x:v>
      </x:c>
      <x:c r="G260" t="inlineStr">
        <x:is>
          <x:t xml:space="preserve">6-1, 6-2, 6-4</x:t>
        </x:is>
      </x:c>
      <x:c r="H260" t="inlineStr">
        <x:is>
          <x:t xml:space="preserve">W.C. Marshall</x:t>
        </x:is>
      </x:c>
      <x:c r="I260" t="inlineStr">
        <x:is>
          <x:t xml:space="preserve">GBR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4.600000381469727"/>
  <x:cols>
    <x:col min="1" max="1" width="15.69140625" customWidth="1"/>
    <x:col min="2" max="2" width="20.53515625" customWidth="1"/>
    <x:col min="3" max="3" width="30.4609375" customWidth="1"/>
    <x:col min="4" max="4" width="20.69140625" customWidth="1"/>
    <x:col min="5" max="5" width="21" customWidth="1"/>
  </x:cols>
  <x:sheetData>
    <x:row r="1">
      <x:c r="A1" s="15" t="inlineStr">
        <x:is>
          <x:t xml:space="preserve">Champion</x:t>
        </x:is>
      </x:c>
      <x:c r="B1" s="15" t="inlineStr">
        <x:is>
          <x:t xml:space="preserve">Champion Nationality</x:t>
        </x:is>
      </x:c>
      <x:c r="C1" s="15" t="inlineStr">
        <x:is>
          <x:t xml:space="preserve">Score</x:t>
        </x:is>
      </x:c>
      <x:c r="D1" s="15" t="inlineStr">
        <x:is>
          <x:t xml:space="preserve">Runner-up</x:t>
        </x:is>
      </x:c>
      <x:c r="E1" s="15" t="inlineStr">
        <x:is>
          <x:t xml:space="preserve">Runner-up Nationality</x:t>
        </x:is>
      </x:c>
    </x:row>
    <x:row r="2">
      <x:c r="A2" t="inlineStr">
        <x:is>
          <x:t xml:space="preserve">S.Halep</x:t>
        </x:is>
      </x:c>
      <x:c r="B2" t="inlineStr">
        <x:is>
          <x:t xml:space="preserve">ROU</x:t>
        </x:is>
      </x:c>
      <x:c r="C2" t="inlineStr">
        <x:is>
          <x:t xml:space="preserve">6-2,6-2</x:t>
        </x:is>
      </x:c>
      <x:c r="D2" t="inlineStr">
        <x:is>
          <x:t xml:space="preserve">S. Williams</x:t>
        </x:is>
      </x:c>
      <x:c r="E2" t="inlineStr">
        <x:is>
          <x:t xml:space="preserve">USA</x:t>
        </x:is>
      </x:c>
    </x:row>
    <x:row r="3">
      <x:c r="A3" t="inlineStr">
        <x:is>
          <x:t xml:space="preserve">N. Djokovic</x:t>
        </x:is>
      </x:c>
      <x:c r="B3" t="inlineStr">
        <x:is>
          <x:t xml:space="preserve">SRB</x:t>
        </x:is>
      </x:c>
      <x:c r="C3" t="inlineStr">
        <x:is>
          <x:t xml:space="preserve">7-6,1-6,7-6,4-6,7-6</x:t>
        </x:is>
      </x:c>
      <x:c r="D3" t="inlineStr">
        <x:is>
          <x:t xml:space="preserve">R. Federer</x:t>
        </x:is>
      </x:c>
      <x:c r="E3" t="inlineStr">
        <x:is>
          <x:t xml:space="preserve">SUI</x:t>
        </x:is>
      </x:c>
    </x:row>
    <x:row r="4">
      <x:c r="A4" t="inlineStr">
        <x:is>
          <x:t xml:space="preserve">A.Kerber</x:t>
        </x:is>
      </x:c>
      <x:c r="B4" t="inlineStr">
        <x:is>
          <x:t xml:space="preserve">GER</x:t>
        </x:is>
      </x:c>
      <x:c r="C4" t="inlineStr">
        <x:is>
          <x:t xml:space="preserve">6-3,6-3</x:t>
        </x:is>
      </x:c>
      <x:c r="D4" t="inlineStr">
        <x:is>
          <x:t xml:space="preserve">S. Williams</x:t>
        </x:is>
      </x:c>
      <x:c r="E4" t="inlineStr">
        <x:is>
          <x:t xml:space="preserve">USA</x:t>
        </x:is>
      </x:c>
    </x:row>
    <x:row r="5">
      <x:c r="A5" t="inlineStr">
        <x:is>
          <x:t xml:space="preserve">N. Djokovic</x:t>
        </x:is>
      </x:c>
      <x:c r="B5" t="inlineStr">
        <x:is>
          <x:t xml:space="preserve">SRB</x:t>
        </x:is>
      </x:c>
      <x:c r="C5" t="inlineStr">
        <x:is>
          <x:t xml:space="preserve">6-2,6-2,7-6</x:t>
        </x:is>
      </x:c>
      <x:c r="D5" t="inlineStr">
        <x:is>
          <x:t xml:space="preserve">K.Anderson</x:t>
        </x:is>
      </x:c>
      <x:c r="E5" t="inlineStr">
        <x:is>
          <x:t xml:space="preserve">RSA</x:t>
        </x:is>
      </x:c>
    </x:row>
    <x:row r="6">
      <x:c r="A6" t="inlineStr">
        <x:is>
          <x:t xml:space="preserve">G.Muguruza</x:t>
        </x:is>
      </x:c>
      <x:c r="B6" t="inlineStr">
        <x:is>
          <x:t xml:space="preserve">ESP</x:t>
        </x:is>
      </x:c>
      <x:c r="C6" t="inlineStr">
        <x:is>
          <x:t xml:space="preserve">7-5,6-0</x:t>
        </x:is>
      </x:c>
      <x:c r="D6" t="inlineStr">
        <x:is>
          <x:t xml:space="preserve">V.E.S Williams</x:t>
        </x:is>
      </x:c>
      <x:c r="E6" t="inlineStr">
        <x:is>
          <x:t xml:space="preserve">USA</x:t>
        </x:is>
      </x:c>
    </x:row>
    <x:row r="7">
      <x:c r="A7" t="inlineStr">
        <x:is>
          <x:t xml:space="preserve">R. Federer</x:t>
        </x:is>
      </x:c>
      <x:c r="B7" t="inlineStr">
        <x:is>
          <x:t xml:space="preserve">SUI</x:t>
        </x:is>
      </x:c>
      <x:c r="C7" t="inlineStr">
        <x:is>
          <x:t xml:space="preserve">6-3,6-1,6-4</x:t>
        </x:is>
      </x:c>
      <x:c r="D7" t="inlineStr">
        <x:is>
          <x:t xml:space="preserve">M.Cilic</x:t>
        </x:is>
      </x:c>
      <x:c r="E7" t="inlineStr">
        <x:is>
          <x:t xml:space="preserve">HRV</x:t>
        </x:is>
      </x:c>
    </x:row>
    <x:row r="8">
      <x:c r="A8" t="inlineStr">
        <x:is>
          <x:t xml:space="preserve">A. Murray</x:t>
        </x:is>
      </x:c>
      <x:c r="B8" t="inlineStr">
        <x:is>
          <x:t xml:space="preserve">GBR</x:t>
        </x:is>
      </x:c>
      <x:c r="C8" t="inlineStr">
        <x:is>
          <x:t xml:space="preserve">6-4, 7-6, 7-6</x:t>
        </x:is>
      </x:c>
      <x:c r="D8" t="inlineStr">
        <x:is>
          <x:t xml:space="preserve">M. Raonic</x:t>
        </x:is>
      </x:c>
      <x:c r="E8" t="inlineStr">
        <x:is>
          <x:t xml:space="preserve">CND</x:t>
        </x:is>
      </x:c>
    </x:row>
    <x:row r="9">
      <x:c r="A9" t="inlineStr">
        <x:is>
          <x:t xml:space="preserve">S. Williams</x:t>
        </x:is>
      </x:c>
      <x:c r="B9" t="inlineStr">
        <x:is>
          <x:t xml:space="preserve">USA</x:t>
        </x:is>
      </x:c>
      <x:c r="C9" t="inlineStr">
        <x:is>
          <x:t xml:space="preserve">7-5, 6-3</x:t>
        </x:is>
      </x:c>
      <x:c r="D9" t="inlineStr">
        <x:is>
          <x:t xml:space="preserve">A. Kerber</x:t>
        </x:is>
      </x:c>
      <x:c r="E9" t="inlineStr">
        <x:is>
          <x:t xml:space="preserve">GER</x:t>
        </x:is>
      </x:c>
    </x:row>
    <x:row r="10">
      <x:c r="A10" t="inlineStr">
        <x:is>
          <x:t xml:space="preserve">N. Djokovic</x:t>
        </x:is>
      </x:c>
      <x:c r="B10" t="inlineStr">
        <x:is>
          <x:t xml:space="preserve">SRB</x:t>
        </x:is>
      </x:c>
      <x:c r="C10" t="inlineStr">
        <x:is>
          <x:t xml:space="preserve">7-6, 6-7, 6-4, 6-3</x:t>
        </x:is>
      </x:c>
      <x:c r="D10" t="inlineStr">
        <x:is>
          <x:t xml:space="preserve">R. Federer</x:t>
        </x:is>
      </x:c>
      <x:c r="E10" t="inlineStr">
        <x:is>
          <x:t xml:space="preserve">SUI</x:t>
        </x:is>
      </x:c>
    </x:row>
    <x:row r="11">
      <x:c r="A11" t="inlineStr">
        <x:is>
          <x:t xml:space="preserve">S. Williams</x:t>
        </x:is>
      </x:c>
      <x:c r="B11" t="inlineStr">
        <x:is>
          <x:t xml:space="preserve">USA</x:t>
        </x:is>
      </x:c>
      <x:c r="C11" t="inlineStr">
        <x:is>
          <x:t xml:space="preserve">6-4, 6-4</x:t>
        </x:is>
      </x:c>
      <x:c r="D11" t="inlineStr">
        <x:is>
          <x:t xml:space="preserve">G. Muguruza</x:t>
        </x:is>
      </x:c>
      <x:c r="E11" t="inlineStr">
        <x:is>
          <x:t xml:space="preserve">ESP</x:t>
        </x:is>
      </x:c>
    </x:row>
    <x:row r="12">
      <x:c r="A12" t="inlineStr">
        <x:is>
          <x:t xml:space="preserve">P. Kvitová</x:t>
        </x:is>
      </x:c>
      <x:c r="B12" t="inlineStr">
        <x:is>
          <x:t xml:space="preserve">CZE</x:t>
        </x:is>
      </x:c>
      <x:c r="C12" t="inlineStr">
        <x:is>
          <x:t xml:space="preserve">6-3, 6-0</x:t>
        </x:is>
      </x:c>
      <x:c r="D12" t="inlineStr">
        <x:is>
          <x:t xml:space="preserve">E. Bouchard</x:t>
        </x:is>
      </x:c>
      <x:c r="E12" t="inlineStr">
        <x:is>
          <x:t xml:space="preserve">CND</x:t>
        </x:is>
      </x:c>
    </x:row>
    <x:row r="13">
      <x:c r="A13" t="inlineStr">
        <x:is>
          <x:t xml:space="preserve">N. Djokovic</x:t>
        </x:is>
      </x:c>
      <x:c r="B13" t="inlineStr">
        <x:is>
          <x:t xml:space="preserve">SRB</x:t>
        </x:is>
      </x:c>
      <x:c r="C13" t="inlineStr">
        <x:is>
          <x:t xml:space="preserve">6-7, 6-4, 7-64, 5-7, 6-4</x:t>
        </x:is>
      </x:c>
      <x:c r="D13" t="inlineStr">
        <x:is>
          <x:t xml:space="preserve">R. Federer</x:t>
        </x:is>
      </x:c>
      <x:c r="E13" t="inlineStr">
        <x:is>
          <x:t xml:space="preserve">SUI</x:t>
        </x:is>
      </x:c>
    </x:row>
    <x:row r="14">
      <x:c r="A14" t="inlineStr">
        <x:is>
          <x:t xml:space="preserve">M. Bartoli</x:t>
        </x:is>
      </x:c>
      <x:c r="B14" t="inlineStr">
        <x:is>
          <x:t xml:space="preserve">FRA</x:t>
        </x:is>
      </x:c>
      <x:c r="C14" t="inlineStr">
        <x:is>
          <x:t xml:space="preserve">6-2,1-6,6-4</x:t>
        </x:is>
      </x:c>
      <x:c r="D14" t="inlineStr">
        <x:is>
          <x:t xml:space="preserve">S. Lisicki</x:t>
        </x:is>
      </x:c>
      <x:c r="E14" t="inlineStr">
        <x:is>
          <x:t xml:space="preserve">GER</x:t>
        </x:is>
      </x:c>
    </x:row>
    <x:row r="15">
      <x:c r="A15" t="inlineStr">
        <x:is>
          <x:t xml:space="preserve">A. Murray</x:t>
        </x:is>
      </x:c>
      <x:c r="B15" t="inlineStr">
        <x:is>
          <x:t xml:space="preserve">GBR</x:t>
        </x:is>
      </x:c>
      <x:c r="C15" t="inlineStr">
        <x:is>
          <x:t xml:space="preserve">6-4, 7-5, 6-4</x:t>
        </x:is>
      </x:c>
      <x:c r="D15" t="inlineStr">
        <x:is>
          <x:t xml:space="preserve">N. Djokovic</x:t>
        </x:is>
      </x:c>
      <x:c r="E15" t="inlineStr">
        <x:is>
          <x:t xml:space="preserve">SRB</x:t>
        </x:is>
      </x:c>
    </x:row>
    <x:row r="16">
      <x:c r="A16" t="inlineStr">
        <x:is>
          <x:t xml:space="preserve">R. Federer</x:t>
        </x:is>
      </x:c>
      <x:c r="B16" t="inlineStr">
        <x:is>
          <x:t xml:space="preserve">SUI</x:t>
        </x:is>
      </x:c>
      <x:c r="C16" t="inlineStr">
        <x:is>
          <x:t xml:space="preserve">4-6, 7-5, 6-3, 6-4</x:t>
        </x:is>
      </x:c>
      <x:c r="D16" t="inlineStr">
        <x:is>
          <x:t xml:space="preserve">A. Murray</x:t>
        </x:is>
      </x:c>
      <x:c r="E16" t="inlineStr">
        <x:is>
          <x:t xml:space="preserve">GBR</x:t>
        </x:is>
      </x:c>
    </x:row>
    <x:row r="17">
      <x:c r="A17" t="inlineStr">
        <x:is>
          <x:t xml:space="preserve">S. Williams</x:t>
        </x:is>
      </x:c>
      <x:c r="B17" t="inlineStr">
        <x:is>
          <x:t xml:space="preserve">USA</x:t>
        </x:is>
      </x:c>
      <x:c r="C17" t="inlineStr">
        <x:is>
          <x:t xml:space="preserve">6-1, 5-7, 6-2</x:t>
        </x:is>
      </x:c>
      <x:c r="D17" t="inlineStr">
        <x:is>
          <x:t xml:space="preserve">A. Radwańska</x:t>
        </x:is>
      </x:c>
      <x:c r="E17" t="inlineStr">
        <x:is>
          <x:t xml:space="preserve">POL</x:t>
        </x:is>
      </x:c>
    </x:row>
    <x:row r="18">
      <x:c r="A18" t="inlineStr">
        <x:is>
          <x:t xml:space="preserve">P.Kvitova</x:t>
        </x:is>
      </x:c>
      <x:c r="B18" t="inlineStr">
        <x:is>
          <x:t xml:space="preserve">CZE</x:t>
        </x:is>
      </x:c>
      <x:c r="C18" t="inlineStr">
        <x:is>
          <x:t xml:space="preserve">6-3, 6-4</x:t>
        </x:is>
      </x:c>
      <x:c r="D18" t="inlineStr">
        <x:is>
          <x:t xml:space="preserve">M. Sharapova</x:t>
        </x:is>
      </x:c>
      <x:c r="E18" t="inlineStr">
        <x:is>
          <x:t xml:space="preserve">RUS</x:t>
        </x:is>
      </x:c>
    </x:row>
    <x:row r="19">
      <x:c r="A19" t="inlineStr">
        <x:is>
          <x:t xml:space="preserve">N. Djokovic</x:t>
        </x:is>
      </x:c>
      <x:c r="B19" t="inlineStr">
        <x:is>
          <x:t xml:space="preserve">SRB</x:t>
        </x:is>
      </x:c>
      <x:c r="C19" t="inlineStr">
        <x:is>
          <x:t xml:space="preserve">6-4 6-1 1-6 6-3</x:t>
        </x:is>
      </x:c>
      <x:c r="D19" t="inlineStr">
        <x:is>
          <x:t xml:space="preserve">R. Nadal</x:t>
        </x:is>
      </x:c>
      <x:c r="E19" t="inlineStr">
        <x:is>
          <x:t xml:space="preserve">ESP</x:t>
        </x:is>
      </x:c>
    </x:row>
    <x:row r="20">
      <x:c r="A20" t="inlineStr">
        <x:is>
          <x:t xml:space="preserve">R. Nadal</x:t>
        </x:is>
      </x:c>
      <x:c r="B20" t="inlineStr">
        <x:is>
          <x:t xml:space="preserve">ESP</x:t>
        </x:is>
      </x:c>
      <x:c r="C20" t="inlineStr">
        <x:is>
          <x:t xml:space="preserve">6-3, 7-5, 6-4</x:t>
        </x:is>
      </x:c>
      <x:c r="D20" t="inlineStr">
        <x:is>
          <x:t xml:space="preserve">T. Berdych</x:t>
        </x:is>
      </x:c>
      <x:c r="E20" t="inlineStr">
        <x:is>
          <x:t xml:space="preserve">CZ</x:t>
        </x:is>
      </x:c>
    </x:row>
    <x:row r="21">
      <x:c r="A21" t="inlineStr">
        <x:is>
          <x:t xml:space="preserve">S. Williams</x:t>
        </x:is>
      </x:c>
      <x:c r="B21" t="inlineStr">
        <x:is>
          <x:t xml:space="preserve">USA</x:t>
        </x:is>
      </x:c>
      <x:c r="C21" t="inlineStr">
        <x:is>
          <x:t xml:space="preserve">6-3, 6-2</x:t>
        </x:is>
      </x:c>
      <x:c r="D21" t="inlineStr">
        <x:is>
          <x:t xml:space="preserve">V. Zvonareva</x:t>
        </x:is>
      </x:c>
      <x:c r="E21" t="inlineStr">
        <x:is>
          <x:t xml:space="preserve">RUS</x:t>
        </x:is>
      </x:c>
    </x:row>
    <x:row r="22">
      <x:c r="A22" t="inlineStr">
        <x:is>
          <x:t xml:space="preserve">R. Federer</x:t>
        </x:is>
      </x:c>
      <x:c r="B22" t="inlineStr">
        <x:is>
          <x:t xml:space="preserve">SUI</x:t>
        </x:is>
      </x:c>
      <x:c r="C22" t="inlineStr">
        <x:is>
          <x:t xml:space="preserve">5-7, 7-6 (8-6), 7-6 (7-5), 3-6, 16-14</x:t>
        </x:is>
      </x:c>
      <x:c r="D22" t="inlineStr">
        <x:is>
          <x:t xml:space="preserve">A. Roddick</x:t>
        </x:is>
      </x:c>
      <x:c r="E22" t="inlineStr">
        <x:is>
          <x:t xml:space="preserve">USA</x:t>
        </x:is>
      </x:c>
    </x:row>
    <x:row r="23">
      <x:c r="A23" t="inlineStr">
        <x:is>
          <x:t xml:space="preserve">S. Williams</x:t>
        </x:is>
      </x:c>
      <x:c r="B23" t="inlineStr">
        <x:is>
          <x:t xml:space="preserve">USA</x:t>
        </x:is>
      </x:c>
      <x:c r="C23" t="inlineStr">
        <x:is>
          <x:t xml:space="preserve">7-6 (7-3), 6-2</x:t>
        </x:is>
      </x:c>
      <x:c r="D23" t="inlineStr">
        <x:is>
          <x:t xml:space="preserve">V.E.S. Williams</x:t>
        </x:is>
      </x:c>
      <x:c r="E23" t="inlineStr">
        <x:is>
          <x:t xml:space="preserve">USA</x:t>
        </x:is>
      </x:c>
    </x:row>
    <x:row r="24">
      <x:c r="A24" t="inlineStr">
        <x:is>
          <x:t xml:space="preserve">R. Nadal</x:t>
        </x:is>
      </x:c>
      <x:c r="B24" t="inlineStr">
        <x:is>
          <x:t xml:space="preserve">ESP</x:t>
        </x:is>
      </x:c>
      <x:c r="C24" t="inlineStr">
        <x:is>
          <x:t xml:space="preserve">6-4, 6-4, 6-7 (5-7), 6-7 (8-10), 9-7</x:t>
        </x:is>
      </x:c>
      <x:c r="D24" t="inlineStr">
        <x:is>
          <x:t xml:space="preserve">R. Federer</x:t>
        </x:is>
      </x:c>
      <x:c r="E24" t="inlineStr">
        <x:is>
          <x:t xml:space="preserve">SUI</x:t>
        </x:is>
      </x:c>
    </x:row>
    <x:row r="25">
      <x:c r="A25" t="inlineStr">
        <x:is>
          <x:t xml:space="preserve">V.E.S. Williams</x:t>
        </x:is>
      </x:c>
      <x:c r="B25" t="inlineStr">
        <x:is>
          <x:t xml:space="preserve">USA</x:t>
        </x:is>
      </x:c>
      <x:c r="C25" t="inlineStr">
        <x:is>
          <x:t xml:space="preserve">7-5, 6-4</x:t>
        </x:is>
      </x:c>
      <x:c r="D25" t="inlineStr">
        <x:is>
          <x:t xml:space="preserve">S. Williams</x:t>
        </x:is>
      </x:c>
      <x:c r="E25" t="inlineStr">
        <x:is>
          <x:t xml:space="preserve">USA</x:t>
        </x:is>
      </x:c>
    </x:row>
    <x:row r="26">
      <x:c r="A26" t="inlineStr">
        <x:is>
          <x:t xml:space="preserve">R. Federer</x:t>
        </x:is>
      </x:c>
      <x:c r="B26" t="inlineStr">
        <x:is>
          <x:t xml:space="preserve">SUI</x:t>
        </x:is>
      </x:c>
      <x:c r="C26" t="inlineStr">
        <x:is>
          <x:t xml:space="preserve">7-6 (9-7), 4-6, 7-6 (7-3), 2-6, 6-2</x:t>
        </x:is>
      </x:c>
      <x:c r="D26" t="inlineStr">
        <x:is>
          <x:t xml:space="preserve">R. Nadal</x:t>
        </x:is>
      </x:c>
      <x:c r="E26" t="inlineStr">
        <x:is>
          <x:t xml:space="preserve">ESP</x:t>
        </x:is>
      </x:c>
    </x:row>
    <x:row r="27">
      <x:c r="A27" t="inlineStr">
        <x:is>
          <x:t xml:space="preserve">V.E.S. Williams</x:t>
        </x:is>
      </x:c>
      <x:c r="B27" t="inlineStr">
        <x:is>
          <x:t xml:space="preserve">USA</x:t>
        </x:is>
      </x:c>
      <x:c r="C27" t="inlineStr">
        <x:is>
          <x:t xml:space="preserve">6-4, 6-1</x:t>
        </x:is>
      </x:c>
      <x:c r="D27" t="inlineStr">
        <x:is>
          <x:t xml:space="preserve">M. Bartoli</x:t>
        </x:is>
      </x:c>
      <x:c r="E27" t="inlineStr">
        <x:is>
          <x:t xml:space="preserve">FRA</x:t>
        </x:is>
      </x:c>
    </x:row>
    <x:row r="28">
      <x:c r="A28" t="inlineStr">
        <x:is>
          <x:t xml:space="preserve">A. Mauresmo</x:t>
        </x:is>
      </x:c>
      <x:c r="B28" t="inlineStr">
        <x:is>
          <x:t xml:space="preserve">FRA</x:t>
        </x:is>
      </x:c>
      <x:c r="C28" t="inlineStr">
        <x:is>
          <x:t xml:space="preserve">2-6, 6-3, 6-4</x:t>
        </x:is>
      </x:c>
      <x:c r="D28" t="inlineStr">
        <x:is>
          <x:t xml:space="preserve">P-Y Hardenne</x:t>
        </x:is>
      </x:c>
      <x:c r="E28" t="inlineStr">
        <x:is>
          <x:t xml:space="preserve">BEL</x:t>
        </x:is>
      </x:c>
    </x:row>
    <x:row r="29">
      <x:c r="A29" t="inlineStr">
        <x:is>
          <x:t xml:space="preserve">R. Federer</x:t>
        </x:is>
      </x:c>
      <x:c r="B29" t="inlineStr">
        <x:is>
          <x:t xml:space="preserve">SUI</x:t>
        </x:is>
      </x:c>
      <x:c r="C29" t="inlineStr">
        <x:is>
          <x:t xml:space="preserve">6-0, 7-6 (7-5), 6-7 (2-7), 6-3</x:t>
        </x:is>
      </x:c>
      <x:c r="D29" t="inlineStr">
        <x:is>
          <x:t xml:space="preserve">R. Nadal</x:t>
        </x:is>
      </x:c>
      <x:c r="E29" t="inlineStr">
        <x:is>
          <x:t xml:space="preserve">ESP</x:t>
        </x:is>
      </x:c>
    </x:row>
    <x:row r="30">
      <x:c r="A30" t="inlineStr">
        <x:is>
          <x:t xml:space="preserve">R. Federer</x:t>
        </x:is>
      </x:c>
      <x:c r="B30" t="inlineStr">
        <x:is>
          <x:t xml:space="preserve">SUI</x:t>
        </x:is>
      </x:c>
      <x:c r="C30" t="inlineStr">
        <x:is>
          <x:t xml:space="preserve">6-2, 7-6 (7-2), 6-4</x:t>
        </x:is>
      </x:c>
      <x:c r="D30" t="inlineStr">
        <x:is>
          <x:t xml:space="preserve">A. Roddick</x:t>
        </x:is>
      </x:c>
      <x:c r="E30" t="inlineStr">
        <x:is>
          <x:t xml:space="preserve">USA</x:t>
        </x:is>
      </x:c>
    </x:row>
    <x:row r="31">
      <x:c r="A31" t="inlineStr">
        <x:is>
          <x:t xml:space="preserve">V.E.S. Williams</x:t>
        </x:is>
      </x:c>
      <x:c r="B31" t="inlineStr">
        <x:is>
          <x:t xml:space="preserve">USA</x:t>
        </x:is>
      </x:c>
      <x:c r="C31" t="inlineStr">
        <x:is>
          <x:t xml:space="preserve">4-6, 7-6 (7-4), 9-7</x:t>
        </x:is>
      </x:c>
      <x:c r="D31" t="inlineStr">
        <x:is>
          <x:t xml:space="preserve">L. Davenport</x:t>
        </x:is>
      </x:c>
      <x:c r="E31" t="inlineStr">
        <x:is>
          <x:t xml:space="preserve">USA</x:t>
        </x:is>
      </x:c>
    </x:row>
    <x:row r="32">
      <x:c r="A32" t="inlineStr">
        <x:is>
          <x:t xml:space="preserve">M. Sharapova</x:t>
        </x:is>
      </x:c>
      <x:c r="B32" t="inlineStr">
        <x:is>
          <x:t xml:space="preserve">RUS</x:t>
        </x:is>
      </x:c>
      <x:c r="C32" t="inlineStr">
        <x:is>
          <x:t xml:space="preserve">6-1, 6-4</x:t>
        </x:is>
      </x:c>
      <x:c r="D32" t="inlineStr">
        <x:is>
          <x:t xml:space="preserve">S. Williams</x:t>
        </x:is>
      </x:c>
      <x:c r="E32" t="inlineStr">
        <x:is>
          <x:t xml:space="preserve">USA</x:t>
        </x:is>
      </x:c>
    </x:row>
    <x:row r="33">
      <x:c r="A33" t="inlineStr">
        <x:is>
          <x:t xml:space="preserve">R. Federer</x:t>
        </x:is>
      </x:c>
      <x:c r="B33" t="inlineStr">
        <x:is>
          <x:t xml:space="preserve">SUI</x:t>
        </x:is>
      </x:c>
      <x:c r="C33" t="inlineStr">
        <x:is>
          <x:t xml:space="preserve">4-6, 7-5, 7-6 (7-3), 6-4</x:t>
        </x:is>
      </x:c>
      <x:c r="D33" t="inlineStr">
        <x:is>
          <x:t xml:space="preserve">A. Roddick</x:t>
        </x:is>
      </x:c>
      <x:c r="E33" t="inlineStr">
        <x:is>
          <x:t xml:space="preserve">USA</x:t>
        </x:is>
      </x:c>
    </x:row>
    <x:row r="34">
      <x:c r="A34" t="inlineStr">
        <x:is>
          <x:t xml:space="preserve">R. Federer</x:t>
        </x:is>
      </x:c>
      <x:c r="B34" t="inlineStr">
        <x:is>
          <x:t xml:space="preserve">SUI</x:t>
        </x:is>
      </x:c>
      <x:c r="C34" t="inlineStr">
        <x:is>
          <x:t xml:space="preserve">7-6 (7-5), 6-2, 7-6 (7-3)</x:t>
        </x:is>
      </x:c>
      <x:c r="D34" t="inlineStr">
        <x:is>
          <x:t xml:space="preserve">M. Philippousis</x:t>
        </x:is>
      </x:c>
      <x:c r="E34" t="inlineStr">
        <x:is>
          <x:t xml:space="preserve">AUS</x:t>
        </x:is>
      </x:c>
    </x:row>
    <x:row r="35">
      <x:c r="A35" t="inlineStr">
        <x:is>
          <x:t xml:space="preserve">S. Williams</x:t>
        </x:is>
      </x:c>
      <x:c r="B35" t="inlineStr">
        <x:is>
          <x:t xml:space="preserve">USA</x:t>
        </x:is>
      </x:c>
      <x:c r="C35" t="inlineStr">
        <x:is>
          <x:t xml:space="preserve">4-6, 6-4, 6-2</x:t>
        </x:is>
      </x:c>
      <x:c r="D35" t="inlineStr">
        <x:is>
          <x:t xml:space="preserve">V.E.S. Williams</x:t>
        </x:is>
      </x:c>
      <x:c r="E35" t="inlineStr">
        <x:is>
          <x:t xml:space="preserve">USA</x:t>
        </x:is>
      </x:c>
    </x:row>
    <x:row r="36">
      <x:c r="A36" t="inlineStr">
        <x:is>
          <x:t xml:space="preserve">L.G. Hewitt</x:t>
        </x:is>
      </x:c>
      <x:c r="B36" t="inlineStr">
        <x:is>
          <x:t xml:space="preserve">AUS</x:t>
        </x:is>
      </x:c>
      <x:c r="C36" t="inlineStr">
        <x:is>
          <x:t xml:space="preserve">6-1, 6-3, 6-2</x:t>
        </x:is>
      </x:c>
      <x:c r="D36" t="inlineStr">
        <x:is>
          <x:t xml:space="preserve">D.P. Nalbandian</x:t>
        </x:is>
      </x:c>
      <x:c r="E36" t="inlineStr">
        <x:is>
          <x:t xml:space="preserve">ARG</x:t>
        </x:is>
      </x:c>
    </x:row>
    <x:row r="37">
      <x:c r="A37" t="inlineStr">
        <x:is>
          <x:t xml:space="preserve">S. Williams</x:t>
        </x:is>
      </x:c>
      <x:c r="B37" t="inlineStr">
        <x:is>
          <x:t xml:space="preserve">USA</x:t>
        </x:is>
      </x:c>
      <x:c r="C37" t="inlineStr">
        <x:is>
          <x:t xml:space="preserve">7-6 (7-4), 6-3</x:t>
        </x:is>
      </x:c>
      <x:c r="D37" t="inlineStr">
        <x:is>
          <x:t xml:space="preserve">V.E.S. Williams</x:t>
        </x:is>
      </x:c>
      <x:c r="E37" t="inlineStr">
        <x:is>
          <x:t xml:space="preserve">USA</x:t>
        </x:is>
      </x:c>
    </x:row>
    <x:row r="38">
      <x:c r="A38" t="inlineStr">
        <x:is>
          <x:t xml:space="preserve">G.S. Ivanisevic</x:t>
        </x:is>
      </x:c>
      <x:c r="B38" t="inlineStr">
        <x:is>
          <x:t xml:space="preserve">CRO</x:t>
        </x:is>
      </x:c>
      <x:c r="C38" t="inlineStr">
        <x:is>
          <x:t xml:space="preserve">6-3, 3-6, 6-3, 2-6, 9-7</x:t>
        </x:is>
      </x:c>
      <x:c r="D38" t="inlineStr">
        <x:is>
          <x:t xml:space="preserve">P.M. Rafter</x:t>
        </x:is>
      </x:c>
      <x:c r="E38" t="inlineStr">
        <x:is>
          <x:t xml:space="preserve">AUS</x:t>
        </x:is>
      </x:c>
    </x:row>
    <x:row r="39">
      <x:c r="A39" t="inlineStr">
        <x:is>
          <x:t xml:space="preserve">V.E.S. Williams</x:t>
        </x:is>
      </x:c>
      <x:c r="B39" t="inlineStr">
        <x:is>
          <x:t xml:space="preserve">USA</x:t>
        </x:is>
      </x:c>
      <x:c r="C39" t="inlineStr">
        <x:is>
          <x:t xml:space="preserve">6-1, 3-6, 6-0</x:t>
        </x:is>
      </x:c>
      <x:c r="D39" t="inlineStr">
        <x:is>
          <x:t xml:space="preserve">J. Henin</x:t>
        </x:is>
      </x:c>
      <x:c r="E39" t="inlineStr">
        <x:is>
          <x:t xml:space="preserve">BEL</x:t>
        </x:is>
      </x:c>
    </x:row>
    <x:row r="40">
      <x:c r="A40" t="inlineStr">
        <x:is>
          <x:t xml:space="preserve">P. Sampras</x:t>
        </x:is>
      </x:c>
      <x:c r="B40" t="inlineStr">
        <x:is>
          <x:t xml:space="preserve">USA</x:t>
        </x:is>
      </x:c>
      <x:c r="C40" t="inlineStr">
        <x:is>
          <x:t xml:space="preserve">6-7 (10-12), 7-6 (7-5), 6-4, 6-2</x:t>
        </x:is>
      </x:c>
      <x:c r="D40" t="inlineStr">
        <x:is>
          <x:t xml:space="preserve">P.M. Rafter</x:t>
        </x:is>
      </x:c>
      <x:c r="E40" t="inlineStr">
        <x:is>
          <x:t xml:space="preserve">AUS</x:t>
        </x:is>
      </x:c>
    </x:row>
    <x:row r="41">
      <x:c r="A41" t="inlineStr">
        <x:is>
          <x:t xml:space="preserve">V.E.S. Williams</x:t>
        </x:is>
      </x:c>
      <x:c r="B41" t="inlineStr">
        <x:is>
          <x:t xml:space="preserve">USA</x:t>
        </x:is>
      </x:c>
      <x:c r="C41" t="inlineStr">
        <x:is>
          <x:t xml:space="preserve">6-3, 7-6 (7-3)</x:t>
        </x:is>
      </x:c>
      <x:c r="D41" t="inlineStr">
        <x:is>
          <x:t xml:space="preserve">L.A. Davenport</x:t>
        </x:is>
      </x:c>
      <x:c r="E41" t="inlineStr">
        <x:is>
          <x:t xml:space="preserve">USA</x:t>
        </x:is>
      </x:c>
    </x:row>
    <x:row r="42">
      <x:c r="A42" t="inlineStr">
        <x:is>
          <x:t xml:space="preserve">P. Sampras</x:t>
        </x:is>
      </x:c>
      <x:c r="B42" t="inlineStr">
        <x:is>
          <x:t xml:space="preserve">USA</x:t>
        </x:is>
      </x:c>
      <x:c r="C42" t="inlineStr">
        <x:is>
          <x:t xml:space="preserve">6-3, 6-4, 7-5</x:t>
        </x:is>
      </x:c>
      <x:c r="D42" t="inlineStr">
        <x:is>
          <x:t xml:space="preserve">A.K. Agassi</x:t>
        </x:is>
      </x:c>
      <x:c r="E42" t="inlineStr">
        <x:is>
          <x:t xml:space="preserve">USA</x:t>
        </x:is>
      </x:c>
    </x:row>
    <x:row r="43">
      <x:c r="A43" t="inlineStr">
        <x:is>
          <x:t xml:space="preserve">L.A. Davenport</x:t>
        </x:is>
      </x:c>
      <x:c r="B43" t="inlineStr">
        <x:is>
          <x:t xml:space="preserve">USA</x:t>
        </x:is>
      </x:c>
      <x:c r="C43" t="inlineStr">
        <x:is>
          <x:t xml:space="preserve">6-4, 7-5</x:t>
        </x:is>
      </x:c>
      <x:c r="D43" t="inlineStr">
        <x:is>
          <x:t xml:space="preserve">S.M. Graf</x:t>
        </x:is>
      </x:c>
      <x:c r="E43" t="inlineStr">
        <x:is>
          <x:t xml:space="preserve">GER</x:t>
        </x:is>
      </x:c>
    </x:row>
    <x:row r="44">
      <x:c r="A44" t="inlineStr">
        <x:is>
          <x:t xml:space="preserve">J. Novotna</x:t>
        </x:is>
      </x:c>
      <x:c r="B44" t="inlineStr">
        <x:is>
          <x:t xml:space="preserve">CZE</x:t>
        </x:is>
      </x:c>
      <x:c r="C44" t="inlineStr">
        <x:is>
          <x:t xml:space="preserve">6-4, 7-6 (7-2)</x:t>
        </x:is>
      </x:c>
      <x:c r="D44" t="inlineStr">
        <x:is>
          <x:t xml:space="preserve">N. Tauziat</x:t>
        </x:is>
      </x:c>
      <x:c r="E44" t="inlineStr">
        <x:is>
          <x:t xml:space="preserve">FRA</x:t>
        </x:is>
      </x:c>
    </x:row>
    <x:row r="45">
      <x:c r="A45" t="inlineStr">
        <x:is>
          <x:t xml:space="preserve">P. Sampras</x:t>
        </x:is>
      </x:c>
      <x:c r="B45" t="inlineStr">
        <x:is>
          <x:t xml:space="preserve">USA</x:t>
        </x:is>
      </x:c>
      <x:c r="C45" t="inlineStr">
        <x:is>
          <x:t xml:space="preserve">6-7 (2-7), 7-6 (11-9), 6-4, 3-6, 6-2</x:t>
        </x:is>
      </x:c>
      <x:c r="D45" t="inlineStr">
        <x:is>
          <x:t xml:space="preserve">G.S. Ivanisevic</x:t>
        </x:is>
      </x:c>
      <x:c r="E45" t="inlineStr">
        <x:is>
          <x:t xml:space="preserve">CRO</x:t>
        </x:is>
      </x:c>
    </x:row>
    <x:row r="46">
      <x:c r="A46" t="inlineStr">
        <x:is>
          <x:t xml:space="preserve">M. Hingis</x:t>
        </x:is>
      </x:c>
      <x:c r="B46" t="inlineStr">
        <x:is>
          <x:t xml:space="preserve">SUI</x:t>
        </x:is>
      </x:c>
      <x:c r="C46" t="inlineStr">
        <x:is>
          <x:t xml:space="preserve">2-6, 6-3, 6-3</x:t>
        </x:is>
      </x:c>
      <x:c r="D46" t="inlineStr">
        <x:is>
          <x:t xml:space="preserve">J. Novotna</x:t>
        </x:is>
      </x:c>
      <x:c r="E46" t="inlineStr">
        <x:is>
          <x:t xml:space="preserve">CZE</x:t>
        </x:is>
      </x:c>
    </x:row>
    <x:row r="47">
      <x:c r="A47" t="inlineStr">
        <x:is>
          <x:t xml:space="preserve">P. Sampras</x:t>
        </x:is>
      </x:c>
      <x:c r="B47" t="inlineStr">
        <x:is>
          <x:t xml:space="preserve">USA</x:t>
        </x:is>
      </x:c>
      <x:c r="C47" t="inlineStr">
        <x:is>
          <x:t xml:space="preserve">6-4, 6-2, 6-4</x:t>
        </x:is>
      </x:c>
      <x:c r="D47" t="inlineStr">
        <x:is>
          <x:t xml:space="preserve">C.A. Pioline</x:t>
        </x:is>
      </x:c>
      <x:c r="E47" t="inlineStr">
        <x:is>
          <x:t xml:space="preserve">FRA</x:t>
        </x:is>
      </x:c>
    </x:row>
    <x:row r="48">
      <x:c r="A48" t="inlineStr">
        <x:is>
          <x:t xml:space="preserve">S.M. Graf</x:t>
        </x:is>
      </x:c>
      <x:c r="B48" t="inlineStr">
        <x:is>
          <x:t xml:space="preserve">GER</x:t>
        </x:is>
      </x:c>
      <x:c r="C48" t="inlineStr">
        <x:is>
          <x:t xml:space="preserve">6-3, 7-5,</x:t>
        </x:is>
      </x:c>
      <x:c r="D48" t="inlineStr">
        <x:is>
          <x:t xml:space="preserve">A.I.M. Sanchez Vicario</x:t>
        </x:is>
      </x:c>
      <x:c r="E48" t="inlineStr">
        <x:is>
          <x:t xml:space="preserve">ESP</x:t>
        </x:is>
      </x:c>
    </x:row>
    <x:row r="49">
      <x:c r="A49" t="inlineStr">
        <x:is>
          <x:t xml:space="preserve">R.P.S. Krajicek</x:t>
        </x:is>
      </x:c>
      <x:c r="B49" t="inlineStr">
        <x:is>
          <x:t xml:space="preserve">NED</x:t>
        </x:is>
      </x:c>
      <x:c r="C49" t="inlineStr">
        <x:is>
          <x:t xml:space="preserve">6-3, 6-4, 6-3</x:t>
        </x:is>
      </x:c>
      <x:c r="D49" t="inlineStr">
        <x:is>
          <x:t xml:space="preserve">M.O. Washington</x:t>
        </x:is>
      </x:c>
      <x:c r="E49" t="inlineStr">
        <x:is>
          <x:t xml:space="preserve">USA</x:t>
        </x:is>
      </x:c>
    </x:row>
    <x:row r="50">
      <x:c r="A50" t="inlineStr">
        <x:is>
          <x:t xml:space="preserve">S.M. Graf</x:t>
        </x:is>
      </x:c>
      <x:c r="B50" t="inlineStr">
        <x:is>
          <x:t xml:space="preserve">GER</x:t>
        </x:is>
      </x:c>
      <x:c r="C50" t="inlineStr">
        <x:is>
          <x:t xml:space="preserve">4-6, 6-1, 7-5,</x:t>
        </x:is>
      </x:c>
      <x:c r="D50" t="inlineStr">
        <x:is>
          <x:t xml:space="preserve">A.I.M. Sanchez Vicario</x:t>
        </x:is>
      </x:c>
      <x:c r="E50" t="inlineStr">
        <x:is>
          <x:t xml:space="preserve">ESP</x:t>
        </x:is>
      </x:c>
    </x:row>
    <x:row r="51">
      <x:c r="A51" t="inlineStr">
        <x:is>
          <x:t xml:space="preserve">P. Sampras</x:t>
        </x:is>
      </x:c>
      <x:c r="B51" t="inlineStr">
        <x:is>
          <x:t xml:space="preserve">USA</x:t>
        </x:is>
      </x:c>
      <x:c r="C51" t="inlineStr">
        <x:is>
          <x:t xml:space="preserve">6-7 (5-7), 6-2, 6-4, 6-2</x:t>
        </x:is>
      </x:c>
      <x:c r="D51" t="inlineStr">
        <x:is>
          <x:t xml:space="preserve">B.F. Becker</x:t>
        </x:is>
      </x:c>
      <x:c r="E51" t="inlineStr">
        <x:is>
          <x:t xml:space="preserve">GER</x:t>
        </x:is>
      </x:c>
    </x:row>
    <x:row r="52">
      <x:c r="A52" t="inlineStr">
        <x:is>
          <x:t xml:space="preserve">I.C. Martinez</x:t>
        </x:is>
      </x:c>
      <x:c r="B52" t="inlineStr">
        <x:is>
          <x:t xml:space="preserve">ESP</x:t>
        </x:is>
      </x:c>
      <x:c r="C52" t="inlineStr">
        <x:is>
          <x:t xml:space="preserve">6-4, 3-6, 6-3,</x:t>
        </x:is>
      </x:c>
      <x:c r="D52" t="inlineStr">
        <x:is>
          <x:t xml:space="preserve">M. Navratilova</x:t>
        </x:is>
      </x:c>
      <x:c r="E52" t="inlineStr">
        <x:is>
          <x:t xml:space="preserve">USA</x:t>
        </x:is>
      </x:c>
    </x:row>
    <x:row r="53">
      <x:c r="A53" t="inlineStr">
        <x:is>
          <x:t xml:space="preserve">P. Sampras</x:t>
        </x:is>
      </x:c>
      <x:c r="B53" t="inlineStr">
        <x:is>
          <x:t xml:space="preserve">USA</x:t>
        </x:is>
      </x:c>
      <x:c r="C53" t="inlineStr">
        <x:is>
          <x:t xml:space="preserve">7-6 (7-2), 7-6 (7-5), 6-0</x:t>
        </x:is>
      </x:c>
      <x:c r="D53" t="inlineStr">
        <x:is>
          <x:t xml:space="preserve">G.S. Ivanisevic</x:t>
        </x:is>
      </x:c>
      <x:c r="E53" t="inlineStr">
        <x:is>
          <x:t xml:space="preserve">CRO</x:t>
        </x:is>
      </x:c>
    </x:row>
    <x:row r="54">
      <x:c r="A54" t="inlineStr">
        <x:is>
          <x:t xml:space="preserve">S.M. Graf</x:t>
        </x:is>
      </x:c>
      <x:c r="B54" t="inlineStr">
        <x:is>
          <x:t xml:space="preserve">GER</x:t>
        </x:is>
      </x:c>
      <x:c r="C54" t="inlineStr">
        <x:is>
          <x:t xml:space="preserve">7-6 (8-6), 1-6, 6-4,</x:t>
        </x:is>
      </x:c>
      <x:c r="D54" t="inlineStr">
        <x:is>
          <x:t xml:space="preserve">J. Novotna</x:t>
        </x:is>
      </x:c>
      <x:c r="E54" t="inlineStr">
        <x:is>
          <x:t xml:space="preserve">CZE</x:t>
        </x:is>
      </x:c>
    </x:row>
    <x:row r="55">
      <x:c r="A55" t="inlineStr">
        <x:is>
          <x:t xml:space="preserve">P. Sampras</x:t>
        </x:is>
      </x:c>
      <x:c r="B55" t="inlineStr">
        <x:is>
          <x:t xml:space="preserve">USA</x:t>
        </x:is>
      </x:c>
      <x:c r="C55" t="inlineStr">
        <x:is>
          <x:t xml:space="preserve">7-6 (7-3), 7-6 (8-6), 3-6, 6-3</x:t>
        </x:is>
      </x:c>
      <x:c r="D55" t="inlineStr">
        <x:is>
          <x:t xml:space="preserve">J.S. Courier</x:t>
        </x:is>
      </x:c>
      <x:c r="E55" t="inlineStr">
        <x:is>
          <x:t xml:space="preserve">USA</x:t>
        </x:is>
      </x:c>
    </x:row>
    <x:row r="56">
      <x:c r="A56" t="inlineStr">
        <x:is>
          <x:t xml:space="preserve">S.M. Graf</x:t>
        </x:is>
      </x:c>
      <x:c r="B56" t="inlineStr">
        <x:is>
          <x:t xml:space="preserve">GER</x:t>
        </x:is>
      </x:c>
      <x:c r="C56" t="inlineStr">
        <x:is>
          <x:t xml:space="preserve">6-2, 6-1,</x:t>
        </x:is>
      </x:c>
      <x:c r="D56" t="inlineStr">
        <x:is>
          <x:t xml:space="preserve">M. Seles</x:t>
        </x:is>
      </x:c>
      <x:c r="E56" t="inlineStr">
        <x:is>
          <x:t xml:space="preserve">YUG</x:t>
        </x:is>
      </x:c>
    </x:row>
    <x:row r="57">
      <x:c r="A57" t="inlineStr">
        <x:is>
          <x:t xml:space="preserve">A.K. Agassi</x:t>
        </x:is>
      </x:c>
      <x:c r="B57" t="inlineStr">
        <x:is>
          <x:t xml:space="preserve">USA</x:t>
        </x:is>
      </x:c>
      <x:c r="C57" t="inlineStr">
        <x:is>
          <x:t xml:space="preserve">6-7 (8-10), 6-4, 6-4, 1-6, 6-4</x:t>
        </x:is>
      </x:c>
      <x:c r="D57" t="inlineStr">
        <x:is>
          <x:t xml:space="preserve">G.S. Ivanisevic</x:t>
        </x:is>
      </x:c>
      <x:c r="E57" t="inlineStr">
        <x:is>
          <x:t xml:space="preserve">CRO</x:t>
        </x:is>
      </x:c>
    </x:row>
    <x:row r="58">
      <x:c r="A58" t="inlineStr">
        <x:is>
          <x:t xml:space="preserve">M.D. Stich</x:t>
        </x:is>
      </x:c>
      <x:c r="B58" t="inlineStr">
        <x:is>
          <x:t xml:space="preserve">GER</x:t>
        </x:is>
      </x:c>
      <x:c r="C58" t="inlineStr">
        <x:is>
          <x:t xml:space="preserve">6-4, 7-6 (7-4), 6-4</x:t>
        </x:is>
      </x:c>
      <x:c r="D58" t="inlineStr">
        <x:is>
          <x:t xml:space="preserve">B.F. Becker</x:t>
        </x:is>
      </x:c>
      <x:c r="E58" t="inlineStr">
        <x:is>
          <x:t xml:space="preserve">GER</x:t>
        </x:is>
      </x:c>
    </x:row>
    <x:row r="59">
      <x:c r="A59" t="inlineStr">
        <x:is>
          <x:t xml:space="preserve">S.M. Graf</x:t>
        </x:is>
      </x:c>
      <x:c r="B59" t="inlineStr">
        <x:is>
          <x:t xml:space="preserve">GER</x:t>
        </x:is>
      </x:c>
      <x:c r="C59" t="inlineStr">
        <x:is>
          <x:t xml:space="preserve">6-4, 3-6, 8-6,</x:t>
        </x:is>
      </x:c>
      <x:c r="D59" t="inlineStr">
        <x:is>
          <x:t xml:space="preserve">G.B. Sabatini</x:t>
        </x:is>
      </x:c>
      <x:c r="E59" t="inlineStr">
        <x:is>
          <x:t xml:space="preserve">ARG</x:t>
        </x:is>
      </x:c>
    </x:row>
    <x:row r="60">
      <x:c r="A60" t="inlineStr">
        <x:is>
          <x:t xml:space="preserve">S.B. Edberg</x:t>
        </x:is>
      </x:c>
      <x:c r="B60" t="inlineStr">
        <x:is>
          <x:t xml:space="preserve">SWE</x:t>
        </x:is>
      </x:c>
      <x:c r="C60" t="inlineStr">
        <x:is>
          <x:t xml:space="preserve">6-2, 6-2, 3-6, 3-6, 6-4</x:t>
        </x:is>
      </x:c>
      <x:c r="D60" t="inlineStr">
        <x:is>
          <x:t xml:space="preserve">B.F. Becker</x:t>
        </x:is>
      </x:c>
      <x:c r="E60" t="inlineStr">
        <x:is>
          <x:t xml:space="preserve">GER</x:t>
        </x:is>
      </x:c>
    </x:row>
    <x:row r="61">
      <x:c r="A61" t="inlineStr">
        <x:is>
          <x:t xml:space="preserve">M. Navratilova</x:t>
        </x:is>
      </x:c>
      <x:c r="B61" t="inlineStr">
        <x:is>
          <x:t xml:space="preserve">USA</x:t>
        </x:is>
      </x:c>
      <x:c r="C61" t="inlineStr">
        <x:is>
          <x:t xml:space="preserve">6-4, 6-1,</x:t>
        </x:is>
      </x:c>
      <x:c r="D61" t="inlineStr">
        <x:is>
          <x:t xml:space="preserve">Z.L. Garrison</x:t>
        </x:is>
      </x:c>
      <x:c r="E61" t="inlineStr">
        <x:is>
          <x:t xml:space="preserve">USA</x:t>
        </x:is>
      </x:c>
    </x:row>
    <x:row r="62">
      <x:c r="A62" t="inlineStr">
        <x:is>
          <x:t xml:space="preserve">B.F. Becker</x:t>
        </x:is>
      </x:c>
      <x:c r="B62" t="inlineStr">
        <x:is>
          <x:t xml:space="preserve">GER</x:t>
        </x:is>
      </x:c>
      <x:c r="C62" t="inlineStr">
        <x:is>
          <x:t xml:space="preserve">6-0, 7-6 (7-1), 6-4</x:t>
        </x:is>
      </x:c>
      <x:c r="D62" t="inlineStr">
        <x:is>
          <x:t xml:space="preserve">S.B. Edberg</x:t>
        </x:is>
      </x:c>
      <x:c r="E62" t="inlineStr">
        <x:is>
          <x:t xml:space="preserve">SWE</x:t>
        </x:is>
      </x:c>
    </x:row>
    <x:row r="63">
      <x:c r="A63" t="inlineStr">
        <x:is>
          <x:t xml:space="preserve">S.M. Graf</x:t>
        </x:is>
      </x:c>
      <x:c r="B63" t="inlineStr">
        <x:is>
          <x:t xml:space="preserve">GER</x:t>
        </x:is>
      </x:c>
      <x:c r="C63" t="inlineStr">
        <x:is>
          <x:t xml:space="preserve">6-2, 6-7 (1-7), 6-1,</x:t>
        </x:is>
      </x:c>
      <x:c r="D63" t="inlineStr">
        <x:is>
          <x:t xml:space="preserve">M. Navratilova</x:t>
        </x:is>
      </x:c>
      <x:c r="E63" t="inlineStr">
        <x:is>
          <x:t xml:space="preserve">USA</x:t>
        </x:is>
      </x:c>
    </x:row>
    <x:row r="64">
      <x:c r="A64" t="inlineStr">
        <x:is>
          <x:t xml:space="preserve">S.M. Graf</x:t>
        </x:is>
      </x:c>
      <x:c r="B64" t="inlineStr">
        <x:is>
          <x:t xml:space="preserve">GER</x:t>
        </x:is>
      </x:c>
      <x:c r="C64" t="inlineStr">
        <x:is>
          <x:t xml:space="preserve">5-7, 6-2, 6-1,</x:t>
        </x:is>
      </x:c>
      <x:c r="D64" t="inlineStr">
        <x:is>
          <x:t xml:space="preserve">M. Navratilova</x:t>
        </x:is>
      </x:c>
      <x:c r="E64" t="inlineStr">
        <x:is>
          <x:t xml:space="preserve">USA</x:t>
        </x:is>
      </x:c>
    </x:row>
    <x:row r="65">
      <x:c r="A65" t="inlineStr">
        <x:is>
          <x:t xml:space="preserve">S.B. Edberg</x:t>
        </x:is>
      </x:c>
      <x:c r="B65" t="inlineStr">
        <x:is>
          <x:t xml:space="preserve">SWE</x:t>
        </x:is>
      </x:c>
      <x:c r="C65" t="inlineStr">
        <x:is>
          <x:t xml:space="preserve">4-6, 7-6 (7-2), 6-4, 6-2</x:t>
        </x:is>
      </x:c>
      <x:c r="D65" t="inlineStr">
        <x:is>
          <x:t xml:space="preserve">B.F. Becker</x:t>
        </x:is>
      </x:c>
      <x:c r="E65" t="inlineStr">
        <x:is>
          <x:t xml:space="preserve">GER</x:t>
        </x:is>
      </x:c>
    </x:row>
    <x:row r="66">
      <x:c r="A66" t="inlineStr">
        <x:is>
          <x:t xml:space="preserve">P.H. Cash</x:t>
        </x:is>
      </x:c>
      <x:c r="B66" t="inlineStr">
        <x:is>
          <x:t xml:space="preserve">AUS</x:t>
        </x:is>
      </x:c>
      <x:c r="C66" t="inlineStr">
        <x:is>
          <x:t xml:space="preserve">7-6 (7-5), 6-2, 7-5</x:t>
        </x:is>
      </x:c>
      <x:c r="D66" t="inlineStr">
        <x:is>
          <x:t xml:space="preserve">I. Lendl</x:t>
        </x:is>
      </x:c>
      <x:c r="E66" t="inlineStr">
        <x:is>
          <x:t xml:space="preserve">TCH</x:t>
        </x:is>
      </x:c>
    </x:row>
    <x:row r="67">
      <x:c r="A67" t="inlineStr">
        <x:is>
          <x:t xml:space="preserve">M. Navratilova</x:t>
        </x:is>
      </x:c>
      <x:c r="B67" t="inlineStr">
        <x:is>
          <x:t xml:space="preserve">USA</x:t>
        </x:is>
      </x:c>
      <x:c r="C67" t="inlineStr">
        <x:is>
          <x:t xml:space="preserve">7-5, 6-3,</x:t>
        </x:is>
      </x:c>
      <x:c r="D67" t="inlineStr">
        <x:is>
          <x:t xml:space="preserve">S.M. Graf</x:t>
        </x:is>
      </x:c>
      <x:c r="E67" t="inlineStr">
        <x:is>
          <x:t xml:space="preserve">GER</x:t>
        </x:is>
      </x:c>
    </x:row>
    <x:row r="68">
      <x:c r="A68" t="inlineStr">
        <x:is>
          <x:t xml:space="preserve">B.F. Becker</x:t>
        </x:is>
      </x:c>
      <x:c r="B68" t="inlineStr">
        <x:is>
          <x:t xml:space="preserve">GER</x:t>
        </x:is>
      </x:c>
      <x:c r="C68" t="inlineStr">
        <x:is>
          <x:t xml:space="preserve">6-4, 6-3, 7-5</x:t>
        </x:is>
      </x:c>
      <x:c r="D68" t="inlineStr">
        <x:is>
          <x:t xml:space="preserve">I. Lendl</x:t>
        </x:is>
      </x:c>
      <x:c r="E68" t="inlineStr">
        <x:is>
          <x:t xml:space="preserve">TCH</x:t>
        </x:is>
      </x:c>
    </x:row>
    <x:row r="69">
      <x:c r="A69" t="inlineStr">
        <x:is>
          <x:t xml:space="preserve">M. Navratilova</x:t>
        </x:is>
      </x:c>
      <x:c r="B69" t="inlineStr">
        <x:is>
          <x:t xml:space="preserve">USA</x:t>
        </x:is>
      </x:c>
      <x:c r="C69" t="inlineStr">
        <x:is>
          <x:t xml:space="preserve">7-6 (7-1), 6-3,</x:t>
        </x:is>
      </x:c>
      <x:c r="D69" t="inlineStr">
        <x:is>
          <x:t xml:space="preserve">H. Mandlikova</x:t>
        </x:is>
      </x:c>
      <x:c r="E69" t="inlineStr">
        <x:is>
          <x:t xml:space="preserve">TCH</x:t>
        </x:is>
      </x:c>
    </x:row>
    <x:row r="70">
      <x:c r="A70" t="inlineStr">
        <x:is>
          <x:t xml:space="preserve">B.F. Becker</x:t>
        </x:is>
      </x:c>
      <x:c r="B70" t="inlineStr">
        <x:is>
          <x:t xml:space="preserve">GER</x:t>
        </x:is>
      </x:c>
      <x:c r="C70" t="inlineStr">
        <x:is>
          <x:t xml:space="preserve">6-3, 6-7 (4-7), 7-6 (7-3), 6-4</x:t>
        </x:is>
      </x:c>
      <x:c r="D70" t="inlineStr">
        <x:is>
          <x:t xml:space="preserve">K.M. Curren</x:t>
        </x:is>
      </x:c>
      <x:c r="E70" t="inlineStr">
        <x:is>
          <x:t xml:space="preserve">USA</x:t>
        </x:is>
      </x:c>
    </x:row>
    <x:row r="71">
      <x:c r="A71" t="inlineStr">
        <x:is>
          <x:t xml:space="preserve">M. Navratilova</x:t>
        </x:is>
      </x:c>
      <x:c r="B71" t="inlineStr">
        <x:is>
          <x:t xml:space="preserve">USA</x:t>
        </x:is>
      </x:c>
      <x:c r="C71" t="inlineStr">
        <x:is>
          <x:t xml:space="preserve">4-6, 6-3, 6-2,</x:t>
        </x:is>
      </x:c>
      <x:c r="D71" t="inlineStr">
        <x:is>
          <x:t xml:space="preserve">J.M. Lloyd</x:t>
        </x:is>
      </x:c>
      <x:c r="E71" t="inlineStr">
        <x:is>
          <x:t xml:space="preserve">USA</x:t>
        </x:is>
      </x:c>
    </x:row>
    <x:row r="72">
      <x:c r="A72" t="inlineStr">
        <x:is>
          <x:t xml:space="preserve">J.P. McEnroe</x:t>
        </x:is>
      </x:c>
      <x:c r="B72" t="inlineStr">
        <x:is>
          <x:t xml:space="preserve">USA</x:t>
        </x:is>
      </x:c>
      <x:c r="C72" t="inlineStr">
        <x:is>
          <x:t xml:space="preserve">6-1, 6-1, 6-2</x:t>
        </x:is>
      </x:c>
      <x:c r="D72" t="inlineStr">
        <x:is>
          <x:t xml:space="preserve">J.S. Connors</x:t>
        </x:is>
      </x:c>
      <x:c r="E72" t="inlineStr">
        <x:is>
          <x:t xml:space="preserve">USA</x:t>
        </x:is>
      </x:c>
    </x:row>
    <x:row r="73">
      <x:c r="A73" t="inlineStr">
        <x:is>
          <x:t xml:space="preserve">M. Navratilova</x:t>
        </x:is>
      </x:c>
      <x:c r="B73" t="inlineStr">
        <x:is>
          <x:t xml:space="preserve">USA</x:t>
        </x:is>
      </x:c>
      <x:c r="C73" t="inlineStr">
        <x:is>
          <x:t xml:space="preserve">7-6 (7-5), 6-2,</x:t>
        </x:is>
      </x:c>
      <x:c r="D73" t="inlineStr">
        <x:is>
          <x:t xml:space="preserve">J.M. Lloyd</x:t>
        </x:is>
      </x:c>
      <x:c r="E73" t="inlineStr">
        <x:is>
          <x:t xml:space="preserve">USA</x:t>
        </x:is>
      </x:c>
    </x:row>
    <x:row r="74">
      <x:c r="A74" t="inlineStr">
        <x:is>
          <x:t xml:space="preserve">J.P. McEnroe</x:t>
        </x:is>
      </x:c>
      <x:c r="B74" t="inlineStr">
        <x:is>
          <x:t xml:space="preserve">USA</x:t>
        </x:is>
      </x:c>
      <x:c r="C74" t="inlineStr">
        <x:is>
          <x:t xml:space="preserve">6-2, 6-2, 6-2</x:t>
        </x:is>
      </x:c>
      <x:c r="D74" t="inlineStr">
        <x:is>
          <x:t xml:space="preserve">C.J. Lewis</x:t>
        </x:is>
      </x:c>
      <x:c r="E74" t="inlineStr">
        <x:is>
          <x:t xml:space="preserve">NZL</x:t>
        </x:is>
      </x:c>
    </x:row>
    <x:row r="75">
      <x:c r="A75" t="inlineStr">
        <x:is>
          <x:t xml:space="preserve">M. Navratilova</x:t>
        </x:is>
      </x:c>
      <x:c r="B75" t="inlineStr">
        <x:is>
          <x:t xml:space="preserve">USA</x:t>
        </x:is>
      </x:c>
      <x:c r="C75" t="inlineStr">
        <x:is>
          <x:t xml:space="preserve">6-0, 6-3,</x:t>
        </x:is>
      </x:c>
      <x:c r="D75" t="inlineStr">
        <x:is>
          <x:t xml:space="preserve">A. Jaeger</x:t>
        </x:is>
      </x:c>
      <x:c r="E75" t="inlineStr">
        <x:is>
          <x:t xml:space="preserve">USA</x:t>
        </x:is>
      </x:c>
    </x:row>
    <x:row r="76">
      <x:c r="A76" t="inlineStr">
        <x:is>
          <x:t xml:space="preserve">J.S. Connors</x:t>
        </x:is>
      </x:c>
      <x:c r="B76" t="inlineStr">
        <x:is>
          <x:t xml:space="preserve">USA</x:t>
        </x:is>
      </x:c>
      <x:c r="C76" t="inlineStr">
        <x:is>
          <x:t xml:space="preserve">3-6, 6-3, 6-7 (2-7), 7-6 (7-5), 6-4</x:t>
        </x:is>
      </x:c>
      <x:c r="D76" t="inlineStr">
        <x:is>
          <x:t xml:space="preserve">J.P. McEnroe</x:t>
        </x:is>
      </x:c>
      <x:c r="E76" t="inlineStr">
        <x:is>
          <x:t xml:space="preserve">USA</x:t>
        </x:is>
      </x:c>
    </x:row>
    <x:row r="77">
      <x:c r="A77" t="inlineStr">
        <x:is>
          <x:t xml:space="preserve">M. Navratilova</x:t>
        </x:is>
      </x:c>
      <x:c r="B77" t="inlineStr">
        <x:is>
          <x:t xml:space="preserve">USA</x:t>
        </x:is>
      </x:c>
      <x:c r="C77" t="inlineStr">
        <x:is>
          <x:t xml:space="preserve">6-1, 3-6, 6-2,</x:t>
        </x:is>
      </x:c>
      <x:c r="D77" t="inlineStr">
        <x:is>
          <x:t xml:space="preserve">J.M. Lloyd</x:t>
        </x:is>
      </x:c>
      <x:c r="E77" t="inlineStr">
        <x:is>
          <x:t xml:space="preserve">USA</x:t>
        </x:is>
      </x:c>
    </x:row>
    <x:row r="78">
      <x:c r="A78" t="inlineStr">
        <x:is>
          <x:t xml:space="preserve">J.P. McEnroe</x:t>
        </x:is>
      </x:c>
      <x:c r="B78" t="inlineStr">
        <x:is>
          <x:t xml:space="preserve">USA</x:t>
        </x:is>
      </x:c>
      <x:c r="C78" t="inlineStr">
        <x:is>
          <x:t xml:space="preserve">4-6, 7-6 (7-1), 7-6 (7-4), 6-4</x:t>
        </x:is>
      </x:c>
      <x:c r="D78" t="inlineStr">
        <x:is>
          <x:t xml:space="preserve">B.R. Borg</x:t>
        </x:is>
      </x:c>
      <x:c r="E78" t="inlineStr">
        <x:is>
          <x:t xml:space="preserve">SWE</x:t>
        </x:is>
      </x:c>
    </x:row>
    <x:row r="79">
      <x:c r="A79" t="inlineStr">
        <x:is>
          <x:t xml:space="preserve">J.M. Lloyd</x:t>
        </x:is>
      </x:c>
      <x:c r="B79" t="inlineStr">
        <x:is>
          <x:t xml:space="preserve">USA</x:t>
        </x:is>
      </x:c>
      <x:c r="C79" t="inlineStr">
        <x:is>
          <x:t xml:space="preserve">6-2, 6-2,</x:t>
        </x:is>
      </x:c>
      <x:c r="D79" t="inlineStr">
        <x:is>
          <x:t xml:space="preserve">H. Mandlikova</x:t>
        </x:is>
      </x:c>
      <x:c r="E79" t="inlineStr">
        <x:is>
          <x:t xml:space="preserve">TCH</x:t>
        </x:is>
      </x:c>
    </x:row>
    <x:row r="80">
      <x:c r="A80" t="inlineStr">
        <x:is>
          <x:t xml:space="preserve">R.A. Cawley</x:t>
        </x:is>
      </x:c>
      <x:c r="B80" t="inlineStr">
        <x:is>
          <x:t xml:space="preserve">AUS</x:t>
        </x:is>
      </x:c>
      <x:c r="C80" t="inlineStr">
        <x:is>
          <x:t xml:space="preserve">6-1, 7-6 (7-4)</x:t>
        </x:is>
      </x:c>
      <x:c r="D80" t="inlineStr">
        <x:is>
          <x:t xml:space="preserve">J.M. Lloyd</x:t>
        </x:is>
      </x:c>
      <x:c r="E80" t="inlineStr">
        <x:is>
          <x:t xml:space="preserve">USA</x:t>
        </x:is>
      </x:c>
    </x:row>
    <x:row r="81">
      <x:c r="A81" t="inlineStr">
        <x:is>
          <x:t xml:space="preserve">B.R. Borg</x:t>
        </x:is>
      </x:c>
      <x:c r="B81" t="inlineStr">
        <x:is>
          <x:t xml:space="preserve">SWE</x:t>
        </x:is>
      </x:c>
      <x:c r="C81" t="inlineStr">
        <x:is>
          <x:t xml:space="preserve">1-6, 7-5, 6-3, 6-7 (16-18), 8-6</x:t>
        </x:is>
      </x:c>
      <x:c r="D81" t="inlineStr">
        <x:is>
          <x:t xml:space="preserve">J.P. McEnroe</x:t>
        </x:is>
      </x:c>
      <x:c r="E81" t="inlineStr">
        <x:is>
          <x:t xml:space="preserve">USA</x:t>
        </x:is>
      </x:c>
    </x:row>
    <x:row r="82">
      <x:c r="A82" t="inlineStr">
        <x:is>
          <x:t xml:space="preserve">B.R. Borg</x:t>
        </x:is>
      </x:c>
      <x:c r="B82" t="inlineStr">
        <x:is>
          <x:t xml:space="preserve">SWE</x:t>
        </x:is>
      </x:c>
      <x:c r="C82" t="inlineStr">
        <x:is>
          <x:t xml:space="preserve">6-7(4-7), 6-1, 3-6, 6-3, 6-4</x:t>
        </x:is>
      </x:c>
      <x:c r="D82" t="inlineStr">
        <x:is>
          <x:t xml:space="preserve">R. Tanner</x:t>
        </x:is>
      </x:c>
      <x:c r="E82" t="inlineStr">
        <x:is>
          <x:t xml:space="preserve">USA</x:t>
        </x:is>
      </x:c>
    </x:row>
    <x:row r="83">
      <x:c r="A83" t="inlineStr">
        <x:is>
          <x:t xml:space="preserve">M. Navratilova</x:t>
        </x:is>
      </x:c>
      <x:c r="B83" t="inlineStr">
        <x:is>
          <x:t xml:space="preserve">USA</x:t>
        </x:is>
      </x:c>
      <x:c r="C83" t="inlineStr">
        <x:is>
          <x:t xml:space="preserve">6-4, 6-4,</x:t>
        </x:is>
      </x:c>
      <x:c r="D83" t="inlineStr">
        <x:is>
          <x:t xml:space="preserve">J.M. Lloyd</x:t>
        </x:is>
      </x:c>
      <x:c r="E83" t="inlineStr">
        <x:is>
          <x:t xml:space="preserve">USA</x:t>
        </x:is>
      </x:c>
    </x:row>
    <x:row r="84">
      <x:c r="A84" t="inlineStr">
        <x:is>
          <x:t xml:space="preserve">B.R. Borg</x:t>
        </x:is>
      </x:c>
      <x:c r="B84" t="inlineStr">
        <x:is>
          <x:t xml:space="preserve">SWE</x:t>
        </x:is>
      </x:c>
      <x:c r="C84" t="inlineStr">
        <x:is>
          <x:t xml:space="preserve">6-2, 6-2, 6-3</x:t>
        </x:is>
      </x:c>
      <x:c r="D84" t="inlineStr">
        <x:is>
          <x:t xml:space="preserve">J.S. Connors</x:t>
        </x:is>
      </x:c>
      <x:c r="E84" t="inlineStr">
        <x:is>
          <x:t xml:space="preserve">USA</x:t>
        </x:is>
      </x:c>
    </x:row>
    <x:row r="85">
      <x:c r="A85" t="inlineStr">
        <x:is>
          <x:t xml:space="preserve">M. Navratilova</x:t>
        </x:is>
      </x:c>
      <x:c r="B85" t="inlineStr">
        <x:is>
          <x:t xml:space="preserve">USA</x:t>
        </x:is>
      </x:c>
      <x:c r="C85" t="inlineStr">
        <x:is>
          <x:t xml:space="preserve">2-6, 6-4, 7-5,</x:t>
        </x:is>
      </x:c>
      <x:c r="D85" t="inlineStr">
        <x:is>
          <x:t xml:space="preserve">C.M. Evert</x:t>
        </x:is>
      </x:c>
      <x:c r="E85" t="inlineStr">
        <x:is>
          <x:t xml:space="preserve">USA</x:t>
        </x:is>
      </x:c>
    </x:row>
    <x:row r="86">
      <x:c r="A86" t="inlineStr">
        <x:is>
          <x:t xml:space="preserve">S.V. Wade</x:t>
        </x:is>
      </x:c>
      <x:c r="B86" t="inlineStr">
        <x:is>
          <x:t xml:space="preserve">GBR</x:t>
        </x:is>
      </x:c>
      <x:c r="C86" t="inlineStr">
        <x:is>
          <x:t xml:space="preserve">4-6, 6-3, 6-1,</x:t>
        </x:is>
      </x:c>
      <x:c r="D86" t="inlineStr">
        <x:is>
          <x:t xml:space="preserve">B.F. Stove</x:t>
        </x:is>
      </x:c>
      <x:c r="E86" t="inlineStr">
        <x:is>
          <x:t xml:space="preserve">NED</x:t>
        </x:is>
      </x:c>
    </x:row>
    <x:row r="87">
      <x:c r="A87" t="inlineStr">
        <x:is>
          <x:t xml:space="preserve">B.R. Borg</x:t>
        </x:is>
      </x:c>
      <x:c r="B87" t="inlineStr">
        <x:is>
          <x:t xml:space="preserve">SWE</x:t>
        </x:is>
      </x:c>
      <x:c r="C87" t="inlineStr">
        <x:is>
          <x:t xml:space="preserve">3-6, 6-2, 6-1, 5-7, 6-4</x:t>
        </x:is>
      </x:c>
      <x:c r="D87" t="inlineStr">
        <x:is>
          <x:t xml:space="preserve">J.S. Connors</x:t>
        </x:is>
      </x:c>
      <x:c r="E87" t="inlineStr">
        <x:is>
          <x:t xml:space="preserve">USA</x:t>
        </x:is>
      </x:c>
    </x:row>
    <x:row r="88">
      <x:c r="A88" t="inlineStr">
        <x:is>
          <x:t xml:space="preserve">B.R. Borg</x:t>
        </x:is>
      </x:c>
      <x:c r="B88" t="inlineStr">
        <x:is>
          <x:t xml:space="preserve">SWE</x:t>
        </x:is>
      </x:c>
      <x:c r="C88" t="inlineStr">
        <x:is>
          <x:t xml:space="preserve">6-4, 6-2, 9-7</x:t>
        </x:is>
      </x:c>
      <x:c r="D88" t="inlineStr">
        <x:is>
          <x:t xml:space="preserve">I. Nastase</x:t>
        </x:is>
      </x:c>
      <x:c r="E88" t="inlineStr">
        <x:is>
          <x:t xml:space="preserve">ROM</x:t>
        </x:is>
      </x:c>
    </x:row>
    <x:row r="89">
      <x:c r="A89" t="inlineStr">
        <x:is>
          <x:t xml:space="preserve">C.M. Evert</x:t>
        </x:is>
      </x:c>
      <x:c r="B89" t="inlineStr">
        <x:is>
          <x:t xml:space="preserve">USA</x:t>
        </x:is>
      </x:c>
      <x:c r="C89" t="inlineStr">
        <x:is>
          <x:t xml:space="preserve">6-3, 4-6, 8-6,</x:t>
        </x:is>
      </x:c>
      <x:c r="D89" t="inlineStr">
        <x:is>
          <x:t xml:space="preserve">R.A. Cawley</x:t>
        </x:is>
      </x:c>
      <x:c r="E89" t="inlineStr">
        <x:is>
          <x:t xml:space="preserve">AUS</x:t>
        </x:is>
      </x:c>
    </x:row>
    <x:row r="90">
      <x:c r="A90" t="inlineStr">
        <x:is>
          <x:t xml:space="preserve">A.R. Ashe</x:t>
        </x:is>
      </x:c>
      <x:c r="B90" t="inlineStr">
        <x:is>
          <x:t xml:space="preserve">USA</x:t>
        </x:is>
      </x:c>
      <x:c r="C90" t="inlineStr">
        <x:is>
          <x:t xml:space="preserve">6-1, 6-1, 5-7, 6-4</x:t>
        </x:is>
      </x:c>
      <x:c r="D90" t="inlineStr">
        <x:is>
          <x:t xml:space="preserve">J.S. Connors</x:t>
        </x:is>
      </x:c>
      <x:c r="E90" t="inlineStr">
        <x:is>
          <x:t xml:space="preserve">USA</x:t>
        </x:is>
      </x:c>
    </x:row>
    <x:row r="91">
      <x:c r="A91" t="inlineStr">
        <x:is>
          <x:t xml:space="preserve">L.W. King</x:t>
        </x:is>
      </x:c>
      <x:c r="B91" t="inlineStr">
        <x:is>
          <x:t xml:space="preserve">USA</x:t>
        </x:is>
      </x:c>
      <x:c r="C91" t="inlineStr">
        <x:is>
          <x:t xml:space="preserve">6-0, 6-1,</x:t>
        </x:is>
      </x:c>
      <x:c r="D91" t="inlineStr">
        <x:is>
          <x:t xml:space="preserve">R.A. Cawley</x:t>
        </x:is>
      </x:c>
      <x:c r="E91" t="inlineStr">
        <x:is>
          <x:t xml:space="preserve">AUS</x:t>
        </x:is>
      </x:c>
    </x:row>
    <x:row r="92">
      <x:c r="A92" t="inlineStr">
        <x:is>
          <x:t xml:space="preserve">J.S. Connors</x:t>
        </x:is>
      </x:c>
      <x:c r="B92" t="inlineStr">
        <x:is>
          <x:t xml:space="preserve">USA</x:t>
        </x:is>
      </x:c>
      <x:c r="C92" t="inlineStr">
        <x:is>
          <x:t xml:space="preserve">6-1, 6-1, 6-4</x:t>
        </x:is>
      </x:c>
      <x:c r="D92" t="inlineStr">
        <x:is>
          <x:t xml:space="preserve">K.R. Rosewall</x:t>
        </x:is>
      </x:c>
      <x:c r="E92" t="inlineStr">
        <x:is>
          <x:t xml:space="preserve">AUS</x:t>
        </x:is>
      </x:c>
    </x:row>
    <x:row r="93">
      <x:c r="A93" t="inlineStr">
        <x:is>
          <x:t xml:space="preserve">C.M. Evert</x:t>
        </x:is>
      </x:c>
      <x:c r="B93" t="inlineStr">
        <x:is>
          <x:t xml:space="preserve">USA</x:t>
        </x:is>
      </x:c>
      <x:c r="C93" t="inlineStr">
        <x:is>
          <x:t xml:space="preserve">6-0, 6-4</x:t>
        </x:is>
      </x:c>
      <x:c r="D93" t="inlineStr">
        <x:is>
          <x:t xml:space="preserve">O.V. Morozova</x:t>
        </x:is>
      </x:c>
      <x:c r="E93" t="inlineStr">
        <x:is>
          <x:t xml:space="preserve">URS</x:t>
        </x:is>
      </x:c>
    </x:row>
    <x:row r="94">
      <x:c r="A94" t="inlineStr">
        <x:is>
          <x:t xml:space="preserve">J. Kodes</x:t>
        </x:is>
      </x:c>
      <x:c r="B94" t="inlineStr">
        <x:is>
          <x:t xml:space="preserve">CZE</x:t>
        </x:is>
      </x:c>
      <x:c r="C94" t="inlineStr">
        <x:is>
          <x:t xml:space="preserve">6-1, 9-8(7-5), 6-3</x:t>
        </x:is>
      </x:c>
      <x:c r="D94" t="inlineStr">
        <x:is>
          <x:t xml:space="preserve">A. Metreveli</x:t>
        </x:is>
      </x:c>
      <x:c r="E94" t="inlineStr">
        <x:is>
          <x:t xml:space="preserve">URS</x:t>
        </x:is>
      </x:c>
    </x:row>
    <x:row r="95">
      <x:c r="A95" t="inlineStr">
        <x:is>
          <x:t xml:space="preserve">L.W. King</x:t>
        </x:is>
      </x:c>
      <x:c r="B95" t="inlineStr">
        <x:is>
          <x:t xml:space="preserve">USA</x:t>
        </x:is>
      </x:c>
      <x:c r="C95" t="inlineStr">
        <x:is>
          <x:t xml:space="preserve">6-0, 7-5</x:t>
        </x:is>
      </x:c>
      <x:c r="D95" t="inlineStr">
        <x:is>
          <x:t xml:space="preserve">C.M. Evert</x:t>
        </x:is>
      </x:c>
      <x:c r="E95" t="inlineStr">
        <x:is>
          <x:t xml:space="preserve">USA</x:t>
        </x:is>
      </x:c>
    </x:row>
    <x:row r="96">
      <x:c r="A96" t="inlineStr">
        <x:is>
          <x:t xml:space="preserve">S.R. Smith</x:t>
        </x:is>
      </x:c>
      <x:c r="B96" t="inlineStr">
        <x:is>
          <x:t xml:space="preserve">USA</x:t>
        </x:is>
      </x:c>
      <x:c r="C96" t="inlineStr">
        <x:is>
          <x:t xml:space="preserve">4-6, 6-3, 6-3, 4-6, 7-5</x:t>
        </x:is>
      </x:c>
      <x:c r="D96" t="inlineStr">
        <x:is>
          <x:t xml:space="preserve">I. Nastase</x:t>
        </x:is>
      </x:c>
      <x:c r="E96" t="inlineStr">
        <x:is>
          <x:t xml:space="preserve">ROM</x:t>
        </x:is>
      </x:c>
    </x:row>
    <x:row r="97">
      <x:c r="A97" t="inlineStr">
        <x:is>
          <x:t xml:space="preserve">L.W. King</x:t>
        </x:is>
      </x:c>
      <x:c r="B97" t="inlineStr">
        <x:is>
          <x:t xml:space="preserve">USA</x:t>
        </x:is>
      </x:c>
      <x:c r="C97" t="inlineStr">
        <x:is>
          <x:t xml:space="preserve">6-3, 6-3,</x:t>
        </x:is>
      </x:c>
      <x:c r="D97" t="inlineStr">
        <x:is>
          <x:t xml:space="preserve">E.F. Goolagong</x:t>
        </x:is>
      </x:c>
      <x:c r="E97" t="inlineStr">
        <x:is>
          <x:t xml:space="preserve">AUS</x:t>
        </x:is>
      </x:c>
    </x:row>
    <x:row r="98">
      <x:c r="A98" t="inlineStr">
        <x:is>
          <x:t xml:space="preserve">J.D. Newcombe</x:t>
        </x:is>
      </x:c>
      <x:c r="B98" t="inlineStr">
        <x:is>
          <x:t xml:space="preserve">AUS</x:t>
        </x:is>
      </x:c>
      <x:c r="C98" t="inlineStr">
        <x:is>
          <x:t xml:space="preserve">6-3, 5-7, 2-6, 6-4, 6-4</x:t>
        </x:is>
      </x:c>
      <x:c r="D98" t="inlineStr">
        <x:is>
          <x:t xml:space="preserve">S.R. Smith</x:t>
        </x:is>
      </x:c>
      <x:c r="E98" t="inlineStr">
        <x:is>
          <x:t xml:space="preserve">USA</x:t>
        </x:is>
      </x:c>
    </x:row>
    <x:row r="99">
      <x:c r="A99" t="inlineStr">
        <x:is>
          <x:t xml:space="preserve">E.F. Goolagong</x:t>
        </x:is>
      </x:c>
      <x:c r="B99" t="inlineStr">
        <x:is>
          <x:t xml:space="preserve">AUS</x:t>
        </x:is>
      </x:c>
      <x:c r="C99" t="inlineStr">
        <x:is>
          <x:t xml:space="preserve">6-4, 6-1,</x:t>
        </x:is>
      </x:c>
      <x:c r="D99" t="inlineStr">
        <x:is>
          <x:t xml:space="preserve">B.M. Court</x:t>
        </x:is>
      </x:c>
      <x:c r="E99" t="inlineStr">
        <x:is>
          <x:t xml:space="preserve">AUS</x:t>
        </x:is>
      </x:c>
    </x:row>
    <x:row r="100">
      <x:c r="A100" t="inlineStr">
        <x:is>
          <x:t xml:space="preserve">J.D. Newcombe</x:t>
        </x:is>
      </x:c>
      <x:c r="B100" t="inlineStr">
        <x:is>
          <x:t xml:space="preserve">AUS</x:t>
        </x:is>
      </x:c>
      <x:c r="C100" t="inlineStr">
        <x:is>
          <x:t xml:space="preserve">5-7, 6-3, 6-2, 3-6, 6-1</x:t>
        </x:is>
      </x:c>
      <x:c r="D100" t="inlineStr">
        <x:is>
          <x:t xml:space="preserve">K.R. Rosewall</x:t>
        </x:is>
      </x:c>
      <x:c r="E100" t="inlineStr">
        <x:is>
          <x:t xml:space="preserve">AUS</x:t>
        </x:is>
      </x:c>
    </x:row>
    <x:row r="101">
      <x:c r="A101" t="inlineStr">
        <x:is>
          <x:t xml:space="preserve">B.M. Court</x:t>
        </x:is>
      </x:c>
      <x:c r="B101" t="inlineStr">
        <x:is>
          <x:t xml:space="preserve">AUS</x:t>
        </x:is>
      </x:c>
      <x:c r="C101" t="inlineStr">
        <x:is>
          <x:t xml:space="preserve">14-12, 11-9,</x:t>
        </x:is>
      </x:c>
      <x:c r="D101" t="inlineStr">
        <x:is>
          <x:t xml:space="preserve">L.W. King</x:t>
        </x:is>
      </x:c>
      <x:c r="E101" t="inlineStr">
        <x:is>
          <x:t xml:space="preserve">USA</x:t>
        </x:is>
      </x:c>
    </x:row>
    <x:row r="102">
      <x:c r="A102" t="inlineStr">
        <x:is>
          <x:t xml:space="preserve">R.G. Laver</x:t>
        </x:is>
      </x:c>
      <x:c r="B102" t="inlineStr">
        <x:is>
          <x:t xml:space="preserve">AUS</x:t>
        </x:is>
      </x:c>
      <x:c r="C102" t="inlineStr">
        <x:is>
          <x:t xml:space="preserve">6-4, 5-7, 6-4, 6-4</x:t>
        </x:is>
      </x:c>
      <x:c r="D102" t="inlineStr">
        <x:is>
          <x:t xml:space="preserve">J.D. Newcombe</x:t>
        </x:is>
      </x:c>
      <x:c r="E102" t="inlineStr">
        <x:is>
          <x:t xml:space="preserve">AUS</x:t>
        </x:is>
      </x:c>
    </x:row>
    <x:row r="103">
      <x:c r="A103" t="inlineStr">
        <x:is>
          <x:t xml:space="preserve">P.F. Jones</x:t>
        </x:is>
      </x:c>
      <x:c r="B103" t="inlineStr">
        <x:is>
          <x:t xml:space="preserve">GBR</x:t>
        </x:is>
      </x:c>
      <x:c r="C103" t="inlineStr">
        <x:is>
          <x:t xml:space="preserve">3-6, 6-3, 6-2,</x:t>
        </x:is>
      </x:c>
      <x:c r="D103" t="inlineStr">
        <x:is>
          <x:t xml:space="preserve">L.W. King</x:t>
        </x:is>
      </x:c>
      <x:c r="E103" t="inlineStr">
        <x:is>
          <x:t xml:space="preserve">USA</x:t>
        </x:is>
      </x:c>
    </x:row>
    <x:row r="104">
      <x:c r="A104" t="inlineStr">
        <x:is>
          <x:t xml:space="preserve">R.G. Laver</x:t>
        </x:is>
      </x:c>
      <x:c r="B104" t="inlineStr">
        <x:is>
          <x:t xml:space="preserve">AUS</x:t>
        </x:is>
      </x:c>
      <x:c r="C104" t="inlineStr">
        <x:is>
          <x:t xml:space="preserve">6-3, 6-4, 6-2</x:t>
        </x:is>
      </x:c>
      <x:c r="D104" t="inlineStr">
        <x:is>
          <x:t xml:space="preserve">A.D. Roche</x:t>
        </x:is>
      </x:c>
      <x:c r="E104" t="inlineStr">
        <x:is>
          <x:t xml:space="preserve">AUS</x:t>
        </x:is>
      </x:c>
    </x:row>
    <x:row r="105">
      <x:c r="A105" t="inlineStr">
        <x:is>
          <x:t xml:space="preserve">L.W. King</x:t>
        </x:is>
      </x:c>
      <x:c r="B105" t="inlineStr">
        <x:is>
          <x:t xml:space="preserve">USA</x:t>
        </x:is>
      </x:c>
      <x:c r="C105" t="inlineStr">
        <x:is>
          <x:t xml:space="preserve">9-7, 7-5,</x:t>
        </x:is>
      </x:c>
      <x:c r="D105" t="inlineStr">
        <x:is>
          <x:t xml:space="preserve">J.A.M. Tegart</x:t>
        </x:is>
      </x:c>
      <x:c r="E105" t="inlineStr">
        <x:is>
          <x:t xml:space="preserve">AUS</x:t>
        </x:is>
      </x:c>
    </x:row>
    <x:row r="106">
      <x:c r="A106" t="inlineStr">
        <x:is>
          <x:t xml:space="preserve">J.D. Newcombe</x:t>
        </x:is>
      </x:c>
      <x:c r="B106" t="inlineStr">
        <x:is>
          <x:t xml:space="preserve">AUS</x:t>
        </x:is>
      </x:c>
      <x:c r="C106" t="inlineStr">
        <x:is>
          <x:t xml:space="preserve">6-3, 6-1, 6-1</x:t>
        </x:is>
      </x:c>
      <x:c r="D106" t="inlineStr">
        <x:is>
          <x:t xml:space="preserve">W.P. Bungert</x:t>
        </x:is>
      </x:c>
      <x:c r="E106" t="inlineStr">
        <x:is>
          <x:t xml:space="preserve">GER</x:t>
        </x:is>
      </x:c>
    </x:row>
    <x:row r="107">
      <x:c r="A107" t="inlineStr">
        <x:is>
          <x:t xml:space="preserve">L.W. King</x:t>
        </x:is>
      </x:c>
      <x:c r="B107" t="inlineStr">
        <x:is>
          <x:t xml:space="preserve">USA</x:t>
        </x:is>
      </x:c>
      <x:c r="C107" t="inlineStr">
        <x:is>
          <x:t xml:space="preserve">6-3, 6-4,</x:t>
        </x:is>
      </x:c>
      <x:c r="D107" t="inlineStr">
        <x:is>
          <x:t xml:space="preserve">P.F. Jones</x:t>
        </x:is>
      </x:c>
      <x:c r="E107" t="inlineStr">
        <x:is>
          <x:t xml:space="preserve">GBR</x:t>
        </x:is>
      </x:c>
    </x:row>
    <x:row r="108">
      <x:c r="A108" t="inlineStr">
        <x:is>
          <x:t xml:space="preserve">M.M. Santana</x:t>
        </x:is>
      </x:c>
      <x:c r="B108" t="inlineStr">
        <x:is>
          <x:t xml:space="preserve">ESP</x:t>
        </x:is>
      </x:c>
      <x:c r="C108" t="inlineStr">
        <x:is>
          <x:t xml:space="preserve">6-4, 11-9, 6-4</x:t>
        </x:is>
      </x:c>
      <x:c r="D108" t="inlineStr">
        <x:is>
          <x:t xml:space="preserve">R.D. Ralston</x:t>
        </x:is>
      </x:c>
      <x:c r="E108" t="inlineStr">
        <x:is>
          <x:t xml:space="preserve">USA</x:t>
        </x:is>
      </x:c>
    </x:row>
    <x:row r="109">
      <x:c r="A109" t="inlineStr">
        <x:is>
          <x:t xml:space="preserve">L.W. King</x:t>
        </x:is>
      </x:c>
      <x:c r="B109" t="inlineStr">
        <x:is>
          <x:t xml:space="preserve">USA</x:t>
        </x:is>
      </x:c>
      <x:c r="C109" t="inlineStr">
        <x:is>
          <x:t xml:space="preserve">6-3, 3-6, 6-1,</x:t>
        </x:is>
      </x:c>
      <x:c r="D109" t="inlineStr">
        <x:is>
          <x:t xml:space="preserve">M.E.A. Bueno</x:t>
        </x:is>
      </x:c>
      <x:c r="E109" t="inlineStr">
        <x:is>
          <x:t xml:space="preserve">BRA</x:t>
        </x:is>
      </x:c>
    </x:row>
    <x:row r="110">
      <x:c r="A110" t="inlineStr">
        <x:is>
          <x:t xml:space="preserve">R.S. Emerson</x:t>
        </x:is>
      </x:c>
      <x:c r="B110" t="inlineStr">
        <x:is>
          <x:t xml:space="preserve">AUS</x:t>
        </x:is>
      </x:c>
      <x:c r="C110" t="inlineStr">
        <x:is>
          <x:t xml:space="preserve">6-2, 6-4, 6-4</x:t>
        </x:is>
      </x:c>
      <x:c r="D110" t="inlineStr">
        <x:is>
          <x:t xml:space="preserve">F.S. Stolle</x:t>
        </x:is>
      </x:c>
      <x:c r="E110" t="inlineStr">
        <x:is>
          <x:t xml:space="preserve">AUS</x:t>
        </x:is>
      </x:c>
    </x:row>
    <x:row r="111">
      <x:c r="A111" t="inlineStr">
        <x:is>
          <x:t xml:space="preserve">M. Smith</x:t>
        </x:is>
      </x:c>
      <x:c r="B111" t="inlineStr">
        <x:is>
          <x:t xml:space="preserve">AUS</x:t>
        </x:is>
      </x:c>
      <x:c r="C111" t="inlineStr">
        <x:is>
          <x:t xml:space="preserve">6-4, 7-5,</x:t>
        </x:is>
      </x:c>
      <x:c r="D111" t="inlineStr">
        <x:is>
          <x:t xml:space="preserve">M.E.A. Bueno</x:t>
        </x:is>
      </x:c>
      <x:c r="E111" t="inlineStr">
        <x:is>
          <x:t xml:space="preserve">BRA</x:t>
        </x:is>
      </x:c>
    </x:row>
    <x:row r="112">
      <x:c r="A112" t="inlineStr">
        <x:is>
          <x:t xml:space="preserve">R.S. Emerson</x:t>
        </x:is>
      </x:c>
      <x:c r="B112" t="inlineStr">
        <x:is>
          <x:t xml:space="preserve">AUS</x:t>
        </x:is>
      </x:c>
      <x:c r="C112" t="inlineStr">
        <x:is>
          <x:t xml:space="preserve">6-4, 12-10, 4-6, 6-3</x:t>
        </x:is>
      </x:c>
      <x:c r="D112" t="inlineStr">
        <x:is>
          <x:t xml:space="preserve">F.S. Stolle</x:t>
        </x:is>
      </x:c>
      <x:c r="E112" t="inlineStr">
        <x:is>
          <x:t xml:space="preserve">AUS</x:t>
        </x:is>
      </x:c>
    </x:row>
    <x:row r="113">
      <x:c r="A113" t="inlineStr">
        <x:is>
          <x:t xml:space="preserve">M.E.A. Bueno</x:t>
        </x:is>
      </x:c>
      <x:c r="B113" t="inlineStr">
        <x:is>
          <x:t xml:space="preserve">BRA</x:t>
        </x:is>
      </x:c>
      <x:c r="C113" t="inlineStr">
        <x:is>
          <x:t xml:space="preserve">6-4, 7-9, 6-3,</x:t>
        </x:is>
      </x:c>
      <x:c r="D113" t="inlineStr">
        <x:is>
          <x:t xml:space="preserve">M. Smith</x:t>
        </x:is>
      </x:c>
      <x:c r="E113" t="inlineStr">
        <x:is>
          <x:t xml:space="preserve">AUS</x:t>
        </x:is>
      </x:c>
    </x:row>
    <x:row r="114">
      <x:c r="A114" t="inlineStr">
        <x:is>
          <x:t xml:space="preserve">M. Smith</x:t>
        </x:is>
      </x:c>
      <x:c r="B114" t="inlineStr">
        <x:is>
          <x:t xml:space="preserve">AUS</x:t>
        </x:is>
      </x:c>
      <x:c r="C114" t="inlineStr">
        <x:is>
          <x:t xml:space="preserve">6-3, 6-4,</x:t>
        </x:is>
      </x:c>
      <x:c r="D114" t="inlineStr">
        <x:is>
          <x:t xml:space="preserve">B.J. Moffitt</x:t>
        </x:is>
      </x:c>
      <x:c r="E114" t="inlineStr">
        <x:is>
          <x:t xml:space="preserve">USA</x:t>
        </x:is>
      </x:c>
    </x:row>
    <x:row r="115">
      <x:c r="A115" t="inlineStr">
        <x:is>
          <x:t xml:space="preserve">C.R. McKinley</x:t>
        </x:is>
      </x:c>
      <x:c r="B115" t="inlineStr">
        <x:is>
          <x:t xml:space="preserve">USA</x:t>
        </x:is>
      </x:c>
      <x:c r="C115" t="inlineStr">
        <x:is>
          <x:t xml:space="preserve">9-7, 6-1, 6-4</x:t>
        </x:is>
      </x:c>
      <x:c r="D115" t="inlineStr">
        <x:is>
          <x:t xml:space="preserve">F.S. Stolle</x:t>
        </x:is>
      </x:c>
      <x:c r="E115" t="inlineStr">
        <x:is>
          <x:t xml:space="preserve">AUS</x:t>
        </x:is>
      </x:c>
    </x:row>
    <x:row r="116">
      <x:c r="A116" t="inlineStr">
        <x:is>
          <x:t xml:space="preserve">R.G. Laver</x:t>
        </x:is>
      </x:c>
      <x:c r="B116" t="inlineStr">
        <x:is>
          <x:t xml:space="preserve">AUS</x:t>
        </x:is>
      </x:c>
      <x:c r="C116" t="inlineStr">
        <x:is>
          <x:t xml:space="preserve">6-2, 6-2, 6-1</x:t>
        </x:is>
      </x:c>
      <x:c r="D116" t="inlineStr">
        <x:is>
          <x:t xml:space="preserve">M.F. Mulligan</x:t>
        </x:is>
      </x:c>
      <x:c r="E116" t="inlineStr">
        <x:is>
          <x:t xml:space="preserve">AUS</x:t>
        </x:is>
      </x:c>
    </x:row>
    <x:row r="117">
      <x:c r="A117" t="inlineStr">
        <x:is>
          <x:t xml:space="preserve">J.R. Susman</x:t>
        </x:is>
      </x:c>
      <x:c r="B117" t="inlineStr">
        <x:is>
          <x:t xml:space="preserve">USA</x:t>
        </x:is>
      </x:c>
      <x:c r="C117" t="inlineStr">
        <x:is>
          <x:t xml:space="preserve">6-4, 6-4,</x:t>
        </x:is>
      </x:c>
      <x:c r="D117" t="inlineStr">
        <x:is>
          <x:t xml:space="preserve">C. Sukova</x:t>
        </x:is>
      </x:c>
      <x:c r="E117" t="inlineStr">
        <x:is>
          <x:t xml:space="preserve">TCH</x:t>
        </x:is>
      </x:c>
    </x:row>
    <x:row r="118">
      <x:c r="A118" t="inlineStr">
        <x:is>
          <x:t xml:space="preserve">R.G. Laver</x:t>
        </x:is>
      </x:c>
      <x:c r="B118" t="inlineStr">
        <x:is>
          <x:t xml:space="preserve">AUS</x:t>
        </x:is>
      </x:c>
      <x:c r="C118" t="inlineStr">
        <x:is>
          <x:t xml:space="preserve">6-3, 6-1, 6-4</x:t>
        </x:is>
      </x:c>
      <x:c r="D118" t="inlineStr">
        <x:is>
          <x:t xml:space="preserve">C.R. McKinley</x:t>
        </x:is>
      </x:c>
      <x:c r="E118" t="inlineStr">
        <x:is>
          <x:t xml:space="preserve">USA</x:t>
        </x:is>
      </x:c>
    </x:row>
    <x:row r="119">
      <x:c r="A119" t="inlineStr">
        <x:is>
          <x:t xml:space="preserve">F.A.M. Mortimer</x:t>
        </x:is>
      </x:c>
      <x:c r="B119" t="inlineStr">
        <x:is>
          <x:t xml:space="preserve">GBR</x:t>
        </x:is>
      </x:c>
      <x:c r="C119" t="inlineStr">
        <x:is>
          <x:t xml:space="preserve">4-6, 6-4, 7-5,</x:t>
        </x:is>
      </x:c>
      <x:c r="D119" t="inlineStr">
        <x:is>
          <x:t xml:space="preserve">C.C. Truman</x:t>
        </x:is>
      </x:c>
      <x:c r="E119" t="inlineStr">
        <x:is>
          <x:t xml:space="preserve">GBR</x:t>
        </x:is>
      </x:c>
    </x:row>
    <x:row r="120">
      <x:c r="A120" t="inlineStr">
        <x:is>
          <x:t xml:space="preserve">N.A. Fraser</x:t>
        </x:is>
      </x:c>
      <x:c r="B120" t="inlineStr">
        <x:is>
          <x:t xml:space="preserve">AUS</x:t>
        </x:is>
      </x:c>
      <x:c r="C120" t="inlineStr">
        <x:is>
          <x:t xml:space="preserve">6-4, 3-6, 9-7, 7-5</x:t>
        </x:is>
      </x:c>
      <x:c r="D120" t="inlineStr">
        <x:is>
          <x:t xml:space="preserve">R.G. Laver</x:t>
        </x:is>
      </x:c>
      <x:c r="E120" t="inlineStr">
        <x:is>
          <x:t xml:space="preserve">AUS</x:t>
        </x:is>
      </x:c>
    </x:row>
    <x:row r="121">
      <x:c r="A121" t="inlineStr">
        <x:is>
          <x:t xml:space="preserve">M.E.A. Bueno</x:t>
        </x:is>
      </x:c>
      <x:c r="B121" t="inlineStr">
        <x:is>
          <x:t xml:space="preserve">BRA</x:t>
        </x:is>
      </x:c>
      <x:c r="C121" t="inlineStr">
        <x:is>
          <x:t xml:space="preserve">8-6, 6-0</x:t>
        </x:is>
      </x:c>
      <x:c r="D121" t="inlineStr">
        <x:is>
          <x:t xml:space="preserve">S. Reynolds</x:t>
        </x:is>
      </x:c>
      <x:c r="E121" t="inlineStr">
        <x:is>
          <x:t xml:space="preserve">RSA</x:t>
        </x:is>
      </x:c>
    </x:row>
    <x:row r="122">
      <x:c r="A122" t="inlineStr">
        <x:is>
          <x:t xml:space="preserve">M.E.A. Bueno</x:t>
        </x:is>
      </x:c>
      <x:c r="B122" t="inlineStr">
        <x:is>
          <x:t xml:space="preserve">BRA</x:t>
        </x:is>
      </x:c>
      <x:c r="C122" t="inlineStr">
        <x:is>
          <x:t xml:space="preserve">6-4, 6-3,</x:t>
        </x:is>
      </x:c>
      <x:c r="D122" t="inlineStr">
        <x:is>
          <x:t xml:space="preserve">D.R. Hard</x:t>
        </x:is>
      </x:c>
      <x:c r="E122" t="inlineStr">
        <x:is>
          <x:t xml:space="preserve">USA</x:t>
        </x:is>
      </x:c>
    </x:row>
    <x:row r="123">
      <x:c r="A123" t="inlineStr">
        <x:is>
          <x:t xml:space="preserve">A.R. Olmedo</x:t>
        </x:is>
      </x:c>
      <x:c r="B123" t="inlineStr">
        <x:is>
          <x:t xml:space="preserve">USA</x:t>
        </x:is>
      </x:c>
      <x:c r="C123" t="inlineStr">
        <x:is>
          <x:t xml:space="preserve">6-4, 6-3, 6-4</x:t>
        </x:is>
      </x:c>
      <x:c r="D123" t="inlineStr">
        <x:is>
          <x:t xml:space="preserve">R.G. Laver</x:t>
        </x:is>
      </x:c>
      <x:c r="E123" t="inlineStr">
        <x:is>
          <x:t xml:space="preserve">AUS</x:t>
        </x:is>
      </x:c>
    </x:row>
    <x:row r="124">
      <x:c r="A124" t="inlineStr">
        <x:is>
          <x:t xml:space="preserve">A.J. Cooper</x:t>
        </x:is>
      </x:c>
      <x:c r="B124" t="inlineStr">
        <x:is>
          <x:t xml:space="preserve">AUS</x:t>
        </x:is>
      </x:c>
      <x:c r="C124" t="inlineStr">
        <x:is>
          <x:t xml:space="preserve">3-6, 6-3, 6-4, 13-11</x:t>
        </x:is>
      </x:c>
      <x:c r="D124" t="inlineStr">
        <x:is>
          <x:t xml:space="preserve">N.A. Fraser</x:t>
        </x:is>
      </x:c>
      <x:c r="E124" t="inlineStr">
        <x:is>
          <x:t xml:space="preserve">AUS</x:t>
        </x:is>
      </x:c>
    </x:row>
    <x:row r="125">
      <x:c r="A125" t="inlineStr">
        <x:is>
          <x:t xml:space="preserve">A. Gibson</x:t>
        </x:is>
      </x:c>
      <x:c r="B125" t="inlineStr">
        <x:is>
          <x:t xml:space="preserve">USA</x:t>
        </x:is>
      </x:c>
      <x:c r="C125" t="inlineStr">
        <x:is>
          <x:t xml:space="preserve">8-6, 6-2,</x:t>
        </x:is>
      </x:c>
      <x:c r="D125" t="inlineStr">
        <x:is>
          <x:t xml:space="preserve">F.A.M. Mortimer</x:t>
        </x:is>
      </x:c>
      <x:c r="E125" t="inlineStr">
        <x:is>
          <x:t xml:space="preserve">GBR</x:t>
        </x:is>
      </x:c>
    </x:row>
    <x:row r="126">
      <x:c r="A126" t="inlineStr">
        <x:is>
          <x:t xml:space="preserve">L.A. Hoad</x:t>
        </x:is>
      </x:c>
      <x:c r="B126" t="inlineStr">
        <x:is>
          <x:t xml:space="preserve">AUS</x:t>
        </x:is>
      </x:c>
      <x:c r="C126" t="inlineStr">
        <x:is>
          <x:t xml:space="preserve">6-2, 6-1, 6-2</x:t>
        </x:is>
      </x:c>
      <x:c r="D126" t="inlineStr">
        <x:is>
          <x:t xml:space="preserve">A.J. Cooper</x:t>
        </x:is>
      </x:c>
      <x:c r="E126" t="inlineStr">
        <x:is>
          <x:t xml:space="preserve">AUS</x:t>
        </x:is>
      </x:c>
    </x:row>
    <x:row r="127">
      <x:c r="A127" t="inlineStr">
        <x:is>
          <x:t xml:space="preserve">A. Gibson</x:t>
        </x:is>
      </x:c>
      <x:c r="B127" t="inlineStr">
        <x:is>
          <x:t xml:space="preserve">USA</x:t>
        </x:is>
      </x:c>
      <x:c r="C127" t="inlineStr">
        <x:is>
          <x:t xml:space="preserve">6-3, 6-2,</x:t>
        </x:is>
      </x:c>
      <x:c r="D127" t="inlineStr">
        <x:is>
          <x:t xml:space="preserve">D.R. Hard</x:t>
        </x:is>
      </x:c>
      <x:c r="E127" t="inlineStr">
        <x:is>
          <x:t xml:space="preserve">USA</x:t>
        </x:is>
      </x:c>
    </x:row>
    <x:row r="128">
      <x:c r="A128" t="inlineStr">
        <x:is>
          <x:t xml:space="preserve">L.A. Hoad</x:t>
        </x:is>
      </x:c>
      <x:c r="B128" t="inlineStr">
        <x:is>
          <x:t xml:space="preserve">AUS</x:t>
        </x:is>
      </x:c>
      <x:c r="C128" t="inlineStr">
        <x:is>
          <x:t xml:space="preserve">6-2, 4-6, 7-5, 6-4</x:t>
        </x:is>
      </x:c>
      <x:c r="D128" t="inlineStr">
        <x:is>
          <x:t xml:space="preserve">K.R. Rosewall</x:t>
        </x:is>
      </x:c>
      <x:c r="E128" t="inlineStr">
        <x:is>
          <x:t xml:space="preserve">AUS</x:t>
        </x:is>
      </x:c>
    </x:row>
    <x:row r="129">
      <x:c r="A129" t="inlineStr">
        <x:is>
          <x:t xml:space="preserve">S.J. Fry</x:t>
        </x:is>
      </x:c>
      <x:c r="B129" t="inlineStr">
        <x:is>
          <x:t xml:space="preserve">USA</x:t>
        </x:is>
      </x:c>
      <x:c r="C129" t="inlineStr">
        <x:is>
          <x:t xml:space="preserve">6-3, 6-1,</x:t>
        </x:is>
      </x:c>
      <x:c r="D129" t="inlineStr">
        <x:is>
          <x:t xml:space="preserve">A. Buxton</x:t>
        </x:is>
      </x:c>
      <x:c r="E129" t="inlineStr">
        <x:is>
          <x:t xml:space="preserve">GBR</x:t>
        </x:is>
      </x:c>
    </x:row>
    <x:row r="130">
      <x:c r="A130" t="inlineStr">
        <x:is>
          <x:t xml:space="preserve">M.A. Trabert</x:t>
        </x:is>
      </x:c>
      <x:c r="B130" t="inlineStr">
        <x:is>
          <x:t xml:space="preserve">USA</x:t>
        </x:is>
      </x:c>
      <x:c r="C130" t="inlineStr">
        <x:is>
          <x:t xml:space="preserve">6-3, 7-5, 6-1</x:t>
        </x:is>
      </x:c>
      <x:c r="D130" t="inlineStr">
        <x:is>
          <x:t xml:space="preserve">K. Nielsen</x:t>
        </x:is>
      </x:c>
      <x:c r="E130" t="inlineStr">
        <x:is>
          <x:t xml:space="preserve">DEN</x:t>
        </x:is>
      </x:c>
    </x:row>
    <x:row r="131">
      <x:c r="A131" t="inlineStr">
        <x:is>
          <x:t xml:space="preserve">A.L. Brough</x:t>
        </x:is>
      </x:c>
      <x:c r="B131" t="inlineStr">
        <x:is>
          <x:t xml:space="preserve">USA</x:t>
        </x:is>
      </x:c>
      <x:c r="C131" t="inlineStr">
        <x:is>
          <x:t xml:space="preserve">7-5, 8-6,</x:t>
        </x:is>
      </x:c>
      <x:c r="D131" t="inlineStr">
        <x:is>
          <x:t xml:space="preserve">J.G. Fleitz</x:t>
        </x:is>
      </x:c>
      <x:c r="E131" t="inlineStr">
        <x:is>
          <x:t xml:space="preserve">USA</x:t>
        </x:is>
      </x:c>
    </x:row>
    <x:row r="132">
      <x:c r="A132" t="inlineStr">
        <x:is>
          <x:t xml:space="preserve">J. Drobny</x:t>
        </x:is>
      </x:c>
      <x:c r="B132" t="inlineStr">
        <x:is>
          <x:t xml:space="preserve">CZE</x:t>
        </x:is>
      </x:c>
      <x:c r="C132" t="inlineStr">
        <x:is>
          <x:t xml:space="preserve">13-11, 4-6, 6-2, 9-7</x:t>
        </x:is>
      </x:c>
      <x:c r="D132" t="inlineStr">
        <x:is>
          <x:t xml:space="preserve">K.R. Rosewall</x:t>
        </x:is>
      </x:c>
      <x:c r="E132" t="inlineStr">
        <x:is>
          <x:t xml:space="preserve">AUS</x:t>
        </x:is>
      </x:c>
    </x:row>
    <x:row r="133">
      <x:c r="A133" t="inlineStr">
        <x:is>
          <x:t xml:space="preserve">M.C. Connolly</x:t>
        </x:is>
      </x:c>
      <x:c r="B133" t="inlineStr">
        <x:is>
          <x:t xml:space="preserve">USA</x:t>
        </x:is>
      </x:c>
      <x:c r="C133" t="inlineStr">
        <x:is>
          <x:t xml:space="preserve">6-2, 7-5,</x:t>
        </x:is>
      </x:c>
      <x:c r="D133" t="inlineStr">
        <x:is>
          <x:t xml:space="preserve">A.L. Brough</x:t>
        </x:is>
      </x:c>
      <x:c r="E133" t="inlineStr">
        <x:is>
          <x:t xml:space="preserve">USA</x:t>
        </x:is>
      </x:c>
    </x:row>
    <x:row r="134">
      <x:c r="A134" t="inlineStr">
        <x:is>
          <x:t xml:space="preserve">E.V. Seixas</x:t>
        </x:is>
      </x:c>
      <x:c r="B134" t="inlineStr">
        <x:is>
          <x:t xml:space="preserve">USA</x:t>
        </x:is>
      </x:c>
      <x:c r="C134" t="inlineStr">
        <x:is>
          <x:t xml:space="preserve">9-7, 6-3, 6-4</x:t>
        </x:is>
      </x:c>
      <x:c r="D134" t="inlineStr">
        <x:is>
          <x:t xml:space="preserve">K. Nielsen</x:t>
        </x:is>
      </x:c>
      <x:c r="E134" t="inlineStr">
        <x:is>
          <x:t xml:space="preserve">DEN</x:t>
        </x:is>
      </x:c>
    </x:row>
    <x:row r="135">
      <x:c r="A135" t="inlineStr">
        <x:is>
          <x:t xml:space="preserve">M.C. Connolly</x:t>
        </x:is>
      </x:c>
      <x:c r="B135" t="inlineStr">
        <x:is>
          <x:t xml:space="preserve">USA</x:t>
        </x:is>
      </x:c>
      <x:c r="C135" t="inlineStr">
        <x:is>
          <x:t xml:space="preserve">8-6, 7-5,</x:t>
        </x:is>
      </x:c>
      <x:c r="D135" t="inlineStr">
        <x:is>
          <x:t xml:space="preserve">D.J. Hart</x:t>
        </x:is>
      </x:c>
      <x:c r="E135" t="inlineStr">
        <x:is>
          <x:t xml:space="preserve">USA</x:t>
        </x:is>
      </x:c>
    </x:row>
    <x:row r="136">
      <x:c r="A136" t="inlineStr">
        <x:is>
          <x:t xml:space="preserve">F.A. Sedgman</x:t>
        </x:is>
      </x:c>
      <x:c r="B136" t="inlineStr">
        <x:is>
          <x:t xml:space="preserve">AUS</x:t>
        </x:is>
      </x:c>
      <x:c r="C136" t="inlineStr">
        <x:is>
          <x:t xml:space="preserve">4-6, 6-2, 6-3, 6-2</x:t>
        </x:is>
      </x:c>
      <x:c r="D136" t="inlineStr">
        <x:is>
          <x:t xml:space="preserve">J. Drobny</x:t>
        </x:is>
      </x:c>
      <x:c r="E136" t="inlineStr">
        <x:is>
          <x:t xml:space="preserve">CZE</x:t>
        </x:is>
      </x:c>
    </x:row>
    <x:row r="137">
      <x:c r="A137" t="inlineStr">
        <x:is>
          <x:t xml:space="preserve">M.C. Connolly</x:t>
        </x:is>
      </x:c>
      <x:c r="B137" t="inlineStr">
        <x:is>
          <x:t xml:space="preserve">USA</x:t>
        </x:is>
      </x:c>
      <x:c r="C137" t="inlineStr">
        <x:is>
          <x:t xml:space="preserve">7-5, 6-3,</x:t>
        </x:is>
      </x:c>
      <x:c r="D137" t="inlineStr">
        <x:is>
          <x:t xml:space="preserve">A.L. Brough</x:t>
        </x:is>
      </x:c>
      <x:c r="E137" t="inlineStr">
        <x:is>
          <x:t xml:space="preserve">USA</x:t>
        </x:is>
      </x:c>
    </x:row>
    <x:row r="138">
      <x:c r="A138" t="inlineStr">
        <x:is>
          <x:t xml:space="preserve">R. Savitt</x:t>
        </x:is>
      </x:c>
      <x:c r="B138" t="inlineStr">
        <x:is>
          <x:t xml:space="preserve">USA</x:t>
        </x:is>
      </x:c>
      <x:c r="C138" t="inlineStr">
        <x:is>
          <x:t xml:space="preserve">6-4, 6-4, 6-4</x:t>
        </x:is>
      </x:c>
      <x:c r="D138" t="inlineStr">
        <x:is>
          <x:t xml:space="preserve">K.B. McGregor</x:t>
        </x:is>
      </x:c>
      <x:c r="E138" t="inlineStr">
        <x:is>
          <x:t xml:space="preserve">AUS</x:t>
        </x:is>
      </x:c>
    </x:row>
    <x:row r="139">
      <x:c r="A139" t="inlineStr">
        <x:is>
          <x:t xml:space="preserve">D.J. Hart</x:t>
        </x:is>
      </x:c>
      <x:c r="B139" t="inlineStr">
        <x:is>
          <x:t xml:space="preserve">USA</x:t>
        </x:is>
      </x:c>
      <x:c r="C139" t="inlineStr">
        <x:is>
          <x:t xml:space="preserve">6-1, 6-0</x:t>
        </x:is>
      </x:c>
      <x:c r="D139" t="inlineStr">
        <x:is>
          <x:t xml:space="preserve">S.J. Fry</x:t>
        </x:is>
      </x:c>
      <x:c r="E139" t="inlineStr">
        <x:is>
          <x:t xml:space="preserve">USA</x:t>
        </x:is>
      </x:c>
    </x:row>
    <x:row r="140">
      <x:c r="A140" t="inlineStr">
        <x:is>
          <x:t xml:space="preserve">J.E. Patty</x:t>
        </x:is>
      </x:c>
      <x:c r="B140" t="inlineStr">
        <x:is>
          <x:t xml:space="preserve">USA</x:t>
        </x:is>
      </x:c>
      <x:c r="C140" t="inlineStr">
        <x:is>
          <x:t xml:space="preserve">6-1, 8-10, 6-2, 6-3</x:t>
        </x:is>
      </x:c>
      <x:c r="D140" t="inlineStr">
        <x:is>
          <x:t xml:space="preserve">F.A. Sedgman</x:t>
        </x:is>
      </x:c>
      <x:c r="E140" t="inlineStr">
        <x:is>
          <x:t xml:space="preserve">AUS</x:t>
        </x:is>
      </x:c>
    </x:row>
    <x:row r="141">
      <x:c r="A141" t="inlineStr">
        <x:is>
          <x:t xml:space="preserve">A.L. Brough</x:t>
        </x:is>
      </x:c>
      <x:c r="B141" t="inlineStr">
        <x:is>
          <x:t xml:space="preserve">USA</x:t>
        </x:is>
      </x:c>
      <x:c r="C141" t="inlineStr">
        <x:is>
          <x:t xml:space="preserve">6-1, 3-6, 6-1,</x:t>
        </x:is>
      </x:c>
      <x:c r="D141" t="inlineStr">
        <x:is>
          <x:t xml:space="preserve">W. du Pont</x:t>
        </x:is>
      </x:c>
      <x:c r="E141" t="inlineStr">
        <x:is>
          <x:t xml:space="preserve">USA</x:t>
        </x:is>
      </x:c>
    </x:row>
    <x:row r="142">
      <x:c r="A142" t="inlineStr">
        <x:is>
          <x:t xml:space="preserve">F.R. Schroeder</x:t>
        </x:is>
      </x:c>
      <x:c r="B142" t="inlineStr">
        <x:is>
          <x:t xml:space="preserve">USA</x:t>
        </x:is>
      </x:c>
      <x:c r="C142" t="inlineStr">
        <x:is>
          <x:t xml:space="preserve">3-6, 6-0, 6-3, 4-6, 6-4</x:t>
        </x:is>
      </x:c>
      <x:c r="D142" t="inlineStr">
        <x:is>
          <x:t xml:space="preserve">J. Drobny</x:t>
        </x:is>
      </x:c>
      <x:c r="E142" t="inlineStr">
        <x:is>
          <x:t xml:space="preserve">CZE</x:t>
        </x:is>
      </x:c>
    </x:row>
    <x:row r="143">
      <x:c r="A143" t="inlineStr">
        <x:is>
          <x:t xml:space="preserve">A.L. Brough</x:t>
        </x:is>
      </x:c>
      <x:c r="B143" t="inlineStr">
        <x:is>
          <x:t xml:space="preserve">USA</x:t>
        </x:is>
      </x:c>
      <x:c r="C143" t="inlineStr">
        <x:is>
          <x:t xml:space="preserve">10-8, 1-6, 10-8,</x:t>
        </x:is>
      </x:c>
      <x:c r="D143" t="inlineStr">
        <x:is>
          <x:t xml:space="preserve">W. du Pont</x:t>
        </x:is>
      </x:c>
      <x:c r="E143" t="inlineStr">
        <x:is>
          <x:t xml:space="preserve">USA</x:t>
        </x:is>
      </x:c>
    </x:row>
    <x:row r="144">
      <x:c r="A144" t="inlineStr">
        <x:is>
          <x:t xml:space="preserve">R. Falkenburg</x:t>
        </x:is>
      </x:c>
      <x:c r="B144" t="inlineStr">
        <x:is>
          <x:t xml:space="preserve">USA</x:t>
        </x:is>
      </x:c>
      <x:c r="C144" t="inlineStr">
        <x:is>
          <x:t xml:space="preserve">7-5, 0-6, 6-2, 3-6, 7-5</x:t>
        </x:is>
      </x:c>
      <x:c r="D144" t="inlineStr">
        <x:is>
          <x:t xml:space="preserve">J.E. Bromwich</x:t>
        </x:is>
      </x:c>
      <x:c r="E144" t="inlineStr">
        <x:is>
          <x:t xml:space="preserve">AUS</x:t>
        </x:is>
      </x:c>
    </x:row>
    <x:row r="145">
      <x:c r="A145" t="inlineStr">
        <x:is>
          <x:t xml:space="preserve">A.L. Brough</x:t>
        </x:is>
      </x:c>
      <x:c r="B145" t="inlineStr">
        <x:is>
          <x:t xml:space="preserve">USA</x:t>
        </x:is>
      </x:c>
      <x:c r="C145" t="inlineStr">
        <x:is>
          <x:t xml:space="preserve">6-3, 8-6,</x:t>
        </x:is>
      </x:c>
      <x:c r="D145" t="inlineStr">
        <x:is>
          <x:t xml:space="preserve">D.J. Hart</x:t>
        </x:is>
      </x:c>
      <x:c r="E145" t="inlineStr">
        <x:is>
          <x:t xml:space="preserve">USA</x:t>
        </x:is>
      </x:c>
    </x:row>
    <x:row r="146">
      <x:c r="A146" t="inlineStr">
        <x:is>
          <x:t xml:space="preserve">J.A. Kramer</x:t>
        </x:is>
      </x:c>
      <x:c r="B146" t="inlineStr">
        <x:is>
          <x:t xml:space="preserve">USA</x:t>
        </x:is>
      </x:c>
      <x:c r="C146" t="inlineStr">
        <x:is>
          <x:t xml:space="preserve">6-1, 6-3, 6-2</x:t>
        </x:is>
      </x:c>
      <x:c r="D146" t="inlineStr">
        <x:is>
          <x:t xml:space="preserve">T.P. Brown</x:t>
        </x:is>
      </x:c>
      <x:c r="E146" t="inlineStr">
        <x:is>
          <x:t xml:space="preserve">USA</x:t>
        </x:is>
      </x:c>
    </x:row>
    <x:row r="147">
      <x:c r="A147" t="inlineStr">
        <x:is>
          <x:t xml:space="preserve">M.E. Osborne</x:t>
        </x:is>
      </x:c>
      <x:c r="B147" t="inlineStr">
        <x:is>
          <x:t xml:space="preserve">USA</x:t>
        </x:is>
      </x:c>
      <x:c r="C147" t="inlineStr">
        <x:is>
          <x:t xml:space="preserve">6-2, 6-4,</x:t>
        </x:is>
      </x:c>
      <x:c r="D147" t="inlineStr">
        <x:is>
          <x:t xml:space="preserve">D.J. Hart</x:t>
        </x:is>
      </x:c>
      <x:c r="E147" t="inlineStr">
        <x:is>
          <x:t xml:space="preserve">USA</x:t>
        </x:is>
      </x:c>
    </x:row>
    <x:row r="148">
      <x:c r="A148" t="inlineStr">
        <x:is>
          <x:t xml:space="preserve">Y.F.M. Petra</x:t>
        </x:is>
      </x:c>
      <x:c r="B148" t="inlineStr">
        <x:is>
          <x:t xml:space="preserve">FRA</x:t>
        </x:is>
      </x:c>
      <x:c r="C148" t="inlineStr">
        <x:is>
          <x:t xml:space="preserve">6-2, 6-4, 7-9, 5-7, 6-4</x:t>
        </x:is>
      </x:c>
      <x:c r="D148" t="inlineStr">
        <x:is>
          <x:t xml:space="preserve">G.E. Brown</x:t>
        </x:is>
      </x:c>
      <x:c r="E148" t="inlineStr">
        <x:is>
          <x:t xml:space="preserve">AUS</x:t>
        </x:is>
      </x:c>
    </x:row>
    <x:row r="149">
      <x:c r="A149" t="inlineStr">
        <x:is>
          <x:t xml:space="preserve">P.M. Betz</x:t>
        </x:is>
      </x:c>
      <x:c r="B149" t="inlineStr">
        <x:is>
          <x:t xml:space="preserve">USA</x:t>
        </x:is>
      </x:c>
      <x:c r="C149" t="inlineStr">
        <x:is>
          <x:t xml:space="preserve">6-2, 6-4,</x:t>
        </x:is>
      </x:c>
      <x:c r="D149" t="inlineStr">
        <x:is>
          <x:t xml:space="preserve">A.L. Brough</x:t>
        </x:is>
      </x:c>
      <x:c r="E149" t="inlineStr">
        <x:is>
          <x:t xml:space="preserve">USA</x:t>
        </x:is>
      </x:c>
    </x:row>
    <x:row r="150">
      <x:c r="A150" t="inlineStr">
        <x:is>
          <x:t xml:space="preserve">R.L. Riggs</x:t>
        </x:is>
      </x:c>
      <x:c r="B150" t="inlineStr">
        <x:is>
          <x:t xml:space="preserve">USA</x:t>
        </x:is>
      </x:c>
      <x:c r="C150" t="inlineStr">
        <x:is>
          <x:t xml:space="preserve">2-6, 8-6, 3-6, 6-3, 6-2</x:t>
        </x:is>
      </x:c>
      <x:c r="D150" t="inlineStr">
        <x:is>
          <x:t xml:space="preserve">E.T. Cooke</x:t>
        </x:is>
      </x:c>
      <x:c r="E150" t="inlineStr">
        <x:is>
          <x:t xml:space="preserve">USA</x:t>
        </x:is>
      </x:c>
    </x:row>
    <x:row r="151">
      <x:c r="A151" t="inlineStr">
        <x:is>
          <x:t xml:space="preserve">A. Marble</x:t>
        </x:is>
      </x:c>
      <x:c r="B151" t="inlineStr">
        <x:is>
          <x:t xml:space="preserve">USA</x:t>
        </x:is>
      </x:c>
      <x:c r="C151" t="inlineStr">
        <x:is>
          <x:t xml:space="preserve">6-2, 6-0</x:t>
        </x:is>
      </x:c>
      <x:c r="D151" t="inlineStr">
        <x:is>
          <x:t xml:space="preserve">K.E. Stammers</x:t>
        </x:is>
      </x:c>
      <x:c r="E151" t="inlineStr">
        <x:is>
          <x:t xml:space="preserve">GBR</x:t>
        </x:is>
      </x:c>
    </x:row>
    <x:row r="152">
      <x:c r="A152" t="inlineStr">
        <x:is>
          <x:t xml:space="preserve">J.D. Budge</x:t>
        </x:is>
      </x:c>
      <x:c r="B152" t="inlineStr">
        <x:is>
          <x:t xml:space="preserve">USA</x:t>
        </x:is>
      </x:c>
      <x:c r="C152" t="inlineStr">
        <x:is>
          <x:t xml:space="preserve">6-1, 6-0, 6-3</x:t>
        </x:is>
      </x:c>
      <x:c r="D152" t="inlineStr">
        <x:is>
          <x:t xml:space="preserve">H.W. Austin</x:t>
        </x:is>
      </x:c>
      <x:c r="E152" t="inlineStr">
        <x:is>
          <x:t xml:space="preserve">GBR</x:t>
        </x:is>
      </x:c>
    </x:row>
    <x:row r="153">
      <x:c r="A153" t="inlineStr">
        <x:is>
          <x:t xml:space="preserve">F.S. Moody</x:t>
        </x:is>
      </x:c>
      <x:c r="B153" t="inlineStr">
        <x:is>
          <x:t xml:space="preserve">USA</x:t>
        </x:is>
      </x:c>
      <x:c r="C153" t="inlineStr">
        <x:is>
          <x:t xml:space="preserve">6-4, 6-0</x:t>
        </x:is>
      </x:c>
      <x:c r="D153" t="inlineStr">
        <x:is>
          <x:t xml:space="preserve">H.H. Jacobs</x:t>
        </x:is>
      </x:c>
      <x:c r="E153" t="inlineStr">
        <x:is>
          <x:t xml:space="preserve">USA</x:t>
        </x:is>
      </x:c>
    </x:row>
    <x:row r="154">
      <x:c r="A154" t="inlineStr">
        <x:is>
          <x:t xml:space="preserve">D.E. Round</x:t>
        </x:is>
      </x:c>
      <x:c r="B154" t="inlineStr">
        <x:is>
          <x:t xml:space="preserve">GBR</x:t>
        </x:is>
      </x:c>
      <x:c r="C154" t="inlineStr">
        <x:is>
          <x:t xml:space="preserve">6-2, 2-6, 7-5</x:t>
        </x:is>
      </x:c>
      <x:c r="D154" t="inlineStr">
        <x:is>
          <x:t xml:space="preserve">J. Jedrzejowska</x:t>
        </x:is>
      </x:c>
      <x:c r="E154" t="inlineStr">
        <x:is>
          <x:t xml:space="preserve">POL</x:t>
        </x:is>
      </x:c>
    </x:row>
    <x:row r="155">
      <x:c r="A155" t="inlineStr">
        <x:is>
          <x:t xml:space="preserve">J.D. Budge</x:t>
        </x:is>
      </x:c>
      <x:c r="B155" t="inlineStr">
        <x:is>
          <x:t xml:space="preserve">USA</x:t>
        </x:is>
      </x:c>
      <x:c r="C155" t="inlineStr">
        <x:is>
          <x:t xml:space="preserve">6-3, 6-4, 6-2</x:t>
        </x:is>
      </x:c>
      <x:c r="D155" t="inlineStr">
        <x:is>
          <x:t xml:space="preserve">G. von Cramm</x:t>
        </x:is>
      </x:c>
      <x:c r="E155" t="inlineStr">
        <x:is>
          <x:t xml:space="preserve">GER</x:t>
        </x:is>
      </x:c>
    </x:row>
    <x:row r="156">
      <x:c r="A156" t="inlineStr">
        <x:is>
          <x:t xml:space="preserve">F.J. Perry</x:t>
        </x:is>
      </x:c>
      <x:c r="B156" t="inlineStr">
        <x:is>
          <x:t xml:space="preserve">GBR</x:t>
        </x:is>
      </x:c>
      <x:c r="C156" t="inlineStr">
        <x:is>
          <x:t xml:space="preserve">6-1, 6-1, 6-0</x:t>
        </x:is>
      </x:c>
      <x:c r="D156" t="inlineStr">
        <x:is>
          <x:t xml:space="preserve">G. von Cramm</x:t>
        </x:is>
      </x:c>
      <x:c r="E156" t="inlineStr">
        <x:is>
          <x:t xml:space="preserve">GER</x:t>
        </x:is>
      </x:c>
    </x:row>
    <x:row r="157">
      <x:c r="A157" t="inlineStr">
        <x:is>
          <x:t xml:space="preserve">H.H. Jacobs</x:t>
        </x:is>
      </x:c>
      <x:c r="B157" t="inlineStr">
        <x:is>
          <x:t xml:space="preserve">USA</x:t>
        </x:is>
      </x:c>
      <x:c r="C157" t="inlineStr">
        <x:is>
          <x:t xml:space="preserve">6-2, 4-6, 7-5</x:t>
        </x:is>
      </x:c>
      <x:c r="D157" t="inlineStr">
        <x:is>
          <x:t xml:space="preserve">S. Sperling</x:t>
        </x:is>
      </x:c>
      <x:c r="E157" t="inlineStr">
        <x:is>
          <x:t xml:space="preserve">GER</x:t>
        </x:is>
      </x:c>
    </x:row>
    <x:row r="158">
      <x:c r="A158" t="inlineStr">
        <x:is>
          <x:t xml:space="preserve">F.J. Perry</x:t>
        </x:is>
      </x:c>
      <x:c r="B158" t="inlineStr">
        <x:is>
          <x:t xml:space="preserve">GBR</x:t>
        </x:is>
      </x:c>
      <x:c r="C158" t="inlineStr">
        <x:is>
          <x:t xml:space="preserve">6-2, 6-4, 6-4</x:t>
        </x:is>
      </x:c>
      <x:c r="D158" t="inlineStr">
        <x:is>
          <x:t xml:space="preserve">G. von Cramm</x:t>
        </x:is>
      </x:c>
      <x:c r="E158" t="inlineStr">
        <x:is>
          <x:t xml:space="preserve">GER</x:t>
        </x:is>
      </x:c>
    </x:row>
    <x:row r="159">
      <x:c r="A159" t="inlineStr">
        <x:is>
          <x:t xml:space="preserve">F.S. Moody</x:t>
        </x:is>
      </x:c>
      <x:c r="B159" t="inlineStr">
        <x:is>
          <x:t xml:space="preserve">USA</x:t>
        </x:is>
      </x:c>
      <x:c r="C159" t="inlineStr">
        <x:is>
          <x:t xml:space="preserve">6-3, 3-6, 7-5</x:t>
        </x:is>
      </x:c>
      <x:c r="D159" t="inlineStr">
        <x:is>
          <x:t xml:space="preserve">H.H. Jacobs</x:t>
        </x:is>
      </x:c>
      <x:c r="E159" t="inlineStr">
        <x:is>
          <x:t xml:space="preserve">USA</x:t>
        </x:is>
      </x:c>
    </x:row>
    <x:row r="160">
      <x:c r="A160" t="inlineStr">
        <x:is>
          <x:t xml:space="preserve">F.J. Perry</x:t>
        </x:is>
      </x:c>
      <x:c r="B160" t="inlineStr">
        <x:is>
          <x:t xml:space="preserve">GBR</x:t>
        </x:is>
      </x:c>
      <x:c r="C160" t="inlineStr">
        <x:is>
          <x:t xml:space="preserve">6-3, 6-0, 7-5</x:t>
        </x:is>
      </x:c>
      <x:c r="D160" t="inlineStr">
        <x:is>
          <x:t xml:space="preserve">J.H. Crawford</x:t>
        </x:is>
      </x:c>
      <x:c r="E160" t="inlineStr">
        <x:is>
          <x:t xml:space="preserve">AUS</x:t>
        </x:is>
      </x:c>
    </x:row>
    <x:row r="161">
      <x:c r="A161" t="inlineStr">
        <x:is>
          <x:t xml:space="preserve">D.E. Round</x:t>
        </x:is>
      </x:c>
      <x:c r="B161" t="inlineStr">
        <x:is>
          <x:t xml:space="preserve">GBR</x:t>
        </x:is>
      </x:c>
      <x:c r="C161" t="inlineStr">
        <x:is>
          <x:t xml:space="preserve">6-2, 5-7, 6-3</x:t>
        </x:is>
      </x:c>
      <x:c r="D161" t="inlineStr">
        <x:is>
          <x:t xml:space="preserve">H.H. Jacobs</x:t>
        </x:is>
      </x:c>
      <x:c r="E161" t="inlineStr">
        <x:is>
          <x:t xml:space="preserve">USA</x:t>
        </x:is>
      </x:c>
    </x:row>
    <x:row r="162">
      <x:c r="A162" t="inlineStr">
        <x:is>
          <x:t xml:space="preserve">J.H. Crawford</x:t>
        </x:is>
      </x:c>
      <x:c r="B162" t="inlineStr">
        <x:is>
          <x:t xml:space="preserve">AUS</x:t>
        </x:is>
      </x:c>
      <x:c r="C162" t="inlineStr">
        <x:is>
          <x:t xml:space="preserve">4-6, 11-9, 6-2, 2-6, 6-4</x:t>
        </x:is>
      </x:c>
      <x:c r="D162" t="inlineStr">
        <x:is>
          <x:t xml:space="preserve">H.E. Vines</x:t>
        </x:is>
      </x:c>
      <x:c r="E162" t="inlineStr">
        <x:is>
          <x:t xml:space="preserve">USA</x:t>
        </x:is>
      </x:c>
    </x:row>
    <x:row r="163">
      <x:c r="A163" t="inlineStr">
        <x:is>
          <x:t xml:space="preserve">F.S. Moody</x:t>
        </x:is>
      </x:c>
      <x:c r="B163" t="inlineStr">
        <x:is>
          <x:t xml:space="preserve">USA</x:t>
        </x:is>
      </x:c>
      <x:c r="C163" t="inlineStr">
        <x:is>
          <x:t xml:space="preserve">6-4, 6-8, 6-3</x:t>
        </x:is>
      </x:c>
      <x:c r="D163" t="inlineStr">
        <x:is>
          <x:t xml:space="preserve">D.E. Round</x:t>
        </x:is>
      </x:c>
      <x:c r="E163" t="inlineStr">
        <x:is>
          <x:t xml:space="preserve">GBR</x:t>
        </x:is>
      </x:c>
    </x:row>
    <x:row r="164">
      <x:c r="A164" t="inlineStr">
        <x:is>
          <x:t xml:space="preserve">H.E.Vines</x:t>
        </x:is>
      </x:c>
      <x:c r="B164" t="inlineStr">
        <x:is>
          <x:t xml:space="preserve">USA</x:t>
        </x:is>
      </x:c>
      <x:c r="C164" t="inlineStr">
        <x:is>
          <x:t xml:space="preserve">6-2, 6-2, 6-0</x:t>
        </x:is>
      </x:c>
      <x:c r="D164" t="inlineStr">
        <x:is>
          <x:t xml:space="preserve">H.W. Austin</x:t>
        </x:is>
      </x:c>
      <x:c r="E164" t="inlineStr">
        <x:is>
          <x:t xml:space="preserve">GBR</x:t>
        </x:is>
      </x:c>
    </x:row>
    <x:row r="165">
      <x:c r="A165" t="inlineStr">
        <x:is>
          <x:t xml:space="preserve">F.S. Moody</x:t>
        </x:is>
      </x:c>
      <x:c r="B165" t="inlineStr">
        <x:is>
          <x:t xml:space="preserve">USA</x:t>
        </x:is>
      </x:c>
      <x:c r="C165" t="inlineStr">
        <x:is>
          <x:t xml:space="preserve">6-3, 6-1</x:t>
        </x:is>
      </x:c>
      <x:c r="D165" t="inlineStr">
        <x:is>
          <x:t xml:space="preserve">H.H. Jacobs</x:t>
        </x:is>
      </x:c>
      <x:c r="E165" t="inlineStr">
        <x:is>
          <x:t xml:space="preserve">USA</x:t>
        </x:is>
      </x:c>
    </x:row>
    <x:row r="166">
      <x:c r="A166" t="inlineStr">
        <x:is>
          <x:t xml:space="preserve">C. Aussem</x:t>
        </x:is>
      </x:c>
      <x:c r="B166" t="inlineStr">
        <x:is>
          <x:t xml:space="preserve">GER</x:t>
        </x:is>
      </x:c>
      <x:c r="C166" t="inlineStr">
        <x:is>
          <x:t xml:space="preserve">6-2, 7-5</x:t>
        </x:is>
      </x:c>
      <x:c r="D166" t="inlineStr">
        <x:is>
          <x:t xml:space="preserve">H. Krahwinkel</x:t>
        </x:is>
      </x:c>
      <x:c r="E166" t="inlineStr">
        <x:is>
          <x:t xml:space="preserve">GER</x:t>
        </x:is>
      </x:c>
    </x:row>
    <x:row r="167">
      <x:c r="A167" t="inlineStr">
        <x:is>
          <x:t xml:space="preserve">S.B.B. Wood</x:t>
        </x:is>
      </x:c>
      <x:c r="B167" t="inlineStr">
        <x:is>
          <x:t xml:space="preserve">USA</x:t>
        </x:is>
      </x:c>
      <x:c r="C167" t="inlineStr">
        <x:is>
          <x:t xml:space="preserve">walk over</x:t>
        </x:is>
      </x:c>
      <x:c r="D167" t="inlineStr">
        <x:is>
          <x:t xml:space="preserve">F.X. Shields</x:t>
        </x:is>
      </x:c>
      <x:c r="E167" t="inlineStr">
        <x:is>
          <x:t xml:space="preserve">USA</x:t>
        </x:is>
      </x:c>
    </x:row>
    <x:row r="168">
      <x:c r="A168" t="inlineStr">
        <x:is>
          <x:t xml:space="preserve">W.T. Tilden</x:t>
        </x:is>
      </x:c>
      <x:c r="B168" t="inlineStr">
        <x:is>
          <x:t xml:space="preserve">USA</x:t>
        </x:is>
      </x:c>
      <x:c r="C168" t="inlineStr">
        <x:is>
          <x:t xml:space="preserve">6-3, 9-7, 6-4</x:t>
        </x:is>
      </x:c>
      <x:c r="D168" t="inlineStr">
        <x:is>
          <x:t xml:space="preserve">W.L. Allison</x:t>
        </x:is>
      </x:c>
      <x:c r="E168" t="inlineStr">
        <x:is>
          <x:t xml:space="preserve">USA</x:t>
        </x:is>
      </x:c>
    </x:row>
    <x:row r="169">
      <x:c r="A169" t="inlineStr">
        <x:is>
          <x:t xml:space="preserve">F.S. Moody</x:t>
        </x:is>
      </x:c>
      <x:c r="B169" t="inlineStr">
        <x:is>
          <x:t xml:space="preserve">USA</x:t>
        </x:is>
      </x:c>
      <x:c r="C169" t="inlineStr">
        <x:is>
          <x:t xml:space="preserve">6-2, 6-2</x:t>
        </x:is>
      </x:c>
      <x:c r="D169" t="inlineStr">
        <x:is>
          <x:t xml:space="preserve">E.M. Ryan</x:t>
        </x:is>
      </x:c>
      <x:c r="E169" t="inlineStr">
        <x:is>
          <x:t xml:space="preserve">USA</x:t>
        </x:is>
      </x:c>
    </x:row>
    <x:row r="170">
      <x:c r="A170" t="inlineStr">
        <x:is>
          <x:t xml:space="preserve">H.J. Cochet</x:t>
        </x:is>
      </x:c>
      <x:c r="B170" t="inlineStr">
        <x:is>
          <x:t xml:space="preserve">FRA</x:t>
        </x:is>
      </x:c>
      <x:c r="C170" t="inlineStr">
        <x:is>
          <x:t xml:space="preserve">6-4, 6-3, 6-4</x:t>
        </x:is>
      </x:c>
      <x:c r="D170" t="inlineStr">
        <x:is>
          <x:t xml:space="preserve">J.R. Borotra</x:t>
        </x:is>
      </x:c>
      <x:c r="E170" t="inlineStr">
        <x:is>
          <x:t xml:space="preserve">FRA</x:t>
        </x:is>
      </x:c>
    </x:row>
    <x:row r="171">
      <x:c r="A171" t="inlineStr">
        <x:is>
          <x:t xml:space="preserve">H.N. Wills</x:t>
        </x:is>
      </x:c>
      <x:c r="B171" t="inlineStr">
        <x:is>
          <x:t xml:space="preserve">USA</x:t>
        </x:is>
      </x:c>
      <x:c r="C171" t="inlineStr">
        <x:is>
          <x:t xml:space="preserve">6-1, 6-2</x:t>
        </x:is>
      </x:c>
      <x:c r="D171" t="inlineStr">
        <x:is>
          <x:t xml:space="preserve">H.H. Jacobs</x:t>
        </x:is>
      </x:c>
      <x:c r="E171" t="inlineStr">
        <x:is>
          <x:t xml:space="preserve">USA</x:t>
        </x:is>
      </x:c>
    </x:row>
    <x:row r="172">
      <x:c r="A172" t="inlineStr">
        <x:is>
          <x:t xml:space="preserve">J.R. Lacoste</x:t>
        </x:is>
      </x:c>
      <x:c r="B172" t="inlineStr">
        <x:is>
          <x:t xml:space="preserve">FRA</x:t>
        </x:is>
      </x:c>
      <x:c r="C172" t="inlineStr">
        <x:is>
          <x:t xml:space="preserve">6-1, 4-6, 6-4, 6-2</x:t>
        </x:is>
      </x:c>
      <x:c r="D172" t="inlineStr">
        <x:is>
          <x:t xml:space="preserve">H.J. Cochet</x:t>
        </x:is>
      </x:c>
      <x:c r="E172" t="inlineStr">
        <x:is>
          <x:t xml:space="preserve">FRA</x:t>
        </x:is>
      </x:c>
    </x:row>
    <x:row r="173">
      <x:c r="A173" t="inlineStr">
        <x:is>
          <x:t xml:space="preserve">H.N. Wills</x:t>
        </x:is>
      </x:c>
      <x:c r="B173" t="inlineStr">
        <x:is>
          <x:t xml:space="preserve">USA</x:t>
        </x:is>
      </x:c>
      <x:c r="C173" t="inlineStr">
        <x:is>
          <x:t xml:space="preserve">6-2, 6-3</x:t>
        </x:is>
      </x:c>
      <x:c r="D173" t="inlineStr">
        <x:is>
          <x:t xml:space="preserve">E.M. de Alvarez</x:t>
        </x:is>
      </x:c>
      <x:c r="E173" t="inlineStr">
        <x:is>
          <x:t xml:space="preserve">ESP</x:t>
        </x:is>
      </x:c>
    </x:row>
    <x:row r="174">
      <x:c r="A174" t="inlineStr">
        <x:is>
          <x:t xml:space="preserve">H.J. Cochet</x:t>
        </x:is>
      </x:c>
      <x:c r="B174" t="inlineStr">
        <x:is>
          <x:t xml:space="preserve">FRA</x:t>
        </x:is>
      </x:c>
      <x:c r="C174" t="inlineStr">
        <x:is>
          <x:t xml:space="preserve">4-6, 4-6, 6-3, 6-4, 7-5</x:t>
        </x:is>
      </x:c>
      <x:c r="D174" t="inlineStr">
        <x:is>
          <x:t xml:space="preserve">J.R. Borotra</x:t>
        </x:is>
      </x:c>
      <x:c r="E174" t="inlineStr">
        <x:is>
          <x:t xml:space="preserve">FRA</x:t>
        </x:is>
      </x:c>
    </x:row>
    <x:row r="175">
      <x:c r="A175" t="inlineStr">
        <x:is>
          <x:t xml:space="preserve">H.N. Wills</x:t>
        </x:is>
      </x:c>
      <x:c r="B175" t="inlineStr">
        <x:is>
          <x:t xml:space="preserve">USA</x:t>
        </x:is>
      </x:c>
      <x:c r="C175" t="inlineStr">
        <x:is>
          <x:t xml:space="preserve">6-2, 6-4</x:t>
        </x:is>
      </x:c>
      <x:c r="D175" t="inlineStr">
        <x:is>
          <x:t xml:space="preserve">E.M. de Alvarez</x:t>
        </x:is>
      </x:c>
      <x:c r="E175" t="inlineStr">
        <x:is>
          <x:t xml:space="preserve">ESP</x:t>
        </x:is>
      </x:c>
    </x:row>
    <x:row r="176">
      <x:c r="A176" t="inlineStr">
        <x:is>
          <x:t xml:space="preserve">J.R. Borotra</x:t>
        </x:is>
      </x:c>
      <x:c r="B176" t="inlineStr">
        <x:is>
          <x:t xml:space="preserve">FRA</x:t>
        </x:is>
      </x:c>
      <x:c r="C176" t="inlineStr">
        <x:is>
          <x:t xml:space="preserve">8-6, 6-1, 6-3</x:t>
        </x:is>
      </x:c>
      <x:c r="D176" t="inlineStr">
        <x:is>
          <x:t xml:space="preserve">H.O. Kinsey</x:t>
        </x:is>
      </x:c>
      <x:c r="E176" t="inlineStr">
        <x:is>
          <x:t xml:space="preserve">USA</x:t>
        </x:is>
      </x:c>
    </x:row>
    <x:row r="177">
      <x:c r="A177" t="inlineStr">
        <x:is>
          <x:t xml:space="preserve">L.A. Godfree</x:t>
        </x:is>
      </x:c>
      <x:c r="B177" t="inlineStr">
        <x:is>
          <x:t xml:space="preserve">GBR</x:t>
        </x:is>
      </x:c>
      <x:c r="C177" t="inlineStr">
        <x:is>
          <x:t xml:space="preserve">6-2, 4-6, 6-3</x:t>
        </x:is>
      </x:c>
      <x:c r="D177" t="inlineStr">
        <x:is>
          <x:t xml:space="preserve">E.M. de Alvarez</x:t>
        </x:is>
      </x:c>
      <x:c r="E177" t="inlineStr">
        <x:is>
          <x:t xml:space="preserve">ESP</x:t>
        </x:is>
      </x:c>
    </x:row>
    <x:row r="178">
      <x:c r="A178" t="inlineStr">
        <x:is>
          <x:t xml:space="preserve">J.R. Lacoste</x:t>
        </x:is>
      </x:c>
      <x:c r="B178" t="inlineStr">
        <x:is>
          <x:t xml:space="preserve">FRA</x:t>
        </x:is>
      </x:c>
      <x:c r="C178" t="inlineStr">
        <x:is>
          <x:t xml:space="preserve">6-3, 6-3, 4-6, 8-6</x:t>
        </x:is>
      </x:c>
      <x:c r="D178" t="inlineStr">
        <x:is>
          <x:t xml:space="preserve">J.R. Borotra</x:t>
        </x:is>
      </x:c>
      <x:c r="E178" t="inlineStr">
        <x:is>
          <x:t xml:space="preserve">FRA</x:t>
        </x:is>
      </x:c>
    </x:row>
    <x:row r="179">
      <x:c r="A179" t="inlineStr">
        <x:is>
          <x:t xml:space="preserve">S.R.F. Lenglen</x:t>
        </x:is>
      </x:c>
      <x:c r="B179" t="inlineStr">
        <x:is>
          <x:t xml:space="preserve">FRA</x:t>
        </x:is>
      </x:c>
      <x:c r="C179" t="inlineStr">
        <x:is>
          <x:t xml:space="preserve">6-2, 6-0</x:t>
        </x:is>
      </x:c>
      <x:c r="D179" t="inlineStr">
        <x:is>
          <x:t xml:space="preserve">J.C. Fry</x:t>
        </x:is>
      </x:c>
      <x:c r="E179" t="inlineStr">
        <x:is>
          <x:t xml:space="preserve">GBR</x:t>
        </x:is>
      </x:c>
    </x:row>
    <x:row r="180">
      <x:c r="A180" t="inlineStr">
        <x:is>
          <x:t xml:space="preserve">J.R. Borotra</x:t>
        </x:is>
      </x:c>
      <x:c r="B180" t="inlineStr">
        <x:is>
          <x:t xml:space="preserve">FRA</x:t>
        </x:is>
      </x:c>
      <x:c r="C180" t="inlineStr">
        <x:is>
          <x:t xml:space="preserve">6-1, 3-6, 6-1, 3-6, 6-4</x:t>
        </x:is>
      </x:c>
      <x:c r="D180" t="inlineStr">
        <x:is>
          <x:t xml:space="preserve">J.R. Lacoste</x:t>
        </x:is>
      </x:c>
      <x:c r="E180" t="inlineStr">
        <x:is>
          <x:t xml:space="preserve">FRA</x:t>
        </x:is>
      </x:c>
    </x:row>
    <x:row r="181">
      <x:c r="A181" t="inlineStr">
        <x:is>
          <x:t xml:space="preserve">K. McKane</x:t>
        </x:is>
      </x:c>
      <x:c r="B181" t="inlineStr">
        <x:is>
          <x:t xml:space="preserve">GBR</x:t>
        </x:is>
      </x:c>
      <x:c r="C181" t="inlineStr">
        <x:is>
          <x:t xml:space="preserve">4-6, 6-4, 6-4</x:t>
        </x:is>
      </x:c>
      <x:c r="D181" t="inlineStr">
        <x:is>
          <x:t xml:space="preserve">H.N. Wills</x:t>
        </x:is>
      </x:c>
      <x:c r="E181" t="inlineStr">
        <x:is>
          <x:t xml:space="preserve">USA</x:t>
        </x:is>
      </x:c>
    </x:row>
    <x:row r="182">
      <x:c r="A182" t="inlineStr">
        <x:is>
          <x:t xml:space="preserve">S.R.F. Lenglen</x:t>
        </x:is>
      </x:c>
      <x:c r="B182" t="inlineStr">
        <x:is>
          <x:t xml:space="preserve">FRA</x:t>
        </x:is>
      </x:c>
      <x:c r="C182" t="inlineStr">
        <x:is>
          <x:t xml:space="preserve">6-2, 6-2</x:t>
        </x:is>
      </x:c>
      <x:c r="D182" t="inlineStr">
        <x:is>
          <x:t xml:space="preserve">K. McKane</x:t>
        </x:is>
      </x:c>
      <x:c r="E182" t="inlineStr">
        <x:is>
          <x:t xml:space="preserve">GBR</x:t>
        </x:is>
      </x:c>
    </x:row>
    <x:row r="183">
      <x:c r="A183" t="inlineStr">
        <x:is>
          <x:t xml:space="preserve">W. M. Johnston</x:t>
        </x:is>
      </x:c>
      <x:c r="B183" t="inlineStr">
        <x:is>
          <x:t xml:space="preserve">USA</x:t>
        </x:is>
      </x:c>
      <x:c r="C183" t="inlineStr">
        <x:is>
          <x:t xml:space="preserve">6-0, 6-3, 6-1</x:t>
        </x:is>
      </x:c>
      <x:c r="D183" t="inlineStr">
        <x:is>
          <x:t xml:space="preserve">F.T. Hunter</x:t>
        </x:is>
      </x:c>
      <x:c r="E183" t="inlineStr">
        <x:is>
          <x:t xml:space="preserve">USA</x:t>
        </x:is>
      </x:c>
    </x:row>
    <x:row r="184">
      <x:c r="A184" t="inlineStr">
        <x:is>
          <x:t xml:space="preserve">G.L. Patterson</x:t>
        </x:is>
      </x:c>
      <x:c r="B184" t="inlineStr">
        <x:is>
          <x:t xml:space="preserve">AUS</x:t>
        </x:is>
      </x:c>
      <x:c r="C184" t="inlineStr">
        <x:is>
          <x:t xml:space="preserve">6-3, 6-4, 6-2</x:t>
        </x:is>
      </x:c>
      <x:c r="D184" t="inlineStr">
        <x:is>
          <x:t xml:space="preserve">R. Lycett</x:t>
        </x:is>
      </x:c>
      <x:c r="E184" t="inlineStr">
        <x:is>
          <x:t xml:space="preserve">GBR</x:t>
        </x:is>
      </x:c>
    </x:row>
    <x:row r="185">
      <x:c r="A185" t="inlineStr">
        <x:is>
          <x:t xml:space="preserve">S.R.F. Lenglen</x:t>
        </x:is>
      </x:c>
      <x:c r="B185" t="inlineStr">
        <x:is>
          <x:t xml:space="preserve">FRA</x:t>
        </x:is>
      </x:c>
      <x:c r="C185" t="inlineStr">
        <x:is>
          <x:t xml:space="preserve">6-2, 6-0</x:t>
        </x:is>
      </x:c>
      <x:c r="D185" t="inlineStr">
        <x:is>
          <x:t xml:space="preserve">F.I. Mallory</x:t>
        </x:is>
      </x:c>
      <x:c r="E185" t="inlineStr">
        <x:is>
          <x:t xml:space="preserve">USA</x:t>
        </x:is>
      </x:c>
    </x:row>
    <x:row r="186">
      <x:c r="A186" t="inlineStr">
        <x:is>
          <x:t xml:space="preserve">S.R.F. Lenglen</x:t>
        </x:is>
      </x:c>
      <x:c r="B186" t="inlineStr">
        <x:is>
          <x:t xml:space="preserve">FRA</x:t>
        </x:is>
      </x:c>
      <x:c r="C186" t="inlineStr">
        <x:is>
          <x:t xml:space="preserve">6-2, 6-0</x:t>
        </x:is>
      </x:c>
      <x:c r="D186" t="inlineStr">
        <x:is>
          <x:t xml:space="preserve">E.M. Ryan</x:t>
        </x:is>
      </x:c>
      <x:c r="E186" t="inlineStr">
        <x:is>
          <x:t xml:space="preserve">USA</x:t>
        </x:is>
      </x:c>
    </x:row>
    <x:row r="187">
      <x:c r="A187" t="inlineStr">
        <x:is>
          <x:t xml:space="preserve">W.T. Tilden</x:t>
        </x:is>
      </x:c>
      <x:c r="B187" t="inlineStr">
        <x:is>
          <x:t xml:space="preserve">USA</x:t>
        </x:is>
      </x:c>
      <x:c r="C187" t="inlineStr">
        <x:is>
          <x:t xml:space="preserve">4-6, 2-6, 6-1, 6-0, 7-5</x:t>
        </x:is>
      </x:c>
      <x:c r="D187" t="inlineStr">
        <x:is>
          <x:t xml:space="preserve">B.I.C. Norton</x:t>
        </x:is>
      </x:c>
      <x:c r="E187" t="inlineStr">
        <x:is>
          <x:t xml:space="preserve">RSA</x:t>
        </x:is>
      </x:c>
    </x:row>
    <x:row r="188">
      <x:c r="A188" t="inlineStr">
        <x:is>
          <x:t xml:space="preserve">S.R.F. Lenglen</x:t>
        </x:is>
      </x:c>
      <x:c r="B188" t="inlineStr">
        <x:is>
          <x:t xml:space="preserve">FRA</x:t>
        </x:is>
      </x:c>
      <x:c r="C188" t="inlineStr">
        <x:is>
          <x:t xml:space="preserve">6-3, 6-0</x:t>
        </x:is>
      </x:c>
      <x:c r="D188" t="inlineStr">
        <x:is>
          <x:t xml:space="preserve">R.L. Chambers</x:t>
        </x:is>
      </x:c>
      <x:c r="E188" t="inlineStr">
        <x:is>
          <x:t xml:space="preserve">GBR</x:t>
        </x:is>
      </x:c>
    </x:row>
    <x:row r="189">
      <x:c r="A189" t="inlineStr">
        <x:is>
          <x:t xml:space="preserve">W.T. Tilden</x:t>
        </x:is>
      </x:c>
      <x:c r="B189" t="inlineStr">
        <x:is>
          <x:t xml:space="preserve">USA</x:t>
        </x:is>
      </x:c>
      <x:c r="C189" t="inlineStr">
        <x:is>
          <x:t xml:space="preserve">2-6, 6-3, 6-2, 6-4</x:t>
        </x:is>
      </x:c>
      <x:c r="D189" t="inlineStr">
        <x:is>
          <x:t xml:space="preserve">G.L. Patterson</x:t>
        </x:is>
      </x:c>
      <x:c r="E189" t="inlineStr">
        <x:is>
          <x:t xml:space="preserve">AUS</x:t>
        </x:is>
      </x:c>
    </x:row>
    <x:row r="190">
      <x:c r="A190" t="inlineStr">
        <x:is>
          <x:t xml:space="preserve">G.L. Patterson</x:t>
        </x:is>
      </x:c>
      <x:c r="B190" t="inlineStr">
        <x:is>
          <x:t xml:space="preserve">AUS</x:t>
        </x:is>
      </x:c>
      <x:c r="C190" t="inlineStr">
        <x:is>
          <x:t xml:space="preserve">6-3, 7-5, 6-2</x:t>
        </x:is>
      </x:c>
      <x:c r="D190" t="inlineStr">
        <x:is>
          <x:t xml:space="preserve">N.E. Brookes</x:t>
        </x:is>
      </x:c>
      <x:c r="E190" t="inlineStr">
        <x:is>
          <x:t xml:space="preserve">AUS</x:t>
        </x:is>
      </x:c>
    </x:row>
    <x:row r="191">
      <x:c r="A191" t="inlineStr">
        <x:is>
          <x:t xml:space="preserve">S.R.F. Lenglen</x:t>
        </x:is>
      </x:c>
      <x:c r="B191" t="inlineStr">
        <x:is>
          <x:t xml:space="preserve">FRA</x:t>
        </x:is>
      </x:c>
      <x:c r="C191" t="inlineStr">
        <x:is>
          <x:t xml:space="preserve">10-8, 4-6, 9-7</x:t>
        </x:is>
      </x:c>
      <x:c r="D191" t="inlineStr">
        <x:is>
          <x:t xml:space="preserve">R.L. Chambers</x:t>
        </x:is>
      </x:c>
      <x:c r="E191" t="inlineStr">
        <x:is>
          <x:t xml:space="preserve">GBR</x:t>
        </x:is>
      </x:c>
    </x:row>
    <x:row r="192">
      <x:c r="A192" t="inlineStr">
        <x:is>
          <x:t xml:space="preserve">N.E. Brookes</x:t>
        </x:is>
      </x:c>
      <x:c r="B192" t="inlineStr">
        <x:is>
          <x:t xml:space="preserve">AUS</x:t>
        </x:is>
      </x:c>
      <x:c r="C192" t="inlineStr">
        <x:is>
          <x:t xml:space="preserve">6-4, 6-4, 7-5</x:t>
        </x:is>
      </x:c>
      <x:c r="D192" t="inlineStr">
        <x:is>
          <x:t xml:space="preserve">A.F. Wilding</x:t>
        </x:is>
      </x:c>
      <x:c r="E192" t="inlineStr">
        <x:is>
          <x:t xml:space="preserve">NZL</x:t>
        </x:is>
      </x:c>
    </x:row>
    <x:row r="193">
      <x:c r="A193" t="inlineStr">
        <x:is>
          <x:t xml:space="preserve">R.L. Chambers</x:t>
        </x:is>
      </x:c>
      <x:c r="B193" t="inlineStr">
        <x:is>
          <x:t xml:space="preserve">GBR</x:t>
        </x:is>
      </x:c>
      <x:c r="C193" t="inlineStr">
        <x:is>
          <x:t xml:space="preserve">7-5, 6-4</x:t>
        </x:is>
      </x:c>
      <x:c r="D193" t="inlineStr">
        <x:is>
          <x:t xml:space="preserve">D.T.R. Larcombe</x:t>
        </x:is>
      </x:c>
      <x:c r="E193" t="inlineStr">
        <x:is>
          <x:t xml:space="preserve">GBR</x:t>
        </x:is>
      </x:c>
    </x:row>
    <x:row r="194">
      <x:c r="A194" t="inlineStr">
        <x:is>
          <x:t xml:space="preserve">R.L. Chambers</x:t>
        </x:is>
      </x:c>
      <x:c r="B194" t="inlineStr">
        <x:is>
          <x:t xml:space="preserve">GBR</x:t>
        </x:is>
      </x:c>
      <x:c r="C194" t="inlineStr">
        <x:is>
          <x:t xml:space="preserve">6-0, 6-4</x:t>
        </x:is>
      </x:c>
      <x:c r="D194" t="inlineStr">
        <x:is>
          <x:t xml:space="preserve">R.J. McNair</x:t>
        </x:is>
      </x:c>
      <x:c r="E194" t="inlineStr">
        <x:is>
          <x:t xml:space="preserve">GBR</x:t>
        </x:is>
      </x:c>
    </x:row>
    <x:row r="195">
      <x:c r="A195" t="inlineStr">
        <x:is>
          <x:t xml:space="preserve">A.F. Wilding</x:t>
        </x:is>
      </x:c>
      <x:c r="B195" t="inlineStr">
        <x:is>
          <x:t xml:space="preserve">NZL</x:t>
        </x:is>
      </x:c>
      <x:c r="C195" t="inlineStr">
        <x:is>
          <x:t xml:space="preserve">8-6, 6-3, 10-8</x:t>
        </x:is>
      </x:c>
      <x:c r="D195" t="inlineStr">
        <x:is>
          <x:t xml:space="preserve">M.E. McLoughlin</x:t>
        </x:is>
      </x:c>
      <x:c r="E195" t="inlineStr">
        <x:is>
          <x:t xml:space="preserve">USA</x:t>
        </x:is>
      </x:c>
    </x:row>
    <x:row r="196">
      <x:c r="A196" t="inlineStr">
        <x:is>
          <x:t xml:space="preserve">D.T.R. Larcombe</x:t>
        </x:is>
      </x:c>
      <x:c r="B196" t="inlineStr">
        <x:is>
          <x:t xml:space="preserve">GBR</x:t>
        </x:is>
      </x:c>
      <x:c r="C196" t="inlineStr">
        <x:is>
          <x:t xml:space="preserve">6-3, 6-1</x:t>
        </x:is>
      </x:c>
      <x:c r="D196" t="inlineStr">
        <x:is>
          <x:t xml:space="preserve">A. Sterry</x:t>
        </x:is>
      </x:c>
      <x:c r="E196" t="inlineStr">
        <x:is>
          <x:t xml:space="preserve">GBR</x:t>
        </x:is>
      </x:c>
    </x:row>
    <x:row r="197">
      <x:c r="A197" t="inlineStr">
        <x:is>
          <x:t xml:space="preserve">A.F. Wilding</x:t>
        </x:is>
      </x:c>
      <x:c r="B197" t="inlineStr">
        <x:is>
          <x:t xml:space="preserve">NZL</x:t>
        </x:is>
      </x:c>
      <x:c r="C197" t="inlineStr">
        <x:is>
          <x:t xml:space="preserve">6-4, 6-4, 4-6, 6-4</x:t>
        </x:is>
      </x:c>
      <x:c r="D197" t="inlineStr">
        <x:is>
          <x:t xml:space="preserve">A.W. Gore</x:t>
        </x:is>
      </x:c>
      <x:c r="E197" t="inlineStr">
        <x:is>
          <x:t xml:space="preserve">GBR</x:t>
        </x:is>
      </x:c>
    </x:row>
    <x:row r="198">
      <x:c r="A198" t="inlineStr">
        <x:is>
          <x:t xml:space="preserve">R.L. Chambers</x:t>
        </x:is>
      </x:c>
      <x:c r="B198" t="inlineStr">
        <x:is>
          <x:t xml:space="preserve">GBR</x:t>
        </x:is>
      </x:c>
      <x:c r="C198" t="inlineStr">
        <x:is>
          <x:t xml:space="preserve">6-0, 6-0</x:t>
        </x:is>
      </x:c>
      <x:c r="D198" t="inlineStr">
        <x:is>
          <x:t xml:space="preserve">P.D.H. Boothby</x:t>
        </x:is>
      </x:c>
      <x:c r="E198" t="inlineStr">
        <x:is>
          <x:t xml:space="preserve">GBR</x:t>
        </x:is>
      </x:c>
    </x:row>
    <x:row r="199">
      <x:c r="A199" t="inlineStr">
        <x:is>
          <x:t xml:space="preserve">A.F. Wilding</x:t>
        </x:is>
      </x:c>
      <x:c r="B199" t="inlineStr">
        <x:is>
          <x:t xml:space="preserve">NZL</x:t>
        </x:is>
      </x:c>
      <x:c r="C199" t="inlineStr">
        <x:is>
          <x:t xml:space="preserve">6-4, 4-6, 2-6, 6-2, retd</x:t>
        </x:is>
      </x:c>
      <x:c r="D199" t="inlineStr">
        <x:is>
          <x:t xml:space="preserve">H.R. Barrett</x:t>
        </x:is>
      </x:c>
      <x:c r="E199" t="inlineStr">
        <x:is>
          <x:t xml:space="preserve">GBR</x:t>
        </x:is>
      </x:c>
    </x:row>
    <x:row r="200">
      <x:c r="A200" t="inlineStr">
        <x:is>
          <x:t xml:space="preserve">R.L. Chambers</x:t>
        </x:is>
      </x:c>
      <x:c r="B200" t="inlineStr">
        <x:is>
          <x:t xml:space="preserve">GBR</x:t>
        </x:is>
      </x:c>
      <x:c r="C200" t="inlineStr">
        <x:is>
          <x:t xml:space="preserve">6-2, 6-2</x:t>
        </x:is>
      </x:c>
      <x:c r="D200" t="inlineStr">
        <x:is>
          <x:t xml:space="preserve">P.D.H. Boothby</x:t>
        </x:is>
      </x:c>
      <x:c r="E200" t="inlineStr">
        <x:is>
          <x:t xml:space="preserve">GBR</x:t>
        </x:is>
      </x:c>
    </x:row>
    <x:row r="201">
      <x:c r="A201" t="inlineStr">
        <x:is>
          <x:t xml:space="preserve">A.F. Wilding</x:t>
        </x:is>
      </x:c>
      <x:c r="B201" t="inlineStr">
        <x:is>
          <x:t xml:space="preserve">NZL</x:t>
        </x:is>
      </x:c>
      <x:c r="C201" t="inlineStr">
        <x:is>
          <x:t xml:space="preserve">6-4, 7-5, 4-6, 6-2</x:t>
        </x:is>
      </x:c>
      <x:c r="D201" t="inlineStr">
        <x:is>
          <x:t xml:space="preserve">A.W. Gore</x:t>
        </x:is>
      </x:c>
      <x:c r="E201" t="inlineStr">
        <x:is>
          <x:t xml:space="preserve">GBR</x:t>
        </x:is>
      </x:c>
    </x:row>
    <x:row r="202">
      <x:c r="A202" t="inlineStr">
        <x:is>
          <x:t xml:space="preserve">A.W. Gore</x:t>
        </x:is>
      </x:c>
      <x:c r="B202" t="inlineStr">
        <x:is>
          <x:t xml:space="preserve">GBR</x:t>
        </x:is>
      </x:c>
      <x:c r="C202" t="inlineStr">
        <x:is>
          <x:t xml:space="preserve">6-8, 1-6, 6-2, 6-2, 6-2</x:t>
        </x:is>
      </x:c>
      <x:c r="D202" t="inlineStr">
        <x:is>
          <x:t xml:space="preserve">M.J.G. Ritchie</x:t>
        </x:is>
      </x:c>
      <x:c r="E202" t="inlineStr">
        <x:is>
          <x:t xml:space="preserve">GBR</x:t>
        </x:is>
      </x:c>
    </x:row>
    <x:row r="203">
      <x:c r="A203" t="inlineStr">
        <x:is>
          <x:t xml:space="preserve">P.D.H. Boothby</x:t>
        </x:is>
      </x:c>
      <x:c r="B203" t="inlineStr">
        <x:is>
          <x:t xml:space="preserve">GBR</x:t>
        </x:is>
      </x:c>
      <x:c r="C203" t="inlineStr">
        <x:is>
          <x:t xml:space="preserve">6-4, 4-6, 8-6</x:t>
        </x:is>
      </x:c>
      <x:c r="D203" t="inlineStr">
        <x:is>
          <x:t xml:space="preserve">A.M. Morton</x:t>
        </x:is>
      </x:c>
      <x:c r="E203" t="inlineStr">
        <x:is>
          <x:t xml:space="preserve">GBR</x:t>
        </x:is>
      </x:c>
    </x:row>
    <x:row r="204">
      <x:c r="A204" t="inlineStr">
        <x:is>
          <x:t xml:space="preserve">A.W. Gore</x:t>
        </x:is>
      </x:c>
      <x:c r="B204" t="inlineStr">
        <x:is>
          <x:t xml:space="preserve">GBR</x:t>
        </x:is>
      </x:c>
      <x:c r="C204" t="inlineStr">
        <x:is>
          <x:t xml:space="preserve">6-3, 6-2, 4-6, 3-6, 6-4</x:t>
        </x:is>
      </x:c>
      <x:c r="D204" t="inlineStr">
        <x:is>
          <x:t xml:space="preserve">H.R. Barrett</x:t>
        </x:is>
      </x:c>
      <x:c r="E204" t="inlineStr">
        <x:is>
          <x:t xml:space="preserve">GBR</x:t>
        </x:is>
      </x:c>
    </x:row>
    <x:row r="205">
      <x:c r="A205" t="inlineStr">
        <x:is>
          <x:t xml:space="preserve">A. Sterry</x:t>
        </x:is>
      </x:c>
      <x:c r="B205" t="inlineStr">
        <x:is>
          <x:t xml:space="preserve">GBR</x:t>
        </x:is>
      </x:c>
      <x:c r="C205" t="inlineStr">
        <x:is>
          <x:t xml:space="preserve">6-4, 6-4</x:t>
        </x:is>
      </x:c>
      <x:c r="D205" t="inlineStr">
        <x:is>
          <x:t xml:space="preserve">A.M. Morton</x:t>
        </x:is>
      </x:c>
      <x:c r="E205" t="inlineStr">
        <x:is>
          <x:t xml:space="preserve">GBR</x:t>
        </x:is>
      </x:c>
    </x:row>
    <x:row r="206">
      <x:c r="A206" t="inlineStr">
        <x:is>
          <x:t xml:space="preserve">N.E. Brookes</x:t>
        </x:is>
      </x:c>
      <x:c r="B206" t="inlineStr">
        <x:is>
          <x:t xml:space="preserve">AUS</x:t>
        </x:is>
      </x:c>
      <x:c r="C206" t="inlineStr">
        <x:is>
          <x:t xml:space="preserve">6-4, 6-2, 6-2</x:t>
        </x:is>
      </x:c>
      <x:c r="D206" t="inlineStr">
        <x:is>
          <x:t xml:space="preserve">A.W. Gore</x:t>
        </x:is>
      </x:c>
      <x:c r="E206" t="inlineStr">
        <x:is>
          <x:t xml:space="preserve">GBR</x:t>
        </x:is>
      </x:c>
    </x:row>
    <x:row r="207">
      <x:c r="A207" t="inlineStr">
        <x:is>
          <x:t xml:space="preserve">M.G. Sutton</x:t>
        </x:is>
      </x:c>
      <x:c r="B207" t="inlineStr">
        <x:is>
          <x:t xml:space="preserve">USA</x:t>
        </x:is>
      </x:c>
      <x:c r="C207" t="inlineStr">
        <x:is>
          <x:t xml:space="preserve">6-1, 6-4</x:t>
        </x:is>
      </x:c>
      <x:c r="D207" t="inlineStr">
        <x:is>
          <x:t xml:space="preserve">R.L. Chambers</x:t>
        </x:is>
      </x:c>
      <x:c r="E207" t="inlineStr">
        <x:is>
          <x:t xml:space="preserve">GBR</x:t>
        </x:is>
      </x:c>
    </x:row>
    <x:row r="208">
      <x:c r="A208" t="inlineStr">
        <x:is>
          <x:t xml:space="preserve">H.L. Doherty</x:t>
        </x:is>
      </x:c>
      <x:c r="B208" t="inlineStr">
        <x:is>
          <x:t xml:space="preserve">GBR</x:t>
        </x:is>
      </x:c>
      <x:c r="C208" t="inlineStr">
        <x:is>
          <x:t xml:space="preserve">6-4, 4-6, 6-2, 6-3</x:t>
        </x:is>
      </x:c>
      <x:c r="D208" t="inlineStr">
        <x:is>
          <x:t xml:space="preserve">F.L. Riseley</x:t>
        </x:is>
      </x:c>
      <x:c r="E208" t="inlineStr">
        <x:is>
          <x:t xml:space="preserve">GBR</x:t>
        </x:is>
      </x:c>
    </x:row>
    <x:row r="209">
      <x:c r="A209" t="inlineStr">
        <x:is>
          <x:t xml:space="preserve">D.K. Douglass</x:t>
        </x:is>
      </x:c>
      <x:c r="B209" t="inlineStr">
        <x:is>
          <x:t xml:space="preserve">GBR</x:t>
        </x:is>
      </x:c>
      <x:c r="C209" t="inlineStr">
        <x:is>
          <x:t xml:space="preserve">6-3, 9-7</x:t>
        </x:is>
      </x:c>
      <x:c r="D209" t="inlineStr">
        <x:is>
          <x:t xml:space="preserve">M.G. Sutton</x:t>
        </x:is>
      </x:c>
      <x:c r="E209" t="inlineStr">
        <x:is>
          <x:t xml:space="preserve">USA</x:t>
        </x:is>
      </x:c>
    </x:row>
    <x:row r="210">
      <x:c r="A210" t="inlineStr">
        <x:is>
          <x:t xml:space="preserve">H.L. Doherty</x:t>
        </x:is>
      </x:c>
      <x:c r="B210" t="inlineStr">
        <x:is>
          <x:t xml:space="preserve">GBR</x:t>
        </x:is>
      </x:c>
      <x:c r="C210" t="inlineStr">
        <x:is>
          <x:t xml:space="preserve">8-6, 6-2, 6-4</x:t>
        </x:is>
      </x:c>
      <x:c r="D210" t="inlineStr">
        <x:is>
          <x:t xml:space="preserve">N.E. Brookes</x:t>
        </x:is>
      </x:c>
      <x:c r="E210" t="inlineStr">
        <x:is>
          <x:t xml:space="preserve">AUS</x:t>
        </x:is>
      </x:c>
    </x:row>
    <x:row r="211">
      <x:c r="A211" t="inlineStr">
        <x:is>
          <x:t xml:space="preserve">M.G. Sutton</x:t>
        </x:is>
      </x:c>
      <x:c r="B211" t="inlineStr">
        <x:is>
          <x:t xml:space="preserve">USA</x:t>
        </x:is>
      </x:c>
      <x:c r="C211" t="inlineStr">
        <x:is>
          <x:t xml:space="preserve">6-3, 6-4</x:t>
        </x:is>
      </x:c>
      <x:c r="D211" t="inlineStr">
        <x:is>
          <x:t xml:space="preserve">D.K. Douglass</x:t>
        </x:is>
      </x:c>
      <x:c r="E211" t="inlineStr">
        <x:is>
          <x:t xml:space="preserve">GBR</x:t>
        </x:is>
      </x:c>
    </x:row>
    <x:row r="212">
      <x:c r="A212" t="inlineStr">
        <x:is>
          <x:t xml:space="preserve">H.L. Doherty</x:t>
        </x:is>
      </x:c>
      <x:c r="B212" t="inlineStr">
        <x:is>
          <x:t xml:space="preserve">GBR</x:t>
        </x:is>
      </x:c>
      <x:c r="C212" t="inlineStr">
        <x:is>
          <x:t xml:space="preserve">6-1, 7-5, 8-6</x:t>
        </x:is>
      </x:c>
      <x:c r="D212" t="inlineStr">
        <x:is>
          <x:t xml:space="preserve">F.L. Riseley</x:t>
        </x:is>
      </x:c>
      <x:c r="E212" t="inlineStr">
        <x:is>
          <x:t xml:space="preserve">GBR</x:t>
        </x:is>
      </x:c>
    </x:row>
    <x:row r="213">
      <x:c r="A213" t="inlineStr">
        <x:is>
          <x:t xml:space="preserve">D.K. Douglass</x:t>
        </x:is>
      </x:c>
      <x:c r="B213" t="inlineStr">
        <x:is>
          <x:t xml:space="preserve">GBR</x:t>
        </x:is>
      </x:c>
      <x:c r="C213" t="inlineStr">
        <x:is>
          <x:t xml:space="preserve">6-0, 6-3</x:t>
        </x:is>
      </x:c>
      <x:c r="D213" t="inlineStr">
        <x:is>
          <x:t xml:space="preserve">A. Sterry</x:t>
        </x:is>
      </x:c>
      <x:c r="E213" t="inlineStr">
        <x:is>
          <x:t xml:space="preserve">GBR</x:t>
        </x:is>
      </x:c>
    </x:row>
    <x:row r="214">
      <x:c r="A214" t="inlineStr">
        <x:is>
          <x:t xml:space="preserve">H.L. Doherty</x:t>
        </x:is>
      </x:c>
      <x:c r="B214" t="inlineStr">
        <x:is>
          <x:t xml:space="preserve">GBR</x:t>
        </x:is>
      </x:c>
      <x:c r="C214" t="inlineStr">
        <x:is>
          <x:t xml:space="preserve">7-5, 6-3, 6-0</x:t>
        </x:is>
      </x:c>
      <x:c r="D214" t="inlineStr">
        <x:is>
          <x:t xml:space="preserve">F.L. Riseley</x:t>
        </x:is>
      </x:c>
      <x:c r="E214" t="inlineStr">
        <x:is>
          <x:t xml:space="preserve">GBR</x:t>
        </x:is>
      </x:c>
    </x:row>
    <x:row r="215">
      <x:c r="A215" t="inlineStr">
        <x:is>
          <x:t xml:space="preserve">D.K. Douglass</x:t>
        </x:is>
      </x:c>
      <x:c r="B215" t="inlineStr">
        <x:is>
          <x:t xml:space="preserve">GBR</x:t>
        </x:is>
      </x:c>
      <x:c r="C215" t="inlineStr">
        <x:is>
          <x:t xml:space="preserve">4-6, 6-4, 6-2</x:t>
        </x:is>
      </x:c>
      <x:c r="D215" t="inlineStr">
        <x:is>
          <x:t xml:space="preserve">E.W. Thomson</x:t>
        </x:is>
      </x:c>
      <x:c r="E215" t="inlineStr">
        <x:is>
          <x:t xml:space="preserve">GBR</x:t>
        </x:is>
      </x:c>
    </x:row>
    <x:row r="216">
      <x:c r="A216" t="inlineStr">
        <x:is>
          <x:t xml:space="preserve">H.L. Doherty</x:t>
        </x:is>
      </x:c>
      <x:c r="B216" t="inlineStr">
        <x:is>
          <x:t xml:space="preserve">GBR</x:t>
        </x:is>
      </x:c>
      <x:c r="C216" t="inlineStr">
        <x:is>
          <x:t xml:space="preserve">6-4, 6-3, 3-6, 6-0</x:t>
        </x:is>
      </x:c>
      <x:c r="D216" t="inlineStr">
        <x:is>
          <x:t xml:space="preserve">A.W. Gore</x:t>
        </x:is>
      </x:c>
      <x:c r="E216" t="inlineStr">
        <x:is>
          <x:t xml:space="preserve">GBR</x:t>
        </x:is>
      </x:c>
    </x:row>
    <x:row r="217">
      <x:c r="A217" t="inlineStr">
        <x:is>
          <x:t xml:space="preserve">M.E. Robb</x:t>
        </x:is>
      </x:c>
      <x:c r="B217" t="inlineStr">
        <x:is>
          <x:t xml:space="preserve">GBR</x:t>
        </x:is>
      </x:c>
      <x:c r="C217" t="inlineStr">
        <x:is>
          <x:t xml:space="preserve">7-5, 6-1</x:t>
        </x:is>
      </x:c>
      <x:c r="D217" t="inlineStr">
        <x:is>
          <x:t xml:space="preserve">A. Sterry</x:t>
        </x:is>
      </x:c>
      <x:c r="E217" t="inlineStr">
        <x:is>
          <x:t xml:space="preserve">GBR</x:t>
        </x:is>
      </x:c>
    </x:row>
    <x:row r="218">
      <x:c r="A218" t="inlineStr">
        <x:is>
          <x:t xml:space="preserve">A.W. Gore</x:t>
        </x:is>
      </x:c>
      <x:c r="B218" t="inlineStr">
        <x:is>
          <x:t xml:space="preserve">GBR</x:t>
        </x:is>
      </x:c>
      <x:c r="C218" t="inlineStr">
        <x:is>
          <x:t xml:space="preserve">4-6, 7-5, 6-4, 6-4</x:t>
        </x:is>
      </x:c>
      <x:c r="D218" t="inlineStr">
        <x:is>
          <x:t xml:space="preserve">R.F. Doherty</x:t>
        </x:is>
      </x:c>
      <x:c r="E218" t="inlineStr">
        <x:is>
          <x:t xml:space="preserve">GBR</x:t>
        </x:is>
      </x:c>
    </x:row>
    <x:row r="219">
      <x:c r="A219" t="inlineStr">
        <x:is>
          <x:t xml:space="preserve">A. Sterry</x:t>
        </x:is>
      </x:c>
      <x:c r="B219" t="inlineStr">
        <x:is>
          <x:t xml:space="preserve">GBR</x:t>
        </x:is>
      </x:c>
      <x:c r="C219" t="inlineStr">
        <x:is>
          <x:t xml:space="preserve">6-2, 6-2</x:t>
        </x:is>
      </x:c>
      <x:c r="D219" t="inlineStr">
        <x:is>
          <x:t xml:space="preserve">G.W. Hillyard</x:t>
        </x:is>
      </x:c>
      <x:c r="E219" t="inlineStr">
        <x:is>
          <x:t xml:space="preserve">GBR</x:t>
        </x:is>
      </x:c>
    </x:row>
    <x:row r="220">
      <x:c r="A220" t="inlineStr">
        <x:is>
          <x:t xml:space="preserve">R.F. Doherty</x:t>
        </x:is>
      </x:c>
      <x:c r="B220" t="inlineStr">
        <x:is>
          <x:t xml:space="preserve">GBR</x:t>
        </x:is>
      </x:c>
      <x:c r="C220" t="inlineStr">
        <x:is>
          <x:t xml:space="preserve">6-8, 6-3, 6-1, 6-2</x:t>
        </x:is>
      </x:c>
      <x:c r="D220" t="inlineStr">
        <x:is>
          <x:t xml:space="preserve">S.H. Smith</x:t>
        </x:is>
      </x:c>
      <x:c r="E220" t="inlineStr">
        <x:is>
          <x:t xml:space="preserve">GBR</x:t>
        </x:is>
      </x:c>
    </x:row>
    <x:row r="221">
      <x:c r="A221" t="inlineStr">
        <x:is>
          <x:t xml:space="preserve">G.W. Hillyard</x:t>
        </x:is>
      </x:c>
      <x:c r="B221" t="inlineStr">
        <x:is>
          <x:t xml:space="preserve">GBR</x:t>
        </x:is>
      </x:c>
      <x:c r="C221" t="inlineStr">
        <x:is>
          <x:t xml:space="preserve">4-6, 6-4, 6-4</x:t>
        </x:is>
      </x:c>
      <x:c r="D221" t="inlineStr">
        <x:is>
          <x:t xml:space="preserve">C.R. Cooper</x:t>
        </x:is>
      </x:c>
      <x:c r="E221" t="inlineStr">
        <x:is>
          <x:t xml:space="preserve">GBR</x:t>
        </x:is>
      </x:c>
    </x:row>
    <x:row r="222">
      <x:c r="A222" t="inlineStr">
        <x:is>
          <x:t xml:space="preserve">R.F. Doherty</x:t>
        </x:is>
      </x:c>
      <x:c r="B222" t="inlineStr">
        <x:is>
          <x:t xml:space="preserve">GBR</x:t>
        </x:is>
      </x:c>
      <x:c r="C222" t="inlineStr">
        <x:is>
          <x:t xml:space="preserve">1-6, 4-6, 6-3, 6-3, 6-3</x:t>
        </x:is>
      </x:c>
      <x:c r="D222" t="inlineStr">
        <x:is>
          <x:t xml:space="preserve">A.W. Gore</x:t>
        </x:is>
      </x:c>
      <x:c r="E222" t="inlineStr">
        <x:is>
          <x:t xml:space="preserve">GBR</x:t>
        </x:is>
      </x:c>
    </x:row>
    <x:row r="223">
      <x:c r="A223" t="inlineStr">
        <x:is>
          <x:t xml:space="preserve">G.W. Hillyard</x:t>
        </x:is>
      </x:c>
      <x:c r="B223" t="inlineStr">
        <x:is>
          <x:t xml:space="preserve">GBR</x:t>
        </x:is>
      </x:c>
      <x:c r="C223" t="inlineStr">
        <x:is>
          <x:t xml:space="preserve">6-2, 6-3</x:t>
        </x:is>
      </x:c>
      <x:c r="D223" t="inlineStr">
        <x:is>
          <x:t xml:space="preserve">C.R. Cooper</x:t>
        </x:is>
      </x:c>
      <x:c r="E223" t="inlineStr">
        <x:is>
          <x:t xml:space="preserve">GBR</x:t>
        </x:is>
      </x:c>
    </x:row>
    <x:row r="224">
      <x:c r="A224" t="inlineStr">
        <x:is>
          <x:t xml:space="preserve">R.F. Doherty</x:t>
        </x:is>
      </x:c>
      <x:c r="B224" t="inlineStr">
        <x:is>
          <x:t xml:space="preserve">GBR</x:t>
        </x:is>
      </x:c>
      <x:c r="C224" t="inlineStr">
        <x:is>
          <x:t xml:space="preserve">6-3, 6-3, 2-6, 5-7, 6-1</x:t>
        </x:is>
      </x:c>
      <x:c r="D224" t="inlineStr">
        <x:is>
          <x:t xml:space="preserve">H.L. Doherty</x:t>
        </x:is>
      </x:c>
      <x:c r="E224" t="inlineStr">
        <x:is>
          <x:t xml:space="preserve">GBR</x:t>
        </x:is>
      </x:c>
    </x:row>
    <x:row r="225">
      <x:c r="A225" t="inlineStr">
        <x:is>
          <x:t xml:space="preserve">C.R. Cooper</x:t>
        </x:is>
      </x:c>
      <x:c r="B225" t="inlineStr">
        <x:is>
          <x:t xml:space="preserve">GBR</x:t>
        </x:is>
      </x:c>
      <x:c r="C225" t="inlineStr">
        <x:is>
          <x:t xml:space="preserve">6-4, 6-4</x:t>
        </x:is>
      </x:c>
      <x:c r="D225" t="inlineStr">
        <x:is>
          <x:t xml:space="preserve">M.L.Martin</x:t>
        </x:is>
      </x:c>
      <x:c r="E225" t="inlineStr">
        <x:is>
          <x:t xml:space="preserve">GBR</x:t>
        </x:is>
      </x:c>
    </x:row>
    <x:row r="226">
      <x:c r="A226" t="inlineStr">
        <x:is>
          <x:t xml:space="preserve">R.F. Doherty</x:t>
        </x:is>
      </x:c>
      <x:c r="B226" t="inlineStr">
        <x:is>
          <x:t xml:space="preserve">GBR</x:t>
        </x:is>
      </x:c>
      <x:c r="C226" t="inlineStr">
        <x:is>
          <x:t xml:space="preserve">6-4, 6-4, 6-3</x:t>
        </x:is>
      </x:c>
      <x:c r="D226" t="inlineStr">
        <x:is>
          <x:t xml:space="preserve">H.S. Mahony</x:t>
        </x:is>
      </x:c>
      <x:c r="E226" t="inlineStr">
        <x:is>
          <x:t xml:space="preserve">GBR</x:t>
        </x:is>
      </x:c>
    </x:row>
    <x:row r="227">
      <x:c r="A227" t="inlineStr">
        <x:is>
          <x:t xml:space="preserve">G.W. Hillyard</x:t>
        </x:is>
      </x:c>
      <x:c r="B227" t="inlineStr">
        <x:is>
          <x:t xml:space="preserve">GBR</x:t>
        </x:is>
      </x:c>
      <x:c r="C227" t="inlineStr">
        <x:is>
          <x:t xml:space="preserve">5-7, 7-5, 6-2</x:t>
        </x:is>
      </x:c>
      <x:c r="D227" t="inlineStr">
        <x:is>
          <x:t xml:space="preserve">C.R. Cooper</x:t>
        </x:is>
      </x:c>
      <x:c r="E227" t="inlineStr">
        <x:is>
          <x:t xml:space="preserve">GBR</x:t>
        </x:is>
      </x:c>
    </x:row>
    <x:row r="228">
      <x:c r="A228" t="inlineStr">
        <x:is>
          <x:t xml:space="preserve">H.S. Mahony</x:t>
        </x:is>
      </x:c>
      <x:c r="B228" t="inlineStr">
        <x:is>
          <x:t xml:space="preserve">GBR</x:t>
        </x:is>
      </x:c>
      <x:c r="C228" t="inlineStr">
        <x:is>
          <x:t xml:space="preserve">6-2, 6-8, 5-7, 8-6, 6-3</x:t>
        </x:is>
      </x:c>
      <x:c r="D228" t="inlineStr">
        <x:is>
          <x:t xml:space="preserve">W. Baddeley</x:t>
        </x:is>
      </x:c>
      <x:c r="E228" t="inlineStr">
        <x:is>
          <x:t xml:space="preserve">GBR</x:t>
        </x:is>
      </x:c>
    </x:row>
    <x:row r="229">
      <x:c r="A229" t="inlineStr">
        <x:is>
          <x:t xml:space="preserve">C.R. Cooper</x:t>
        </x:is>
      </x:c>
      <x:c r="B229" t="inlineStr">
        <x:is>
          <x:t xml:space="preserve">GBR</x:t>
        </x:is>
      </x:c>
      <x:c r="C229" t="inlineStr">
        <x:is>
          <x:t xml:space="preserve">6-2, 6-3</x:t>
        </x:is>
      </x:c>
      <x:c r="D229" t="inlineStr">
        <x:is>
          <x:t xml:space="preserve">W.H. Pickering</x:t>
        </x:is>
      </x:c>
      <x:c r="E229" t="inlineStr">
        <x:is>
          <x:t xml:space="preserve">GBR</x:t>
        </x:is>
      </x:c>
    </x:row>
    <x:row r="230">
      <x:c r="A230" t="inlineStr">
        <x:is>
          <x:t xml:space="preserve">W. Baddeley</x:t>
        </x:is>
      </x:c>
      <x:c r="B230" t="inlineStr">
        <x:is>
          <x:t xml:space="preserve">GBR</x:t>
        </x:is>
      </x:c>
      <x:c r="C230" t="inlineStr">
        <x:is>
          <x:t xml:space="preserve">4-6, 2-6, 8-6, 6-2, 6-3</x:t>
        </x:is>
      </x:c>
      <x:c r="D230" t="inlineStr">
        <x:is>
          <x:t xml:space="preserve">W.V. Eaves</x:t>
        </x:is>
      </x:c>
      <x:c r="E230" t="inlineStr">
        <x:is>
          <x:t xml:space="preserve">GBR</x:t>
        </x:is>
      </x:c>
    </x:row>
    <x:row r="231">
      <x:c r="A231" t="inlineStr">
        <x:is>
          <x:t xml:space="preserve">C.R. Cooper</x:t>
        </x:is>
      </x:c>
      <x:c r="B231" t="inlineStr">
        <x:is>
          <x:t xml:space="preserve">GBR</x:t>
        </x:is>
      </x:c>
      <x:c r="C231" t="inlineStr">
        <x:is>
          <x:t xml:space="preserve">7-5, 8-6</x:t>
        </x:is>
      </x:c>
      <x:c r="D231" t="inlineStr">
        <x:is>
          <x:t xml:space="preserve">H. Jackson</x:t>
        </x:is>
      </x:c>
      <x:c r="E231" t="inlineStr">
        <x:is>
          <x:t xml:space="preserve">GBR</x:t>
        </x:is>
      </x:c>
    </x:row>
    <x:row r="232">
      <x:c r="A232" t="inlineStr">
        <x:is>
          <x:t xml:space="preserve">J. Pim</x:t>
        </x:is>
      </x:c>
      <x:c r="B232" t="inlineStr">
        <x:is>
          <x:t xml:space="preserve">GBR</x:t>
        </x:is>
      </x:c>
      <x:c r="C232" t="inlineStr">
        <x:is>
          <x:t xml:space="preserve">10-8, 6-2, 8-6</x:t>
        </x:is>
      </x:c>
      <x:c r="D232" t="inlineStr">
        <x:is>
          <x:t xml:space="preserve">W. Baddeley</x:t>
        </x:is>
      </x:c>
      <x:c r="E232" t="inlineStr">
        <x:is>
          <x:t xml:space="preserve">GBR</x:t>
        </x:is>
      </x:c>
    </x:row>
    <x:row r="233">
      <x:c r="A233" t="inlineStr">
        <x:is>
          <x:t xml:space="preserve">G.W. Hillyard</x:t>
        </x:is>
      </x:c>
      <x:c r="B233" t="inlineStr">
        <x:is>
          <x:t xml:space="preserve">GBR</x:t>
        </x:is>
      </x:c>
      <x:c r="C233" t="inlineStr">
        <x:is>
          <x:t xml:space="preserve">6-1, 6-1</x:t>
        </x:is>
      </x:c>
      <x:c r="D233" t="inlineStr">
        <x:is>
          <x:t xml:space="preserve">E.L. Austin</x:t>
        </x:is>
      </x:c>
      <x:c r="E233" t="inlineStr">
        <x:is>
          <x:t xml:space="preserve">GBR</x:t>
        </x:is>
      </x:c>
    </x:row>
    <x:row r="234">
      <x:c r="A234" t="inlineStr">
        <x:is>
          <x:t xml:space="preserve">J. Pim</x:t>
        </x:is>
      </x:c>
      <x:c r="B234" t="inlineStr">
        <x:is>
          <x:t xml:space="preserve">GBR</x:t>
        </x:is>
      </x:c>
      <x:c r="C234" t="inlineStr">
        <x:is>
          <x:t xml:space="preserve">3-6, 6-1, 6-3, 6-2</x:t>
        </x:is>
      </x:c>
      <x:c r="D234" t="inlineStr">
        <x:is>
          <x:t xml:space="preserve">W. Baddeley</x:t>
        </x:is>
      </x:c>
      <x:c r="E234" t="inlineStr">
        <x:is>
          <x:t xml:space="preserve">GBR</x:t>
        </x:is>
      </x:c>
    </x:row>
    <x:row r="235">
      <x:c r="A235" t="inlineStr">
        <x:is>
          <x:t xml:space="preserve">C. Dod</x:t>
        </x:is>
      </x:c>
      <x:c r="B235" t="inlineStr">
        <x:is>
          <x:t xml:space="preserve">GBR</x:t>
        </x:is>
      </x:c>
      <x:c r="C235" t="inlineStr">
        <x:is>
          <x:t xml:space="preserve">6-8, 6-1, 6-4</x:t>
        </x:is>
      </x:c>
      <x:c r="D235" t="inlineStr">
        <x:is>
          <x:t xml:space="preserve">G.W. Hillyard</x:t>
        </x:is>
      </x:c>
      <x:c r="E235" t="inlineStr">
        <x:is>
          <x:t xml:space="preserve">GBR</x:t>
        </x:is>
      </x:c>
    </x:row>
    <x:row r="236">
      <x:c r="A236" t="inlineStr">
        <x:is>
          <x:t xml:space="preserve">W. Baddeley</x:t>
        </x:is>
      </x:c>
      <x:c r="B236" t="inlineStr">
        <x:is>
          <x:t xml:space="preserve">GBR</x:t>
        </x:is>
      </x:c>
      <x:c r="C236" t="inlineStr">
        <x:is>
          <x:t xml:space="preserve">4-6, 6-3, 6-3, 6-2</x:t>
        </x:is>
      </x:c>
      <x:c r="D236" t="inlineStr">
        <x:is>
          <x:t xml:space="preserve">J. Pim</x:t>
        </x:is>
      </x:c>
      <x:c r="E236" t="inlineStr">
        <x:is>
          <x:t xml:space="preserve">GBR</x:t>
        </x:is>
      </x:c>
    </x:row>
    <x:row r="237">
      <x:c r="A237" t="inlineStr">
        <x:is>
          <x:t xml:space="preserve">C. Dod</x:t>
        </x:is>
      </x:c>
      <x:c r="B237" t="inlineStr">
        <x:is>
          <x:t xml:space="preserve">GBR</x:t>
        </x:is>
      </x:c>
      <x:c r="C237" t="inlineStr">
        <x:is>
          <x:t xml:space="preserve">6-1, 6-1</x:t>
        </x:is>
      </x:c>
      <x:c r="D237" t="inlineStr">
        <x:is>
          <x:t xml:space="preserve">G.W. Hillyard</x:t>
        </x:is>
      </x:c>
      <x:c r="E237" t="inlineStr">
        <x:is>
          <x:t xml:space="preserve">GBR</x:t>
        </x:is>
      </x:c>
    </x:row>
    <x:row r="238">
      <x:c r="A238" t="inlineStr">
        <x:is>
          <x:t xml:space="preserve">W. Baddeley</x:t>
        </x:is>
      </x:c>
      <x:c r="B238" t="inlineStr">
        <x:is>
          <x:t xml:space="preserve">GBR</x:t>
        </x:is>
      </x:c>
      <x:c r="C238" t="inlineStr">
        <x:is>
          <x:t xml:space="preserve">6-4, 1-6, 7-5, 6-0</x:t>
        </x:is>
      </x:c>
      <x:c r="D238" t="inlineStr">
        <x:is>
          <x:t xml:space="preserve">J.Pim</x:t>
        </x:is>
      </x:c>
      <x:c r="E238" t="inlineStr">
        <x:is>
          <x:t xml:space="preserve">GBR</x:t>
        </x:is>
      </x:c>
    </x:row>
    <x:row r="239">
      <x:c r="A239" t="inlineStr">
        <x:is>
          <x:t xml:space="preserve">C. Dod</x:t>
        </x:is>
      </x:c>
      <x:c r="B239" t="inlineStr">
        <x:is>
          <x:t xml:space="preserve">GBR</x:t>
        </x:is>
      </x:c>
      <x:c r="C239" t="inlineStr">
        <x:is>
          <x:t xml:space="preserve">6-2, 6-1</x:t>
        </x:is>
      </x:c>
      <x:c r="D239" t="inlineStr">
        <x:is>
          <x:t xml:space="preserve">G.W. Hillyard</x:t>
        </x:is>
      </x:c>
      <x:c r="E239" t="inlineStr">
        <x:is>
          <x:t xml:space="preserve">GBR</x:t>
        </x:is>
      </x:c>
    </x:row>
    <x:row r="240">
      <x:c r="A240" t="inlineStr">
        <x:is>
          <x:t xml:space="preserve">W.J. Hamilton</x:t>
        </x:is>
      </x:c>
      <x:c r="B240" t="inlineStr">
        <x:is>
          <x:t xml:space="preserve">GBR</x:t>
        </x:is>
      </x:c>
      <x:c r="C240" t="inlineStr">
        <x:is>
          <x:t xml:space="preserve">6-8, 6-2, 3-6, 6-1, 6-1</x:t>
        </x:is>
      </x:c>
      <x:c r="D240" t="inlineStr">
        <x:is>
          <x:t xml:space="preserve">W.C. Renshaw</x:t>
        </x:is>
      </x:c>
      <x:c r="E240" t="inlineStr">
        <x:is>
          <x:t xml:space="preserve">GBR</x:t>
        </x:is>
      </x:c>
    </x:row>
    <x:row r="241">
      <x:c r="A241" t="inlineStr">
        <x:is>
          <x:t xml:space="preserve">H.G.B. Rice</x:t>
        </x:is>
      </x:c>
      <x:c r="B241" t="inlineStr">
        <x:is>
          <x:t xml:space="preserve">GBR</x:t>
        </x:is>
      </x:c>
      <x:c r="C241" t="inlineStr">
        <x:is>
          <x:t xml:space="preserve">6-4, 6-1</x:t>
        </x:is>
      </x:c>
      <x:c r="D241" t="inlineStr">
        <x:is>
          <x:t xml:space="preserve">M. Jacks</x:t>
        </x:is>
      </x:c>
      <x:c r="E241" t="inlineStr">
        <x:is>
          <x:t xml:space="preserve">GBR</x:t>
        </x:is>
      </x:c>
    </x:row>
    <x:row r="242">
      <x:c r="A242" t="inlineStr">
        <x:is>
          <x:t xml:space="preserve">W.C. Renshaw</x:t>
        </x:is>
      </x:c>
      <x:c r="B242" t="inlineStr">
        <x:is>
          <x:t xml:space="preserve">GBR</x:t>
        </x:is>
      </x:c>
      <x:c r="C242" t="inlineStr">
        <x:is>
          <x:t xml:space="preserve">6-4, 6-1, 3-6, 6-0</x:t>
        </x:is>
      </x:c>
      <x:c r="D242" t="inlineStr">
        <x:is>
          <x:t xml:space="preserve">J.E. Renshaw</x:t>
        </x:is>
      </x:c>
      <x:c r="E242" t="inlineStr">
        <x:is>
          <x:t xml:space="preserve">GBR</x:t>
        </x:is>
      </x:c>
    </x:row>
    <x:row r="243">
      <x:c r="A243" t="inlineStr">
        <x:is>
          <x:t xml:space="preserve">G.W. Hillyard</x:t>
        </x:is>
      </x:c>
      <x:c r="B243" t="inlineStr">
        <x:is>
          <x:t xml:space="preserve">GBR</x:t>
        </x:is>
      </x:c>
      <x:c r="C243" t="inlineStr">
        <x:is>
          <x:t xml:space="preserve">4-6, 8-6, 6-4</x:t>
        </x:is>
      </x:c>
      <x:c r="D243" t="inlineStr">
        <x:is>
          <x:t xml:space="preserve">H.G.B. Rice</x:t>
        </x:is>
      </x:c>
      <x:c r="E243" t="inlineStr">
        <x:is>
          <x:t xml:space="preserve">GBR</x:t>
        </x:is>
      </x:c>
    </x:row>
    <x:row r="244">
      <x:c r="A244" t="inlineStr">
        <x:is>
          <x:t xml:space="preserve">J.E. Renshaw</x:t>
        </x:is>
      </x:c>
      <x:c r="B244" t="inlineStr">
        <x:is>
          <x:t xml:space="preserve">GBR</x:t>
        </x:is>
      </x:c>
      <x:c r="C244" t="inlineStr">
        <x:is>
          <x:t xml:space="preserve">6-3, 7-5, 6-0</x:t>
        </x:is>
      </x:c>
      <x:c r="D244" t="inlineStr">
        <x:is>
          <x:t xml:space="preserve">H.F. Lawford</x:t>
        </x:is>
      </x:c>
      <x:c r="E244" t="inlineStr">
        <x:is>
          <x:t xml:space="preserve">GBR</x:t>
        </x:is>
      </x:c>
    </x:row>
    <x:row r="245">
      <x:c r="A245" t="inlineStr">
        <x:is>
          <x:t xml:space="preserve">C. Dod</x:t>
        </x:is>
      </x:c>
      <x:c r="B245" t="inlineStr">
        <x:is>
          <x:t xml:space="preserve">GBR</x:t>
        </x:is>
      </x:c>
      <x:c r="C245" t="inlineStr">
        <x:is>
          <x:t xml:space="preserve">6-3, 6-3</x:t>
        </x:is>
      </x:c>
      <x:c r="D245" t="inlineStr">
        <x:is>
          <x:t xml:space="preserve">G.W. Hillyard</x:t>
        </x:is>
      </x:c>
      <x:c r="E245" t="inlineStr">
        <x:is>
          <x:t xml:space="preserve">GBR</x:t>
        </x:is>
      </x:c>
    </x:row>
    <x:row r="246">
      <x:c r="A246" t="inlineStr">
        <x:is>
          <x:t xml:space="preserve">H.F. Lawford</x:t>
        </x:is>
      </x:c>
      <x:c r="B246" t="inlineStr">
        <x:is>
          <x:t xml:space="preserve">GBR</x:t>
        </x:is>
      </x:c>
      <x:c r="C246" t="inlineStr">
        <x:is>
          <x:t xml:space="preserve">1-6, 6-3, 3-6, 6-4, 6-4</x:t>
        </x:is>
      </x:c>
      <x:c r="D246" t="inlineStr">
        <x:is>
          <x:t xml:space="preserve">J.E. Renshaw</x:t>
        </x:is>
      </x:c>
      <x:c r="E246" t="inlineStr">
        <x:is>
          <x:t xml:space="preserve">GBR</x:t>
        </x:is>
      </x:c>
    </x:row>
    <x:row r="247">
      <x:c r="A247" t="inlineStr">
        <x:is>
          <x:t xml:space="preserve">C. Dod</x:t>
        </x:is>
      </x:c>
      <x:c r="B247" t="inlineStr">
        <x:is>
          <x:t xml:space="preserve">GBR</x:t>
        </x:is>
      </x:c>
      <x:c r="C247" t="inlineStr">
        <x:is>
          <x:t xml:space="preserve">6-2, 6-0</x:t>
        </x:is>
      </x:c>
      <x:c r="D247" t="inlineStr">
        <x:is>
          <x:t xml:space="preserve">B. Bingley</x:t>
        </x:is>
      </x:c>
      <x:c r="E247" t="inlineStr">
        <x:is>
          <x:t xml:space="preserve">GBR</x:t>
        </x:is>
      </x:c>
    </x:row>
    <x:row r="248">
      <x:c r="A248" t="inlineStr">
        <x:is>
          <x:t xml:space="preserve">W.C. Renshaw</x:t>
        </x:is>
      </x:c>
      <x:c r="B248" t="inlineStr">
        <x:is>
          <x:t xml:space="preserve">GBR</x:t>
        </x:is>
      </x:c>
      <x:c r="C248" t="inlineStr">
        <x:is>
          <x:t xml:space="preserve">6-0, 5-7, 6-3, 6-4</x:t>
        </x:is>
      </x:c>
      <x:c r="D248" t="inlineStr">
        <x:is>
          <x:t xml:space="preserve">H.F. Lawford</x:t>
        </x:is>
      </x:c>
      <x:c r="E248" t="inlineStr">
        <x:is>
          <x:t xml:space="preserve">GBR</x:t>
        </x:is>
      </x:c>
    </x:row>
    <x:row r="249">
      <x:c r="A249" t="inlineStr">
        <x:is>
          <x:t xml:space="preserve">B. Bingley</x:t>
        </x:is>
      </x:c>
      <x:c r="B249" t="inlineStr">
        <x:is>
          <x:t xml:space="preserve">GBR</x:t>
        </x:is>
      </x:c>
      <x:c r="C249" t="inlineStr">
        <x:is>
          <x:t xml:space="preserve">6-3, 6-3</x:t>
        </x:is>
      </x:c>
      <x:c r="D249" t="inlineStr">
        <x:is>
          <x:t xml:space="preserve">M.E.E Watson</x:t>
        </x:is>
      </x:c>
      <x:c r="E249" t="inlineStr">
        <x:is>
          <x:t xml:space="preserve">GBR</x:t>
        </x:is>
      </x:c>
    </x:row>
    <x:row r="250">
      <x:c r="A250" t="inlineStr">
        <x:is>
          <x:t xml:space="preserve">W.C. Renshaw</x:t>
        </x:is>
      </x:c>
      <x:c r="B250" t="inlineStr">
        <x:is>
          <x:t xml:space="preserve">GBR</x:t>
        </x:is>
      </x:c>
      <x:c r="C250" t="inlineStr">
        <x:is>
          <x:t xml:space="preserve">7-5, 6-2, 4-6, 7-5</x:t>
        </x:is>
      </x:c>
      <x:c r="D250" t="inlineStr">
        <x:is>
          <x:t xml:space="preserve">H.F. Lawford</x:t>
        </x:is>
      </x:c>
      <x:c r="E250" t="inlineStr">
        <x:is>
          <x:t xml:space="preserve">GBR</x:t>
        </x:is>
      </x:c>
    </x:row>
    <x:row r="251">
      <x:c r="A251" t="inlineStr">
        <x:is>
          <x:t xml:space="preserve">M.E.E. Watson</x:t>
        </x:is>
      </x:c>
      <x:c r="B251" t="inlineStr">
        <x:is>
          <x:t xml:space="preserve">GBR</x:t>
        </x:is>
      </x:c>
      <x:c r="C251" t="inlineStr">
        <x:is>
          <x:t xml:space="preserve">6-1, 7-5</x:t>
        </x:is>
      </x:c>
      <x:c r="D251" t="inlineStr">
        <x:is>
          <x:t xml:space="preserve">B Bingley</x:t>
        </x:is>
      </x:c>
      <x:c r="E251" t="inlineStr">
        <x:is>
          <x:t xml:space="preserve">GBR</x:t>
        </x:is>
      </x:c>
    </x:row>
    <x:row r="252">
      <x:c r="A252" t="inlineStr">
        <x:is>
          <x:t xml:space="preserve">W.C. Renshaw</x:t>
        </x:is>
      </x:c>
      <x:c r="B252" t="inlineStr">
        <x:is>
          <x:t xml:space="preserve">GBR</x:t>
        </x:is>
      </x:c>
      <x:c r="C252" t="inlineStr">
        <x:is>
          <x:t xml:space="preserve">6-0, 6-4, 9-7</x:t>
        </x:is>
      </x:c>
      <x:c r="D252" t="inlineStr">
        <x:is>
          <x:t xml:space="preserve">H.F. Lawford</x:t>
        </x:is>
      </x:c>
      <x:c r="E252" t="inlineStr">
        <x:is>
          <x:t xml:space="preserve">GBR</x:t>
        </x:is>
      </x:c>
    </x:row>
    <x:row r="253">
      <x:c r="A253" t="inlineStr">
        <x:is>
          <x:t xml:space="preserve">M.E.E. Watson</x:t>
        </x:is>
      </x:c>
      <x:c r="B253" t="inlineStr">
        <x:is>
          <x:t xml:space="preserve">GBR</x:t>
        </x:is>
      </x:c>
      <x:c r="C253" t="inlineStr">
        <x:is>
          <x:t xml:space="preserve">6-8, 6-3, 6-3</x:t>
        </x:is>
      </x:c>
      <x:c r="D253" t="inlineStr">
        <x:is>
          <x:t xml:space="preserve">L.M. Watson</x:t>
        </x:is>
      </x:c>
      <x:c r="E253" t="inlineStr">
        <x:is>
          <x:t xml:space="preserve">GBR</x:t>
        </x:is>
      </x:c>
    </x:row>
    <x:row r="254">
      <x:c r="A254" t="inlineStr">
        <x:is>
          <x:t xml:space="preserve">W.C. Renshaw</x:t>
        </x:is>
      </x:c>
      <x:c r="B254" t="inlineStr">
        <x:is>
          <x:t xml:space="preserve">GBR</x:t>
        </x:is>
      </x:c>
      <x:c r="C254" t="inlineStr">
        <x:is>
          <x:t xml:space="preserve">2-6, 6-3, 6-3, 4-6, 6-3</x:t>
        </x:is>
      </x:c>
      <x:c r="D254" t="inlineStr">
        <x:is>
          <x:t xml:space="preserve">J.E. Renshaw</x:t>
        </x:is>
      </x:c>
      <x:c r="E254" t="inlineStr">
        <x:is>
          <x:t xml:space="preserve">GBR</x:t>
        </x:is>
      </x:c>
    </x:row>
    <x:row r="255">
      <x:c r="A255" t="inlineStr">
        <x:is>
          <x:t xml:space="preserve">W.C. Renshaw</x:t>
        </x:is>
      </x:c>
      <x:c r="B255" t="inlineStr">
        <x:is>
          <x:t xml:space="preserve">GBR</x:t>
        </x:is>
      </x:c>
      <x:c r="C255" t="inlineStr">
        <x:is>
          <x:t xml:space="preserve">6-1, 2-6, 4-6, 6-2, 6-2</x:t>
        </x:is>
      </x:c>
      <x:c r="D255" t="inlineStr">
        <x:is>
          <x:t xml:space="preserve">J.E. Renshaw</x:t>
        </x:is>
      </x:c>
      <x:c r="E255" t="inlineStr">
        <x:is>
          <x:t xml:space="preserve">GBR</x:t>
        </x:is>
      </x:c>
    </x:row>
    <x:row r="256">
      <x:c r="A256" t="inlineStr">
        <x:is>
          <x:t xml:space="preserve">W.C. Renshaw</x:t>
        </x:is>
      </x:c>
      <x:c r="B256" t="inlineStr">
        <x:is>
          <x:t xml:space="preserve">GBR</x:t>
        </x:is>
      </x:c>
      <x:c r="C256" t="inlineStr">
        <x:is>
          <x:t xml:space="preserve">6-0, 6-1, 6-1</x:t>
        </x:is>
      </x:c>
      <x:c r="D256" t="inlineStr">
        <x:is>
          <x:t xml:space="preserve">J.T. Hartley</x:t>
        </x:is>
      </x:c>
      <x:c r="E256" t="inlineStr">
        <x:is>
          <x:t xml:space="preserve">GBR</x:t>
        </x:is>
      </x:c>
    </x:row>
    <x:row r="257">
      <x:c r="A257" t="inlineStr">
        <x:is>
          <x:t xml:space="preserve">J.T. Hartley</x:t>
        </x:is>
      </x:c>
      <x:c r="B257" t="inlineStr">
        <x:is>
          <x:t xml:space="preserve">GBR</x:t>
        </x:is>
      </x:c>
      <x:c r="C257" t="inlineStr">
        <x:is>
          <x:t xml:space="preserve">6-3, 6-2, 2-6, 6-3</x:t>
        </x:is>
      </x:c>
      <x:c r="D257" t="inlineStr">
        <x:is>
          <x:t xml:space="preserve">H.F. Lawford</x:t>
        </x:is>
      </x:c>
      <x:c r="E257" t="inlineStr">
        <x:is>
          <x:t xml:space="preserve">GBR</x:t>
        </x:is>
      </x:c>
    </x:row>
    <x:row r="258">
      <x:c r="A258" t="inlineStr">
        <x:is>
          <x:t xml:space="preserve">J.T. Hartley</x:t>
        </x:is>
      </x:c>
      <x:c r="B258" t="inlineStr">
        <x:is>
          <x:t xml:space="preserve">GBR</x:t>
        </x:is>
      </x:c>
      <x:c r="C258" t="inlineStr">
        <x:is>
          <x:t xml:space="preserve">6-2, 6-4, 6-2</x:t>
        </x:is>
      </x:c>
      <x:c r="D258" t="inlineStr">
        <x:is>
          <x:t xml:space="preserve">V.T.St.L. Goold</x:t>
        </x:is>
      </x:c>
      <x:c r="E258" t="inlineStr">
        <x:is>
          <x:t xml:space="preserve">GBR</x:t>
        </x:is>
      </x:c>
    </x:row>
    <x:row r="259">
      <x:c r="A259" t="inlineStr">
        <x:is>
          <x:t xml:space="preserve">P.F. Hadow</x:t>
        </x:is>
      </x:c>
      <x:c r="B259" t="inlineStr">
        <x:is>
          <x:t xml:space="preserve">GBR</x:t>
        </x:is>
      </x:c>
      <x:c r="C259" t="inlineStr">
        <x:is>
          <x:t xml:space="preserve">7-5, 6-1, 9-7</x:t>
        </x:is>
      </x:c>
      <x:c r="D259" t="inlineStr">
        <x:is>
          <x:t xml:space="preserve">S.W. Gore</x:t>
        </x:is>
      </x:c>
      <x:c r="E259" t="inlineStr">
        <x:is>
          <x:t xml:space="preserve">GBR</x:t>
        </x:is>
      </x:c>
    </x:row>
    <x:row r="260">
      <x:c r="A260" t="inlineStr">
        <x:is>
          <x:t xml:space="preserve">S.W. Gore</x:t>
        </x:is>
      </x:c>
      <x:c r="B260" t="inlineStr">
        <x:is>
          <x:t xml:space="preserve">GBR</x:t>
        </x:is>
      </x:c>
      <x:c r="C260" t="inlineStr">
        <x:is>
          <x:t xml:space="preserve">6-1, 6-2, 6-4</x:t>
        </x:is>
      </x:c>
      <x:c r="D260" t="inlineStr">
        <x:is>
          <x:t xml:space="preserve">W.C. Marshall</x:t>
        </x:is>
      </x:c>
      <x:c r="E260" t="inlineStr">
        <x:is>
          <x:t xml:space="preserve">GBR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4.600000381469727"/>
  <x:cols>
    <x:col min="1" max="1" width="5" customWidth="1"/>
    <x:col min="2" max="2" width="27.4609375" customWidth="1"/>
    <x:col min="3" max="3" width="35.53515625" customWidth="1"/>
  </x:cols>
  <x:sheetData>
    <x:row r="1">
      <x:c r="A1" s="15" t="inlineStr">
        <x:is>
          <x:t xml:space="preserve">Year</x:t>
        </x:is>
      </x:c>
      <x:c r="B1" s="15" t="inlineStr">
        <x:is>
          <x:t xml:space="preserve">Men's Champion Nationality</x:t>
        </x:is>
      </x:c>
      <x:c r="C1" s="15" t="inlineStr">
        <x:is>
          <x:t xml:space="preserve">Women's Champion Nationality</x:t>
        </x:is>
      </x:c>
    </x:row>
    <x:row r="2">
      <x:c r="A2" t="n">
        <x:v>2019</x:v>
      </x:c>
      <x:c r="B2" t="inlineStr">
        <x:is>
          <x:t xml:space="preserve">SRB</x:t>
        </x:is>
      </x:c>
      <x:c r="C2" t="inlineStr">
        <x:is>
          <x:t xml:space="preserve">ROU</x:t>
        </x:is>
      </x:c>
    </x:row>
    <x:row r="3">
      <x:c r="A3" t="n">
        <x:v>2018</x:v>
      </x:c>
      <x:c r="B3" t="inlineStr">
        <x:is>
          <x:t xml:space="preserve">SRB</x:t>
        </x:is>
      </x:c>
      <x:c r="C3" t="inlineStr">
        <x:is>
          <x:t xml:space="preserve">GER</x:t>
        </x:is>
      </x:c>
    </x:row>
    <x:row r="4">
      <x:c r="A4" t="n">
        <x:v>2017</x:v>
      </x:c>
      <x:c r="B4" t="inlineStr">
        <x:is>
          <x:t xml:space="preserve">SUI</x:t>
        </x:is>
      </x:c>
      <x:c r="C4" t="inlineStr">
        <x:is>
          <x:t xml:space="preserve">ESP</x:t>
        </x:is>
      </x:c>
    </x:row>
    <x:row r="5">
      <x:c r="A5" t="n">
        <x:v>2016</x:v>
      </x:c>
      <x:c r="B5" t="inlineStr">
        <x:is>
          <x:t xml:space="preserve">GBR</x:t>
        </x:is>
      </x:c>
      <x:c r="C5" t="inlineStr">
        <x:is>
          <x:t xml:space="preserve">USA</x:t>
        </x:is>
      </x:c>
    </x:row>
    <x:row r="6">
      <x:c r="A6" t="n">
        <x:v>2015</x:v>
      </x:c>
      <x:c r="B6" t="inlineStr">
        <x:is>
          <x:t xml:space="preserve">SRB</x:t>
        </x:is>
      </x:c>
      <x:c r="C6" t="inlineStr">
        <x:is>
          <x:t xml:space="preserve">USA</x:t>
        </x:is>
      </x:c>
    </x:row>
    <x:row r="7">
      <x:c r="A7" t="n">
        <x:v>2014</x:v>
      </x:c>
      <x:c r="B7" t="inlineStr">
        <x:is>
          <x:t xml:space="preserve">SRB</x:t>
        </x:is>
      </x:c>
      <x:c r="C7" t="inlineStr">
        <x:is>
          <x:t xml:space="preserve">CZE</x:t>
        </x:is>
      </x:c>
    </x:row>
    <x:row r="8">
      <x:c r="A8" t="n">
        <x:v>2013</x:v>
      </x:c>
      <x:c r="B8" t="inlineStr">
        <x:is>
          <x:t xml:space="preserve">GBR</x:t>
        </x:is>
      </x:c>
      <x:c r="C8" t="inlineStr">
        <x:is>
          <x:t xml:space="preserve">FRA</x:t>
        </x:is>
      </x:c>
    </x:row>
    <x:row r="9">
      <x:c r="A9" t="n">
        <x:v>2012</x:v>
      </x:c>
      <x:c r="B9" t="inlineStr">
        <x:is>
          <x:t xml:space="preserve">SUI</x:t>
        </x:is>
      </x:c>
      <x:c r="C9" t="inlineStr">
        <x:is>
          <x:t xml:space="preserve">USA</x:t>
        </x:is>
      </x:c>
    </x:row>
    <x:row r="10">
      <x:c r="A10" t="n">
        <x:v>2011</x:v>
      </x:c>
      <x:c r="B10" t="inlineStr">
        <x:is>
          <x:t xml:space="preserve">SRB</x:t>
        </x:is>
      </x:c>
      <x:c r="C10" t="inlineStr">
        <x:is>
          <x:t xml:space="preserve">CZE</x:t>
        </x:is>
      </x:c>
    </x:row>
    <x:row r="11">
      <x:c r="A11" t="n">
        <x:v>2010</x:v>
      </x:c>
      <x:c r="B11" t="inlineStr">
        <x:is>
          <x:t xml:space="preserve">ESP</x:t>
        </x:is>
      </x:c>
      <x:c r="C11" t="inlineStr">
        <x:is>
          <x:t xml:space="preserve">USA</x:t>
        </x:is>
      </x:c>
    </x:row>
    <x:row r="12">
      <x:c r="A12" t="n">
        <x:v>2009</x:v>
      </x:c>
      <x:c r="B12" t="inlineStr">
        <x:is>
          <x:t xml:space="preserve">SUI</x:t>
        </x:is>
      </x:c>
      <x:c r="C12" t="inlineStr">
        <x:is>
          <x:t xml:space="preserve">USA</x:t>
        </x:is>
      </x:c>
    </x:row>
    <x:row r="13">
      <x:c r="A13" t="n">
        <x:v>2008</x:v>
      </x:c>
      <x:c r="B13" t="inlineStr">
        <x:is>
          <x:t xml:space="preserve">ESP</x:t>
        </x:is>
      </x:c>
      <x:c r="C13" t="inlineStr">
        <x:is>
          <x:t xml:space="preserve">USA</x:t>
        </x:is>
      </x:c>
    </x:row>
    <x:row r="14">
      <x:c r="A14" t="n">
        <x:v>2007</x:v>
      </x:c>
      <x:c r="B14" t="inlineStr">
        <x:is>
          <x:t xml:space="preserve">SUI</x:t>
        </x:is>
      </x:c>
      <x:c r="C14" t="inlineStr">
        <x:is>
          <x:t xml:space="preserve">USA</x:t>
        </x:is>
      </x:c>
    </x:row>
    <x:row r="15">
      <x:c r="A15" t="n">
        <x:v>2006</x:v>
      </x:c>
      <x:c r="B15" t="inlineStr">
        <x:is>
          <x:t xml:space="preserve">SUI</x:t>
        </x:is>
      </x:c>
      <x:c r="C15" t="inlineStr">
        <x:is>
          <x:t xml:space="preserve">FRA</x:t>
        </x:is>
      </x:c>
    </x:row>
    <x:row r="16">
      <x:c r="A16" t="n">
        <x:v>2005</x:v>
      </x:c>
      <x:c r="B16" t="inlineStr">
        <x:is>
          <x:t xml:space="preserve">SUI</x:t>
        </x:is>
      </x:c>
      <x:c r="C16" t="inlineStr">
        <x:is>
          <x:t xml:space="preserve">USA</x:t>
        </x:is>
      </x:c>
    </x:row>
    <x:row r="17">
      <x:c r="A17" t="n">
        <x:v>2004</x:v>
      </x:c>
      <x:c r="B17" t="inlineStr">
        <x:is>
          <x:t xml:space="preserve">SUI</x:t>
        </x:is>
      </x:c>
      <x:c r="C17" t="inlineStr">
        <x:is>
          <x:t xml:space="preserve">RUS</x:t>
        </x:is>
      </x:c>
    </x:row>
    <x:row r="18">
      <x:c r="A18" t="n">
        <x:v>2003</x:v>
      </x:c>
      <x:c r="B18" t="inlineStr">
        <x:is>
          <x:t xml:space="preserve">SUI</x:t>
        </x:is>
      </x:c>
      <x:c r="C18" t="inlineStr">
        <x:is>
          <x:t xml:space="preserve">USA</x:t>
        </x:is>
      </x:c>
    </x:row>
    <x:row r="19">
      <x:c r="A19" t="n">
        <x:v>2002</x:v>
      </x:c>
      <x:c r="B19" t="inlineStr">
        <x:is>
          <x:t xml:space="preserve">AUS</x:t>
        </x:is>
      </x:c>
      <x:c r="C19" t="inlineStr">
        <x:is>
          <x:t xml:space="preserve">USA</x:t>
        </x:is>
      </x:c>
    </x:row>
    <x:row r="20">
      <x:c r="A20" t="n">
        <x:v>2001</x:v>
      </x:c>
      <x:c r="B20" t="inlineStr">
        <x:is>
          <x:t xml:space="preserve">CRO</x:t>
        </x:is>
      </x:c>
      <x:c r="C20" t="inlineStr">
        <x:is>
          <x:t xml:space="preserve">USA</x:t>
        </x:is>
      </x:c>
    </x:row>
    <x:row r="21">
      <x:c r="A21" t="n">
        <x:v>2000</x:v>
      </x:c>
      <x:c r="B21" t="inlineStr">
        <x:is>
          <x:t xml:space="preserve">USA</x:t>
        </x:is>
      </x:c>
      <x:c r="C21" t="inlineStr">
        <x:is>
          <x:t xml:space="preserve">USA</x:t>
        </x:is>
      </x:c>
    </x:row>
    <x:row r="22">
      <x:c r="A22" t="n">
        <x:v>1999</x:v>
      </x:c>
      <x:c r="B22" t="inlineStr">
        <x:is>
          <x:t xml:space="preserve">USA</x:t>
        </x:is>
      </x:c>
      <x:c r="C22" t="inlineStr">
        <x:is>
          <x:t xml:space="preserve">USA</x:t>
        </x:is>
      </x:c>
    </x:row>
    <x:row r="23">
      <x:c r="A23" t="n">
        <x:v>1998</x:v>
      </x:c>
      <x:c r="B23" t="inlineStr">
        <x:is>
          <x:t xml:space="preserve">USA</x:t>
        </x:is>
      </x:c>
      <x:c r="C23" t="inlineStr">
        <x:is>
          <x:t xml:space="preserve">CZE</x:t>
        </x:is>
      </x:c>
    </x:row>
    <x:row r="24">
      <x:c r="A24" t="n">
        <x:v>1997</x:v>
      </x:c>
      <x:c r="B24" t="inlineStr">
        <x:is>
          <x:t xml:space="preserve">USA</x:t>
        </x:is>
      </x:c>
      <x:c r="C24" t="inlineStr">
        <x:is>
          <x:t xml:space="preserve">SUI</x:t>
        </x:is>
      </x:c>
    </x:row>
    <x:row r="25">
      <x:c r="A25" t="n">
        <x:v>1996</x:v>
      </x:c>
      <x:c r="B25" t="inlineStr">
        <x:is>
          <x:t xml:space="preserve">NED</x:t>
        </x:is>
      </x:c>
      <x:c r="C25" t="inlineStr">
        <x:is>
          <x:t xml:space="preserve">GER</x:t>
        </x:is>
      </x:c>
    </x:row>
    <x:row r="26">
      <x:c r="A26" t="n">
        <x:v>1995</x:v>
      </x:c>
      <x:c r="B26" t="inlineStr">
        <x:is>
          <x:t xml:space="preserve">USA</x:t>
        </x:is>
      </x:c>
      <x:c r="C26" t="inlineStr">
        <x:is>
          <x:t xml:space="preserve">GER</x:t>
        </x:is>
      </x:c>
    </x:row>
    <x:row r="27">
      <x:c r="A27" t="n">
        <x:v>1994</x:v>
      </x:c>
      <x:c r="B27" t="inlineStr">
        <x:is>
          <x:t xml:space="preserve">USA</x:t>
        </x:is>
      </x:c>
      <x:c r="C27" t="inlineStr">
        <x:is>
          <x:t xml:space="preserve">ESP</x:t>
        </x:is>
      </x:c>
    </x:row>
    <x:row r="28">
      <x:c r="A28" t="n">
        <x:v>1993</x:v>
      </x:c>
      <x:c r="B28" t="inlineStr">
        <x:is>
          <x:t xml:space="preserve">USA</x:t>
        </x:is>
      </x:c>
      <x:c r="C28" t="inlineStr">
        <x:is>
          <x:t xml:space="preserve">GER</x:t>
        </x:is>
      </x:c>
    </x:row>
    <x:row r="29">
      <x:c r="A29" t="n">
        <x:v>1992</x:v>
      </x:c>
      <x:c r="B29" t="inlineStr">
        <x:is>
          <x:t xml:space="preserve">USA</x:t>
        </x:is>
      </x:c>
      <x:c r="C29" t="inlineStr">
        <x:is>
          <x:t xml:space="preserve">GER</x:t>
        </x:is>
      </x:c>
    </x:row>
    <x:row r="30">
      <x:c r="A30" t="n">
        <x:v>1991</x:v>
      </x:c>
      <x:c r="B30" t="inlineStr">
        <x:is>
          <x:t xml:space="preserve">GER</x:t>
        </x:is>
      </x:c>
      <x:c r="C30" t="inlineStr">
        <x:is>
          <x:t xml:space="preserve">GER</x:t>
        </x:is>
      </x:c>
    </x:row>
    <x:row r="31">
      <x:c r="A31" t="n">
        <x:v>1990</x:v>
      </x:c>
      <x:c r="B31" t="inlineStr">
        <x:is>
          <x:t xml:space="preserve">SWE</x:t>
        </x:is>
      </x:c>
      <x:c r="C31" t="inlineStr">
        <x:is>
          <x:t xml:space="preserve">USA</x:t>
        </x:is>
      </x:c>
    </x:row>
    <x:row r="32">
      <x:c r="A32" t="n">
        <x:v>1989</x:v>
      </x:c>
      <x:c r="B32" t="inlineStr">
        <x:is>
          <x:t xml:space="preserve">GER</x:t>
        </x:is>
      </x:c>
      <x:c r="C32" t="inlineStr">
        <x:is>
          <x:t xml:space="preserve">GER</x:t>
        </x:is>
      </x:c>
    </x:row>
    <x:row r="33">
      <x:c r="A33" t="n">
        <x:v>1988</x:v>
      </x:c>
      <x:c r="B33" t="inlineStr">
        <x:is>
          <x:t xml:space="preserve">SWE</x:t>
        </x:is>
      </x:c>
      <x:c r="C33" t="inlineStr">
        <x:is>
          <x:t xml:space="preserve">GER</x:t>
        </x:is>
      </x:c>
    </x:row>
    <x:row r="34">
      <x:c r="A34" t="n">
        <x:v>1987</x:v>
      </x:c>
      <x:c r="B34" t="inlineStr">
        <x:is>
          <x:t xml:space="preserve">AUS</x:t>
        </x:is>
      </x:c>
      <x:c r="C34" t="inlineStr">
        <x:is>
          <x:t xml:space="preserve">USA</x:t>
        </x:is>
      </x:c>
    </x:row>
    <x:row r="35">
      <x:c r="A35" t="n">
        <x:v>1986</x:v>
      </x:c>
      <x:c r="B35" t="inlineStr">
        <x:is>
          <x:t xml:space="preserve">GER</x:t>
        </x:is>
      </x:c>
      <x:c r="C35" t="inlineStr">
        <x:is>
          <x:t xml:space="preserve">USA</x:t>
        </x:is>
      </x:c>
    </x:row>
    <x:row r="36">
      <x:c r="A36" t="n">
        <x:v>1985</x:v>
      </x:c>
      <x:c r="B36" t="inlineStr">
        <x:is>
          <x:t xml:space="preserve">GER</x:t>
        </x:is>
      </x:c>
      <x:c r="C36" t="inlineStr">
        <x:is>
          <x:t xml:space="preserve">USA</x:t>
        </x:is>
      </x:c>
    </x:row>
    <x:row r="37">
      <x:c r="A37" t="n">
        <x:v>1984</x:v>
      </x:c>
      <x:c r="B37" t="inlineStr">
        <x:is>
          <x:t xml:space="preserve">USA</x:t>
        </x:is>
      </x:c>
      <x:c r="C37" t="inlineStr">
        <x:is>
          <x:t xml:space="preserve">USA</x:t>
        </x:is>
      </x:c>
    </x:row>
    <x:row r="38">
      <x:c r="A38" t="n">
        <x:v>1983</x:v>
      </x:c>
      <x:c r="B38" t="inlineStr">
        <x:is>
          <x:t xml:space="preserve">USA</x:t>
        </x:is>
      </x:c>
      <x:c r="C38" t="inlineStr">
        <x:is>
          <x:t xml:space="preserve">USA</x:t>
        </x:is>
      </x:c>
    </x:row>
    <x:row r="39">
      <x:c r="A39" t="n">
        <x:v>1982</x:v>
      </x:c>
      <x:c r="B39" t="inlineStr">
        <x:is>
          <x:t xml:space="preserve">USA</x:t>
        </x:is>
      </x:c>
      <x:c r="C39" t="inlineStr">
        <x:is>
          <x:t xml:space="preserve">USA</x:t>
        </x:is>
      </x:c>
    </x:row>
    <x:row r="40">
      <x:c r="A40" t="n">
        <x:v>1981</x:v>
      </x:c>
      <x:c r="B40" t="inlineStr">
        <x:is>
          <x:t xml:space="preserve">USA</x:t>
        </x:is>
      </x:c>
      <x:c r="C40" t="inlineStr">
        <x:is>
          <x:t xml:space="preserve">USA</x:t>
        </x:is>
      </x:c>
    </x:row>
    <x:row r="41">
      <x:c r="A41" t="n">
        <x:v>1980</x:v>
      </x:c>
      <x:c r="B41" t="inlineStr">
        <x:is>
          <x:t xml:space="preserve">SWE</x:t>
        </x:is>
      </x:c>
      <x:c r="C41" t="inlineStr">
        <x:is>
          <x:t xml:space="preserve">AUS</x:t>
        </x:is>
      </x:c>
    </x:row>
    <x:row r="42">
      <x:c r="A42" t="n">
        <x:v>1979</x:v>
      </x:c>
      <x:c r="B42" t="inlineStr">
        <x:is>
          <x:t xml:space="preserve">SWE</x:t>
        </x:is>
      </x:c>
      <x:c r="C42" t="inlineStr">
        <x:is>
          <x:t xml:space="preserve">USA</x:t>
        </x:is>
      </x:c>
    </x:row>
    <x:row r="43">
      <x:c r="A43" t="n">
        <x:v>1978</x:v>
      </x:c>
      <x:c r="B43" t="inlineStr">
        <x:is>
          <x:t xml:space="preserve">SWE</x:t>
        </x:is>
      </x:c>
      <x:c r="C43" t="inlineStr">
        <x:is>
          <x:t xml:space="preserve">USA</x:t>
        </x:is>
      </x:c>
    </x:row>
    <x:row r="44">
      <x:c r="A44" t="n">
        <x:v>1977</x:v>
      </x:c>
      <x:c r="B44" t="inlineStr">
        <x:is>
          <x:t xml:space="preserve">SWE</x:t>
        </x:is>
      </x:c>
      <x:c r="C44" t="inlineStr">
        <x:is>
          <x:t xml:space="preserve">GBR</x:t>
        </x:is>
      </x:c>
    </x:row>
    <x:row r="45">
      <x:c r="A45" t="n">
        <x:v>1976</x:v>
      </x:c>
      <x:c r="B45" t="inlineStr">
        <x:is>
          <x:t xml:space="preserve">SWE</x:t>
        </x:is>
      </x:c>
      <x:c r="C45" t="inlineStr">
        <x:is>
          <x:t xml:space="preserve">USA</x:t>
        </x:is>
      </x:c>
    </x:row>
    <x:row r="46">
      <x:c r="A46" t="n">
        <x:v>1975</x:v>
      </x:c>
      <x:c r="B46" t="inlineStr">
        <x:is>
          <x:t xml:space="preserve">USA</x:t>
        </x:is>
      </x:c>
      <x:c r="C46" t="inlineStr">
        <x:is>
          <x:t xml:space="preserve">USA</x:t>
        </x:is>
      </x:c>
    </x:row>
    <x:row r="47">
      <x:c r="A47" t="n">
        <x:v>1974</x:v>
      </x:c>
      <x:c r="B47" t="inlineStr">
        <x:is>
          <x:t xml:space="preserve">USA</x:t>
        </x:is>
      </x:c>
      <x:c r="C47" t="inlineStr">
        <x:is>
          <x:t xml:space="preserve">USA</x:t>
        </x:is>
      </x:c>
    </x:row>
    <x:row r="48">
      <x:c r="A48" t="n">
        <x:v>1973</x:v>
      </x:c>
      <x:c r="B48" t="inlineStr">
        <x:is>
          <x:t xml:space="preserve">CZE</x:t>
        </x:is>
      </x:c>
      <x:c r="C48" t="inlineStr">
        <x:is>
          <x:t xml:space="preserve">USA</x:t>
        </x:is>
      </x:c>
    </x:row>
    <x:row r="49">
      <x:c r="A49" t="n">
        <x:v>1972</x:v>
      </x:c>
      <x:c r="B49" t="inlineStr">
        <x:is>
          <x:t xml:space="preserve">USA</x:t>
        </x:is>
      </x:c>
      <x:c r="C49" t="inlineStr">
        <x:is>
          <x:t xml:space="preserve">USA</x:t>
        </x:is>
      </x:c>
    </x:row>
    <x:row r="50">
      <x:c r="A50" t="n">
        <x:v>1971</x:v>
      </x:c>
      <x:c r="B50" t="inlineStr">
        <x:is>
          <x:t xml:space="preserve">AUS</x:t>
        </x:is>
      </x:c>
      <x:c r="C50" t="inlineStr">
        <x:is>
          <x:t xml:space="preserve">AUS</x:t>
        </x:is>
      </x:c>
    </x:row>
    <x:row r="51">
      <x:c r="A51" t="n">
        <x:v>1970</x:v>
      </x:c>
      <x:c r="B51" t="inlineStr">
        <x:is>
          <x:t xml:space="preserve">AUS</x:t>
        </x:is>
      </x:c>
      <x:c r="C51" t="inlineStr">
        <x:is>
          <x:t xml:space="preserve">AUS</x:t>
        </x:is>
      </x:c>
    </x:row>
    <x:row r="52">
      <x:c r="A52" t="n">
        <x:v>1969</x:v>
      </x:c>
      <x:c r="B52" t="inlineStr">
        <x:is>
          <x:t xml:space="preserve">AUS</x:t>
        </x:is>
      </x:c>
      <x:c r="C52" t="inlineStr">
        <x:is>
          <x:t xml:space="preserve">GBR</x:t>
        </x:is>
      </x:c>
    </x:row>
    <x:row r="53">
      <x:c r="A53" t="n">
        <x:v>1968</x:v>
      </x:c>
      <x:c r="B53" t="inlineStr">
        <x:is>
          <x:t xml:space="preserve">AUS</x:t>
        </x:is>
      </x:c>
      <x:c r="C53" t="inlineStr">
        <x:is>
          <x:t xml:space="preserve">USA</x:t>
        </x:is>
      </x:c>
    </x:row>
    <x:row r="54">
      <x:c r="A54" t="n">
        <x:v>1967</x:v>
      </x:c>
      <x:c r="B54" t="inlineStr">
        <x:is>
          <x:t xml:space="preserve">AUS</x:t>
        </x:is>
      </x:c>
      <x:c r="C54" t="inlineStr">
        <x:is>
          <x:t xml:space="preserve">USA</x:t>
        </x:is>
      </x:c>
    </x:row>
    <x:row r="55">
      <x:c r="A55" t="n">
        <x:v>1966</x:v>
      </x:c>
      <x:c r="B55" t="inlineStr">
        <x:is>
          <x:t xml:space="preserve">ESP</x:t>
        </x:is>
      </x:c>
      <x:c r="C55" t="inlineStr">
        <x:is>
          <x:t xml:space="preserve">USA</x:t>
        </x:is>
      </x:c>
    </x:row>
    <x:row r="56">
      <x:c r="A56" t="n">
        <x:v>1965</x:v>
      </x:c>
      <x:c r="B56" t="inlineStr">
        <x:is>
          <x:t xml:space="preserve">AUS</x:t>
        </x:is>
      </x:c>
      <x:c r="C56" t="inlineStr">
        <x:is>
          <x:t xml:space="preserve">AUS</x:t>
        </x:is>
      </x:c>
    </x:row>
    <x:row r="57">
      <x:c r="A57" t="n">
        <x:v>1964</x:v>
      </x:c>
      <x:c r="B57" t="inlineStr">
        <x:is>
          <x:t xml:space="preserve">AUS</x:t>
        </x:is>
      </x:c>
      <x:c r="C57" t="inlineStr">
        <x:is>
          <x:t xml:space="preserve">BRA</x:t>
        </x:is>
      </x:c>
    </x:row>
    <x:row r="58">
      <x:c r="A58" t="n">
        <x:v>1963</x:v>
      </x:c>
      <x:c r="B58" t="inlineStr">
        <x:is>
          <x:t xml:space="preserve">USA</x:t>
        </x:is>
      </x:c>
      <x:c r="C58" t="inlineStr">
        <x:is>
          <x:t xml:space="preserve">AUS</x:t>
        </x:is>
      </x:c>
    </x:row>
    <x:row r="59">
      <x:c r="A59" t="n">
        <x:v>1962</x:v>
      </x:c>
      <x:c r="B59" t="inlineStr">
        <x:is>
          <x:t xml:space="preserve">AUS</x:t>
        </x:is>
      </x:c>
      <x:c r="C59" t="inlineStr">
        <x:is>
          <x:t xml:space="preserve">USA</x:t>
        </x:is>
      </x:c>
    </x:row>
    <x:row r="60">
      <x:c r="A60" t="n">
        <x:v>1961</x:v>
      </x:c>
      <x:c r="B60" t="inlineStr">
        <x:is>
          <x:t xml:space="preserve">AUS</x:t>
        </x:is>
      </x:c>
      <x:c r="C60" t="inlineStr">
        <x:is>
          <x:t xml:space="preserve">GBR</x:t>
        </x:is>
      </x:c>
    </x:row>
    <x:row r="61">
      <x:c r="A61" t="n">
        <x:v>1960</x:v>
      </x:c>
      <x:c r="B61" t="inlineStr">
        <x:is>
          <x:t xml:space="preserve">AUS</x:t>
        </x:is>
      </x:c>
      <x:c r="C61" t="inlineStr">
        <x:is>
          <x:t xml:space="preserve">BRA</x:t>
        </x:is>
      </x:c>
    </x:row>
    <x:row r="62">
      <x:c r="A62" t="n">
        <x:v>1959</x:v>
      </x:c>
      <x:c r="B62" t="inlineStr">
        <x:is>
          <x:t xml:space="preserve">USA</x:t>
        </x:is>
      </x:c>
      <x:c r="C62" t="inlineStr">
        <x:is>
          <x:t xml:space="preserve">BRA</x:t>
        </x:is>
      </x:c>
    </x:row>
    <x:row r="63">
      <x:c r="A63" t="n">
        <x:v>1958</x:v>
      </x:c>
      <x:c r="B63" t="inlineStr">
        <x:is>
          <x:t xml:space="preserve">AUS</x:t>
        </x:is>
      </x:c>
      <x:c r="C63" t="inlineStr">
        <x:is>
          <x:t xml:space="preserve">USA</x:t>
        </x:is>
      </x:c>
    </x:row>
    <x:row r="64">
      <x:c r="A64" t="n">
        <x:v>1957</x:v>
      </x:c>
      <x:c r="B64" t="inlineStr">
        <x:is>
          <x:t xml:space="preserve">AUS</x:t>
        </x:is>
      </x:c>
      <x:c r="C64" t="inlineStr">
        <x:is>
          <x:t xml:space="preserve">USA</x:t>
        </x:is>
      </x:c>
    </x:row>
    <x:row r="65">
      <x:c r="A65" t="n">
        <x:v>1956</x:v>
      </x:c>
      <x:c r="B65" t="inlineStr">
        <x:is>
          <x:t xml:space="preserve">AUS</x:t>
        </x:is>
      </x:c>
      <x:c r="C65" t="inlineStr">
        <x:is>
          <x:t xml:space="preserve">USA</x:t>
        </x:is>
      </x:c>
    </x:row>
    <x:row r="66">
      <x:c r="A66" t="n">
        <x:v>1955</x:v>
      </x:c>
      <x:c r="B66" t="inlineStr">
        <x:is>
          <x:t xml:space="preserve">USA</x:t>
        </x:is>
      </x:c>
      <x:c r="C66" t="inlineStr">
        <x:is>
          <x:t xml:space="preserve">USA</x:t>
        </x:is>
      </x:c>
    </x:row>
    <x:row r="67">
      <x:c r="A67" t="n">
        <x:v>1954</x:v>
      </x:c>
      <x:c r="B67" t="inlineStr">
        <x:is>
          <x:t xml:space="preserve">CZE</x:t>
        </x:is>
      </x:c>
      <x:c r="C67" t="inlineStr">
        <x:is>
          <x:t xml:space="preserve">USA</x:t>
        </x:is>
      </x:c>
    </x:row>
    <x:row r="68">
      <x:c r="A68" t="n">
        <x:v>1953</x:v>
      </x:c>
      <x:c r="B68" t="inlineStr">
        <x:is>
          <x:t xml:space="preserve">USA</x:t>
        </x:is>
      </x:c>
      <x:c r="C68" t="inlineStr">
        <x:is>
          <x:t xml:space="preserve">USA</x:t>
        </x:is>
      </x:c>
    </x:row>
    <x:row r="69">
      <x:c r="A69" t="n">
        <x:v>1952</x:v>
      </x:c>
      <x:c r="B69" t="inlineStr">
        <x:is>
          <x:t xml:space="preserve">AUS</x:t>
        </x:is>
      </x:c>
      <x:c r="C69" t="inlineStr">
        <x:is>
          <x:t xml:space="preserve">USA</x:t>
        </x:is>
      </x:c>
    </x:row>
    <x:row r="70">
      <x:c r="A70" t="n">
        <x:v>1951</x:v>
      </x:c>
      <x:c r="B70" t="inlineStr">
        <x:is>
          <x:t xml:space="preserve">USA</x:t>
        </x:is>
      </x:c>
      <x:c r="C70" t="inlineStr">
        <x:is>
          <x:t xml:space="preserve">USA</x:t>
        </x:is>
      </x:c>
    </x:row>
    <x:row r="71">
      <x:c r="A71" t="n">
        <x:v>1950</x:v>
      </x:c>
      <x:c r="B71" t="inlineStr">
        <x:is>
          <x:t xml:space="preserve">USA</x:t>
        </x:is>
      </x:c>
      <x:c r="C71" t="inlineStr">
        <x:is>
          <x:t xml:space="preserve">USA</x:t>
        </x:is>
      </x:c>
    </x:row>
    <x:row r="72">
      <x:c r="A72" t="n">
        <x:v>1949</x:v>
      </x:c>
      <x:c r="B72" t="inlineStr">
        <x:is>
          <x:t xml:space="preserve">USA</x:t>
        </x:is>
      </x:c>
      <x:c r="C72" t="inlineStr">
        <x:is>
          <x:t xml:space="preserve">USA</x:t>
        </x:is>
      </x:c>
    </x:row>
    <x:row r="73">
      <x:c r="A73" t="n">
        <x:v>1948</x:v>
      </x:c>
      <x:c r="B73" t="inlineStr">
        <x:is>
          <x:t xml:space="preserve">USA</x:t>
        </x:is>
      </x:c>
      <x:c r="C73" t="inlineStr">
        <x:is>
          <x:t xml:space="preserve">USA</x:t>
        </x:is>
      </x:c>
    </x:row>
    <x:row r="74">
      <x:c r="A74" t="n">
        <x:v>1947</x:v>
      </x:c>
      <x:c r="B74" t="inlineStr">
        <x:is>
          <x:t xml:space="preserve">USA</x:t>
        </x:is>
      </x:c>
      <x:c r="C74" t="inlineStr">
        <x:is>
          <x:t xml:space="preserve">USA</x:t>
        </x:is>
      </x:c>
    </x:row>
    <x:row r="75">
      <x:c r="A75" t="n">
        <x:v>1946</x:v>
      </x:c>
      <x:c r="B75" t="inlineStr">
        <x:is>
          <x:t xml:space="preserve">FRA</x:t>
        </x:is>
      </x:c>
      <x:c r="C75" t="inlineStr">
        <x:is>
          <x:t xml:space="preserve">USA</x:t>
        </x:is>
      </x:c>
    </x:row>
    <x:row r="76">
      <x:c r="A76" t="n">
        <x:v>1939</x:v>
      </x:c>
      <x:c r="B76" t="inlineStr">
        <x:is>
          <x:t xml:space="preserve">USA</x:t>
        </x:is>
      </x:c>
      <x:c r="C76" t="inlineStr">
        <x:is>
          <x:t xml:space="preserve">USA</x:t>
        </x:is>
      </x:c>
    </x:row>
    <x:row r="77">
      <x:c r="A77" t="n">
        <x:v>1938</x:v>
      </x:c>
      <x:c r="B77" t="inlineStr">
        <x:is>
          <x:t xml:space="preserve">USA</x:t>
        </x:is>
      </x:c>
      <x:c r="C77" t="inlineStr">
        <x:is>
          <x:t xml:space="preserve">USA</x:t>
        </x:is>
      </x:c>
    </x:row>
    <x:row r="78">
      <x:c r="A78" t="n">
        <x:v>1937</x:v>
      </x:c>
      <x:c r="B78" t="inlineStr">
        <x:is>
          <x:t xml:space="preserve">USA</x:t>
        </x:is>
      </x:c>
      <x:c r="C78" t="inlineStr">
        <x:is>
          <x:t xml:space="preserve">GBR</x:t>
        </x:is>
      </x:c>
    </x:row>
    <x:row r="79">
      <x:c r="A79" t="n">
        <x:v>1936</x:v>
      </x:c>
      <x:c r="B79" t="inlineStr">
        <x:is>
          <x:t xml:space="preserve">GBR</x:t>
        </x:is>
      </x:c>
      <x:c r="C79" t="inlineStr">
        <x:is>
          <x:t xml:space="preserve">USA</x:t>
        </x:is>
      </x:c>
    </x:row>
    <x:row r="80">
      <x:c r="A80" t="n">
        <x:v>1935</x:v>
      </x:c>
      <x:c r="B80" t="inlineStr">
        <x:is>
          <x:t xml:space="preserve">GBR</x:t>
        </x:is>
      </x:c>
      <x:c r="C80" t="inlineStr">
        <x:is>
          <x:t xml:space="preserve">USA</x:t>
        </x:is>
      </x:c>
    </x:row>
    <x:row r="81">
      <x:c r="A81" t="n">
        <x:v>1934</x:v>
      </x:c>
      <x:c r="B81" t="inlineStr">
        <x:is>
          <x:t xml:space="preserve">GBR</x:t>
        </x:is>
      </x:c>
      <x:c r="C81" t="inlineStr">
        <x:is>
          <x:t xml:space="preserve">GBR</x:t>
        </x:is>
      </x:c>
    </x:row>
    <x:row r="82">
      <x:c r="A82" t="n">
        <x:v>1933</x:v>
      </x:c>
      <x:c r="B82" t="inlineStr">
        <x:is>
          <x:t xml:space="preserve">AUS</x:t>
        </x:is>
      </x:c>
      <x:c r="C82" t="inlineStr">
        <x:is>
          <x:t xml:space="preserve">USA</x:t>
        </x:is>
      </x:c>
    </x:row>
    <x:row r="83">
      <x:c r="A83" t="n">
        <x:v>1932</x:v>
      </x:c>
      <x:c r="B83" t="inlineStr">
        <x:is>
          <x:t xml:space="preserve">USA</x:t>
        </x:is>
      </x:c>
      <x:c r="C83" t="inlineStr">
        <x:is>
          <x:t xml:space="preserve">USA</x:t>
        </x:is>
      </x:c>
    </x:row>
    <x:row r="84">
      <x:c r="A84" t="n">
        <x:v>1931</x:v>
      </x:c>
      <x:c r="B84" t="inlineStr">
        <x:is>
          <x:t xml:space="preserve">USA</x:t>
        </x:is>
      </x:c>
      <x:c r="C84" t="inlineStr">
        <x:is>
          <x:t xml:space="preserve">GER</x:t>
        </x:is>
      </x:c>
    </x:row>
    <x:row r="85">
      <x:c r="A85" t="n">
        <x:v>1930</x:v>
      </x:c>
      <x:c r="B85" t="inlineStr">
        <x:is>
          <x:t xml:space="preserve">USA</x:t>
        </x:is>
      </x:c>
      <x:c r="C85" t="inlineStr">
        <x:is>
          <x:t xml:space="preserve">USA</x:t>
        </x:is>
      </x:c>
    </x:row>
    <x:row r="86">
      <x:c r="A86" t="n">
        <x:v>1929</x:v>
      </x:c>
      <x:c r="B86" t="inlineStr">
        <x:is>
          <x:t xml:space="preserve">FRA</x:t>
        </x:is>
      </x:c>
      <x:c r="C86" t="inlineStr">
        <x:is>
          <x:t xml:space="preserve">USA</x:t>
        </x:is>
      </x:c>
    </x:row>
    <x:row r="87">
      <x:c r="A87" t="n">
        <x:v>1928</x:v>
      </x:c>
      <x:c r="B87" t="inlineStr">
        <x:is>
          <x:t xml:space="preserve">FRA</x:t>
        </x:is>
      </x:c>
      <x:c r="C87" t="inlineStr">
        <x:is>
          <x:t xml:space="preserve">USA</x:t>
        </x:is>
      </x:c>
    </x:row>
    <x:row r="88">
      <x:c r="A88" t="n">
        <x:v>1927</x:v>
      </x:c>
      <x:c r="B88" t="inlineStr">
        <x:is>
          <x:t xml:space="preserve">FRA</x:t>
        </x:is>
      </x:c>
      <x:c r="C88" t="inlineStr">
        <x:is>
          <x:t xml:space="preserve">USA</x:t>
        </x:is>
      </x:c>
    </x:row>
    <x:row r="89">
      <x:c r="A89" t="n">
        <x:v>1926</x:v>
      </x:c>
      <x:c r="B89" t="inlineStr">
        <x:is>
          <x:t xml:space="preserve">FRA</x:t>
        </x:is>
      </x:c>
      <x:c r="C89" t="inlineStr">
        <x:is>
          <x:t xml:space="preserve">GBR</x:t>
        </x:is>
      </x:c>
    </x:row>
    <x:row r="90">
      <x:c r="A90" t="n">
        <x:v>1925</x:v>
      </x:c>
      <x:c r="B90" t="inlineStr">
        <x:is>
          <x:t xml:space="preserve">FRA</x:t>
        </x:is>
      </x:c>
      <x:c r="C90" t="inlineStr">
        <x:is>
          <x:t xml:space="preserve">FRA</x:t>
        </x:is>
      </x:c>
    </x:row>
    <x:row r="91">
      <x:c r="A91" t="n">
        <x:v>1924</x:v>
      </x:c>
      <x:c r="B91" t="inlineStr">
        <x:is>
          <x:t xml:space="preserve">FRA</x:t>
        </x:is>
      </x:c>
      <x:c r="C91" t="inlineStr">
        <x:is>
          <x:t xml:space="preserve">GBR</x:t>
        </x:is>
      </x:c>
    </x:row>
    <x:row r="92">
      <x:c r="A92" t="n">
        <x:v>1923</x:v>
      </x:c>
      <x:c r="B92" t="inlineStr">
        <x:is>
          <x:t xml:space="preserve">USA</x:t>
        </x:is>
      </x:c>
      <x:c r="C92" t="inlineStr">
        <x:is>
          <x:t xml:space="preserve">FRA</x:t>
        </x:is>
      </x:c>
    </x:row>
    <x:row r="93">
      <x:c r="A93" t="n">
        <x:v>1922</x:v>
      </x:c>
      <x:c r="B93" t="inlineStr">
        <x:is>
          <x:t xml:space="preserve">AUS</x:t>
        </x:is>
      </x:c>
      <x:c r="C93" t="inlineStr">
        <x:is>
          <x:t xml:space="preserve">FRA</x:t>
        </x:is>
      </x:c>
    </x:row>
    <x:row r="94">
      <x:c r="A94" t="n">
        <x:v>1921</x:v>
      </x:c>
      <x:c r="B94" t="inlineStr">
        <x:is>
          <x:t xml:space="preserve">USA</x:t>
        </x:is>
      </x:c>
      <x:c r="C94" t="inlineStr">
        <x:is>
          <x:t xml:space="preserve">FRA</x:t>
        </x:is>
      </x:c>
    </x:row>
    <x:row r="95">
      <x:c r="A95" t="n">
        <x:v>1920</x:v>
      </x:c>
      <x:c r="B95" t="inlineStr">
        <x:is>
          <x:t xml:space="preserve">USA</x:t>
        </x:is>
      </x:c>
      <x:c r="C95" t="inlineStr">
        <x:is>
          <x:t xml:space="preserve">FRA</x:t>
        </x:is>
      </x:c>
    </x:row>
    <x:row r="96">
      <x:c r="A96" t="n">
        <x:v>1919</x:v>
      </x:c>
      <x:c r="B96" t="inlineStr">
        <x:is>
          <x:t xml:space="preserve">AUS</x:t>
        </x:is>
      </x:c>
      <x:c r="C96" t="inlineStr">
        <x:is>
          <x:t xml:space="preserve">FRA</x:t>
        </x:is>
      </x:c>
    </x:row>
    <x:row r="97">
      <x:c r="A97" t="n">
        <x:v>1914</x:v>
      </x:c>
      <x:c r="B97" t="inlineStr">
        <x:is>
          <x:t xml:space="preserve">AUS</x:t>
        </x:is>
      </x:c>
      <x:c r="C97" t="inlineStr">
        <x:is>
          <x:t xml:space="preserve">GBR</x:t>
        </x:is>
      </x:c>
    </x:row>
    <x:row r="98">
      <x:c r="A98" t="n">
        <x:v>1913</x:v>
      </x:c>
      <x:c r="B98" t="inlineStr">
        <x:is>
          <x:t xml:space="preserve">NZL</x:t>
        </x:is>
      </x:c>
      <x:c r="C98" t="inlineStr">
        <x:is>
          <x:t xml:space="preserve">GBR</x:t>
        </x:is>
      </x:c>
    </x:row>
    <x:row r="99">
      <x:c r="A99" t="n">
        <x:v>1912</x:v>
      </x:c>
      <x:c r="B99" t="inlineStr">
        <x:is>
          <x:t xml:space="preserve">NZL</x:t>
        </x:is>
      </x:c>
      <x:c r="C99" t="inlineStr">
        <x:is>
          <x:t xml:space="preserve">GBR</x:t>
        </x:is>
      </x:c>
    </x:row>
    <x:row r="100">
      <x:c r="A100" t="n">
        <x:v>1911</x:v>
      </x:c>
      <x:c r="B100" t="inlineStr">
        <x:is>
          <x:t xml:space="preserve">NZL</x:t>
        </x:is>
      </x:c>
      <x:c r="C100" t="inlineStr">
        <x:is>
          <x:t xml:space="preserve">GBR</x:t>
        </x:is>
      </x:c>
    </x:row>
    <x:row r="101">
      <x:c r="A101" t="n">
        <x:v>1910</x:v>
      </x:c>
      <x:c r="B101" t="inlineStr">
        <x:is>
          <x:t xml:space="preserve">NZL</x:t>
        </x:is>
      </x:c>
      <x:c r="C101" t="inlineStr">
        <x:is>
          <x:t xml:space="preserve">GBR</x:t>
        </x:is>
      </x:c>
    </x:row>
    <x:row r="102">
      <x:c r="A102" t="n">
        <x:v>1909</x:v>
      </x:c>
      <x:c r="B102" t="inlineStr">
        <x:is>
          <x:t xml:space="preserve">GBR</x:t>
        </x:is>
      </x:c>
      <x:c r="C102" t="inlineStr">
        <x:is>
          <x:t xml:space="preserve">GBR</x:t>
        </x:is>
      </x:c>
    </x:row>
    <x:row r="103">
      <x:c r="A103" t="n">
        <x:v>1908</x:v>
      </x:c>
      <x:c r="B103" t="inlineStr">
        <x:is>
          <x:t xml:space="preserve">GBR</x:t>
        </x:is>
      </x:c>
      <x:c r="C103" t="inlineStr">
        <x:is>
          <x:t xml:space="preserve">GBR</x:t>
        </x:is>
      </x:c>
    </x:row>
    <x:row r="104">
      <x:c r="A104" t="n">
        <x:v>1907</x:v>
      </x:c>
      <x:c r="B104" t="inlineStr">
        <x:is>
          <x:t xml:space="preserve">AUS</x:t>
        </x:is>
      </x:c>
      <x:c r="C104" t="inlineStr">
        <x:is>
          <x:t xml:space="preserve">USA</x:t>
        </x:is>
      </x:c>
    </x:row>
    <x:row r="105">
      <x:c r="A105" t="n">
        <x:v>1906</x:v>
      </x:c>
      <x:c r="B105" t="inlineStr">
        <x:is>
          <x:t xml:space="preserve">GBR</x:t>
        </x:is>
      </x:c>
      <x:c r="C105" t="inlineStr">
        <x:is>
          <x:t xml:space="preserve">GBR</x:t>
        </x:is>
      </x:c>
    </x:row>
    <x:row r="106">
      <x:c r="A106" t="n">
        <x:v>1905</x:v>
      </x:c>
      <x:c r="B106" t="inlineStr">
        <x:is>
          <x:t xml:space="preserve">GBR</x:t>
        </x:is>
      </x:c>
      <x:c r="C106" t="inlineStr">
        <x:is>
          <x:t xml:space="preserve">USA</x:t>
        </x:is>
      </x:c>
    </x:row>
    <x:row r="107">
      <x:c r="A107" t="n">
        <x:v>1904</x:v>
      </x:c>
      <x:c r="B107" t="inlineStr">
        <x:is>
          <x:t xml:space="preserve">GBR</x:t>
        </x:is>
      </x:c>
      <x:c r="C107" t="inlineStr">
        <x:is>
          <x:t xml:space="preserve">GBR</x:t>
        </x:is>
      </x:c>
    </x:row>
    <x:row r="108">
      <x:c r="A108" t="n">
        <x:v>1903</x:v>
      </x:c>
      <x:c r="B108" t="inlineStr">
        <x:is>
          <x:t xml:space="preserve">GBR</x:t>
        </x:is>
      </x:c>
      <x:c r="C108" t="inlineStr">
        <x:is>
          <x:t xml:space="preserve">GBR</x:t>
        </x:is>
      </x:c>
    </x:row>
    <x:row r="109">
      <x:c r="A109" t="n">
        <x:v>1902</x:v>
      </x:c>
      <x:c r="B109" t="inlineStr">
        <x:is>
          <x:t xml:space="preserve">GBR</x:t>
        </x:is>
      </x:c>
      <x:c r="C109" t="inlineStr">
        <x:is>
          <x:t xml:space="preserve">GBR</x:t>
        </x:is>
      </x:c>
    </x:row>
    <x:row r="110">
      <x:c r="A110" t="n">
        <x:v>1901</x:v>
      </x:c>
      <x:c r="B110" t="inlineStr">
        <x:is>
          <x:t xml:space="preserve">GBR</x:t>
        </x:is>
      </x:c>
      <x:c r="C110" t="inlineStr">
        <x:is>
          <x:t xml:space="preserve">GBR</x:t>
        </x:is>
      </x:c>
    </x:row>
    <x:row r="111">
      <x:c r="A111" t="n">
        <x:v>1900</x:v>
      </x:c>
      <x:c r="B111" t="inlineStr">
        <x:is>
          <x:t xml:space="preserve">GBR</x:t>
        </x:is>
      </x:c>
      <x:c r="C111" t="inlineStr">
        <x:is>
          <x:t xml:space="preserve">GBR</x:t>
        </x:is>
      </x:c>
    </x:row>
    <x:row r="112">
      <x:c r="A112" t="n">
        <x:v>1899</x:v>
      </x:c>
      <x:c r="B112" t="inlineStr">
        <x:is>
          <x:t xml:space="preserve">GBR</x:t>
        </x:is>
      </x:c>
      <x:c r="C112" t="inlineStr">
        <x:is>
          <x:t xml:space="preserve">GBR</x:t>
        </x:is>
      </x:c>
    </x:row>
    <x:row r="113">
      <x:c r="A113" t="n">
        <x:v>1898</x:v>
      </x:c>
      <x:c r="B113" t="inlineStr">
        <x:is>
          <x:t xml:space="preserve">GBR</x:t>
        </x:is>
      </x:c>
      <x:c r="C113" t="inlineStr">
        <x:is>
          <x:t xml:space="preserve">GBR</x:t>
        </x:is>
      </x:c>
    </x:row>
    <x:row r="114">
      <x:c r="A114" t="n">
        <x:v>1897</x:v>
      </x:c>
      <x:c r="B114" t="inlineStr">
        <x:is>
          <x:t xml:space="preserve">GBR</x:t>
        </x:is>
      </x:c>
      <x:c r="C114" t="inlineStr">
        <x:is>
          <x:t xml:space="preserve">GBR</x:t>
        </x:is>
      </x:c>
    </x:row>
    <x:row r="115">
      <x:c r="A115" t="n">
        <x:v>1896</x:v>
      </x:c>
      <x:c r="B115" t="inlineStr">
        <x:is>
          <x:t xml:space="preserve">GBR</x:t>
        </x:is>
      </x:c>
      <x:c r="C115" t="inlineStr">
        <x:is>
          <x:t xml:space="preserve">GBR</x:t>
        </x:is>
      </x:c>
    </x:row>
    <x:row r="116">
      <x:c r="A116" t="n">
        <x:v>1895</x:v>
      </x:c>
      <x:c r="B116" t="inlineStr">
        <x:is>
          <x:t xml:space="preserve">GBR</x:t>
        </x:is>
      </x:c>
      <x:c r="C116" t="inlineStr">
        <x:is>
          <x:t xml:space="preserve">GBR</x:t>
        </x:is>
      </x:c>
    </x:row>
    <x:row r="117">
      <x:c r="A117" t="n">
        <x:v>1894</x:v>
      </x:c>
      <x:c r="B117" t="inlineStr">
        <x:is>
          <x:t xml:space="preserve">GBR</x:t>
        </x:is>
      </x:c>
      <x:c r="C117" t="inlineStr">
        <x:is>
          <x:t xml:space="preserve">GBR</x:t>
        </x:is>
      </x:c>
    </x:row>
    <x:row r="118">
      <x:c r="A118" t="n">
        <x:v>1893</x:v>
      </x:c>
      <x:c r="B118" t="inlineStr">
        <x:is>
          <x:t xml:space="preserve">GBR</x:t>
        </x:is>
      </x:c>
      <x:c r="C118" t="inlineStr">
        <x:is>
          <x:t xml:space="preserve">GBR</x:t>
        </x:is>
      </x:c>
    </x:row>
    <x:row r="119">
      <x:c r="A119" t="n">
        <x:v>1892</x:v>
      </x:c>
      <x:c r="B119" t="inlineStr">
        <x:is>
          <x:t xml:space="preserve">GBR</x:t>
        </x:is>
      </x:c>
      <x:c r="C119" t="inlineStr">
        <x:is>
          <x:t xml:space="preserve">GBR</x:t>
        </x:is>
      </x:c>
    </x:row>
    <x:row r="120">
      <x:c r="A120" t="n">
        <x:v>1891</x:v>
      </x:c>
      <x:c r="B120" t="inlineStr">
        <x:is>
          <x:t xml:space="preserve">GBR</x:t>
        </x:is>
      </x:c>
      <x:c r="C120" t="inlineStr">
        <x:is>
          <x:t xml:space="preserve">GBR</x:t>
        </x:is>
      </x:c>
    </x:row>
    <x:row r="121">
      <x:c r="A121" t="n">
        <x:v>1890</x:v>
      </x:c>
      <x:c r="B121" t="inlineStr">
        <x:is>
          <x:t xml:space="preserve">GBR</x:t>
        </x:is>
      </x:c>
      <x:c r="C121" t="inlineStr">
        <x:is>
          <x:t xml:space="preserve">GBR</x:t>
        </x:is>
      </x:c>
    </x:row>
    <x:row r="122">
      <x:c r="A122" t="n">
        <x:v>1889</x:v>
      </x:c>
      <x:c r="B122" t="inlineStr">
        <x:is>
          <x:t xml:space="preserve">GBR</x:t>
        </x:is>
      </x:c>
      <x:c r="C122" t="inlineStr">
        <x:is>
          <x:t xml:space="preserve">GBR</x:t>
        </x:is>
      </x:c>
    </x:row>
    <x:row r="123">
      <x:c r="A123" t="n">
        <x:v>1888</x:v>
      </x:c>
      <x:c r="B123" t="inlineStr">
        <x:is>
          <x:t xml:space="preserve">GBR</x:t>
        </x:is>
      </x:c>
      <x:c r="C123" t="inlineStr">
        <x:is>
          <x:t xml:space="preserve">GBR</x:t>
        </x:is>
      </x:c>
    </x:row>
    <x:row r="124">
      <x:c r="A124" t="n">
        <x:v>1887</x:v>
      </x:c>
      <x:c r="B124" t="inlineStr">
        <x:is>
          <x:t xml:space="preserve">GBR</x:t>
        </x:is>
      </x:c>
      <x:c r="C124" t="inlineStr">
        <x:is>
          <x:t xml:space="preserve">GBR</x:t>
        </x:is>
      </x:c>
    </x:row>
    <x:row r="125">
      <x:c r="A125" t="n">
        <x:v>1886</x:v>
      </x:c>
      <x:c r="B125" t="inlineStr">
        <x:is>
          <x:t xml:space="preserve">GBR</x:t>
        </x:is>
      </x:c>
      <x:c r="C125" t="inlineStr">
        <x:is>
          <x:t xml:space="preserve">GBR</x:t>
        </x:is>
      </x:c>
    </x:row>
    <x:row r="126">
      <x:c r="A126" t="n">
        <x:v>1885</x:v>
      </x:c>
      <x:c r="B126" t="inlineStr">
        <x:is>
          <x:t xml:space="preserve">GBR</x:t>
        </x:is>
      </x:c>
      <x:c r="C126" t="inlineStr">
        <x:is>
          <x:t xml:space="preserve">GBR</x:t>
        </x:is>
      </x:c>
    </x:row>
    <x:row r="127">
      <x:c r="A127" t="n">
        <x:v>1884</x:v>
      </x:c>
      <x:c r="B127" t="inlineStr">
        <x:is>
          <x:t xml:space="preserve">GBR</x:t>
        </x:is>
      </x:c>
      <x:c r="C127" t="inlineStr">
        <x:is>
          <x:t xml:space="preserve">GBR</x:t>
        </x:is>
      </x:c>
    </x:row>
    <x:row r="128">
      <x:c r="A128" t="n">
        <x:v>1883</x:v>
      </x:c>
      <x:c r="B128" t="inlineStr">
        <x:is>
          <x:t xml:space="preserve">GBR</x:t>
        </x:is>
      </x:c>
    </x:row>
    <x:row r="129">
      <x:c r="A129" t="n">
        <x:v>1882</x:v>
      </x:c>
      <x:c r="B129" t="inlineStr">
        <x:is>
          <x:t xml:space="preserve">GBR</x:t>
        </x:is>
      </x:c>
    </x:row>
    <x:row r="130">
      <x:c r="A130" t="n">
        <x:v>1881</x:v>
      </x:c>
      <x:c r="B130" t="inlineStr">
        <x:is>
          <x:t xml:space="preserve">GBR</x:t>
        </x:is>
      </x:c>
    </x:row>
    <x:row r="131">
      <x:c r="A131" t="n">
        <x:v>1880</x:v>
      </x:c>
      <x:c r="B131" t="inlineStr">
        <x:is>
          <x:t xml:space="preserve">GBR</x:t>
        </x:is>
      </x:c>
    </x:row>
    <x:row r="132">
      <x:c r="A132" t="n">
        <x:v>1879</x:v>
      </x:c>
      <x:c r="B132" t="inlineStr">
        <x:is>
          <x:t xml:space="preserve">GBR</x:t>
        </x:is>
      </x:c>
    </x:row>
    <x:row r="133">
      <x:c r="A133" t="n">
        <x:v>1878</x:v>
      </x:c>
      <x:c r="B133" t="inlineStr">
        <x:is>
          <x:t xml:space="preserve">GBR</x:t>
        </x:is>
      </x:c>
    </x:row>
    <x:row r="134">
      <x:c r="A134" t="n">
        <x:v>1877</x:v>
      </x:c>
      <x:c r="B134" t="inlineStr">
        <x:is>
          <x:t xml:space="preserve">GBR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4.600000381469727"/>
  <x:cols>
    <x:col min="1" max="1" width="4.84375" customWidth="1"/>
    <x:col min="2" max="2" width="7.53515625" customWidth="1"/>
    <x:col min="3" max="3" width="10" customWidth="1"/>
    <x:col min="4" max="4" width="20.53515625" customWidth="1"/>
    <x:col min="5" max="5" width="15" customWidth="1"/>
    <x:col min="6" max="6" width="5.3046875" customWidth="1"/>
    <x:col min="7" max="7" width="5.84375" customWidth="1"/>
    <x:col min="8" max="8" width="10.4609375" customWidth="1"/>
    <x:col min="9" max="9" width="21" customWidth="1"/>
    <x:col min="10" max="10" width="15.4609375" customWidth="1"/>
  </x:cols>
  <x:sheetData>
    <x:row r="1">
      <x:c r="A1" t="str">
        <x:f>wimbledons_champions!A1</x:f>
        <x:v>Year</x:v>
      </x:c>
      <x:c r="B1" t="str">
        <x:f>wimbledons_champions!B1</x:f>
        <x:v>Gender</x:v>
      </x:c>
      <x:c r="C1" t="str">
        <x:f>wimbledons_champions!C1</x:f>
        <x:v>Champion</x:v>
      </x:c>
      <x:c r="D1" t="str">
        <x:f>wimbledons_champions!D1</x:f>
        <x:v>Champion Nationality</x:v>
      </x:c>
      <x:c r="E1" t="str">
        <x:f>wimbledons_champions!F1</x:f>
        <x:v>Champion Seed</x:v>
      </x:c>
      <x:c r="F1" t="str">
        <x:f>wimbledons_champions!G1</x:f>
        <x:v>Mins</x:v>
      </x:c>
      <x:c r="G1" t="str">
        <x:f>wimbledons_champions!H1</x:f>
        <x:v>Score</x:v>
      </x:c>
      <x:c r="H1" t="str">
        <x:f>wimbledons_champions!S1</x:f>
        <x:v>Runner-up</x:v>
      </x:c>
      <x:c r="I1" t="str">
        <x:f>wimbledons_champions!T1</x:f>
        <x:v>Runner-up Nationality</x:v>
      </x:c>
      <x:c r="J1" t="str">
        <x:f>wimbledons_champions!V1</x:f>
        <x:v>Runner-up Seed</x:v>
      </x:c>
    </x:row>
    <x:row r="2">
      <x:c r="A2" t="n">
        <x:v>2021</x:v>
      </x:c>
      <x:c r="B2" t="inlineStr">
        <x:is>
          <x:t xml:space="preserve">Men's</x:t>
        </x:is>
      </x:c>
      <x:c r="C2" t="inlineStr">
        <x:is>
          <x:t xml:space="preserve">N. Djokovic</x:t>
        </x:is>
      </x:c>
      <x:c r="D2" t="inlineStr">
        <x:is>
          <x:t xml:space="preserve">SRB</x:t>
        </x:is>
      </x:c>
      <x:c r="E2" t="n">
        <x:v>1</x:v>
      </x:c>
      <x:c r="F2" t="n">
        <x:v>204</x:v>
      </x:c>
      <x:c r="G2" t="inlineStr">
        <x:is>
          <x:t xml:space="preserve">6-7,6-4,6-4,6-3</x:t>
        </x:is>
      </x:c>
      <x:c r="H2" t="inlineStr">
        <x:is>
          <x:t xml:space="preserve">M. Berrettini</x:t>
        </x:is>
      </x:c>
      <x:c r="I2" t="inlineStr">
        <x:is>
          <x:t xml:space="preserve">ITA</x:t>
        </x:is>
      </x:c>
      <x:c r="J2" t="n">
        <x:v>7</x:v>
      </x:c>
    </x:row>
    <x:row r="3">
      <x:c r="A3" t="n">
        <x:f>wimbledons_champions!A15</x:f>
        <x:v>2019</x:v>
      </x:c>
      <x:c r="B3" t="str">
        <x:f>wimbledons_champions!B15</x:f>
        <x:v>Men's</x:v>
      </x:c>
      <x:c r="C3" t="str">
        <x:f>wimbledons_champions!C15</x:f>
        <x:v>N. Djokovic</x:v>
      </x:c>
      <x:c r="D3" t="str">
        <x:f>wimbledons_champions!D15</x:f>
        <x:v>SRB</x:v>
      </x:c>
      <x:c r="E3" t="n">
        <x:f>wimbledons_champions!F15</x:f>
        <x:v>1</x:v>
      </x:c>
      <x:c r="F3" t="n">
        <x:f>wimbledons_champions!G15</x:f>
        <x:v>297</x:v>
      </x:c>
      <x:c r="G3" t="str">
        <x:f>wimbledons_champions!H15</x:f>
        <x:v>7-6(7-5),1-6,7-6(7-4),4-6,13-12(7-3)</x:v>
      </x:c>
      <x:c r="H3" t="str">
        <x:f>wimbledons_champions!S15</x:f>
        <x:v>R. Federer</x:v>
      </x:c>
      <x:c r="I3" t="str">
        <x:f>wimbledons_champions!T15</x:f>
        <x:v>SUI</x:v>
      </x:c>
      <x:c r="J3" t="n">
        <x:f>wimbledons_champions!V15</x:f>
        <x:v>2</x:v>
      </x:c>
    </x:row>
    <x:row r="4">
      <x:c r="A4" t="n">
        <x:f>wimbledons_champions!A17</x:f>
        <x:v>2018</x:v>
      </x:c>
      <x:c r="B4" t="str">
        <x:f>wimbledons_champions!B17</x:f>
        <x:v>Men's</x:v>
      </x:c>
      <x:c r="C4" t="str">
        <x:f>wimbledons_champions!C17</x:f>
        <x:v>N. Djokovic</x:v>
      </x:c>
      <x:c r="D4" t="str">
        <x:f>wimbledons_champions!D17</x:f>
        <x:v>SRB</x:v>
      </x:c>
      <x:c r="E4" t="n">
        <x:f>wimbledons_champions!F17</x:f>
        <x:v>12</x:v>
      </x:c>
      <x:c r="F4" t="n">
        <x:f>wimbledons_champions!G17</x:f>
        <x:v>170</x:v>
      </x:c>
      <x:c r="G4" t="str">
        <x:f>wimbledons_champions!H17</x:f>
        <x:v>6-2,6-2,7-6(7-3)</x:v>
      </x:c>
      <x:c r="H4" t="str">
        <x:f>wimbledons_champions!S17</x:f>
        <x:v>K. Anderson</x:v>
      </x:c>
      <x:c r="I4" t="str">
        <x:f>wimbledons_champions!T17</x:f>
        <x:v>RSA</x:v>
      </x:c>
      <x:c r="J4" t="n">
        <x:f>wimbledons_champions!V17</x:f>
        <x:v>8</x:v>
      </x:c>
    </x:row>
    <x:row r="5">
      <x:c r="A5" t="n">
        <x:f>wimbledons_champions!A19</x:f>
        <x:v>2017</x:v>
      </x:c>
      <x:c r="B5" t="str">
        <x:f>wimbledons_champions!B19</x:f>
        <x:v>Men's</x:v>
      </x:c>
      <x:c r="C5" t="str">
        <x:f>wimbledons_champions!C19</x:f>
        <x:v>R. Federer</x:v>
      </x:c>
      <x:c r="D5" t="str">
        <x:f>wimbledons_champions!D19</x:f>
        <x:v>SUI</x:v>
      </x:c>
      <x:c r="E5" t="n">
        <x:f>wimbledons_champions!F19</x:f>
        <x:v>3</x:v>
      </x:c>
      <x:c r="F5" t="n">
        <x:f>wimbledons_champions!G19</x:f>
        <x:v>101</x:v>
      </x:c>
      <x:c r="G5" t="str">
        <x:f>wimbledons_champions!H19</x:f>
        <x:v>6-3,6-1,6-4</x:v>
      </x:c>
      <x:c r="H5" t="str">
        <x:f>wimbledons_champions!S19</x:f>
        <x:v>M.Cilic</x:v>
      </x:c>
      <x:c r="I5" t="str">
        <x:f>wimbledons_champions!T19</x:f>
        <x:v>CRO</x:v>
      </x:c>
      <x:c r="J5" t="n">
        <x:f>wimbledons_champions!V19</x:f>
        <x:v>7</x:v>
      </x:c>
    </x:row>
    <x:row r="6">
      <x:c r="A6" t="n">
        <x:f>wimbledons_champions!A21</x:f>
        <x:v>2016</x:v>
      </x:c>
      <x:c r="B6" t="str">
        <x:f>wimbledons_champions!B21</x:f>
        <x:v>Men's</x:v>
      </x:c>
      <x:c r="C6" t="str">
        <x:f>wimbledons_champions!C21</x:f>
        <x:v>A. Murray</x:v>
      </x:c>
      <x:c r="D6" t="str">
        <x:f>wimbledons_champions!D21</x:f>
        <x:v>GBR</x:v>
      </x:c>
      <x:c r="E6" t="n">
        <x:f>wimbledons_champions!F21</x:f>
        <x:v>2</x:v>
      </x:c>
      <x:c r="F6" t="n">
        <x:f>wimbledons_champions!G21</x:f>
        <x:v>170</x:v>
      </x:c>
      <x:c r="G6" t="str">
        <x:f>wimbledons_champions!H21</x:f>
        <x:v>6-4, 7-6(7-3), 7-6(7-2)</x:v>
      </x:c>
      <x:c r="H6" t="str">
        <x:f>wimbledons_champions!S21</x:f>
        <x:v>M. Raonic</x:v>
      </x:c>
      <x:c r="I6" t="str">
        <x:f>wimbledons_champions!T21</x:f>
        <x:v>CND</x:v>
      </x:c>
      <x:c r="J6" t="n">
        <x:f>wimbledons_champions!V21</x:f>
        <x:v>6</x:v>
      </x:c>
    </x:row>
    <x:row r="7">
      <x:c r="A7" t="n">
        <x:f>wimbledons_champions!A23</x:f>
        <x:v>2015</x:v>
      </x:c>
      <x:c r="B7" t="str">
        <x:f>wimbledons_champions!B23</x:f>
        <x:v>Men's</x:v>
      </x:c>
      <x:c r="C7" t="str">
        <x:f>wimbledons_champions!C23</x:f>
        <x:v>N. Djokovic</x:v>
      </x:c>
      <x:c r="D7" t="str">
        <x:f>wimbledons_champions!D23</x:f>
        <x:v>SRB</x:v>
      </x:c>
      <x:c r="E7" t="n">
        <x:f>wimbledons_champions!F23</x:f>
        <x:v>1</x:v>
      </x:c>
      <x:c r="F7" t="n">
        <x:f>wimbledons_champions!G23</x:f>
        <x:v>176</x:v>
      </x:c>
      <x:c r="G7" t="str">
        <x:f>wimbledons_champions!H23</x:f>
        <x:v>7-6(7-1), 6-7(10-12), 6-4, 6-3</x:v>
      </x:c>
      <x:c r="H7" t="str">
        <x:f>wimbledons_champions!S23</x:f>
        <x:v>R. Federer</x:v>
      </x:c>
      <x:c r="I7" t="str">
        <x:f>wimbledons_champions!T23</x:f>
        <x:v>SUI</x:v>
      </x:c>
      <x:c r="J7" t="n">
        <x:f>wimbledons_champions!V23</x:f>
        <x:v>2</x:v>
      </x:c>
    </x:row>
    <x:row r="8">
      <x:c r="A8" t="n">
        <x:f>wimbledons_champions!A25</x:f>
        <x:v>2014</x:v>
      </x:c>
      <x:c r="B8" t="str">
        <x:f>wimbledons_champions!B25</x:f>
        <x:v>Men's</x:v>
      </x:c>
      <x:c r="C8" t="str">
        <x:f>wimbledons_champions!C25</x:f>
        <x:v>N. Djokovic</x:v>
      </x:c>
      <x:c r="D8" t="str">
        <x:f>wimbledons_champions!D25</x:f>
        <x:v>SRB</x:v>
      </x:c>
      <x:c r="E8" t="n">
        <x:f>wimbledons_champions!F25</x:f>
        <x:v>1</x:v>
      </x:c>
      <x:c r="F8" t="n">
        <x:f>wimbledons_champions!G25</x:f>
        <x:v>236</x:v>
      </x:c>
      <x:c r="G8" t="str">
        <x:f>wimbledons_champions!H25</x:f>
        <x:v>6-7(7-9), 6-4, 7-6(7-4), 5-7, 6-4</x:v>
      </x:c>
      <x:c r="H8" t="str">
        <x:f>wimbledons_champions!S25</x:f>
        <x:v>R. Federer</x:v>
      </x:c>
      <x:c r="I8" t="str">
        <x:f>wimbledons_champions!T25</x:f>
        <x:v>SUI</x:v>
      </x:c>
      <x:c r="J8" t="n">
        <x:f>wimbledons_champions!V25</x:f>
        <x:v>4</x:v>
      </x:c>
    </x:row>
    <x:row r="9">
      <x:c r="A9" t="n">
        <x:f>wimbledons_champions!A27</x:f>
        <x:v>2013</x:v>
      </x:c>
      <x:c r="B9" t="str">
        <x:f>wimbledons_champions!B27</x:f>
        <x:v>Men's</x:v>
      </x:c>
      <x:c r="C9" t="str">
        <x:f>wimbledons_champions!C27</x:f>
        <x:v>A. Murray</x:v>
      </x:c>
      <x:c r="D9" t="str">
        <x:f>wimbledons_champions!D27</x:f>
        <x:v>GBR</x:v>
      </x:c>
      <x:c r="E9" t="n">
        <x:f>wimbledons_champions!F27</x:f>
        <x:v>2</x:v>
      </x:c>
      <x:c r="F9" t="n">
        <x:f>wimbledons_champions!G27</x:f>
        <x:v>134</x:v>
      </x:c>
      <x:c r="G9" t="str">
        <x:f>wimbledons_champions!H27</x:f>
        <x:v>6-4, 7-5, 6-4</x:v>
      </x:c>
      <x:c r="H9" t="str">
        <x:f>wimbledons_champions!S27</x:f>
        <x:v>N. Djokovic</x:v>
      </x:c>
      <x:c r="I9" t="str">
        <x:f>wimbledons_champions!T27</x:f>
        <x:v>SRB</x:v>
      </x:c>
      <x:c r="J9" t="n">
        <x:f>wimbledons_champions!V27</x:f>
        <x:v>1</x:v>
      </x:c>
    </x:row>
    <x:row r="10">
      <x:c r="A10" t="n">
        <x:f>wimbledons_champions!A29</x:f>
        <x:v>2012</x:v>
      </x:c>
      <x:c r="B10" t="str">
        <x:f>wimbledons_champions!B29</x:f>
        <x:v>Men's</x:v>
      </x:c>
      <x:c r="C10" t="str">
        <x:f>wimbledons_champions!C29</x:f>
        <x:v>R. Federer</x:v>
      </x:c>
      <x:c r="D10" t="str">
        <x:f>wimbledons_champions!D29</x:f>
        <x:v>SUI</x:v>
      </x:c>
      <x:c r="E10" t="n">
        <x:f>wimbledons_champions!F29</x:f>
        <x:v>3</x:v>
      </x:c>
      <x:c r="F10" t="n">
        <x:f>wimbledons_champions!G29</x:f>
        <x:v>204</x:v>
      </x:c>
      <x:c r="G10" t="str">
        <x:f>wimbledons_champions!H29</x:f>
        <x:v>4-6, 7-5, 6-3, 6-4</x:v>
      </x:c>
      <x:c r="H10" t="str">
        <x:f>wimbledons_champions!S29</x:f>
        <x:v>A. Murray</x:v>
      </x:c>
      <x:c r="I10" t="str">
        <x:f>wimbledons_champions!T29</x:f>
        <x:v>GBR</x:v>
      </x:c>
      <x:c r="J10" t="n">
        <x:f>wimbledons_champions!V29</x:f>
        <x:v>4</x:v>
      </x:c>
    </x:row>
    <x:row r="11">
      <x:c r="A11" t="n">
        <x:f>wimbledons_champions!A31</x:f>
        <x:v>2011</x:v>
      </x:c>
      <x:c r="B11" t="str">
        <x:f>wimbledons_champions!B31</x:f>
        <x:v>Men's</x:v>
      </x:c>
      <x:c r="C11" t="str">
        <x:f>wimbledons_champions!C31</x:f>
        <x:v>N. Djokovic</x:v>
      </x:c>
      <x:c r="D11" t="str">
        <x:f>wimbledons_champions!D31</x:f>
        <x:v>SRB</x:v>
      </x:c>
      <x:c r="E11" t="n">
        <x:f>wimbledons_champions!F31</x:f>
        <x:v>2</x:v>
      </x:c>
      <x:c r="F11" t="n">
        <x:f>wimbledons_champions!G31</x:f>
        <x:v>148</x:v>
      </x:c>
      <x:c r="G11" t="str">
        <x:f>wimbledons_champions!H31</x:f>
        <x:v>6-4 6-1 1-6 6-3</x:v>
      </x:c>
      <x:c r="H11" t="str">
        <x:f>wimbledons_champions!S31</x:f>
        <x:v>R. Nadal</x:v>
      </x:c>
      <x:c r="I11" t="str">
        <x:f>wimbledons_champions!T31</x:f>
        <x:v>ESP</x:v>
      </x:c>
      <x:c r="J11" t="n">
        <x:f>wimbledons_champions!V31</x:f>
        <x:v>1</x:v>
      </x:c>
    </x:row>
    <x:row r="12">
      <x:c r="A12" t="n">
        <x:f>wimbledons_champions!A33</x:f>
        <x:v>2010</x:v>
      </x:c>
      <x:c r="B12" t="str">
        <x:f>wimbledons_champions!B33</x:f>
        <x:v>Men's</x:v>
      </x:c>
      <x:c r="C12" t="str">
        <x:f>wimbledons_champions!C33</x:f>
        <x:v>R. Nadal</x:v>
      </x:c>
      <x:c r="D12" t="str">
        <x:f>wimbledons_champions!D33</x:f>
        <x:v>ESP</x:v>
      </x:c>
      <x:c r="E12" t="n">
        <x:f>wimbledons_champions!F33</x:f>
        <x:v>2</x:v>
      </x:c>
      <x:c r="F12" t="n">
        <x:f>wimbledons_champions!G33</x:f>
        <x:v>133</x:v>
      </x:c>
      <x:c r="G12" t="str">
        <x:f>wimbledons_champions!H33</x:f>
        <x:v>6-3, 7-5, 6-4</x:v>
      </x:c>
      <x:c r="H12" t="str">
        <x:f>wimbledons_champions!S33</x:f>
        <x:v>T. Berdych</x:v>
      </x:c>
      <x:c r="I12" t="str">
        <x:f>wimbledons_champions!T33</x:f>
        <x:v>CZE</x:v>
      </x:c>
      <x:c r="J12" t="n">
        <x:f>wimbledons_champions!V33</x:f>
        <x:v>12</x:v>
      </x:c>
    </x:row>
    <x:row r="13">
      <x:c r="A13" t="n">
        <x:f>wimbledons_champions!A35</x:f>
        <x:v>2009</x:v>
      </x:c>
      <x:c r="B13" t="str">
        <x:f>wimbledons_champions!B35</x:f>
        <x:v>Men's</x:v>
      </x:c>
      <x:c r="C13" t="str">
        <x:f>wimbledons_champions!C35</x:f>
        <x:v>R. Federer</x:v>
      </x:c>
      <x:c r="D13" t="str">
        <x:f>wimbledons_champions!D35</x:f>
        <x:v>SUI</x:v>
      </x:c>
      <x:c r="E13" t="n">
        <x:f>wimbledons_champions!F35</x:f>
        <x:v>2</x:v>
      </x:c>
      <x:c r="F13" t="n">
        <x:f>wimbledons_champions!G35</x:f>
        <x:v>256</x:v>
      </x:c>
      <x:c r="G13" t="str">
        <x:f>wimbledons_champions!H35</x:f>
        <x:v>5-7, 7-6 (8-6), 7-6 (7-5), 3-6, 16-14</x:v>
      </x:c>
      <x:c r="H13" t="str">
        <x:f>wimbledons_champions!S35</x:f>
        <x:v>A. Roddick</x:v>
      </x:c>
      <x:c r="I13" t="str">
        <x:f>wimbledons_champions!T35</x:f>
        <x:v>USA</x:v>
      </x:c>
      <x:c r="J13" t="n">
        <x:f>wimbledons_champions!V35</x:f>
        <x:v>6</x:v>
      </x:c>
    </x:row>
    <x:row r="14">
      <x:c r="A14" t="n">
        <x:f>wimbledons_champions!A37</x:f>
        <x:v>2008</x:v>
      </x:c>
      <x:c r="B14" t="str">
        <x:f>wimbledons_champions!B37</x:f>
        <x:v>Men's</x:v>
      </x:c>
      <x:c r="C14" t="str">
        <x:f>wimbledons_champions!C37</x:f>
        <x:v>R. Nadal</x:v>
      </x:c>
      <x:c r="D14" t="str">
        <x:f>wimbledons_champions!D37</x:f>
        <x:v>ESP</x:v>
      </x:c>
      <x:c r="E14" t="n">
        <x:f>wimbledons_champions!F37</x:f>
        <x:v>2</x:v>
      </x:c>
      <x:c r="F14" t="n">
        <x:f>wimbledons_champions!G37</x:f>
        <x:v>288</x:v>
      </x:c>
      <x:c r="G14" t="str">
        <x:f>wimbledons_champions!H37</x:f>
        <x:v>6-4, 6-4, 6-7 (5-7), 6-7 (8-10), 9-7</x:v>
      </x:c>
      <x:c r="H14" t="str">
        <x:f>wimbledons_champions!S37</x:f>
        <x:v>R. Federer</x:v>
      </x:c>
      <x:c r="I14" t="str">
        <x:f>wimbledons_champions!T37</x:f>
        <x:v>SUI</x:v>
      </x:c>
      <x:c r="J14" t="n">
        <x:f>wimbledons_champions!V37</x:f>
        <x:v>1</x:v>
      </x:c>
    </x:row>
    <x:row r="15">
      <x:c r="A15" t="n">
        <x:f>wimbledons_champions!A39</x:f>
        <x:v>2007</x:v>
      </x:c>
      <x:c r="B15" t="str">
        <x:f>wimbledons_champions!B39</x:f>
        <x:v>Men's</x:v>
      </x:c>
      <x:c r="C15" t="str">
        <x:f>wimbledons_champions!C39</x:f>
        <x:v>R. Federer</x:v>
      </x:c>
      <x:c r="D15" t="str">
        <x:f>wimbledons_champions!D39</x:f>
        <x:v>SUI</x:v>
      </x:c>
      <x:c r="E15" t="n">
        <x:f>wimbledons_champions!F39</x:f>
        <x:v>1</x:v>
      </x:c>
      <x:c r="F15" t="n">
        <x:f>wimbledons_champions!G39</x:f>
        <x:v>225</x:v>
      </x:c>
      <x:c r="G15" t="str">
        <x:f>wimbledons_champions!H39</x:f>
        <x:v>7-6 (9-7), 4-6, 7-6 (7-3), 2-6, 6-2</x:v>
      </x:c>
      <x:c r="H15" t="str">
        <x:f>wimbledons_champions!S39</x:f>
        <x:v>R. Nadal</x:v>
      </x:c>
      <x:c r="I15" t="str">
        <x:f>wimbledons_champions!T39</x:f>
        <x:v>ESP</x:v>
      </x:c>
      <x:c r="J15" t="n">
        <x:f>wimbledons_champions!V39</x:f>
        <x:v>2</x:v>
      </x:c>
    </x:row>
    <x:row r="16">
      <x:c r="A16" t="n">
        <x:f>wimbledons_champions!A41</x:f>
        <x:v>2006</x:v>
      </x:c>
      <x:c r="B16" t="str">
        <x:f>wimbledons_champions!B41</x:f>
        <x:v>Men's</x:v>
      </x:c>
      <x:c r="C16" t="str">
        <x:f>wimbledons_champions!C41</x:f>
        <x:v>R. Federer</x:v>
      </x:c>
      <x:c r="D16" t="str">
        <x:f>wimbledons_champions!D41</x:f>
        <x:v>SUI</x:v>
      </x:c>
      <x:c r="E16" t="n">
        <x:f>wimbledons_champions!F41</x:f>
        <x:v>1</x:v>
      </x:c>
      <x:c r="F16" t="n">
        <x:f>wimbledons_champions!G41</x:f>
        <x:v>170</x:v>
      </x:c>
      <x:c r="G16" t="str">
        <x:f>wimbledons_champions!H41</x:f>
        <x:v>6-0, 7-6 (7-5), 6-7 (2-7), 6-3</x:v>
      </x:c>
      <x:c r="H16" t="str">
        <x:f>wimbledons_champions!S41</x:f>
        <x:v>R. Nadal</x:v>
      </x:c>
      <x:c r="I16" t="str">
        <x:f>wimbledons_champions!T41</x:f>
        <x:v>ESP</x:v>
      </x:c>
      <x:c r="J16" t="n">
        <x:f>wimbledons_champions!V41</x:f>
        <x:v>2</x:v>
      </x:c>
    </x:row>
    <x:row r="17">
      <x:c r="A17" t="n">
        <x:f>wimbledons_champions!A43</x:f>
        <x:v>2005</x:v>
      </x:c>
      <x:c r="B17" t="str">
        <x:f>wimbledons_champions!B43</x:f>
        <x:v>Men's</x:v>
      </x:c>
      <x:c r="C17" t="str">
        <x:f>wimbledons_champions!C43</x:f>
        <x:v>R. Federer</x:v>
      </x:c>
      <x:c r="D17" t="str">
        <x:f>wimbledons_champions!D43</x:f>
        <x:v>SUI</x:v>
      </x:c>
      <x:c r="E17" t="n">
        <x:f>wimbledons_champions!F43</x:f>
        <x:v>1</x:v>
      </x:c>
      <x:c r="F17" t="n">
        <x:f>wimbledons_champions!G43</x:f>
        <x:v>101</x:v>
      </x:c>
      <x:c r="G17" t="str">
        <x:f>wimbledons_champions!H43</x:f>
        <x:v>6-2, 7-6 (7-2), 6-4</x:v>
      </x:c>
      <x:c r="H17" t="str">
        <x:f>wimbledons_champions!S43</x:f>
        <x:v>A. Roddick</x:v>
      </x:c>
      <x:c r="I17" t="str">
        <x:f>wimbledons_champions!T43</x:f>
        <x:v>USA</x:v>
      </x:c>
      <x:c r="J17" t="n">
        <x:f>wimbledons_champions!V43</x:f>
        <x:v>2</x:v>
      </x:c>
    </x:row>
    <x:row r="18">
      <x:c r="A18" t="n">
        <x:f>wimbledons_champions!A45</x:f>
        <x:v>2004</x:v>
      </x:c>
      <x:c r="B18" t="str">
        <x:f>wimbledons_champions!B45</x:f>
        <x:v>Men's</x:v>
      </x:c>
      <x:c r="C18" t="str">
        <x:f>wimbledons_champions!C45</x:f>
        <x:v>R. Federer</x:v>
      </x:c>
      <x:c r="D18" t="str">
        <x:f>wimbledons_champions!D45</x:f>
        <x:v>SUI</x:v>
      </x:c>
      <x:c r="E18" t="n">
        <x:f>wimbledons_champions!F45</x:f>
        <x:v>1</x:v>
      </x:c>
      <x:c r="F18" t="n">
        <x:f>wimbledons_champions!G45</x:f>
        <x:v>151</x:v>
      </x:c>
      <x:c r="G18" t="str">
        <x:f>wimbledons_champions!H45</x:f>
        <x:v>4-6, 7-5, 7-6 (7-3), 6-4</x:v>
      </x:c>
      <x:c r="H18" t="str">
        <x:f>wimbledons_champions!S45</x:f>
        <x:v>A. Roddick</x:v>
      </x:c>
      <x:c r="I18" t="str">
        <x:f>wimbledons_champions!T45</x:f>
        <x:v>USA</x:v>
      </x:c>
      <x:c r="J18" t="n">
        <x:f>wimbledons_champions!V45</x:f>
        <x:v>2</x:v>
      </x:c>
    </x:row>
    <x:row r="19">
      <x:c r="A19" t="n">
        <x:f>wimbledons_champions!A47</x:f>
        <x:v>2003</x:v>
      </x:c>
      <x:c r="B19" t="str">
        <x:f>wimbledons_champions!B47</x:f>
        <x:v>Men's</x:v>
      </x:c>
      <x:c r="C19" t="str">
        <x:f>wimbledons_champions!C47</x:f>
        <x:v>R. Federer</x:v>
      </x:c>
      <x:c r="D19" t="str">
        <x:f>wimbledons_champions!D47</x:f>
        <x:v>SUI</x:v>
      </x:c>
      <x:c r="E19" t="n">
        <x:f>wimbledons_champions!F47</x:f>
        <x:v>4</x:v>
      </x:c>
      <x:c r="F19" t="n">
        <x:f>wimbledons_champions!G47</x:f>
        <x:v>119</x:v>
      </x:c>
      <x:c r="G19" t="str">
        <x:f>wimbledons_champions!H47</x:f>
        <x:v>7-6 (7-5), 6-2, 7-6 (7-3)</x:v>
      </x:c>
      <x:c r="H19" t="str">
        <x:f>wimbledons_champions!S47</x:f>
        <x:v>M. Philippousis</x:v>
      </x:c>
      <x:c r="I19" t="str">
        <x:f>wimbledons_champions!T47</x:f>
        <x:v>AUS</x:v>
      </x:c>
      <x:c r="J19" t="str">
        <x:f>wimbledons_champions!V47</x:f>
        <x:v>U</x:v>
      </x:c>
    </x:row>
    <x:row r="20">
      <x:c r="A20" t="n">
        <x:f>wimbledons_champions!A49</x:f>
        <x:v>2002</x:v>
      </x:c>
      <x:c r="B20" t="str">
        <x:f>wimbledons_champions!B49</x:f>
        <x:v>Men's</x:v>
      </x:c>
      <x:c r="C20" t="str">
        <x:f>wimbledons_champions!C49</x:f>
        <x:v>L.G. Hewitt</x:v>
      </x:c>
      <x:c r="D20" t="str">
        <x:f>wimbledons_champions!D49</x:f>
        <x:v>AUS</x:v>
      </x:c>
      <x:c r="E20" t="n">
        <x:f>wimbledons_champions!F49</x:f>
        <x:v>1</x:v>
      </x:c>
      <x:c r="F20" t="n">
        <x:f>wimbledons_champions!G49</x:f>
        <x:v>116</x:v>
      </x:c>
      <x:c r="G20" t="str">
        <x:f>wimbledons_champions!H49</x:f>
        <x:v>6-1, 6-3, 6-2</x:v>
      </x:c>
      <x:c r="H20" t="str">
        <x:f>wimbledons_champions!S49</x:f>
        <x:v>D.P. Nalbandian</x:v>
      </x:c>
      <x:c r="I20" t="str">
        <x:f>wimbledons_champions!T49</x:f>
        <x:v>ARG</x:v>
      </x:c>
      <x:c r="J20" t="n">
        <x:f>wimbledons_champions!V49</x:f>
        <x:v>28</x:v>
      </x:c>
    </x:row>
    <x:row r="21">
      <x:c r="A21" t="n">
        <x:f>wimbledons_champions!A51</x:f>
        <x:v>2001</x:v>
      </x:c>
      <x:c r="B21" t="str">
        <x:f>wimbledons_champions!B51</x:f>
        <x:v>Men's</x:v>
      </x:c>
      <x:c r="C21" t="str">
        <x:f>wimbledons_champions!C51</x:f>
        <x:v>G.S. Ivanisevic</x:v>
      </x:c>
      <x:c r="D21" t="str">
        <x:f>wimbledons_champions!D51</x:f>
        <x:v>CRO</x:v>
      </x:c>
      <x:c r="E21" t="str">
        <x:f>wimbledons_champions!F51</x:f>
        <x:v>WC</x:v>
      </x:c>
      <x:c r="F21" t="n">
        <x:f>wimbledons_champions!G51</x:f>
        <x:v>182</x:v>
      </x:c>
      <x:c r="G21" t="str">
        <x:f>wimbledons_champions!H51</x:f>
        <x:v>6-3, 3-6, 6-3, 2-6, 9-7</x:v>
      </x:c>
      <x:c r="H21" t="str">
        <x:f>wimbledons_champions!S51</x:f>
        <x:v>P.M. Rafter</x:v>
      </x:c>
      <x:c r="I21" t="str">
        <x:f>wimbledons_champions!T51</x:f>
        <x:v>AUS</x:v>
      </x:c>
      <x:c r="J21" t="n">
        <x:f>wimbledons_champions!V51</x:f>
        <x:v>3</x:v>
      </x:c>
    </x:row>
    <x:row r="22">
      <x:c r="A22" t="n">
        <x:f>wimbledons_champions!A53</x:f>
        <x:v>2000</x:v>
      </x:c>
      <x:c r="B22" t="str">
        <x:f>wimbledons_champions!B53</x:f>
        <x:v>Men's</x:v>
      </x:c>
      <x:c r="C22" t="str">
        <x:f>wimbledons_champions!C53</x:f>
        <x:v>P. Sampras</x:v>
      </x:c>
      <x:c r="D22" t="str">
        <x:f>wimbledons_champions!D53</x:f>
        <x:v>USA</x:v>
      </x:c>
      <x:c r="E22" t="n">
        <x:f>wimbledons_champions!F53</x:f>
        <x:v>1</x:v>
      </x:c>
      <x:c r="F22" t="n">
        <x:f>wimbledons_champions!G53</x:f>
        <x:v>182</x:v>
      </x:c>
      <x:c r="G22" t="str">
        <x:f>wimbledons_champions!H53</x:f>
        <x:v>6-7 (10-12), 7-6 (7-5), 6-4, 6-2</x:v>
      </x:c>
      <x:c r="H22" t="str">
        <x:f>wimbledons_champions!S53</x:f>
        <x:v>P.M. Rafter</x:v>
      </x:c>
      <x:c r="I22" t="str">
        <x:f>wimbledons_champions!T53</x:f>
        <x:v>AUS</x:v>
      </x:c>
      <x:c r="J22" t="n">
        <x:f>wimbledons_champions!V53</x:f>
        <x:v>12</x:v>
      </x:c>
    </x:row>
    <x:row r="23">
      <x:c r="A23" t="n">
        <x:f>wimbledons_champions!A55</x:f>
        <x:v>1999</x:v>
      </x:c>
      <x:c r="B23" t="str">
        <x:f>wimbledons_champions!B55</x:f>
        <x:v>Men's</x:v>
      </x:c>
      <x:c r="C23" t="str">
        <x:f>wimbledons_champions!C55</x:f>
        <x:v>P. Sampras</x:v>
      </x:c>
      <x:c r="D23" t="str">
        <x:f>wimbledons_champions!D55</x:f>
        <x:v>USA</x:v>
      </x:c>
      <x:c r="E23" t="n">
        <x:f>wimbledons_champions!F55</x:f>
        <x:v>1</x:v>
      </x:c>
      <x:c r="F23" t="n">
        <x:f>wimbledons_champions!G55</x:f>
        <x:v>115</x:v>
      </x:c>
      <x:c r="G23" t="str">
        <x:f>wimbledons_champions!H55</x:f>
        <x:v>6-3, 6-4, 7-5</x:v>
      </x:c>
      <x:c r="H23" t="str">
        <x:f>wimbledons_champions!S55</x:f>
        <x:v>A.K. Agassi</x:v>
      </x:c>
      <x:c r="I23" t="str">
        <x:f>wimbledons_champions!T55</x:f>
        <x:v>USA</x:v>
      </x:c>
      <x:c r="J23" t="n">
        <x:f>wimbledons_champions!V55</x:f>
        <x:v>4</x:v>
      </x:c>
    </x:row>
    <x:row r="24">
      <x:c r="A24" t="n">
        <x:f>wimbledons_champions!A57</x:f>
        <x:v>1998</x:v>
      </x:c>
      <x:c r="B24" t="str">
        <x:f>wimbledons_champions!B57</x:f>
        <x:v>Men's</x:v>
      </x:c>
      <x:c r="C24" t="str">
        <x:f>wimbledons_champions!C57</x:f>
        <x:v>P. Sampras</x:v>
      </x:c>
      <x:c r="D24" t="str">
        <x:f>wimbledons_champions!D57</x:f>
        <x:v>USA</x:v>
      </x:c>
      <x:c r="E24" t="n">
        <x:f>wimbledons_champions!F57</x:f>
        <x:v>1</x:v>
      </x:c>
      <x:c r="F24" t="n">
        <x:f>wimbledons_champions!G57</x:f>
        <x:v>172</x:v>
      </x:c>
      <x:c r="G24" t="str">
        <x:f>wimbledons_champions!H57</x:f>
        <x:v>6-7 (2-7), 7-6 (11-9), 6-4, 3-6, 6-2</x:v>
      </x:c>
      <x:c r="H24" t="str">
        <x:f>wimbledons_champions!S57</x:f>
        <x:v>G.S. Ivanisevic</x:v>
      </x:c>
      <x:c r="I24" t="str">
        <x:f>wimbledons_champions!T57</x:f>
        <x:v>CRO</x:v>
      </x:c>
      <x:c r="J24" t="n">
        <x:f>wimbledons_champions!V57</x:f>
        <x:v>14</x:v>
      </x:c>
    </x:row>
    <x:row r="25">
      <x:c r="A25" t="n">
        <x:f>wimbledons_champions!A59</x:f>
        <x:v>1997</x:v>
      </x:c>
      <x:c r="B25" t="str">
        <x:f>wimbledons_champions!B59</x:f>
        <x:v>Men's</x:v>
      </x:c>
      <x:c r="C25" t="str">
        <x:f>wimbledons_champions!C59</x:f>
        <x:v>P. Sampras</x:v>
      </x:c>
      <x:c r="D25" t="str">
        <x:f>wimbledons_champions!D59</x:f>
        <x:v>USA</x:v>
      </x:c>
      <x:c r="E25" t="n">
        <x:f>wimbledons_champions!F59</x:f>
        <x:v>1</x:v>
      </x:c>
      <x:c r="F25" t="n">
        <x:f>wimbledons_champions!G59</x:f>
        <x:v>94</x:v>
      </x:c>
      <x:c r="G25" t="str">
        <x:f>wimbledons_champions!H59</x:f>
        <x:v>6-4, 6-2, 6-4</x:v>
      </x:c>
      <x:c r="H25" t="str">
        <x:f>wimbledons_champions!S59</x:f>
        <x:v>C.A. Pioline</x:v>
      </x:c>
      <x:c r="I25" t="str">
        <x:f>wimbledons_champions!T59</x:f>
        <x:v>FRA</x:v>
      </x:c>
      <x:c r="J25" t="str">
        <x:f>wimbledons_champions!V59</x:f>
        <x:v>U</x:v>
      </x:c>
    </x:row>
    <x:row r="26">
      <x:c r="A26" t="n">
        <x:f>wimbledons_champions!A61</x:f>
        <x:v>1996</x:v>
      </x:c>
      <x:c r="B26" t="str">
        <x:f>wimbledons_champions!B61</x:f>
        <x:v>Men's</x:v>
      </x:c>
      <x:c r="C26" t="str">
        <x:f>wimbledons_champions!C61</x:f>
        <x:v>R.P.S. Krajicek</x:v>
      </x:c>
      <x:c r="D26" t="str">
        <x:f>wimbledons_champions!D61</x:f>
        <x:v>NED</x:v>
      </x:c>
      <x:c r="E26" t="str">
        <x:f>wimbledons_champions!F61</x:f>
        <x:v>U</x:v>
      </x:c>
      <x:c r="F26" t="n">
        <x:f>wimbledons_champions!G61</x:f>
        <x:v>94</x:v>
      </x:c>
      <x:c r="G26" t="str">
        <x:f>wimbledons_champions!H61</x:f>
        <x:v>6-3, 6-4, 6-3</x:v>
      </x:c>
      <x:c r="H26" t="str">
        <x:f>wimbledons_champions!S61</x:f>
        <x:v>M.O. Washington</x:v>
      </x:c>
      <x:c r="I26" t="str">
        <x:f>wimbledons_champions!T61</x:f>
        <x:v>USA</x:v>
      </x:c>
      <x:c r="J26" t="str">
        <x:f>wimbledons_champions!V61</x:f>
        <x:v>U</x:v>
      </x:c>
    </x:row>
    <x:row r="27">
      <x:c r="A27" t="n">
        <x:f>wimbledons_champions!A63</x:f>
        <x:v>1995</x:v>
      </x:c>
      <x:c r="B27" t="str">
        <x:f>wimbledons_champions!B63</x:f>
        <x:v>Men's</x:v>
      </x:c>
      <x:c r="C27" t="str">
        <x:f>wimbledons_champions!C63</x:f>
        <x:v>P. Sampras</x:v>
      </x:c>
      <x:c r="D27" t="str">
        <x:f>wimbledons_champions!D63</x:f>
        <x:v>USA</x:v>
      </x:c>
      <x:c r="E27" t="n">
        <x:f>wimbledons_champions!F63</x:f>
        <x:v>2</x:v>
      </x:c>
      <x:c r="F27" t="n">
        <x:f>wimbledons_champions!G63</x:f>
        <x:v>149</x:v>
      </x:c>
      <x:c r="G27" t="str">
        <x:f>wimbledons_champions!H63</x:f>
        <x:v>6-7 (5-7), 6-2, 6-4, 6-2</x:v>
      </x:c>
      <x:c r="H27" t="str">
        <x:f>wimbledons_champions!S63</x:f>
        <x:v>B.F. Becker</x:v>
      </x:c>
      <x:c r="I27" t="str">
        <x:f>wimbledons_champions!T63</x:f>
        <x:v>GER</x:v>
      </x:c>
      <x:c r="J27" t="n">
        <x:f>wimbledons_champions!V63</x:f>
        <x:v>3</x:v>
      </x:c>
    </x:row>
    <x:row r="28">
      <x:c r="A28" t="n">
        <x:f>wimbledons_champions!A65</x:f>
        <x:v>1994</x:v>
      </x:c>
      <x:c r="B28" t="str">
        <x:f>wimbledons_champions!B65</x:f>
        <x:v>Men's</x:v>
      </x:c>
      <x:c r="C28" t="str">
        <x:f>wimbledons_champions!C65</x:f>
        <x:v>P. Sampras</x:v>
      </x:c>
      <x:c r="D28" t="str">
        <x:f>wimbledons_champions!D65</x:f>
        <x:v>USA</x:v>
      </x:c>
      <x:c r="E28" t="n">
        <x:f>wimbledons_champions!F65</x:f>
        <x:v>1</x:v>
      </x:c>
      <x:c r="F28" t="n">
        <x:f>wimbledons_champions!G65</x:f>
        <x:v>115</x:v>
      </x:c>
      <x:c r="G28" t="str">
        <x:f>wimbledons_champions!H65</x:f>
        <x:v>7-6 (7-2), 7-6 (7-5), 6-0</x:v>
      </x:c>
      <x:c r="H28" t="str">
        <x:f>wimbledons_champions!S65</x:f>
        <x:v>G.S. Ivanisevic</x:v>
      </x:c>
      <x:c r="I28" t="str">
        <x:f>wimbledons_champions!T65</x:f>
        <x:v>CRO</x:v>
      </x:c>
      <x:c r="J28" t="n">
        <x:f>wimbledons_champions!V65</x:f>
        <x:v>4</x:v>
      </x:c>
    </x:row>
    <x:row r="29">
      <x:c r="A29" t="n">
        <x:f>wimbledons_champions!A67</x:f>
        <x:v>1993</x:v>
      </x:c>
      <x:c r="B29" t="str">
        <x:f>wimbledons_champions!B67</x:f>
        <x:v>Men's</x:v>
      </x:c>
      <x:c r="C29" t="str">
        <x:f>wimbledons_champions!C67</x:f>
        <x:v>P. Sampras</x:v>
      </x:c>
      <x:c r="D29" t="str">
        <x:f>wimbledons_champions!D67</x:f>
        <x:v>USA</x:v>
      </x:c>
      <x:c r="E29" t="n">
        <x:f>wimbledons_champions!F67</x:f>
        <x:v>1</x:v>
      </x:c>
      <x:c r="F29" t="n">
        <x:f>wimbledons_champions!G67</x:f>
        <x:v>178</x:v>
      </x:c>
      <x:c r="G29" t="str">
        <x:f>wimbledons_champions!H67</x:f>
        <x:v>7-6 (7-3), 7-6 (8-6), 3-6, 6-3</x:v>
      </x:c>
      <x:c r="H29" t="str">
        <x:f>wimbledons_champions!S67</x:f>
        <x:v>J.S. Courier</x:v>
      </x:c>
      <x:c r="I29" t="str">
        <x:f>wimbledons_champions!T67</x:f>
        <x:v>USA</x:v>
      </x:c>
      <x:c r="J29" t="n">
        <x:f>wimbledons_champions!V67</x:f>
        <x:v>3</x:v>
      </x:c>
    </x:row>
    <x:row r="30">
      <x:c r="A30" t="n">
        <x:f>wimbledons_champions!A69</x:f>
        <x:v>1992</x:v>
      </x:c>
      <x:c r="B30" t="str">
        <x:f>wimbledons_champions!B69</x:f>
        <x:v>Men's</x:v>
      </x:c>
      <x:c r="C30" t="str">
        <x:f>wimbledons_champions!C69</x:f>
        <x:v>A.K. Agassi</x:v>
      </x:c>
      <x:c r="D30" t="str">
        <x:f>wimbledons_champions!D69</x:f>
        <x:v>USA</x:v>
      </x:c>
      <x:c r="E30" t="n">
        <x:f>wimbledons_champions!F69</x:f>
        <x:v>12</x:v>
      </x:c>
      <x:c r="F30" t="n">
        <x:f>wimbledons_champions!G69</x:f>
        <x:v>170</x:v>
      </x:c>
      <x:c r="G30" t="str">
        <x:f>wimbledons_champions!H69</x:f>
        <x:v>6-7 (8-10), 6-4, 6-4, 1-6, 6-4</x:v>
      </x:c>
      <x:c r="H30" t="str">
        <x:f>wimbledons_champions!S69</x:f>
        <x:v>G.S. Ivanisevic</x:v>
      </x:c>
      <x:c r="I30" t="str">
        <x:f>wimbledons_champions!T69</x:f>
        <x:v>CRO</x:v>
      </x:c>
      <x:c r="J30" t="n">
        <x:f>wimbledons_champions!V69</x:f>
        <x:v>8</x:v>
      </x:c>
    </x:row>
    <x:row r="31">
      <x:c r="A31" t="n">
        <x:f>wimbledons_champions!A71</x:f>
        <x:v>1991</x:v>
      </x:c>
      <x:c r="B31" t="str">
        <x:f>wimbledons_champions!B71</x:f>
        <x:v>Men's</x:v>
      </x:c>
      <x:c r="C31" t="str">
        <x:f>wimbledons_champions!C71</x:f>
        <x:v>M.D. Stich</x:v>
      </x:c>
      <x:c r="D31" t="str">
        <x:f>wimbledons_champions!D71</x:f>
        <x:v>GER</x:v>
      </x:c>
      <x:c r="E31" t="n">
        <x:f>wimbledons_champions!F71</x:f>
        <x:v>6</x:v>
      </x:c>
      <x:c r="F31" t="n">
        <x:f>wimbledons_champions!G71</x:f>
        <x:v>153</x:v>
      </x:c>
      <x:c r="G31" t="str">
        <x:f>wimbledons_champions!H71</x:f>
        <x:v>6-4, 7-6 (7-4), 6-4</x:v>
      </x:c>
      <x:c r="H31" t="str">
        <x:f>wimbledons_champions!S71</x:f>
        <x:v>B.F. Becker</x:v>
      </x:c>
      <x:c r="I31" t="str">
        <x:f>wimbledons_champions!T71</x:f>
        <x:v>GER</x:v>
      </x:c>
      <x:c r="J31" t="n">
        <x:f>wimbledons_champions!V71</x:f>
        <x:v>2</x:v>
      </x:c>
    </x:row>
    <x:row r="32">
      <x:c r="A32" t="n">
        <x:f>wimbledons_champions!A73</x:f>
        <x:v>1990</x:v>
      </x:c>
      <x:c r="B32" t="str">
        <x:f>wimbledons_champions!B73</x:f>
        <x:v>Men's</x:v>
      </x:c>
      <x:c r="C32" t="str">
        <x:f>wimbledons_champions!C73</x:f>
        <x:v>S.B. Edberg</x:v>
      </x:c>
      <x:c r="D32" t="str">
        <x:f>wimbledons_champions!D73</x:f>
        <x:v>SWE</x:v>
      </x:c>
      <x:c r="E32" t="n">
        <x:f>wimbledons_champions!F73</x:f>
        <x:v>3</x:v>
      </x:c>
      <x:c r="F32" t="n">
        <x:f>wimbledons_champions!G73</x:f>
        <x:v>178</x:v>
      </x:c>
      <x:c r="G32" t="str">
        <x:f>wimbledons_champions!H73</x:f>
        <x:v>6-2, 6-2, 3-6, 3-6, 6-4</x:v>
      </x:c>
      <x:c r="H32" t="str">
        <x:f>wimbledons_champions!S73</x:f>
        <x:v>B.F. Becker</x:v>
      </x:c>
      <x:c r="I32" t="str">
        <x:f>wimbledons_champions!T73</x:f>
        <x:v>GER</x:v>
      </x:c>
      <x:c r="J32" t="n">
        <x:f>wimbledons_champions!V73</x:f>
        <x:v>2</x:v>
      </x:c>
    </x:row>
    <x:row r="33">
      <x:c r="A33" t="n">
        <x:f>wimbledons_champions!A75</x:f>
        <x:v>1989</x:v>
      </x:c>
      <x:c r="B33" t="str">
        <x:f>wimbledons_champions!B75</x:f>
        <x:v>Men's</x:v>
      </x:c>
      <x:c r="C33" t="str">
        <x:f>wimbledons_champions!C75</x:f>
        <x:v>B.F. Becker</x:v>
      </x:c>
      <x:c r="D33" t="str">
        <x:f>wimbledons_champions!D75</x:f>
        <x:v>GER</x:v>
      </x:c>
      <x:c r="E33" t="n">
        <x:f>wimbledons_champions!F75</x:f>
        <x:v>3</x:v>
      </x:c>
      <x:c r="F33" t="n">
        <x:f>wimbledons_champions!G75</x:f>
        <x:v>132</x:v>
      </x:c>
      <x:c r="G33" t="str">
        <x:f>wimbledons_champions!H75</x:f>
        <x:v>6-0, 7-6 (7-1), 6-4</x:v>
      </x:c>
      <x:c r="H33" t="str">
        <x:f>wimbledons_champions!S75</x:f>
        <x:v>S.B. Edberg</x:v>
      </x:c>
      <x:c r="I33" t="str">
        <x:f>wimbledons_champions!T75</x:f>
        <x:v>SWE</x:v>
      </x:c>
      <x:c r="J33" t="n">
        <x:f>wimbledons_champions!V75</x:f>
        <x:v>2</x:v>
      </x:c>
    </x:row>
    <x:row r="34">
      <x:c r="A34" t="n">
        <x:f>wimbledons_champions!A77</x:f>
        <x:v>1988</x:v>
      </x:c>
      <x:c r="B34" t="str">
        <x:f>wimbledons_champions!B77</x:f>
        <x:v>Men's</x:v>
      </x:c>
      <x:c r="C34" t="str">
        <x:f>wimbledons_champions!C77</x:f>
        <x:v>S.B. Edberg</x:v>
      </x:c>
      <x:c r="D34" t="str">
        <x:f>wimbledons_champions!D77</x:f>
        <x:v>SWE</x:v>
      </x:c>
      <x:c r="E34" t="n">
        <x:f>wimbledons_champions!F77</x:f>
        <x:v>3</x:v>
      </x:c>
      <x:c r="F34" t="n">
        <x:f>wimbledons_champions!G77</x:f>
        <x:v>170</x:v>
      </x:c>
      <x:c r="G34" t="str">
        <x:f>wimbledons_champions!H77</x:f>
        <x:v>4-6, 7-6 (7-2), 6-4, 6-2</x:v>
      </x:c>
      <x:c r="H34" t="str">
        <x:f>wimbledons_champions!S77</x:f>
        <x:v>B.F. Becker</x:v>
      </x:c>
      <x:c r="I34" t="str">
        <x:f>wimbledons_champions!T77</x:f>
        <x:v>GER</x:v>
      </x:c>
      <x:c r="J34" t="n">
        <x:f>wimbledons_champions!V77</x:f>
        <x:v>6</x:v>
      </x:c>
    </x:row>
    <x:row r="35">
      <x:c r="A35" t="n">
        <x:f>wimbledons_champions!A79</x:f>
        <x:v>1987</x:v>
      </x:c>
      <x:c r="B35" t="str">
        <x:f>wimbledons_champions!B79</x:f>
        <x:v>Men's</x:v>
      </x:c>
      <x:c r="C35" t="str">
        <x:f>wimbledons_champions!C79</x:f>
        <x:v>P.H. Cash</x:v>
      </x:c>
      <x:c r="D35" t="str">
        <x:f>wimbledons_champions!D79</x:f>
        <x:v>AUS</x:v>
      </x:c>
      <x:c r="E35" t="n">
        <x:f>wimbledons_champions!F79</x:f>
        <x:v>11</x:v>
      </x:c>
      <x:c r="F35" t="n">
        <x:f>wimbledons_champions!G79</x:f>
        <x:v>165</x:v>
      </x:c>
      <x:c r="G35" t="str">
        <x:f>wimbledons_champions!H79</x:f>
        <x:v>7-6 (7-5), 6-2, 7-5</x:v>
      </x:c>
      <x:c r="H35" t="str">
        <x:f>wimbledons_champions!S79</x:f>
        <x:v>I. Lendl</x:v>
      </x:c>
      <x:c r="I35" t="str">
        <x:f>wimbledons_champions!T79</x:f>
        <x:v>CZE</x:v>
      </x:c>
      <x:c r="J35" t="n">
        <x:f>wimbledons_champions!V79</x:f>
        <x:v>2</x:v>
      </x:c>
    </x:row>
    <x:row r="36">
      <x:c r="A36" t="n">
        <x:f>wimbledons_champions!A81</x:f>
        <x:v>1986</x:v>
      </x:c>
      <x:c r="B36" t="str">
        <x:f>wimbledons_champions!B81</x:f>
        <x:v>Men's</x:v>
      </x:c>
      <x:c r="C36" t="str">
        <x:f>wimbledons_champions!C81</x:f>
        <x:v>B.F. Becker</x:v>
      </x:c>
      <x:c r="D36" t="str">
        <x:f>wimbledons_champions!D81</x:f>
        <x:v>GER</x:v>
      </x:c>
      <x:c r="E36" t="n">
        <x:f>wimbledons_champions!F81</x:f>
        <x:v>4</x:v>
      </x:c>
      <x:c r="F36" t="n">
        <x:f>wimbledons_champions!G81</x:f>
        <x:v>122</x:v>
      </x:c>
      <x:c r="G36" t="str">
        <x:f>wimbledons_champions!H81</x:f>
        <x:v>6-4, 6-3, 7-5</x:v>
      </x:c>
      <x:c r="H36" t="str">
        <x:f>wimbledons_champions!S81</x:f>
        <x:v>I. Lendl</x:v>
      </x:c>
      <x:c r="I36" t="str">
        <x:f>wimbledons_champions!T81</x:f>
        <x:v>CZE</x:v>
      </x:c>
      <x:c r="J36" t="n">
        <x:f>wimbledons_champions!V81</x:f>
        <x:v>1</x:v>
      </x:c>
    </x:row>
    <x:row r="37">
      <x:c r="A37" t="n">
        <x:f>wimbledons_champions!A83</x:f>
        <x:v>1985</x:v>
      </x:c>
      <x:c r="B37" t="str">
        <x:f>wimbledons_champions!B83</x:f>
        <x:v>Men's</x:v>
      </x:c>
      <x:c r="C37" t="str">
        <x:f>wimbledons_champions!C83</x:f>
        <x:v>B.F. Becker</x:v>
      </x:c>
      <x:c r="D37" t="str">
        <x:f>wimbledons_champions!D83</x:f>
        <x:v>GER</x:v>
      </x:c>
      <x:c r="E37" t="str">
        <x:f>wimbledons_champions!F83</x:f>
        <x:v>U</x:v>
      </x:c>
      <x:c r="F37" t="n">
        <x:f>wimbledons_champions!G83</x:f>
        <x:v>198</x:v>
      </x:c>
      <x:c r="G37" t="str">
        <x:f>wimbledons_champions!H83</x:f>
        <x:v>6-3, 6-7 (4-7), 7-6 (7-3), 6-4</x:v>
      </x:c>
      <x:c r="H37" t="str">
        <x:f>wimbledons_champions!S83</x:f>
        <x:v>K.M. Curren</x:v>
      </x:c>
      <x:c r="I37" t="str">
        <x:f>wimbledons_champions!T83</x:f>
        <x:v>USA</x:v>
      </x:c>
      <x:c r="J37" t="n">
        <x:f>wimbledons_champions!V83</x:f>
        <x:v>8</x:v>
      </x:c>
    </x:row>
    <x:row r="38">
      <x:c r="A38" t="n">
        <x:f>wimbledons_champions!A85</x:f>
        <x:v>1984</x:v>
      </x:c>
      <x:c r="B38" t="str">
        <x:f>wimbledons_champions!B85</x:f>
        <x:v>Men's</x:v>
      </x:c>
      <x:c r="C38" t="str">
        <x:f>wimbledons_champions!C85</x:f>
        <x:v>J.P. McEnroe</x:v>
      </x:c>
      <x:c r="D38" t="str">
        <x:f>wimbledons_champions!D85</x:f>
        <x:v>USA</x:v>
      </x:c>
      <x:c r="E38" t="n">
        <x:f>wimbledons_champions!F85</x:f>
        <x:v>1</x:v>
      </x:c>
      <x:c r="F38" t="n">
        <x:f>wimbledons_champions!G85</x:f>
        <x:v>80</x:v>
      </x:c>
      <x:c r="G38" t="str">
        <x:f>wimbledons_champions!H85</x:f>
        <x:v>6-1, 6-1, 6-2</x:v>
      </x:c>
      <x:c r="H38" t="str">
        <x:f>wimbledons_champions!S85</x:f>
        <x:v>J.S. Connors</x:v>
      </x:c>
      <x:c r="I38" t="str">
        <x:f>wimbledons_champions!T85</x:f>
        <x:v>USA</x:v>
      </x:c>
      <x:c r="J38" t="n">
        <x:f>wimbledons_champions!V85</x:f>
        <x:v>3</x:v>
      </x:c>
    </x:row>
    <x:row r="39">
      <x:c r="A39" t="n">
        <x:f>wimbledons_champions!A87</x:f>
        <x:v>1983</x:v>
      </x:c>
      <x:c r="B39" t="str">
        <x:f>wimbledons_champions!B87</x:f>
        <x:v>Men's</x:v>
      </x:c>
      <x:c r="C39" t="str">
        <x:f>wimbledons_champions!C87</x:f>
        <x:v>J.P. McEnroe</x:v>
      </x:c>
      <x:c r="D39" t="str">
        <x:f>wimbledons_champions!D87</x:f>
        <x:v>USA</x:v>
      </x:c>
      <x:c r="E39" t="n">
        <x:f>wimbledons_champions!F87</x:f>
        <x:v>2</x:v>
      </x:c>
      <x:c r="F39" t="n">
        <x:f>wimbledons_champions!G87</x:f>
        <x:v>85</x:v>
      </x:c>
      <x:c r="G39" t="str">
        <x:f>wimbledons_champions!H87</x:f>
        <x:v>6-2, 6-2, 6-2</x:v>
      </x:c>
      <x:c r="H39" t="str">
        <x:f>wimbledons_champions!S87</x:f>
        <x:v>C.J. Lewis</x:v>
      </x:c>
      <x:c r="I39" t="str">
        <x:f>wimbledons_champions!T87</x:f>
        <x:v>NZL</x:v>
      </x:c>
      <x:c r="J39" t="str">
        <x:f>wimbledons_champions!V87</x:f>
        <x:v>U</x:v>
      </x:c>
    </x:row>
    <x:row r="40">
      <x:c r="A40" t="n">
        <x:f>wimbledons_champions!A89</x:f>
        <x:v>1982</x:v>
      </x:c>
      <x:c r="B40" t="str">
        <x:f>wimbledons_champions!B89</x:f>
        <x:v>Men's</x:v>
      </x:c>
      <x:c r="C40" t="str">
        <x:f>wimbledons_champions!C89</x:f>
        <x:v>J.S. Connors</x:v>
      </x:c>
      <x:c r="D40" t="str">
        <x:f>wimbledons_champions!D89</x:f>
        <x:v>USA</x:v>
      </x:c>
      <x:c r="E40" t="n">
        <x:f>wimbledons_champions!F89</x:f>
        <x:v>2</x:v>
      </x:c>
      <x:c r="F40" t="n">
        <x:f>wimbledons_champions!G89</x:f>
        <x:v>256</x:v>
      </x:c>
      <x:c r="G40" t="str">
        <x:f>wimbledons_champions!H89</x:f>
        <x:v>3-6, 6-3, 6-7 (2-7), 7-6 (7-5), 6-4</x:v>
      </x:c>
      <x:c r="H40" t="str">
        <x:f>wimbledons_champions!S89</x:f>
        <x:v>J.P. McEnroe</x:v>
      </x:c>
      <x:c r="I40" t="str">
        <x:f>wimbledons_champions!T89</x:f>
        <x:v>USA</x:v>
      </x:c>
      <x:c r="J40" t="n">
        <x:f>wimbledons_champions!V89</x:f>
        <x:v>1</x:v>
      </x:c>
    </x:row>
    <x:row r="41">
      <x:c r="A41" t="n">
        <x:f>wimbledons_champions!A91</x:f>
        <x:v>1981</x:v>
      </x:c>
      <x:c r="B41" t="str">
        <x:f>wimbledons_champions!B91</x:f>
        <x:v>Men's</x:v>
      </x:c>
      <x:c r="C41" t="str">
        <x:f>wimbledons_champions!C91</x:f>
        <x:v>J.P. McEnroe</x:v>
      </x:c>
      <x:c r="D41" t="str">
        <x:f>wimbledons_champions!D91</x:f>
        <x:v>USA</x:v>
      </x:c>
      <x:c r="E41" t="n">
        <x:f>wimbledons_champions!F91</x:f>
        <x:v>2</x:v>
      </x:c>
      <x:c r="F41" t="n">
        <x:f>wimbledons_champions!G91</x:f>
        <x:v>202</x:v>
      </x:c>
      <x:c r="G41" t="str">
        <x:f>wimbledons_champions!H91</x:f>
        <x:v>4-6, 7-6 (7-1), 7-6 (7-4), 6-4</x:v>
      </x:c>
      <x:c r="H41" t="str">
        <x:f>wimbledons_champions!S91</x:f>
        <x:v>B.R. Borg</x:v>
      </x:c>
      <x:c r="I41" t="str">
        <x:f>wimbledons_champions!T91</x:f>
        <x:v>SWE</x:v>
      </x:c>
      <x:c r="J41" t="n">
        <x:f>wimbledons_champions!V91</x:f>
        <x:v>1</x:v>
      </x:c>
    </x:row>
    <x:row r="42">
      <x:c r="A42" t="n">
        <x:f>wimbledons_champions!A93</x:f>
        <x:v>1980</x:v>
      </x:c>
      <x:c r="B42" t="str">
        <x:f>wimbledons_champions!B93</x:f>
        <x:v>Men's</x:v>
      </x:c>
      <x:c r="C42" t="str">
        <x:f>wimbledons_champions!C93</x:f>
        <x:v>B.R. Borg</x:v>
      </x:c>
      <x:c r="D42" t="str">
        <x:f>wimbledons_champions!D93</x:f>
        <x:v>SWE</x:v>
      </x:c>
      <x:c r="E42" t="n">
        <x:f>wimbledons_champions!F93</x:f>
        <x:v>1</x:v>
      </x:c>
      <x:c r="F42" t="n">
        <x:f>wimbledons_champions!G93</x:f>
        <x:v>233</x:v>
      </x:c>
      <x:c r="G42" t="str">
        <x:f>wimbledons_champions!H93</x:f>
        <x:v>1-6, 7-5, 6-3, 6-7 (16-18), 8-6</x:v>
      </x:c>
      <x:c r="H42" t="str">
        <x:f>wimbledons_champions!S93</x:f>
        <x:v>J.P. McEnroe</x:v>
      </x:c>
      <x:c r="I42" t="str">
        <x:f>wimbledons_champions!T93</x:f>
        <x:v>USA</x:v>
      </x:c>
      <x:c r="J42" t="n">
        <x:f>wimbledons_champions!V93</x:f>
        <x:v>2</x:v>
      </x:c>
    </x:row>
    <x:row r="43">
      <x:c r="A43" t="n">
        <x:f>wimbledons_champions!A95</x:f>
        <x:v>1979</x:v>
      </x:c>
      <x:c r="B43" t="str">
        <x:f>wimbledons_champions!B95</x:f>
        <x:v>Men's</x:v>
      </x:c>
      <x:c r="C43" t="str">
        <x:f>wimbledons_champions!C95</x:f>
        <x:v>B.R. Borg</x:v>
      </x:c>
      <x:c r="D43" t="str">
        <x:f>wimbledons_champions!D95</x:f>
        <x:v>SWE</x:v>
      </x:c>
      <x:c r="E43" t="n">
        <x:f>wimbledons_champions!F95</x:f>
        <x:v>1</x:v>
      </x:c>
      <x:c r="F43" t="n">
        <x:f>wimbledons_champions!G95</x:f>
        <x:v>169</x:v>
      </x:c>
      <x:c r="G43" t="str">
        <x:f>wimbledons_champions!H95</x:f>
        <x:v>6-7(4-7), 6-1, 3-6, 6-3, 6-4</x:v>
      </x:c>
      <x:c r="H43" t="str">
        <x:f>wimbledons_champions!S95</x:f>
        <x:v>R. Tanner</x:v>
      </x:c>
      <x:c r="I43" t="str">
        <x:f>wimbledons_champions!T95</x:f>
        <x:v>USA</x:v>
      </x:c>
      <x:c r="J43" t="n">
        <x:f>wimbledons_champions!V95</x:f>
        <x:v>5</x:v>
      </x:c>
    </x:row>
    <x:row r="44">
      <x:c r="A44" t="n">
        <x:f>wimbledons_champions!A97</x:f>
        <x:v>1978</x:v>
      </x:c>
      <x:c r="B44" t="str">
        <x:f>wimbledons_champions!B97</x:f>
        <x:v>Men's</x:v>
      </x:c>
      <x:c r="C44" t="str">
        <x:f>wimbledons_champions!C97</x:f>
        <x:v>B.R. Borg</x:v>
      </x:c>
      <x:c r="D44" t="str">
        <x:f>wimbledons_champions!D97</x:f>
        <x:v>SWE</x:v>
      </x:c>
      <x:c r="E44" t="n">
        <x:f>wimbledons_champions!F97</x:f>
        <x:v>1</x:v>
      </x:c>
      <x:c r="F44" t="n">
        <x:f>wimbledons_champions!G97</x:f>
        <x:v>108</x:v>
      </x:c>
      <x:c r="G44" t="str">
        <x:f>wimbledons_champions!H97</x:f>
        <x:v>6-2, 6-2, 6-3</x:v>
      </x:c>
      <x:c r="H44" t="str">
        <x:f>wimbledons_champions!S97</x:f>
        <x:v>J.S. Connors</x:v>
      </x:c>
      <x:c r="I44" t="str">
        <x:f>wimbledons_champions!T97</x:f>
        <x:v>USA</x:v>
      </x:c>
      <x:c r="J44" t="n">
        <x:f>wimbledons_champions!V97</x:f>
        <x:v>2</x:v>
      </x:c>
    </x:row>
    <x:row r="45">
      <x:c r="A45" t="n">
        <x:f>wimbledons_champions!A99</x:f>
        <x:v>1977</x:v>
      </x:c>
      <x:c r="B45" t="str">
        <x:f>wimbledons_champions!B99</x:f>
        <x:v>Men's</x:v>
      </x:c>
      <x:c r="C45" t="str">
        <x:f>wimbledons_champions!C99</x:f>
        <x:v>B.R. Borg</x:v>
      </x:c>
      <x:c r="D45" t="str">
        <x:f>wimbledons_champions!D99</x:f>
        <x:v>SWE</x:v>
      </x:c>
      <x:c r="E45" t="n">
        <x:f>wimbledons_champions!F99</x:f>
        <x:v>2</x:v>
      </x:c>
      <x:c r="F45" t="n">
        <x:f>wimbledons_champions!G99</x:f>
        <x:v>194</x:v>
      </x:c>
      <x:c r="G45" t="str">
        <x:f>wimbledons_champions!H99</x:f>
        <x:v>3-6, 6-2, 6-1, 5-7, 6-4</x:v>
      </x:c>
      <x:c r="H45" t="str">
        <x:f>wimbledons_champions!S99</x:f>
        <x:v>J.S. Connors</x:v>
      </x:c>
      <x:c r="I45" t="str">
        <x:f>wimbledons_champions!T99</x:f>
        <x:v>USA</x:v>
      </x:c>
      <x:c r="J45" t="n">
        <x:f>wimbledons_champions!V99</x:f>
        <x:v>1</x:v>
      </x:c>
    </x:row>
    <x:row r="46">
      <x:c r="A46" t="n">
        <x:f>wimbledons_champions!A101</x:f>
        <x:v>1976</x:v>
      </x:c>
      <x:c r="B46" t="str">
        <x:f>wimbledons_champions!B101</x:f>
        <x:v>Men's</x:v>
      </x:c>
      <x:c r="C46" t="str">
        <x:f>wimbledons_champions!C101</x:f>
        <x:v>B.R. Borg</x:v>
      </x:c>
      <x:c r="D46" t="str">
        <x:f>wimbledons_champions!D101</x:f>
        <x:v>SWE</x:v>
      </x:c>
      <x:c r="E46" t="n">
        <x:f>wimbledons_champions!F101</x:f>
        <x:v>4</x:v>
      </x:c>
      <x:c r="F46" t="n">
        <x:f>wimbledons_champions!G101</x:f>
        <x:v>110</x:v>
      </x:c>
      <x:c r="G46" t="str">
        <x:f>wimbledons_champions!H101</x:f>
        <x:v>6-4, 6-2, 9-7</x:v>
      </x:c>
      <x:c r="H46" t="str">
        <x:f>wimbledons_champions!S101</x:f>
        <x:v>I. Nastase</x:v>
      </x:c>
      <x:c r="I46" t="str">
        <x:f>wimbledons_champions!T101</x:f>
        <x:v>ROM</x:v>
      </x:c>
      <x:c r="J46" t="n">
        <x:f>wimbledons_champions!V101</x:f>
        <x:v>3</x:v>
      </x:c>
    </x:row>
    <x:row r="47">
      <x:c r="A47" t="n">
        <x:f>wimbledons_champions!A103</x:f>
        <x:v>1975</x:v>
      </x:c>
      <x:c r="B47" t="str">
        <x:f>wimbledons_champions!B103</x:f>
        <x:v>Men's</x:v>
      </x:c>
      <x:c r="C47" t="str">
        <x:f>wimbledons_champions!C103</x:f>
        <x:v>A.R. Ashe</x:v>
      </x:c>
      <x:c r="D47" t="str">
        <x:f>wimbledons_champions!D103</x:f>
        <x:v>USA</x:v>
      </x:c>
      <x:c r="E47" t="n">
        <x:f>wimbledons_champions!F103</x:f>
        <x:v>6</x:v>
      </x:c>
      <x:c r="F47" t="n">
        <x:f>wimbledons_champions!G103</x:f>
        <x:v>125</x:v>
      </x:c>
      <x:c r="G47" t="str">
        <x:f>wimbledons_champions!H103</x:f>
        <x:v>6-1, 6-1, 5-7, 6-4</x:v>
      </x:c>
      <x:c r="H47" t="str">
        <x:f>wimbledons_champions!S103</x:f>
        <x:v>J.S. Connors</x:v>
      </x:c>
      <x:c r="I47" t="str">
        <x:f>wimbledons_champions!T103</x:f>
        <x:v>USA</x:v>
      </x:c>
      <x:c r="J47" t="n">
        <x:f>wimbledons_champions!V103</x:f>
        <x:v>1</x:v>
      </x:c>
    </x:row>
    <x:row r="48">
      <x:c r="A48" t="n">
        <x:f>wimbledons_champions!A105</x:f>
        <x:v>1974</x:v>
      </x:c>
      <x:c r="B48" t="str">
        <x:f>wimbledons_champions!B105</x:f>
        <x:v>Men's</x:v>
      </x:c>
      <x:c r="C48" t="str">
        <x:f>wimbledons_champions!C105</x:f>
        <x:v>J.S. Connors</x:v>
      </x:c>
      <x:c r="D48" t="str">
        <x:f>wimbledons_champions!D105</x:f>
        <x:v>USA</x:v>
      </x:c>
      <x:c r="E48" t="n">
        <x:f>wimbledons_champions!F105</x:f>
        <x:v>3</x:v>
      </x:c>
      <x:c r="F48" t="n">
        <x:f>wimbledons_champions!G105</x:f>
        <x:v>93</x:v>
      </x:c>
      <x:c r="G48" t="str">
        <x:f>wimbledons_champions!H105</x:f>
        <x:v>6-1, 6-1, 6-4</x:v>
      </x:c>
      <x:c r="H48" t="str">
        <x:f>wimbledons_champions!S105</x:f>
        <x:v>K.R. Rosewall</x:v>
      </x:c>
      <x:c r="I48" t="str">
        <x:f>wimbledons_champions!T105</x:f>
        <x:v>AUS</x:v>
      </x:c>
      <x:c r="J48" t="n">
        <x:f>wimbledons_champions!V105</x:f>
        <x:v>9</x:v>
      </x:c>
    </x:row>
    <x:row r="49">
      <x:c r="A49" t="n">
        <x:f>wimbledons_champions!A107</x:f>
        <x:v>1973</x:v>
      </x:c>
      <x:c r="B49" t="str">
        <x:f>wimbledons_champions!B107</x:f>
        <x:v>Men's</x:v>
      </x:c>
      <x:c r="C49" t="str">
        <x:f>wimbledons_champions!C107</x:f>
        <x:v>J. Kodes</x:v>
      </x:c>
      <x:c r="D49" t="str">
        <x:f>wimbledons_champions!D107</x:f>
        <x:v>CZE</x:v>
      </x:c>
      <x:c r="E49" t="n">
        <x:f>wimbledons_champions!F107</x:f>
        <x:v>2</x:v>
      </x:c>
      <x:c r="F49" t="n">
        <x:f>wimbledons_champions!G107</x:f>
        <x:v>110</x:v>
      </x:c>
      <x:c r="G49" t="str">
        <x:f>wimbledons_champions!H107</x:f>
        <x:v>6-1, 9-8(7-5), 6-3</x:v>
      </x:c>
      <x:c r="H49" t="str">
        <x:f>wimbledons_champions!S107</x:f>
        <x:v>A. Metreveli</x:v>
      </x:c>
      <x:c r="I49" t="str">
        <x:f>wimbledons_champions!T107</x:f>
        <x:v>URS</x:v>
      </x:c>
      <x:c r="J49" t="n">
        <x:f>wimbledons_champions!V107</x:f>
        <x:v>4</x:v>
      </x:c>
    </x:row>
    <x:row r="50">
      <x:c r="A50" t="n">
        <x:f>wimbledons_champions!A109</x:f>
        <x:v>1972</x:v>
      </x:c>
      <x:c r="B50" t="str">
        <x:f>wimbledons_champions!B109</x:f>
        <x:v>Men's</x:v>
      </x:c>
      <x:c r="C50" t="str">
        <x:f>wimbledons_champions!C109</x:f>
        <x:v>S.R. Smith</x:v>
      </x:c>
      <x:c r="D50" t="str">
        <x:f>wimbledons_champions!D109</x:f>
        <x:v>USA</x:v>
      </x:c>
      <x:c r="E50" t="n">
        <x:f>wimbledons_champions!F109</x:f>
        <x:v>1</x:v>
      </x:c>
      <x:c r="F50" t="n">
        <x:f>wimbledons_champions!G109</x:f>
        <x:v>161</x:v>
      </x:c>
      <x:c r="G50" t="str">
        <x:f>wimbledons_champions!H109</x:f>
        <x:v>4-6, 6-3, 6-3, 4-6, 7-5</x:v>
      </x:c>
      <x:c r="H50" t="str">
        <x:f>wimbledons_champions!S109</x:f>
        <x:v>I. Nastase</x:v>
      </x:c>
      <x:c r="I50" t="str">
        <x:f>wimbledons_champions!T109</x:f>
        <x:v>ROM</x:v>
      </x:c>
      <x:c r="J50" t="n">
        <x:f>wimbledons_champions!V109</x:f>
        <x:v>2</x:v>
      </x:c>
    </x:row>
    <x:row r="51">
      <x:c r="A51" t="n">
        <x:f>wimbledons_champions!A111</x:f>
        <x:v>1971</x:v>
      </x:c>
      <x:c r="B51" t="str">
        <x:f>wimbledons_champions!B111</x:f>
        <x:v>Men's</x:v>
      </x:c>
      <x:c r="C51" t="str">
        <x:f>wimbledons_champions!C111</x:f>
        <x:v>J.D. Newcombe</x:v>
      </x:c>
      <x:c r="D51" t="str">
        <x:f>wimbledons_champions!D111</x:f>
        <x:v>AUS</x:v>
      </x:c>
      <x:c r="E51" t="n">
        <x:f>wimbledons_champions!F111</x:f>
        <x:v>2</x:v>
      </x:c>
      <x:c r="F51" t="n">
        <x:f>wimbledons_champions!G111</x:f>
        <x:v>170</x:v>
      </x:c>
      <x:c r="G51" t="str">
        <x:f>wimbledons_champions!H111</x:f>
        <x:v>6-3, 5-7, 2-6, 6-4, 6-4</x:v>
      </x:c>
      <x:c r="H51" t="str">
        <x:f>wimbledons_champions!S111</x:f>
        <x:v>S.R. Smith</x:v>
      </x:c>
      <x:c r="I51" t="str">
        <x:f>wimbledons_champions!T111</x:f>
        <x:v>USA</x:v>
      </x:c>
      <x:c r="J51" t="n">
        <x:f>wimbledons_champions!V111</x:f>
        <x:v>4</x:v>
      </x:c>
    </x:row>
    <x:row r="52">
      <x:c r="A52" t="n">
        <x:f>wimbledons_champions!A113</x:f>
        <x:v>1970</x:v>
      </x:c>
      <x:c r="B52" t="str">
        <x:f>wimbledons_champions!B113</x:f>
        <x:v>Men's</x:v>
      </x:c>
      <x:c r="C52" t="str">
        <x:f>wimbledons_champions!C113</x:f>
        <x:v>J.D. Newcombe</x:v>
      </x:c>
      <x:c r="D52" t="str">
        <x:f>wimbledons_champions!D113</x:f>
        <x:v>AUS</x:v>
      </x:c>
      <x:c r="E52" t="n">
        <x:f>wimbledons_champions!F113</x:f>
        <x:v>2</x:v>
      </x:c>
      <x:c r="F52" t="n">
        <x:f>wimbledons_champions!G113</x:f>
        <x:v>163</x:v>
      </x:c>
      <x:c r="G52" t="str">
        <x:f>wimbledons_champions!H113</x:f>
        <x:v>5-7, 6-3, 6-2, 3-6, 6-1</x:v>
      </x:c>
      <x:c r="H52" t="str">
        <x:f>wimbledons_champions!S113</x:f>
        <x:v>K.R. Rosewall</x:v>
      </x:c>
      <x:c r="I52" t="str">
        <x:f>wimbledons_champions!T113</x:f>
        <x:v>AUS</x:v>
      </x:c>
      <x:c r="J52" t="n">
        <x:f>wimbledons_champions!V113</x:f>
        <x:v>5</x:v>
      </x:c>
    </x:row>
    <x:row r="53">
      <x:c r="A53" t="n">
        <x:f>wimbledons_champions!A115</x:f>
        <x:v>1969</x:v>
      </x:c>
      <x:c r="B53" t="str">
        <x:f>wimbledons_champions!B115</x:f>
        <x:v>Men's</x:v>
      </x:c>
      <x:c r="C53" t="str">
        <x:f>wimbledons_champions!C115</x:f>
        <x:v>R.G. Laver</x:v>
      </x:c>
      <x:c r="D53" t="str">
        <x:f>wimbledons_champions!D115</x:f>
        <x:v>AUS</x:v>
      </x:c>
      <x:c r="E53" t="n">
        <x:f>wimbledons_champions!F115</x:f>
        <x:v>1</x:v>
      </x:c>
      <x:c r="F53" t="n">
        <x:f>wimbledons_champions!G115</x:f>
        <x:v>136</x:v>
      </x:c>
      <x:c r="G53" t="str">
        <x:f>wimbledons_champions!H115</x:f>
        <x:v>6-4, 5-7, 6-4, 6-4</x:v>
      </x:c>
      <x:c r="H53" t="str">
        <x:f>wimbledons_champions!S115</x:f>
        <x:v>J.D. Newcombe</x:v>
      </x:c>
      <x:c r="I53" t="str">
        <x:f>wimbledons_champions!T115</x:f>
        <x:v>AUS</x:v>
      </x:c>
      <x:c r="J53" t="n">
        <x:f>wimbledons_champions!V115</x:f>
        <x:v>6</x:v>
      </x:c>
    </x:row>
    <x:row r="54">
      <x:c r="A54" t="n">
        <x:f>wimbledons_champions!A117</x:f>
        <x:v>1968</x:v>
      </x:c>
      <x:c r="B54" t="str">
        <x:f>wimbledons_champions!B117</x:f>
        <x:v>Men's</x:v>
      </x:c>
      <x:c r="C54" t="str">
        <x:f>wimbledons_champions!C117</x:f>
        <x:v>R.G. Laver</x:v>
      </x:c>
      <x:c r="D54" t="str">
        <x:f>wimbledons_champions!D117</x:f>
        <x:v>AUS</x:v>
      </x:c>
      <x:c r="E54" t="n">
        <x:f>wimbledons_champions!F117</x:f>
        <x:v>1</x:v>
      </x:c>
      <x:c r="F54" t="n">
        <x:f>wimbledons_champions!G117</x:f>
        <x:v>60</x:v>
      </x:c>
      <x:c r="G54" t="str">
        <x:f>wimbledons_champions!H117</x:f>
        <x:v>6-3, 6-4, 6-2</x:v>
      </x:c>
      <x:c r="H54" t="str">
        <x:f>wimbledons_champions!S117</x:f>
        <x:v>A.D. Roche</x:v>
      </x:c>
      <x:c r="I54" t="str">
        <x:f>wimbledons_champions!T117</x:f>
        <x:v>AUS</x:v>
      </x:c>
      <x:c r="J54" t="n">
        <x:f>wimbledons_champions!V117</x:f>
        <x:v>15</x:v>
      </x:c>
    </x:row>
    <x:row r="55">
      <x:c r="A55" t="n">
        <x:f>wimbledons_champions!A119</x:f>
        <x:v>1967</x:v>
      </x:c>
      <x:c r="B55" t="str">
        <x:f>wimbledons_champions!B119</x:f>
        <x:v>Men's</x:v>
      </x:c>
      <x:c r="C55" t="str">
        <x:f>wimbledons_champions!C119</x:f>
        <x:v>J.D. Newcombe</x:v>
      </x:c>
      <x:c r="D55" t="str">
        <x:f>wimbledons_champions!D119</x:f>
        <x:v>AUS</x:v>
      </x:c>
      <x:c r="E55" t="n">
        <x:f>wimbledons_champions!F119</x:f>
        <x:v>3</x:v>
      </x:c>
      <x:c r="F55" t="n">
        <x:f>wimbledons_champions!G119</x:f>
        <x:v>71</x:v>
      </x:c>
      <x:c r="G55" t="str">
        <x:f>wimbledons_champions!H119</x:f>
        <x:v>6-3, 6-1, 6-1</x:v>
      </x:c>
      <x:c r="H55" t="str">
        <x:f>wimbledons_champions!S119</x:f>
        <x:v>W.P. Bungert</x:v>
      </x:c>
      <x:c r="I55" t="str">
        <x:f>wimbledons_champions!T119</x:f>
        <x:v>GER</x:v>
      </x:c>
      <x:c r="J55" t="str">
        <x:f>wimbledons_champions!V119</x:f>
        <x:v>U</x:v>
      </x:c>
    </x:row>
    <x:row r="56">
      <x:c r="A56" t="n">
        <x:f>wimbledons_champions!A121</x:f>
        <x:v>1966</x:v>
      </x:c>
      <x:c r="B56" t="str">
        <x:f>wimbledons_champions!B121</x:f>
        <x:v>Men's</x:v>
      </x:c>
      <x:c r="C56" t="str">
        <x:f>wimbledons_champions!C121</x:f>
        <x:v>M.M. Santana</x:v>
      </x:c>
      <x:c r="D56" t="str">
        <x:f>wimbledons_champions!D121</x:f>
        <x:v>ESP</x:v>
      </x:c>
      <x:c r="E56" t="n">
        <x:f>wimbledons_champions!F121</x:f>
        <x:v>4</x:v>
      </x:c>
      <x:c r="F56" t="n">
        <x:f>wimbledons_champions!G121</x:f>
        <x:v>104</x:v>
      </x:c>
      <x:c r="G56" t="str">
        <x:f>wimbledons_champions!H121</x:f>
        <x:v>6-4, 11-9, 6-4</x:v>
      </x:c>
      <x:c r="H56" t="str">
        <x:f>wimbledons_champions!S121</x:f>
        <x:v>R.D. Ralston</x:v>
      </x:c>
      <x:c r="I56" t="str">
        <x:f>wimbledons_champions!T121</x:f>
        <x:v>USA</x:v>
      </x:c>
      <x:c r="J56" t="n">
        <x:f>wimbledons_champions!V121</x:f>
        <x:v>6</x:v>
      </x:c>
    </x:row>
    <x:row r="57">
      <x:c r="A57" t="n">
        <x:f>wimbledons_champions!A123</x:f>
        <x:v>1965</x:v>
      </x:c>
      <x:c r="B57" t="str">
        <x:f>wimbledons_champions!B123</x:f>
        <x:v>Men's</x:v>
      </x:c>
      <x:c r="C57" t="str">
        <x:f>wimbledons_champions!C123</x:f>
        <x:v>R.S. Emerson</x:v>
      </x:c>
      <x:c r="D57" t="str">
        <x:f>wimbledons_champions!D123</x:f>
        <x:v>AUS</x:v>
      </x:c>
      <x:c r="E57" t="n">
        <x:f>wimbledons_champions!F123</x:f>
        <x:v>1</x:v>
      </x:c>
      <x:c r="F57" t="n">
        <x:f>wimbledons_champions!G123</x:f>
        <x:v>67</x:v>
      </x:c>
      <x:c r="G57" t="str">
        <x:f>wimbledons_champions!H123</x:f>
        <x:v>6-2, 6-4, 6-4</x:v>
      </x:c>
      <x:c r="H57" t="str">
        <x:f>wimbledons_champions!S123</x:f>
        <x:v>F.S. Stolle</x:v>
      </x:c>
      <x:c r="I57" t="str">
        <x:f>wimbledons_champions!T123</x:f>
        <x:v>AUS</x:v>
      </x:c>
      <x:c r="J57" t="n">
        <x:f>wimbledons_champions!V123</x:f>
        <x:v>2</x:v>
      </x:c>
    </x:row>
    <x:row r="58">
      <x:c r="A58" t="n">
        <x:f>wimbledons_champions!A125</x:f>
        <x:v>1964</x:v>
      </x:c>
      <x:c r="B58" t="str">
        <x:f>wimbledons_champions!B125</x:f>
        <x:v>Men's</x:v>
      </x:c>
      <x:c r="C58" t="str">
        <x:f>wimbledons_champions!C125</x:f>
        <x:v>R.S. Emerson</x:v>
      </x:c>
      <x:c r="D58" t="str">
        <x:f>wimbledons_champions!D125</x:f>
        <x:v>AUS</x:v>
      </x:c>
      <x:c r="E58" t="n">
        <x:f>wimbledons_champions!F125</x:f>
        <x:v>1</x:v>
      </x:c>
      <x:c r="F58" t="n">
        <x:f>wimbledons_champions!G125</x:f>
        <x:v>127</x:v>
      </x:c>
      <x:c r="G58" t="str">
        <x:f>wimbledons_champions!H125</x:f>
        <x:v>6-4, 12-10, 4-6, 6-3</x:v>
      </x:c>
      <x:c r="H58" t="str">
        <x:f>wimbledons_champions!S125</x:f>
        <x:v>F.S. Stolle</x:v>
      </x:c>
      <x:c r="I58" t="str">
        <x:f>wimbledons_champions!T125</x:f>
        <x:v>AUS</x:v>
      </x:c>
      <x:c r="J58" t="n">
        <x:f>wimbledons_champions!V125</x:f>
        <x:v>6</x:v>
      </x:c>
    </x:row>
    <x:row r="59">
      <x:c r="A59" t="n">
        <x:f>wimbledons_champions!A127</x:f>
        <x:v>1963</x:v>
      </x:c>
      <x:c r="B59" t="str">
        <x:f>wimbledons_champions!B127</x:f>
        <x:v>Men's</x:v>
      </x:c>
      <x:c r="C59" t="str">
        <x:f>wimbledons_champions!C127</x:f>
        <x:v>C.R. McKinley</x:v>
      </x:c>
      <x:c r="D59" t="str">
        <x:f>wimbledons_champions!D127</x:f>
        <x:v>USA</x:v>
      </x:c>
      <x:c r="E59" t="n">
        <x:f>wimbledons_champions!F127</x:f>
        <x:v>4</x:v>
      </x:c>
      <x:c r="F59" t="n">
        <x:f>wimbledons_champions!G127</x:f>
        <x:v>78</x:v>
      </x:c>
      <x:c r="G59" t="str">
        <x:f>wimbledons_champions!H127</x:f>
        <x:v>9-7, 6-1, 6-4</x:v>
      </x:c>
      <x:c r="H59" t="str">
        <x:f>wimbledons_champions!S127</x:f>
        <x:v>F.S. Stolle</x:v>
      </x:c>
      <x:c r="I59" t="str">
        <x:f>wimbledons_champions!T127</x:f>
        <x:v>AUS</x:v>
      </x:c>
      <x:c r="J59" t="str">
        <x:f>wimbledons_champions!V127</x:f>
        <x:v>U</x:v>
      </x:c>
    </x:row>
    <x:row r="60">
      <x:c r="A60" t="n">
        <x:f>wimbledons_champions!A129</x:f>
        <x:v>1962</x:v>
      </x:c>
      <x:c r="B60" t="str">
        <x:f>wimbledons_champions!B129</x:f>
        <x:v>Men's</x:v>
      </x:c>
      <x:c r="C60" t="str">
        <x:f>wimbledons_champions!C129</x:f>
        <x:v>R.G. Laver</x:v>
      </x:c>
      <x:c r="D60" t="str">
        <x:f>wimbledons_champions!D129</x:f>
        <x:v>AUS</x:v>
      </x:c>
      <x:c r="E60" t="n">
        <x:f>wimbledons_champions!F129</x:f>
        <x:v>1</x:v>
      </x:c>
      <x:c r="F60" t="n">
        <x:f>wimbledons_champions!G129</x:f>
        <x:v>51</x:v>
      </x:c>
      <x:c r="G60" t="str">
        <x:f>wimbledons_champions!H129</x:f>
        <x:v>6-2, 6-2, 6-1</x:v>
      </x:c>
      <x:c r="H60" t="str">
        <x:f>wimbledons_champions!S129</x:f>
        <x:v>M.F. Mulligan</x:v>
      </x:c>
      <x:c r="I60" t="str">
        <x:f>wimbledons_champions!T129</x:f>
        <x:v>AUS</x:v>
      </x:c>
      <x:c r="J60" t="str">
        <x:f>wimbledons_champions!V129</x:f>
        <x:v>U</x:v>
      </x:c>
    </x:row>
    <x:row r="61">
      <x:c r="A61" t="n">
        <x:f>wimbledons_champions!A131</x:f>
        <x:v>1961</x:v>
      </x:c>
      <x:c r="B61" t="str">
        <x:f>wimbledons_champions!B131</x:f>
        <x:v>Men's</x:v>
      </x:c>
      <x:c r="C61" t="str">
        <x:f>wimbledons_champions!C131</x:f>
        <x:v>R.G. Laver</x:v>
      </x:c>
      <x:c r="D61" t="str">
        <x:f>wimbledons_champions!D131</x:f>
        <x:v>AUS</x:v>
      </x:c>
      <x:c r="E61" t="n">
        <x:f>wimbledons_champions!F131</x:f>
        <x:v>2</x:v>
      </x:c>
      <x:c r="F61" t="n">
        <x:f>wimbledons_champions!G131</x:f>
        <x:v>55</x:v>
      </x:c>
      <x:c r="G61" t="str">
        <x:f>wimbledons_champions!H131</x:f>
        <x:v>6-3, 6-1, 6-4</x:v>
      </x:c>
      <x:c r="H61" t="str">
        <x:f>wimbledons_champions!S131</x:f>
        <x:v>C.R. McKinley</x:v>
      </x:c>
      <x:c r="I61" t="str">
        <x:f>wimbledons_champions!T131</x:f>
        <x:v>USA</x:v>
      </x:c>
      <x:c r="J61" t="n">
        <x:f>wimbledons_champions!V131</x:f>
        <x:v>8</x:v>
      </x:c>
    </x:row>
    <x:row r="62">
      <x:c r="A62" t="n">
        <x:f>wimbledons_champions!A133</x:f>
        <x:v>1960</x:v>
      </x:c>
      <x:c r="B62" t="str">
        <x:f>wimbledons_champions!B133</x:f>
        <x:v>Men's</x:v>
      </x:c>
      <x:c r="C62" t="str">
        <x:f>wimbledons_champions!C133</x:f>
        <x:v>N.A. Fraser</x:v>
      </x:c>
      <x:c r="D62" t="str">
        <x:f>wimbledons_champions!D133</x:f>
        <x:v>AUS</x:v>
      </x:c>
      <x:c r="E62" t="n">
        <x:f>wimbledons_champions!F133</x:f>
        <x:v>1</x:v>
      </x:c>
      <x:c r="F62" t="n">
        <x:f>wimbledons_champions!G133</x:f>
        <x:v>130</x:v>
      </x:c>
      <x:c r="G62" t="str">
        <x:f>wimbledons_champions!H133</x:f>
        <x:v>6-4, 3-6, 9-7, 7-5</x:v>
      </x:c>
      <x:c r="H62" t="str">
        <x:f>wimbledons_champions!S133</x:f>
        <x:v>R.G. Laver</x:v>
      </x:c>
      <x:c r="I62" t="str">
        <x:f>wimbledons_champions!T133</x:f>
        <x:v>AUS</x:v>
      </x:c>
      <x:c r="J62" t="n">
        <x:f>wimbledons_champions!V133</x:f>
        <x:v>3</x:v>
      </x:c>
    </x:row>
    <x:row r="63">
      <x:c r="A63" t="n">
        <x:f>wimbledons_champions!A135</x:f>
        <x:v>1959</x:v>
      </x:c>
      <x:c r="B63" t="str">
        <x:f>wimbledons_champions!B135</x:f>
        <x:v>Men's</x:v>
      </x:c>
      <x:c r="C63" t="str">
        <x:f>wimbledons_champions!C135</x:f>
        <x:v>A.R. Olmedo</x:v>
      </x:c>
      <x:c r="D63" t="str">
        <x:f>wimbledons_champions!D135</x:f>
        <x:v>USA</x:v>
      </x:c>
      <x:c r="E63" t="n">
        <x:f>wimbledons_champions!F135</x:f>
        <x:v>1</x:v>
      </x:c>
      <x:c r="F63" t="n">
        <x:f>wimbledons_champions!G135</x:f>
        <x:v>71</x:v>
      </x:c>
      <x:c r="G63" t="str">
        <x:f>wimbledons_champions!H135</x:f>
        <x:v>6-4, 6-3, 6-4</x:v>
      </x:c>
      <x:c r="H63" t="str">
        <x:f>wimbledons_champions!S135</x:f>
        <x:v>R.G. Laver</x:v>
      </x:c>
      <x:c r="I63" t="str">
        <x:f>wimbledons_champions!T135</x:f>
        <x:v>AUS</x:v>
      </x:c>
      <x:c r="J63" t="str">
        <x:f>wimbledons_champions!V135</x:f>
        <x:v>U</x:v>
      </x:c>
    </x:row>
    <x:row r="64">
      <x:c r="A64" t="n">
        <x:f>wimbledons_champions!A137</x:f>
        <x:v>1958</x:v>
      </x:c>
      <x:c r="B64" t="str">
        <x:f>wimbledons_champions!B137</x:f>
        <x:v>Men's</x:v>
      </x:c>
      <x:c r="C64" t="str">
        <x:f>wimbledons_champions!C137</x:f>
        <x:v>A.J. Cooper</x:v>
      </x:c>
      <x:c r="D64" t="str">
        <x:f>wimbledons_champions!D137</x:f>
        <x:v>AUS</x:v>
      </x:c>
      <x:c r="E64" t="n">
        <x:f>wimbledons_champions!F137</x:f>
        <x:v>1</x:v>
      </x:c>
      <x:c r="F64" t="n">
        <x:f>wimbledons_champions!G137</x:f>
        <x:v>130</x:v>
      </x:c>
      <x:c r="G64" t="str">
        <x:f>wimbledons_champions!H137</x:f>
        <x:v>3-6, 6-3, 6-4, 13-11</x:v>
      </x:c>
      <x:c r="H64" t="str">
        <x:f>wimbledons_champions!S137</x:f>
        <x:v>N.A. Fraser</x:v>
      </x:c>
      <x:c r="I64" t="str">
        <x:f>wimbledons_champions!T137</x:f>
        <x:v>AUS</x:v>
      </x:c>
      <x:c r="J64" t="n">
        <x:f>wimbledons_champions!V137</x:f>
        <x:v>4</x:v>
      </x:c>
    </x:row>
    <x:row r="65">
      <x:c r="A65" t="n">
        <x:f>wimbledons_champions!A139</x:f>
        <x:v>1957</x:v>
      </x:c>
      <x:c r="B65" t="str">
        <x:f>wimbledons_champions!B139</x:f>
        <x:v>Men's</x:v>
      </x:c>
      <x:c r="C65" t="str">
        <x:f>wimbledons_champions!C139</x:f>
        <x:v>L.A. Hoad</x:v>
      </x:c>
      <x:c r="D65" t="str">
        <x:f>wimbledons_champions!D139</x:f>
        <x:v>AUS</x:v>
      </x:c>
      <x:c r="E65" t="n">
        <x:f>wimbledons_champions!F139</x:f>
        <x:v>1</x:v>
      </x:c>
      <x:c r="F65" t="n">
        <x:f>wimbledons_champions!G139</x:f>
        <x:v>57</x:v>
      </x:c>
      <x:c r="G65" t="str">
        <x:f>wimbledons_champions!H139</x:f>
        <x:v>6-2, 6-1, 6-2</x:v>
      </x:c>
      <x:c r="H65" t="str">
        <x:f>wimbledons_champions!S139</x:f>
        <x:v>A.J. Cooper</x:v>
      </x:c>
      <x:c r="I65" t="str">
        <x:f>wimbledons_champions!T139</x:f>
        <x:v>AUS</x:v>
      </x:c>
      <x:c r="J65" t="n">
        <x:f>wimbledons_champions!V139</x:f>
        <x:v>2</x:v>
      </x:c>
    </x:row>
    <x:row r="66">
      <x:c r="A66" t="n">
        <x:f>wimbledons_champions!A141</x:f>
        <x:v>1956</x:v>
      </x:c>
      <x:c r="B66" t="str">
        <x:f>wimbledons_champions!B141</x:f>
        <x:v>Men's</x:v>
      </x:c>
      <x:c r="C66" t="str">
        <x:f>wimbledons_champions!C141</x:f>
        <x:v>L.A. Hoad</x:v>
      </x:c>
      <x:c r="D66" t="str">
        <x:f>wimbledons_champions!D141</x:f>
        <x:v>AUS</x:v>
      </x:c>
      <x:c r="E66" t="n">
        <x:f>wimbledons_champions!F141</x:f>
        <x:v>1</x:v>
      </x:c>
      <x:c r="F66" t="n">
        <x:f>wimbledons_champions!G141</x:f>
        <x:v>117</x:v>
      </x:c>
      <x:c r="G66" t="str">
        <x:f>wimbledons_champions!H141</x:f>
        <x:v>6-2, 4-6, 7-5, 6-4</x:v>
      </x:c>
      <x:c r="H66" t="str">
        <x:f>wimbledons_champions!S141</x:f>
        <x:v>K.R. Rosewall</x:v>
      </x:c>
      <x:c r="I66" t="str">
        <x:f>wimbledons_champions!T141</x:f>
        <x:v>AUS</x:v>
      </x:c>
      <x:c r="J66" t="n">
        <x:f>wimbledons_champions!V141</x:f>
        <x:v>2</x:v>
      </x:c>
    </x:row>
    <x:row r="67">
      <x:c r="A67" t="n">
        <x:f>wimbledons_champions!A143</x:f>
        <x:v>1955</x:v>
      </x:c>
      <x:c r="B67" t="str">
        <x:f>wimbledons_champions!B143</x:f>
        <x:v>Men's</x:v>
      </x:c>
      <x:c r="C67" t="str">
        <x:f>wimbledons_champions!C143</x:f>
        <x:v>M.A. Trabert</x:v>
      </x:c>
      <x:c r="D67" t="str">
        <x:f>wimbledons_champions!D143</x:f>
        <x:v>USA</x:v>
      </x:c>
      <x:c r="E67" t="n">
        <x:f>wimbledons_champions!F143</x:f>
        <x:v>1</x:v>
      </x:c>
      <x:c r="F67" t="n">
        <x:f>wimbledons_champions!G143</x:f>
        <x:v>73</x:v>
      </x:c>
      <x:c r="G67" t="str">
        <x:f>wimbledons_champions!H143</x:f>
        <x:v>6-3, 7-5, 6-1</x:v>
      </x:c>
      <x:c r="H67" t="str">
        <x:f>wimbledons_champions!S143</x:f>
        <x:v>K. Nielsen</x:v>
      </x:c>
      <x:c r="I67" t="str">
        <x:f>wimbledons_champions!T143</x:f>
        <x:v>DEN</x:v>
      </x:c>
      <x:c r="J67" t="str">
        <x:f>wimbledons_champions!V143</x:f>
        <x:v>U</x:v>
      </x:c>
    </x:row>
    <x:row r="68">
      <x:c r="A68" t="n">
        <x:f>wimbledons_champions!A145</x:f>
        <x:v>1954</x:v>
      </x:c>
      <x:c r="B68" t="str">
        <x:f>wimbledons_champions!B145</x:f>
        <x:v>Men's</x:v>
      </x:c>
      <x:c r="C68" t="str">
        <x:f>wimbledons_champions!C145</x:f>
        <x:v>J. Drobny</x:v>
      </x:c>
      <x:c r="D68" t="str">
        <x:f>wimbledons_champions!D145</x:f>
        <x:v>CZE</x:v>
      </x:c>
      <x:c r="E68" t="n">
        <x:f>wimbledons_champions!F145</x:f>
        <x:v>11</x:v>
      </x:c>
      <x:c r="F68" t="n">
        <x:f>wimbledons_champions!G145</x:f>
        <x:v>157</x:v>
      </x:c>
      <x:c r="G68" t="str">
        <x:f>wimbledons_champions!H145</x:f>
        <x:v>13-11, 4-6, 6-2, 9-7</x:v>
      </x:c>
      <x:c r="H68" t="str">
        <x:f>wimbledons_champions!S145</x:f>
        <x:v>K.R. Rosewall</x:v>
      </x:c>
      <x:c r="I68" t="str">
        <x:f>wimbledons_champions!T145</x:f>
        <x:v>AUS</x:v>
      </x:c>
      <x:c r="J68" t="n">
        <x:f>wimbledons_champions!V145</x:f>
        <x:v>3</x:v>
      </x:c>
    </x:row>
    <x:row r="69">
      <x:c r="A69" t="n">
        <x:f>wimbledons_champions!A147</x:f>
        <x:v>1953</x:v>
      </x:c>
      <x:c r="B69" t="str">
        <x:f>wimbledons_champions!B147</x:f>
        <x:v>Men's</x:v>
      </x:c>
      <x:c r="C69" t="str">
        <x:f>wimbledons_champions!C147</x:f>
        <x:v>E.V. Seixas</x:v>
      </x:c>
      <x:c r="D69" t="str">
        <x:f>wimbledons_champions!D147</x:f>
        <x:v>USA</x:v>
      </x:c>
      <x:c r="E69" t="n">
        <x:f>wimbledons_champions!F147</x:f>
        <x:v>2</x:v>
      </x:c>
      <x:c r="F69" t="n">
        <x:f>wimbledons_champions!G147</x:f>
        <x:v>80</x:v>
      </x:c>
      <x:c r="G69" t="str">
        <x:f>wimbledons_champions!H147</x:f>
        <x:v>9-7, 6-3, 6-4</x:v>
      </x:c>
      <x:c r="H69" t="str">
        <x:f>wimbledons_champions!S147</x:f>
        <x:v>K. Nielsen</x:v>
      </x:c>
      <x:c r="I69" t="str">
        <x:f>wimbledons_champions!T147</x:f>
        <x:v>DEN</x:v>
      </x:c>
      <x:c r="J69" t="str">
        <x:f>wimbledons_champions!V147</x:f>
        <x:v>U</x:v>
      </x:c>
    </x:row>
    <x:row r="70">
      <x:c r="A70" t="n">
        <x:f>wimbledons_champions!A149</x:f>
        <x:v>1952</x:v>
      </x:c>
      <x:c r="B70" t="str">
        <x:f>wimbledons_champions!B149</x:f>
        <x:v>Men's</x:v>
      </x:c>
      <x:c r="C70" t="str">
        <x:f>wimbledons_champions!C149</x:f>
        <x:v>F.A. Sedgman</x:v>
      </x:c>
      <x:c r="D70" t="str">
        <x:f>wimbledons_champions!D149</x:f>
        <x:v>AUS</x:v>
      </x:c>
      <x:c r="E70" t="n">
        <x:f>wimbledons_champions!F149</x:f>
        <x:v>1</x:v>
      </x:c>
      <x:c r="F70" t="n">
        <x:f>wimbledons_champions!G149</x:f>
        <x:v>80</x:v>
      </x:c>
      <x:c r="G70" t="str">
        <x:f>wimbledons_champions!H149</x:f>
        <x:v>4-6, 6-2, 6-3, 6-2</x:v>
      </x:c>
      <x:c r="H70" t="str">
        <x:f>wimbledons_champions!S149</x:f>
        <x:v>J. Drobny</x:v>
      </x:c>
      <x:c r="I70" t="str">
        <x:f>wimbledons_champions!T149</x:f>
        <x:v>CZE</x:v>
      </x:c>
      <x:c r="J70" t="n">
        <x:f>wimbledons_champions!V149</x:f>
        <x:v>2</x:v>
      </x:c>
    </x:row>
    <x:row r="71">
      <x:c r="A71" t="n">
        <x:f>wimbledons_champions!A151</x:f>
        <x:v>1951</x:v>
      </x:c>
      <x:c r="B71" t="str">
        <x:f>wimbledons_champions!B151</x:f>
        <x:v>Men's</x:v>
      </x:c>
      <x:c r="C71" t="str">
        <x:f>wimbledons_champions!C151</x:f>
        <x:v>R. Savitt</x:v>
      </x:c>
      <x:c r="D71" t="str">
        <x:f>wimbledons_champions!D151</x:f>
        <x:v>USA</x:v>
      </x:c>
      <x:c r="E71" t="n">
        <x:f>wimbledons_champions!F151</x:f>
        <x:v>6</x:v>
      </x:c>
      <x:c r="F71" t="n">
        <x:f>wimbledons_champions!G151</x:f>
        <x:v>62</x:v>
      </x:c>
      <x:c r="G71" t="str">
        <x:f>wimbledons_champions!H151</x:f>
        <x:v>6-4, 6-4, 6-4</x:v>
      </x:c>
      <x:c r="H71" t="str">
        <x:f>wimbledons_champions!S151</x:f>
        <x:v>K.B. McGregor</x:v>
      </x:c>
      <x:c r="I71" t="str">
        <x:f>wimbledons_champions!T151</x:f>
        <x:v>AUS</x:v>
      </x:c>
      <x:c r="J71" t="n">
        <x:f>wimbledons_champions!V151</x:f>
        <x:v>7</x:v>
      </x:c>
    </x:row>
    <x:row r="72">
      <x:c r="A72" t="n">
        <x:f>wimbledons_champions!A153</x:f>
        <x:v>1950</x:v>
      </x:c>
      <x:c r="B72" t="str">
        <x:f>wimbledons_champions!B153</x:f>
        <x:v>Men's</x:v>
      </x:c>
      <x:c r="C72" t="str">
        <x:f>wimbledons_champions!C153</x:f>
        <x:v>J.E. Patty</x:v>
      </x:c>
      <x:c r="D72" t="str">
        <x:f>wimbledons_champions!D153</x:f>
        <x:v>USA</x:v>
      </x:c>
      <x:c r="E72" t="n">
        <x:f>wimbledons_champions!F153</x:f>
        <x:v>5</x:v>
      </x:c>
      <x:c r="F72" t="n">
        <x:f>wimbledons_champions!G153</x:f>
        <x:v>120</x:v>
      </x:c>
      <x:c r="G72" t="str">
        <x:f>wimbledons_champions!H153</x:f>
        <x:v>6-1, 8-10, 6-2, 6-3</x:v>
      </x:c>
      <x:c r="H72" t="str">
        <x:f>wimbledons_champions!S153</x:f>
        <x:v>F.A. Sedgman</x:v>
      </x:c>
      <x:c r="I72" t="str">
        <x:f>wimbledons_champions!T153</x:f>
        <x:v>AUS</x:v>
      </x:c>
      <x:c r="J72" t="n">
        <x:f>wimbledons_champions!V153</x:f>
        <x:v>1</x:v>
      </x:c>
    </x:row>
    <x:row r="73">
      <x:c r="A73" t="n">
        <x:f>wimbledons_champions!A155</x:f>
        <x:v>1949</x:v>
      </x:c>
      <x:c r="B73" t="str">
        <x:f>wimbledons_champions!B155</x:f>
        <x:v>Men's</x:v>
      </x:c>
      <x:c r="C73" t="str">
        <x:f>wimbledons_champions!C155</x:f>
        <x:v>F.R. Schroeder</x:v>
      </x:c>
      <x:c r="D73" t="str">
        <x:f>wimbledons_champions!D155</x:f>
        <x:v>USA</x:v>
      </x:c>
      <x:c r="E73" t="n">
        <x:f>wimbledons_champions!F155</x:f>
        <x:v>1</x:v>
      </x:c>
      <x:c r="F73" t="n">
        <x:f>wimbledons_champions!G155</x:f>
        <x:v>100</x:v>
      </x:c>
      <x:c r="G73" t="str">
        <x:f>wimbledons_champions!H155</x:f>
        <x:v>3-6, 6-0, 6-3, 4-6, 6-4</x:v>
      </x:c>
      <x:c r="H73" t="str">
        <x:f>wimbledons_champions!S155</x:f>
        <x:v>J. Drobny</x:v>
      </x:c>
      <x:c r="I73" t="str">
        <x:f>wimbledons_champions!T155</x:f>
        <x:v>CZE</x:v>
      </x:c>
      <x:c r="J73" t="n">
        <x:f>wimbledons_champions!V155</x:f>
        <x:v>6</x:v>
      </x:c>
    </x:row>
    <x:row r="74">
      <x:c r="A74" t="n">
        <x:f>wimbledons_champions!A157</x:f>
        <x:v>1948</x:v>
      </x:c>
      <x:c r="B74" t="str">
        <x:f>wimbledons_champions!B157</x:f>
        <x:v>Men's</x:v>
      </x:c>
      <x:c r="C74" t="str">
        <x:f>wimbledons_champions!C157</x:f>
        <x:v>R. Falkenburg</x:v>
      </x:c>
      <x:c r="D74" t="str">
        <x:f>wimbledons_champions!D157</x:f>
        <x:v>USA</x:v>
      </x:c>
      <x:c r="E74" t="n">
        <x:f>wimbledons_champions!F157</x:f>
        <x:v>7</x:v>
      </x:c>
      <x:c r="F74" t="n">
        <x:f>wimbledons_champions!G157</x:f>
        <x:v>125</x:v>
      </x:c>
      <x:c r="G74" t="str">
        <x:f>wimbledons_champions!H157</x:f>
        <x:v>7-5, 0-6, 6-2, 3-6, 7-5</x:v>
      </x:c>
      <x:c r="H74" t="str">
        <x:f>wimbledons_champions!S157</x:f>
        <x:v>J.E. Bromwich</x:v>
      </x:c>
      <x:c r="I74" t="str">
        <x:f>wimbledons_champions!T157</x:f>
        <x:v>AUS</x:v>
      </x:c>
      <x:c r="J74" t="n">
        <x:f>wimbledons_champions!V157</x:f>
        <x:v>2</x:v>
      </x:c>
    </x:row>
    <x:row r="75">
      <x:c r="A75" t="n">
        <x:f>wimbledons_champions!A159</x:f>
        <x:v>1947</x:v>
      </x:c>
      <x:c r="B75" t="str">
        <x:f>wimbledons_champions!B159</x:f>
        <x:v>Men's</x:v>
      </x:c>
      <x:c r="C75" t="str">
        <x:f>wimbledons_champions!C159</x:f>
        <x:v>J.A. Kramer</x:v>
      </x:c>
      <x:c r="D75" t="str">
        <x:f>wimbledons_champions!D159</x:f>
        <x:v>USA</x:v>
      </x:c>
      <x:c r="E75" t="n">
        <x:f>wimbledons_champions!F159</x:f>
        <x:v>1</x:v>
      </x:c>
      <x:c r="F75" t="n">
        <x:f>wimbledons_champions!G159</x:f>
        <x:v>45</x:v>
      </x:c>
      <x:c r="G75" t="str">
        <x:f>wimbledons_champions!H159</x:f>
        <x:v>6-1, 6-3, 6-2</x:v>
      </x:c>
      <x:c r="H75" t="str">
        <x:f>wimbledons_champions!S159</x:f>
        <x:v>T.P. Brown</x:v>
      </x:c>
      <x:c r="I75" t="str">
        <x:f>wimbledons_champions!T159</x:f>
        <x:v>USA</x:v>
      </x:c>
      <x:c r="J75" t="n">
        <x:f>wimbledons_champions!V159</x:f>
        <x:v>3</x:v>
      </x:c>
    </x:row>
    <x:row r="76">
      <x:c r="A76" t="n">
        <x:f>wimbledons_champions!A161</x:f>
        <x:v>1946</x:v>
      </x:c>
      <x:c r="B76" t="str">
        <x:f>wimbledons_champions!B161</x:f>
        <x:v>Men's</x:v>
      </x:c>
      <x:c r="C76" t="str">
        <x:f>wimbledons_champions!C161</x:f>
        <x:v>Y.F.M. Petra</x:v>
      </x:c>
      <x:c r="D76" t="str">
        <x:f>wimbledons_champions!D161</x:f>
        <x:v>FRA</x:v>
      </x:c>
      <x:c r="E76" t="n">
        <x:f>wimbledons_champions!F161</x:f>
        <x:v>5</x:v>
      </x:c>
      <x:c r="F76" t="n">
        <x:f>wimbledons_champions!G161</x:f>
        <x:v>0</x:v>
      </x:c>
      <x:c r="G76" t="str">
        <x:f>wimbledons_champions!H161</x:f>
        <x:v>6-2, 6-4, 7-9, 5-7, 6-4</x:v>
      </x:c>
      <x:c r="H76" t="str">
        <x:f>wimbledons_champions!S161</x:f>
        <x:v>G.E. Brown</x:v>
      </x:c>
      <x:c r="I76" t="str">
        <x:f>wimbledons_champions!T161</x:f>
        <x:v>AUS</x:v>
      </x:c>
      <x:c r="J76" t="n">
        <x:f>wimbledons_champions!V161</x:f>
        <x:v>3</x:v>
      </x:c>
    </x:row>
    <x:row r="77">
      <x:c r="A77" t="n">
        <x:f>wimbledons_champions!A163</x:f>
        <x:v>1939</x:v>
      </x:c>
      <x:c r="B77" t="str">
        <x:f>wimbledons_champions!B163</x:f>
        <x:v>Men's</x:v>
      </x:c>
      <x:c r="C77" t="str">
        <x:f>wimbledons_champions!C163</x:f>
        <x:v>R.L. Riggs</x:v>
      </x:c>
      <x:c r="D77" t="str">
        <x:f>wimbledons_champions!D163</x:f>
        <x:v>USA</x:v>
      </x:c>
      <x:c r="E77" t="n">
        <x:f>wimbledons_champions!F163</x:f>
        <x:v>2</x:v>
      </x:c>
      <x:c r="F77" t="n">
        <x:f>wimbledons_champions!G163</x:f>
        <x:v>135</x:v>
      </x:c>
      <x:c r="G77" t="str">
        <x:f>wimbledons_champions!H163</x:f>
        <x:v>2-6, 8-6, 3-6, 6-3, 6-2</x:v>
      </x:c>
      <x:c r="H77" t="str">
        <x:f>wimbledons_champions!S163</x:f>
        <x:v>E.T. Cooke</x:v>
      </x:c>
      <x:c r="I77" t="str">
        <x:f>wimbledons_champions!T163</x:f>
        <x:v>USA</x:v>
      </x:c>
      <x:c r="J77" t="n">
        <x:f>wimbledons_champions!V163</x:f>
        <x:v>6</x:v>
      </x:c>
    </x:row>
    <x:row r="78">
      <x:c r="A78" t="n">
        <x:f>wimbledons_champions!A165</x:f>
        <x:v>1938</x:v>
      </x:c>
      <x:c r="B78" t="str">
        <x:f>wimbledons_champions!B165</x:f>
        <x:v>Men's</x:v>
      </x:c>
      <x:c r="C78" t="str">
        <x:f>wimbledons_champions!C165</x:f>
        <x:v>J.D. Budge</x:v>
      </x:c>
      <x:c r="D78" t="str">
        <x:f>wimbledons_champions!D165</x:f>
        <x:v>USA</x:v>
      </x:c>
      <x:c r="E78" t="n">
        <x:f>wimbledons_champions!F165</x:f>
        <x:v>1</x:v>
      </x:c>
      <x:c r="F78" t="n">
        <x:f>wimbledons_champions!G165</x:f>
        <x:v>59</x:v>
      </x:c>
      <x:c r="G78" t="str">
        <x:f>wimbledons_champions!H165</x:f>
        <x:v>6-1, 6-0, 6-3</x:v>
      </x:c>
      <x:c r="H78" t="str">
        <x:f>wimbledons_champions!S165</x:f>
        <x:v>H.W. Austin</x:v>
      </x:c>
      <x:c r="I78" t="str">
        <x:f>wimbledons_champions!T165</x:f>
        <x:v>GBR</x:v>
      </x:c>
      <x:c r="J78" t="n">
        <x:f>wimbledons_champions!V165</x:f>
        <x:v>2</x:v>
      </x:c>
    </x:row>
    <x:row r="79">
      <x:c r="A79" t="n">
        <x:f>wimbledons_champions!A167</x:f>
        <x:v>1937</x:v>
      </x:c>
      <x:c r="B79" t="str">
        <x:f>wimbledons_champions!B167</x:f>
        <x:v>Men's</x:v>
      </x:c>
      <x:c r="C79" t="str">
        <x:f>wimbledons_champions!C167</x:f>
        <x:v>J.D. Budge</x:v>
      </x:c>
      <x:c r="D79" t="str">
        <x:f>wimbledons_champions!D167</x:f>
        <x:v>USA</x:v>
      </x:c>
      <x:c r="E79" t="n">
        <x:f>wimbledons_champions!F167</x:f>
        <x:v>1</x:v>
      </x:c>
      <x:c r="F79" t="n">
        <x:f>wimbledons_champions!G167</x:f>
        <x:v>65</x:v>
      </x:c>
      <x:c r="G79" t="str">
        <x:f>wimbledons_champions!H167</x:f>
        <x:v>6-3, 6-4, 6-2</x:v>
      </x:c>
      <x:c r="H79" t="str">
        <x:f>wimbledons_champions!S167</x:f>
        <x:v>G. von Cramm</x:v>
      </x:c>
      <x:c r="I79" t="str">
        <x:f>wimbledons_champions!T167</x:f>
        <x:v>GER</x:v>
      </x:c>
      <x:c r="J79" t="n">
        <x:f>wimbledons_champions!V167</x:f>
        <x:v>2</x:v>
      </x:c>
    </x:row>
    <x:row r="80">
      <x:c r="A80" t="n">
        <x:f>wimbledons_champions!A169</x:f>
        <x:v>1936</x:v>
      </x:c>
      <x:c r="B80" t="str">
        <x:f>wimbledons_champions!B169</x:f>
        <x:v>Men's</x:v>
      </x:c>
      <x:c r="C80" t="str">
        <x:f>wimbledons_champions!C169</x:f>
        <x:v>F.J. Perry</x:v>
      </x:c>
      <x:c r="D80" t="str">
        <x:f>wimbledons_champions!D169</x:f>
        <x:v>GBR</x:v>
      </x:c>
      <x:c r="E80" t="n">
        <x:f>wimbledons_champions!F169</x:f>
        <x:v>1</x:v>
      </x:c>
      <x:c r="F80" t="n">
        <x:f>wimbledons_champions!G169</x:f>
        <x:v>40</x:v>
      </x:c>
      <x:c r="G80" t="str">
        <x:f>wimbledons_champions!H169</x:f>
        <x:v>6-1, 6-1, 6-0</x:v>
      </x:c>
      <x:c r="H80" t="str">
        <x:f>wimbledons_champions!S169</x:f>
        <x:v>G. von Cramm</x:v>
      </x:c>
      <x:c r="I80" t="str">
        <x:f>wimbledons_champions!T169</x:f>
        <x:v>GER</x:v>
      </x:c>
      <x:c r="J80" t="n">
        <x:f>wimbledons_champions!V169</x:f>
        <x:v>2</x:v>
      </x:c>
    </x:row>
    <x:row r="81">
      <x:c r="A81" t="n">
        <x:f>wimbledons_champions!A171</x:f>
        <x:v>1935</x:v>
      </x:c>
      <x:c r="B81" t="str">
        <x:f>wimbledons_champions!B171</x:f>
        <x:v>Men's</x:v>
      </x:c>
      <x:c r="C81" t="str">
        <x:f>wimbledons_champions!C171</x:f>
        <x:v>F.J. Perry</x:v>
      </x:c>
      <x:c r="D81" t="str">
        <x:f>wimbledons_champions!D171</x:f>
        <x:v>GBR</x:v>
      </x:c>
      <x:c r="E81" t="n">
        <x:f>wimbledons_champions!F171</x:f>
        <x:v>1</x:v>
      </x:c>
      <x:c r="F81" t="n">
        <x:f>wimbledons_champions!G171</x:f>
        <x:v>80</x:v>
      </x:c>
      <x:c r="G81" t="str">
        <x:f>wimbledons_champions!H171</x:f>
        <x:v>6-2, 6-4, 6-4</x:v>
      </x:c>
      <x:c r="H81" t="str">
        <x:f>wimbledons_champions!S171</x:f>
        <x:v>G. von Cramm</x:v>
      </x:c>
      <x:c r="I81" t="str">
        <x:f>wimbledons_champions!T171</x:f>
        <x:v>GER</x:v>
      </x:c>
      <x:c r="J81" t="n">
        <x:f>wimbledons_champions!V171</x:f>
        <x:v>2</x:v>
      </x:c>
    </x:row>
    <x:row r="82">
      <x:c r="A82" t="n">
        <x:f>wimbledons_champions!A173</x:f>
        <x:v>1934</x:v>
      </x:c>
      <x:c r="B82" t="str">
        <x:f>wimbledons_champions!B173</x:f>
        <x:v>Men's</x:v>
      </x:c>
      <x:c r="C82" t="str">
        <x:f>wimbledons_champions!C173</x:f>
        <x:v>F.J. Perry</x:v>
      </x:c>
      <x:c r="D82" t="str">
        <x:f>wimbledons_champions!D173</x:f>
        <x:v>GBR</x:v>
      </x:c>
      <x:c r="E82" t="n">
        <x:f>wimbledons_champions!F173</x:f>
        <x:v>2</x:v>
      </x:c>
      <x:c r="F82" t="n">
        <x:f>wimbledons_champions!G173</x:f>
        <x:v>72</x:v>
      </x:c>
      <x:c r="G82" t="str">
        <x:f>wimbledons_champions!H173</x:f>
        <x:v>6-3, 6-0, 7-5</x:v>
      </x:c>
      <x:c r="H82" t="str">
        <x:f>wimbledons_champions!S173</x:f>
        <x:v>J.H. Crawford</x:v>
      </x:c>
      <x:c r="I82" t="str">
        <x:f>wimbledons_champions!T173</x:f>
        <x:v>AUS</x:v>
      </x:c>
      <x:c r="J82" t="n">
        <x:f>wimbledons_champions!V173</x:f>
        <x:v>1</x:v>
      </x:c>
    </x:row>
    <x:row r="83">
      <x:c r="A83" t="n">
        <x:f>wimbledons_champions!A175</x:f>
        <x:v>1933</x:v>
      </x:c>
      <x:c r="B83" t="str">
        <x:f>wimbledons_champions!B175</x:f>
        <x:v>Men's</x:v>
      </x:c>
      <x:c r="C83" t="str">
        <x:f>wimbledons_champions!C175</x:f>
        <x:v>J.H. Crawford</x:v>
      </x:c>
      <x:c r="D83" t="str">
        <x:f>wimbledons_champions!D175</x:f>
        <x:v>AUS</x:v>
      </x:c>
      <x:c r="E83" t="n">
        <x:f>wimbledons_champions!F175</x:f>
        <x:v>2</x:v>
      </x:c>
      <x:c r="F83" t="n">
        <x:f>wimbledons_champions!G175</x:f>
        <x:v>120</x:v>
      </x:c>
      <x:c r="G83" t="str">
        <x:f>wimbledons_champions!H175</x:f>
        <x:v>4-6, 11-9, 6-2, 2-6, 6-4</x:v>
      </x:c>
      <x:c r="H83" t="str">
        <x:f>wimbledons_champions!S175</x:f>
        <x:v>H.E. Vines</x:v>
      </x:c>
      <x:c r="I83" t="str">
        <x:f>wimbledons_champions!T175</x:f>
        <x:v>USA</x:v>
      </x:c>
      <x:c r="J83" t="n">
        <x:f>wimbledons_champions!V175</x:f>
        <x:v>1</x:v>
      </x:c>
    </x:row>
    <x:row r="84">
      <x:c r="A84" t="n">
        <x:f>wimbledons_champions!A177</x:f>
        <x:v>1932</x:v>
      </x:c>
      <x:c r="B84" t="str">
        <x:f>wimbledons_champions!B177</x:f>
        <x:v>Men's</x:v>
      </x:c>
      <x:c r="C84" t="str">
        <x:f>wimbledons_champions!C177</x:f>
        <x:v>H.E. Vines</x:v>
      </x:c>
      <x:c r="D84" t="str">
        <x:f>wimbledons_champions!D177</x:f>
        <x:v>USA</x:v>
      </x:c>
      <x:c r="E84" t="n">
        <x:f>wimbledons_champions!F177</x:f>
        <x:v>2</x:v>
      </x:c>
      <x:c r="F84" t="n">
        <x:f>wimbledons_champions!G177</x:f>
        <x:v>50</x:v>
      </x:c>
      <x:c r="G84" t="str">
        <x:f>wimbledons_champions!H177</x:f>
        <x:v>6-2, 6-2, 6-0</x:v>
      </x:c>
      <x:c r="H84" t="str">
        <x:f>wimbledons_champions!S177</x:f>
        <x:v>H.W. Austin</x:v>
      </x:c>
      <x:c r="I84" t="str">
        <x:f>wimbledons_champions!T177</x:f>
        <x:v>GBR</x:v>
      </x:c>
      <x:c r="J84" t="n">
        <x:f>wimbledons_champions!V177</x:f>
        <x:v>6</x:v>
      </x:c>
    </x:row>
    <x:row r="85">
      <x:c r="A85" t="n">
        <x:f>wimbledons_champions!A179</x:f>
        <x:v>1931</x:v>
      </x:c>
      <x:c r="B85" t="str">
        <x:f>wimbledons_champions!B179</x:f>
        <x:v>Men's</x:v>
      </x:c>
      <x:c r="C85" t="str">
        <x:f>wimbledons_champions!C179</x:f>
        <x:v>S.B.B. Wood</x:v>
      </x:c>
      <x:c r="D85" t="str">
        <x:f>wimbledons_champions!D179</x:f>
        <x:v>USA</x:v>
      </x:c>
      <x:c r="E85" t="n">
        <x:f>wimbledons_champions!F179</x:f>
        <x:v>7</x:v>
      </x:c>
      <x:c r="F85" t="n">
        <x:f>wimbledons_champions!G179</x:f>
        <x:v>0</x:v>
      </x:c>
      <x:c r="G85" t="str">
        <x:f>wimbledons_champions!H179</x:f>
        <x:v>walk over</x:v>
      </x:c>
      <x:c r="H85" t="str">
        <x:f>wimbledons_champions!S179</x:f>
        <x:v>F.X. Shields</x:v>
      </x:c>
      <x:c r="I85" t="str">
        <x:f>wimbledons_champions!T179</x:f>
        <x:v>USA</x:v>
      </x:c>
      <x:c r="J85" t="n">
        <x:f>wimbledons_champions!V179</x:f>
        <x:v>3</x:v>
      </x:c>
    </x:row>
    <x:row r="86">
      <x:c r="A86" t="n">
        <x:f>wimbledons_champions!A181</x:f>
        <x:v>1930</x:v>
      </x:c>
      <x:c r="B86" t="str">
        <x:f>wimbledons_champions!B181</x:f>
        <x:v>Men's</x:v>
      </x:c>
      <x:c r="C86" t="str">
        <x:f>wimbledons_champions!C181</x:f>
        <x:v>W.T. Tilden</x:v>
      </x:c>
      <x:c r="D86" t="str">
        <x:f>wimbledons_champions!D181</x:f>
        <x:v>USA</x:v>
      </x:c>
      <x:c r="E86" t="n">
        <x:f>wimbledons_champions!F181</x:f>
        <x:v>2</x:v>
      </x:c>
      <x:c r="F86" t="n">
        <x:f>wimbledons_champions!G181</x:f>
        <x:v>70</x:v>
      </x:c>
      <x:c r="G86" t="str">
        <x:f>wimbledons_champions!H181</x:f>
        <x:v>6-3, 9-7, 6-4</x:v>
      </x:c>
      <x:c r="H86" t="str">
        <x:f>wimbledons_champions!S181</x:f>
        <x:v>W.L. Allison</x:v>
      </x:c>
      <x:c r="I86" t="str">
        <x:f>wimbledons_champions!T181</x:f>
        <x:v>USA</x:v>
      </x:c>
      <x:c r="J86" t="str">
        <x:f>wimbledons_champions!V181</x:f>
        <x:v>U</x:v>
      </x:c>
    </x:row>
    <x:row r="87">
      <x:c r="A87" t="n">
        <x:f>wimbledons_champions!A183</x:f>
        <x:v>1929</x:v>
      </x:c>
      <x:c r="B87" t="str">
        <x:f>wimbledons_champions!B183</x:f>
        <x:v>Men's</x:v>
      </x:c>
      <x:c r="C87" t="str">
        <x:f>wimbledons_champions!C183</x:f>
        <x:v>H.J. Cochet</x:v>
      </x:c>
      <x:c r="D87" t="str">
        <x:f>wimbledons_champions!D183</x:f>
        <x:v>FRA</x:v>
      </x:c>
      <x:c r="E87" t="n">
        <x:f>wimbledons_champions!F183</x:f>
        <x:v>1</x:v>
      </x:c>
      <x:c r="F87" t="n">
        <x:f>wimbledons_champions!G183</x:f>
        <x:v>60</x:v>
      </x:c>
      <x:c r="G87" t="str">
        <x:f>wimbledons_champions!H183</x:f>
        <x:v>6-4, 6-3, 6-4</x:v>
      </x:c>
      <x:c r="H87" t="str">
        <x:f>wimbledons_champions!S183</x:f>
        <x:v>J.R. Borotra</x:v>
      </x:c>
      <x:c r="I87" t="str">
        <x:f>wimbledons_champions!T183</x:f>
        <x:v>FRA</x:v>
      </x:c>
      <x:c r="J87" t="n">
        <x:f>wimbledons_champions!V183</x:f>
        <x:v>2</x:v>
      </x:c>
    </x:row>
    <x:row r="88">
      <x:c r="A88" t="n">
        <x:f>wimbledons_champions!A185</x:f>
        <x:v>1928</x:v>
      </x:c>
      <x:c r="B88" t="str">
        <x:f>wimbledons_champions!B185</x:f>
        <x:v>Men's</x:v>
      </x:c>
      <x:c r="C88" t="str">
        <x:f>wimbledons_champions!C185</x:f>
        <x:v>J.R. Lacoste</x:v>
      </x:c>
      <x:c r="D88" t="str">
        <x:f>wimbledons_champions!D185</x:f>
        <x:v>FRA</x:v>
      </x:c>
      <x:c r="E88" t="n">
        <x:f>wimbledons_champions!F185</x:f>
        <x:v>2</x:v>
      </x:c>
      <x:c r="F88" t="n">
        <x:f>wimbledons_champions!G185</x:f>
        <x:v>0</x:v>
      </x:c>
      <x:c r="G88" t="str">
        <x:f>wimbledons_champions!H185</x:f>
        <x:v>6-1, 4-6, 6-4, 6-2</x:v>
      </x:c>
      <x:c r="H88" t="str">
        <x:f>wimbledons_champions!S185</x:f>
        <x:v>H.J. Cochet</x:v>
      </x:c>
      <x:c r="I88" t="str">
        <x:f>wimbledons_champions!T185</x:f>
        <x:v>FRA</x:v>
      </x:c>
      <x:c r="J88" t="n">
        <x:f>wimbledons_champions!V185</x:f>
        <x:v>1</x:v>
      </x:c>
    </x:row>
    <x:row r="89">
      <x:c r="A89" t="n">
        <x:f>wimbledons_champions!A187</x:f>
        <x:v>1927</x:v>
      </x:c>
      <x:c r="B89" t="str">
        <x:f>wimbledons_champions!B187</x:f>
        <x:v>Men's</x:v>
      </x:c>
      <x:c r="C89" t="str">
        <x:f>wimbledons_champions!C187</x:f>
        <x:v>H.J. Cochet</x:v>
      </x:c>
      <x:c r="D89" t="str">
        <x:f>wimbledons_champions!D187</x:f>
        <x:v>FRA</x:v>
      </x:c>
      <x:c r="E89" t="n">
        <x:f>wimbledons_champions!F187</x:f>
        <x:v>4</x:v>
      </x:c>
      <x:c r="F89" t="n">
        <x:f>wimbledons_champions!G187</x:f>
        <x:v>0</x:v>
      </x:c>
      <x:c r="G89" t="str">
        <x:f>wimbledons_champions!H187</x:f>
        <x:v>4-6, 4-6, 6-3, 6-4, 7-5</x:v>
      </x:c>
      <x:c r="H89" t="str">
        <x:f>wimbledons_champions!S187</x:f>
        <x:v>J.R. Borotra</x:v>
      </x:c>
      <x:c r="I89" t="str">
        <x:f>wimbledons_champions!T187</x:f>
        <x:v>FRA</x:v>
      </x:c>
      <x:c r="J89" t="n">
        <x:f>wimbledons_champions!V187</x:f>
        <x:v>3</x:v>
      </x:c>
    </x:row>
    <x:row r="90">
      <x:c r="A90" t="n">
        <x:f>wimbledons_champions!A189</x:f>
        <x:v>1926</x:v>
      </x:c>
      <x:c r="B90" t="str">
        <x:f>wimbledons_champions!B189</x:f>
        <x:v>Men's</x:v>
      </x:c>
      <x:c r="C90" t="str">
        <x:f>wimbledons_champions!C189</x:f>
        <x:v>J.R. Borotra</x:v>
      </x:c>
      <x:c r="D90" t="str">
        <x:f>wimbledons_champions!D189</x:f>
        <x:v>FRA</x:v>
      </x:c>
      <x:c r="E90" t="n">
        <x:f>wimbledons_champions!F189</x:f>
        <x:v>0</x:v>
      </x:c>
      <x:c r="F90" t="n">
        <x:f>wimbledons_champions!G189</x:f>
        <x:v>65</x:v>
      </x:c>
      <x:c r="G90" t="str">
        <x:f>wimbledons_champions!H189</x:f>
        <x:v>8-6, 6-1, 6-3</x:v>
      </x:c>
      <x:c r="H90" t="str">
        <x:f>wimbledons_champions!S189</x:f>
        <x:v>H.O. Kinsey</x:v>
      </x:c>
      <x:c r="I90" t="str">
        <x:f>wimbledons_champions!T189</x:f>
        <x:v>USA</x:v>
      </x:c>
      <x:c r="J90" t="n">
        <x:f>wimbledons_champions!V189</x:f>
        <x:v>0</x:v>
      </x:c>
    </x:row>
    <x:row r="91">
      <x:c r="A91" t="n">
        <x:f>wimbledons_champions!A191</x:f>
        <x:v>1925</x:v>
      </x:c>
      <x:c r="B91" t="str">
        <x:f>wimbledons_champions!B191</x:f>
        <x:v>Men's</x:v>
      </x:c>
      <x:c r="C91" t="str">
        <x:f>wimbledons_champions!C191</x:f>
        <x:v>J.R. Lacoste</x:v>
      </x:c>
      <x:c r="D91" t="str">
        <x:f>wimbledons_champions!D191</x:f>
        <x:v>FRA</x:v>
      </x:c>
      <x:c r="E91" t="n">
        <x:f>wimbledons_champions!F191</x:f>
        <x:v>0</x:v>
      </x:c>
      <x:c r="F91" t="n">
        <x:f>wimbledons_champions!G191</x:f>
        <x:v>0</x:v>
      </x:c>
      <x:c r="G91" t="str">
        <x:f>wimbledons_champions!H191</x:f>
        <x:v>6-3, 6-3, 4-6, 8-6</x:v>
      </x:c>
      <x:c r="H91" t="str">
        <x:f>wimbledons_champions!S191</x:f>
        <x:v>J.R. Borotra</x:v>
      </x:c>
      <x:c r="I91" t="str">
        <x:f>wimbledons_champions!T191</x:f>
        <x:v>FRA</x:v>
      </x:c>
      <x:c r="J91" t="n">
        <x:f>wimbledons_champions!V191</x:f>
        <x:v>0</x:v>
      </x:c>
    </x:row>
    <x:row r="92">
      <x:c r="A92" t="n">
        <x:f>wimbledons_champions!A193</x:f>
        <x:v>1924</x:v>
      </x:c>
      <x:c r="B92" t="str">
        <x:f>wimbledons_champions!B193</x:f>
        <x:v>Men's</x:v>
      </x:c>
      <x:c r="C92" t="str">
        <x:f>wimbledons_champions!C193</x:f>
        <x:v>J.R. Borotra</x:v>
      </x:c>
      <x:c r="D92" t="str">
        <x:f>wimbledons_champions!D193</x:f>
        <x:v>FRA</x:v>
      </x:c>
      <x:c r="E92" t="n">
        <x:f>wimbledons_champions!F193</x:f>
        <x:v>0</x:v>
      </x:c>
      <x:c r="F92" t="n">
        <x:f>wimbledons_champions!G193</x:f>
        <x:v>80</x:v>
      </x:c>
      <x:c r="G92" t="str">
        <x:f>wimbledons_champions!H193</x:f>
        <x:v>6-1, 3-6, 6-1, 3-6, 6-4</x:v>
      </x:c>
      <x:c r="H92" t="str">
        <x:f>wimbledons_champions!S193</x:f>
        <x:v>J.R. Lacoste</x:v>
      </x:c>
      <x:c r="I92" t="str">
        <x:f>wimbledons_champions!T193</x:f>
        <x:v>FRA</x:v>
      </x:c>
      <x:c r="J92" t="n">
        <x:f>wimbledons_champions!V193</x:f>
        <x:v>0</x:v>
      </x:c>
    </x:row>
    <x:row r="93">
      <x:c r="A93" t="n">
        <x:f>wimbledons_champions!A195</x:f>
        <x:v>1923</x:v>
      </x:c>
      <x:c r="B93" t="str">
        <x:f>wimbledons_champions!B195</x:f>
        <x:v>Men's</x:v>
      </x:c>
      <x:c r="C93" t="str">
        <x:f>wimbledons_champions!C195</x:f>
        <x:v>W. M. Johnston</x:v>
      </x:c>
      <x:c r="D93" t="str">
        <x:f>wimbledons_champions!D195</x:f>
        <x:v>USA</x:v>
      </x:c>
      <x:c r="E93" t="n">
        <x:f>wimbledons_champions!F195</x:f>
        <x:v>0</x:v>
      </x:c>
      <x:c r="F93" t="n">
        <x:f>wimbledons_champions!G195</x:f>
        <x:v>46</x:v>
      </x:c>
      <x:c r="G93" t="str">
        <x:f>wimbledons_champions!H195</x:f>
        <x:v>6-0, 6-3, 6-1</x:v>
      </x:c>
      <x:c r="H93" t="str">
        <x:f>wimbledons_champions!S195</x:f>
        <x:v>F.T. Hunter</x:v>
      </x:c>
      <x:c r="I93" t="str">
        <x:f>wimbledons_champions!T195</x:f>
        <x:v>USA</x:v>
      </x:c>
      <x:c r="J93" t="n">
        <x:f>wimbledons_champions!V195</x:f>
        <x:v>0</x:v>
      </x:c>
    </x:row>
    <x:row r="94">
      <x:c r="A94" t="n">
        <x:f>wimbledons_champions!A197</x:f>
        <x:v>1922</x:v>
      </x:c>
      <x:c r="B94" t="str">
        <x:f>wimbledons_champions!B197</x:f>
        <x:v>Men's</x:v>
      </x:c>
      <x:c r="C94" t="str">
        <x:f>wimbledons_champions!C197</x:f>
        <x:v>G.L. Patterson</x:v>
      </x:c>
      <x:c r="D94" t="str">
        <x:f>wimbledons_champions!D197</x:f>
        <x:v>AUS</x:v>
      </x:c>
      <x:c r="E94" t="n">
        <x:f>wimbledons_champions!F197</x:f>
        <x:v>0</x:v>
      </x:c>
      <x:c r="F94" t="n">
        <x:f>wimbledons_champions!G197</x:f>
        <x:v>0</x:v>
      </x:c>
      <x:c r="G94" t="str">
        <x:f>wimbledons_champions!H197</x:f>
        <x:v>6-3, 6-4, 6-2</x:v>
      </x:c>
      <x:c r="H94" t="str">
        <x:f>wimbledons_champions!S197</x:f>
        <x:v>R. Lycett</x:v>
      </x:c>
      <x:c r="I94" t="str">
        <x:f>wimbledons_champions!T197</x:f>
        <x:v>GBR</x:v>
      </x:c>
      <x:c r="J94" t="n">
        <x:f>wimbledons_champions!V197</x:f>
        <x:v>0</x:v>
      </x:c>
    </x:row>
    <x:row r="95">
      <x:c r="A95" t="n">
        <x:f>wimbledons_champions!A199</x:f>
        <x:v>1921</x:v>
      </x:c>
      <x:c r="B95" t="str">
        <x:f>wimbledons_champions!B199</x:f>
        <x:v>Men's</x:v>
      </x:c>
      <x:c r="C95" t="str">
        <x:f>wimbledons_champions!C199</x:f>
        <x:v>W.T. Tilden</x:v>
      </x:c>
      <x:c r="D95" t="str">
        <x:f>wimbledons_champions!D199</x:f>
        <x:v>USA</x:v>
      </x:c>
      <x:c r="E95" t="n">
        <x:f>wimbledons_champions!F199</x:f>
        <x:v>0</x:v>
      </x:c>
      <x:c r="F95" t="n">
        <x:f>wimbledons_champions!G199</x:f>
        <x:v>0</x:v>
      </x:c>
      <x:c r="G95" t="str">
        <x:f>wimbledons_champions!H199</x:f>
        <x:v>4-6, 2-6, 6-1, 6-0, 7-5</x:v>
      </x:c>
      <x:c r="H95" t="str">
        <x:f>wimbledons_champions!S199</x:f>
        <x:v>B.I.C. Norton</x:v>
      </x:c>
      <x:c r="I95" t="str">
        <x:f>wimbledons_champions!T199</x:f>
        <x:v>RSA</x:v>
      </x:c>
      <x:c r="J95" t="n">
        <x:f>wimbledons_champions!V199</x:f>
        <x:v>0</x:v>
      </x:c>
    </x:row>
    <x:row r="96">
      <x:c r="A96" t="n">
        <x:f>wimbledons_champions!A201</x:f>
        <x:v>1920</x:v>
      </x:c>
      <x:c r="B96" t="str">
        <x:f>wimbledons_champions!B201</x:f>
        <x:v>Men's</x:v>
      </x:c>
      <x:c r="C96" t="str">
        <x:f>wimbledons_champions!C201</x:f>
        <x:v>W.T. Tilden</x:v>
      </x:c>
      <x:c r="D96" t="str">
        <x:f>wimbledons_champions!D201</x:f>
        <x:v>USA</x:v>
      </x:c>
      <x:c r="E96" t="n">
        <x:f>wimbledons_champions!F201</x:f>
        <x:v>0</x:v>
      </x:c>
      <x:c r="F96" t="n">
        <x:f>wimbledons_champions!G201</x:f>
        <x:v>0</x:v>
      </x:c>
      <x:c r="G96" t="str">
        <x:f>wimbledons_champions!H201</x:f>
        <x:v>2-6, 6-3, 6-2, 6-4</x:v>
      </x:c>
      <x:c r="H96" t="str">
        <x:f>wimbledons_champions!S201</x:f>
        <x:v>G.L. Patterson</x:v>
      </x:c>
      <x:c r="I96" t="str">
        <x:f>wimbledons_champions!T201</x:f>
        <x:v>AUS</x:v>
      </x:c>
      <x:c r="J96" t="n">
        <x:f>wimbledons_champions!V201</x:f>
        <x:v>0</x:v>
      </x:c>
    </x:row>
    <x:row r="97">
      <x:c r="A97" t="n">
        <x:f>wimbledons_champions!A203</x:f>
        <x:v>1919</x:v>
      </x:c>
      <x:c r="B97" t="str">
        <x:f>wimbledons_champions!B203</x:f>
        <x:v>Men's</x:v>
      </x:c>
      <x:c r="C97" t="str">
        <x:f>wimbledons_champions!C203</x:f>
        <x:v>G.L. Patterson</x:v>
      </x:c>
      <x:c r="D97" t="str">
        <x:f>wimbledons_champions!D203</x:f>
        <x:v>AUS</x:v>
      </x:c>
      <x:c r="E97" t="n">
        <x:f>wimbledons_champions!F203</x:f>
        <x:v>0</x:v>
      </x:c>
      <x:c r="F97" t="n">
        <x:f>wimbledons_champions!G203</x:f>
        <x:v>0</x:v>
      </x:c>
      <x:c r="G97" t="str">
        <x:f>wimbledons_champions!H203</x:f>
        <x:v>6-3, 7-5, 6-2</x:v>
      </x:c>
      <x:c r="H97" t="str">
        <x:f>wimbledons_champions!S203</x:f>
        <x:v>N.E. Brookes</x:v>
      </x:c>
      <x:c r="I97" t="str">
        <x:f>wimbledons_champions!T203</x:f>
        <x:v>AUS</x:v>
      </x:c>
      <x:c r="J97" t="n">
        <x:f>wimbledons_champions!V203</x:f>
        <x:v>0</x:v>
      </x:c>
    </x:row>
    <x:row r="98">
      <x:c r="A98" t="n">
        <x:f>wimbledons_champions!A205</x:f>
        <x:v>1914</x:v>
      </x:c>
      <x:c r="B98" t="str">
        <x:f>wimbledons_champions!B205</x:f>
        <x:v>Men's</x:v>
      </x:c>
      <x:c r="C98" t="str">
        <x:f>wimbledons_champions!C205</x:f>
        <x:v>N.E. Brookes</x:v>
      </x:c>
      <x:c r="D98" t="str">
        <x:f>wimbledons_champions!D205</x:f>
        <x:v>AUS</x:v>
      </x:c>
      <x:c r="E98" t="n">
        <x:f>wimbledons_champions!F205</x:f>
        <x:v>0</x:v>
      </x:c>
      <x:c r="F98" t="n">
        <x:f>wimbledons_champions!G205</x:f>
        <x:v>0</x:v>
      </x:c>
      <x:c r="G98" t="str">
        <x:f>wimbledons_champions!H205</x:f>
        <x:v>6-4, 6-4, 7-5</x:v>
      </x:c>
      <x:c r="H98" t="str">
        <x:f>wimbledons_champions!S205</x:f>
        <x:v>A.F. Wilding</x:v>
      </x:c>
      <x:c r="I98" t="str">
        <x:f>wimbledons_champions!T205</x:f>
        <x:v>NZL</x:v>
      </x:c>
      <x:c r="J98" t="n">
        <x:f>wimbledons_champions!V205</x:f>
        <x:v>0</x:v>
      </x:c>
    </x:row>
    <x:row r="99">
      <x:c r="A99" t="n">
        <x:f>wimbledons_champions!A207</x:f>
        <x:v>1913</x:v>
      </x:c>
      <x:c r="B99" t="str">
        <x:f>wimbledons_champions!B207</x:f>
        <x:v>Men's</x:v>
      </x:c>
      <x:c r="C99" t="str">
        <x:f>wimbledons_champions!C207</x:f>
        <x:v>A.F. Wilding</x:v>
      </x:c>
      <x:c r="D99" t="str">
        <x:f>wimbledons_champions!D207</x:f>
        <x:v>NZL</x:v>
      </x:c>
      <x:c r="E99" t="n">
        <x:f>wimbledons_champions!F207</x:f>
        <x:v>0</x:v>
      </x:c>
      <x:c r="F99" t="n">
        <x:f>wimbledons_champions!G207</x:f>
        <x:v>0</x:v>
      </x:c>
      <x:c r="G99" t="str">
        <x:f>wimbledons_champions!H207</x:f>
        <x:v>8-6, 6-3, 10-8</x:v>
      </x:c>
      <x:c r="H99" t="str">
        <x:f>wimbledons_champions!S207</x:f>
        <x:v>M.E. McLoughlin</x:v>
      </x:c>
      <x:c r="I99" t="str">
        <x:f>wimbledons_champions!T207</x:f>
        <x:v>USA</x:v>
      </x:c>
      <x:c r="J99" t="n">
        <x:f>wimbledons_champions!V207</x:f>
        <x:v>0</x:v>
      </x:c>
    </x:row>
    <x:row r="100">
      <x:c r="A100" t="n">
        <x:f>wimbledons_champions!A209</x:f>
        <x:v>1912</x:v>
      </x:c>
      <x:c r="B100" t="str">
        <x:f>wimbledons_champions!B209</x:f>
        <x:v>Men's</x:v>
      </x:c>
      <x:c r="C100" t="str">
        <x:f>wimbledons_champions!C209</x:f>
        <x:v>A.F. Wilding</x:v>
      </x:c>
      <x:c r="D100" t="str">
        <x:f>wimbledons_champions!D209</x:f>
        <x:v>NZL</x:v>
      </x:c>
      <x:c r="E100" t="n">
        <x:f>wimbledons_champions!F209</x:f>
        <x:v>0</x:v>
      </x:c>
      <x:c r="F100" t="n">
        <x:f>wimbledons_champions!G209</x:f>
        <x:v>0</x:v>
      </x:c>
      <x:c r="G100" t="str">
        <x:f>wimbledons_champions!H209</x:f>
        <x:v>6-4, 6-4, 4-6, 6-4</x:v>
      </x:c>
      <x:c r="H100" t="str">
        <x:f>wimbledons_champions!S209</x:f>
        <x:v>A.W. Gore</x:v>
      </x:c>
      <x:c r="I100" t="str">
        <x:f>wimbledons_champions!T209</x:f>
        <x:v>GBR</x:v>
      </x:c>
      <x:c r="J100" t="n">
        <x:f>wimbledons_champions!V209</x:f>
        <x:v>0</x:v>
      </x:c>
    </x:row>
    <x:row r="101">
      <x:c r="A101" t="n">
        <x:f>wimbledons_champions!A211</x:f>
        <x:v>1911</x:v>
      </x:c>
      <x:c r="B101" t="str">
        <x:f>wimbledons_champions!B211</x:f>
        <x:v>Men's</x:v>
      </x:c>
      <x:c r="C101" t="str">
        <x:f>wimbledons_champions!C211</x:f>
        <x:v>A.F. Wilding</x:v>
      </x:c>
      <x:c r="D101" t="str">
        <x:f>wimbledons_champions!D211</x:f>
        <x:v>NZL</x:v>
      </x:c>
      <x:c r="E101" t="n">
        <x:f>wimbledons_champions!F211</x:f>
        <x:v>0</x:v>
      </x:c>
      <x:c r="F101" t="n">
        <x:f>wimbledons_champions!G211</x:f>
        <x:v>0</x:v>
      </x:c>
      <x:c r="G101" t="str">
        <x:f>wimbledons_champions!H211</x:f>
        <x:v>6-4, 4-6, 2-6, 6-2, retd</x:v>
      </x:c>
      <x:c r="H101" t="str">
        <x:f>wimbledons_champions!S211</x:f>
        <x:v>H.R. Barrett</x:v>
      </x:c>
      <x:c r="I101" t="str">
        <x:f>wimbledons_champions!T211</x:f>
        <x:v>GBR</x:v>
      </x:c>
      <x:c r="J101" t="n">
        <x:f>wimbledons_champions!V211</x:f>
        <x:v>0</x:v>
      </x:c>
    </x:row>
    <x:row r="102">
      <x:c r="A102" t="n">
        <x:f>wimbledons_champions!A213</x:f>
        <x:v>1910</x:v>
      </x:c>
      <x:c r="B102" t="str">
        <x:f>wimbledons_champions!B213</x:f>
        <x:v>Men's</x:v>
      </x:c>
      <x:c r="C102" t="str">
        <x:f>wimbledons_champions!C213</x:f>
        <x:v>A.F. Wilding</x:v>
      </x:c>
      <x:c r="D102" t="str">
        <x:f>wimbledons_champions!D213</x:f>
        <x:v>NZL</x:v>
      </x:c>
      <x:c r="E102" t="n">
        <x:f>wimbledons_champions!F213</x:f>
        <x:v>0</x:v>
      </x:c>
      <x:c r="F102" t="n">
        <x:f>wimbledons_champions!G213</x:f>
        <x:v>0</x:v>
      </x:c>
      <x:c r="G102" t="str">
        <x:f>wimbledons_champions!H213</x:f>
        <x:v>6-4, 7-5, 4-6, 6-2</x:v>
      </x:c>
      <x:c r="H102" t="str">
        <x:f>wimbledons_champions!S213</x:f>
        <x:v>A.W. Gore</x:v>
      </x:c>
      <x:c r="I102" t="str">
        <x:f>wimbledons_champions!T213</x:f>
        <x:v>GBR</x:v>
      </x:c>
      <x:c r="J102" t="n">
        <x:f>wimbledons_champions!V213</x:f>
        <x:v>0</x:v>
      </x:c>
    </x:row>
    <x:row r="103">
      <x:c r="A103" t="n">
        <x:f>wimbledons_champions!A215</x:f>
        <x:v>1909</x:v>
      </x:c>
      <x:c r="B103" t="str">
        <x:f>wimbledons_champions!B215</x:f>
        <x:v>Men's</x:v>
      </x:c>
      <x:c r="C103" t="str">
        <x:f>wimbledons_champions!C215</x:f>
        <x:v>A.W. Gore</x:v>
      </x:c>
      <x:c r="D103" t="str">
        <x:f>wimbledons_champions!D215</x:f>
        <x:v>GBR</x:v>
      </x:c>
      <x:c r="E103" t="n">
        <x:f>wimbledons_champions!F215</x:f>
        <x:v>0</x:v>
      </x:c>
      <x:c r="F103" t="n">
        <x:f>wimbledons_champions!G215</x:f>
        <x:v>95</x:v>
      </x:c>
      <x:c r="G103" t="str">
        <x:f>wimbledons_champions!H215</x:f>
        <x:v>6-8, 1-6, 6-2, 6-2, 6-2</x:v>
      </x:c>
      <x:c r="H103" t="str">
        <x:f>wimbledons_champions!S215</x:f>
        <x:v>M.J.G. Ritchie</x:v>
      </x:c>
      <x:c r="I103" t="str">
        <x:f>wimbledons_champions!T215</x:f>
        <x:v>GBR</x:v>
      </x:c>
      <x:c r="J103" t="n">
        <x:f>wimbledons_champions!V215</x:f>
        <x:v>0</x:v>
      </x:c>
    </x:row>
    <x:row r="104">
      <x:c r="A104" t="n">
        <x:f>wimbledons_champions!A217</x:f>
        <x:v>1908</x:v>
      </x:c>
      <x:c r="B104" t="str">
        <x:f>wimbledons_champions!B217</x:f>
        <x:v>Men's</x:v>
      </x:c>
      <x:c r="C104" t="str">
        <x:f>wimbledons_champions!C217</x:f>
        <x:v>A.W. Gore</x:v>
      </x:c>
      <x:c r="D104" t="str">
        <x:f>wimbledons_champions!D217</x:f>
        <x:v>GBR</x:v>
      </x:c>
      <x:c r="E104" t="n">
        <x:f>wimbledons_champions!F217</x:f>
        <x:v>0</x:v>
      </x:c>
      <x:c r="F104" t="n">
        <x:f>wimbledons_champions!G217</x:f>
        <x:v>0</x:v>
      </x:c>
      <x:c r="G104" t="str">
        <x:f>wimbledons_champions!H217</x:f>
        <x:v>6-3, 6-2, 4-6, 3-6, 6-4</x:v>
      </x:c>
      <x:c r="H104" t="str">
        <x:f>wimbledons_champions!S217</x:f>
        <x:v>H.R. Barrett</x:v>
      </x:c>
      <x:c r="I104" t="str">
        <x:f>wimbledons_champions!T217</x:f>
        <x:v>GBR</x:v>
      </x:c>
      <x:c r="J104" t="n">
        <x:f>wimbledons_champions!V217</x:f>
        <x:v>0</x:v>
      </x:c>
    </x:row>
    <x:row r="105">
      <x:c r="A105" t="n">
        <x:f>wimbledons_champions!A219</x:f>
        <x:v>1907</x:v>
      </x:c>
      <x:c r="B105" t="str">
        <x:f>wimbledons_champions!B219</x:f>
        <x:v>Men's</x:v>
      </x:c>
      <x:c r="C105" t="str">
        <x:f>wimbledons_champions!C219</x:f>
        <x:v>N.E. Brookes</x:v>
      </x:c>
      <x:c r="D105" t="str">
        <x:f>wimbledons_champions!D219</x:f>
        <x:v>AUS</x:v>
      </x:c>
      <x:c r="E105" t="n">
        <x:f>wimbledons_champions!F219</x:f>
        <x:v>0</x:v>
      </x:c>
      <x:c r="F105" t="n">
        <x:f>wimbledons_champions!G219</x:f>
        <x:v>0</x:v>
      </x:c>
      <x:c r="G105" t="str">
        <x:f>wimbledons_champions!H219</x:f>
        <x:v>6-4, 6-2, 6-2</x:v>
      </x:c>
      <x:c r="H105" t="str">
        <x:f>wimbledons_champions!S219</x:f>
        <x:v>A.W. Gore</x:v>
      </x:c>
      <x:c r="I105" t="str">
        <x:f>wimbledons_champions!T219</x:f>
        <x:v>GBR</x:v>
      </x:c>
      <x:c r="J105" t="n">
        <x:f>wimbledons_champions!V219</x:f>
        <x:v>0</x:v>
      </x:c>
    </x:row>
    <x:row r="106">
      <x:c r="A106" t="n">
        <x:f>wimbledons_champions!A221</x:f>
        <x:v>1906</x:v>
      </x:c>
      <x:c r="B106" t="str">
        <x:f>wimbledons_champions!B221</x:f>
        <x:v>Men's</x:v>
      </x:c>
      <x:c r="C106" t="str">
        <x:f>wimbledons_champions!C221</x:f>
        <x:v>H.L. Doherty</x:v>
      </x:c>
      <x:c r="D106" t="str">
        <x:f>wimbledons_champions!D221</x:f>
        <x:v>GBR</x:v>
      </x:c>
      <x:c r="E106" t="n">
        <x:f>wimbledons_champions!F221</x:f>
        <x:v>0</x:v>
      </x:c>
      <x:c r="F106" t="n">
        <x:f>wimbledons_champions!G221</x:f>
        <x:v>74</x:v>
      </x:c>
      <x:c r="G106" t="str">
        <x:f>wimbledons_champions!H221</x:f>
        <x:v>6-4, 4-6, 6-2, 6-3</x:v>
      </x:c>
      <x:c r="H106" t="str">
        <x:f>wimbledons_champions!S221</x:f>
        <x:v>F.L. Riseley</x:v>
      </x:c>
      <x:c r="I106" t="str">
        <x:f>wimbledons_champions!T221</x:f>
        <x:v>GBR</x:v>
      </x:c>
      <x:c r="J106" t="n">
        <x:f>wimbledons_champions!V221</x:f>
        <x:v>0</x:v>
      </x:c>
    </x:row>
    <x:row r="107">
      <x:c r="A107" t="n">
        <x:f>wimbledons_champions!A223</x:f>
        <x:v>1905</x:v>
      </x:c>
      <x:c r="B107" t="str">
        <x:f>wimbledons_champions!B223</x:f>
        <x:v>Men's</x:v>
      </x:c>
      <x:c r="C107" t="str">
        <x:f>wimbledons_champions!C223</x:f>
        <x:v>H.L. Doherty</x:v>
      </x:c>
      <x:c r="D107" t="str">
        <x:f>wimbledons_champions!D223</x:f>
        <x:v>GBR</x:v>
      </x:c>
      <x:c r="E107" t="n">
        <x:f>wimbledons_champions!F223</x:f>
        <x:v>0</x:v>
      </x:c>
      <x:c r="F107" t="n">
        <x:f>wimbledons_champions!G223</x:f>
        <x:v>65</x:v>
      </x:c>
      <x:c r="G107" t="str">
        <x:f>wimbledons_champions!H223</x:f>
        <x:v>8-6, 6-2, 6-4</x:v>
      </x:c>
      <x:c r="H107" t="str">
        <x:f>wimbledons_champions!S223</x:f>
        <x:v>N.E. Brookes</x:v>
      </x:c>
      <x:c r="I107" t="str">
        <x:f>wimbledons_champions!T223</x:f>
        <x:v>AUS</x:v>
      </x:c>
      <x:c r="J107" t="n">
        <x:f>wimbledons_champions!V223</x:f>
        <x:v>0</x:v>
      </x:c>
    </x:row>
    <x:row r="108">
      <x:c r="A108" t="n">
        <x:f>wimbledons_champions!A225</x:f>
        <x:v>1904</x:v>
      </x:c>
      <x:c r="B108" t="str">
        <x:f>wimbledons_champions!B225</x:f>
        <x:v>Men's</x:v>
      </x:c>
      <x:c r="C108" t="str">
        <x:f>wimbledons_champions!C225</x:f>
        <x:v>H.L. Doherty</x:v>
      </x:c>
      <x:c r="D108" t="str">
        <x:f>wimbledons_champions!D225</x:f>
        <x:v>GBR</x:v>
      </x:c>
      <x:c r="E108" t="n">
        <x:f>wimbledons_champions!F225</x:f>
        <x:v>0</x:v>
      </x:c>
      <x:c r="F108" t="n">
        <x:f>wimbledons_champions!G225</x:f>
        <x:v>0</x:v>
      </x:c>
      <x:c r="G108" t="str">
        <x:f>wimbledons_champions!H225</x:f>
        <x:v>6-1, 7-5, 8-6</x:v>
      </x:c>
      <x:c r="H108" t="str">
        <x:f>wimbledons_champions!S225</x:f>
        <x:v>F.L. Riseley</x:v>
      </x:c>
      <x:c r="I108" t="str">
        <x:f>wimbledons_champions!T225</x:f>
        <x:v>GBR</x:v>
      </x:c>
      <x:c r="J108" t="n">
        <x:f>wimbledons_champions!V225</x:f>
        <x:v>0</x:v>
      </x:c>
    </x:row>
    <x:row r="109">
      <x:c r="A109" t="n">
        <x:f>wimbledons_champions!A227</x:f>
        <x:v>1903</x:v>
      </x:c>
      <x:c r="B109" t="str">
        <x:f>wimbledons_champions!B227</x:f>
        <x:v>Men's</x:v>
      </x:c>
      <x:c r="C109" t="str">
        <x:f>wimbledons_champions!C227</x:f>
        <x:v>H.L. Doherty</x:v>
      </x:c>
      <x:c r="D109" t="str">
        <x:f>wimbledons_champions!D227</x:f>
        <x:v>GBR</x:v>
      </x:c>
      <x:c r="E109" t="n">
        <x:f>wimbledons_champions!F227</x:f>
        <x:v>0</x:v>
      </x:c>
      <x:c r="F109" t="n">
        <x:f>wimbledons_champions!G227</x:f>
        <x:v>0</x:v>
      </x:c>
      <x:c r="G109" t="str">
        <x:f>wimbledons_champions!H227</x:f>
        <x:v>7-5, 6-3, 6-0</x:v>
      </x:c>
      <x:c r="H109" t="str">
        <x:f>wimbledons_champions!S227</x:f>
        <x:v>F.L. Riseley</x:v>
      </x:c>
      <x:c r="I109" t="str">
        <x:f>wimbledons_champions!T227</x:f>
        <x:v>GBR</x:v>
      </x:c>
      <x:c r="J109" t="n">
        <x:f>wimbledons_champions!V227</x:f>
        <x:v>0</x:v>
      </x:c>
    </x:row>
    <x:row r="110">
      <x:c r="A110" t="n">
        <x:f>wimbledons_champions!A229</x:f>
        <x:v>1902</x:v>
      </x:c>
      <x:c r="B110" t="str">
        <x:f>wimbledons_champions!B229</x:f>
        <x:v>Men's</x:v>
      </x:c>
      <x:c r="C110" t="str">
        <x:f>wimbledons_champions!C229</x:f>
        <x:v>H.L. Doherty</x:v>
      </x:c>
      <x:c r="D110" t="str">
        <x:f>wimbledons_champions!D229</x:f>
        <x:v>GBR</x:v>
      </x:c>
      <x:c r="E110" t="n">
        <x:f>wimbledons_champions!F229</x:f>
        <x:v>0</x:v>
      </x:c>
      <x:c r="F110" t="n">
        <x:f>wimbledons_champions!G229</x:f>
        <x:v>84</x:v>
      </x:c>
      <x:c r="G110" t="str">
        <x:f>wimbledons_champions!H229</x:f>
        <x:v>6-4, 6-3, 3-6, 6-0</x:v>
      </x:c>
      <x:c r="H110" t="str">
        <x:f>wimbledons_champions!S229</x:f>
        <x:v>A.W. Gore</x:v>
      </x:c>
      <x:c r="I110" t="str">
        <x:f>wimbledons_champions!T229</x:f>
        <x:v>GBR</x:v>
      </x:c>
      <x:c r="J110" t="n">
        <x:f>wimbledons_champions!V229</x:f>
        <x:v>0</x:v>
      </x:c>
    </x:row>
    <x:row r="111">
      <x:c r="A111" t="n">
        <x:f>wimbledons_champions!A231</x:f>
        <x:v>1901</x:v>
      </x:c>
      <x:c r="B111" t="str">
        <x:f>wimbledons_champions!B231</x:f>
        <x:v>Men's</x:v>
      </x:c>
      <x:c r="C111" t="str">
        <x:f>wimbledons_champions!C231</x:f>
        <x:v>A.W. Gore</x:v>
      </x:c>
      <x:c r="D111" t="str">
        <x:f>wimbledons_champions!D231</x:f>
        <x:v>GBR</x:v>
      </x:c>
      <x:c r="E111" t="n">
        <x:f>wimbledons_champions!F231</x:f>
        <x:v>0</x:v>
      </x:c>
      <x:c r="F111" t="n">
        <x:f>wimbledons_champions!G231</x:f>
        <x:v>95</x:v>
      </x:c>
      <x:c r="G111" t="str">
        <x:f>wimbledons_champions!H231</x:f>
        <x:v>4-6, 7-5, 6-4, 6-4</x:v>
      </x:c>
      <x:c r="H111" t="str">
        <x:f>wimbledons_champions!S231</x:f>
        <x:v>R.F. Doherty</x:v>
      </x:c>
      <x:c r="I111" t="str">
        <x:f>wimbledons_champions!T231</x:f>
        <x:v>GBR</x:v>
      </x:c>
      <x:c r="J111" t="n">
        <x:f>wimbledons_champions!V231</x:f>
        <x:v>0</x:v>
      </x:c>
    </x:row>
    <x:row r="112">
      <x:c r="A112" t="n">
        <x:f>wimbledons_champions!A233</x:f>
        <x:v>1900</x:v>
      </x:c>
      <x:c r="B112" t="str">
        <x:f>wimbledons_champions!B233</x:f>
        <x:v>Men's</x:v>
      </x:c>
      <x:c r="C112" t="str">
        <x:f>wimbledons_champions!C233</x:f>
        <x:v>R.F. Doherty</x:v>
      </x:c>
      <x:c r="D112" t="str">
        <x:f>wimbledons_champions!D233</x:f>
        <x:v>GBR</x:v>
      </x:c>
      <x:c r="E112" t="n">
        <x:f>wimbledons_champions!F233</x:f>
        <x:v>0</x:v>
      </x:c>
      <x:c r="F112" t="n">
        <x:f>wimbledons_champions!G233</x:f>
        <x:v>0</x:v>
      </x:c>
      <x:c r="G112" t="str">
        <x:f>wimbledons_champions!H233</x:f>
        <x:v>6-8, 6-3, 6-1, 6-2</x:v>
      </x:c>
      <x:c r="H112" t="str">
        <x:f>wimbledons_champions!S233</x:f>
        <x:v>S.H. Smith</x:v>
      </x:c>
      <x:c r="I112" t="str">
        <x:f>wimbledons_champions!T233</x:f>
        <x:v>GBR</x:v>
      </x:c>
      <x:c r="J112" t="n">
        <x:f>wimbledons_champions!V233</x:f>
        <x:v>0</x:v>
      </x:c>
    </x:row>
    <x:row r="113">
      <x:c r="A113" t="n">
        <x:f>wimbledons_champions!A235</x:f>
        <x:v>1899</x:v>
      </x:c>
      <x:c r="B113" t="str">
        <x:f>wimbledons_champions!B235</x:f>
        <x:v>Men's</x:v>
      </x:c>
      <x:c r="C113" t="str">
        <x:f>wimbledons_champions!C235</x:f>
        <x:v>R.F. Doherty</x:v>
      </x:c>
      <x:c r="D113" t="str">
        <x:f>wimbledons_champions!D235</x:f>
        <x:v>GBR</x:v>
      </x:c>
      <x:c r="E113" t="n">
        <x:f>wimbledons_champions!F235</x:f>
        <x:v>0</x:v>
      </x:c>
      <x:c r="F113" t="n">
        <x:f>wimbledons_champions!G235</x:f>
        <x:v>0</x:v>
      </x:c>
      <x:c r="G113" t="str">
        <x:f>wimbledons_champions!H235</x:f>
        <x:v>1-6, 4-6, 6-3, 6-3, 6-3</x:v>
      </x:c>
      <x:c r="H113" t="str">
        <x:f>wimbledons_champions!S235</x:f>
        <x:v>A.W. Gore</x:v>
      </x:c>
      <x:c r="I113" t="str">
        <x:f>wimbledons_champions!T235</x:f>
        <x:v>GBR</x:v>
      </x:c>
      <x:c r="J113" t="n">
        <x:f>wimbledons_champions!V235</x:f>
        <x:v>0</x:v>
      </x:c>
    </x:row>
    <x:row r="114">
      <x:c r="A114" t="n">
        <x:f>wimbledons_champions!A237</x:f>
        <x:v>1898</x:v>
      </x:c>
      <x:c r="B114" t="str">
        <x:f>wimbledons_champions!B237</x:f>
        <x:v>Men's</x:v>
      </x:c>
      <x:c r="C114" t="str">
        <x:f>wimbledons_champions!C237</x:f>
        <x:v>R.F. Doherty</x:v>
      </x:c>
      <x:c r="D114" t="str">
        <x:f>wimbledons_champions!D237</x:f>
        <x:v>GBR</x:v>
      </x:c>
      <x:c r="E114" t="n">
        <x:f>wimbledons_champions!F237</x:f>
        <x:v>0</x:v>
      </x:c>
      <x:c r="F114" t="n">
        <x:f>wimbledons_champions!G237</x:f>
        <x:v>55</x:v>
      </x:c>
      <x:c r="G114" t="str">
        <x:f>wimbledons_champions!H237</x:f>
        <x:v>6-3, 6-3, 2-6, 5-7, 6-1</x:v>
      </x:c>
      <x:c r="H114" t="str">
        <x:f>wimbledons_champions!S237</x:f>
        <x:v>H.L. Doherty</x:v>
      </x:c>
      <x:c r="I114" t="str">
        <x:f>wimbledons_champions!T237</x:f>
        <x:v>GBR</x:v>
      </x:c>
      <x:c r="J114" t="n">
        <x:f>wimbledons_champions!V237</x:f>
        <x:v>0</x:v>
      </x:c>
    </x:row>
    <x:row r="115">
      <x:c r="A115" t="n">
        <x:f>wimbledons_champions!A239</x:f>
        <x:v>1897</x:v>
      </x:c>
      <x:c r="B115" t="str">
        <x:f>wimbledons_champions!B239</x:f>
        <x:v>Men's</x:v>
      </x:c>
      <x:c r="C115" t="str">
        <x:f>wimbledons_champions!C239</x:f>
        <x:v>R.F. Doherty</x:v>
      </x:c>
      <x:c r="D115" t="str">
        <x:f>wimbledons_champions!D239</x:f>
        <x:v>GBR</x:v>
      </x:c>
      <x:c r="E115" t="n">
        <x:f>wimbledons_champions!F239</x:f>
        <x:v>0</x:v>
      </x:c>
      <x:c r="F115" t="n">
        <x:f>wimbledons_champions!G239</x:f>
        <x:v>67</x:v>
      </x:c>
      <x:c r="G115" t="str">
        <x:f>wimbledons_champions!H239</x:f>
        <x:v>6-4, 6-4, 6-3</x:v>
      </x:c>
      <x:c r="H115" t="str">
        <x:f>wimbledons_champions!S239</x:f>
        <x:v>H.S. Mahony</x:v>
      </x:c>
      <x:c r="I115" t="str">
        <x:f>wimbledons_champions!T239</x:f>
        <x:v>GBR</x:v>
      </x:c>
      <x:c r="J115" t="n">
        <x:f>wimbledons_champions!V239</x:f>
        <x:v>0</x:v>
      </x:c>
    </x:row>
    <x:row r="116">
      <x:c r="A116" t="n">
        <x:f>wimbledons_champions!A241</x:f>
        <x:v>1896</x:v>
      </x:c>
      <x:c r="B116" t="str">
        <x:f>wimbledons_champions!B241</x:f>
        <x:v>Men's</x:v>
      </x:c>
      <x:c r="C116" t="str">
        <x:f>wimbledons_champions!C241</x:f>
        <x:v>H.S. Mahony</x:v>
      </x:c>
      <x:c r="D116" t="str">
        <x:f>wimbledons_champions!D241</x:f>
        <x:v>GBR</x:v>
      </x:c>
      <x:c r="E116" t="n">
        <x:f>wimbledons_champions!F241</x:f>
        <x:v>0</x:v>
      </x:c>
      <x:c r="F116" t="n">
        <x:f>wimbledons_champions!G241</x:f>
        <x:v>120</x:v>
      </x:c>
      <x:c r="G116" t="str">
        <x:f>wimbledons_champions!H241</x:f>
        <x:v>6-2, 6-8, 5-7, 8-6, 6-3</x:v>
      </x:c>
      <x:c r="H116" t="str">
        <x:f>wimbledons_champions!S241</x:f>
        <x:v>W. Baddeley</x:v>
      </x:c>
      <x:c r="I116" t="str">
        <x:f>wimbledons_champions!T241</x:f>
        <x:v>GBR</x:v>
      </x:c>
      <x:c r="J116" t="n">
        <x:f>wimbledons_champions!V241</x:f>
        <x:v>0</x:v>
      </x:c>
    </x:row>
    <x:row r="117">
      <x:c r="A117" t="n">
        <x:f>wimbledons_champions!A243</x:f>
        <x:v>1895</x:v>
      </x:c>
      <x:c r="B117" t="str">
        <x:f>wimbledons_champions!B243</x:f>
        <x:v>Men's</x:v>
      </x:c>
      <x:c r="C117" t="str">
        <x:f>wimbledons_champions!C243</x:f>
        <x:v>W. Baddeley</x:v>
      </x:c>
      <x:c r="D117" t="str">
        <x:f>wimbledons_champions!D243</x:f>
        <x:v>GBR</x:v>
      </x:c>
      <x:c r="E117" t="n">
        <x:f>wimbledons_champions!F243</x:f>
        <x:v>0</x:v>
      </x:c>
      <x:c r="F117" t="n">
        <x:f>wimbledons_champions!G243</x:f>
        <x:v>95</x:v>
      </x:c>
      <x:c r="G117" t="str">
        <x:f>wimbledons_champions!H243</x:f>
        <x:v>4-6, 2-6, 8-6, 6-2, 6-3</x:v>
      </x:c>
      <x:c r="H117" t="str">
        <x:f>wimbledons_champions!S243</x:f>
        <x:v>W.V. Eaves</x:v>
      </x:c>
      <x:c r="I117" t="str">
        <x:f>wimbledons_champions!T243</x:f>
        <x:v>GBR</x:v>
      </x:c>
      <x:c r="J117" t="n">
        <x:f>wimbledons_champions!V243</x:f>
        <x:v>0</x:v>
      </x:c>
    </x:row>
    <x:row r="118">
      <x:c r="A118" t="n">
        <x:f>wimbledons_champions!A245</x:f>
        <x:v>1894</x:v>
      </x:c>
      <x:c r="B118" t="str">
        <x:f>wimbledons_champions!B245</x:f>
        <x:v>Men's</x:v>
      </x:c>
      <x:c r="C118" t="str">
        <x:f>wimbledons_champions!C245</x:f>
        <x:v>J. Pim</x:v>
      </x:c>
      <x:c r="D118" t="str">
        <x:f>wimbledons_champions!D245</x:f>
        <x:v>GBR</x:v>
      </x:c>
      <x:c r="E118" t="n">
        <x:f>wimbledons_champions!F245</x:f>
        <x:v>0</x:v>
      </x:c>
      <x:c r="F118" t="n">
        <x:f>wimbledons_champions!G245</x:f>
        <x:v>117</x:v>
      </x:c>
      <x:c r="G118" t="str">
        <x:f>wimbledons_champions!H245</x:f>
        <x:v>10-8, 6-2, 8-6</x:v>
      </x:c>
      <x:c r="H118" t="str">
        <x:f>wimbledons_champions!S245</x:f>
        <x:v>W. Baddeley</x:v>
      </x:c>
      <x:c r="I118" t="str">
        <x:f>wimbledons_champions!T245</x:f>
        <x:v>GBR</x:v>
      </x:c>
      <x:c r="J118" t="n">
        <x:f>wimbledons_champions!V245</x:f>
        <x:v>0</x:v>
      </x:c>
    </x:row>
    <x:row r="119">
      <x:c r="A119" t="n">
        <x:f>wimbledons_champions!A247</x:f>
        <x:v>1893</x:v>
      </x:c>
      <x:c r="B119" t="str">
        <x:f>wimbledons_champions!B247</x:f>
        <x:v>Men's</x:v>
      </x:c>
      <x:c r="C119" t="str">
        <x:f>wimbledons_champions!C247</x:f>
        <x:v>J. Pim</x:v>
      </x:c>
      <x:c r="D119" t="str">
        <x:f>wimbledons_champions!D247</x:f>
        <x:v>GBR</x:v>
      </x:c>
      <x:c r="E119" t="n">
        <x:f>wimbledons_champions!F247</x:f>
        <x:v>0</x:v>
      </x:c>
      <x:c r="F119" t="n">
        <x:f>wimbledons_champions!G247</x:f>
        <x:v>65</x:v>
      </x:c>
      <x:c r="G119" t="str">
        <x:f>wimbledons_champions!H247</x:f>
        <x:v>3-6, 6-1, 6-3, 6-2</x:v>
      </x:c>
      <x:c r="H119" t="str">
        <x:f>wimbledons_champions!S247</x:f>
        <x:v>W. Baddeley</x:v>
      </x:c>
      <x:c r="I119" t="str">
        <x:f>wimbledons_champions!T247</x:f>
        <x:v>GBR</x:v>
      </x:c>
      <x:c r="J119" t="n">
        <x:f>wimbledons_champions!V247</x:f>
        <x:v>0</x:v>
      </x:c>
    </x:row>
    <x:row r="120">
      <x:c r="A120" t="n">
        <x:f>wimbledons_champions!A249</x:f>
        <x:v>1892</x:v>
      </x:c>
      <x:c r="B120" t="str">
        <x:f>wimbledons_champions!B249</x:f>
        <x:v>Men's</x:v>
      </x:c>
      <x:c r="C120" t="str">
        <x:f>wimbledons_champions!C249</x:f>
        <x:v>W. Baddeley</x:v>
      </x:c>
      <x:c r="D120" t="str">
        <x:f>wimbledons_champions!D249</x:f>
        <x:v>GBR</x:v>
      </x:c>
      <x:c r="E120" t="n">
        <x:f>wimbledons_champions!F249</x:f>
        <x:v>0</x:v>
      </x:c>
      <x:c r="F120" t="n">
        <x:f>wimbledons_champions!G249</x:f>
        <x:v>75</x:v>
      </x:c>
      <x:c r="G120" t="str">
        <x:f>wimbledons_champions!H249</x:f>
        <x:v>4-6, 6-3, 6-3, 6-2</x:v>
      </x:c>
      <x:c r="H120" t="str">
        <x:f>wimbledons_champions!S249</x:f>
        <x:v>J. Pim</x:v>
      </x:c>
      <x:c r="I120" t="str">
        <x:f>wimbledons_champions!T249</x:f>
        <x:v>GBR</x:v>
      </x:c>
      <x:c r="J120" t="n">
        <x:f>wimbledons_champions!V249</x:f>
        <x:v>0</x:v>
      </x:c>
    </x:row>
    <x:row r="121">
      <x:c r="A121" t="n">
        <x:f>wimbledons_champions!A251</x:f>
        <x:v>1891</x:v>
      </x:c>
      <x:c r="B121" t="str">
        <x:f>wimbledons_champions!B251</x:f>
        <x:v>Men's</x:v>
      </x:c>
      <x:c r="C121" t="str">
        <x:f>wimbledons_champions!C251</x:f>
        <x:v>W. Baddeley</x:v>
      </x:c>
      <x:c r="D121" t="str">
        <x:f>wimbledons_champions!D251</x:f>
        <x:v>GBR</x:v>
      </x:c>
      <x:c r="E121" t="n">
        <x:f>wimbledons_champions!F251</x:f>
        <x:v>0</x:v>
      </x:c>
      <x:c r="F121" t="n">
        <x:f>wimbledons_champions!G251</x:f>
        <x:v>0</x:v>
      </x:c>
      <x:c r="G121" t="str">
        <x:f>wimbledons_champions!H251</x:f>
        <x:v>6-4, 1-6, 7-5, 6-0</x:v>
      </x:c>
      <x:c r="H121" t="str">
        <x:f>wimbledons_champions!S251</x:f>
        <x:v>J. Pim</x:v>
      </x:c>
      <x:c r="I121" t="str">
        <x:f>wimbledons_champions!T251</x:f>
        <x:v>GBR</x:v>
      </x:c>
      <x:c r="J121" t="n">
        <x:f>wimbledons_champions!V251</x:f>
        <x:v>0</x:v>
      </x:c>
    </x:row>
    <x:row r="122">
      <x:c r="A122" t="n">
        <x:f>wimbledons_champions!A253</x:f>
        <x:v>1890</x:v>
      </x:c>
      <x:c r="B122" t="str">
        <x:f>wimbledons_champions!B253</x:f>
        <x:v>Men's</x:v>
      </x:c>
      <x:c r="C122" t="str">
        <x:f>wimbledons_champions!C253</x:f>
        <x:v>W.J. Hamilton</x:v>
      </x:c>
      <x:c r="D122" t="str">
        <x:f>wimbledons_champions!D253</x:f>
        <x:v>GBR</x:v>
      </x:c>
      <x:c r="E122" t="n">
        <x:f>wimbledons_champions!F253</x:f>
        <x:v>0</x:v>
      </x:c>
      <x:c r="F122" t="n">
        <x:f>wimbledons_champions!G253</x:f>
        <x:v>96</x:v>
      </x:c>
      <x:c r="G122" t="str">
        <x:f>wimbledons_champions!H253</x:f>
        <x:v>6-8, 6-2, 3-6, 6-1, 6-1</x:v>
      </x:c>
      <x:c r="H122" t="str">
        <x:f>wimbledons_champions!S253</x:f>
        <x:v>W.C. Renshaw</x:v>
      </x:c>
      <x:c r="I122" t="str">
        <x:f>wimbledons_champions!T253</x:f>
        <x:v>GBR</x:v>
      </x:c>
      <x:c r="J122" t="n">
        <x:f>wimbledons_champions!V253</x:f>
        <x:v>0</x:v>
      </x:c>
    </x:row>
    <x:row r="123">
      <x:c r="A123" t="n">
        <x:f>wimbledons_champions!A255</x:f>
        <x:v>1889</x:v>
      </x:c>
      <x:c r="B123" t="str">
        <x:f>wimbledons_champions!B255</x:f>
        <x:v>Men's</x:v>
      </x:c>
      <x:c r="C123" t="str">
        <x:f>wimbledons_champions!C255</x:f>
        <x:v>W.C. Renshaw</x:v>
      </x:c>
      <x:c r="D123" t="str">
        <x:f>wimbledons_champions!D255</x:f>
        <x:v>GBR</x:v>
      </x:c>
      <x:c r="E123" t="n">
        <x:f>wimbledons_champions!F255</x:f>
        <x:v>0</x:v>
      </x:c>
      <x:c r="F123" t="n">
        <x:f>wimbledons_champions!G255</x:f>
        <x:v>63</x:v>
      </x:c>
      <x:c r="G123" t="str">
        <x:f>wimbledons_champions!H255</x:f>
        <x:v>6-4, 6-1, 3-6, 6-0</x:v>
      </x:c>
      <x:c r="H123" t="str">
        <x:f>wimbledons_champions!S255</x:f>
        <x:v>J.E. Renshaw</x:v>
      </x:c>
      <x:c r="I123" t="str">
        <x:f>wimbledons_champions!T255</x:f>
        <x:v>GBR</x:v>
      </x:c>
      <x:c r="J123" t="n">
        <x:f>wimbledons_champions!V255</x:f>
        <x:v>0</x:v>
      </x:c>
    </x:row>
    <x:row r="124">
      <x:c r="A124" t="n">
        <x:f>wimbledons_champions!A257</x:f>
        <x:v>1888</x:v>
      </x:c>
      <x:c r="B124" t="str">
        <x:f>wimbledons_champions!B257</x:f>
        <x:v>Men's</x:v>
      </x:c>
      <x:c r="C124" t="str">
        <x:f>wimbledons_champions!C257</x:f>
        <x:v>J.E. Renshaw</x:v>
      </x:c>
      <x:c r="D124" t="str">
        <x:f>wimbledons_champions!D257</x:f>
        <x:v>GBR</x:v>
      </x:c>
      <x:c r="E124" t="n">
        <x:f>wimbledons_champions!F257</x:f>
        <x:v>0</x:v>
      </x:c>
      <x:c r="F124" t="n">
        <x:f>wimbledons_champions!G257</x:f>
        <x:v>51</x:v>
      </x:c>
      <x:c r="G124" t="str">
        <x:f>wimbledons_champions!H257</x:f>
        <x:v>6-3, 7-5, 6-0</x:v>
      </x:c>
      <x:c r="H124" t="str">
        <x:f>wimbledons_champions!S257</x:f>
        <x:v>H.F. Lawford</x:v>
      </x:c>
      <x:c r="I124" t="str">
        <x:f>wimbledons_champions!T257</x:f>
        <x:v>GBR</x:v>
      </x:c>
      <x:c r="J124" t="n">
        <x:f>wimbledons_champions!V257</x:f>
        <x:v>0</x:v>
      </x:c>
    </x:row>
    <x:row r="125">
      <x:c r="A125" t="n">
        <x:f>wimbledons_champions!A259</x:f>
        <x:v>1887</x:v>
      </x:c>
      <x:c r="B125" t="str">
        <x:f>wimbledons_champions!B259</x:f>
        <x:v>Men's</x:v>
      </x:c>
      <x:c r="C125" t="str">
        <x:f>wimbledons_champions!C259</x:f>
        <x:v>H.F. Lawford</x:v>
      </x:c>
      <x:c r="D125" t="str">
        <x:f>wimbledons_champions!D259</x:f>
        <x:v>GBR</x:v>
      </x:c>
      <x:c r="E125" t="n">
        <x:f>wimbledons_champions!F259</x:f>
        <x:v>0</x:v>
      </x:c>
      <x:c r="F125" t="n">
        <x:f>wimbledons_champions!G259</x:f>
        <x:v>120</x:v>
      </x:c>
      <x:c r="G125" t="str">
        <x:f>wimbledons_champions!H259</x:f>
        <x:v>1-6, 6-3, 3-6, 6-4, 6-4</x:v>
      </x:c>
      <x:c r="H125" t="str">
        <x:f>wimbledons_champions!S259</x:f>
        <x:v>J.E. Renshaw</x:v>
      </x:c>
      <x:c r="I125" t="str">
        <x:f>wimbledons_champions!T259</x:f>
        <x:v>GBR</x:v>
      </x:c>
      <x:c r="J125" t="n">
        <x:f>wimbledons_champions!V259</x:f>
        <x:v>0</x:v>
      </x:c>
    </x:row>
    <x:row r="126">
      <x:c r="A126" t="n">
        <x:f>wimbledons_champions!A261</x:f>
        <x:v>1886</x:v>
      </x:c>
      <x:c r="B126" t="str">
        <x:f>wimbledons_champions!B261</x:f>
        <x:v>Men's</x:v>
      </x:c>
      <x:c r="C126" t="str">
        <x:f>wimbledons_champions!C261</x:f>
        <x:v>W.C. Renshaw</x:v>
      </x:c>
      <x:c r="D126" t="str">
        <x:f>wimbledons_champions!D261</x:f>
        <x:v>GBR</x:v>
      </x:c>
      <x:c r="E126" t="n">
        <x:f>wimbledons_champions!F261</x:f>
        <x:v>0</x:v>
      </x:c>
      <x:c r="F126" t="n">
        <x:f>wimbledons_champions!G261</x:f>
        <x:v>96</x:v>
      </x:c>
      <x:c r="G126" t="str">
        <x:f>wimbledons_champions!H261</x:f>
        <x:v>6-0, 5-7, 6-3, 6-4</x:v>
      </x:c>
      <x:c r="H126" t="str">
        <x:f>wimbledons_champions!S261</x:f>
        <x:v>H.F. Lawford</x:v>
      </x:c>
      <x:c r="I126" t="str">
        <x:f>wimbledons_champions!T261</x:f>
        <x:v>GBR</x:v>
      </x:c>
      <x:c r="J126" t="n">
        <x:f>wimbledons_champions!V261</x:f>
        <x:v>0</x:v>
      </x:c>
    </x:row>
    <x:row r="127">
      <x:c r="A127" t="n">
        <x:f>wimbledons_champions!A263</x:f>
        <x:v>1885</x:v>
      </x:c>
      <x:c r="B127" t="str">
        <x:f>wimbledons_champions!B263</x:f>
        <x:v>Men's</x:v>
      </x:c>
      <x:c r="C127" t="str">
        <x:f>wimbledons_champions!C263</x:f>
        <x:v>W.C. Renshaw</x:v>
      </x:c>
      <x:c r="D127" t="str">
        <x:f>wimbledons_champions!D263</x:f>
        <x:v>GBR</x:v>
      </x:c>
      <x:c r="E127" t="n">
        <x:f>wimbledons_champions!F263</x:f>
        <x:v>0</x:v>
      </x:c>
      <x:c r="F127" t="n">
        <x:f>wimbledons_champions!G263</x:f>
        <x:v>122</x:v>
      </x:c>
      <x:c r="G127" t="str">
        <x:f>wimbledons_champions!H263</x:f>
        <x:v>7-5, 6-2, 4-6, 7-5</x:v>
      </x:c>
      <x:c r="H127" t="str">
        <x:f>wimbledons_champions!S263</x:f>
        <x:v>H.F. Lawford</x:v>
      </x:c>
      <x:c r="I127" t="str">
        <x:f>wimbledons_champions!T263</x:f>
        <x:v>GBR</x:v>
      </x:c>
      <x:c r="J127" t="n">
        <x:f>wimbledons_champions!V263</x:f>
        <x:v>0</x:v>
      </x:c>
    </x:row>
    <x:row r="128">
      <x:c r="A128" t="n">
        <x:f>wimbledons_champions!A265</x:f>
        <x:v>1884</x:v>
      </x:c>
      <x:c r="B128" t="str">
        <x:f>wimbledons_champions!B265</x:f>
        <x:v>Men's</x:v>
      </x:c>
      <x:c r="C128" t="str">
        <x:f>wimbledons_champions!C265</x:f>
        <x:v>W.C. Renshaw</x:v>
      </x:c>
      <x:c r="D128" t="str">
        <x:f>wimbledons_champions!D265</x:f>
        <x:v>GBR</x:v>
      </x:c>
      <x:c r="E128" t="n">
        <x:f>wimbledons_champions!F265</x:f>
        <x:v>0</x:v>
      </x:c>
      <x:c r="F128" t="n">
        <x:f>wimbledons_champions!G265</x:f>
        <x:v>69</x:v>
      </x:c>
      <x:c r="G128" t="str">
        <x:f>wimbledons_champions!H265</x:f>
        <x:v>6-0, 6-4, 9-7</x:v>
      </x:c>
      <x:c r="H128" t="str">
        <x:f>wimbledons_champions!S265</x:f>
        <x:v>H.F. Lawford</x:v>
      </x:c>
      <x:c r="I128" t="str">
        <x:f>wimbledons_champions!T265</x:f>
        <x:v>GBR</x:v>
      </x:c>
      <x:c r="J128" t="n">
        <x:f>wimbledons_champions!V265</x:f>
        <x:v>0</x:v>
      </x:c>
    </x:row>
    <x:row r="130" s="4" customFormat="1">
      <x:c r="C130" s="4" t="n">
        <x:v>59</x:v>
      </x:c>
      <x:c r="D130" s="4" t="n">
        <x:v>12</x:v>
      </x:c>
      <x:c r="H130" s="4" t="n">
        <x:v>84</x:v>
      </x:c>
      <x:c r="I130" s="4" t="n">
        <x:v>19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4.600000381469727"/>
  <x:cols>
    <x:col min="1" max="1" width="4.84375" customWidth="1"/>
    <x:col min="2" max="2" width="11.4609375" customWidth="1"/>
    <x:col min="3" max="3" width="24.84375" customWidth="1"/>
    <x:col min="4" max="4" width="20.53515625" customWidth="1"/>
    <x:col min="5" max="5" width="15" customWidth="1"/>
    <x:col min="6" max="6" width="5.3046875" customWidth="1"/>
    <x:col min="7" max="7" width="29" customWidth="1"/>
    <x:col min="8" max="8" width="28.07421875" customWidth="1"/>
    <x:col min="9" max="9" width="21" customWidth="1"/>
    <x:col min="10" max="10" width="15.4609375" customWidth="1"/>
  </x:cols>
  <x:sheetData>
    <x:row r="1">
      <x:c r="A1" t="str">
        <x:f>wimbledons_champions!A1</x:f>
        <x:v>Year</x:v>
      </x:c>
      <x:c r="B1" t="str">
        <x:f>wimbledons_champions!B1</x:f>
        <x:v>Gender</x:v>
      </x:c>
      <x:c r="C1" t="str">
        <x:f>wimbledons_champions!C1</x:f>
        <x:v>Champion</x:v>
      </x:c>
      <x:c r="D1" t="str">
        <x:f>wimbledons_champions!D1</x:f>
        <x:v>Champion Nationality</x:v>
      </x:c>
      <x:c r="E1" t="str">
        <x:f>wimbledons_champions!F1</x:f>
        <x:v>Champion Seed</x:v>
      </x:c>
      <x:c r="F1" t="str">
        <x:f>wimbledons_champions!G1</x:f>
        <x:v>Mins</x:v>
      </x:c>
      <x:c r="G1" t="str">
        <x:f>wimbledons_champions!H1</x:f>
        <x:v>Score</x:v>
      </x:c>
      <x:c r="H1" t="str">
        <x:f>wimbledons_champions!S1</x:f>
        <x:v>Runner-up</x:v>
      </x:c>
      <x:c r="I1" t="str">
        <x:f>wimbledons_champions!T1</x:f>
        <x:v>Runner-up Nationality</x:v>
      </x:c>
      <x:c r="J1" t="str">
        <x:f>wimbledons_champions!V1</x:f>
        <x:v>Runner-up Seed</x:v>
      </x:c>
    </x:row>
    <x:row r="2">
      <x:c r="A2" s="22" t="n">
        <x:v>2021</x:v>
      </x:c>
      <x:c r="B2" s="25" t="inlineStr">
        <x:is>
          <x:t xml:space="preserve">Women's</x:t>
        </x:is>
      </x:c>
      <x:c r="C2" s="25" t="inlineStr">
        <x:is>
          <x:t xml:space="preserve">A. Barty</x:t>
        </x:is>
      </x:c>
      <x:c r="D2" s="25" t="inlineStr">
        <x:is>
          <x:t xml:space="preserve">Aus</x:t>
        </x:is>
      </x:c>
      <x:c r="E2" s="7" t="n">
        <x:v>1</x:v>
      </x:c>
      <x:c r="F2" s="7" t="n">
        <x:v>116</x:v>
      </x:c>
      <x:c r="G2" s="25" t="inlineStr">
        <x:is>
          <x:t xml:space="preserve">6-3,6-7,6-3</x:t>
        </x:is>
      </x:c>
      <x:c r="H2" s="25" t="inlineStr">
        <x:is>
          <x:t xml:space="preserve">k.Pliskova</x:t>
        </x:is>
      </x:c>
      <x:c r="I2" s="25" t="inlineStr">
        <x:is>
          <x:t xml:space="preserve">CZE</x:t>
        </x:is>
      </x:c>
      <x:c r="J2" s="7" t="n">
        <x:v>8</x:v>
      </x:c>
    </x:row>
    <x:row r="3">
      <x:c r="A3" t="n">
        <x:f>wimbledons_champions!A14</x:f>
        <x:v>2019</x:v>
      </x:c>
      <x:c r="B3" t="str">
        <x:f>wimbledons_champions!B14</x:f>
        <x:v>Women's</x:v>
      </x:c>
      <x:c r="C3" t="str">
        <x:f>wimbledons_champions!C14</x:f>
        <x:v>S.Halep</x:v>
      </x:c>
      <x:c r="D3" t="str">
        <x:f>wimbledons_champions!D14</x:f>
        <x:v>ROU</x:v>
      </x:c>
      <x:c r="E3" t="n">
        <x:f>wimbledons_champions!F14</x:f>
        <x:v>7</x:v>
      </x:c>
      <x:c r="F3" t="n">
        <x:f>wimbledons_champions!G14</x:f>
        <x:v>56</x:v>
      </x:c>
      <x:c r="G3" t="str">
        <x:f>wimbledons_champions!H14</x:f>
        <x:v>6-2,6-2</x:v>
      </x:c>
      <x:c r="H3" t="str">
        <x:f>wimbledons_champions!S14</x:f>
        <x:v>S. Williams</x:v>
      </x:c>
      <x:c r="I3" t="str">
        <x:f>wimbledons_champions!T14</x:f>
        <x:v>USA</x:v>
      </x:c>
      <x:c r="J3" t="n">
        <x:f>wimbledons_champions!V14</x:f>
        <x:v>11</x:v>
      </x:c>
    </x:row>
    <x:row r="4">
      <x:c r="A4" t="n">
        <x:f>wimbledons_champions!A16</x:f>
        <x:v>2018</x:v>
      </x:c>
      <x:c r="B4" t="str">
        <x:f>wimbledons_champions!B16</x:f>
        <x:v>Women's</x:v>
      </x:c>
      <x:c r="C4" t="str">
        <x:f>wimbledons_champions!C16</x:f>
        <x:v>A. Kerber</x:v>
      </x:c>
      <x:c r="D4" t="str">
        <x:f>wimbledons_champions!D16</x:f>
        <x:v>GER</x:v>
      </x:c>
      <x:c r="E4" t="n">
        <x:f>wimbledons_champions!F16</x:f>
        <x:v>11</x:v>
      </x:c>
      <x:c r="F4" t="n">
        <x:f>wimbledons_champions!G16</x:f>
        <x:v>65</x:v>
      </x:c>
      <x:c r="G4" t="str">
        <x:f>wimbledons_champions!H16</x:f>
        <x:v>6-3,6-3</x:v>
      </x:c>
      <x:c r="H4" t="str">
        <x:f>wimbledons_champions!S16</x:f>
        <x:v>S. Williams</x:v>
      </x:c>
      <x:c r="I4" t="str">
        <x:f>wimbledons_champions!T16</x:f>
        <x:v>USA</x:v>
      </x:c>
      <x:c r="J4" t="n">
        <x:f>wimbledons_champions!V16</x:f>
        <x:v>25</x:v>
      </x:c>
    </x:row>
    <x:row r="5">
      <x:c r="A5" t="n">
        <x:f>wimbledons_champions!A18</x:f>
        <x:v>2017</x:v>
      </x:c>
      <x:c r="B5" t="str">
        <x:f>wimbledons_champions!B18</x:f>
        <x:v>Women's</x:v>
      </x:c>
      <x:c r="C5" t="str">
        <x:f>wimbledons_champions!C18</x:f>
        <x:v>G. Muguruza</x:v>
      </x:c>
      <x:c r="D5" t="str">
        <x:f>wimbledons_champions!D18</x:f>
        <x:v>ESP</x:v>
      </x:c>
      <x:c r="E5" t="n">
        <x:f>wimbledons_champions!F18</x:f>
        <x:v>14</x:v>
      </x:c>
      <x:c r="F5" t="n">
        <x:f>wimbledons_champions!G18</x:f>
        <x:v>77</x:v>
      </x:c>
      <x:c r="G5" t="str">
        <x:f>wimbledons_champions!H18</x:f>
        <x:v>7-5,6-0</x:v>
      </x:c>
      <x:c r="H5" t="str">
        <x:f>wimbledons_champions!S18</x:f>
        <x:v>V.E.S. Williams</x:v>
      </x:c>
      <x:c r="I5" t="str">
        <x:f>wimbledons_champions!T18</x:f>
        <x:v>USA</x:v>
      </x:c>
      <x:c r="J5" t="n">
        <x:f>wimbledons_champions!V18</x:f>
        <x:v>10</x:v>
      </x:c>
    </x:row>
    <x:row r="6">
      <x:c r="A6" t="n">
        <x:f>wimbledons_champions!A20</x:f>
        <x:v>2016</x:v>
      </x:c>
      <x:c r="B6" t="str">
        <x:f>wimbledons_champions!B20</x:f>
        <x:v>Women's</x:v>
      </x:c>
      <x:c r="C6" t="str">
        <x:f>wimbledons_champions!C20</x:f>
        <x:v>S. Williams</x:v>
      </x:c>
      <x:c r="D6" t="str">
        <x:f>wimbledons_champions!D20</x:f>
        <x:v>USA</x:v>
      </x:c>
      <x:c r="E6" t="n">
        <x:f>wimbledons_champions!F20</x:f>
        <x:v>1</x:v>
      </x:c>
      <x:c r="F6" t="n">
        <x:f>wimbledons_champions!G20</x:f>
        <x:v>83</x:v>
      </x:c>
      <x:c r="G6" t="str">
        <x:f>wimbledons_champions!H20</x:f>
        <x:v>7-5, 6-3</x:v>
      </x:c>
      <x:c r="H6" t="str">
        <x:f>wimbledons_champions!S20</x:f>
        <x:v>A. Kerber</x:v>
      </x:c>
      <x:c r="I6" t="str">
        <x:f>wimbledons_champions!T20</x:f>
        <x:v>GER</x:v>
      </x:c>
      <x:c r="J6" t="n">
        <x:f>wimbledons_champions!V20</x:f>
        <x:v>4</x:v>
      </x:c>
    </x:row>
    <x:row r="7">
      <x:c r="A7" t="n">
        <x:f>wimbledons_champions!A22</x:f>
        <x:v>2015</x:v>
      </x:c>
      <x:c r="B7" t="str">
        <x:f>wimbledons_champions!B22</x:f>
        <x:v>Women's</x:v>
      </x:c>
      <x:c r="C7" t="str">
        <x:f>wimbledons_champions!C22</x:f>
        <x:v>S. Williams</x:v>
      </x:c>
      <x:c r="D7" t="str">
        <x:f>wimbledons_champions!D22</x:f>
        <x:v>USA</x:v>
      </x:c>
      <x:c r="E7" t="n">
        <x:f>wimbledons_champions!F22</x:f>
        <x:v>1</x:v>
      </x:c>
      <x:c r="F7" t="n">
        <x:f>wimbledons_champions!G22</x:f>
        <x:v>83</x:v>
      </x:c>
      <x:c r="G7" t="str">
        <x:f>wimbledons_champions!H22</x:f>
        <x:v>6-4, 6-4</x:v>
      </x:c>
      <x:c r="H7" t="str">
        <x:f>wimbledons_champions!S22</x:f>
        <x:v>G. Muguruza</x:v>
      </x:c>
      <x:c r="I7" t="str">
        <x:f>wimbledons_champions!T22</x:f>
        <x:v>ESP</x:v>
      </x:c>
      <x:c r="J7" t="n">
        <x:f>wimbledons_champions!V22</x:f>
        <x:v>20</x:v>
      </x:c>
    </x:row>
    <x:row r="8">
      <x:c r="A8" t="n">
        <x:f>wimbledons_champions!A24</x:f>
        <x:v>2014</x:v>
      </x:c>
      <x:c r="B8" t="str">
        <x:f>wimbledons_champions!B24</x:f>
        <x:v>Women's</x:v>
      </x:c>
      <x:c r="C8" t="str">
        <x:f>wimbledons_champions!C24</x:f>
        <x:v>P. Kvitová</x:v>
      </x:c>
      <x:c r="D8" t="str">
        <x:f>wimbledons_champions!D24</x:f>
        <x:v>CZE</x:v>
      </x:c>
      <x:c r="E8" t="n">
        <x:f>wimbledons_champions!F24</x:f>
        <x:v>6</x:v>
      </x:c>
      <x:c r="F8" t="n">
        <x:f>wimbledons_champions!G24</x:f>
        <x:v>55</x:v>
      </x:c>
      <x:c r="G8" t="str">
        <x:f>wimbledons_champions!H24</x:f>
        <x:v>6-3, 6-0</x:v>
      </x:c>
      <x:c r="H8" t="str">
        <x:f>wimbledons_champions!S24</x:f>
        <x:v>E. Bouchard</x:v>
      </x:c>
      <x:c r="I8" t="str">
        <x:f>wimbledons_champions!T24</x:f>
        <x:v>CND</x:v>
      </x:c>
      <x:c r="J8" t="n">
        <x:f>wimbledons_champions!V24</x:f>
        <x:v>13</x:v>
      </x:c>
    </x:row>
    <x:row r="9">
      <x:c r="A9" t="n">
        <x:f>wimbledons_champions!A26</x:f>
        <x:v>2013</x:v>
      </x:c>
      <x:c r="B9" t="str">
        <x:f>wimbledons_champions!B26</x:f>
        <x:v>Women's</x:v>
      </x:c>
      <x:c r="C9" t="str">
        <x:f>wimbledons_champions!C26</x:f>
        <x:v>M. Bartoli</x:v>
      </x:c>
      <x:c r="D9" t="str">
        <x:f>wimbledons_champions!D26</x:f>
        <x:v>FRA</x:v>
      </x:c>
      <x:c r="E9" t="n">
        <x:f>wimbledons_champions!F26</x:f>
        <x:v>15</x:v>
      </x:c>
      <x:c r="F9" t="n">
        <x:f>wimbledons_champions!G26</x:f>
        <x:v>81</x:v>
      </x:c>
      <x:c r="G9" t="str">
        <x:f>wimbledons_champions!H26</x:f>
        <x:v>6-2,1-6,6-4</x:v>
      </x:c>
      <x:c r="H9" t="str">
        <x:f>wimbledons_champions!S26</x:f>
        <x:v>S. Lisicki</x:v>
      </x:c>
      <x:c r="I9" t="str">
        <x:f>wimbledons_champions!T26</x:f>
        <x:v>GER</x:v>
      </x:c>
      <x:c r="J9" t="n">
        <x:f>wimbledons_champions!V26</x:f>
        <x:v>23</x:v>
      </x:c>
    </x:row>
    <x:row r="10">
      <x:c r="A10" t="n">
        <x:f>wimbledons_champions!A28</x:f>
        <x:v>2012</x:v>
      </x:c>
      <x:c r="B10" t="str">
        <x:f>wimbledons_champions!B28</x:f>
        <x:v>Women's</x:v>
      </x:c>
      <x:c r="C10" t="str">
        <x:f>wimbledons_champions!C28</x:f>
        <x:v>S. Williams</x:v>
      </x:c>
      <x:c r="D10" t="str">
        <x:f>wimbledons_champions!D28</x:f>
        <x:v>USA</x:v>
      </x:c>
      <x:c r="E10" t="n">
        <x:f>wimbledons_champions!F28</x:f>
        <x:v>6</x:v>
      </x:c>
      <x:c r="F10" t="n">
        <x:f>wimbledons_champions!G28</x:f>
        <x:v>122</x:v>
      </x:c>
      <x:c r="G10" t="str">
        <x:f>wimbledons_champions!H28</x:f>
        <x:v>6-1, 5-7, 6-2</x:v>
      </x:c>
      <x:c r="H10" t="str">
        <x:f>wimbledons_champions!S28</x:f>
        <x:v>A. Radwańska</x:v>
      </x:c>
      <x:c r="I10" t="str">
        <x:f>wimbledons_champions!T28</x:f>
        <x:v>POL</x:v>
      </x:c>
      <x:c r="J10" t="n">
        <x:f>wimbledons_champions!V28</x:f>
        <x:v>3</x:v>
      </x:c>
    </x:row>
    <x:row r="11">
      <x:c r="A11" t="n">
        <x:f>wimbledons_champions!A30</x:f>
        <x:v>2011</x:v>
      </x:c>
      <x:c r="B11" t="str">
        <x:f>wimbledons_champions!B30</x:f>
        <x:v>Women's</x:v>
      </x:c>
      <x:c r="C11" t="str">
        <x:f>wimbledons_champions!C30</x:f>
        <x:v>P. Kvitova</x:v>
      </x:c>
      <x:c r="D11" t="str">
        <x:f>wimbledons_champions!D30</x:f>
        <x:v>CZE</x:v>
      </x:c>
      <x:c r="E11" t="n">
        <x:f>wimbledons_champions!F30</x:f>
        <x:v>8</x:v>
      </x:c>
      <x:c r="F11" t="n">
        <x:f>wimbledons_champions!G30</x:f>
        <x:v>85</x:v>
      </x:c>
      <x:c r="G11" t="str">
        <x:f>wimbledons_champions!H30</x:f>
        <x:v>6-3, 6-4</x:v>
      </x:c>
      <x:c r="H11" t="str">
        <x:f>wimbledons_champions!S30</x:f>
        <x:v>M. Sharapova</x:v>
      </x:c>
      <x:c r="I11" t="str">
        <x:f>wimbledons_champions!T30</x:f>
        <x:v>RUS</x:v>
      </x:c>
      <x:c r="J11" t="n">
        <x:f>wimbledons_champions!V30</x:f>
        <x:v>5</x:v>
      </x:c>
    </x:row>
    <x:row r="12">
      <x:c r="A12" t="n">
        <x:f>wimbledons_champions!A32</x:f>
        <x:v>2010</x:v>
      </x:c>
      <x:c r="B12" t="str">
        <x:f>wimbledons_champions!B32</x:f>
        <x:v>Women's</x:v>
      </x:c>
      <x:c r="C12" t="str">
        <x:f>wimbledons_champions!C32</x:f>
        <x:v>S. Williams</x:v>
      </x:c>
      <x:c r="D12" t="str">
        <x:f>wimbledons_champions!D32</x:f>
        <x:v>USA</x:v>
      </x:c>
      <x:c r="E12" t="n">
        <x:f>wimbledons_champions!F32</x:f>
        <x:v>1</x:v>
      </x:c>
      <x:c r="F12" t="n">
        <x:f>wimbledons_champions!G32</x:f>
        <x:v>66</x:v>
      </x:c>
      <x:c r="G12" t="str">
        <x:f>wimbledons_champions!H32</x:f>
        <x:v>6-3, 6-2</x:v>
      </x:c>
      <x:c r="H12" t="str">
        <x:f>wimbledons_champions!S32</x:f>
        <x:v>V. Zvonareva</x:v>
      </x:c>
      <x:c r="I12" t="str">
        <x:f>wimbledons_champions!T32</x:f>
        <x:v>RUS</x:v>
      </x:c>
      <x:c r="J12" t="n">
        <x:f>wimbledons_champions!V32</x:f>
        <x:v>21</x:v>
      </x:c>
    </x:row>
    <x:row r="13">
      <x:c r="A13" t="n">
        <x:f>wimbledons_champions!A34</x:f>
        <x:v>2009</x:v>
      </x:c>
      <x:c r="B13" t="str">
        <x:f>wimbledons_champions!B34</x:f>
        <x:v>Women's</x:v>
      </x:c>
      <x:c r="C13" t="str">
        <x:f>wimbledons_champions!C34</x:f>
        <x:v>S. Williams</x:v>
      </x:c>
      <x:c r="D13" t="str">
        <x:f>wimbledons_champions!D34</x:f>
        <x:v>USA</x:v>
      </x:c>
      <x:c r="E13" t="n">
        <x:f>wimbledons_champions!F34</x:f>
        <x:v>2</x:v>
      </x:c>
      <x:c r="F13" t="n">
        <x:f>wimbledons_champions!G34</x:f>
        <x:v>87</x:v>
      </x:c>
      <x:c r="G13" t="str">
        <x:f>wimbledons_champions!H34</x:f>
        <x:v>7-6 (7-3), 6-2</x:v>
      </x:c>
      <x:c r="H13" t="str">
        <x:f>wimbledons_champions!S34</x:f>
        <x:v>V.E.S. Williams</x:v>
      </x:c>
      <x:c r="I13" t="str">
        <x:f>wimbledons_champions!T34</x:f>
        <x:v>USA</x:v>
      </x:c>
      <x:c r="J13" t="n">
        <x:f>wimbledons_champions!V34</x:f>
        <x:v>3</x:v>
      </x:c>
    </x:row>
    <x:row r="14">
      <x:c r="A14" t="n">
        <x:f>wimbledons_champions!A36</x:f>
        <x:v>2008</x:v>
      </x:c>
      <x:c r="B14" t="str">
        <x:f>wimbledons_champions!B36</x:f>
        <x:v>Women's</x:v>
      </x:c>
      <x:c r="C14" t="str">
        <x:f>wimbledons_champions!C36</x:f>
        <x:v>V.E.S. Williams</x:v>
      </x:c>
      <x:c r="D14" t="str">
        <x:f>wimbledons_champions!D36</x:f>
        <x:v>USA</x:v>
      </x:c>
      <x:c r="E14" t="n">
        <x:f>wimbledons_champions!F36</x:f>
        <x:v>7</x:v>
      </x:c>
      <x:c r="F14" t="n">
        <x:f>wimbledons_champions!G36</x:f>
        <x:v>111</x:v>
      </x:c>
      <x:c r="G14" t="str">
        <x:f>wimbledons_champions!H36</x:f>
        <x:v>7-5, 6-4</x:v>
      </x:c>
      <x:c r="H14" t="str">
        <x:f>wimbledons_champions!S36</x:f>
        <x:v>S. Williams</x:v>
      </x:c>
      <x:c r="I14" t="str">
        <x:f>wimbledons_champions!T36</x:f>
        <x:v>USA</x:v>
      </x:c>
      <x:c r="J14" t="n">
        <x:f>wimbledons_champions!V36</x:f>
        <x:v>6</x:v>
      </x:c>
    </x:row>
    <x:row r="15">
      <x:c r="A15" t="n">
        <x:f>wimbledons_champions!A38</x:f>
        <x:v>2007</x:v>
      </x:c>
      <x:c r="B15" t="str">
        <x:f>wimbledons_champions!B38</x:f>
        <x:v>Women's</x:v>
      </x:c>
      <x:c r="C15" t="str">
        <x:f>wimbledons_champions!C38</x:f>
        <x:v>V.E.S. Williams</x:v>
      </x:c>
      <x:c r="D15" t="str">
        <x:f>wimbledons_champions!D38</x:f>
        <x:v>USA</x:v>
      </x:c>
      <x:c r="E15" t="n">
        <x:f>wimbledons_champions!F38</x:f>
        <x:v>23</x:v>
      </x:c>
      <x:c r="F15" t="n">
        <x:f>wimbledons_champions!G38</x:f>
        <x:v>90</x:v>
      </x:c>
      <x:c r="G15" t="str">
        <x:f>wimbledons_champions!H38</x:f>
        <x:v>6-4, 6-1</x:v>
      </x:c>
      <x:c r="H15" t="str">
        <x:f>wimbledons_champions!S38</x:f>
        <x:v>M. Bartoli</x:v>
      </x:c>
      <x:c r="I15" t="str">
        <x:f>wimbledons_champions!T38</x:f>
        <x:v>FRA</x:v>
      </x:c>
      <x:c r="J15" t="n">
        <x:f>wimbledons_champions!V38</x:f>
        <x:v>18</x:v>
      </x:c>
    </x:row>
    <x:row r="16">
      <x:c r="A16" t="n">
        <x:f>wimbledons_champions!A40</x:f>
        <x:v>2006</x:v>
      </x:c>
      <x:c r="B16" t="str">
        <x:f>wimbledons_champions!B40</x:f>
        <x:v>Women's</x:v>
      </x:c>
      <x:c r="C16" t="str">
        <x:f>wimbledons_champions!C40</x:f>
        <x:v>A. Mauresmo</x:v>
      </x:c>
      <x:c r="D16" t="str">
        <x:f>wimbledons_champions!D40</x:f>
        <x:v>FRA</x:v>
      </x:c>
      <x:c r="E16" t="n">
        <x:f>wimbledons_champions!F40</x:f>
        <x:v>1</x:v>
      </x:c>
      <x:c r="F16" t="n">
        <x:f>wimbledons_champions!G40</x:f>
        <x:v>122</x:v>
      </x:c>
      <x:c r="G16" t="str">
        <x:f>wimbledons_champions!H40</x:f>
        <x:v>2-6, 6-3, 6-4</x:v>
      </x:c>
      <x:c r="H16" t="str">
        <x:f>wimbledons_champions!S40</x:f>
        <x:v>PY. Hardenne</x:v>
      </x:c>
      <x:c r="I16" t="str">
        <x:f>wimbledons_champions!T40</x:f>
        <x:v>BEL</x:v>
      </x:c>
      <x:c r="J16" t="n">
        <x:f>wimbledons_champions!V40</x:f>
        <x:v>3</x:v>
      </x:c>
    </x:row>
    <x:row r="17">
      <x:c r="A17" t="n">
        <x:f>wimbledons_champions!A42</x:f>
        <x:v>2005</x:v>
      </x:c>
      <x:c r="B17" t="str">
        <x:f>wimbledons_champions!B42</x:f>
        <x:v>Women's</x:v>
      </x:c>
      <x:c r="C17" t="str">
        <x:f>wimbledons_champions!C42</x:f>
        <x:v>V.E.S. Williams</x:v>
      </x:c>
      <x:c r="D17" t="str">
        <x:f>wimbledons_champions!D42</x:f>
        <x:v>USA</x:v>
      </x:c>
      <x:c r="E17" t="n">
        <x:f>wimbledons_champions!F42</x:f>
        <x:v>14</x:v>
      </x:c>
      <x:c r="F17" t="n">
        <x:f>wimbledons_champions!G42</x:f>
        <x:v>166</x:v>
      </x:c>
      <x:c r="G17" t="str">
        <x:f>wimbledons_champions!H42</x:f>
        <x:v>4-6, 7-6 (7-4), 9-7</x:v>
      </x:c>
      <x:c r="H17" t="str">
        <x:f>wimbledons_champions!S42</x:f>
        <x:v>L.A. Davenport</x:v>
      </x:c>
      <x:c r="I17" t="str">
        <x:f>wimbledons_champions!T42</x:f>
        <x:v>USA</x:v>
      </x:c>
      <x:c r="J17" t="n">
        <x:f>wimbledons_champions!V42</x:f>
        <x:v>1</x:v>
      </x:c>
    </x:row>
    <x:row r="18">
      <x:c r="A18" t="n">
        <x:f>wimbledons_champions!A44</x:f>
        <x:v>2004</x:v>
      </x:c>
      <x:c r="B18" t="str">
        <x:f>wimbledons_champions!B44</x:f>
        <x:v>Women's</x:v>
      </x:c>
      <x:c r="C18" t="str">
        <x:f>wimbledons_champions!C44</x:f>
        <x:v>M. Sharapova</x:v>
      </x:c>
      <x:c r="D18" t="str">
        <x:f>wimbledons_champions!D44</x:f>
        <x:v>RUS</x:v>
      </x:c>
      <x:c r="E18" t="n">
        <x:f>wimbledons_champions!F44</x:f>
        <x:v>13</x:v>
      </x:c>
      <x:c r="F18" t="n">
        <x:f>wimbledons_champions!G44</x:f>
        <x:v>74</x:v>
      </x:c>
      <x:c r="G18" t="str">
        <x:f>wimbledons_champions!H44</x:f>
        <x:v>6-1, 6-4</x:v>
      </x:c>
      <x:c r="H18" t="str">
        <x:f>wimbledons_champions!S44</x:f>
        <x:v>S. Williams</x:v>
      </x:c>
      <x:c r="I18" t="str">
        <x:f>wimbledons_champions!T44</x:f>
        <x:v>USA</x:v>
      </x:c>
      <x:c r="J18" t="n">
        <x:f>wimbledons_champions!V44</x:f>
        <x:v>1</x:v>
      </x:c>
    </x:row>
    <x:row r="19">
      <x:c r="A19" t="n">
        <x:f>wimbledons_champions!A46</x:f>
        <x:v>2003</x:v>
      </x:c>
      <x:c r="B19" t="str">
        <x:f>wimbledons_champions!B46</x:f>
        <x:v>Women's</x:v>
      </x:c>
      <x:c r="C19" t="str">
        <x:f>wimbledons_champions!C46</x:f>
        <x:v>S. Williams</x:v>
      </x:c>
      <x:c r="D19" t="str">
        <x:f>wimbledons_champions!D46</x:f>
        <x:v>USA</x:v>
      </x:c>
      <x:c r="E19" t="n">
        <x:f>wimbledons_champions!F46</x:f>
        <x:v>1</x:v>
      </x:c>
      <x:c r="F19" t="n">
        <x:f>wimbledons_champions!G46</x:f>
        <x:v>123</x:v>
      </x:c>
      <x:c r="G19" t="str">
        <x:f>wimbledons_champions!H46</x:f>
        <x:v>4-6, 6-4, 6-2</x:v>
      </x:c>
      <x:c r="H19" t="str">
        <x:f>wimbledons_champions!S46</x:f>
        <x:v>V.E.S. Williams</x:v>
      </x:c>
      <x:c r="I19" t="str">
        <x:f>wimbledons_champions!T46</x:f>
        <x:v>USA</x:v>
      </x:c>
      <x:c r="J19" t="n">
        <x:f>wimbledons_champions!V46</x:f>
        <x:v>4</x:v>
      </x:c>
    </x:row>
    <x:row r="20">
      <x:c r="A20" t="n">
        <x:f>wimbledons_champions!A48</x:f>
        <x:v>2002</x:v>
      </x:c>
      <x:c r="B20" t="str">
        <x:f>wimbledons_champions!B48</x:f>
        <x:v>Women's</x:v>
      </x:c>
      <x:c r="C20" t="str">
        <x:f>wimbledons_champions!C48</x:f>
        <x:v>S. Williams</x:v>
      </x:c>
      <x:c r="D20" t="str">
        <x:f>wimbledons_champions!D48</x:f>
        <x:v>USA</x:v>
      </x:c>
      <x:c r="E20" t="n">
        <x:f>wimbledons_champions!F48</x:f>
        <x:v>2</x:v>
      </x:c>
      <x:c r="F20" t="n">
        <x:f>wimbledons_champions!G48</x:f>
        <x:v>78</x:v>
      </x:c>
      <x:c r="G20" t="str">
        <x:f>wimbledons_champions!H48</x:f>
        <x:v>7-6 (7-4), 6-3</x:v>
      </x:c>
      <x:c r="H20" t="str">
        <x:f>wimbledons_champions!S48</x:f>
        <x:v>V.E.S. Williams</x:v>
      </x:c>
      <x:c r="I20" t="str">
        <x:f>wimbledons_champions!T48</x:f>
        <x:v>USA</x:v>
      </x:c>
      <x:c r="J20" t="n">
        <x:f>wimbledons_champions!V48</x:f>
        <x:v>1</x:v>
      </x:c>
    </x:row>
    <x:row r="21">
      <x:c r="A21" t="n">
        <x:f>wimbledons_champions!A50</x:f>
        <x:v>2001</x:v>
      </x:c>
      <x:c r="B21" t="str">
        <x:f>wimbledons_champions!B50</x:f>
        <x:v>Women's</x:v>
      </x:c>
      <x:c r="C21" t="str">
        <x:f>wimbledons_champions!C50</x:f>
        <x:v>V.E.S. Williams</x:v>
      </x:c>
      <x:c r="D21" t="str">
        <x:f>wimbledons_champions!D50</x:f>
        <x:v>USA</x:v>
      </x:c>
      <x:c r="E21" t="n">
        <x:f>wimbledons_champions!F50</x:f>
        <x:v>2</x:v>
      </x:c>
      <x:c r="F21" t="n">
        <x:f>wimbledons_champions!G50</x:f>
        <x:v>69</x:v>
      </x:c>
      <x:c r="G21" t="str">
        <x:f>wimbledons_champions!H50</x:f>
        <x:v>6-1, 3-6, 6-0</x:v>
      </x:c>
      <x:c r="H21" t="str">
        <x:f>wimbledons_champions!S50</x:f>
        <x:v>J. Henin</x:v>
      </x:c>
      <x:c r="I21" t="str">
        <x:f>wimbledons_champions!T50</x:f>
        <x:v>BEL</x:v>
      </x:c>
      <x:c r="J21" t="n">
        <x:f>wimbledons_champions!V50</x:f>
        <x:v>8</x:v>
      </x:c>
    </x:row>
    <x:row r="22">
      <x:c r="A22" t="n">
        <x:f>wimbledons_champions!A52</x:f>
        <x:v>2000</x:v>
      </x:c>
      <x:c r="B22" t="str">
        <x:f>wimbledons_champions!B52</x:f>
        <x:v>Women's</x:v>
      </x:c>
      <x:c r="C22" t="str">
        <x:f>wimbledons_champions!C52</x:f>
        <x:v>V.E.S. Williams</x:v>
      </x:c>
      <x:c r="D22" t="str">
        <x:f>wimbledons_champions!D52</x:f>
        <x:v>USA</x:v>
      </x:c>
      <x:c r="E22" t="n">
        <x:f>wimbledons_champions!F52</x:f>
        <x:v>5</x:v>
      </x:c>
      <x:c r="F22" t="n">
        <x:f>wimbledons_champions!G52</x:f>
        <x:v>84</x:v>
      </x:c>
      <x:c r="G22" t="str">
        <x:f>wimbledons_champions!H52</x:f>
        <x:v>6-3, 7-6 (7-3)</x:v>
      </x:c>
      <x:c r="H22" t="str">
        <x:f>wimbledons_champions!S52</x:f>
        <x:v>L.A. Davenport</x:v>
      </x:c>
      <x:c r="I22" t="str">
        <x:f>wimbledons_champions!T52</x:f>
        <x:v>USA</x:v>
      </x:c>
      <x:c r="J22" t="n">
        <x:f>wimbledons_champions!V52</x:f>
        <x:v>2</x:v>
      </x:c>
    </x:row>
    <x:row r="23">
      <x:c r="A23" t="n">
        <x:f>wimbledons_champions!A54</x:f>
        <x:v>1999</x:v>
      </x:c>
      <x:c r="B23" t="str">
        <x:f>wimbledons_champions!B54</x:f>
        <x:v>Women's</x:v>
      </x:c>
      <x:c r="C23" t="str">
        <x:f>wimbledons_champions!C54</x:f>
        <x:v>L.A. Davenport</x:v>
      </x:c>
      <x:c r="D23" t="str">
        <x:f>wimbledons_champions!D54</x:f>
        <x:v>USA</x:v>
      </x:c>
      <x:c r="E23" t="n">
        <x:f>wimbledons_champions!F54</x:f>
        <x:v>3</x:v>
      </x:c>
      <x:c r="F23" t="n">
        <x:f>wimbledons_champions!G54</x:f>
        <x:v>75</x:v>
      </x:c>
      <x:c r="G23" t="str">
        <x:f>wimbledons_champions!H54</x:f>
        <x:v>6-4, 7-5</x:v>
      </x:c>
      <x:c r="H23" t="str">
        <x:f>wimbledons_champions!S54</x:f>
        <x:v>S.M. Graf</x:v>
      </x:c>
      <x:c r="I23" t="str">
        <x:f>wimbledons_champions!T54</x:f>
        <x:v>GER</x:v>
      </x:c>
      <x:c r="J23" t="n">
        <x:f>wimbledons_champions!V54</x:f>
        <x:v>2</x:v>
      </x:c>
    </x:row>
    <x:row r="24">
      <x:c r="A24" t="n">
        <x:f>wimbledons_champions!A56</x:f>
        <x:v>1998</x:v>
      </x:c>
      <x:c r="B24" t="str">
        <x:f>wimbledons_champions!B56</x:f>
        <x:v>Women's</x:v>
      </x:c>
      <x:c r="C24" t="str">
        <x:f>wimbledons_champions!C56</x:f>
        <x:v>J. Novotna</x:v>
      </x:c>
      <x:c r="D24" t="str">
        <x:f>wimbledons_champions!D56</x:f>
        <x:v>CZE</x:v>
      </x:c>
      <x:c r="E24" t="n">
        <x:f>wimbledons_champions!F56</x:f>
        <x:v>3</x:v>
      </x:c>
      <x:c r="F24" t="n">
        <x:f>wimbledons_champions!G56</x:f>
        <x:v>94</x:v>
      </x:c>
      <x:c r="G24" t="str">
        <x:f>wimbledons_champions!H56</x:f>
        <x:v>6-4, 7-6 (7-2)</x:v>
      </x:c>
      <x:c r="H24" t="str">
        <x:f>wimbledons_champions!S56</x:f>
        <x:v>N. Tauziat</x:v>
      </x:c>
      <x:c r="I24" t="str">
        <x:f>wimbledons_champions!T56</x:f>
        <x:v>FRA</x:v>
      </x:c>
      <x:c r="J24" t="n">
        <x:f>wimbledons_champions!V56</x:f>
        <x:v>16</x:v>
      </x:c>
    </x:row>
    <x:row r="25">
      <x:c r="A25" t="n">
        <x:f>wimbledons_champions!A58</x:f>
        <x:v>1997</x:v>
      </x:c>
      <x:c r="B25" t="str">
        <x:f>wimbledons_champions!B58</x:f>
        <x:v>Women's</x:v>
      </x:c>
      <x:c r="C25" t="str">
        <x:f>wimbledons_champions!C58</x:f>
        <x:v>M. Hingis</x:v>
      </x:c>
      <x:c r="D25" t="str">
        <x:f>wimbledons_champions!D58</x:f>
        <x:v>SUI</x:v>
      </x:c>
      <x:c r="E25" t="n">
        <x:f>wimbledons_champions!F58</x:f>
        <x:v>1</x:v>
      </x:c>
      <x:c r="F25" t="n">
        <x:f>wimbledons_champions!G58</x:f>
        <x:v>110</x:v>
      </x:c>
      <x:c r="G25" t="str">
        <x:f>wimbledons_champions!H58</x:f>
        <x:v>2-6, 6-3, 6-3</x:v>
      </x:c>
      <x:c r="H25" t="str">
        <x:f>wimbledons_champions!S58</x:f>
        <x:v>J. Novotna</x:v>
      </x:c>
      <x:c r="I25" t="str">
        <x:f>wimbledons_champions!T58</x:f>
        <x:v>CZE</x:v>
      </x:c>
      <x:c r="J25" t="n">
        <x:f>wimbledons_champions!V58</x:f>
        <x:v>3</x:v>
      </x:c>
    </x:row>
    <x:row r="26">
      <x:c r="A26" t="n">
        <x:f>wimbledons_champions!A60</x:f>
        <x:v>1996</x:v>
      </x:c>
      <x:c r="B26" t="str">
        <x:f>wimbledons_champions!B60</x:f>
        <x:v>Women's</x:v>
      </x:c>
      <x:c r="C26" t="str">
        <x:f>wimbledons_champions!C60</x:f>
        <x:v>S.M. Graf</x:v>
      </x:c>
      <x:c r="D26" t="str">
        <x:f>wimbledons_champions!D60</x:f>
        <x:v>GER</x:v>
      </x:c>
      <x:c r="E26" t="n">
        <x:f>wimbledons_champions!F60</x:f>
        <x:v>1</x:v>
      </x:c>
      <x:c r="F26" t="n">
        <x:f>wimbledons_champions!G60</x:f>
        <x:v>88</x:v>
      </x:c>
      <x:c r="G26" t="str">
        <x:f>wimbledons_champions!H60</x:f>
        <x:v>6-3, 7-5,</x:v>
      </x:c>
      <x:c r="H26" t="str">
        <x:f>wimbledons_champions!S60</x:f>
        <x:v>A.I.M. Sanchez Vicario</x:v>
      </x:c>
      <x:c r="I26" t="str">
        <x:f>wimbledons_champions!T60</x:f>
        <x:v>ESP</x:v>
      </x:c>
      <x:c r="J26" t="n">
        <x:f>wimbledons_champions!V60</x:f>
        <x:v>4</x:v>
      </x:c>
    </x:row>
    <x:row r="27">
      <x:c r="A27" t="n">
        <x:f>wimbledons_champions!A62</x:f>
        <x:v>1995</x:v>
      </x:c>
      <x:c r="B27" t="str">
        <x:f>wimbledons_champions!B62</x:f>
        <x:v>Women's</x:v>
      </x:c>
      <x:c r="C27" t="str">
        <x:f>wimbledons_champions!C62</x:f>
        <x:v>S.M. Graf</x:v>
      </x:c>
      <x:c r="D27" t="str">
        <x:f>wimbledons_champions!D62</x:f>
        <x:v>GER</x:v>
      </x:c>
      <x:c r="E27" t="n">
        <x:f>wimbledons_champions!F62</x:f>
        <x:v>1</x:v>
      </x:c>
      <x:c r="F27" t="n">
        <x:f>wimbledons_champions!G62</x:f>
        <x:v>122</x:v>
      </x:c>
      <x:c r="G27" t="str">
        <x:f>wimbledons_champions!H62</x:f>
        <x:v>4-6, 6-1, 7-5,</x:v>
      </x:c>
      <x:c r="H27" t="str">
        <x:f>wimbledons_champions!S62</x:f>
        <x:v>A.I.M. Sanchez Vicario</x:v>
      </x:c>
      <x:c r="I27" t="str">
        <x:f>wimbledons_champions!T62</x:f>
        <x:v>ESP</x:v>
      </x:c>
      <x:c r="J27" t="n">
        <x:f>wimbledons_champions!V62</x:f>
        <x:v>2</x:v>
      </x:c>
    </x:row>
    <x:row r="28">
      <x:c r="A28" t="n">
        <x:f>wimbledons_champions!A64</x:f>
        <x:v>1994</x:v>
      </x:c>
      <x:c r="B28" t="str">
        <x:f>wimbledons_champions!B64</x:f>
        <x:v>Women's</x:v>
      </x:c>
      <x:c r="C28" t="str">
        <x:f>wimbledons_champions!C64</x:f>
        <x:v>I.C. Martinez</x:v>
      </x:c>
      <x:c r="D28" t="str">
        <x:f>wimbledons_champions!D64</x:f>
        <x:v>ESP</x:v>
      </x:c>
      <x:c r="E28" t="n">
        <x:f>wimbledons_champions!F64</x:f>
        <x:v>3</x:v>
      </x:c>
      <x:c r="F28" t="n">
        <x:f>wimbledons_champions!G64</x:f>
        <x:v>119</x:v>
      </x:c>
      <x:c r="G28" t="str">
        <x:f>wimbledons_champions!H64</x:f>
        <x:v>6-4, 3-6, 6-3,</x:v>
      </x:c>
      <x:c r="H28" t="str">
        <x:f>wimbledons_champions!S64</x:f>
        <x:v>M. Navratilova</x:v>
      </x:c>
      <x:c r="I28" t="str">
        <x:f>wimbledons_champions!T64</x:f>
        <x:v>USA</x:v>
      </x:c>
      <x:c r="J28" t="n">
        <x:f>wimbledons_champions!V64</x:f>
        <x:v>4</x:v>
      </x:c>
    </x:row>
    <x:row r="29">
      <x:c r="A29" t="n">
        <x:f>wimbledons_champions!A66</x:f>
        <x:v>1993</x:v>
      </x:c>
      <x:c r="B29" t="str">
        <x:f>wimbledons_champions!B66</x:f>
        <x:v>Women's</x:v>
      </x:c>
      <x:c r="C29" t="str">
        <x:f>wimbledons_champions!C66</x:f>
        <x:v>S.M. Graf</x:v>
      </x:c>
      <x:c r="D29" t="str">
        <x:f>wimbledons_champions!D66</x:f>
        <x:v>GER</x:v>
      </x:c>
      <x:c r="E29" t="n">
        <x:f>wimbledons_champions!F66</x:f>
        <x:v>1</x:v>
      </x:c>
      <x:c r="F29" t="n">
        <x:f>wimbledons_champions!G66</x:f>
        <x:v>134</x:v>
      </x:c>
      <x:c r="G29" t="str">
        <x:f>wimbledons_champions!H66</x:f>
        <x:v>7-6 (8-6), 1-6, 6-4,</x:v>
      </x:c>
      <x:c r="H29" t="str">
        <x:f>wimbledons_champions!S66</x:f>
        <x:v>J. Novotna</x:v>
      </x:c>
      <x:c r="I29" t="str">
        <x:f>wimbledons_champions!T66</x:f>
        <x:v>CZE</x:v>
      </x:c>
      <x:c r="J29" t="n">
        <x:f>wimbledons_champions!V66</x:f>
        <x:v>8</x:v>
      </x:c>
    </x:row>
    <x:row r="30">
      <x:c r="A30" t="n">
        <x:f>wimbledons_champions!A68</x:f>
        <x:v>1992</x:v>
      </x:c>
      <x:c r="B30" t="str">
        <x:f>wimbledons_champions!B68</x:f>
        <x:v>Women's</x:v>
      </x:c>
      <x:c r="C30" t="str">
        <x:f>wimbledons_champions!C68</x:f>
        <x:v>S.M. Graf</x:v>
      </x:c>
      <x:c r="D30" t="str">
        <x:f>wimbledons_champions!D68</x:f>
        <x:v>GER</x:v>
      </x:c>
      <x:c r="E30" t="n">
        <x:f>wimbledons_champions!F68</x:f>
        <x:v>2</x:v>
      </x:c>
      <x:c r="F30" t="n">
        <x:f>wimbledons_champions!G68</x:f>
        <x:v>58</x:v>
      </x:c>
      <x:c r="G30" t="str">
        <x:f>wimbledons_champions!H68</x:f>
        <x:v>6-2, 6-1,</x:v>
      </x:c>
      <x:c r="H30" t="str">
        <x:f>wimbledons_champions!S68</x:f>
        <x:v>M. Seles</x:v>
      </x:c>
      <x:c r="I30" t="str">
        <x:f>wimbledons_champions!T68</x:f>
        <x:v>SRB</x:v>
      </x:c>
      <x:c r="J30" t="n">
        <x:f>wimbledons_champions!V68</x:f>
        <x:v>1</x:v>
      </x:c>
    </x:row>
    <x:row r="31">
      <x:c r="A31" t="n">
        <x:f>wimbledons_champions!A70</x:f>
        <x:v>1991</x:v>
      </x:c>
      <x:c r="B31" t="str">
        <x:f>wimbledons_champions!B70</x:f>
        <x:v>Women's</x:v>
      </x:c>
      <x:c r="C31" t="str">
        <x:f>wimbledons_champions!C70</x:f>
        <x:v>S.M. Graf</x:v>
      </x:c>
      <x:c r="D31" t="str">
        <x:f>wimbledons_champions!D70</x:f>
        <x:v>GER</x:v>
      </x:c>
      <x:c r="E31" t="n">
        <x:f>wimbledons_champions!F70</x:f>
        <x:v>1</x:v>
      </x:c>
      <x:c r="F31" t="n">
        <x:f>wimbledons_champions!G70</x:f>
        <x:v>127</x:v>
      </x:c>
      <x:c r="G31" t="str">
        <x:f>wimbledons_champions!H70</x:f>
        <x:v>6-4, 3-6, 8-6,</x:v>
      </x:c>
      <x:c r="H31" t="str">
        <x:f>wimbledons_champions!S70</x:f>
        <x:v>G.B. Sabatini</x:v>
      </x:c>
      <x:c r="I31" t="str">
        <x:f>wimbledons_champions!T70</x:f>
        <x:v>ARG</x:v>
      </x:c>
      <x:c r="J31" t="n">
        <x:f>wimbledons_champions!V70</x:f>
        <x:v>2</x:v>
      </x:c>
    </x:row>
    <x:row r="32">
      <x:c r="A32" t="n">
        <x:f>wimbledons_champions!A72</x:f>
        <x:v>1990</x:v>
      </x:c>
      <x:c r="B32" t="str">
        <x:f>wimbledons_champions!B72</x:f>
        <x:v>Women's</x:v>
      </x:c>
      <x:c r="C32" t="str">
        <x:f>wimbledons_champions!C72</x:f>
        <x:v>M. Navratilova</x:v>
      </x:c>
      <x:c r="D32" t="str">
        <x:f>wimbledons_champions!D72</x:f>
        <x:v>USA</x:v>
      </x:c>
      <x:c r="E32" t="n">
        <x:f>wimbledons_champions!F72</x:f>
        <x:v>2</x:v>
      </x:c>
      <x:c r="F32" t="n">
        <x:f>wimbledons_champions!G72</x:f>
        <x:v>75</x:v>
      </x:c>
      <x:c r="G32" t="str">
        <x:f>wimbledons_champions!H72</x:f>
        <x:v>6-4, 6-1,</x:v>
      </x:c>
      <x:c r="H32" t="str">
        <x:f>wimbledons_champions!S72</x:f>
        <x:v>Z.L. Garrison</x:v>
      </x:c>
      <x:c r="I32" t="str">
        <x:f>wimbledons_champions!T72</x:f>
        <x:v>USA</x:v>
      </x:c>
      <x:c r="J32" t="n">
        <x:f>wimbledons_champions!V72</x:f>
        <x:v>5</x:v>
      </x:c>
    </x:row>
    <x:row r="33">
      <x:c r="A33" t="n">
        <x:f>wimbledons_champions!A74</x:f>
        <x:v>1989</x:v>
      </x:c>
      <x:c r="B33" t="str">
        <x:f>wimbledons_champions!B74</x:f>
        <x:v>Women's</x:v>
      </x:c>
      <x:c r="C33" t="str">
        <x:f>wimbledons_champions!C74</x:f>
        <x:v>S.M. Graf</x:v>
      </x:c>
      <x:c r="D33" t="str">
        <x:f>wimbledons_champions!D74</x:f>
        <x:v>GER</x:v>
      </x:c>
      <x:c r="E33" t="n">
        <x:f>wimbledons_champions!F74</x:f>
        <x:v>1</x:v>
      </x:c>
      <x:c r="F33" t="n">
        <x:f>wimbledons_champions!G74</x:f>
        <x:v>92</x:v>
      </x:c>
      <x:c r="G33" t="str">
        <x:f>wimbledons_champions!H74</x:f>
        <x:v>6-2, 6-7 (1-7), 6-1,</x:v>
      </x:c>
      <x:c r="H33" t="str">
        <x:f>wimbledons_champions!S74</x:f>
        <x:v>M. Navratilova</x:v>
      </x:c>
      <x:c r="I33" t="str">
        <x:f>wimbledons_champions!T74</x:f>
        <x:v>USA</x:v>
      </x:c>
      <x:c r="J33" t="n">
        <x:f>wimbledons_champions!V74</x:f>
        <x:v>2</x:v>
      </x:c>
    </x:row>
    <x:row r="34">
      <x:c r="A34" t="n">
        <x:f>wimbledons_champions!A76</x:f>
        <x:v>1988</x:v>
      </x:c>
      <x:c r="B34" t="str">
        <x:f>wimbledons_champions!B76</x:f>
        <x:v>Women's</x:v>
      </x:c>
      <x:c r="C34" t="str">
        <x:f>wimbledons_champions!C76</x:f>
        <x:v>S.M. Graf</x:v>
      </x:c>
      <x:c r="D34" t="str">
        <x:f>wimbledons_champions!D76</x:f>
        <x:v>GER</x:v>
      </x:c>
      <x:c r="E34" t="n">
        <x:f>wimbledons_champions!F76</x:f>
        <x:v>1</x:v>
      </x:c>
      <x:c r="F34" t="n">
        <x:f>wimbledons_champions!G76</x:f>
        <x:v>93</x:v>
      </x:c>
      <x:c r="G34" t="str">
        <x:f>wimbledons_champions!H76</x:f>
        <x:v>5-7, 6-2, 6-1,</x:v>
      </x:c>
      <x:c r="H34" t="str">
        <x:f>wimbledons_champions!S76</x:f>
        <x:v>M. Navratilova</x:v>
      </x:c>
      <x:c r="I34" t="str">
        <x:f>wimbledons_champions!T76</x:f>
        <x:v>USA</x:v>
      </x:c>
      <x:c r="J34" t="n">
        <x:f>wimbledons_champions!V76</x:f>
        <x:v>2</x:v>
      </x:c>
    </x:row>
    <x:row r="35">
      <x:c r="A35" t="n">
        <x:f>wimbledons_champions!A78</x:f>
        <x:v>1987</x:v>
      </x:c>
      <x:c r="B35" t="str">
        <x:f>wimbledons_champions!B78</x:f>
        <x:v>Women's</x:v>
      </x:c>
      <x:c r="C35" t="str">
        <x:f>wimbledons_champions!C78</x:f>
        <x:v>M. Navratilova</x:v>
      </x:c>
      <x:c r="D35" t="str">
        <x:f>wimbledons_champions!D78</x:f>
        <x:v>USA</x:v>
      </x:c>
      <x:c r="E35" t="n">
        <x:f>wimbledons_champions!F78</x:f>
        <x:v>1</x:v>
      </x:c>
      <x:c r="F35" t="n">
        <x:f>wimbledons_champions!G78</x:f>
        <x:v>69</x:v>
      </x:c>
      <x:c r="G35" t="str">
        <x:f>wimbledons_champions!H78</x:f>
        <x:v>7-5, 6-3,</x:v>
      </x:c>
      <x:c r="H35" t="str">
        <x:f>wimbledons_champions!S78</x:f>
        <x:v>S.M. Graf</x:v>
      </x:c>
      <x:c r="I35" t="str">
        <x:f>wimbledons_champions!T78</x:f>
        <x:v>GER</x:v>
      </x:c>
      <x:c r="J35" t="n">
        <x:f>wimbledons_champions!V78</x:f>
        <x:v>2</x:v>
      </x:c>
    </x:row>
    <x:row r="36">
      <x:c r="A36" t="n">
        <x:f>wimbledons_champions!A80</x:f>
        <x:v>1986</x:v>
      </x:c>
      <x:c r="B36" t="str">
        <x:f>wimbledons_champions!B80</x:f>
        <x:v>Women's</x:v>
      </x:c>
      <x:c r="C36" t="str">
        <x:f>wimbledons_champions!C80</x:f>
        <x:v>M. Navratilova</x:v>
      </x:c>
      <x:c r="D36" t="str">
        <x:f>wimbledons_champions!D80</x:f>
        <x:v>USA</x:v>
      </x:c>
      <x:c r="E36" t="n">
        <x:f>wimbledons_champions!F80</x:f>
        <x:v>1</x:v>
      </x:c>
      <x:c r="F36" t="n">
        <x:f>wimbledons_champions!G80</x:f>
        <x:v>72</x:v>
      </x:c>
      <x:c r="G36" t="str">
        <x:f>wimbledons_champions!H80</x:f>
        <x:v>7-6 (7-1), 6-3,</x:v>
      </x:c>
      <x:c r="H36" t="str">
        <x:f>wimbledons_champions!S80</x:f>
        <x:v>H. Mandlikova</x:v>
      </x:c>
      <x:c r="I36" t="str">
        <x:f>wimbledons_champions!T80</x:f>
        <x:v>CZE</x:v>
      </x:c>
      <x:c r="J36" t="n">
        <x:f>wimbledons_champions!V80</x:f>
        <x:v>3</x:v>
      </x:c>
    </x:row>
    <x:row r="37">
      <x:c r="A37" t="n">
        <x:f>wimbledons_champions!A82</x:f>
        <x:v>1985</x:v>
      </x:c>
      <x:c r="B37" t="str">
        <x:f>wimbledons_champions!B82</x:f>
        <x:v>Women's</x:v>
      </x:c>
      <x:c r="C37" t="str">
        <x:f>wimbledons_champions!C82</x:f>
        <x:v>M. Navratilova</x:v>
      </x:c>
      <x:c r="D37" t="str">
        <x:f>wimbledons_champions!D82</x:f>
        <x:v>USA</x:v>
      </x:c>
      <x:c r="E37" t="n">
        <x:f>wimbledons_champions!F82</x:f>
        <x:v>1</x:v>
      </x:c>
      <x:c r="F37" t="n">
        <x:f>wimbledons_champions!G82</x:f>
        <x:v>107</x:v>
      </x:c>
      <x:c r="G37" t="str">
        <x:f>wimbledons_champions!H82</x:f>
        <x:v>4-6, 6-3, 6-2,</x:v>
      </x:c>
      <x:c r="H37" t="str">
        <x:f>wimbledons_champions!S82</x:f>
        <x:v>J.M. Lloyd</x:v>
      </x:c>
      <x:c r="I37" t="str">
        <x:f>wimbledons_champions!T82</x:f>
        <x:v>USA</x:v>
      </x:c>
      <x:c r="J37" t="n">
        <x:f>wimbledons_champions!V82</x:f>
        <x:v>1</x:v>
      </x:c>
    </x:row>
    <x:row r="38">
      <x:c r="A38" t="n">
        <x:f>wimbledons_champions!A84</x:f>
        <x:v>1984</x:v>
      </x:c>
      <x:c r="B38" t="str">
        <x:f>wimbledons_champions!B84</x:f>
        <x:v>Women's</x:v>
      </x:c>
      <x:c r="C38" t="str">
        <x:f>wimbledons_champions!C84</x:f>
        <x:v>M. Navratilova</x:v>
      </x:c>
      <x:c r="D38" t="str">
        <x:f>wimbledons_champions!D84</x:f>
        <x:v>USA</x:v>
      </x:c>
      <x:c r="E38" t="n">
        <x:f>wimbledons_champions!F84</x:f>
        <x:v>1</x:v>
      </x:c>
      <x:c r="F38" t="n">
        <x:f>wimbledons_champions!G84</x:f>
        <x:v>84</x:v>
      </x:c>
      <x:c r="G38" t="str">
        <x:f>wimbledons_champions!H84</x:f>
        <x:v>7-6 (7-5), 6-2,</x:v>
      </x:c>
      <x:c r="H38" t="str">
        <x:f>wimbledons_champions!S84</x:f>
        <x:v>J.M. Lloyd</x:v>
      </x:c>
      <x:c r="I38" t="str">
        <x:f>wimbledons_champions!T84</x:f>
        <x:v>USA</x:v>
      </x:c>
      <x:c r="J38" t="n">
        <x:f>wimbledons_champions!V84</x:f>
        <x:v>2</x:v>
      </x:c>
    </x:row>
    <x:row r="39">
      <x:c r="A39" t="n">
        <x:f>wimbledons_champions!A86</x:f>
        <x:v>1983</x:v>
      </x:c>
      <x:c r="B39" t="str">
        <x:f>wimbledons_champions!B86</x:f>
        <x:v>Women's</x:v>
      </x:c>
      <x:c r="C39" t="str">
        <x:f>wimbledons_champions!C86</x:f>
        <x:v>M. Navratilova</x:v>
      </x:c>
      <x:c r="D39" t="str">
        <x:f>wimbledons_champions!D86</x:f>
        <x:v>USA</x:v>
      </x:c>
      <x:c r="E39" t="n">
        <x:f>wimbledons_champions!F86</x:f>
        <x:v>1</x:v>
      </x:c>
      <x:c r="F39" t="n">
        <x:f>wimbledons_champions!G86</x:f>
        <x:v>54</x:v>
      </x:c>
      <x:c r="G39" t="str">
        <x:f>wimbledons_champions!H86</x:f>
        <x:v>6-0, 6-3,</x:v>
      </x:c>
      <x:c r="H39" t="str">
        <x:f>wimbledons_champions!S86</x:f>
        <x:v>A. Jaeger</x:v>
      </x:c>
      <x:c r="I39" t="str">
        <x:f>wimbledons_champions!T86</x:f>
        <x:v>USA</x:v>
      </x:c>
      <x:c r="J39" t="n">
        <x:f>wimbledons_champions!V86</x:f>
        <x:v>3</x:v>
      </x:c>
    </x:row>
    <x:row r="40">
      <x:c r="A40" t="n">
        <x:f>wimbledons_champions!A88</x:f>
        <x:v>1982</x:v>
      </x:c>
      <x:c r="B40" t="str">
        <x:f>wimbledons_champions!B88</x:f>
        <x:v>Women's</x:v>
      </x:c>
      <x:c r="C40" t="str">
        <x:f>wimbledons_champions!C88</x:f>
        <x:v>M. Navratilova</x:v>
      </x:c>
      <x:c r="D40" t="str">
        <x:f>wimbledons_champions!D88</x:f>
        <x:v>USA</x:v>
      </x:c>
      <x:c r="E40" t="n">
        <x:f>wimbledons_champions!F88</x:f>
        <x:v>1</x:v>
      </x:c>
      <x:c r="F40" t="n">
        <x:f>wimbledons_champions!G88</x:f>
        <x:v>87</x:v>
      </x:c>
      <x:c r="G40" t="str">
        <x:f>wimbledons_champions!H88</x:f>
        <x:v>6-1, 3-6, 6-2,</x:v>
      </x:c>
      <x:c r="H40" t="str">
        <x:f>wimbledons_champions!S88</x:f>
        <x:v>J.M. Lloyd</x:v>
      </x:c>
      <x:c r="I40" t="str">
        <x:f>wimbledons_champions!T88</x:f>
        <x:v>USA</x:v>
      </x:c>
      <x:c r="J40" t="n">
        <x:f>wimbledons_champions!V88</x:f>
        <x:v>2</x:v>
      </x:c>
    </x:row>
    <x:row r="41">
      <x:c r="A41" t="n">
        <x:f>wimbledons_champions!A90</x:f>
        <x:v>1981</x:v>
      </x:c>
      <x:c r="B41" t="str">
        <x:f>wimbledons_champions!B90</x:f>
        <x:v>Women's</x:v>
      </x:c>
      <x:c r="C41" t="str">
        <x:f>wimbledons_champions!C90</x:f>
        <x:v>J.M. Lloyd</x:v>
      </x:c>
      <x:c r="D41" t="str">
        <x:f>wimbledons_champions!D90</x:f>
        <x:v>USA</x:v>
      </x:c>
      <x:c r="E41" t="n">
        <x:f>wimbledons_champions!F90</x:f>
        <x:v>1</x:v>
      </x:c>
      <x:c r="F41" t="n">
        <x:f>wimbledons_champions!G90</x:f>
        <x:v>60</x:v>
      </x:c>
      <x:c r="G41" t="str">
        <x:f>wimbledons_champions!H90</x:f>
        <x:v>6-2, 6-2,</x:v>
      </x:c>
      <x:c r="H41" t="str">
        <x:f>wimbledons_champions!S90</x:f>
        <x:v>H. Mandlikova</x:v>
      </x:c>
      <x:c r="I41" t="str">
        <x:f>wimbledons_champions!T90</x:f>
        <x:v>CZE</x:v>
      </x:c>
      <x:c r="J41" t="n">
        <x:f>wimbledons_champions!V90</x:f>
        <x:v>2</x:v>
      </x:c>
    </x:row>
    <x:row r="42">
      <x:c r="A42" t="n">
        <x:f>wimbledons_champions!A92</x:f>
        <x:v>1980</x:v>
      </x:c>
      <x:c r="B42" t="str">
        <x:f>wimbledons_champions!B92</x:f>
        <x:v>Women's</x:v>
      </x:c>
      <x:c r="C42" t="str">
        <x:f>wimbledons_champions!C92</x:f>
        <x:v>R.A. Cawley</x:v>
      </x:c>
      <x:c r="D42" t="str">
        <x:f>wimbledons_champions!D92</x:f>
        <x:v>AUS</x:v>
      </x:c>
      <x:c r="E42" t="n">
        <x:f>wimbledons_champions!F92</x:f>
        <x:v>4</x:v>
      </x:c>
      <x:c r="F42" t="n">
        <x:f>wimbledons_champions!G92</x:f>
        <x:v>93</x:v>
      </x:c>
      <x:c r="G42" t="str">
        <x:f>wimbledons_champions!H92</x:f>
        <x:v>6-1, 7-6 (7-4)</x:v>
      </x:c>
      <x:c r="H42" t="str">
        <x:f>wimbledons_champions!S92</x:f>
        <x:v>J.M. Lloyd</x:v>
      </x:c>
      <x:c r="I42" t="str">
        <x:f>wimbledons_champions!T92</x:f>
        <x:v>USA</x:v>
      </x:c>
      <x:c r="J42" t="n">
        <x:f>wimbledons_champions!V92</x:f>
        <x:v>3</x:v>
      </x:c>
    </x:row>
    <x:row r="43">
      <x:c r="A43" t="n">
        <x:f>wimbledons_champions!A94</x:f>
        <x:v>1979</x:v>
      </x:c>
      <x:c r="B43" t="str">
        <x:f>wimbledons_champions!B94</x:f>
        <x:v>Women's</x:v>
      </x:c>
      <x:c r="C43" t="str">
        <x:f>wimbledons_champions!C94</x:f>
        <x:v>M. Navratilova</x:v>
      </x:c>
      <x:c r="D43" t="str">
        <x:f>wimbledons_champions!D94</x:f>
        <x:v>USA</x:v>
      </x:c>
      <x:c r="E43" t="n">
        <x:f>wimbledons_champions!F94</x:f>
        <x:v>1</x:v>
      </x:c>
      <x:c r="F43" t="n">
        <x:f>wimbledons_champions!G94</x:f>
        <x:v>60</x:v>
      </x:c>
      <x:c r="G43" t="str">
        <x:f>wimbledons_champions!H94</x:f>
        <x:v>6-4, 6-4,</x:v>
      </x:c>
      <x:c r="H43" t="str">
        <x:f>wimbledons_champions!S94</x:f>
        <x:v>J.M. Lloyd</x:v>
      </x:c>
      <x:c r="I43" t="str">
        <x:f>wimbledons_champions!T94</x:f>
        <x:v>USA</x:v>
      </x:c>
      <x:c r="J43" t="n">
        <x:f>wimbledons_champions!V94</x:f>
        <x:v>2</x:v>
      </x:c>
    </x:row>
    <x:row r="44">
      <x:c r="A44" t="n">
        <x:f>wimbledons_champions!A96</x:f>
        <x:v>1978</x:v>
      </x:c>
      <x:c r="B44" t="str">
        <x:f>wimbledons_champions!B96</x:f>
        <x:v>Women's</x:v>
      </x:c>
      <x:c r="C44" t="str">
        <x:f>wimbledons_champions!C96</x:f>
        <x:v>M. Navratilova</x:v>
      </x:c>
      <x:c r="D44" t="str">
        <x:f>wimbledons_champions!D96</x:f>
        <x:v>USA</x:v>
      </x:c>
      <x:c r="E44" t="n">
        <x:f>wimbledons_champions!F96</x:f>
        <x:v>2</x:v>
      </x:c>
      <x:c r="F44" t="n">
        <x:f>wimbledons_champions!G96</x:f>
        <x:v>102</x:v>
      </x:c>
      <x:c r="G44" t="str">
        <x:f>wimbledons_champions!H96</x:f>
        <x:v>2-6, 6-4, 7-5,</x:v>
      </x:c>
      <x:c r="H44" t="str">
        <x:f>wimbledons_champions!S96</x:f>
        <x:v>C.M. Evert</x:v>
      </x:c>
      <x:c r="I44" t="str">
        <x:f>wimbledons_champions!T96</x:f>
        <x:v>USA</x:v>
      </x:c>
      <x:c r="J44" t="n">
        <x:f>wimbledons_champions!V96</x:f>
        <x:v>1</x:v>
      </x:c>
    </x:row>
    <x:row r="45">
      <x:c r="A45" t="n">
        <x:f>wimbledons_champions!A98</x:f>
        <x:v>1977</x:v>
      </x:c>
      <x:c r="B45" t="str">
        <x:f>wimbledons_champions!B98</x:f>
        <x:v>Women's</x:v>
      </x:c>
      <x:c r="C45" t="str">
        <x:f>wimbledons_champions!C98</x:f>
        <x:v>S.V. Wade</x:v>
      </x:c>
      <x:c r="D45" t="str">
        <x:f>wimbledons_champions!D98</x:f>
        <x:v>GBR</x:v>
      </x:c>
      <x:c r="E45" t="n">
        <x:f>wimbledons_champions!F98</x:f>
        <x:v>3</x:v>
      </x:c>
      <x:c r="F45" t="n">
        <x:f>wimbledons_champions!G98</x:f>
        <x:v>98</x:v>
      </x:c>
      <x:c r="G45" t="str">
        <x:f>wimbledons_champions!H98</x:f>
        <x:v>4-6, 6-3, 6-1,</x:v>
      </x:c>
      <x:c r="H45" t="str">
        <x:f>wimbledons_champions!S98</x:f>
        <x:v>B.F. Stove</x:v>
      </x:c>
      <x:c r="I45" t="str">
        <x:f>wimbledons_champions!T98</x:f>
        <x:v>NED</x:v>
      </x:c>
      <x:c r="J45" t="n">
        <x:f>wimbledons_champions!V98</x:f>
        <x:v>7</x:v>
      </x:c>
    </x:row>
    <x:row r="46">
      <x:c r="A46" t="n">
        <x:f>wimbledons_champions!A100</x:f>
        <x:v>1976</x:v>
      </x:c>
      <x:c r="B46" t="str">
        <x:f>wimbledons_champions!B100</x:f>
        <x:v>Women's</x:v>
      </x:c>
      <x:c r="C46" t="str">
        <x:f>wimbledons_champions!C100</x:f>
        <x:v>C.M. Evert</x:v>
      </x:c>
      <x:c r="D46" t="str">
        <x:f>wimbledons_champions!D100</x:f>
        <x:v>USA</x:v>
      </x:c>
      <x:c r="E46" t="n">
        <x:f>wimbledons_champions!F100</x:f>
        <x:v>1</x:v>
      </x:c>
      <x:c r="F46" t="n">
        <x:f>wimbledons_champions!G100</x:f>
        <x:v>120</x:v>
      </x:c>
      <x:c r="G46" t="str">
        <x:f>wimbledons_champions!H100</x:f>
        <x:v>6-3, 4-6, 8-6,</x:v>
      </x:c>
      <x:c r="H46" t="str">
        <x:f>wimbledons_champions!S100</x:f>
        <x:v>R.A. Cawley</x:v>
      </x:c>
      <x:c r="I46" t="str">
        <x:f>wimbledons_champions!T100</x:f>
        <x:v>AUS</x:v>
      </x:c>
      <x:c r="J46" t="n">
        <x:f>wimbledons_champions!V100</x:f>
        <x:v>2</x:v>
      </x:c>
    </x:row>
    <x:row r="47">
      <x:c r="A47" t="n">
        <x:f>wimbledons_champions!A102</x:f>
        <x:v>1975</x:v>
      </x:c>
      <x:c r="B47" t="str">
        <x:f>wimbledons_champions!B102</x:f>
        <x:v>Women's</x:v>
      </x:c>
      <x:c r="C47" t="str">
        <x:f>wimbledons_champions!C102</x:f>
        <x:v>L.W. King</x:v>
      </x:c>
      <x:c r="D47" t="str">
        <x:f>wimbledons_champions!D102</x:f>
        <x:v>USA</x:v>
      </x:c>
      <x:c r="E47" t="n">
        <x:f>wimbledons_champions!F102</x:f>
        <x:v>3</x:v>
      </x:c>
      <x:c r="F47" t="n">
        <x:f>wimbledons_champions!G102</x:f>
        <x:v>38</x:v>
      </x:c>
      <x:c r="G47" t="str">
        <x:f>wimbledons_champions!H102</x:f>
        <x:v>6-0, 6-1,</x:v>
      </x:c>
      <x:c r="H47" t="str">
        <x:f>wimbledons_champions!S102</x:f>
        <x:v>R.A. Cawley</x:v>
      </x:c>
      <x:c r="I47" t="str">
        <x:f>wimbledons_champions!T102</x:f>
        <x:v>AUS</x:v>
      </x:c>
      <x:c r="J47" t="n">
        <x:f>wimbledons_champions!V102</x:f>
        <x:v>4</x:v>
      </x:c>
    </x:row>
    <x:row r="48">
      <x:c r="A48" t="n">
        <x:f>wimbledons_champions!A104</x:f>
        <x:v>1974</x:v>
      </x:c>
      <x:c r="B48" t="str">
        <x:f>wimbledons_champions!B104</x:f>
        <x:v>Women's</x:v>
      </x:c>
      <x:c r="C48" t="str">
        <x:f>wimbledons_champions!C104</x:f>
        <x:v>C.M. Evert</x:v>
      </x:c>
      <x:c r="D48" t="str">
        <x:f>wimbledons_champions!D104</x:f>
        <x:v>USA</x:v>
      </x:c>
      <x:c r="E48" t="n">
        <x:f>wimbledons_champions!F104</x:f>
        <x:v>2</x:v>
      </x:c>
      <x:c r="F48" t="n">
        <x:f>wimbledons_champions!G104</x:f>
        <x:v>59</x:v>
      </x:c>
      <x:c r="G48" t="str">
        <x:f>wimbledons_champions!H104</x:f>
        <x:v>6-0, 6-4</x:v>
      </x:c>
      <x:c r="H48" t="str">
        <x:f>wimbledons_champions!S104</x:f>
        <x:v>O.V. Morozova</x:v>
      </x:c>
      <x:c r="I48" t="str">
        <x:f>wimbledons_champions!T104</x:f>
        <x:v>URS</x:v>
      </x:c>
      <x:c r="J48" t="n">
        <x:f>wimbledons_champions!V104</x:f>
        <x:v>8</x:v>
      </x:c>
    </x:row>
    <x:row r="49">
      <x:c r="A49" t="n">
        <x:f>wimbledons_champions!A106</x:f>
        <x:v>1973</x:v>
      </x:c>
      <x:c r="B49" t="str">
        <x:f>wimbledons_champions!B106</x:f>
        <x:v>Women's</x:v>
      </x:c>
      <x:c r="C49" t="str">
        <x:f>wimbledons_champions!C106</x:f>
        <x:v>L.W. King</x:v>
      </x:c>
      <x:c r="D49" t="str">
        <x:f>wimbledons_champions!D106</x:f>
        <x:v>USA</x:v>
      </x:c>
      <x:c r="E49" t="n">
        <x:f>wimbledons_champions!F106</x:f>
        <x:v>2</x:v>
      </x:c>
      <x:c r="F49" t="n">
        <x:f>wimbledons_champions!G106</x:f>
        <x:v>53</x:v>
      </x:c>
      <x:c r="G49" t="str">
        <x:f>wimbledons_champions!H106</x:f>
        <x:v>6-0, 7-5</x:v>
      </x:c>
      <x:c r="H49" t="str">
        <x:f>wimbledons_champions!S106</x:f>
        <x:v>C.M. Evert</x:v>
      </x:c>
      <x:c r="I49" t="str">
        <x:f>wimbledons_champions!T106</x:f>
        <x:v>USA</x:v>
      </x:c>
      <x:c r="J49" t="n">
        <x:f>wimbledons_champions!V106</x:f>
        <x:v>4</x:v>
      </x:c>
    </x:row>
    <x:row r="50">
      <x:c r="A50" t="n">
        <x:f>wimbledons_champions!A108</x:f>
        <x:v>1972</x:v>
      </x:c>
      <x:c r="B50" t="str">
        <x:f>wimbledons_champions!B108</x:f>
        <x:v>Women's</x:v>
      </x:c>
      <x:c r="C50" t="str">
        <x:f>wimbledons_champions!C108</x:f>
        <x:v>L.W. King</x:v>
      </x:c>
      <x:c r="D50" t="str">
        <x:f>wimbledons_champions!D108</x:f>
        <x:v>USA</x:v>
      </x:c>
      <x:c r="E50" t="n">
        <x:f>wimbledons_champions!F108</x:f>
        <x:v>2</x:v>
      </x:c>
      <x:c r="F50" t="n">
        <x:f>wimbledons_champions!G108</x:f>
        <x:v>50</x:v>
      </x:c>
      <x:c r="G50" t="str">
        <x:f>wimbledons_champions!H108</x:f>
        <x:v>6-3, 6-3,</x:v>
      </x:c>
      <x:c r="H50" t="str">
        <x:f>wimbledons_champions!S108</x:f>
        <x:v>E.F. Goolagong</x:v>
      </x:c>
      <x:c r="I50" t="str">
        <x:f>wimbledons_champions!T108</x:f>
        <x:v>AUS</x:v>
      </x:c>
      <x:c r="J50" t="n">
        <x:f>wimbledons_champions!V108</x:f>
        <x:v>1</x:v>
      </x:c>
    </x:row>
    <x:row r="51">
      <x:c r="A51" t="n">
        <x:f>wimbledons_champions!A110</x:f>
        <x:v>1971</x:v>
      </x:c>
      <x:c r="B51" t="str">
        <x:f>wimbledons_champions!B110</x:f>
        <x:v>Women's</x:v>
      </x:c>
      <x:c r="C51" t="str">
        <x:f>wimbledons_champions!C110</x:f>
        <x:v>E.F. Goolagong</x:v>
      </x:c>
      <x:c r="D51" t="str">
        <x:f>wimbledons_champions!D110</x:f>
        <x:v>AUS</x:v>
      </x:c>
      <x:c r="E51" t="n">
        <x:f>wimbledons_champions!F110</x:f>
        <x:v>3</x:v>
      </x:c>
      <x:c r="F51" t="n">
        <x:f>wimbledons_champions!G110</x:f>
        <x:v>62</x:v>
      </x:c>
      <x:c r="G51" t="str">
        <x:f>wimbledons_champions!H110</x:f>
        <x:v>6-4, 6-1,</x:v>
      </x:c>
      <x:c r="H51" t="str">
        <x:f>wimbledons_champions!S110</x:f>
        <x:v>B.M. Court</x:v>
      </x:c>
      <x:c r="I51" t="str">
        <x:f>wimbledons_champions!T110</x:f>
        <x:v>AUS</x:v>
      </x:c>
      <x:c r="J51" t="n">
        <x:f>wimbledons_champions!V110</x:f>
        <x:v>1</x:v>
      </x:c>
    </x:row>
    <x:row r="52">
      <x:c r="A52" t="n">
        <x:f>wimbledons_champions!A112</x:f>
        <x:v>1970</x:v>
      </x:c>
      <x:c r="B52" t="str">
        <x:f>wimbledons_champions!B112</x:f>
        <x:v>Women's</x:v>
      </x:c>
      <x:c r="C52" t="str">
        <x:f>wimbledons_champions!C112</x:f>
        <x:v>B.M. Court</x:v>
      </x:c>
      <x:c r="D52" t="str">
        <x:f>wimbledons_champions!D112</x:f>
        <x:v>AUS</x:v>
      </x:c>
      <x:c r="E52" t="n">
        <x:f>wimbledons_champions!F112</x:f>
        <x:v>1</x:v>
      </x:c>
      <x:c r="F52" t="n">
        <x:f>wimbledons_champions!G112</x:f>
        <x:v>148</x:v>
      </x:c>
      <x:c r="G52" t="str">
        <x:f>wimbledons_champions!H112</x:f>
        <x:v>14-12, 11-9,</x:v>
      </x:c>
      <x:c r="H52" t="str">
        <x:f>wimbledons_champions!S112</x:f>
        <x:v>L.W. King</x:v>
      </x:c>
      <x:c r="I52" t="str">
        <x:f>wimbledons_champions!T112</x:f>
        <x:v>USA</x:v>
      </x:c>
      <x:c r="J52" t="n">
        <x:f>wimbledons_champions!V112</x:f>
        <x:v>2</x:v>
      </x:c>
    </x:row>
    <x:row r="53">
      <x:c r="A53" t="n">
        <x:f>wimbledons_champions!A114</x:f>
        <x:v>1969</x:v>
      </x:c>
      <x:c r="B53" t="str">
        <x:f>wimbledons_champions!B114</x:f>
        <x:v>Women's</x:v>
      </x:c>
      <x:c r="C53" t="str">
        <x:f>wimbledons_champions!C114</x:f>
        <x:v>P.F. Jones</x:v>
      </x:c>
      <x:c r="D53" t="str">
        <x:f>wimbledons_champions!D114</x:f>
        <x:v>GBR</x:v>
      </x:c>
      <x:c r="E53" t="n">
        <x:f>wimbledons_champions!F114</x:f>
        <x:v>4</x:v>
      </x:c>
      <x:c r="F53" t="n">
        <x:f>wimbledons_champions!G114</x:f>
        <x:v>71</x:v>
      </x:c>
      <x:c r="G53" t="str">
        <x:f>wimbledons_champions!H114</x:f>
        <x:v>3-6, 6-3, 6-2,</x:v>
      </x:c>
      <x:c r="H53" t="str">
        <x:f>wimbledons_champions!S114</x:f>
        <x:v>L.W. King</x:v>
      </x:c>
      <x:c r="I53" t="str">
        <x:f>wimbledons_champions!T114</x:f>
        <x:v>USA</x:v>
      </x:c>
      <x:c r="J53" t="n">
        <x:f>wimbledons_champions!V114</x:f>
        <x:v>2</x:v>
      </x:c>
    </x:row>
    <x:row r="54">
      <x:c r="A54" t="n">
        <x:f>wimbledons_champions!A116</x:f>
        <x:v>1968</x:v>
      </x:c>
      <x:c r="B54" t="str">
        <x:f>wimbledons_champions!B116</x:f>
        <x:v>Women's</x:v>
      </x:c>
      <x:c r="C54" t="str">
        <x:f>wimbledons_champions!C116</x:f>
        <x:v>L.W. King</x:v>
      </x:c>
      <x:c r="D54" t="str">
        <x:f>wimbledons_champions!D116</x:f>
        <x:v>USA</x:v>
      </x:c>
      <x:c r="E54" t="n">
        <x:f>wimbledons_champions!F116</x:f>
        <x:v>1</x:v>
      </x:c>
      <x:c r="F54" t="n">
        <x:f>wimbledons_champions!G116</x:f>
        <x:v>69</x:v>
      </x:c>
      <x:c r="G54" t="str">
        <x:f>wimbledons_champions!H116</x:f>
        <x:v>9-7, 7-5,</x:v>
      </x:c>
      <x:c r="H54" t="str">
        <x:f>wimbledons_champions!S116</x:f>
        <x:v>J.A.M. Tegart</x:v>
      </x:c>
      <x:c r="I54" t="str">
        <x:f>wimbledons_champions!T116</x:f>
        <x:v>AUS</x:v>
      </x:c>
      <x:c r="J54" t="n">
        <x:f>wimbledons_champions!V116</x:f>
        <x:v>7</x:v>
      </x:c>
    </x:row>
    <x:row r="55">
      <x:c r="A55" t="n">
        <x:f>wimbledons_champions!A118</x:f>
        <x:v>1967</x:v>
      </x:c>
      <x:c r="B55" t="str">
        <x:f>wimbledons_champions!B118</x:f>
        <x:v>Women's</x:v>
      </x:c>
      <x:c r="C55" t="str">
        <x:f>wimbledons_champions!C118</x:f>
        <x:v>L.W. King</x:v>
      </x:c>
      <x:c r="D55" t="str">
        <x:f>wimbledons_champions!D118</x:f>
        <x:v>USA</x:v>
      </x:c>
      <x:c r="E55" t="n">
        <x:f>wimbledons_champions!F118</x:f>
        <x:v>1</x:v>
      </x:c>
      <x:c r="F55" t="n">
        <x:f>wimbledons_champions!G118</x:f>
        <x:v>60</x:v>
      </x:c>
      <x:c r="G55" t="str">
        <x:f>wimbledons_champions!H118</x:f>
        <x:v>6-3, 6-4,</x:v>
      </x:c>
      <x:c r="H55" t="str">
        <x:f>wimbledons_champions!S118</x:f>
        <x:v>P.F. Jones</x:v>
      </x:c>
      <x:c r="I55" t="str">
        <x:f>wimbledons_champions!T118</x:f>
        <x:v>GBR</x:v>
      </x:c>
      <x:c r="J55" t="n">
        <x:f>wimbledons_champions!V118</x:f>
        <x:v>3</x:v>
      </x:c>
    </x:row>
    <x:row r="56">
      <x:c r="A56" t="n">
        <x:f>wimbledons_champions!A120</x:f>
        <x:v>1966</x:v>
      </x:c>
      <x:c r="B56" t="str">
        <x:f>wimbledons_champions!B120</x:f>
        <x:v>Women's</x:v>
      </x:c>
      <x:c r="C56" t="str">
        <x:f>wimbledons_champions!C120</x:f>
        <x:v>L.W. King</x:v>
      </x:c>
      <x:c r="D56" t="str">
        <x:f>wimbledons_champions!D120</x:f>
        <x:v>USA</x:v>
      </x:c>
      <x:c r="E56" t="n">
        <x:f>wimbledons_champions!F120</x:f>
        <x:v>4</x:v>
      </x:c>
      <x:c r="F56" t="n">
        <x:f>wimbledons_champions!G120</x:f>
        <x:v>68</x:v>
      </x:c>
      <x:c r="G56" t="str">
        <x:f>wimbledons_champions!H120</x:f>
        <x:v>6-3, 3-6, 6-1,</x:v>
      </x:c>
      <x:c r="H56" t="str">
        <x:f>wimbledons_champions!S120</x:f>
        <x:v>M.E.A. Bueno</x:v>
      </x:c>
      <x:c r="I56" t="str">
        <x:f>wimbledons_champions!T120</x:f>
        <x:v>BRA</x:v>
      </x:c>
      <x:c r="J56" t="n">
        <x:f>wimbledons_champions!V120</x:f>
        <x:v>2</x:v>
      </x:c>
    </x:row>
    <x:row r="57">
      <x:c r="A57" t="n">
        <x:f>wimbledons_champions!A122</x:f>
        <x:v>1965</x:v>
      </x:c>
      <x:c r="B57" t="str">
        <x:f>wimbledons_champions!B122</x:f>
        <x:v>Women's</x:v>
      </x:c>
      <x:c r="C57" t="str">
        <x:f>wimbledons_champions!C122</x:f>
        <x:v>B.M. Court</x:v>
      </x:c>
      <x:c r="D57" t="str">
        <x:f>wimbledons_champions!D122</x:f>
        <x:v>AUS</x:v>
      </x:c>
      <x:c r="E57" t="n">
        <x:f>wimbledons_champions!F122</x:f>
        <x:v>2</x:v>
      </x:c>
      <x:c r="F57" t="n">
        <x:f>wimbledons_champions!G122</x:f>
        <x:v>56</x:v>
      </x:c>
      <x:c r="G57" t="str">
        <x:f>wimbledons_champions!H122</x:f>
        <x:v>6-4, 7-5,</x:v>
      </x:c>
      <x:c r="H57" t="str">
        <x:f>wimbledons_champions!S122</x:f>
        <x:v>M.E.A. Bueno</x:v>
      </x:c>
      <x:c r="I57" t="str">
        <x:f>wimbledons_champions!T122</x:f>
        <x:v>BRA</x:v>
      </x:c>
      <x:c r="J57" t="n">
        <x:f>wimbledons_champions!V122</x:f>
        <x:v>1</x:v>
      </x:c>
    </x:row>
    <x:row r="58">
      <x:c r="A58" t="n">
        <x:f>wimbledons_champions!A124</x:f>
        <x:v>1964</x:v>
      </x:c>
      <x:c r="B58" t="str">
        <x:f>wimbledons_champions!B124</x:f>
        <x:v>Women's</x:v>
      </x:c>
      <x:c r="C58" t="str">
        <x:f>wimbledons_champions!C124</x:f>
        <x:v>M.E.A. Bueno</x:v>
      </x:c>
      <x:c r="D58" t="str">
        <x:f>wimbledons_champions!D124</x:f>
        <x:v>BRA</x:v>
      </x:c>
      <x:c r="E58" t="n">
        <x:f>wimbledons_champions!F124</x:f>
        <x:v>2</x:v>
      </x:c>
      <x:c r="F58" t="n">
        <x:f>wimbledons_champions!G124</x:f>
        <x:v>90</x:v>
      </x:c>
      <x:c r="G58" t="str">
        <x:f>wimbledons_champions!H124</x:f>
        <x:v>6-4, 7-9, 6-3,</x:v>
      </x:c>
      <x:c r="H58" t="str">
        <x:f>wimbledons_champions!S124</x:f>
        <x:v>B.M. Court</x:v>
      </x:c>
      <x:c r="I58" t="str">
        <x:f>wimbledons_champions!T124</x:f>
        <x:v>AUS</x:v>
      </x:c>
      <x:c r="J58" t="n">
        <x:f>wimbledons_champions!V124</x:f>
        <x:v>1</x:v>
      </x:c>
    </x:row>
    <x:row r="59">
      <x:c r="A59" t="n">
        <x:f>wimbledons_champions!A126</x:f>
        <x:v>1963</x:v>
      </x:c>
      <x:c r="B59" t="str">
        <x:f>wimbledons_champions!B126</x:f>
        <x:v>Women's</x:v>
      </x:c>
      <x:c r="C59" t="str">
        <x:f>wimbledons_champions!C126</x:f>
        <x:v>B.M. Court</x:v>
      </x:c>
      <x:c r="D59" t="str">
        <x:f>wimbledons_champions!D126</x:f>
        <x:v>AUS</x:v>
      </x:c>
      <x:c r="E59" t="n">
        <x:f>wimbledons_champions!F126</x:f>
        <x:v>1</x:v>
      </x:c>
      <x:c r="F59" t="n">
        <x:f>wimbledons_champions!G126</x:f>
        <x:v>51</x:v>
      </x:c>
      <x:c r="G59" t="str">
        <x:f>wimbledons_champions!H126</x:f>
        <x:v>6-3, 6-4,</x:v>
      </x:c>
      <x:c r="H59" t="str">
        <x:f>wimbledons_champions!S126</x:f>
        <x:v>B.J. Moffitt</x:v>
      </x:c>
      <x:c r="I59" t="str">
        <x:f>wimbledons_champions!T126</x:f>
        <x:v>USA</x:v>
      </x:c>
      <x:c r="J59" t="str">
        <x:f>wimbledons_champions!V126</x:f>
        <x:v>U</x:v>
      </x:c>
    </x:row>
    <x:row r="60">
      <x:c r="A60" t="n">
        <x:f>wimbledons_champions!A128</x:f>
        <x:v>1962</x:v>
      </x:c>
      <x:c r="B60" t="str">
        <x:f>wimbledons_champions!B128</x:f>
        <x:v>Women's</x:v>
      </x:c>
      <x:c r="C60" t="str">
        <x:f>wimbledons_champions!C128</x:f>
        <x:v>J.R. Susman</x:v>
      </x:c>
      <x:c r="D60" t="str">
        <x:f>wimbledons_champions!D128</x:f>
        <x:v>USA</x:v>
      </x:c>
      <x:c r="E60" t="n">
        <x:f>wimbledons_champions!F128</x:f>
        <x:v>8</x:v>
      </x:c>
      <x:c r="F60" t="n">
        <x:f>wimbledons_champions!G128</x:f>
        <x:v>57</x:v>
      </x:c>
      <x:c r="G60" t="str">
        <x:f>wimbledons_champions!H128</x:f>
        <x:v>6-4, 6-4,</x:v>
      </x:c>
      <x:c r="H60" t="str">
        <x:f>wimbledons_champions!S128</x:f>
        <x:v>C. Sukova</x:v>
      </x:c>
      <x:c r="I60" t="str">
        <x:f>wimbledons_champions!T128</x:f>
        <x:v>CZE</x:v>
      </x:c>
      <x:c r="J60" t="str">
        <x:f>wimbledons_champions!V128</x:f>
        <x:v>U</x:v>
      </x:c>
    </x:row>
    <x:row r="61">
      <x:c r="A61" t="n">
        <x:f>wimbledons_champions!A130</x:f>
        <x:v>1961</x:v>
      </x:c>
      <x:c r="B61" t="str">
        <x:f>wimbledons_champions!B130</x:f>
        <x:v>Women's</x:v>
      </x:c>
      <x:c r="C61" t="str">
        <x:f>wimbledons_champions!C130</x:f>
        <x:v>F.A.M. Mortimer</x:v>
      </x:c>
      <x:c r="D61" t="str">
        <x:f>wimbledons_champions!D130</x:f>
        <x:v>GBR</x:v>
      </x:c>
      <x:c r="E61" t="n">
        <x:f>wimbledons_champions!F130</x:f>
        <x:v>7</x:v>
      </x:c>
      <x:c r="F61" t="n">
        <x:f>wimbledons_champions!G130</x:f>
        <x:v>96</x:v>
      </x:c>
      <x:c r="G61" t="str">
        <x:f>wimbledons_champions!H130</x:f>
        <x:v>4-6, 6-4, 7-5,</x:v>
      </x:c>
      <x:c r="H61" t="str">
        <x:f>wimbledons_champions!S130</x:f>
        <x:v>C.C. Truman</x:v>
      </x:c>
      <x:c r="I61" t="str">
        <x:f>wimbledons_champions!T130</x:f>
        <x:v>GBR</x:v>
      </x:c>
      <x:c r="J61" t="n">
        <x:f>wimbledons_champions!V130</x:f>
        <x:v>6</x:v>
      </x:c>
    </x:row>
    <x:row r="62">
      <x:c r="A62" t="n">
        <x:f>wimbledons_champions!A132</x:f>
        <x:v>1960</x:v>
      </x:c>
      <x:c r="B62" t="str">
        <x:f>wimbledons_champions!B132</x:f>
        <x:v>Women's</x:v>
      </x:c>
      <x:c r="C62" t="str">
        <x:f>wimbledons_champions!C132</x:f>
        <x:v>M.E.A. Bueno</x:v>
      </x:c>
      <x:c r="D62" t="str">
        <x:f>wimbledons_champions!D132</x:f>
        <x:v>BRA</x:v>
      </x:c>
      <x:c r="E62" t="n">
        <x:f>wimbledons_champions!F132</x:f>
        <x:v>1</x:v>
      </x:c>
      <x:c r="F62" t="n">
        <x:f>wimbledons_champions!G132</x:f>
        <x:v>59</x:v>
      </x:c>
      <x:c r="G62" t="str">
        <x:f>wimbledons_champions!H132</x:f>
        <x:v>8-6, 6-0</x:v>
      </x:c>
      <x:c r="H62" t="str">
        <x:f>wimbledons_champions!S132</x:f>
        <x:v>S. Reynolds</x:v>
      </x:c>
      <x:c r="I62" t="str">
        <x:f>wimbledons_champions!T132</x:f>
        <x:v>RSA</x:v>
      </x:c>
      <x:c r="J62" t="n">
        <x:f>wimbledons_champions!V132</x:f>
        <x:v>8</x:v>
      </x:c>
    </x:row>
    <x:row r="63">
      <x:c r="A63" t="n">
        <x:f>wimbledons_champions!A134</x:f>
        <x:v>1959</x:v>
      </x:c>
      <x:c r="B63" t="str">
        <x:f>wimbledons_champions!B134</x:f>
        <x:v>Women's</x:v>
      </x:c>
      <x:c r="C63" t="str">
        <x:f>wimbledons_champions!C134</x:f>
        <x:v>M.E.A. Bueno</x:v>
      </x:c>
      <x:c r="D63" t="str">
        <x:f>wimbledons_champions!D134</x:f>
        <x:v>BRA</x:v>
      </x:c>
      <x:c r="E63" t="n">
        <x:f>wimbledons_champions!F134</x:f>
        <x:v>6</x:v>
      </x:c>
      <x:c r="F63" t="n">
        <x:f>wimbledons_champions!G134</x:f>
        <x:v>43</x:v>
      </x:c>
      <x:c r="G63" t="str">
        <x:f>wimbledons_champions!H134</x:f>
        <x:v>6-4, 6-3,</x:v>
      </x:c>
      <x:c r="H63" t="str">
        <x:f>wimbledons_champions!S134</x:f>
        <x:v>D.R. Hard</x:v>
      </x:c>
      <x:c r="I63" t="str">
        <x:f>wimbledons_champions!T134</x:f>
        <x:v>USA</x:v>
      </x:c>
      <x:c r="J63" t="n">
        <x:f>wimbledons_champions!V134</x:f>
        <x:v>4</x:v>
      </x:c>
    </x:row>
    <x:row r="64">
      <x:c r="A64" t="n">
        <x:f>wimbledons_champions!A136</x:f>
        <x:v>1958</x:v>
      </x:c>
      <x:c r="B64" t="str">
        <x:f>wimbledons_champions!B136</x:f>
        <x:v>Women's</x:v>
      </x:c>
      <x:c r="C64" t="str">
        <x:f>wimbledons_champions!C136</x:f>
        <x:v>A. Gibson</x:v>
      </x:c>
      <x:c r="D64" t="str">
        <x:f>wimbledons_champions!D136</x:f>
        <x:v>USA</x:v>
      </x:c>
      <x:c r="E64" t="n">
        <x:f>wimbledons_champions!F136</x:f>
        <x:v>1</x:v>
      </x:c>
      <x:c r="F64" t="n">
        <x:f>wimbledons_champions!G136</x:f>
        <x:v>62</x:v>
      </x:c>
      <x:c r="G64" t="str">
        <x:f>wimbledons_champions!H136</x:f>
        <x:v>8-6, 6-2,</x:v>
      </x:c>
      <x:c r="H64" t="str">
        <x:f>wimbledons_champions!S136</x:f>
        <x:v>F.A.M. Mortimer</x:v>
      </x:c>
      <x:c r="I64" t="str">
        <x:f>wimbledons_champions!T136</x:f>
        <x:v>GBR</x:v>
      </x:c>
      <x:c r="J64" t="str">
        <x:f>wimbledons_champions!V136</x:f>
        <x:v>U</x:v>
      </x:c>
    </x:row>
    <x:row r="65">
      <x:c r="A65" t="n">
        <x:f>wimbledons_champions!A138</x:f>
        <x:v>1957</x:v>
      </x:c>
      <x:c r="B65" t="str">
        <x:f>wimbledons_champions!B138</x:f>
        <x:v>Women's</x:v>
      </x:c>
      <x:c r="C65" t="str">
        <x:f>wimbledons_champions!C138</x:f>
        <x:v>A. Gibson</x:v>
      </x:c>
      <x:c r="D65" t="str">
        <x:f>wimbledons_champions!D138</x:f>
        <x:v>USA</x:v>
      </x:c>
      <x:c r="E65" t="n">
        <x:f>wimbledons_champions!F138</x:f>
        <x:v>1</x:v>
      </x:c>
      <x:c r="F65" t="n">
        <x:f>wimbledons_champions!G138</x:f>
        <x:v>50</x:v>
      </x:c>
      <x:c r="G65" t="str">
        <x:f>wimbledons_champions!H138</x:f>
        <x:v>6-3, 6-2,</x:v>
      </x:c>
      <x:c r="H65" t="str">
        <x:f>wimbledons_champions!S138</x:f>
        <x:v>D.R. Hard</x:v>
      </x:c>
      <x:c r="I65" t="str">
        <x:f>wimbledons_champions!T138</x:f>
        <x:v>USA</x:v>
      </x:c>
      <x:c r="J65" t="n">
        <x:f>wimbledons_champions!V138</x:f>
        <x:v>5</x:v>
      </x:c>
    </x:row>
    <x:row r="66">
      <x:c r="A66" t="n">
        <x:f>wimbledons_champions!A140</x:f>
        <x:v>1956</x:v>
      </x:c>
      <x:c r="B66" t="str">
        <x:f>wimbledons_champions!B140</x:f>
        <x:v>Women's</x:v>
      </x:c>
      <x:c r="C66" t="str">
        <x:f>wimbledons_champions!C140</x:f>
        <x:v>S.J. Fry</x:v>
      </x:c>
      <x:c r="D66" t="str">
        <x:f>wimbledons_champions!D140</x:f>
        <x:v>USA</x:v>
      </x:c>
      <x:c r="E66" t="n">
        <x:f>wimbledons_champions!F140</x:f>
        <x:v>5</x:v>
      </x:c>
      <x:c r="F66" t="n">
        <x:f>wimbledons_champions!G140</x:f>
        <x:v>50</x:v>
      </x:c>
      <x:c r="G66" t="str">
        <x:f>wimbledons_champions!H140</x:f>
        <x:v>6-3, 6-1,</x:v>
      </x:c>
      <x:c r="H66" t="str">
        <x:f>wimbledons_champions!S140</x:f>
        <x:v>A. Buxton</x:v>
      </x:c>
      <x:c r="I66" t="str">
        <x:f>wimbledons_champions!T140</x:f>
        <x:v>GBR</x:v>
      </x:c>
      <x:c r="J66" t="n">
        <x:f>wimbledons_champions!V140</x:f>
        <x:v>6</x:v>
      </x:c>
    </x:row>
    <x:row r="67">
      <x:c r="A67" t="n">
        <x:f>wimbledons_champions!A142</x:f>
        <x:v>1955</x:v>
      </x:c>
      <x:c r="B67" t="str">
        <x:f>wimbledons_champions!B142</x:f>
        <x:v>Women's</x:v>
      </x:c>
      <x:c r="C67" t="str">
        <x:f>wimbledons_champions!C142</x:f>
        <x:v>A.L. Brough</x:v>
      </x:c>
      <x:c r="D67" t="str">
        <x:f>wimbledons_champions!D142</x:f>
        <x:v>USA</x:v>
      </x:c>
      <x:c r="E67" t="n">
        <x:f>wimbledons_champions!F142</x:f>
        <x:v>2</x:v>
      </x:c>
      <x:c r="F67" t="n">
        <x:f>wimbledons_champions!G142</x:f>
        <x:v>90</x:v>
      </x:c>
      <x:c r="G67" t="str">
        <x:f>wimbledons_champions!H142</x:f>
        <x:v>7-5, 8-6,</x:v>
      </x:c>
      <x:c r="H67" t="str">
        <x:f>wimbledons_champions!S142</x:f>
        <x:v>J.G. Fleitz</x:v>
      </x:c>
      <x:c r="I67" t="str">
        <x:f>wimbledons_champions!T142</x:f>
        <x:v>USA</x:v>
      </x:c>
      <x:c r="J67" t="n">
        <x:f>wimbledons_champions!V142</x:f>
        <x:v>3</x:v>
      </x:c>
    </x:row>
    <x:row r="68">
      <x:c r="A68" t="n">
        <x:f>wimbledons_champions!A144</x:f>
        <x:v>1954</x:v>
      </x:c>
      <x:c r="B68" t="str">
        <x:f>wimbledons_champions!B144</x:f>
        <x:v>Women's</x:v>
      </x:c>
      <x:c r="C68" t="str">
        <x:f>wimbledons_champions!C144</x:f>
        <x:v>M.C. Connolly</x:v>
      </x:c>
      <x:c r="D68" t="str">
        <x:f>wimbledons_champions!D144</x:f>
        <x:v>USA</x:v>
      </x:c>
      <x:c r="E68" t="n">
        <x:f>wimbledons_champions!F144</x:f>
        <x:v>1</x:v>
      </x:c>
      <x:c r="F68" t="n">
        <x:f>wimbledons_champions!G144</x:f>
        <x:v>50</x:v>
      </x:c>
      <x:c r="G68" t="str">
        <x:f>wimbledons_champions!H144</x:f>
        <x:v>6-2, 7-5,</x:v>
      </x:c>
      <x:c r="H68" t="str">
        <x:f>wimbledons_champions!S144</x:f>
        <x:v>A.L. Brough</x:v>
      </x:c>
      <x:c r="I68" t="str">
        <x:f>wimbledons_champions!T144</x:f>
        <x:v>USA</x:v>
      </x:c>
      <x:c r="J68" t="n">
        <x:f>wimbledons_champions!V144</x:f>
        <x:v>4</x:v>
      </x:c>
    </x:row>
    <x:row r="69">
      <x:c r="A69" t="n">
        <x:f>wimbledons_champions!A146</x:f>
        <x:v>1953</x:v>
      </x:c>
      <x:c r="B69" t="str">
        <x:f>wimbledons_champions!B146</x:f>
        <x:v>Women's</x:v>
      </x:c>
      <x:c r="C69" t="str">
        <x:f>wimbledons_champions!C146</x:f>
        <x:v>M.C. Connolly</x:v>
      </x:c>
      <x:c r="D69" t="str">
        <x:f>wimbledons_champions!D146</x:f>
        <x:v>USA</x:v>
      </x:c>
      <x:c r="E69" t="n">
        <x:f>wimbledons_champions!F146</x:f>
        <x:v>1</x:v>
      </x:c>
      <x:c r="F69" t="n">
        <x:f>wimbledons_champions!G146</x:f>
        <x:v>67</x:v>
      </x:c>
      <x:c r="G69" t="str">
        <x:f>wimbledons_champions!H146</x:f>
        <x:v>8-6, 7-5,</x:v>
      </x:c>
      <x:c r="H69" t="str">
        <x:f>wimbledons_champions!S146</x:f>
        <x:v>D.J. Hart</x:v>
      </x:c>
      <x:c r="I69" t="str">
        <x:f>wimbledons_champions!T146</x:f>
        <x:v>USA</x:v>
      </x:c>
      <x:c r="J69" t="n">
        <x:f>wimbledons_champions!V146</x:f>
        <x:v>2</x:v>
      </x:c>
    </x:row>
    <x:row r="70">
      <x:c r="A70" t="n">
        <x:f>wimbledons_champions!A148</x:f>
        <x:v>1952</x:v>
      </x:c>
      <x:c r="B70" t="str">
        <x:f>wimbledons_champions!B148</x:f>
        <x:v>Women's</x:v>
      </x:c>
      <x:c r="C70" t="str">
        <x:f>wimbledons_champions!C148</x:f>
        <x:v>M.C. Connolly</x:v>
      </x:c>
      <x:c r="D70" t="str">
        <x:f>wimbledons_champions!D148</x:f>
        <x:v>USA</x:v>
      </x:c>
      <x:c r="E70" t="n">
        <x:f>wimbledons_champions!F148</x:f>
        <x:v>2</x:v>
      </x:c>
      <x:c r="F70" t="n">
        <x:f>wimbledons_champions!G148</x:f>
        <x:v>65</x:v>
      </x:c>
      <x:c r="G70" t="str">
        <x:f>wimbledons_champions!H148</x:f>
        <x:v>7-5, 6-3,</x:v>
      </x:c>
      <x:c r="H70" t="str">
        <x:f>wimbledons_champions!S148</x:f>
        <x:v>A.L. Brough</x:v>
      </x:c>
      <x:c r="I70" t="str">
        <x:f>wimbledons_champions!T148</x:f>
        <x:v>USA</x:v>
      </x:c>
      <x:c r="J70" t="n">
        <x:f>wimbledons_champions!V148</x:f>
        <x:v>4</x:v>
      </x:c>
    </x:row>
    <x:row r="71">
      <x:c r="A71" t="n">
        <x:f>wimbledons_champions!A150</x:f>
        <x:v>1951</x:v>
      </x:c>
      <x:c r="B71" t="str">
        <x:f>wimbledons_champions!B150</x:f>
        <x:v>Women's</x:v>
      </x:c>
      <x:c r="C71" t="str">
        <x:f>wimbledons_champions!C150</x:f>
        <x:v>D.J. Hart</x:v>
      </x:c>
      <x:c r="D71" t="str">
        <x:f>wimbledons_champions!D150</x:f>
        <x:v>USA</x:v>
      </x:c>
      <x:c r="E71" t="n">
        <x:f>wimbledons_champions!F150</x:f>
        <x:v>3</x:v>
      </x:c>
      <x:c r="F71" t="n">
        <x:f>wimbledons_champions!G150</x:f>
        <x:v>35</x:v>
      </x:c>
      <x:c r="G71" t="str">
        <x:f>wimbledons_champions!H150</x:f>
        <x:v>6-1, 6-0</x:v>
      </x:c>
      <x:c r="H71" t="str">
        <x:f>wimbledons_champions!S150</x:f>
        <x:v>S.J. Fry</x:v>
      </x:c>
      <x:c r="I71" t="str">
        <x:f>wimbledons_champions!T150</x:f>
        <x:v>USA</x:v>
      </x:c>
      <x:c r="J71" t="n">
        <x:f>wimbledons_champions!V150</x:f>
        <x:v>4</x:v>
      </x:c>
    </x:row>
    <x:row r="72">
      <x:c r="A72" t="n">
        <x:f>wimbledons_champions!A152</x:f>
        <x:v>1950</x:v>
      </x:c>
      <x:c r="B72" t="str">
        <x:f>wimbledons_champions!B152</x:f>
        <x:v>Women's</x:v>
      </x:c>
      <x:c r="C72" t="str">
        <x:f>wimbledons_champions!C152</x:f>
        <x:v>A.L. Brough</x:v>
      </x:c>
      <x:c r="D72" t="str">
        <x:f>wimbledons_champions!D152</x:f>
        <x:v>USA</x:v>
      </x:c>
      <x:c r="E72" t="n">
        <x:f>wimbledons_champions!F152</x:f>
        <x:v>1</x:v>
      </x:c>
      <x:c r="F72" t="n">
        <x:f>wimbledons_champions!G152</x:f>
        <x:v>62</x:v>
      </x:c>
      <x:c r="G72" t="str">
        <x:f>wimbledons_champions!H152</x:f>
        <x:v>6-1, 3-6, 6-1,</x:v>
      </x:c>
      <x:c r="H72" t="str">
        <x:f>wimbledons_champions!S152</x:f>
        <x:v>M. duPont</x:v>
      </x:c>
      <x:c r="I72" t="str">
        <x:f>wimbledons_champions!T152</x:f>
        <x:v>USA</x:v>
      </x:c>
      <x:c r="J72" t="n">
        <x:f>wimbledons_champions!V152</x:f>
        <x:v>2</x:v>
      </x:c>
    </x:row>
    <x:row r="73">
      <x:c r="A73" t="n">
        <x:f>wimbledons_champions!A154</x:f>
        <x:v>1949</x:v>
      </x:c>
      <x:c r="B73" t="str">
        <x:f>wimbledons_champions!B154</x:f>
        <x:v>Women's</x:v>
      </x:c>
      <x:c r="C73" t="str">
        <x:f>wimbledons_champions!C154</x:f>
        <x:v>A.L. Brough</x:v>
      </x:c>
      <x:c r="D73" t="str">
        <x:f>wimbledons_champions!D154</x:f>
        <x:v>USA</x:v>
      </x:c>
      <x:c r="E73" t="n">
        <x:f>wimbledons_champions!F154</x:f>
        <x:v>1</x:v>
      </x:c>
      <x:c r="F73" t="n">
        <x:f>wimbledons_champions!G154</x:f>
        <x:v>120</x:v>
      </x:c>
      <x:c r="G73" t="str">
        <x:f>wimbledons_champions!H154</x:f>
        <x:v>10-8, 1-6, 10-8,</x:v>
      </x:c>
      <x:c r="H73" t="str">
        <x:f>wimbledons_champions!S154</x:f>
        <x:v>M. duPont</x:v>
      </x:c>
      <x:c r="I73" t="str">
        <x:f>wimbledons_champions!T154</x:f>
        <x:v>USA</x:v>
      </x:c>
      <x:c r="J73" t="n">
        <x:f>wimbledons_champions!V154</x:f>
        <x:v>2</x:v>
      </x:c>
    </x:row>
    <x:row r="74">
      <x:c r="A74" t="n">
        <x:f>wimbledons_champions!A156</x:f>
        <x:v>1948</x:v>
      </x:c>
      <x:c r="B74" t="str">
        <x:f>wimbledons_champions!B156</x:f>
        <x:v>Women's</x:v>
      </x:c>
      <x:c r="C74" t="str">
        <x:f>wimbledons_champions!C156</x:f>
        <x:v>A.L. Brough</x:v>
      </x:c>
      <x:c r="D74" t="str">
        <x:f>wimbledons_champions!D156</x:f>
        <x:v>USA</x:v>
      </x:c>
      <x:c r="E74" t="n">
        <x:f>wimbledons_champions!F156</x:f>
        <x:v>2</x:v>
      </x:c>
      <x:c r="F74" t="n">
        <x:f>wimbledons_champions!G156</x:f>
        <x:v>76</x:v>
      </x:c>
      <x:c r="G74" t="str">
        <x:f>wimbledons_champions!H156</x:f>
        <x:v>6-3, 8-6,</x:v>
      </x:c>
      <x:c r="H74" t="str">
        <x:f>wimbledons_champions!S156</x:f>
        <x:v>D.J. Hart</x:v>
      </x:c>
      <x:c r="I74" t="str">
        <x:f>wimbledons_champions!T156</x:f>
        <x:v>USA</x:v>
      </x:c>
      <x:c r="J74" t="n">
        <x:f>wimbledons_champions!V156</x:f>
        <x:v>4</x:v>
      </x:c>
    </x:row>
    <x:row r="75">
      <x:c r="A75" t="n">
        <x:f>wimbledons_champions!A158</x:f>
        <x:v>1947</x:v>
      </x:c>
      <x:c r="B75" t="str">
        <x:f>wimbledons_champions!B158</x:f>
        <x:v>Women's</x:v>
      </x:c>
      <x:c r="C75" t="str">
        <x:f>wimbledons_champions!C158</x:f>
        <x:v>M.E. Osborne</x:v>
      </x:c>
      <x:c r="D75" t="str">
        <x:f>wimbledons_champions!D158</x:f>
        <x:v>USA</x:v>
      </x:c>
      <x:c r="E75" t="n">
        <x:f>wimbledons_champions!F158</x:f>
        <x:v>1</x:v>
      </x:c>
      <x:c r="F75" t="n">
        <x:f>wimbledons_champions!G158</x:f>
        <x:v>0</x:v>
      </x:c>
      <x:c r="G75" t="str">
        <x:f>wimbledons_champions!H158</x:f>
        <x:v>6-2, 6-4,</x:v>
      </x:c>
      <x:c r="H75" t="str">
        <x:f>wimbledons_champions!S158</x:f>
        <x:v>D.J. Hart</x:v>
      </x:c>
      <x:c r="I75" t="str">
        <x:f>wimbledons_champions!T158</x:f>
        <x:v>USA</x:v>
      </x:c>
      <x:c r="J75" t="n">
        <x:f>wimbledons_champions!V158</x:f>
        <x:v>3</x:v>
      </x:c>
    </x:row>
    <x:row r="76">
      <x:c r="A76" t="n">
        <x:f>wimbledons_champions!A160</x:f>
        <x:v>1946</x:v>
      </x:c>
      <x:c r="B76" t="str">
        <x:f>wimbledons_champions!B160</x:f>
        <x:v>Women's</x:v>
      </x:c>
      <x:c r="C76" t="str">
        <x:f>wimbledons_champions!C160</x:f>
        <x:v>P.M. Betz</x:v>
      </x:c>
      <x:c r="D76" t="str">
        <x:f>wimbledons_champions!D160</x:f>
        <x:v>USA</x:v>
      </x:c>
      <x:c r="E76" t="n">
        <x:f>wimbledons_champions!F160</x:f>
        <x:v>1</x:v>
      </x:c>
      <x:c r="F76" t="n">
        <x:f>wimbledons_champions!G160</x:f>
        <x:v>0</x:v>
      </x:c>
      <x:c r="G76" t="str">
        <x:f>wimbledons_champions!H160</x:f>
        <x:v>6-2, 6-4,</x:v>
      </x:c>
      <x:c r="H76" t="str">
        <x:f>wimbledons_champions!S160</x:f>
        <x:v>A.L. Brough</x:v>
      </x:c>
      <x:c r="I76" t="str">
        <x:f>wimbledons_champions!T160</x:f>
        <x:v>USA</x:v>
      </x:c>
      <x:c r="J76" t="n">
        <x:f>wimbledons_champions!V160</x:f>
        <x:v>3</x:v>
      </x:c>
    </x:row>
    <x:row r="77">
      <x:c r="A77" t="n">
        <x:f>wimbledons_champions!A162</x:f>
        <x:v>1939</x:v>
      </x:c>
      <x:c r="B77" t="str">
        <x:f>wimbledons_champions!B162</x:f>
        <x:v>Women's</x:v>
      </x:c>
      <x:c r="C77" t="str">
        <x:f>wimbledons_champions!C162</x:f>
        <x:v>A. Marble</x:v>
      </x:c>
      <x:c r="D77" t="str">
        <x:f>wimbledons_champions!D162</x:f>
        <x:v>USA</x:v>
      </x:c>
      <x:c r="E77" t="n">
        <x:f>wimbledons_champions!F162</x:f>
        <x:v>1</x:v>
      </x:c>
      <x:c r="F77" t="n">
        <x:f>wimbledons_champions!G162</x:f>
        <x:v>30</x:v>
      </x:c>
      <x:c r="G77" t="str">
        <x:f>wimbledons_champions!H162</x:f>
        <x:v>6-2, 6-0</x:v>
      </x:c>
      <x:c r="H77" t="str">
        <x:f>wimbledons_champions!S162</x:f>
        <x:v>K.E. Stammers</x:v>
      </x:c>
      <x:c r="I77" t="str">
        <x:f>wimbledons_champions!T162</x:f>
        <x:v>GBR</x:v>
      </x:c>
      <x:c r="J77" t="n">
        <x:f>wimbledons_champions!V162</x:f>
        <x:v>6</x:v>
      </x:c>
    </x:row>
    <x:row r="78">
      <x:c r="A78" t="n">
        <x:f>wimbledons_champions!A164</x:f>
        <x:v>1938</x:v>
      </x:c>
      <x:c r="B78" t="str">
        <x:f>wimbledons_champions!B164</x:f>
        <x:v>Women's</x:v>
      </x:c>
      <x:c r="C78" t="str">
        <x:f>wimbledons_champions!C164</x:f>
        <x:v>H.W. Moody</x:v>
      </x:c>
      <x:c r="D78" t="str">
        <x:f>wimbledons_champions!D164</x:f>
        <x:v>USA</x:v>
      </x:c>
      <x:c r="E78" t="n">
        <x:f>wimbledons_champions!F164</x:f>
        <x:v>1</x:v>
      </x:c>
      <x:c r="F78" t="n">
        <x:f>wimbledons_champions!G164</x:f>
        <x:v>0</x:v>
      </x:c>
      <x:c r="G78" t="str">
        <x:f>wimbledons_champions!H164</x:f>
        <x:v>6-4, 6-0</x:v>
      </x:c>
      <x:c r="H78" t="str">
        <x:f>wimbledons_champions!S164</x:f>
        <x:v>H.H. Jacobs</x:v>
      </x:c>
      <x:c r="I78" t="str">
        <x:f>wimbledons_champions!T164</x:f>
        <x:v>USA</x:v>
      </x:c>
      <x:c r="J78" t="str">
        <x:f>wimbledons_champions!V164</x:f>
        <x:v>U</x:v>
      </x:c>
    </x:row>
    <x:row r="79">
      <x:c r="A79" t="n">
        <x:f>wimbledons_champions!A166</x:f>
        <x:v>1937</x:v>
      </x:c>
      <x:c r="B79" t="str">
        <x:f>wimbledons_champions!B166</x:f>
        <x:v>Women's</x:v>
      </x:c>
      <x:c r="C79" t="str">
        <x:f>wimbledons_champions!C166</x:f>
        <x:v>D.E. Round</x:v>
      </x:c>
      <x:c r="D79" t="str">
        <x:f>wimbledons_champions!D166</x:f>
        <x:v>GBR</x:v>
      </x:c>
      <x:c r="E79" t="n">
        <x:f>wimbledons_champions!F166</x:f>
        <x:v>7</x:v>
      </x:c>
      <x:c r="F79" t="n">
        <x:f>wimbledons_champions!G166</x:f>
        <x:v>60</x:v>
      </x:c>
      <x:c r="G79" t="str">
        <x:f>wimbledons_champions!H166</x:f>
        <x:v>6-2, 2-6, 7-5</x:v>
      </x:c>
      <x:c r="H79" t="str">
        <x:f>wimbledons_champions!S166</x:f>
        <x:v>J. Jedrzejowska</x:v>
      </x:c>
      <x:c r="I79" t="str">
        <x:f>wimbledons_champions!T166</x:f>
        <x:v>POL</x:v>
      </x:c>
      <x:c r="J79" t="n">
        <x:f>wimbledons_champions!V166</x:f>
        <x:v>4</x:v>
      </x:c>
    </x:row>
    <x:row r="80">
      <x:c r="A80" t="n">
        <x:f>wimbledons_champions!A168</x:f>
        <x:v>1936</x:v>
      </x:c>
      <x:c r="B80" t="str">
        <x:f>wimbledons_champions!B168</x:f>
        <x:v>Women's</x:v>
      </x:c>
      <x:c r="C80" t="str">
        <x:f>wimbledons_champions!C168</x:f>
        <x:v>H.H. Jacobs</x:v>
      </x:c>
      <x:c r="D80" t="str">
        <x:f>wimbledons_champions!D168</x:f>
        <x:v>USA</x:v>
      </x:c>
      <x:c r="E80" t="n">
        <x:f>wimbledons_champions!F168</x:f>
        <x:v>2</x:v>
      </x:c>
      <x:c r="F80" t="n">
        <x:f>wimbledons_champions!G168</x:f>
        <x:v>101</x:v>
      </x:c>
      <x:c r="G80" t="str">
        <x:f>wimbledons_champions!H168</x:f>
        <x:v>6-2, 4-6, 7-5</x:v>
      </x:c>
      <x:c r="H80" t="str">
        <x:f>wimbledons_champions!S168</x:f>
        <x:v>S. Sperling</x:v>
      </x:c>
      <x:c r="I80" t="str">
        <x:f>wimbledons_champions!T168</x:f>
        <x:v>GER</x:v>
      </x:c>
      <x:c r="J80" t="n">
        <x:f>wimbledons_champions!V168</x:f>
        <x:v>5</x:v>
      </x:c>
    </x:row>
    <x:row r="81">
      <x:c r="A81" t="n">
        <x:f>wimbledons_champions!A170</x:f>
        <x:v>1935</x:v>
      </x:c>
      <x:c r="B81" t="str">
        <x:f>wimbledons_champions!B170</x:f>
        <x:v>Women's</x:v>
      </x:c>
      <x:c r="C81" t="str">
        <x:f>wimbledons_champions!C170</x:f>
        <x:v>H.W. Moody</x:v>
      </x:c>
      <x:c r="D81" t="str">
        <x:f>wimbledons_champions!D170</x:f>
        <x:v>USA</x:v>
      </x:c>
      <x:c r="E81" t="n">
        <x:f>wimbledons_champions!F170</x:f>
        <x:v>4</x:v>
      </x:c>
      <x:c r="F81" t="n">
        <x:f>wimbledons_champions!G170</x:f>
        <x:v>100</x:v>
      </x:c>
      <x:c r="G81" t="str">
        <x:f>wimbledons_champions!H170</x:f>
        <x:v>6-3, 3-6, 7-5</x:v>
      </x:c>
      <x:c r="H81" t="str">
        <x:f>wimbledons_champions!S170</x:f>
        <x:v>H.H. Jacobs</x:v>
      </x:c>
      <x:c r="I81" t="str">
        <x:f>wimbledons_champions!T170</x:f>
        <x:v>USA</x:v>
      </x:c>
      <x:c r="J81" t="n">
        <x:f>wimbledons_champions!V170</x:f>
        <x:v>3</x:v>
      </x:c>
    </x:row>
    <x:row r="82">
      <x:c r="A82" t="n">
        <x:f>wimbledons_champions!A172</x:f>
        <x:v>1934</x:v>
      </x:c>
      <x:c r="B82" t="str">
        <x:f>wimbledons_champions!B172</x:f>
        <x:v>Women's</x:v>
      </x:c>
      <x:c r="C82" t="str">
        <x:f>wimbledons_champions!C172</x:f>
        <x:v>D.E. Round</x:v>
      </x:c>
      <x:c r="D82" t="str">
        <x:f>wimbledons_champions!D172</x:f>
        <x:v>GBR</x:v>
      </x:c>
      <x:c r="E82" t="n">
        <x:f>wimbledons_champions!F172</x:f>
        <x:v>2</x:v>
      </x:c>
      <x:c r="F82" t="n">
        <x:f>wimbledons_champions!G172</x:f>
        <x:v>0</x:v>
      </x:c>
      <x:c r="G82" t="str">
        <x:f>wimbledons_champions!H172</x:f>
        <x:v>6-2, 5-7, 6-3</x:v>
      </x:c>
      <x:c r="H82" t="str">
        <x:f>wimbledons_champions!S172</x:f>
        <x:v>H.H. Jacobs</x:v>
      </x:c>
      <x:c r="I82" t="str">
        <x:f>wimbledons_champions!T172</x:f>
        <x:v>USA</x:v>
      </x:c>
      <x:c r="J82" t="n">
        <x:f>wimbledons_champions!V172</x:f>
        <x:v>1</x:v>
      </x:c>
    </x:row>
    <x:row r="83">
      <x:c r="A83" t="n">
        <x:f>wimbledons_champions!A174</x:f>
        <x:v>1933</x:v>
      </x:c>
      <x:c r="B83" t="str">
        <x:f>wimbledons_champions!B174</x:f>
        <x:v>Women's</x:v>
      </x:c>
      <x:c r="C83" t="str">
        <x:f>wimbledons_champions!C174</x:f>
        <x:v>H.W. Moody</x:v>
      </x:c>
      <x:c r="D83" t="str">
        <x:f>wimbledons_champions!D174</x:f>
        <x:v>USA</x:v>
      </x:c>
      <x:c r="E83" t="n">
        <x:f>wimbledons_champions!F174</x:f>
        <x:v>1</x:v>
      </x:c>
      <x:c r="F83" t="n">
        <x:f>wimbledons_champions!G174</x:f>
        <x:v>120</x:v>
      </x:c>
      <x:c r="G83" t="str">
        <x:f>wimbledons_champions!H174</x:f>
        <x:v>6-4, 6-8, 6-3</x:v>
      </x:c>
      <x:c r="H83" t="str">
        <x:f>wimbledons_champions!S174</x:f>
        <x:v>D.E. Round</x:v>
      </x:c>
      <x:c r="I83" t="str">
        <x:f>wimbledons_champions!T174</x:f>
        <x:v>GBR</x:v>
      </x:c>
      <x:c r="J83" t="n">
        <x:f>wimbledons_champions!V174</x:f>
        <x:v>2</x:v>
      </x:c>
    </x:row>
    <x:row r="84">
      <x:c r="A84" t="n">
        <x:f>wimbledons_champions!A176</x:f>
        <x:v>1932</x:v>
      </x:c>
      <x:c r="B84" t="str">
        <x:f>wimbledons_champions!B176</x:f>
        <x:v>Women's</x:v>
      </x:c>
      <x:c r="C84" t="str">
        <x:f>wimbledons_champions!C176</x:f>
        <x:v>H.W. Moody</x:v>
      </x:c>
      <x:c r="D84" t="str">
        <x:f>wimbledons_champions!D176</x:f>
        <x:v>USA</x:v>
      </x:c>
      <x:c r="E84" t="n">
        <x:f>wimbledons_champions!F176</x:f>
        <x:v>1</x:v>
      </x:c>
      <x:c r="F84" t="n">
        <x:f>wimbledons_champions!G176</x:f>
        <x:v>50</x:v>
      </x:c>
      <x:c r="G84" t="str">
        <x:f>wimbledons_champions!H176</x:f>
        <x:v>6-3, 6-1</x:v>
      </x:c>
      <x:c r="H84" t="str">
        <x:f>wimbledons_champions!S176</x:f>
        <x:v>H.H. Jacobs</x:v>
      </x:c>
      <x:c r="I84" t="str">
        <x:f>wimbledons_champions!T176</x:f>
        <x:v>USA</x:v>
      </x:c>
      <x:c r="J84" t="n">
        <x:f>wimbledons_champions!V176</x:f>
        <x:v>5</x:v>
      </x:c>
    </x:row>
    <x:row r="85">
      <x:c r="A85" t="n">
        <x:f>wimbledons_champions!A178</x:f>
        <x:v>1931</x:v>
      </x:c>
      <x:c r="B85" t="str">
        <x:f>wimbledons_champions!B178</x:f>
        <x:v>Women's</x:v>
      </x:c>
      <x:c r="C85" t="str">
        <x:f>wimbledons_champions!C178</x:f>
        <x:v>C. Aussem</x:v>
      </x:c>
      <x:c r="D85" t="str">
        <x:f>wimbledons_champions!D178</x:f>
        <x:v>GER</x:v>
      </x:c>
      <x:c r="E85" t="n">
        <x:f>wimbledons_champions!F178</x:f>
        <x:v>1</x:v>
      </x:c>
      <x:c r="F85" t="n">
        <x:f>wimbledons_champions!G178</x:f>
        <x:v>0</x:v>
      </x:c>
      <x:c r="G85" t="str">
        <x:f>wimbledons_champions!H178</x:f>
        <x:v>6-2, 7-5</x:v>
      </x:c>
      <x:c r="H85" t="str">
        <x:f>wimbledons_champions!S178</x:f>
        <x:v>H. Krahwinkel</x:v>
      </x:c>
      <x:c r="I85" t="str">
        <x:f>wimbledons_champions!T178</x:f>
        <x:v>GER</x:v>
      </x:c>
      <x:c r="J85" t="n">
        <x:f>wimbledons_champions!V178</x:f>
        <x:v>4</x:v>
      </x:c>
    </x:row>
    <x:row r="86">
      <x:c r="A86" t="n">
        <x:f>wimbledons_champions!A180</x:f>
        <x:v>1930</x:v>
      </x:c>
      <x:c r="B86" t="str">
        <x:f>wimbledons_champions!B180</x:f>
        <x:v>Women's</x:v>
      </x:c>
      <x:c r="C86" t="str">
        <x:f>wimbledons_champions!C180</x:f>
        <x:v>H.W. Moody</x:v>
      </x:c>
      <x:c r="D86" t="str">
        <x:f>wimbledons_champions!D180</x:f>
        <x:v>USA</x:v>
      </x:c>
      <x:c r="E86" t="n">
        <x:f>wimbledons_champions!F180</x:f>
        <x:v>1</x:v>
      </x:c>
      <x:c r="F86" t="n">
        <x:f>wimbledons_champions!G180</x:f>
        <x:v>0</x:v>
      </x:c>
      <x:c r="G86" t="str">
        <x:f>wimbledons_champions!H180</x:f>
        <x:v>6-2, 6-2</x:v>
      </x:c>
      <x:c r="H86" t="str">
        <x:f>wimbledons_champions!S180</x:f>
        <x:v>E.M. Ryan</x:v>
      </x:c>
      <x:c r="I86" t="str">
        <x:f>wimbledons_champions!T180</x:f>
        <x:v>USA</x:v>
      </x:c>
      <x:c r="J86" t="n">
        <x:f>wimbledons_champions!V180</x:f>
        <x:v>8</x:v>
      </x:c>
    </x:row>
    <x:row r="87">
      <x:c r="A87" t="n">
        <x:f>wimbledons_champions!A182</x:f>
        <x:v>1929</x:v>
      </x:c>
      <x:c r="B87" t="str">
        <x:f>wimbledons_champions!B182</x:f>
        <x:v>Women's</x:v>
      </x:c>
      <x:c r="C87" t="str">
        <x:f>wimbledons_champions!C182</x:f>
        <x:v>H.W. Moody</x:v>
      </x:c>
      <x:c r="D87" t="str">
        <x:f>wimbledons_champions!D182</x:f>
        <x:v>USA</x:v>
      </x:c>
      <x:c r="E87" t="n">
        <x:f>wimbledons_champions!F182</x:f>
        <x:v>1</x:v>
      </x:c>
      <x:c r="F87" t="n">
        <x:f>wimbledons_champions!G182</x:f>
        <x:v>0</x:v>
      </x:c>
      <x:c r="G87" t="str">
        <x:f>wimbledons_champions!H182</x:f>
        <x:v>6-1, 6-2</x:v>
      </x:c>
      <x:c r="H87" t="str">
        <x:f>wimbledons_champions!S182</x:f>
        <x:v>H.H. Jacobs</x:v>
      </x:c>
      <x:c r="I87" t="str">
        <x:f>wimbledons_champions!T182</x:f>
        <x:v>USA</x:v>
      </x:c>
      <x:c r="J87" t="n">
        <x:f>wimbledons_champions!V182</x:f>
        <x:v>5</x:v>
      </x:c>
    </x:row>
    <x:row r="88">
      <x:c r="A88" t="n">
        <x:f>wimbledons_champions!A184</x:f>
        <x:v>1928</x:v>
      </x:c>
      <x:c r="B88" t="str">
        <x:f>wimbledons_champions!B184</x:f>
        <x:v>Women's</x:v>
      </x:c>
      <x:c r="C88" t="str">
        <x:f>wimbledons_champions!C184</x:f>
        <x:v>H.W. Moody</x:v>
      </x:c>
      <x:c r="D88" t="str">
        <x:f>wimbledons_champions!D184</x:f>
        <x:v>USA</x:v>
      </x:c>
      <x:c r="E88" t="n">
        <x:f>wimbledons_champions!F184</x:f>
        <x:v>1</x:v>
      </x:c>
      <x:c r="F88" t="n">
        <x:f>wimbledons_champions!G184</x:f>
        <x:v>0</x:v>
      </x:c>
      <x:c r="G88" t="str">
        <x:f>wimbledons_champions!H184</x:f>
        <x:v>6-2, 6-3</x:v>
      </x:c>
      <x:c r="H88" t="str">
        <x:f>wimbledons_champions!S184</x:f>
        <x:v>E.M. de Alvarez</x:v>
      </x:c>
      <x:c r="I88" t="str">
        <x:f>wimbledons_champions!T184</x:f>
        <x:v>ESP</x:v>
      </x:c>
      <x:c r="J88" t="n">
        <x:f>wimbledons_champions!V184</x:f>
        <x:v>2</x:v>
      </x:c>
    </x:row>
    <x:row r="89">
      <x:c r="A89" t="n">
        <x:f>wimbledons_champions!A186</x:f>
        <x:v>1927</x:v>
      </x:c>
      <x:c r="B89" t="str">
        <x:f>wimbledons_champions!B186</x:f>
        <x:v>Women's</x:v>
      </x:c>
      <x:c r="C89" t="str">
        <x:f>wimbledons_champions!C186</x:f>
        <x:v>H.W. Moody</x:v>
      </x:c>
      <x:c r="D89" t="str">
        <x:f>wimbledons_champions!D186</x:f>
        <x:v>USA</x:v>
      </x:c>
      <x:c r="E89" t="n">
        <x:f>wimbledons_champions!F186</x:f>
        <x:v>1</x:v>
      </x:c>
      <x:c r="F89" t="n">
        <x:f>wimbledons_champions!G186</x:f>
        <x:v>0</x:v>
      </x:c>
      <x:c r="G89" t="str">
        <x:f>wimbledons_champions!H186</x:f>
        <x:v>6-2, 6-4</x:v>
      </x:c>
      <x:c r="H89" t="str">
        <x:f>wimbledons_champions!S186</x:f>
        <x:v>E.M. de Alvarez</x:v>
      </x:c>
      <x:c r="I89" t="str">
        <x:f>wimbledons_champions!T186</x:f>
        <x:v>ESP</x:v>
      </x:c>
      <x:c r="J89" t="n">
        <x:f>wimbledons_champions!V186</x:f>
        <x:v>4</x:v>
      </x:c>
    </x:row>
    <x:row r="90">
      <x:c r="A90" t="n">
        <x:f>wimbledons_champions!A188</x:f>
        <x:v>1926</x:v>
      </x:c>
      <x:c r="B90" t="str">
        <x:f>wimbledons_champions!B188</x:f>
        <x:v>Women's</x:v>
      </x:c>
      <x:c r="C90" t="str">
        <x:f>wimbledons_champions!C188</x:f>
        <x:v>L.A. Godfree</x:v>
      </x:c>
      <x:c r="D90" t="str">
        <x:f>wimbledons_champions!D188</x:f>
        <x:v>GBR</x:v>
      </x:c>
      <x:c r="E90" t="n">
        <x:f>wimbledons_champions!F188</x:f>
        <x:v>0</x:v>
      </x:c>
      <x:c r="F90" t="n">
        <x:f>wimbledons_champions!G188</x:f>
        <x:v>60</x:v>
      </x:c>
      <x:c r="G90" t="str">
        <x:f>wimbledons_champions!H188</x:f>
        <x:v>6-2, 4-6, 6-3</x:v>
      </x:c>
      <x:c r="H90" t="str">
        <x:f>wimbledons_champions!S188</x:f>
        <x:v>E.M. de Alvarez</x:v>
      </x:c>
      <x:c r="I90" t="str">
        <x:f>wimbledons_champions!T188</x:f>
        <x:v>ESP</x:v>
      </x:c>
      <x:c r="J90" t="n">
        <x:f>wimbledons_champions!V188</x:f>
        <x:v>0</x:v>
      </x:c>
    </x:row>
    <x:row r="91">
      <x:c r="A91" t="n">
        <x:f>wimbledons_champions!A190</x:f>
        <x:v>1925</x:v>
      </x:c>
      <x:c r="B91" t="str">
        <x:f>wimbledons_champions!B190</x:f>
        <x:v>Women's</x:v>
      </x:c>
      <x:c r="C91" t="str">
        <x:f>wimbledons_champions!C190</x:f>
        <x:v>S.R.F. Lenglen</x:v>
      </x:c>
      <x:c r="D91" t="str">
        <x:f>wimbledons_champions!D190</x:f>
        <x:v>FRA</x:v>
      </x:c>
      <x:c r="E91" t="n">
        <x:f>wimbledons_champions!F190</x:f>
        <x:v>0</x:v>
      </x:c>
      <x:c r="F91" t="n">
        <x:f>wimbledons_champions!G190</x:f>
        <x:v>25</x:v>
      </x:c>
      <x:c r="G91" t="str">
        <x:f>wimbledons_champions!H190</x:f>
        <x:v>6-2, 6-0</x:v>
      </x:c>
      <x:c r="H91" t="str">
        <x:f>wimbledons_champions!S190</x:f>
        <x:v>J.C. Fry</x:v>
      </x:c>
      <x:c r="I91" t="str">
        <x:f>wimbledons_champions!T190</x:f>
        <x:v>GBR</x:v>
      </x:c>
      <x:c r="J91" t="n">
        <x:f>wimbledons_champions!V190</x:f>
        <x:v>0</x:v>
      </x:c>
    </x:row>
    <x:row r="92">
      <x:c r="A92" t="n">
        <x:f>wimbledons_champions!A192</x:f>
        <x:v>1924</x:v>
      </x:c>
      <x:c r="B92" t="str">
        <x:f>wimbledons_champions!B192</x:f>
        <x:v>Women's</x:v>
      </x:c>
      <x:c r="C92" t="str">
        <x:f>wimbledons_champions!C192</x:f>
        <x:v>K. McKane</x:v>
      </x:c>
      <x:c r="D92" t="str">
        <x:f>wimbledons_champions!D192</x:f>
        <x:v>GBR</x:v>
      </x:c>
      <x:c r="E92" t="n">
        <x:f>wimbledons_champions!F192</x:f>
        <x:v>0</x:v>
      </x:c>
      <x:c r="F92" t="n">
        <x:f>wimbledons_champions!G192</x:f>
        <x:v>75</x:v>
      </x:c>
      <x:c r="G92" t="str">
        <x:f>wimbledons_champions!H192</x:f>
        <x:v>4-6, 6-4, 6-4</x:v>
      </x:c>
      <x:c r="H92" t="str">
        <x:f>wimbledons_champions!S192</x:f>
        <x:v>H.W. Moody</x:v>
      </x:c>
      <x:c r="I92" t="str">
        <x:f>wimbledons_champions!T192</x:f>
        <x:v>USA</x:v>
      </x:c>
      <x:c r="J92" t="n">
        <x:f>wimbledons_champions!V192</x:f>
        <x:v>0</x:v>
      </x:c>
    </x:row>
    <x:row r="93">
      <x:c r="A93" t="n">
        <x:f>wimbledons_champions!A194</x:f>
        <x:v>1923</x:v>
      </x:c>
      <x:c r="B93" t="str">
        <x:f>wimbledons_champions!B194</x:f>
        <x:v>Women's</x:v>
      </x:c>
      <x:c r="C93" t="str">
        <x:f>wimbledons_champions!C194</x:f>
        <x:v>S.R.F. Lenglen</x:v>
      </x:c>
      <x:c r="D93" t="str">
        <x:f>wimbledons_champions!D194</x:f>
        <x:v>FRA</x:v>
      </x:c>
      <x:c r="E93" t="n">
        <x:f>wimbledons_champions!F194</x:f>
        <x:v>0</x:v>
      </x:c>
      <x:c r="F93" t="n">
        <x:f>wimbledons_champions!G194</x:f>
        <x:v>0</x:v>
      </x:c>
      <x:c r="G93" t="str">
        <x:f>wimbledons_champions!H194</x:f>
        <x:v>6-2, 6-2</x:v>
      </x:c>
      <x:c r="H93" t="str">
        <x:f>wimbledons_champions!S194</x:f>
        <x:v>K. McKane</x:v>
      </x:c>
      <x:c r="I93" t="str">
        <x:f>wimbledons_champions!T194</x:f>
        <x:v>GBR</x:v>
      </x:c>
      <x:c r="J93" t="n">
        <x:f>wimbledons_champions!V194</x:f>
        <x:v>0</x:v>
      </x:c>
    </x:row>
    <x:row r="94">
      <x:c r="A94" t="n">
        <x:f>wimbledons_champions!A196</x:f>
        <x:v>1922</x:v>
      </x:c>
      <x:c r="B94" t="str">
        <x:f>wimbledons_champions!B196</x:f>
        <x:v>Women's</x:v>
      </x:c>
      <x:c r="C94" t="str">
        <x:f>wimbledons_champions!C196</x:f>
        <x:v>S.R.F. Lenglen</x:v>
      </x:c>
      <x:c r="D94" t="str">
        <x:f>wimbledons_champions!D196</x:f>
        <x:v>FRA</x:v>
      </x:c>
      <x:c r="E94" t="n">
        <x:f>wimbledons_champions!F196</x:f>
        <x:v>0</x:v>
      </x:c>
      <x:c r="F94" t="n">
        <x:f>wimbledons_champions!G196</x:f>
        <x:v>23</x:v>
      </x:c>
      <x:c r="G94" t="str">
        <x:f>wimbledons_champions!H196</x:f>
        <x:v>6-2, 6-0</x:v>
      </x:c>
      <x:c r="H94" t="str">
        <x:f>wimbledons_champions!S196</x:f>
        <x:v>F.I. Mallory</x:v>
      </x:c>
      <x:c r="I94" t="str">
        <x:f>wimbledons_champions!T196</x:f>
        <x:v>USA</x:v>
      </x:c>
      <x:c r="J94" t="n">
        <x:f>wimbledons_champions!V196</x:f>
        <x:v>0</x:v>
      </x:c>
    </x:row>
    <x:row r="95">
      <x:c r="A95" t="n">
        <x:f>wimbledons_champions!A198</x:f>
        <x:v>1921</x:v>
      </x:c>
      <x:c r="B95" t="str">
        <x:f>wimbledons_champions!B198</x:f>
        <x:v>Women's</x:v>
      </x:c>
      <x:c r="C95" t="str">
        <x:f>wimbledons_champions!C198</x:f>
        <x:v>S.R.F. Lenglen</x:v>
      </x:c>
      <x:c r="D95" t="str">
        <x:f>wimbledons_champions!D198</x:f>
        <x:v>FRA</x:v>
      </x:c>
      <x:c r="E95" t="n">
        <x:f>wimbledons_champions!F198</x:f>
        <x:v>0</x:v>
      </x:c>
      <x:c r="F95" t="n">
        <x:f>wimbledons_champions!G198</x:f>
        <x:v>0</x:v>
      </x:c>
      <x:c r="G95" t="str">
        <x:f>wimbledons_champions!H198</x:f>
        <x:v>6-2, 6-0</x:v>
      </x:c>
      <x:c r="H95" t="str">
        <x:f>wimbledons_champions!S198</x:f>
        <x:v>E.M. Ryan</x:v>
      </x:c>
      <x:c r="I95" t="str">
        <x:f>wimbledons_champions!T198</x:f>
        <x:v>USA</x:v>
      </x:c>
      <x:c r="J95" t="n">
        <x:f>wimbledons_champions!V198</x:f>
        <x:v>0</x:v>
      </x:c>
    </x:row>
    <x:row r="96">
      <x:c r="A96" t="n">
        <x:f>wimbledons_champions!A200</x:f>
        <x:v>1920</x:v>
      </x:c>
      <x:c r="B96" t="str">
        <x:f>wimbledons_champions!B200</x:f>
        <x:v>Women's</x:v>
      </x:c>
      <x:c r="C96" t="str">
        <x:f>wimbledons_champions!C200</x:f>
        <x:v>S.R.F. Lenglen</x:v>
      </x:c>
      <x:c r="D96" t="str">
        <x:f>wimbledons_champions!D200</x:f>
        <x:v>FRA</x:v>
      </x:c>
      <x:c r="E96" t="n">
        <x:f>wimbledons_champions!F200</x:f>
        <x:v>0</x:v>
      </x:c>
      <x:c r="F96" t="n">
        <x:f>wimbledons_champions!G200</x:f>
        <x:v>0</x:v>
      </x:c>
      <x:c r="G96" t="str">
        <x:f>wimbledons_champions!H200</x:f>
        <x:v>6-3, 6-0</x:v>
      </x:c>
      <x:c r="H96" t="str">
        <x:f>wimbledons_champions!S200</x:f>
        <x:v>D.L. Chambers</x:v>
      </x:c>
      <x:c r="I96" t="str">
        <x:f>wimbledons_champions!T200</x:f>
        <x:v>GBR</x:v>
      </x:c>
      <x:c r="J96" t="n">
        <x:f>wimbledons_champions!V200</x:f>
        <x:v>0</x:v>
      </x:c>
    </x:row>
    <x:row r="97">
      <x:c r="A97" t="n">
        <x:f>wimbledons_champions!A202</x:f>
        <x:v>1919</x:v>
      </x:c>
      <x:c r="B97" t="str">
        <x:f>wimbledons_champions!B202</x:f>
        <x:v>Women's</x:v>
      </x:c>
      <x:c r="C97" t="str">
        <x:f>wimbledons_champions!C202</x:f>
        <x:v>S.R.F. Lenglen</x:v>
      </x:c>
      <x:c r="D97" t="str">
        <x:f>wimbledons_champions!D202</x:f>
        <x:v>FRA</x:v>
      </x:c>
      <x:c r="E97" t="n">
        <x:f>wimbledons_champions!F202</x:f>
        <x:v>0</x:v>
      </x:c>
      <x:c r="F97" t="n">
        <x:f>wimbledons_champions!G202</x:f>
        <x:v>125</x:v>
      </x:c>
      <x:c r="G97" t="str">
        <x:f>wimbledons_champions!H202</x:f>
        <x:v>10-8, 4-6, 9-7</x:v>
      </x:c>
      <x:c r="H97" t="str">
        <x:f>wimbledons_champions!S202</x:f>
        <x:v>D.L. Chambers</x:v>
      </x:c>
      <x:c r="I97" t="str">
        <x:f>wimbledons_champions!T202</x:f>
        <x:v>GBR</x:v>
      </x:c>
      <x:c r="J97" t="n">
        <x:f>wimbledons_champions!V202</x:f>
        <x:v>0</x:v>
      </x:c>
    </x:row>
    <x:row r="98">
      <x:c r="A98" t="n">
        <x:f>wimbledons_champions!A204</x:f>
        <x:v>1914</x:v>
      </x:c>
      <x:c r="B98" t="str">
        <x:f>wimbledons_champions!B204</x:f>
        <x:v>Women's</x:v>
      </x:c>
      <x:c r="C98" t="str">
        <x:f>wimbledons_champions!C204</x:f>
        <x:v>D.L. Chambers</x:v>
      </x:c>
      <x:c r="D98" t="str">
        <x:f>wimbledons_champions!D204</x:f>
        <x:v>GBR</x:v>
      </x:c>
      <x:c r="E98" t="n">
        <x:f>wimbledons_champions!F204</x:f>
        <x:v>0</x:v>
      </x:c>
      <x:c r="F98" t="n">
        <x:f>wimbledons_champions!G204</x:f>
        <x:v>0</x:v>
      </x:c>
      <x:c r="G98" t="str">
        <x:f>wimbledons_champions!H204</x:f>
        <x:v>7-5, 6-4</x:v>
      </x:c>
      <x:c r="H98" t="str">
        <x:f>wimbledons_champions!S204</x:f>
        <x:v>D.T.R. Larcombe</x:v>
      </x:c>
      <x:c r="I98" t="str">
        <x:f>wimbledons_champions!T204</x:f>
        <x:v>GBR</x:v>
      </x:c>
      <x:c r="J98" t="n">
        <x:f>wimbledons_champions!V204</x:f>
        <x:v>0</x:v>
      </x:c>
    </x:row>
    <x:row r="99">
      <x:c r="A99" t="n">
        <x:f>wimbledons_champions!A206</x:f>
        <x:v>1913</x:v>
      </x:c>
      <x:c r="B99" t="str">
        <x:f>wimbledons_champions!B206</x:f>
        <x:v>Women's</x:v>
      </x:c>
      <x:c r="C99" t="str">
        <x:f>wimbledons_champions!C206</x:f>
        <x:v>D.L. Chambers</x:v>
      </x:c>
      <x:c r="D99" t="str">
        <x:f>wimbledons_champions!D206</x:f>
        <x:v>GBR</x:v>
      </x:c>
      <x:c r="E99" t="n">
        <x:f>wimbledons_champions!F206</x:f>
        <x:v>0</x:v>
      </x:c>
      <x:c r="F99" t="n">
        <x:f>wimbledons_champions!G206</x:f>
        <x:v>0</x:v>
      </x:c>
      <x:c r="G99" t="str">
        <x:f>wimbledons_champions!H206</x:f>
        <x:v>6-0, 6-4</x:v>
      </x:c>
      <x:c r="H99" t="str">
        <x:f>wimbledons_champions!S206</x:f>
        <x:v>R.J. McNair</x:v>
      </x:c>
      <x:c r="I99" t="str">
        <x:f>wimbledons_champions!T206</x:f>
        <x:v>GBR</x:v>
      </x:c>
      <x:c r="J99" t="n">
        <x:f>wimbledons_champions!V206</x:f>
        <x:v>0</x:v>
      </x:c>
    </x:row>
    <x:row r="100">
      <x:c r="A100" t="n">
        <x:f>wimbledons_champions!A208</x:f>
        <x:v>1912</x:v>
      </x:c>
      <x:c r="B100" t="str">
        <x:f>wimbledons_champions!B208</x:f>
        <x:v>Women's</x:v>
      </x:c>
      <x:c r="C100" t="str">
        <x:f>wimbledons_champions!C208</x:f>
        <x:v>D.T.R. Larcombe</x:v>
      </x:c>
      <x:c r="D100" t="str">
        <x:f>wimbledons_champions!D208</x:f>
        <x:v>GBR</x:v>
      </x:c>
      <x:c r="E100" t="n">
        <x:f>wimbledons_champions!F208</x:f>
        <x:v>0</x:v>
      </x:c>
      <x:c r="F100" t="n">
        <x:f>wimbledons_champions!G208</x:f>
        <x:v>0</x:v>
      </x:c>
      <x:c r="G100" t="str">
        <x:f>wimbledons_champions!H208</x:f>
        <x:v>6-3, 6-1</x:v>
      </x:c>
      <x:c r="H100" t="str">
        <x:f>wimbledons_champions!S208</x:f>
        <x:v>C.R. Cooper</x:v>
      </x:c>
      <x:c r="I100" t="str">
        <x:f>wimbledons_champions!T208</x:f>
        <x:v>GBR</x:v>
      </x:c>
      <x:c r="J100" t="n">
        <x:f>wimbledons_champions!V208</x:f>
        <x:v>0</x:v>
      </x:c>
    </x:row>
    <x:row r="101">
      <x:c r="A101" t="n">
        <x:f>wimbledons_champions!A210</x:f>
        <x:v>1911</x:v>
      </x:c>
      <x:c r="B101" t="str">
        <x:f>wimbledons_champions!B210</x:f>
        <x:v>Women's</x:v>
      </x:c>
      <x:c r="C101" t="str">
        <x:f>wimbledons_champions!C210</x:f>
        <x:v>D.L. Chambers</x:v>
      </x:c>
      <x:c r="D101" t="str">
        <x:f>wimbledons_champions!D210</x:f>
        <x:v>GBR</x:v>
      </x:c>
      <x:c r="E101" t="n">
        <x:f>wimbledons_champions!F210</x:f>
        <x:v>0</x:v>
      </x:c>
      <x:c r="F101" t="n">
        <x:f>wimbledons_champions!G210</x:f>
        <x:v>25</x:v>
      </x:c>
      <x:c r="G101" t="str">
        <x:f>wimbledons_champions!H210</x:f>
        <x:v>6-0, 6-0</x:v>
      </x:c>
      <x:c r="H101" t="str">
        <x:f>wimbledons_champions!S210</x:f>
        <x:v>P.D.H. Boothby</x:v>
      </x:c>
      <x:c r="I101" t="str">
        <x:f>wimbledons_champions!T210</x:f>
        <x:v>GBR</x:v>
      </x:c>
      <x:c r="J101" t="n">
        <x:f>wimbledons_champions!V210</x:f>
        <x:v>0</x:v>
      </x:c>
    </x:row>
    <x:row r="102">
      <x:c r="A102" t="n">
        <x:f>wimbledons_champions!A212</x:f>
        <x:v>1910</x:v>
      </x:c>
      <x:c r="B102" t="str">
        <x:f>wimbledons_champions!B212</x:f>
        <x:v>Women's</x:v>
      </x:c>
      <x:c r="C102" t="str">
        <x:f>wimbledons_champions!C212</x:f>
        <x:v>D.L. Chambers</x:v>
      </x:c>
      <x:c r="D102" t="str">
        <x:f>wimbledons_champions!D212</x:f>
        <x:v>GBR</x:v>
      </x:c>
      <x:c r="E102" t="n">
        <x:f>wimbledons_champions!F212</x:f>
        <x:v>0</x:v>
      </x:c>
      <x:c r="F102" t="n">
        <x:f>wimbledons_champions!G212</x:f>
        <x:v>0</x:v>
      </x:c>
      <x:c r="G102" t="str">
        <x:f>wimbledons_champions!H212</x:f>
        <x:v>6-2, 6-2</x:v>
      </x:c>
      <x:c r="H102" t="str">
        <x:f>wimbledons_champions!S212</x:f>
        <x:v>P.D.H. Boothby</x:v>
      </x:c>
      <x:c r="I102" t="str">
        <x:f>wimbledons_champions!T212</x:f>
        <x:v>GBR</x:v>
      </x:c>
      <x:c r="J102" t="n">
        <x:f>wimbledons_champions!V212</x:f>
        <x:v>0</x:v>
      </x:c>
    </x:row>
    <x:row r="103">
      <x:c r="A103" t="n">
        <x:f>wimbledons_champions!A214</x:f>
        <x:v>1909</x:v>
      </x:c>
      <x:c r="B103" t="str">
        <x:f>wimbledons_champions!B214</x:f>
        <x:v>Women's</x:v>
      </x:c>
      <x:c r="C103" t="str">
        <x:f>wimbledons_champions!C214</x:f>
        <x:v>P.D.H. Boothby</x:v>
      </x:c>
      <x:c r="D103" t="str">
        <x:f>wimbledons_champions!D214</x:f>
        <x:v>GBR</x:v>
      </x:c>
      <x:c r="E103" t="n">
        <x:f>wimbledons_champions!F214</x:f>
        <x:v>0</x:v>
      </x:c>
      <x:c r="F103" t="n">
        <x:f>wimbledons_champions!G214</x:f>
        <x:v>0</x:v>
      </x:c>
      <x:c r="G103" t="str">
        <x:f>wimbledons_champions!H214</x:f>
        <x:v>6-4, 4-6, 8-6</x:v>
      </x:c>
      <x:c r="H103" t="str">
        <x:f>wimbledons_champions!S214</x:f>
        <x:v>A.M. Morton</x:v>
      </x:c>
      <x:c r="I103" t="str">
        <x:f>wimbledons_champions!T214</x:f>
        <x:v>GBR</x:v>
      </x:c>
      <x:c r="J103" t="n">
        <x:f>wimbledons_champions!V214</x:f>
        <x:v>0</x:v>
      </x:c>
    </x:row>
    <x:row r="104">
      <x:c r="A104" t="n">
        <x:f>wimbledons_champions!A216</x:f>
        <x:v>1908</x:v>
      </x:c>
      <x:c r="B104" t="str">
        <x:f>wimbledons_champions!B216</x:f>
        <x:v>Women's</x:v>
      </x:c>
      <x:c r="C104" t="str">
        <x:f>wimbledons_champions!C216</x:f>
        <x:v>C.R. Cooper</x:v>
      </x:c>
      <x:c r="D104" t="str">
        <x:f>wimbledons_champions!D216</x:f>
        <x:v>GBR</x:v>
      </x:c>
      <x:c r="E104" t="n">
        <x:f>wimbledons_champions!F216</x:f>
        <x:v>0</x:v>
      </x:c>
      <x:c r="F104" t="n">
        <x:f>wimbledons_champions!G216</x:f>
        <x:v>0</x:v>
      </x:c>
      <x:c r="G104" t="str">
        <x:f>wimbledons_champions!H216</x:f>
        <x:v>6-4, 6-4</x:v>
      </x:c>
      <x:c r="H104" t="str">
        <x:f>wimbledons_champions!S216</x:f>
        <x:v>A.M. Morton</x:v>
      </x:c>
      <x:c r="I104" t="str">
        <x:f>wimbledons_champions!T216</x:f>
        <x:v>GBR</x:v>
      </x:c>
      <x:c r="J104" t="n">
        <x:f>wimbledons_champions!V216</x:f>
        <x:v>0</x:v>
      </x:c>
    </x:row>
    <x:row r="105">
      <x:c r="A105" t="n">
        <x:f>wimbledons_champions!A218</x:f>
        <x:v>1907</x:v>
      </x:c>
      <x:c r="B105" t="str">
        <x:f>wimbledons_champions!B218</x:f>
        <x:v>Women's</x:v>
      </x:c>
      <x:c r="C105" t="str">
        <x:f>wimbledons_champions!C218</x:f>
        <x:v>M.G. Sutton</x:v>
      </x:c>
      <x:c r="D105" t="str">
        <x:f>wimbledons_champions!D218</x:f>
        <x:v>USA</x:v>
      </x:c>
      <x:c r="E105" t="n">
        <x:f>wimbledons_champions!F218</x:f>
        <x:v>0</x:v>
      </x:c>
      <x:c r="F105" t="n">
        <x:f>wimbledons_champions!G218</x:f>
        <x:v>0</x:v>
      </x:c>
      <x:c r="G105" t="str">
        <x:f>wimbledons_champions!H218</x:f>
        <x:v>6-1, 6-4</x:v>
      </x:c>
      <x:c r="H105" t="str">
        <x:f>wimbledons_champions!S218</x:f>
        <x:v>D.L. Chambers</x:v>
      </x:c>
      <x:c r="I105" t="str">
        <x:f>wimbledons_champions!T218</x:f>
        <x:v>GBR</x:v>
      </x:c>
      <x:c r="J105" t="n">
        <x:f>wimbledons_champions!V218</x:f>
        <x:v>0</x:v>
      </x:c>
    </x:row>
    <x:row r="106">
      <x:c r="A106" t="n">
        <x:f>wimbledons_champions!A220</x:f>
        <x:v>1906</x:v>
      </x:c>
      <x:c r="B106" t="str">
        <x:f>wimbledons_champions!B220</x:f>
        <x:v>Women's</x:v>
      </x:c>
      <x:c r="C106" t="str">
        <x:f>wimbledons_champions!C220</x:f>
        <x:v>D.L. Chambers</x:v>
      </x:c>
      <x:c r="D106" t="str">
        <x:f>wimbledons_champions!D220</x:f>
        <x:v>GBR</x:v>
      </x:c>
      <x:c r="E106" t="n">
        <x:f>wimbledons_champions!F220</x:f>
        <x:v>0</x:v>
      </x:c>
      <x:c r="F106" t="n">
        <x:f>wimbledons_champions!G220</x:f>
        <x:v>57</x:v>
      </x:c>
      <x:c r="G106" t="str">
        <x:f>wimbledons_champions!H220</x:f>
        <x:v>6-3, 9-7</x:v>
      </x:c>
      <x:c r="H106" t="str">
        <x:f>wimbledons_champions!S220</x:f>
        <x:v>M.G. Sutton</x:v>
      </x:c>
      <x:c r="I106" t="str">
        <x:f>wimbledons_champions!T220</x:f>
        <x:v>USA</x:v>
      </x:c>
      <x:c r="J106" t="n">
        <x:f>wimbledons_champions!V220</x:f>
        <x:v>0</x:v>
      </x:c>
    </x:row>
    <x:row r="107">
      <x:c r="A107" t="n">
        <x:f>wimbledons_champions!A222</x:f>
        <x:v>1905</x:v>
      </x:c>
      <x:c r="B107" t="str">
        <x:f>wimbledons_champions!B222</x:f>
        <x:v>Women's</x:v>
      </x:c>
      <x:c r="C107" t="str">
        <x:f>wimbledons_champions!C222</x:f>
        <x:v>M.G. Sutton</x:v>
      </x:c>
      <x:c r="D107" t="str">
        <x:f>wimbledons_champions!D222</x:f>
        <x:v>USA</x:v>
      </x:c>
      <x:c r="E107" t="n">
        <x:f>wimbledons_champions!F222</x:f>
        <x:v>0</x:v>
      </x:c>
      <x:c r="F107" t="n">
        <x:f>wimbledons_champions!G222</x:f>
        <x:v>0</x:v>
      </x:c>
      <x:c r="G107" t="str">
        <x:f>wimbledons_champions!H222</x:f>
        <x:v>6-3, 6-4</x:v>
      </x:c>
      <x:c r="H107" t="str">
        <x:f>wimbledons_champions!S222</x:f>
        <x:v>D.L. Chambers</x:v>
      </x:c>
      <x:c r="I107" t="str">
        <x:f>wimbledons_champions!T222</x:f>
        <x:v>GBR</x:v>
      </x:c>
      <x:c r="J107" t="n">
        <x:f>wimbledons_champions!V222</x:f>
        <x:v>0</x:v>
      </x:c>
    </x:row>
    <x:row r="108">
      <x:c r="A108" t="n">
        <x:f>wimbledons_champions!A224</x:f>
        <x:v>1904</x:v>
      </x:c>
      <x:c r="B108" t="str">
        <x:f>wimbledons_champions!B224</x:f>
        <x:v>Women's</x:v>
      </x:c>
      <x:c r="C108" t="str">
        <x:f>wimbledons_champions!C224</x:f>
        <x:v>D.L. Chambers</x:v>
      </x:c>
      <x:c r="D108" t="str">
        <x:f>wimbledons_champions!D224</x:f>
        <x:v>GBR</x:v>
      </x:c>
      <x:c r="E108" t="n">
        <x:f>wimbledons_champions!F224</x:f>
        <x:v>0</x:v>
      </x:c>
      <x:c r="F108" t="n">
        <x:f>wimbledons_champions!G224</x:f>
        <x:v>0</x:v>
      </x:c>
      <x:c r="G108" t="str">
        <x:f>wimbledons_champions!H224</x:f>
        <x:v>6-0, 6-3</x:v>
      </x:c>
      <x:c r="H108" t="str">
        <x:f>wimbledons_champions!S224</x:f>
        <x:v>C.R. Cooper</x:v>
      </x:c>
      <x:c r="I108" t="str">
        <x:f>wimbledons_champions!T224</x:f>
        <x:v>GBR</x:v>
      </x:c>
      <x:c r="J108" t="n">
        <x:f>wimbledons_champions!V224</x:f>
        <x:v>0</x:v>
      </x:c>
    </x:row>
    <x:row r="109">
      <x:c r="A109" t="n">
        <x:f>wimbledons_champions!A226</x:f>
        <x:v>1903</x:v>
      </x:c>
      <x:c r="B109" t="str">
        <x:f>wimbledons_champions!B226</x:f>
        <x:v>Women's</x:v>
      </x:c>
      <x:c r="C109" t="str">
        <x:f>wimbledons_champions!C226</x:f>
        <x:v>D.L. Chambers</x:v>
      </x:c>
      <x:c r="D109" t="str">
        <x:f>wimbledons_champions!D226</x:f>
        <x:v>GBR</x:v>
      </x:c>
      <x:c r="E109" t="n">
        <x:f>wimbledons_champions!F226</x:f>
        <x:v>0</x:v>
      </x:c>
      <x:c r="F109" t="n">
        <x:f>wimbledons_champions!G226</x:f>
        <x:v>0</x:v>
      </x:c>
      <x:c r="G109" t="str">
        <x:f>wimbledons_champions!H226</x:f>
        <x:v>4-6, 6-4, 6-2</x:v>
      </x:c>
      <x:c r="H109" t="str">
        <x:f>wimbledons_champions!S226</x:f>
        <x:v>E.W. Thomson</x:v>
      </x:c>
      <x:c r="I109" t="str">
        <x:f>wimbledons_champions!T226</x:f>
        <x:v>GBR</x:v>
      </x:c>
      <x:c r="J109" t="n">
        <x:f>wimbledons_champions!V226</x:f>
        <x:v>0</x:v>
      </x:c>
    </x:row>
    <x:row r="110">
      <x:c r="A110" t="n">
        <x:f>wimbledons_champions!A228</x:f>
        <x:v>1902</x:v>
      </x:c>
      <x:c r="B110" t="str">
        <x:f>wimbledons_champions!B228</x:f>
        <x:v>Women's</x:v>
      </x:c>
      <x:c r="C110" t="str">
        <x:f>wimbledons_champions!C228</x:f>
        <x:v>M.E. Robb</x:v>
      </x:c>
      <x:c r="D110" t="str">
        <x:f>wimbledons_champions!D228</x:f>
        <x:v>GBR</x:v>
      </x:c>
      <x:c r="E110" t="n">
        <x:f>wimbledons_champions!F228</x:f>
        <x:v>0</x:v>
      </x:c>
      <x:c r="F110" t="n">
        <x:f>wimbledons_champions!G228</x:f>
        <x:v>0</x:v>
      </x:c>
      <x:c r="G110" t="str">
        <x:f>wimbledons_champions!H228</x:f>
        <x:v>7-5, 6-1</x:v>
      </x:c>
      <x:c r="H110" t="str">
        <x:f>wimbledons_champions!S228</x:f>
        <x:v>C.R. Cooper</x:v>
      </x:c>
      <x:c r="I110" t="str">
        <x:f>wimbledons_champions!T228</x:f>
        <x:v>GBR</x:v>
      </x:c>
      <x:c r="J110" t="n">
        <x:f>wimbledons_champions!V228</x:f>
        <x:v>0</x:v>
      </x:c>
    </x:row>
    <x:row r="111">
      <x:c r="A111" t="n">
        <x:f>wimbledons_champions!A230</x:f>
        <x:v>1901</x:v>
      </x:c>
      <x:c r="B111" t="str">
        <x:f>wimbledons_champions!B230</x:f>
        <x:v>Women's</x:v>
      </x:c>
      <x:c r="C111" t="str">
        <x:f>wimbledons_champions!C230</x:f>
        <x:v>C.R. Cooper</x:v>
      </x:c>
      <x:c r="D111" t="str">
        <x:f>wimbledons_champions!D230</x:f>
        <x:v>GBR</x:v>
      </x:c>
      <x:c r="E111" t="n">
        <x:f>wimbledons_champions!F230</x:f>
        <x:v>0</x:v>
      </x:c>
      <x:c r="F111" t="n">
        <x:f>wimbledons_champions!G230</x:f>
        <x:v>0</x:v>
      </x:c>
      <x:c r="G111" t="str">
        <x:f>wimbledons_champions!H230</x:f>
        <x:v>6-2, 6-2</x:v>
      </x:c>
      <x:c r="H111" t="str">
        <x:f>wimbledons_champions!S230</x:f>
        <x:v>G.W. Hillyard</x:v>
      </x:c>
      <x:c r="I111" t="str">
        <x:f>wimbledons_champions!T230</x:f>
        <x:v>GBR</x:v>
      </x:c>
      <x:c r="J111" t="n">
        <x:f>wimbledons_champions!V230</x:f>
        <x:v>0</x:v>
      </x:c>
    </x:row>
    <x:row r="112">
      <x:c r="A112" t="n">
        <x:f>wimbledons_champions!A232</x:f>
        <x:v>1900</x:v>
      </x:c>
      <x:c r="B112" t="str">
        <x:f>wimbledons_champions!B232</x:f>
        <x:v>Women's</x:v>
      </x:c>
      <x:c r="C112" t="str">
        <x:f>wimbledons_champions!C232</x:f>
        <x:v>G.W. Hillyard</x:v>
      </x:c>
      <x:c r="D112" t="str">
        <x:f>wimbledons_champions!D232</x:f>
        <x:v>GBR</x:v>
      </x:c>
      <x:c r="E112" t="n">
        <x:f>wimbledons_champions!F232</x:f>
        <x:v>0</x:v>
      </x:c>
      <x:c r="F112" t="n">
        <x:f>wimbledons_champions!G232</x:f>
        <x:v>0</x:v>
      </x:c>
      <x:c r="G112" t="str">
        <x:f>wimbledons_champions!H232</x:f>
        <x:v>4-6, 6-4, 6-4</x:v>
      </x:c>
      <x:c r="H112" t="str">
        <x:f>wimbledons_champions!S232</x:f>
        <x:v>C.R. Cooper</x:v>
      </x:c>
      <x:c r="I112" t="str">
        <x:f>wimbledons_champions!T232</x:f>
        <x:v>GBR</x:v>
      </x:c>
      <x:c r="J112" t="n">
        <x:f>wimbledons_champions!V232</x:f>
        <x:v>0</x:v>
      </x:c>
    </x:row>
    <x:row r="113">
      <x:c r="A113" t="n">
        <x:f>wimbledons_champions!A234</x:f>
        <x:v>1899</x:v>
      </x:c>
      <x:c r="B113" t="str">
        <x:f>wimbledons_champions!B234</x:f>
        <x:v>Women's</x:v>
      </x:c>
      <x:c r="C113" t="str">
        <x:f>wimbledons_champions!C234</x:f>
        <x:v>G.W. Hillyard</x:v>
      </x:c>
      <x:c r="D113" t="str">
        <x:f>wimbledons_champions!D234</x:f>
        <x:v>GBR</x:v>
      </x:c>
      <x:c r="E113" t="n">
        <x:f>wimbledons_champions!F234</x:f>
        <x:v>0</x:v>
      </x:c>
      <x:c r="F113" t="n">
        <x:f>wimbledons_champions!G234</x:f>
        <x:v>0</x:v>
      </x:c>
      <x:c r="G113" t="str">
        <x:f>wimbledons_champions!H234</x:f>
        <x:v>6-2, 6-3</x:v>
      </x:c>
      <x:c r="H113" t="str">
        <x:f>wimbledons_champions!S234</x:f>
        <x:v>C.R. Cooper</x:v>
      </x:c>
      <x:c r="I113" t="str">
        <x:f>wimbledons_champions!T234</x:f>
        <x:v>GBR</x:v>
      </x:c>
      <x:c r="J113" t="n">
        <x:f>wimbledons_champions!V234</x:f>
        <x:v>0</x:v>
      </x:c>
    </x:row>
    <x:row r="114">
      <x:c r="A114" t="n">
        <x:f>wimbledons_champions!A236</x:f>
        <x:v>1898</x:v>
      </x:c>
      <x:c r="B114" t="str">
        <x:f>wimbledons_champions!B236</x:f>
        <x:v>Women's</x:v>
      </x:c>
      <x:c r="C114" t="str">
        <x:f>wimbledons_champions!C236</x:f>
        <x:v>C.R. Cooper</x:v>
      </x:c>
      <x:c r="D114" t="str">
        <x:f>wimbledons_champions!D236</x:f>
        <x:v>GBR</x:v>
      </x:c>
      <x:c r="E114" t="n">
        <x:f>wimbledons_champions!F236</x:f>
        <x:v>0</x:v>
      </x:c>
      <x:c r="F114" t="n">
        <x:f>wimbledons_champions!G236</x:f>
        <x:v>0</x:v>
      </x:c>
      <x:c r="G114" t="str">
        <x:f>wimbledons_champions!H236</x:f>
        <x:v>6-4, 6-4</x:v>
      </x:c>
      <x:c r="H114" t="str">
        <x:f>wimbledons_champions!S236</x:f>
        <x:v>M.L.Martin</x:v>
      </x:c>
      <x:c r="I114" t="str">
        <x:f>wimbledons_champions!T236</x:f>
        <x:v>GBR</x:v>
      </x:c>
      <x:c r="J114" t="n">
        <x:f>wimbledons_champions!V236</x:f>
        <x:v>0</x:v>
      </x:c>
    </x:row>
    <x:row r="115">
      <x:c r="A115" t="n">
        <x:f>wimbledons_champions!A238</x:f>
        <x:v>1897</x:v>
      </x:c>
      <x:c r="B115" t="str">
        <x:f>wimbledons_champions!B238</x:f>
        <x:v>Women's</x:v>
      </x:c>
      <x:c r="C115" t="str">
        <x:f>wimbledons_champions!C238</x:f>
        <x:v>G.W. Hillyard</x:v>
      </x:c>
      <x:c r="D115" t="str">
        <x:f>wimbledons_champions!D238</x:f>
        <x:v>GBR</x:v>
      </x:c>
      <x:c r="E115" t="n">
        <x:f>wimbledons_champions!F238</x:f>
        <x:v>0</x:v>
      </x:c>
      <x:c r="F115" t="n">
        <x:f>wimbledons_champions!G238</x:f>
        <x:v>0</x:v>
      </x:c>
      <x:c r="G115" t="str">
        <x:f>wimbledons_champions!H238</x:f>
        <x:v>5-7, 7-5, 6-2</x:v>
      </x:c>
      <x:c r="H115" t="str">
        <x:f>wimbledons_champions!S238</x:f>
        <x:v>C.R. Cooper</x:v>
      </x:c>
      <x:c r="I115" t="str">
        <x:f>wimbledons_champions!T238</x:f>
        <x:v>GBR</x:v>
      </x:c>
      <x:c r="J115" t="n">
        <x:f>wimbledons_champions!V238</x:f>
        <x:v>0</x:v>
      </x:c>
    </x:row>
    <x:row r="116">
      <x:c r="A116" t="n">
        <x:f>wimbledons_champions!A240</x:f>
        <x:v>1896</x:v>
      </x:c>
      <x:c r="B116" t="str">
        <x:f>wimbledons_champions!B240</x:f>
        <x:v>Women's</x:v>
      </x:c>
      <x:c r="C116" t="str">
        <x:f>wimbledons_champions!C240</x:f>
        <x:v>C.R. Cooper</x:v>
      </x:c>
      <x:c r="D116" t="str">
        <x:f>wimbledons_champions!D240</x:f>
        <x:v>GBR</x:v>
      </x:c>
      <x:c r="E116" t="n">
        <x:f>wimbledons_champions!F240</x:f>
        <x:v>0</x:v>
      </x:c>
      <x:c r="F116" t="n">
        <x:f>wimbledons_champions!G240</x:f>
        <x:v>0</x:v>
      </x:c>
      <x:c r="G116" t="str">
        <x:f>wimbledons_champions!H240</x:f>
        <x:v>6-2, 6-3</x:v>
      </x:c>
      <x:c r="H116" t="str">
        <x:f>wimbledons_champions!S240</x:f>
        <x:v>W.H. Pickering</x:v>
      </x:c>
      <x:c r="I116" t="str">
        <x:f>wimbledons_champions!T240</x:f>
        <x:v>GBR</x:v>
      </x:c>
      <x:c r="J116" t="n">
        <x:f>wimbledons_champions!V240</x:f>
        <x:v>0</x:v>
      </x:c>
    </x:row>
    <x:row r="117">
      <x:c r="A117" t="n">
        <x:f>wimbledons_champions!A242</x:f>
        <x:v>1895</x:v>
      </x:c>
      <x:c r="B117" t="str">
        <x:f>wimbledons_champions!B242</x:f>
        <x:v>Women's</x:v>
      </x:c>
      <x:c r="C117" t="str">
        <x:f>wimbledons_champions!C242</x:f>
        <x:v>C.R. Cooper</x:v>
      </x:c>
      <x:c r="D117" t="str">
        <x:f>wimbledons_champions!D242</x:f>
        <x:v>GBR</x:v>
      </x:c>
      <x:c r="E117" t="n">
        <x:f>wimbledons_champions!F242</x:f>
        <x:v>0</x:v>
      </x:c>
      <x:c r="F117" t="n">
        <x:f>wimbledons_champions!G242</x:f>
        <x:v>0</x:v>
      </x:c>
      <x:c r="G117" t="str">
        <x:f>wimbledons_champions!H242</x:f>
        <x:v>7-5, 8-6</x:v>
      </x:c>
      <x:c r="H117" t="str">
        <x:f>wimbledons_champions!S242</x:f>
        <x:v>H. Jackson</x:v>
      </x:c>
      <x:c r="I117" t="str">
        <x:f>wimbledons_champions!T242</x:f>
        <x:v>GBR</x:v>
      </x:c>
      <x:c r="J117" t="n">
        <x:f>wimbledons_champions!V242</x:f>
        <x:v>0</x:v>
      </x:c>
    </x:row>
    <x:row r="118">
      <x:c r="A118" t="n">
        <x:f>wimbledons_champions!A244</x:f>
        <x:v>1894</x:v>
      </x:c>
      <x:c r="B118" t="str">
        <x:f>wimbledons_champions!B244</x:f>
        <x:v>Women's</x:v>
      </x:c>
      <x:c r="C118" t="str">
        <x:f>wimbledons_champions!C244</x:f>
        <x:v>G.W. Hillyard</x:v>
      </x:c>
      <x:c r="D118" t="str">
        <x:f>wimbledons_champions!D244</x:f>
        <x:v>GBR</x:v>
      </x:c>
      <x:c r="E118" t="n">
        <x:f>wimbledons_champions!F244</x:f>
        <x:v>0</x:v>
      </x:c>
      <x:c r="F118" t="n">
        <x:f>wimbledons_champions!G244</x:f>
        <x:v>0</x:v>
      </x:c>
      <x:c r="G118" t="str">
        <x:f>wimbledons_champions!H244</x:f>
        <x:v>6-1, 6-1</x:v>
      </x:c>
      <x:c r="H118" t="str">
        <x:f>wimbledons_champions!S244</x:f>
        <x:v>E.L. Austin</x:v>
      </x:c>
      <x:c r="I118" t="str">
        <x:f>wimbledons_champions!T244</x:f>
        <x:v>GBR</x:v>
      </x:c>
      <x:c r="J118" t="n">
        <x:f>wimbledons_champions!V244</x:f>
        <x:v>0</x:v>
      </x:c>
    </x:row>
    <x:row r="119">
      <x:c r="A119" t="n">
        <x:f>wimbledons_champions!A246</x:f>
        <x:v>1893</x:v>
      </x:c>
      <x:c r="B119" t="str">
        <x:f>wimbledons_champions!B246</x:f>
        <x:v>Women's</x:v>
      </x:c>
      <x:c r="C119" t="str">
        <x:f>wimbledons_champions!C246</x:f>
        <x:v>C. Dod</x:v>
      </x:c>
      <x:c r="D119" t="str">
        <x:f>wimbledons_champions!D246</x:f>
        <x:v>GBR</x:v>
      </x:c>
      <x:c r="E119" t="n">
        <x:f>wimbledons_champions!F246</x:f>
        <x:v>0</x:v>
      </x:c>
      <x:c r="F119" t="n">
        <x:f>wimbledons_champions!G246</x:f>
        <x:v>0</x:v>
      </x:c>
      <x:c r="G119" t="str">
        <x:f>wimbledons_champions!H246</x:f>
        <x:v>6-8, 6-1, 6-4</x:v>
      </x:c>
      <x:c r="H119" t="str">
        <x:f>wimbledons_champions!S246</x:f>
        <x:v>G.W. Hillyard</x:v>
      </x:c>
      <x:c r="I119" t="str">
        <x:f>wimbledons_champions!T246</x:f>
        <x:v>GBR</x:v>
      </x:c>
      <x:c r="J119" t="n">
        <x:f>wimbledons_champions!V246</x:f>
        <x:v>0</x:v>
      </x:c>
    </x:row>
    <x:row r="120">
      <x:c r="A120" t="n">
        <x:f>wimbledons_champions!A248</x:f>
        <x:v>1892</x:v>
      </x:c>
      <x:c r="B120" t="str">
        <x:f>wimbledons_champions!B248</x:f>
        <x:v>Women's</x:v>
      </x:c>
      <x:c r="C120" t="str">
        <x:f>wimbledons_champions!C248</x:f>
        <x:v>C. Dod</x:v>
      </x:c>
      <x:c r="D120" t="str">
        <x:f>wimbledons_champions!D248</x:f>
        <x:v>GBR</x:v>
      </x:c>
      <x:c r="E120" t="n">
        <x:f>wimbledons_champions!F248</x:f>
        <x:v>0</x:v>
      </x:c>
      <x:c r="F120" t="n">
        <x:f>wimbledons_champions!G248</x:f>
        <x:v>0</x:v>
      </x:c>
      <x:c r="G120" t="str">
        <x:f>wimbledons_champions!H248</x:f>
        <x:v>6-1, 6-1</x:v>
      </x:c>
      <x:c r="H120" t="str">
        <x:f>wimbledons_champions!S248</x:f>
        <x:v>G.W. Hillyard</x:v>
      </x:c>
      <x:c r="I120" t="str">
        <x:f>wimbledons_champions!T248</x:f>
        <x:v>GBR</x:v>
      </x:c>
      <x:c r="J120" t="n">
        <x:f>wimbledons_champions!V248</x:f>
        <x:v>0</x:v>
      </x:c>
    </x:row>
    <x:row r="121">
      <x:c r="A121" t="n">
        <x:f>wimbledons_champions!A250</x:f>
        <x:v>1891</x:v>
      </x:c>
      <x:c r="B121" t="str">
        <x:f>wimbledons_champions!B250</x:f>
        <x:v>Women's</x:v>
      </x:c>
      <x:c r="C121" t="str">
        <x:f>wimbledons_champions!C250</x:f>
        <x:v>C. Dod</x:v>
      </x:c>
      <x:c r="D121" t="str">
        <x:f>wimbledons_champions!D250</x:f>
        <x:v>GBR</x:v>
      </x:c>
      <x:c r="E121" t="n">
        <x:f>wimbledons_champions!F250</x:f>
        <x:v>0</x:v>
      </x:c>
      <x:c r="F121" t="n">
        <x:f>wimbledons_champions!G250</x:f>
        <x:v>0</x:v>
      </x:c>
      <x:c r="G121" t="str">
        <x:f>wimbledons_champions!H250</x:f>
        <x:v>6-2, 6-1</x:v>
      </x:c>
      <x:c r="H121" t="str">
        <x:f>wimbledons_champions!S250</x:f>
        <x:v>G.W. Hillyard</x:v>
      </x:c>
      <x:c r="I121" t="str">
        <x:f>wimbledons_champions!T250</x:f>
        <x:v>GBR</x:v>
      </x:c>
      <x:c r="J121" t="n">
        <x:f>wimbledons_champions!V250</x:f>
        <x:v>0</x:v>
      </x:c>
    </x:row>
    <x:row r="122">
      <x:c r="A122" t="n">
        <x:f>wimbledons_champions!A252</x:f>
        <x:v>1890</x:v>
      </x:c>
      <x:c r="B122" t="str">
        <x:f>wimbledons_champions!B252</x:f>
        <x:v>Women's</x:v>
      </x:c>
      <x:c r="C122" t="str">
        <x:f>wimbledons_champions!C252</x:f>
        <x:v>H.G.B. Rice</x:v>
      </x:c>
      <x:c r="D122" t="str">
        <x:f>wimbledons_champions!D252</x:f>
        <x:v>GBR</x:v>
      </x:c>
      <x:c r="E122" t="n">
        <x:f>wimbledons_champions!F252</x:f>
        <x:v>0</x:v>
      </x:c>
      <x:c r="F122" t="n">
        <x:f>wimbledons_champions!G252</x:f>
        <x:v>0</x:v>
      </x:c>
      <x:c r="G122" t="str">
        <x:f>wimbledons_champions!H252</x:f>
        <x:v>6-4, 6-1</x:v>
      </x:c>
      <x:c r="H122" t="str">
        <x:f>wimbledons_champions!S252</x:f>
        <x:v>M. Jacks</x:v>
      </x:c>
      <x:c r="I122" t="str">
        <x:f>wimbledons_champions!T252</x:f>
        <x:v>GBR</x:v>
      </x:c>
      <x:c r="J122" t="n">
        <x:f>wimbledons_champions!V252</x:f>
        <x:v>0</x:v>
      </x:c>
    </x:row>
    <x:row r="123">
      <x:c r="A123" t="n">
        <x:f>wimbledons_champions!A254</x:f>
        <x:v>1889</x:v>
      </x:c>
      <x:c r="B123" t="str">
        <x:f>wimbledons_champions!B254</x:f>
        <x:v>Women's</x:v>
      </x:c>
      <x:c r="C123" t="str">
        <x:f>wimbledons_champions!C254</x:f>
        <x:v>G.W. Hillyard</x:v>
      </x:c>
      <x:c r="D123" t="str">
        <x:f>wimbledons_champions!D254</x:f>
        <x:v>GBR</x:v>
      </x:c>
      <x:c r="E123" t="n">
        <x:f>wimbledons_champions!F254</x:f>
        <x:v>0</x:v>
      </x:c>
      <x:c r="F123" t="n">
        <x:f>wimbledons_champions!G254</x:f>
        <x:v>0</x:v>
      </x:c>
      <x:c r="G123" t="str">
        <x:f>wimbledons_champions!H254</x:f>
        <x:v>4-6, 8-6, 6-4</x:v>
      </x:c>
      <x:c r="H123" t="str">
        <x:f>wimbledons_champions!S254</x:f>
        <x:v>H.G.B. Rice</x:v>
      </x:c>
      <x:c r="I123" t="str">
        <x:f>wimbledons_champions!T254</x:f>
        <x:v>GBR</x:v>
      </x:c>
      <x:c r="J123" t="n">
        <x:f>wimbledons_champions!V254</x:f>
        <x:v>0</x:v>
      </x:c>
    </x:row>
    <x:row r="124">
      <x:c r="A124" t="n">
        <x:f>wimbledons_champions!A256</x:f>
        <x:v>1888</x:v>
      </x:c>
      <x:c r="B124" t="str">
        <x:f>wimbledons_champions!B256</x:f>
        <x:v>Women's</x:v>
      </x:c>
      <x:c r="C124" t="str">
        <x:f>wimbledons_champions!C256</x:f>
        <x:v>C. Dod</x:v>
      </x:c>
      <x:c r="D124" t="str">
        <x:f>wimbledons_champions!D256</x:f>
        <x:v>GBR</x:v>
      </x:c>
      <x:c r="E124" t="n">
        <x:f>wimbledons_champions!F256</x:f>
        <x:v>0</x:v>
      </x:c>
      <x:c r="F124" t="n">
        <x:f>wimbledons_champions!G256</x:f>
        <x:v>0</x:v>
      </x:c>
      <x:c r="G124" t="str">
        <x:f>wimbledons_champions!H256</x:f>
        <x:v>6-3, 6-3</x:v>
      </x:c>
      <x:c r="H124" t="str">
        <x:f>wimbledons_champions!S256</x:f>
        <x:v>G.W. Hillyard</x:v>
      </x:c>
      <x:c r="I124" t="str">
        <x:f>wimbledons_champions!T256</x:f>
        <x:v>GBR</x:v>
      </x:c>
      <x:c r="J124" t="n">
        <x:f>wimbledons_champions!V256</x:f>
        <x:v>0</x:v>
      </x:c>
    </x:row>
    <x:row r="125">
      <x:c r="A125" t="n">
        <x:f>wimbledons_champions!A258</x:f>
        <x:v>1887</x:v>
      </x:c>
      <x:c r="B125" t="str">
        <x:f>wimbledons_champions!B258</x:f>
        <x:v>Women's</x:v>
      </x:c>
      <x:c r="C125" t="str">
        <x:f>wimbledons_champions!C258</x:f>
        <x:v>C. Dod</x:v>
      </x:c>
      <x:c r="D125" t="str">
        <x:f>wimbledons_champions!D258</x:f>
        <x:v>GBR</x:v>
      </x:c>
      <x:c r="E125" t="n">
        <x:f>wimbledons_champions!F258</x:f>
        <x:v>0</x:v>
      </x:c>
      <x:c r="F125" t="n">
        <x:f>wimbledons_champions!G258</x:f>
        <x:v>0</x:v>
      </x:c>
      <x:c r="G125" t="str">
        <x:f>wimbledons_champions!H258</x:f>
        <x:v>6-2, 6-0</x:v>
      </x:c>
      <x:c r="H125" t="str">
        <x:f>wimbledons_champions!S258</x:f>
        <x:v>G.W. Hillyard</x:v>
      </x:c>
      <x:c r="I125" t="str">
        <x:f>wimbledons_champions!T258</x:f>
        <x:v>GBR</x:v>
      </x:c>
      <x:c r="J125" t="n">
        <x:f>wimbledons_champions!V258</x:f>
        <x:v>0</x:v>
      </x:c>
    </x:row>
    <x:row r="126">
      <x:c r="A126" t="n">
        <x:f>wimbledons_champions!A260</x:f>
        <x:v>1886</x:v>
      </x:c>
      <x:c r="B126" t="str">
        <x:f>wimbledons_champions!B260</x:f>
        <x:v>Women's</x:v>
      </x:c>
      <x:c r="C126" t="str">
        <x:f>wimbledons_champions!C260</x:f>
        <x:v>G.W. Hillyard</x:v>
      </x:c>
      <x:c r="D126" t="str">
        <x:f>wimbledons_champions!D260</x:f>
        <x:v>GBR</x:v>
      </x:c>
      <x:c r="E126" t="n">
        <x:f>wimbledons_champions!F260</x:f>
        <x:v>0</x:v>
      </x:c>
      <x:c r="F126" t="n">
        <x:f>wimbledons_champions!G260</x:f>
        <x:v>0</x:v>
      </x:c>
      <x:c r="G126" t="str">
        <x:f>wimbledons_champions!H260</x:f>
        <x:v>6-3, 6-3</x:v>
      </x:c>
      <x:c r="H126" t="str">
        <x:f>wimbledons_champions!S260</x:f>
        <x:v>M.E.E. Watson</x:v>
      </x:c>
      <x:c r="I126" t="str">
        <x:f>wimbledons_champions!T260</x:f>
        <x:v>GBR</x:v>
      </x:c>
      <x:c r="J126" t="n">
        <x:f>wimbledons_champions!V260</x:f>
        <x:v>0</x:v>
      </x:c>
    </x:row>
    <x:row r="127">
      <x:c r="A127" t="n">
        <x:f>wimbledons_champions!A262</x:f>
        <x:v>1885</x:v>
      </x:c>
      <x:c r="B127" t="str">
        <x:f>wimbledons_champions!B262</x:f>
        <x:v>Women's</x:v>
      </x:c>
      <x:c r="C127" t="str">
        <x:f>wimbledons_champions!C262</x:f>
        <x:v>M.E.E. Watson</x:v>
      </x:c>
      <x:c r="D127" t="str">
        <x:f>wimbledons_champions!D262</x:f>
        <x:v>GBR</x:v>
      </x:c>
      <x:c r="E127" t="n">
        <x:f>wimbledons_champions!F262</x:f>
        <x:v>0</x:v>
      </x:c>
      <x:c r="F127" t="n">
        <x:f>wimbledons_champions!G262</x:f>
        <x:v>0</x:v>
      </x:c>
      <x:c r="G127" t="str">
        <x:f>wimbledons_champions!H262</x:f>
        <x:v>6-1, 7-5</x:v>
      </x:c>
      <x:c r="H127" t="str">
        <x:f>wimbledons_champions!S262</x:f>
        <x:v>G.W. Hillyard</x:v>
      </x:c>
      <x:c r="I127" t="str">
        <x:f>wimbledons_champions!T262</x:f>
        <x:v>GBR</x:v>
      </x:c>
      <x:c r="J127" t="n">
        <x:f>wimbledons_champions!V262</x:f>
        <x:v>0</x:v>
      </x:c>
    </x:row>
    <x:row r="128">
      <x:c r="A128" t="n">
        <x:f>wimbledons_champions!A264</x:f>
        <x:v>1884</x:v>
      </x:c>
      <x:c r="B128" t="str">
        <x:f>wimbledons_champions!B264</x:f>
        <x:v>Women's</x:v>
      </x:c>
      <x:c r="C128" t="str">
        <x:f>wimbledons_champions!C264</x:f>
        <x:v>M.E.E. Watson</x:v>
      </x:c>
      <x:c r="D128" t="str">
        <x:f>wimbledons_champions!D264</x:f>
        <x:v>GBR</x:v>
      </x:c>
      <x:c r="E128" t="n">
        <x:f>wimbledons_champions!F264</x:f>
        <x:v>0</x:v>
      </x:c>
      <x:c r="F128" t="n">
        <x:f>wimbledons_champions!G264</x:f>
        <x:v>0</x:v>
      </x:c>
      <x:c r="G128" t="str">
        <x:f>wimbledons_champions!H264</x:f>
        <x:v>6-8, 6-3, 6-3</x:v>
      </x:c>
      <x:c r="H128" t="str">
        <x:f>wimbledons_champions!S264</x:f>
        <x:v>L.M. Watson</x:v>
      </x:c>
      <x:c r="I128" t="str">
        <x:f>wimbledons_champions!T264</x:f>
        <x:v>GBR</x:v>
      </x:c>
      <x:c r="J128" t="n">
        <x:f>wimbledons_champions!V264</x:f>
        <x:v>0</x:v>
      </x:c>
    </x:row>
    <x:row r="129">
      <x:c r="A129" t="n">
        <x:f>wimbledons_champions!A266</x:f>
        <x:v>1883</x:v>
      </x:c>
      <x:c r="B129" t="str">
        <x:f>wimbledons_champions!B266</x:f>
        <x:v>Men's</x:v>
      </x:c>
      <x:c r="C129" t="str">
        <x:f>wimbledons_champions!C266</x:f>
        <x:v>W.C. Renshaw</x:v>
      </x:c>
      <x:c r="D129" t="str">
        <x:f>wimbledons_champions!D266</x:f>
        <x:v>GBR</x:v>
      </x:c>
      <x:c r="E129" t="n">
        <x:f>wimbledons_champions!F266</x:f>
        <x:v>0</x:v>
      </x:c>
      <x:c r="F129" t="n">
        <x:f>wimbledons_champions!G266</x:f>
        <x:v>89</x:v>
      </x:c>
      <x:c r="G129" t="str">
        <x:f>wimbledons_champions!H266</x:f>
        <x:v>2-6, 6-3, 6-3, 4-6, 6-3</x:v>
      </x:c>
      <x:c r="H129" t="str">
        <x:f>wimbledons_champions!S266</x:f>
        <x:v>J.E. Renshaw</x:v>
      </x:c>
      <x:c r="I129" t="str">
        <x:f>wimbledons_champions!T266</x:f>
        <x:v>GBR</x:v>
      </x:c>
      <x:c r="J129" t="n">
        <x:f>wimbledons_champions!V266</x:f>
        <x:v>0</x:v>
      </x:c>
    </x:row>
    <x:row r="130">
      <x:c r="A130" t="n">
        <x:f>wimbledons_champions!A267</x:f>
        <x:v>1882</x:v>
      </x:c>
      <x:c r="B130" t="str">
        <x:f>wimbledons_champions!B267</x:f>
        <x:v>Men's</x:v>
      </x:c>
      <x:c r="C130" t="str">
        <x:f>wimbledons_champions!C267</x:f>
        <x:v>W.C. Renshaw</x:v>
      </x:c>
      <x:c r="D130" t="str">
        <x:f>wimbledons_champions!D267</x:f>
        <x:v>GBR</x:v>
      </x:c>
      <x:c r="E130" t="n">
        <x:f>wimbledons_champions!F267</x:f>
        <x:v>0</x:v>
      </x:c>
      <x:c r="F130" t="n">
        <x:f>wimbledons_champions!G267</x:f>
        <x:v>85</x:v>
      </x:c>
      <x:c r="G130" t="str">
        <x:f>wimbledons_champions!H267</x:f>
        <x:v>6-1, 2-6, 4-6, 6-2, 6-2</x:v>
      </x:c>
      <x:c r="H130" t="str">
        <x:f>wimbledons_champions!S267</x:f>
        <x:v>J.E. Renshaw</x:v>
      </x:c>
      <x:c r="I130" t="str">
        <x:f>wimbledons_champions!T267</x:f>
        <x:v>GBR</x:v>
      </x:c>
      <x:c r="J130" t="n">
        <x:f>wimbledons_champions!V267</x:f>
        <x:v>0</x:v>
      </x:c>
    </x:row>
    <x:row r="131">
      <x:c r="A131" t="n">
        <x:f>wimbledons_champions!A268</x:f>
        <x:v>1881</x:v>
      </x:c>
      <x:c r="B131" t="str">
        <x:f>wimbledons_champions!B268</x:f>
        <x:v>Men's</x:v>
      </x:c>
      <x:c r="C131" t="str">
        <x:f>wimbledons_champions!C268</x:f>
        <x:v>W.C. Renshaw</x:v>
      </x:c>
      <x:c r="D131" t="str">
        <x:f>wimbledons_champions!D268</x:f>
        <x:v>GBR</x:v>
      </x:c>
      <x:c r="E131" t="n">
        <x:f>wimbledons_champions!F268</x:f>
        <x:v>0</x:v>
      </x:c>
      <x:c r="F131" t="n">
        <x:f>wimbledons_champions!G268</x:f>
        <x:v>37</x:v>
      </x:c>
      <x:c r="G131" t="str">
        <x:f>wimbledons_champions!H268</x:f>
        <x:v>6-0, 6-1, 6-1</x:v>
      </x:c>
      <x:c r="H131" t="str">
        <x:f>wimbledons_champions!S268</x:f>
        <x:v>J.T. Hartley</x:v>
      </x:c>
      <x:c r="I131" t="str">
        <x:f>wimbledons_champions!T268</x:f>
        <x:v>GBR</x:v>
      </x:c>
      <x:c r="J131" t="n">
        <x:f>wimbledons_champions!V268</x:f>
        <x:v>0</x:v>
      </x:c>
    </x:row>
    <x:row r="132">
      <x:c r="A132" t="n">
        <x:f>wimbledons_champions!A269</x:f>
        <x:v>1880</x:v>
      </x:c>
      <x:c r="B132" t="str">
        <x:f>wimbledons_champions!B269</x:f>
        <x:v>Men's</x:v>
      </x:c>
      <x:c r="C132" t="str">
        <x:f>wimbledons_champions!C269</x:f>
        <x:v>J.T. Hartley</x:v>
      </x:c>
      <x:c r="D132" t="str">
        <x:f>wimbledons_champions!D269</x:f>
        <x:v>GBR</x:v>
      </x:c>
      <x:c r="E132" t="n">
        <x:f>wimbledons_champions!F269</x:f>
        <x:v>0</x:v>
      </x:c>
      <x:c r="F132" t="n">
        <x:f>wimbledons_champions!G269</x:f>
        <x:v>0</x:v>
      </x:c>
      <x:c r="G132" t="str">
        <x:f>wimbledons_champions!H269</x:f>
        <x:v>6-3, 6-2, 2-6, 6-3</x:v>
      </x:c>
      <x:c r="H132" t="str">
        <x:f>wimbledons_champions!S269</x:f>
        <x:v>H.F. Lawford</x:v>
      </x:c>
      <x:c r="I132" t="str">
        <x:f>wimbledons_champions!T269</x:f>
        <x:v>GBR</x:v>
      </x:c>
      <x:c r="J132" t="n">
        <x:f>wimbledons_champions!V269</x:f>
        <x:v>0</x:v>
      </x:c>
    </x:row>
    <x:row r="133">
      <x:c r="A133" t="n">
        <x:f>wimbledons_champions!A270</x:f>
        <x:v>1879</x:v>
      </x:c>
      <x:c r="B133" t="str">
        <x:f>wimbledons_champions!B270</x:f>
        <x:v>Men's</x:v>
      </x:c>
      <x:c r="C133" t="str">
        <x:f>wimbledons_champions!C270</x:f>
        <x:v>J.T. Hartley</x:v>
      </x:c>
      <x:c r="D133" t="str">
        <x:f>wimbledons_champions!D270</x:f>
        <x:v>GBR</x:v>
      </x:c>
      <x:c r="E133" t="n">
        <x:f>wimbledons_champions!F270</x:f>
        <x:v>0</x:v>
      </x:c>
      <x:c r="F133" t="n">
        <x:f>wimbledons_champions!G270</x:f>
        <x:v>0</x:v>
      </x:c>
      <x:c r="G133" t="str">
        <x:f>wimbledons_champions!H270</x:f>
        <x:v>6-2, 6-4, 6-2</x:v>
      </x:c>
      <x:c r="H133" t="str">
        <x:f>wimbledons_champions!S270</x:f>
        <x:v>V.T.St.L. Goold</x:v>
      </x:c>
      <x:c r="I133" t="str">
        <x:f>wimbledons_champions!T270</x:f>
        <x:v>GBR</x:v>
      </x:c>
      <x:c r="J133" t="n">
        <x:f>wimbledons_champions!V270</x:f>
        <x:v>0</x:v>
      </x:c>
    </x:row>
    <x:row r="134">
      <x:c r="A134" t="n">
        <x:f>wimbledons_champions!A271</x:f>
        <x:v>1878</x:v>
      </x:c>
      <x:c r="B134" t="str">
        <x:f>wimbledons_champions!B271</x:f>
        <x:v>Men's</x:v>
      </x:c>
      <x:c r="C134" t="str">
        <x:f>wimbledons_champions!C271</x:f>
        <x:v>P.F. Hadow</x:v>
      </x:c>
      <x:c r="D134" t="str">
        <x:f>wimbledons_champions!D271</x:f>
        <x:v>GBR</x:v>
      </x:c>
      <x:c r="E134" t="n">
        <x:f>wimbledons_champions!F271</x:f>
        <x:v>0</x:v>
      </x:c>
      <x:c r="F134" t="n">
        <x:f>wimbledons_champions!G271</x:f>
        <x:v>0</x:v>
      </x:c>
      <x:c r="G134" t="str">
        <x:f>wimbledons_champions!H271</x:f>
        <x:v>7-5, 6-1, 9-7</x:v>
      </x:c>
      <x:c r="H134" t="str">
        <x:f>wimbledons_champions!S271</x:f>
        <x:v>S.W. Gore</x:v>
      </x:c>
      <x:c r="I134" t="str">
        <x:f>wimbledons_champions!T271</x:f>
        <x:v>GBR</x:v>
      </x:c>
      <x:c r="J134" t="n">
        <x:f>wimbledons_champions!V271</x:f>
        <x:v>0</x:v>
      </x:c>
    </x:row>
    <x:row r="135">
      <x:c r="A135" t="n">
        <x:f>wimbledons_champions!A272</x:f>
        <x:v>1877</x:v>
      </x:c>
      <x:c r="B135" t="str">
        <x:f>wimbledons_champions!B272</x:f>
        <x:v>Men's</x:v>
      </x:c>
      <x:c r="C135" t="str">
        <x:f>wimbledons_champions!C272</x:f>
        <x:v>S.W. Gore</x:v>
      </x:c>
      <x:c r="D135" t="str">
        <x:f>wimbledons_champions!D272</x:f>
        <x:v>GBR</x:v>
      </x:c>
      <x:c r="E135" t="n">
        <x:f>wimbledons_champions!F272</x:f>
        <x:v>0</x:v>
      </x:c>
      <x:c r="F135" t="n">
        <x:f>wimbledons_champions!G272</x:f>
        <x:v>48</x:v>
      </x:c>
      <x:c r="G135" t="str">
        <x:f>wimbledons_champions!H272</x:f>
        <x:v>6-1, 6-2, 6-4</x:v>
      </x:c>
      <x:c r="H135" t="str">
        <x:f>wimbledons_champions!S272</x:f>
        <x:v>W.C. Marshall</x:v>
      </x:c>
      <x:c r="I135" t="str">
        <x:f>wimbledons_champions!T272</x:f>
        <x:v>GBR</x:v>
      </x:c>
      <x:c r="J135" t="n">
        <x:f>wimbledons_champions!V272</x:f>
        <x:v>0</x:v>
      </x:c>
    </x:row>
    <x:row r="136" s="4" customFormat="1"/>
    <x:row r="137">
      <x:c r="A137" s="4" t="n"/>
      <x:c r="B137" s="4" t="n"/>
      <x:c r="C137" s="4" t="n">
        <x:v>65</x:v>
      </x:c>
      <x:c r="D137" s="4" t="n">
        <x:v>14</x:v>
      </x:c>
      <x:c r="E137" s="4" t="n"/>
      <x:c r="F137" s="4" t="n"/>
      <x:c r="G137" s="4" t="n"/>
      <x:c r="H137" s="4" t="n">
        <x:v>85</x:v>
      </x:c>
      <x:c r="I137" s="4" t="n">
        <x:v>22</x:v>
      </x:c>
      <x:c r="J137" s="4" t="n"/>
      <x:c r="K137" s="4" t="n"/>
      <x:c r="L137" s="4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4.600000381469727"/>
  <x:cols>
    <x:col min="1" max="1" width="5" customWidth="1"/>
    <x:col min="2" max="2" width="29" style="25" customWidth="1"/>
    <x:col min="3" max="3" width="15.69140625" style="25" customWidth="1"/>
    <x:col min="4" max="5" width="20.53515625" style="25" customWidth="1"/>
    <x:col min="6" max="6" width="15" style="7" customWidth="1"/>
    <x:col min="7" max="7" width="5.3046875" style="7" customWidth="1"/>
    <x:col min="8" max="8" width="30.4609375" style="25" customWidth="1"/>
    <x:col min="9" max="9" width="20.69140625" style="25" customWidth="1"/>
    <x:col min="10" max="11" width="21" style="25" customWidth="1"/>
    <x:col min="12" max="12" width="15.4609375" style="7" customWidth="1"/>
    <x:col min="13" max="13" width="28.4609375" customWidth="1"/>
    <x:col min="14" max="14" width="20.69140625" customWidth="1"/>
  </x:cols>
  <x:sheetData>
    <x:row r="1" s="15" customFormat="1">
      <x:c r="A1" s="15" t="inlineStr">
        <x:is>
          <x:t xml:space="preserve">Year</x:t>
        </x:is>
      </x:c>
      <x:c r="B1" s="24" t="inlineStr">
        <x:is>
          <x:t xml:space="preserve">Gender</x:t>
        </x:is>
      </x:c>
      <x:c r="C1" s="24" t="inlineStr">
        <x:is>
          <x:t xml:space="preserve">Champion</x:t>
        </x:is>
      </x:c>
      <x:c r="D1" s="24" t="inlineStr">
        <x:is>
          <x:t xml:space="preserve">Champion Nationality</x:t>
        </x:is>
      </x:c>
      <x:c r="E1" s="24" t="inlineStr">
        <x:is>
          <x:t xml:space="preserve">Champion Country</x:t>
        </x:is>
      </x:c>
      <x:c r="F1" s="23" t="inlineStr">
        <x:is>
          <x:t xml:space="preserve">Champion Seed</x:t>
        </x:is>
      </x:c>
      <x:c r="G1" s="23" t="inlineStr">
        <x:is>
          <x:t xml:space="preserve">Mins</x:t>
        </x:is>
      </x:c>
      <x:c r="H1" s="24" t="inlineStr">
        <x:is>
          <x:t xml:space="preserve">Score</x:t>
        </x:is>
      </x:c>
      <x:c r="I1" s="24" t="inlineStr">
        <x:is>
          <x:t xml:space="preserve">Runner-up</x:t>
        </x:is>
      </x:c>
      <x:c r="J1" s="24" t="inlineStr">
        <x:is>
          <x:t xml:space="preserve">Runner-up Nationality</x:t>
        </x:is>
      </x:c>
      <x:c r="K1" s="24" t="inlineStr">
        <x:is>
          <x:t xml:space="preserve">Runner-up Country</x:t>
        </x:is>
      </x:c>
      <x:c r="L1" s="23" t="inlineStr">
        <x:is>
          <x:t xml:space="preserve">Runner-up Seed</x:t>
        </x:is>
      </x:c>
    </x:row>
    <x:row r="2" s="22" customFormat="1" hidden="1">
      <x:c r="A2" s="22" t="n">
        <x:v>2021</x:v>
      </x:c>
      <x:c r="B2" s="25" t="inlineStr">
        <x:is>
          <x:t xml:space="preserve">Women's</x:t>
        </x:is>
      </x:c>
      <x:c r="C2" s="25" t="inlineStr">
        <x:is>
          <x:t xml:space="preserve">A. Barty</x:t>
        </x:is>
      </x:c>
      <x:c r="D2" s="25" t="inlineStr">
        <x:is>
          <x:t xml:space="preserve">Aus</x:t>
        </x:is>
      </x:c>
      <x:c r="E2" s="25" t="inlineStr">
        <x:is>
          <x:t xml:space="preserve">Australia</x:t>
        </x:is>
      </x:c>
      <x:c r="F2" s="7" t="n">
        <x:v>1</x:v>
      </x:c>
      <x:c r="G2" s="7" t="n">
        <x:v>116</x:v>
      </x:c>
      <x:c r="H2" s="25" t="inlineStr">
        <x:is>
          <x:t xml:space="preserve">6-3,6-7,6-3</x:t>
        </x:is>
      </x:c>
      <x:c r="I2" s="25" t="inlineStr">
        <x:is>
          <x:t xml:space="preserve">k.Pliskova</x:t>
        </x:is>
      </x:c>
      <x:c r="J2" s="25" t="inlineStr">
        <x:is>
          <x:t xml:space="preserve">CZE</x:t>
        </x:is>
      </x:c>
      <x:c r="K2" s="25" t="inlineStr">
        <x:is>
          <x:t xml:space="preserve">Czech</x:t>
        </x:is>
      </x:c>
      <x:c r="L2" s="7" t="n">
        <x:v>8</x:v>
      </x:c>
    </x:row>
    <x:row r="3" s="22" customFormat="1">
      <x:c r="B3" s="24" t="inlineStr">
        <x:is>
          <x:t xml:space="preserve">A. Barty Count</x:t>
        </x:is>
      </x:c>
      <x:c r="C3" s="25" t="n">
        <x:f>SUBTOTAL(3,C2:C2)</x:f>
        <x:v>1</x:v>
      </x:c>
      <x:c r="D3" s="25" t="n"/>
      <x:c r="E3" s="25" t="n"/>
      <x:c r="F3" s="7" t="n"/>
      <x:c r="G3" s="7" t="n"/>
      <x:c r="H3" s="25" t="n"/>
      <x:c r="I3" s="25" t="n"/>
      <x:c r="J3" s="25" t="n"/>
      <x:c r="K3" s="25" t="n"/>
      <x:c r="L3" s="7" t="n"/>
    </x:row>
    <x:row r="4" s="22" customFormat="1" hidden="1">
      <x:c r="A4" t="n">
        <x:v>1958</x:v>
      </x:c>
      <x:c r="B4" s="25" t="inlineStr">
        <x:is>
          <x:t xml:space="preserve">Women's</x:t>
        </x:is>
      </x:c>
      <x:c r="C4" s="25" t="inlineStr">
        <x:is>
          <x:t xml:space="preserve">A. Gibson</x:t>
        </x:is>
      </x:c>
      <x:c r="D4" s="25" t="inlineStr">
        <x:is>
          <x:t xml:space="preserve">USA</x:t>
        </x:is>
      </x:c>
      <x:c r="E4" s="25" t="inlineStr">
        <x:is>
          <x:t xml:space="preserve">United States</x:t>
        </x:is>
      </x:c>
      <x:c r="F4" s="7" t="n">
        <x:v>1</x:v>
      </x:c>
      <x:c r="G4" s="7" t="n">
        <x:v>62</x:v>
      </x:c>
      <x:c r="H4" s="25" t="inlineStr">
        <x:is>
          <x:t xml:space="preserve">8-6,6-2,</x:t>
        </x:is>
      </x:c>
      <x:c r="I4" s="25" t="inlineStr">
        <x:is>
          <x:t xml:space="preserve">F.A.M. Mortimer</x:t>
        </x:is>
      </x:c>
      <x:c r="J4" s="25" t="inlineStr">
        <x:is>
          <x:t xml:space="preserve">GBR</x:t>
        </x:is>
      </x:c>
      <x:c r="K4" s="25" t="inlineStr">
        <x:is>
          <x:t xml:space="preserve">United Kingdom</x:t>
        </x:is>
      </x:c>
      <x:c r="L4" s="7" t="n"/>
    </x:row>
    <x:row r="5" hidden="1">
      <x:c r="A5" t="n">
        <x:v>1957</x:v>
      </x:c>
      <x:c r="B5" s="25" t="inlineStr">
        <x:is>
          <x:t xml:space="preserve">Women's</x:t>
        </x:is>
      </x:c>
      <x:c r="C5" s="25" t="inlineStr">
        <x:is>
          <x:t xml:space="preserve">A. Gibson</x:t>
        </x:is>
      </x:c>
      <x:c r="D5" s="25" t="inlineStr">
        <x:is>
          <x:t xml:space="preserve">USA</x:t>
        </x:is>
      </x:c>
      <x:c r="E5" s="25" t="inlineStr">
        <x:is>
          <x:t xml:space="preserve">United States</x:t>
        </x:is>
      </x:c>
      <x:c r="F5" s="7" t="n">
        <x:v>1</x:v>
      </x:c>
      <x:c r="G5" s="7" t="n">
        <x:v>50</x:v>
      </x:c>
      <x:c r="H5" s="25" t="inlineStr">
        <x:is>
          <x:t xml:space="preserve">6-3,6-2,</x:t>
        </x:is>
      </x:c>
      <x:c r="I5" s="25" t="inlineStr">
        <x:is>
          <x:t xml:space="preserve">D.R. Hard</x:t>
        </x:is>
      </x:c>
      <x:c r="J5" s="25" t="inlineStr">
        <x:is>
          <x:t xml:space="preserve">USA</x:t>
        </x:is>
      </x:c>
      <x:c r="K5" s="25" t="inlineStr">
        <x:is>
          <x:t xml:space="preserve">United States</x:t>
        </x:is>
      </x:c>
      <x:c r="L5" s="7" t="n">
        <x:v>5</x:v>
      </x:c>
    </x:row>
    <x:row r="6">
      <x:c r="B6" s="24" t="inlineStr">
        <x:is>
          <x:t xml:space="preserve">A. Gibson Count</x:t>
        </x:is>
      </x:c>
      <x:c r="C6" s="25" t="n">
        <x:f>SUBTOTAL(3,C4:C5)</x:f>
        <x:v>2</x:v>
      </x:c>
    </x:row>
    <x:row r="7" hidden="1">
      <x:c r="A7" t="n">
        <x:v>1939</x:v>
      </x:c>
      <x:c r="B7" s="25" t="inlineStr">
        <x:is>
          <x:t xml:space="preserve">Women's</x:t>
        </x:is>
      </x:c>
      <x:c r="C7" s="25" t="inlineStr">
        <x:is>
          <x:t xml:space="preserve">A. Marble</x:t>
        </x:is>
      </x:c>
      <x:c r="D7" s="25" t="inlineStr">
        <x:is>
          <x:t xml:space="preserve">USA</x:t>
        </x:is>
      </x:c>
      <x:c r="E7" s="25" t="inlineStr">
        <x:is>
          <x:t xml:space="preserve">United States</x:t>
        </x:is>
      </x:c>
      <x:c r="F7" s="7" t="n">
        <x:v>1</x:v>
      </x:c>
      <x:c r="G7" s="7" t="n">
        <x:v>30</x:v>
      </x:c>
      <x:c r="H7" s="25" t="inlineStr">
        <x:is>
          <x:t xml:space="preserve">6-2,6-0</x:t>
        </x:is>
      </x:c>
      <x:c r="I7" s="25" t="inlineStr">
        <x:is>
          <x:t xml:space="preserve">K.E. Stammers</x:t>
        </x:is>
      </x:c>
      <x:c r="J7" s="25" t="inlineStr">
        <x:is>
          <x:t xml:space="preserve">GBR</x:t>
        </x:is>
      </x:c>
      <x:c r="K7" s="25" t="inlineStr">
        <x:is>
          <x:t xml:space="preserve">United Kingdom</x:t>
        </x:is>
      </x:c>
      <x:c r="L7" s="7" t="n">
        <x:v>6</x:v>
      </x:c>
    </x:row>
    <x:row r="8">
      <x:c r="B8" s="24" t="inlineStr">
        <x:is>
          <x:t xml:space="preserve">A. Marble Count</x:t>
        </x:is>
      </x:c>
      <x:c r="C8" s="25" t="n">
        <x:f>SUBTOTAL(3,C7:C7)</x:f>
        <x:v>1</x:v>
      </x:c>
    </x:row>
    <x:row r="9" hidden="1">
      <x:c r="A9" t="n">
        <x:v>2006</x:v>
      </x:c>
      <x:c r="B9" s="25" t="inlineStr">
        <x:is>
          <x:t xml:space="preserve">Women's</x:t>
        </x:is>
      </x:c>
      <x:c r="C9" s="25" t="inlineStr">
        <x:is>
          <x:t xml:space="preserve">A. Mauresmo</x:t>
        </x:is>
      </x:c>
      <x:c r="D9" s="25" t="inlineStr">
        <x:is>
          <x:t xml:space="preserve">FRA</x:t>
        </x:is>
      </x:c>
      <x:c r="E9" s="25" t="inlineStr">
        <x:is>
          <x:t xml:space="preserve">France</x:t>
        </x:is>
      </x:c>
      <x:c r="F9" s="7" t="n">
        <x:v>1</x:v>
      </x:c>
      <x:c r="G9" s="7" t="n">
        <x:v>122</x:v>
      </x:c>
      <x:c r="H9" s="25" t="inlineStr">
        <x:is>
          <x:t xml:space="preserve">2-6,6-3,6-4</x:t>
        </x:is>
      </x:c>
      <x:c r="I9" s="25" t="inlineStr">
        <x:is>
          <x:t xml:space="preserve">P-Y Hardenne</x:t>
        </x:is>
      </x:c>
      <x:c r="J9" s="25" t="inlineStr">
        <x:is>
          <x:t xml:space="preserve">BEL</x:t>
        </x:is>
      </x:c>
      <x:c r="K9" s="25" t="inlineStr">
        <x:is>
          <x:t xml:space="preserve">Belgium</x:t>
        </x:is>
      </x:c>
      <x:c r="L9" s="7" t="n">
        <x:v>3</x:v>
      </x:c>
    </x:row>
    <x:row r="10">
      <x:c r="B10" s="24" t="inlineStr">
        <x:is>
          <x:t xml:space="preserve">A. Mauresmo Count</x:t>
        </x:is>
      </x:c>
      <x:c r="C10" s="25" t="n">
        <x:f>SUBTOTAL(3,C9:C9)</x:f>
        <x:v>1</x:v>
      </x:c>
    </x:row>
    <x:row r="11" hidden="1">
      <x:c r="A11" t="n">
        <x:v>2016</x:v>
      </x:c>
      <x:c r="B11" s="25" t="inlineStr">
        <x:is>
          <x:t xml:space="preserve">Men's</x:t>
        </x:is>
      </x:c>
      <x:c r="C11" s="25" t="inlineStr">
        <x:is>
          <x:t xml:space="preserve">A. Murray</x:t>
        </x:is>
      </x:c>
      <x:c r="D11" s="25" t="inlineStr">
        <x:is>
          <x:t xml:space="preserve">GBR</x:t>
        </x:is>
      </x:c>
      <x:c r="E11" s="25" t="inlineStr">
        <x:is>
          <x:t xml:space="preserve">United Kingdom</x:t>
        </x:is>
      </x:c>
      <x:c r="F11" s="7" t="n">
        <x:v>2</x:v>
      </x:c>
      <x:c r="G11" s="7" t="n">
        <x:v>170</x:v>
      </x:c>
      <x:c r="H11" s="25" t="inlineStr">
        <x:is>
          <x:t xml:space="preserve">6-4,7-6,7-6</x:t>
        </x:is>
      </x:c>
      <x:c r="I11" s="25" t="inlineStr">
        <x:is>
          <x:t xml:space="preserve">M. Raonic</x:t>
        </x:is>
      </x:c>
      <x:c r="J11" s="25" t="inlineStr">
        <x:is>
          <x:t xml:space="preserve">CND</x:t>
        </x:is>
      </x:c>
      <x:c r="K11" s="25" t="inlineStr">
        <x:is>
          <x:t xml:space="preserve">Canada</x:t>
        </x:is>
      </x:c>
      <x:c r="L11" s="7" t="n">
        <x:v>6</x:v>
      </x:c>
    </x:row>
    <x:row r="12" hidden="1">
      <x:c r="A12" t="n">
        <x:v>2013</x:v>
      </x:c>
      <x:c r="B12" s="25" t="inlineStr">
        <x:is>
          <x:t xml:space="preserve">Men's</x:t>
        </x:is>
      </x:c>
      <x:c r="C12" s="25" t="inlineStr">
        <x:is>
          <x:t xml:space="preserve">A. Murray</x:t>
        </x:is>
      </x:c>
      <x:c r="D12" s="25" t="inlineStr">
        <x:is>
          <x:t xml:space="preserve">GBR</x:t>
        </x:is>
      </x:c>
      <x:c r="E12" s="25" t="inlineStr">
        <x:is>
          <x:t xml:space="preserve">United Kingdom</x:t>
        </x:is>
      </x:c>
      <x:c r="F12" s="7" t="n">
        <x:v>2</x:v>
      </x:c>
      <x:c r="G12" s="7" t="n">
        <x:v>134</x:v>
      </x:c>
      <x:c r="H12" s="25" t="inlineStr">
        <x:is>
          <x:t xml:space="preserve">6-4,7-5,6-4</x:t>
        </x:is>
      </x:c>
      <x:c r="I12" s="25" t="inlineStr">
        <x:is>
          <x:t xml:space="preserve">N. Djokovic</x:t>
        </x:is>
      </x:c>
      <x:c r="J12" s="25" t="inlineStr">
        <x:is>
          <x:t xml:space="preserve">SRB</x:t>
        </x:is>
      </x:c>
      <x:c r="K12" s="25" t="inlineStr">
        <x:is>
          <x:t xml:space="preserve">Serbia</x:t>
        </x:is>
      </x:c>
      <x:c r="L12" s="7" t="n">
        <x:v>1</x:v>
      </x:c>
    </x:row>
    <x:row r="13">
      <x:c r="B13" s="24" t="inlineStr">
        <x:is>
          <x:t xml:space="preserve">A. Murray Count</x:t>
        </x:is>
      </x:c>
      <x:c r="C13" s="25" t="n">
        <x:f>SUBTOTAL(3,C11:C12)</x:f>
        <x:v>2</x:v>
      </x:c>
    </x:row>
    <x:row r="14" hidden="1">
      <x:c r="A14" t="n">
        <x:v>1908</x:v>
      </x:c>
      <x:c r="B14" s="25" t="inlineStr">
        <x:is>
          <x:t xml:space="preserve">Women's</x:t>
        </x:is>
      </x:c>
      <x:c r="C14" s="25" t="inlineStr">
        <x:is>
          <x:t xml:space="preserve">A. Sterry</x:t>
        </x:is>
      </x:c>
      <x:c r="D14" s="25" t="inlineStr">
        <x:is>
          <x:t xml:space="preserve">GBR</x:t>
        </x:is>
      </x:c>
      <x:c r="E14" s="25" t="inlineStr">
        <x:is>
          <x:t xml:space="preserve">United Kingdom</x:t>
        </x:is>
      </x:c>
      <x:c r="H14" s="25" t="inlineStr">
        <x:is>
          <x:t xml:space="preserve">6-4,6-4</x:t>
        </x:is>
      </x:c>
      <x:c r="I14" s="25" t="inlineStr">
        <x:is>
          <x:t xml:space="preserve">A.M. Morton</x:t>
        </x:is>
      </x:c>
      <x:c r="J14" s="25" t="inlineStr">
        <x:is>
          <x:t xml:space="preserve">GBR</x:t>
        </x:is>
      </x:c>
      <x:c r="K14" s="25" t="inlineStr">
        <x:is>
          <x:t xml:space="preserve">United Kingdom</x:t>
        </x:is>
      </x:c>
    </x:row>
    <x:row r="15" hidden="1">
      <x:c r="A15" t="n">
        <x:v>1901</x:v>
      </x:c>
      <x:c r="B15" s="25" t="inlineStr">
        <x:is>
          <x:t xml:space="preserve">Women's</x:t>
        </x:is>
      </x:c>
      <x:c r="C15" s="25" t="inlineStr">
        <x:is>
          <x:t xml:space="preserve">A. Sterry</x:t>
        </x:is>
      </x:c>
      <x:c r="D15" s="25" t="inlineStr">
        <x:is>
          <x:t xml:space="preserve">GBR</x:t>
        </x:is>
      </x:c>
      <x:c r="E15" s="25" t="inlineStr">
        <x:is>
          <x:t xml:space="preserve">United Kingdom</x:t>
        </x:is>
      </x:c>
      <x:c r="H15" s="25" t="inlineStr">
        <x:is>
          <x:t xml:space="preserve">6-2,6-2</x:t>
        </x:is>
      </x:c>
      <x:c r="I15" s="25" t="inlineStr">
        <x:is>
          <x:t xml:space="preserve">G.W. Hillyard</x:t>
        </x:is>
      </x:c>
      <x:c r="J15" s="25" t="inlineStr">
        <x:is>
          <x:t xml:space="preserve">GBR</x:t>
        </x:is>
      </x:c>
      <x:c r="K15" s="25" t="inlineStr">
        <x:is>
          <x:t xml:space="preserve">United Kingdom</x:t>
        </x:is>
      </x:c>
    </x:row>
    <x:row r="16">
      <x:c r="B16" s="24" t="inlineStr">
        <x:is>
          <x:t xml:space="preserve">A. Sterry Count</x:t>
        </x:is>
      </x:c>
      <x:c r="C16" s="25" t="n">
        <x:f>SUBTOTAL(3,C14:C15)</x:f>
        <x:v>2</x:v>
      </x:c>
    </x:row>
    <x:row r="17" hidden="1">
      <x:c r="A17" t="n">
        <x:v>1913</x:v>
      </x:c>
      <x:c r="B17" s="25" t="inlineStr">
        <x:is>
          <x:t xml:space="preserve">Men's</x:t>
        </x:is>
      </x:c>
      <x:c r="C17" s="25" t="inlineStr">
        <x:is>
          <x:t xml:space="preserve">A.F. Wilding</x:t>
        </x:is>
      </x:c>
      <x:c r="D17" s="25" t="inlineStr">
        <x:is>
          <x:t xml:space="preserve">NZL</x:t>
        </x:is>
      </x:c>
      <x:c r="E17" s="25" t="inlineStr">
        <x:is>
          <x:t xml:space="preserve">New Zealand</x:t>
        </x:is>
      </x:c>
      <x:c r="H17" s="25" t="inlineStr">
        <x:is>
          <x:t xml:space="preserve">8-6,6-3,10-8</x:t>
        </x:is>
      </x:c>
      <x:c r="I17" s="25" t="inlineStr">
        <x:is>
          <x:t xml:space="preserve">M.E. McLoughlin</x:t>
        </x:is>
      </x:c>
      <x:c r="J17" s="25" t="inlineStr">
        <x:is>
          <x:t xml:space="preserve">USA</x:t>
        </x:is>
      </x:c>
      <x:c r="K17" s="25" t="inlineStr">
        <x:is>
          <x:t xml:space="preserve">United States</x:t>
        </x:is>
      </x:c>
    </x:row>
    <x:row r="18" hidden="1">
      <x:c r="A18" t="n">
        <x:v>1912</x:v>
      </x:c>
      <x:c r="B18" s="25" t="inlineStr">
        <x:is>
          <x:t xml:space="preserve">Men's</x:t>
        </x:is>
      </x:c>
      <x:c r="C18" s="25" t="inlineStr">
        <x:is>
          <x:t xml:space="preserve">A.F. Wilding</x:t>
        </x:is>
      </x:c>
      <x:c r="D18" s="25" t="inlineStr">
        <x:is>
          <x:t xml:space="preserve">NZL</x:t>
        </x:is>
      </x:c>
      <x:c r="E18" s="25" t="inlineStr">
        <x:is>
          <x:t xml:space="preserve">New Zealand</x:t>
        </x:is>
      </x:c>
      <x:c r="H18" s="25" t="inlineStr">
        <x:is>
          <x:t xml:space="preserve">6-4,6-4,4-6,6-4</x:t>
        </x:is>
      </x:c>
      <x:c r="I18" s="25" t="inlineStr">
        <x:is>
          <x:t xml:space="preserve">A.W. Gore</x:t>
        </x:is>
      </x:c>
      <x:c r="J18" s="25" t="inlineStr">
        <x:is>
          <x:t xml:space="preserve">GBR</x:t>
        </x:is>
      </x:c>
      <x:c r="K18" s="25" t="inlineStr">
        <x:is>
          <x:t xml:space="preserve">United Kingdom</x:t>
        </x:is>
      </x:c>
    </x:row>
    <x:row r="19" hidden="1">
      <x:c r="A19" t="n">
        <x:v>1911</x:v>
      </x:c>
      <x:c r="B19" s="25" t="inlineStr">
        <x:is>
          <x:t xml:space="preserve">Men's</x:t>
        </x:is>
      </x:c>
      <x:c r="C19" s="25" t="inlineStr">
        <x:is>
          <x:t xml:space="preserve">A.F. Wilding</x:t>
        </x:is>
      </x:c>
      <x:c r="D19" s="25" t="inlineStr">
        <x:is>
          <x:t xml:space="preserve">NZL</x:t>
        </x:is>
      </x:c>
      <x:c r="E19" s="25" t="inlineStr">
        <x:is>
          <x:t xml:space="preserve">New Zealand</x:t>
        </x:is>
      </x:c>
      <x:c r="H19" s="25" t="inlineStr">
        <x:is>
          <x:t xml:space="preserve">6-4,4-6,2-6,6-2,retd</x:t>
        </x:is>
      </x:c>
      <x:c r="I19" s="25" t="inlineStr">
        <x:is>
          <x:t xml:space="preserve">H.R. Barrett</x:t>
        </x:is>
      </x:c>
      <x:c r="J19" s="25" t="inlineStr">
        <x:is>
          <x:t xml:space="preserve">GBR</x:t>
        </x:is>
      </x:c>
      <x:c r="K19" s="25" t="inlineStr">
        <x:is>
          <x:t xml:space="preserve">United Kingdom</x:t>
        </x:is>
      </x:c>
    </x:row>
    <x:row r="20" hidden="1">
      <x:c r="A20" t="n">
        <x:v>1910</x:v>
      </x:c>
      <x:c r="B20" s="25" t="inlineStr">
        <x:is>
          <x:t xml:space="preserve">Men's</x:t>
        </x:is>
      </x:c>
      <x:c r="C20" s="25" t="inlineStr">
        <x:is>
          <x:t xml:space="preserve">A.F. Wilding</x:t>
        </x:is>
      </x:c>
      <x:c r="D20" s="25" t="inlineStr">
        <x:is>
          <x:t xml:space="preserve">NZL</x:t>
        </x:is>
      </x:c>
      <x:c r="E20" s="25" t="inlineStr">
        <x:is>
          <x:t xml:space="preserve">New Zealand</x:t>
        </x:is>
      </x:c>
      <x:c r="H20" s="25" t="inlineStr">
        <x:is>
          <x:t xml:space="preserve">6-4,7-5,4-6,6-2</x:t>
        </x:is>
      </x:c>
      <x:c r="I20" s="25" t="inlineStr">
        <x:is>
          <x:t xml:space="preserve">A.W. Gore</x:t>
        </x:is>
      </x:c>
      <x:c r="J20" s="25" t="inlineStr">
        <x:is>
          <x:t xml:space="preserve">GBR</x:t>
        </x:is>
      </x:c>
      <x:c r="K20" s="25" t="inlineStr">
        <x:is>
          <x:t xml:space="preserve">United Kingdom</x:t>
        </x:is>
      </x:c>
    </x:row>
    <x:row r="21">
      <x:c r="B21" s="24" t="inlineStr">
        <x:is>
          <x:t xml:space="preserve">A.F. Wilding Count</x:t>
        </x:is>
      </x:c>
      <x:c r="C21" s="25" t="n">
        <x:f>SUBTOTAL(3,C17:C20)</x:f>
        <x:v>4</x:v>
      </x:c>
    </x:row>
    <x:row r="22" hidden="1">
      <x:c r="A22" t="n">
        <x:v>1958</x:v>
      </x:c>
      <x:c r="B22" s="25" t="inlineStr">
        <x:is>
          <x:t xml:space="preserve">Men's</x:t>
        </x:is>
      </x:c>
      <x:c r="C22" s="25" t="inlineStr">
        <x:is>
          <x:t xml:space="preserve">A.J. Cooper</x:t>
        </x:is>
      </x:c>
      <x:c r="D22" s="25" t="inlineStr">
        <x:is>
          <x:t xml:space="preserve">AUS</x:t>
        </x:is>
      </x:c>
      <x:c r="E22" s="25" t="inlineStr">
        <x:is>
          <x:t xml:space="preserve">Australia</x:t>
        </x:is>
      </x:c>
      <x:c r="F22" s="7" t="n">
        <x:v>1</x:v>
      </x:c>
      <x:c r="G22" s="7" t="n">
        <x:v>130</x:v>
      </x:c>
      <x:c r="H22" s="25" t="inlineStr">
        <x:is>
          <x:t xml:space="preserve">3-6,6-3,6-4,13-11</x:t>
        </x:is>
      </x:c>
      <x:c r="I22" s="25" t="inlineStr">
        <x:is>
          <x:t xml:space="preserve">N.A. Fraser</x:t>
        </x:is>
      </x:c>
      <x:c r="J22" s="25" t="inlineStr">
        <x:is>
          <x:t xml:space="preserve">AUS</x:t>
        </x:is>
      </x:c>
      <x:c r="K22" s="25" t="inlineStr">
        <x:is>
          <x:t xml:space="preserve">Australia</x:t>
        </x:is>
      </x:c>
      <x:c r="L22" s="7" t="n">
        <x:v>4</x:v>
      </x:c>
    </x:row>
    <x:row r="23">
      <x:c r="B23" s="24" t="inlineStr">
        <x:is>
          <x:t xml:space="preserve">A.J. Cooper Count</x:t>
        </x:is>
      </x:c>
      <x:c r="C23" s="25" t="n">
        <x:f>SUBTOTAL(3,C22:C22)</x:f>
        <x:v>1</x:v>
      </x:c>
    </x:row>
    <x:row r="24" hidden="1">
      <x:c r="A24" t="n">
        <x:v>1992</x:v>
      </x:c>
      <x:c r="B24" s="25" t="inlineStr">
        <x:is>
          <x:t xml:space="preserve">Men's</x:t>
        </x:is>
      </x:c>
      <x:c r="C24" s="25" t="inlineStr">
        <x:is>
          <x:t xml:space="preserve">A.K. Agassi</x:t>
        </x:is>
      </x:c>
      <x:c r="D24" s="25" t="inlineStr">
        <x:is>
          <x:t xml:space="preserve">USA</x:t>
        </x:is>
      </x:c>
      <x:c r="E24" s="25" t="inlineStr">
        <x:is>
          <x:t xml:space="preserve">United States</x:t>
        </x:is>
      </x:c>
      <x:c r="F24" s="7" t="n">
        <x:v>12</x:v>
      </x:c>
      <x:c r="G24" s="7" t="n">
        <x:v>170</x:v>
      </x:c>
      <x:c r="H24" s="25" t="inlineStr">
        <x:is>
          <x:t xml:space="preserve">6-7(8-10),6-4,6-4,1-6,6-4</x:t>
        </x:is>
      </x:c>
      <x:c r="I24" s="25" t="inlineStr">
        <x:is>
          <x:t xml:space="preserve">G.S. Ivanisevic</x:t>
        </x:is>
      </x:c>
      <x:c r="J24" s="25" t="inlineStr">
        <x:is>
          <x:t xml:space="preserve">CRO</x:t>
        </x:is>
      </x:c>
      <x:c r="K24" s="25" t="inlineStr">
        <x:is>
          <x:t xml:space="preserve">Croatia</x:t>
        </x:is>
      </x:c>
      <x:c r="L24" s="7" t="n">
        <x:v>8</x:v>
      </x:c>
    </x:row>
    <x:row r="25">
      <x:c r="B25" s="24" t="inlineStr">
        <x:is>
          <x:t xml:space="preserve">A.K. Agassi Count</x:t>
        </x:is>
      </x:c>
      <x:c r="C25" s="25" t="n">
        <x:f>SUBTOTAL(3,C24:C24)</x:f>
        <x:v>1</x:v>
      </x:c>
    </x:row>
    <x:row r="26" hidden="1">
      <x:c r="A26" t="n">
        <x:v>2018</x:v>
      </x:c>
      <x:c r="B26" s="25" t="inlineStr">
        <x:is>
          <x:t xml:space="preserve">Women's</x:t>
        </x:is>
      </x:c>
      <x:c r="C26" s="25" t="inlineStr">
        <x:is>
          <x:t xml:space="preserve">A.Kerber</x:t>
        </x:is>
      </x:c>
      <x:c r="D26" s="25" t="inlineStr">
        <x:is>
          <x:t xml:space="preserve">GER</x:t>
        </x:is>
      </x:c>
      <x:c r="E26" s="25" t="inlineStr">
        <x:is>
          <x:t xml:space="preserve">Germany</x:t>
        </x:is>
      </x:c>
      <x:c r="F26" s="7" t="n">
        <x:v>11</x:v>
      </x:c>
      <x:c r="G26" s="7" t="n">
        <x:v>65</x:v>
      </x:c>
      <x:c r="H26" s="25" t="inlineStr">
        <x:is>
          <x:t xml:space="preserve">6-3,6-3</x:t>
        </x:is>
      </x:c>
      <x:c r="I26" s="25" t="inlineStr">
        <x:is>
          <x:t xml:space="preserve">S. Williams</x:t>
        </x:is>
      </x:c>
      <x:c r="J26" s="25" t="inlineStr">
        <x:is>
          <x:t xml:space="preserve">USA</x:t>
        </x:is>
      </x:c>
      <x:c r="K26" s="25" t="inlineStr">
        <x:is>
          <x:t xml:space="preserve">United States</x:t>
        </x:is>
      </x:c>
      <x:c r="L26" s="7" t="n">
        <x:v>25</x:v>
      </x:c>
    </x:row>
    <x:row r="27">
      <x:c r="B27" s="24" t="inlineStr">
        <x:is>
          <x:t xml:space="preserve">A.Kerber Count</x:t>
        </x:is>
      </x:c>
      <x:c r="C27" s="25" t="n">
        <x:f>SUBTOTAL(3,C26:C26)</x:f>
        <x:v>1</x:v>
      </x:c>
    </x:row>
    <x:row r="28" hidden="1">
      <x:c r="A28" t="n">
        <x:v>1955</x:v>
      </x:c>
      <x:c r="B28" s="25" t="inlineStr">
        <x:is>
          <x:t xml:space="preserve">Women's</x:t>
        </x:is>
      </x:c>
      <x:c r="C28" s="25" t="inlineStr">
        <x:is>
          <x:t xml:space="preserve">A.L. Brough</x:t>
        </x:is>
      </x:c>
      <x:c r="D28" s="25" t="inlineStr">
        <x:is>
          <x:t xml:space="preserve">USA</x:t>
        </x:is>
      </x:c>
      <x:c r="E28" s="25" t="inlineStr">
        <x:is>
          <x:t xml:space="preserve">United States</x:t>
        </x:is>
      </x:c>
      <x:c r="F28" s="7" t="n">
        <x:v>2</x:v>
      </x:c>
      <x:c r="G28" s="7" t="n">
        <x:v>90</x:v>
      </x:c>
      <x:c r="H28" s="25" t="inlineStr">
        <x:is>
          <x:t xml:space="preserve">7-5,8-6,</x:t>
        </x:is>
      </x:c>
      <x:c r="I28" s="25" t="inlineStr">
        <x:is>
          <x:t xml:space="preserve">J.G. Fleitz</x:t>
        </x:is>
      </x:c>
      <x:c r="J28" s="25" t="inlineStr">
        <x:is>
          <x:t xml:space="preserve">USA</x:t>
        </x:is>
      </x:c>
      <x:c r="K28" s="25" t="inlineStr">
        <x:is>
          <x:t xml:space="preserve">United States</x:t>
        </x:is>
      </x:c>
      <x:c r="L28" s="7" t="n">
        <x:v>3</x:v>
      </x:c>
    </x:row>
    <x:row r="29" hidden="1">
      <x:c r="A29" t="n">
        <x:v>1950</x:v>
      </x:c>
      <x:c r="B29" s="25" t="inlineStr">
        <x:is>
          <x:t xml:space="preserve">Women's</x:t>
        </x:is>
      </x:c>
      <x:c r="C29" s="25" t="inlineStr">
        <x:is>
          <x:t xml:space="preserve">A.L. Brough</x:t>
        </x:is>
      </x:c>
      <x:c r="D29" s="25" t="inlineStr">
        <x:is>
          <x:t xml:space="preserve">USA</x:t>
        </x:is>
      </x:c>
      <x:c r="E29" s="25" t="inlineStr">
        <x:is>
          <x:t xml:space="preserve">United States</x:t>
        </x:is>
      </x:c>
      <x:c r="F29" s="7" t="n">
        <x:v>1</x:v>
      </x:c>
      <x:c r="G29" s="7" t="n">
        <x:v>62</x:v>
      </x:c>
      <x:c r="H29" s="25" t="inlineStr">
        <x:is>
          <x:t xml:space="preserve">6-1,3-6,6-1,</x:t>
        </x:is>
      </x:c>
      <x:c r="I29" s="25" t="inlineStr">
        <x:is>
          <x:t xml:space="preserve">W. du Pont</x:t>
        </x:is>
      </x:c>
      <x:c r="J29" s="25" t="inlineStr">
        <x:is>
          <x:t xml:space="preserve">USA</x:t>
        </x:is>
      </x:c>
      <x:c r="K29" s="25" t="inlineStr">
        <x:is>
          <x:t xml:space="preserve">United States</x:t>
        </x:is>
      </x:c>
      <x:c r="L29" s="7" t="n">
        <x:v>2</x:v>
      </x:c>
    </x:row>
    <x:row r="30" hidden="1">
      <x:c r="A30" t="n">
        <x:v>1949</x:v>
      </x:c>
      <x:c r="B30" s="25" t="inlineStr">
        <x:is>
          <x:t xml:space="preserve">Women's</x:t>
        </x:is>
      </x:c>
      <x:c r="C30" s="25" t="inlineStr">
        <x:is>
          <x:t xml:space="preserve">A.L. Brough</x:t>
        </x:is>
      </x:c>
      <x:c r="D30" s="25" t="inlineStr">
        <x:is>
          <x:t xml:space="preserve">USA</x:t>
        </x:is>
      </x:c>
      <x:c r="E30" s="25" t="inlineStr">
        <x:is>
          <x:t xml:space="preserve">United States</x:t>
        </x:is>
      </x:c>
      <x:c r="F30" s="7" t="n">
        <x:v>1</x:v>
      </x:c>
      <x:c r="G30" s="7" t="n">
        <x:v>120</x:v>
      </x:c>
      <x:c r="H30" s="25" t="inlineStr">
        <x:is>
          <x:t xml:space="preserve">10-8,1-6,10-8,</x:t>
        </x:is>
      </x:c>
      <x:c r="I30" s="25" t="inlineStr">
        <x:is>
          <x:t xml:space="preserve">W. du Pont</x:t>
        </x:is>
      </x:c>
      <x:c r="J30" s="25" t="inlineStr">
        <x:is>
          <x:t xml:space="preserve">USA</x:t>
        </x:is>
      </x:c>
      <x:c r="K30" s="25" t="inlineStr">
        <x:is>
          <x:t xml:space="preserve">United States</x:t>
        </x:is>
      </x:c>
      <x:c r="L30" s="7" t="n">
        <x:v>2</x:v>
      </x:c>
    </x:row>
    <x:row r="31" hidden="1">
      <x:c r="A31" t="n">
        <x:v>1948</x:v>
      </x:c>
      <x:c r="B31" s="25" t="inlineStr">
        <x:is>
          <x:t xml:space="preserve">Women's</x:t>
        </x:is>
      </x:c>
      <x:c r="C31" s="25" t="inlineStr">
        <x:is>
          <x:t xml:space="preserve">A.L. Brough</x:t>
        </x:is>
      </x:c>
      <x:c r="D31" s="25" t="inlineStr">
        <x:is>
          <x:t xml:space="preserve">USA</x:t>
        </x:is>
      </x:c>
      <x:c r="E31" s="25" t="inlineStr">
        <x:is>
          <x:t xml:space="preserve">United States</x:t>
        </x:is>
      </x:c>
      <x:c r="F31" s="7" t="n">
        <x:v>2</x:v>
      </x:c>
      <x:c r="G31" s="7" t="n">
        <x:v>76</x:v>
      </x:c>
      <x:c r="H31" s="25" t="inlineStr">
        <x:is>
          <x:t xml:space="preserve">6-3,8-6,</x:t>
        </x:is>
      </x:c>
      <x:c r="I31" s="25" t="inlineStr">
        <x:is>
          <x:t xml:space="preserve">D.J. Hart</x:t>
        </x:is>
      </x:c>
      <x:c r="J31" s="25" t="inlineStr">
        <x:is>
          <x:t xml:space="preserve">USA</x:t>
        </x:is>
      </x:c>
      <x:c r="K31" s="25" t="inlineStr">
        <x:is>
          <x:t xml:space="preserve">United States</x:t>
        </x:is>
      </x:c>
      <x:c r="L31" s="7" t="n">
        <x:v>4</x:v>
      </x:c>
    </x:row>
    <x:row r="32">
      <x:c r="B32" s="24" t="inlineStr">
        <x:is>
          <x:t xml:space="preserve">A.L. Brough Count</x:t>
        </x:is>
      </x:c>
      <x:c r="C32" s="25" t="n">
        <x:f>SUBTOTAL(3,C28:C31)</x:f>
        <x:v>4</x:v>
      </x:c>
    </x:row>
    <x:row r="33" hidden="1">
      <x:c r="A33" t="n">
        <x:v>1975</x:v>
      </x:c>
      <x:c r="B33" s="25" t="inlineStr">
        <x:is>
          <x:t xml:space="preserve">Men's</x:t>
        </x:is>
      </x:c>
      <x:c r="C33" s="25" t="inlineStr">
        <x:is>
          <x:t xml:space="preserve">A.R. Ashe</x:t>
        </x:is>
      </x:c>
      <x:c r="D33" s="25" t="inlineStr">
        <x:is>
          <x:t xml:space="preserve">USA</x:t>
        </x:is>
      </x:c>
      <x:c r="E33" s="25" t="inlineStr">
        <x:is>
          <x:t xml:space="preserve">United States</x:t>
        </x:is>
      </x:c>
      <x:c r="F33" s="7" t="n">
        <x:v>6</x:v>
      </x:c>
      <x:c r="G33" s="7" t="n">
        <x:v>125</x:v>
      </x:c>
      <x:c r="H33" s="25" t="inlineStr">
        <x:is>
          <x:t xml:space="preserve">6-1,6-1,5-7,6-4</x:t>
        </x:is>
      </x:c>
      <x:c r="I33" s="25" t="inlineStr">
        <x:is>
          <x:t xml:space="preserve">J.S. Connors</x:t>
        </x:is>
      </x:c>
      <x:c r="J33" s="25" t="inlineStr">
        <x:is>
          <x:t xml:space="preserve">USA</x:t>
        </x:is>
      </x:c>
      <x:c r="K33" s="25" t="inlineStr">
        <x:is>
          <x:t xml:space="preserve">United States</x:t>
        </x:is>
      </x:c>
      <x:c r="L33" s="7" t="n">
        <x:v>1</x:v>
      </x:c>
    </x:row>
    <x:row r="34">
      <x:c r="B34" s="24" t="inlineStr">
        <x:is>
          <x:t xml:space="preserve">A.R. Ashe Count</x:t>
        </x:is>
      </x:c>
      <x:c r="C34" s="25" t="n">
        <x:f>SUBTOTAL(3,C33:C33)</x:f>
        <x:v>1</x:v>
      </x:c>
    </x:row>
    <x:row r="35" hidden="1">
      <x:c r="A35" t="n">
        <x:v>1959</x:v>
      </x:c>
      <x:c r="B35" s="25" t="inlineStr">
        <x:is>
          <x:t xml:space="preserve">Men's</x:t>
        </x:is>
      </x:c>
      <x:c r="C35" s="25" t="inlineStr">
        <x:is>
          <x:t xml:space="preserve">A.R. Olmedo</x:t>
        </x:is>
      </x:c>
      <x:c r="D35" s="25" t="inlineStr">
        <x:is>
          <x:t xml:space="preserve">USA</x:t>
        </x:is>
      </x:c>
      <x:c r="E35" s="25" t="inlineStr">
        <x:is>
          <x:t xml:space="preserve">United States</x:t>
        </x:is>
      </x:c>
      <x:c r="F35" s="7" t="n">
        <x:v>1</x:v>
      </x:c>
      <x:c r="G35" s="7" t="n">
        <x:v>71</x:v>
      </x:c>
      <x:c r="H35" s="25" t="inlineStr">
        <x:is>
          <x:t xml:space="preserve">6-4,6-3,6-4</x:t>
        </x:is>
      </x:c>
      <x:c r="I35" s="25" t="inlineStr">
        <x:is>
          <x:t xml:space="preserve">R.G. Laver</x:t>
        </x:is>
      </x:c>
      <x:c r="J35" s="25" t="inlineStr">
        <x:is>
          <x:t xml:space="preserve">AUS</x:t>
        </x:is>
      </x:c>
      <x:c r="K35" s="25" t="inlineStr">
        <x:is>
          <x:t xml:space="preserve">Australia</x:t>
        </x:is>
      </x:c>
      <x:c r="L35" s="7" t="inlineStr">
        <x:is>
          <x:t xml:space="preserve">U</x:t>
        </x:is>
      </x:c>
    </x:row>
    <x:row r="36">
      <x:c r="B36" s="24" t="inlineStr">
        <x:is>
          <x:t xml:space="preserve">A.R. Olmedo Count</x:t>
        </x:is>
      </x:c>
      <x:c r="C36" s="25" t="n">
        <x:f>SUBTOTAL(3,C35:C35)</x:f>
        <x:v>1</x:v>
      </x:c>
    </x:row>
    <x:row r="37" hidden="1">
      <x:c r="A37" t="n">
        <x:v>1909</x:v>
      </x:c>
      <x:c r="B37" s="25" t="inlineStr">
        <x:is>
          <x:t xml:space="preserve">Men's</x:t>
        </x:is>
      </x:c>
      <x:c r="C37" s="25" t="inlineStr">
        <x:is>
          <x:t xml:space="preserve">A.W. Gore</x:t>
        </x:is>
      </x:c>
      <x:c r="D37" s="25" t="inlineStr">
        <x:is>
          <x:t xml:space="preserve">GBR</x:t>
        </x:is>
      </x:c>
      <x:c r="E37" s="25" t="inlineStr">
        <x:is>
          <x:t xml:space="preserve">United Kingdom</x:t>
        </x:is>
      </x:c>
      <x:c r="G37" s="7" t="n">
        <x:v>95</x:v>
      </x:c>
      <x:c r="H37" s="25" t="inlineStr">
        <x:is>
          <x:t xml:space="preserve">6-8,1-6,6-2,6-2,6-2</x:t>
        </x:is>
      </x:c>
      <x:c r="I37" s="25" t="inlineStr">
        <x:is>
          <x:t xml:space="preserve">M.J.G. Ritchie</x:t>
        </x:is>
      </x:c>
      <x:c r="J37" s="25" t="inlineStr">
        <x:is>
          <x:t xml:space="preserve">GBR</x:t>
        </x:is>
      </x:c>
      <x:c r="K37" s="25" t="inlineStr">
        <x:is>
          <x:t xml:space="preserve">United Kingdom</x:t>
        </x:is>
      </x:c>
    </x:row>
    <x:row r="38" hidden="1">
      <x:c r="A38" t="n">
        <x:v>1908</x:v>
      </x:c>
      <x:c r="B38" s="25" t="inlineStr">
        <x:is>
          <x:t xml:space="preserve">Men's</x:t>
        </x:is>
      </x:c>
      <x:c r="C38" s="25" t="inlineStr">
        <x:is>
          <x:t xml:space="preserve">A.W. Gore</x:t>
        </x:is>
      </x:c>
      <x:c r="D38" s="25" t="inlineStr">
        <x:is>
          <x:t xml:space="preserve">GBR</x:t>
        </x:is>
      </x:c>
      <x:c r="E38" s="25" t="inlineStr">
        <x:is>
          <x:t xml:space="preserve">United Kingdom</x:t>
        </x:is>
      </x:c>
      <x:c r="H38" s="25" t="inlineStr">
        <x:is>
          <x:t xml:space="preserve">6-3,6-2,4-6,3-6,6-4</x:t>
        </x:is>
      </x:c>
      <x:c r="I38" s="25" t="inlineStr">
        <x:is>
          <x:t xml:space="preserve">H.R. Barrett</x:t>
        </x:is>
      </x:c>
      <x:c r="J38" s="25" t="inlineStr">
        <x:is>
          <x:t xml:space="preserve">GBR</x:t>
        </x:is>
      </x:c>
      <x:c r="K38" s="25" t="inlineStr">
        <x:is>
          <x:t xml:space="preserve">United Kingdom</x:t>
        </x:is>
      </x:c>
    </x:row>
    <x:row r="39" hidden="1">
      <x:c r="A39" t="n">
        <x:v>1901</x:v>
      </x:c>
      <x:c r="B39" s="25" t="inlineStr">
        <x:is>
          <x:t xml:space="preserve">Men's</x:t>
        </x:is>
      </x:c>
      <x:c r="C39" s="25" t="inlineStr">
        <x:is>
          <x:t xml:space="preserve">A.W. Gore</x:t>
        </x:is>
      </x:c>
      <x:c r="D39" s="25" t="inlineStr">
        <x:is>
          <x:t xml:space="preserve">GBR</x:t>
        </x:is>
      </x:c>
      <x:c r="E39" s="25" t="inlineStr">
        <x:is>
          <x:t xml:space="preserve">United Kingdom</x:t>
        </x:is>
      </x:c>
      <x:c r="G39" s="7" t="n">
        <x:v>95</x:v>
      </x:c>
      <x:c r="H39" s="25" t="inlineStr">
        <x:is>
          <x:t xml:space="preserve">4-6,7-5,6-4,6-4</x:t>
        </x:is>
      </x:c>
      <x:c r="I39" s="25" t="inlineStr">
        <x:is>
          <x:t xml:space="preserve">R.F. Doherty</x:t>
        </x:is>
      </x:c>
      <x:c r="J39" s="25" t="inlineStr">
        <x:is>
          <x:t xml:space="preserve">GBR</x:t>
        </x:is>
      </x:c>
      <x:c r="K39" s="25" t="inlineStr">
        <x:is>
          <x:t xml:space="preserve">United Kingdom</x:t>
        </x:is>
      </x:c>
    </x:row>
    <x:row r="40">
      <x:c r="B40" s="24" t="inlineStr">
        <x:is>
          <x:t xml:space="preserve">A.W. Gore Count</x:t>
        </x:is>
      </x:c>
      <x:c r="C40" s="25" t="n">
        <x:f>SUBTOTAL(3,C37:C39)</x:f>
        <x:v>3</x:v>
      </x:c>
    </x:row>
    <x:row r="41" hidden="1">
      <x:c r="A41" t="n">
        <x:v>1886</x:v>
      </x:c>
      <x:c r="B41" s="25" t="inlineStr">
        <x:is>
          <x:t xml:space="preserve">Women's</x:t>
        </x:is>
      </x:c>
      <x:c r="C41" s="25" t="inlineStr">
        <x:is>
          <x:t xml:space="preserve">B. Bingley</x:t>
        </x:is>
      </x:c>
      <x:c r="D41" s="25" t="inlineStr">
        <x:is>
          <x:t xml:space="preserve">GBR</x:t>
        </x:is>
      </x:c>
      <x:c r="E41" s="25" t="inlineStr">
        <x:is>
          <x:t xml:space="preserve">United Kingdom</x:t>
        </x:is>
      </x:c>
      <x:c r="H41" s="25" t="inlineStr">
        <x:is>
          <x:t xml:space="preserve">6-3,6-3</x:t>
        </x:is>
      </x:c>
      <x:c r="I41" s="25" t="inlineStr">
        <x:is>
          <x:t xml:space="preserve">M.E.E Watson</x:t>
        </x:is>
      </x:c>
      <x:c r="J41" s="25" t="inlineStr">
        <x:is>
          <x:t xml:space="preserve">GBR</x:t>
        </x:is>
      </x:c>
      <x:c r="K41" s="25" t="inlineStr">
        <x:is>
          <x:t xml:space="preserve">United Kingdom</x:t>
        </x:is>
      </x:c>
    </x:row>
    <x:row r="42">
      <x:c r="B42" s="24" t="inlineStr">
        <x:is>
          <x:t xml:space="preserve">B. Bingley Count</x:t>
        </x:is>
      </x:c>
      <x:c r="C42" s="25" t="n">
        <x:f>SUBTOTAL(3,C41:C41)</x:f>
        <x:v>1</x:v>
      </x:c>
    </x:row>
    <x:row r="43" hidden="1">
      <x:c r="A43" t="n">
        <x:v>1989</x:v>
      </x:c>
      <x:c r="B43" s="25" t="inlineStr">
        <x:is>
          <x:t xml:space="preserve">Men's</x:t>
        </x:is>
      </x:c>
      <x:c r="C43" s="25" t="inlineStr">
        <x:is>
          <x:t xml:space="preserve">B.F. Becker</x:t>
        </x:is>
      </x:c>
      <x:c r="D43" s="25" t="inlineStr">
        <x:is>
          <x:t xml:space="preserve">GER</x:t>
        </x:is>
      </x:c>
      <x:c r="E43" s="25" t="inlineStr">
        <x:is>
          <x:t xml:space="preserve">Germany</x:t>
        </x:is>
      </x:c>
      <x:c r="F43" s="7" t="n">
        <x:v>3</x:v>
      </x:c>
      <x:c r="G43" s="7" t="n">
        <x:v>132</x:v>
      </x:c>
      <x:c r="H43" s="25" t="inlineStr">
        <x:is>
          <x:t xml:space="preserve">6-0,7-6(7-1),6-4</x:t>
        </x:is>
      </x:c>
      <x:c r="I43" s="25" t="inlineStr">
        <x:is>
          <x:t xml:space="preserve">S.B. Edberg</x:t>
        </x:is>
      </x:c>
      <x:c r="J43" s="25" t="inlineStr">
        <x:is>
          <x:t xml:space="preserve">SWE</x:t>
        </x:is>
      </x:c>
      <x:c r="K43" s="25" t="inlineStr">
        <x:is>
          <x:t xml:space="preserve">SweDenmark</x:t>
        </x:is>
      </x:c>
      <x:c r="L43" s="7" t="n">
        <x:v>2</x:v>
      </x:c>
    </x:row>
    <x:row r="44" hidden="1">
      <x:c r="A44" t="n">
        <x:v>1986</x:v>
      </x:c>
      <x:c r="B44" s="25" t="inlineStr">
        <x:is>
          <x:t xml:space="preserve">Men's</x:t>
        </x:is>
      </x:c>
      <x:c r="C44" s="25" t="inlineStr">
        <x:is>
          <x:t xml:space="preserve">B.F. Becker</x:t>
        </x:is>
      </x:c>
      <x:c r="D44" s="25" t="inlineStr">
        <x:is>
          <x:t xml:space="preserve">GER</x:t>
        </x:is>
      </x:c>
      <x:c r="E44" s="25" t="inlineStr">
        <x:is>
          <x:t xml:space="preserve">Germany</x:t>
        </x:is>
      </x:c>
      <x:c r="F44" s="7" t="n">
        <x:v>4</x:v>
      </x:c>
      <x:c r="G44" s="7" t="n">
        <x:v>122</x:v>
      </x:c>
      <x:c r="H44" s="25" t="inlineStr">
        <x:is>
          <x:t xml:space="preserve">6-4,6-3,7-5</x:t>
        </x:is>
      </x:c>
      <x:c r="I44" s="25" t="inlineStr">
        <x:is>
          <x:t xml:space="preserve">I. Lendl</x:t>
        </x:is>
      </x:c>
      <x:c r="J44" s="25" t="inlineStr">
        <x:is>
          <x:t xml:space="preserve">TCH</x:t>
        </x:is>
      </x:c>
      <x:c r="K44" s="25" t="inlineStr">
        <x:is>
          <x:t xml:space="preserve">Czechoslovakia</x:t>
        </x:is>
      </x:c>
      <x:c r="L44" s="7" t="n">
        <x:v>1</x:v>
      </x:c>
    </x:row>
    <x:row r="45" hidden="1">
      <x:c r="A45" t="n">
        <x:v>1985</x:v>
      </x:c>
      <x:c r="B45" s="25" t="inlineStr">
        <x:is>
          <x:t xml:space="preserve">Men's</x:t>
        </x:is>
      </x:c>
      <x:c r="C45" s="25" t="inlineStr">
        <x:is>
          <x:t xml:space="preserve">B.F. Becker</x:t>
        </x:is>
      </x:c>
      <x:c r="D45" s="25" t="inlineStr">
        <x:is>
          <x:t xml:space="preserve">GER</x:t>
        </x:is>
      </x:c>
      <x:c r="E45" s="25" t="inlineStr">
        <x:is>
          <x:t xml:space="preserve">Germany</x:t>
        </x:is>
      </x:c>
      <x:c r="G45" s="7" t="n">
        <x:v>198</x:v>
      </x:c>
      <x:c r="H45" s="25" t="inlineStr">
        <x:is>
          <x:t xml:space="preserve">6-3,6-7(4-7),7-6(7-3),6-4</x:t>
        </x:is>
      </x:c>
      <x:c r="I45" s="25" t="inlineStr">
        <x:is>
          <x:t xml:space="preserve">K.M. Curren</x:t>
        </x:is>
      </x:c>
      <x:c r="J45" s="25" t="inlineStr">
        <x:is>
          <x:t xml:space="preserve">USA</x:t>
        </x:is>
      </x:c>
      <x:c r="K45" s="25" t="inlineStr">
        <x:is>
          <x:t xml:space="preserve">United States</x:t>
        </x:is>
      </x:c>
      <x:c r="L45" s="7" t="n">
        <x:v>8</x:v>
      </x:c>
    </x:row>
    <x:row r="46">
      <x:c r="B46" s="24" t="inlineStr">
        <x:is>
          <x:t xml:space="preserve">B.F. Becker Count</x:t>
        </x:is>
      </x:c>
      <x:c r="C46" s="25" t="n">
        <x:f>SUBTOTAL(3,C43:C45)</x:f>
        <x:v>3</x:v>
      </x:c>
    </x:row>
    <x:row r="47" hidden="1">
      <x:c r="A47" t="n">
        <x:v>1970</x:v>
      </x:c>
      <x:c r="B47" s="25" t="inlineStr">
        <x:is>
          <x:t xml:space="preserve">Women's</x:t>
        </x:is>
      </x:c>
      <x:c r="C47" s="25" t="inlineStr">
        <x:is>
          <x:t xml:space="preserve">B.M. Court</x:t>
        </x:is>
      </x:c>
      <x:c r="D47" s="25" t="inlineStr">
        <x:is>
          <x:t xml:space="preserve">AUS</x:t>
        </x:is>
      </x:c>
      <x:c r="E47" s="25" t="inlineStr">
        <x:is>
          <x:t xml:space="preserve">Australia</x:t>
        </x:is>
      </x:c>
      <x:c r="F47" s="7" t="n">
        <x:v>1</x:v>
      </x:c>
      <x:c r="G47" s="7" t="n">
        <x:v>148</x:v>
      </x:c>
      <x:c r="H47" s="25" t="inlineStr">
        <x:is>
          <x:t xml:space="preserve">14-12,11-9,</x:t>
        </x:is>
      </x:c>
      <x:c r="I47" s="25" t="inlineStr">
        <x:is>
          <x:t xml:space="preserve">L.W. King</x:t>
        </x:is>
      </x:c>
      <x:c r="J47" s="25" t="inlineStr">
        <x:is>
          <x:t xml:space="preserve">USA</x:t>
        </x:is>
      </x:c>
      <x:c r="K47" s="25" t="inlineStr">
        <x:is>
          <x:t xml:space="preserve">United States</x:t>
        </x:is>
      </x:c>
      <x:c r="L47" s="7" t="n">
        <x:v>2</x:v>
      </x:c>
    </x:row>
    <x:row r="48">
      <x:c r="B48" s="24" t="inlineStr">
        <x:is>
          <x:t xml:space="preserve">B.M. Court Count</x:t>
        </x:is>
      </x:c>
      <x:c r="C48" s="25" t="n">
        <x:f>SUBTOTAL(3,C47:C47)</x:f>
        <x:v>1</x:v>
      </x:c>
    </x:row>
    <x:row r="49" hidden="1">
      <x:c r="A49" t="n">
        <x:v>1980</x:v>
      </x:c>
      <x:c r="B49" s="25" t="inlineStr">
        <x:is>
          <x:t xml:space="preserve">Men's</x:t>
        </x:is>
      </x:c>
      <x:c r="C49" s="25" t="inlineStr">
        <x:is>
          <x:t xml:space="preserve">B.R. Borg</x:t>
        </x:is>
      </x:c>
      <x:c r="D49" s="25" t="inlineStr">
        <x:is>
          <x:t xml:space="preserve">SWE</x:t>
        </x:is>
      </x:c>
      <x:c r="E49" s="25" t="inlineStr">
        <x:is>
          <x:t xml:space="preserve">Sweden</x:t>
        </x:is>
      </x:c>
      <x:c r="F49" s="7" t="n">
        <x:v>1</x:v>
      </x:c>
      <x:c r="G49" s="7" t="n">
        <x:v>233</x:v>
      </x:c>
      <x:c r="H49" s="25" t="inlineStr">
        <x:is>
          <x:t xml:space="preserve">1-6,7-5,6-3,6-7(16-18),8-6</x:t>
        </x:is>
      </x:c>
      <x:c r="I49" s="25" t="inlineStr">
        <x:is>
          <x:t xml:space="preserve">J.P. McEnroe</x:t>
        </x:is>
      </x:c>
      <x:c r="J49" s="25" t="inlineStr">
        <x:is>
          <x:t xml:space="preserve">USA</x:t>
        </x:is>
      </x:c>
      <x:c r="K49" s="25" t="inlineStr">
        <x:is>
          <x:t xml:space="preserve">United States</x:t>
        </x:is>
      </x:c>
      <x:c r="L49" s="7" t="n">
        <x:v>2</x:v>
      </x:c>
    </x:row>
    <x:row r="50" hidden="1">
      <x:c r="A50" t="n">
        <x:v>1979</x:v>
      </x:c>
      <x:c r="B50" s="25" t="inlineStr">
        <x:is>
          <x:t xml:space="preserve">Men's</x:t>
        </x:is>
      </x:c>
      <x:c r="C50" s="25" t="inlineStr">
        <x:is>
          <x:t xml:space="preserve">B.R. Borg</x:t>
        </x:is>
      </x:c>
      <x:c r="D50" s="25" t="inlineStr">
        <x:is>
          <x:t xml:space="preserve">SWE</x:t>
        </x:is>
      </x:c>
      <x:c r="E50" s="25" t="inlineStr">
        <x:is>
          <x:t xml:space="preserve">Sweden</x:t>
        </x:is>
      </x:c>
      <x:c r="F50" s="7" t="n">
        <x:v>1</x:v>
      </x:c>
      <x:c r="G50" s="7" t="n">
        <x:v>169</x:v>
      </x:c>
      <x:c r="H50" s="25" t="inlineStr">
        <x:is>
          <x:t xml:space="preserve">6-7(4-7),6-1,3-6,6-3,6-4</x:t>
        </x:is>
      </x:c>
      <x:c r="I50" s="25" t="inlineStr">
        <x:is>
          <x:t xml:space="preserve">R. Tanner</x:t>
        </x:is>
      </x:c>
      <x:c r="J50" s="25" t="inlineStr">
        <x:is>
          <x:t xml:space="preserve">USA</x:t>
        </x:is>
      </x:c>
      <x:c r="K50" s="25" t="inlineStr">
        <x:is>
          <x:t xml:space="preserve">United States</x:t>
        </x:is>
      </x:c>
      <x:c r="L50" s="7" t="n">
        <x:v>5</x:v>
      </x:c>
    </x:row>
    <x:row r="51" hidden="1">
      <x:c r="A51" t="n">
        <x:v>1978</x:v>
      </x:c>
      <x:c r="B51" s="25" t="inlineStr">
        <x:is>
          <x:t xml:space="preserve">Men's</x:t>
        </x:is>
      </x:c>
      <x:c r="C51" s="25" t="inlineStr">
        <x:is>
          <x:t xml:space="preserve">B.R. Borg</x:t>
        </x:is>
      </x:c>
      <x:c r="D51" s="25" t="inlineStr">
        <x:is>
          <x:t xml:space="preserve">SWE</x:t>
        </x:is>
      </x:c>
      <x:c r="E51" s="25" t="inlineStr">
        <x:is>
          <x:t xml:space="preserve">Sweden</x:t>
        </x:is>
      </x:c>
      <x:c r="F51" s="7" t="n">
        <x:v>1</x:v>
      </x:c>
      <x:c r="G51" s="7" t="n">
        <x:v>108</x:v>
      </x:c>
      <x:c r="H51" s="25" t="inlineStr">
        <x:is>
          <x:t xml:space="preserve">6-2,6-2,6-3</x:t>
        </x:is>
      </x:c>
      <x:c r="I51" s="25" t="inlineStr">
        <x:is>
          <x:t xml:space="preserve">J.S. Connors</x:t>
        </x:is>
      </x:c>
      <x:c r="J51" s="25" t="inlineStr">
        <x:is>
          <x:t xml:space="preserve">USA</x:t>
        </x:is>
      </x:c>
      <x:c r="K51" s="25" t="inlineStr">
        <x:is>
          <x:t xml:space="preserve">United States</x:t>
        </x:is>
      </x:c>
      <x:c r="L51" s="7" t="n">
        <x:v>2</x:v>
      </x:c>
    </x:row>
    <x:row r="52" hidden="1">
      <x:c r="A52" t="n">
        <x:v>1977</x:v>
      </x:c>
      <x:c r="B52" s="25" t="inlineStr">
        <x:is>
          <x:t xml:space="preserve">Men's</x:t>
        </x:is>
      </x:c>
      <x:c r="C52" s="25" t="inlineStr">
        <x:is>
          <x:t xml:space="preserve">B.R. Borg</x:t>
        </x:is>
      </x:c>
      <x:c r="D52" s="25" t="inlineStr">
        <x:is>
          <x:t xml:space="preserve">SWE</x:t>
        </x:is>
      </x:c>
      <x:c r="E52" s="25" t="inlineStr">
        <x:is>
          <x:t xml:space="preserve">Sweden</x:t>
        </x:is>
      </x:c>
      <x:c r="F52" s="7" t="n">
        <x:v>2</x:v>
      </x:c>
      <x:c r="G52" s="7" t="n">
        <x:v>194</x:v>
      </x:c>
      <x:c r="H52" s="25" t="inlineStr">
        <x:is>
          <x:t xml:space="preserve">3-6,6-2,6-1,5-7,6-4</x:t>
        </x:is>
      </x:c>
      <x:c r="I52" s="25" t="inlineStr">
        <x:is>
          <x:t xml:space="preserve">J.S. Connors</x:t>
        </x:is>
      </x:c>
      <x:c r="J52" s="25" t="inlineStr">
        <x:is>
          <x:t xml:space="preserve">USA</x:t>
        </x:is>
      </x:c>
      <x:c r="K52" s="25" t="inlineStr">
        <x:is>
          <x:t xml:space="preserve">United States</x:t>
        </x:is>
      </x:c>
      <x:c r="L52" s="7" t="n">
        <x:v>1</x:v>
      </x:c>
    </x:row>
    <x:row r="53" hidden="1">
      <x:c r="A53" t="n">
        <x:v>1976</x:v>
      </x:c>
      <x:c r="B53" s="25" t="inlineStr">
        <x:is>
          <x:t xml:space="preserve">Men's</x:t>
        </x:is>
      </x:c>
      <x:c r="C53" s="25" t="inlineStr">
        <x:is>
          <x:t xml:space="preserve">B.R. Borg</x:t>
        </x:is>
      </x:c>
      <x:c r="D53" s="25" t="inlineStr">
        <x:is>
          <x:t xml:space="preserve">SWE</x:t>
        </x:is>
      </x:c>
      <x:c r="E53" s="25" t="inlineStr">
        <x:is>
          <x:t xml:space="preserve">Sweden</x:t>
        </x:is>
      </x:c>
      <x:c r="F53" s="7" t="n">
        <x:v>4</x:v>
      </x:c>
      <x:c r="G53" s="7" t="n">
        <x:v>110</x:v>
      </x:c>
      <x:c r="H53" s="25" t="inlineStr">
        <x:is>
          <x:t xml:space="preserve">6-4,6-2,9-7</x:t>
        </x:is>
      </x:c>
      <x:c r="I53" s="25" t="inlineStr">
        <x:is>
          <x:t xml:space="preserve">I. Nastase</x:t>
        </x:is>
      </x:c>
      <x:c r="J53" s="25" t="inlineStr">
        <x:is>
          <x:t xml:space="preserve">ROM</x:t>
        </x:is>
      </x:c>
      <x:c r="K53" s="25" t="inlineStr">
        <x:is>
          <x:t xml:space="preserve">Romania</x:t>
        </x:is>
      </x:c>
      <x:c r="L53" s="7" t="n">
        <x:v>3</x:v>
      </x:c>
    </x:row>
    <x:row r="54">
      <x:c r="B54" s="24" t="inlineStr">
        <x:is>
          <x:t xml:space="preserve">B.R. Borg Count</x:t>
        </x:is>
      </x:c>
      <x:c r="C54" s="25" t="n">
        <x:f>SUBTOTAL(3,C49:C53)</x:f>
        <x:v>5</x:v>
      </x:c>
    </x:row>
    <x:row r="55" hidden="1">
      <x:c r="A55" t="n">
        <x:v>1931</x:v>
      </x:c>
      <x:c r="B55" s="25" t="inlineStr">
        <x:is>
          <x:t xml:space="preserve">Women's</x:t>
        </x:is>
      </x:c>
      <x:c r="C55" s="25" t="inlineStr">
        <x:is>
          <x:t xml:space="preserve">C. Aussem</x:t>
        </x:is>
      </x:c>
      <x:c r="D55" s="25" t="inlineStr">
        <x:is>
          <x:t xml:space="preserve">GER</x:t>
        </x:is>
      </x:c>
      <x:c r="E55" s="25" t="inlineStr">
        <x:is>
          <x:t xml:space="preserve">Germany</x:t>
        </x:is>
      </x:c>
      <x:c r="F55" s="7" t="n">
        <x:v>1</x:v>
      </x:c>
      <x:c r="H55" s="25" t="inlineStr">
        <x:is>
          <x:t xml:space="preserve">6-2,7-5</x:t>
        </x:is>
      </x:c>
      <x:c r="I55" s="25" t="inlineStr">
        <x:is>
          <x:t xml:space="preserve">H. Krahwinkel</x:t>
        </x:is>
      </x:c>
      <x:c r="J55" s="25" t="inlineStr">
        <x:is>
          <x:t xml:space="preserve">GER</x:t>
        </x:is>
      </x:c>
      <x:c r="K55" s="25" t="inlineStr">
        <x:is>
          <x:t xml:space="preserve">Germany</x:t>
        </x:is>
      </x:c>
      <x:c r="L55" s="7" t="n">
        <x:v>4</x:v>
      </x:c>
    </x:row>
    <x:row r="56">
      <x:c r="B56" s="24" t="inlineStr">
        <x:is>
          <x:t xml:space="preserve">C. Aussem Count</x:t>
        </x:is>
      </x:c>
      <x:c r="C56" s="25" t="n">
        <x:f>SUBTOTAL(3,C55:C55)</x:f>
        <x:v>1</x:v>
      </x:c>
    </x:row>
    <x:row r="57" hidden="1">
      <x:c r="A57" t="n">
        <x:v>1893</x:v>
      </x:c>
      <x:c r="B57" s="25" t="inlineStr">
        <x:is>
          <x:t xml:space="preserve">Women's</x:t>
        </x:is>
      </x:c>
      <x:c r="C57" s="25" t="inlineStr">
        <x:is>
          <x:t xml:space="preserve">C. Dod</x:t>
        </x:is>
      </x:c>
      <x:c r="D57" s="25" t="inlineStr">
        <x:is>
          <x:t xml:space="preserve">GBR</x:t>
        </x:is>
      </x:c>
      <x:c r="E57" s="25" t="inlineStr">
        <x:is>
          <x:t xml:space="preserve">United Kingdom</x:t>
        </x:is>
      </x:c>
      <x:c r="H57" s="25" t="inlineStr">
        <x:is>
          <x:t xml:space="preserve">6-8,6-1,6-4</x:t>
        </x:is>
      </x:c>
      <x:c r="I57" s="25" t="inlineStr">
        <x:is>
          <x:t xml:space="preserve">G.W. Hillyard</x:t>
        </x:is>
      </x:c>
      <x:c r="J57" s="25" t="inlineStr">
        <x:is>
          <x:t xml:space="preserve">GBR</x:t>
        </x:is>
      </x:c>
      <x:c r="K57" s="25" t="inlineStr">
        <x:is>
          <x:t xml:space="preserve">United Kingdom</x:t>
        </x:is>
      </x:c>
    </x:row>
    <x:row r="58" hidden="1">
      <x:c r="A58" t="n">
        <x:v>1892</x:v>
      </x:c>
      <x:c r="B58" s="25" t="inlineStr">
        <x:is>
          <x:t xml:space="preserve">Women's</x:t>
        </x:is>
      </x:c>
      <x:c r="C58" s="25" t="inlineStr">
        <x:is>
          <x:t xml:space="preserve">C. Dod</x:t>
        </x:is>
      </x:c>
      <x:c r="D58" s="25" t="inlineStr">
        <x:is>
          <x:t xml:space="preserve">GBR</x:t>
        </x:is>
      </x:c>
      <x:c r="E58" s="25" t="inlineStr">
        <x:is>
          <x:t xml:space="preserve">United Kingdom</x:t>
        </x:is>
      </x:c>
      <x:c r="H58" s="25" t="inlineStr">
        <x:is>
          <x:t xml:space="preserve">6-1,6-1</x:t>
        </x:is>
      </x:c>
      <x:c r="I58" s="25" t="inlineStr">
        <x:is>
          <x:t xml:space="preserve">G.W. Hillyard</x:t>
        </x:is>
      </x:c>
      <x:c r="J58" s="25" t="inlineStr">
        <x:is>
          <x:t xml:space="preserve">GBR</x:t>
        </x:is>
      </x:c>
      <x:c r="K58" s="25" t="inlineStr">
        <x:is>
          <x:t xml:space="preserve">United Kingdom</x:t>
        </x:is>
      </x:c>
    </x:row>
    <x:row r="59" hidden="1">
      <x:c r="A59" t="n">
        <x:v>1891</x:v>
      </x:c>
      <x:c r="B59" s="25" t="inlineStr">
        <x:is>
          <x:t xml:space="preserve">Women's</x:t>
        </x:is>
      </x:c>
      <x:c r="C59" s="25" t="inlineStr">
        <x:is>
          <x:t xml:space="preserve">C. Dod</x:t>
        </x:is>
      </x:c>
      <x:c r="D59" s="25" t="inlineStr">
        <x:is>
          <x:t xml:space="preserve">GBR</x:t>
        </x:is>
      </x:c>
      <x:c r="E59" s="25" t="inlineStr">
        <x:is>
          <x:t xml:space="preserve">United Kingdom</x:t>
        </x:is>
      </x:c>
      <x:c r="H59" s="25" t="inlineStr">
        <x:is>
          <x:t xml:space="preserve">6-2,6-1</x:t>
        </x:is>
      </x:c>
      <x:c r="I59" s="25" t="inlineStr">
        <x:is>
          <x:t xml:space="preserve">G.W. Hillyard</x:t>
        </x:is>
      </x:c>
      <x:c r="J59" s="25" t="inlineStr">
        <x:is>
          <x:t xml:space="preserve">GBR</x:t>
        </x:is>
      </x:c>
      <x:c r="K59" s="25" t="inlineStr">
        <x:is>
          <x:t xml:space="preserve">United Kingdom</x:t>
        </x:is>
      </x:c>
    </x:row>
    <x:row r="60" hidden="1">
      <x:c r="A60" t="n">
        <x:v>1888</x:v>
      </x:c>
      <x:c r="B60" s="25" t="inlineStr">
        <x:is>
          <x:t xml:space="preserve">Women's</x:t>
        </x:is>
      </x:c>
      <x:c r="C60" s="25" t="inlineStr">
        <x:is>
          <x:t xml:space="preserve">C. Dod</x:t>
        </x:is>
      </x:c>
      <x:c r="D60" s="25" t="inlineStr">
        <x:is>
          <x:t xml:space="preserve">GBR</x:t>
        </x:is>
      </x:c>
      <x:c r="E60" s="25" t="inlineStr">
        <x:is>
          <x:t xml:space="preserve">United Kingdom</x:t>
        </x:is>
      </x:c>
      <x:c r="H60" s="25" t="inlineStr">
        <x:is>
          <x:t xml:space="preserve">6-3,6-3</x:t>
        </x:is>
      </x:c>
      <x:c r="I60" s="25" t="inlineStr">
        <x:is>
          <x:t xml:space="preserve">G.W. Hillyard</x:t>
        </x:is>
      </x:c>
      <x:c r="J60" s="25" t="inlineStr">
        <x:is>
          <x:t xml:space="preserve">GBR</x:t>
        </x:is>
      </x:c>
      <x:c r="K60" s="25" t="inlineStr">
        <x:is>
          <x:t xml:space="preserve">United Kingdom</x:t>
        </x:is>
      </x:c>
    </x:row>
    <x:row r="61" hidden="1">
      <x:c r="A61" t="n">
        <x:v>1887</x:v>
      </x:c>
      <x:c r="B61" s="25" t="inlineStr">
        <x:is>
          <x:t xml:space="preserve">Women's</x:t>
        </x:is>
      </x:c>
      <x:c r="C61" s="25" t="inlineStr">
        <x:is>
          <x:t xml:space="preserve">C. Dod</x:t>
        </x:is>
      </x:c>
      <x:c r="D61" s="25" t="inlineStr">
        <x:is>
          <x:t xml:space="preserve">GBR</x:t>
        </x:is>
      </x:c>
      <x:c r="E61" s="25" t="inlineStr">
        <x:is>
          <x:t xml:space="preserve">United Kingdom</x:t>
        </x:is>
      </x:c>
      <x:c r="H61" s="25" t="inlineStr">
        <x:is>
          <x:t xml:space="preserve">6-2,6-0</x:t>
        </x:is>
      </x:c>
      <x:c r="I61" s="25" t="inlineStr">
        <x:is>
          <x:t xml:space="preserve">B. Bingley</x:t>
        </x:is>
      </x:c>
      <x:c r="J61" s="25" t="inlineStr">
        <x:is>
          <x:t xml:space="preserve">GBR</x:t>
        </x:is>
      </x:c>
      <x:c r="K61" s="25" t="inlineStr">
        <x:is>
          <x:t xml:space="preserve">United Kingdom</x:t>
        </x:is>
      </x:c>
    </x:row>
    <x:row r="62">
      <x:c r="B62" s="24" t="inlineStr">
        <x:is>
          <x:t xml:space="preserve">C. Dod Count</x:t>
        </x:is>
      </x:c>
      <x:c r="C62" s="25" t="n">
        <x:f>SUBTOTAL(3,C57:C61)</x:f>
        <x:v>5</x:v>
      </x:c>
    </x:row>
    <x:row r="63" hidden="1">
      <x:c r="A63" t="n">
        <x:v>1976</x:v>
      </x:c>
      <x:c r="B63" s="25" t="inlineStr">
        <x:is>
          <x:t xml:space="preserve">Women's</x:t>
        </x:is>
      </x:c>
      <x:c r="C63" s="25" t="inlineStr">
        <x:is>
          <x:t xml:space="preserve">C.M. Evert</x:t>
        </x:is>
      </x:c>
      <x:c r="D63" s="25" t="inlineStr">
        <x:is>
          <x:t xml:space="preserve">USA</x:t>
        </x:is>
      </x:c>
      <x:c r="E63" s="25" t="inlineStr">
        <x:is>
          <x:t xml:space="preserve">United States</x:t>
        </x:is>
      </x:c>
      <x:c r="F63" s="7" t="n">
        <x:v>1</x:v>
      </x:c>
      <x:c r="G63" s="7" t="n">
        <x:v>120</x:v>
      </x:c>
      <x:c r="H63" s="25" t="inlineStr">
        <x:is>
          <x:t xml:space="preserve">6-3,4-6,8-6,</x:t>
        </x:is>
      </x:c>
      <x:c r="I63" s="25" t="inlineStr">
        <x:is>
          <x:t xml:space="preserve">R.A. Cawley</x:t>
        </x:is>
      </x:c>
      <x:c r="J63" s="25" t="inlineStr">
        <x:is>
          <x:t xml:space="preserve">AUS</x:t>
        </x:is>
      </x:c>
      <x:c r="K63" s="25" t="inlineStr">
        <x:is>
          <x:t xml:space="preserve">Australia</x:t>
        </x:is>
      </x:c>
      <x:c r="L63" s="7" t="n">
        <x:v>2</x:v>
      </x:c>
    </x:row>
    <x:row r="64" hidden="1">
      <x:c r="A64" t="n">
        <x:v>1974</x:v>
      </x:c>
      <x:c r="B64" s="25" t="inlineStr">
        <x:is>
          <x:t xml:space="preserve">Women's</x:t>
        </x:is>
      </x:c>
      <x:c r="C64" s="25" t="inlineStr">
        <x:is>
          <x:t xml:space="preserve">C.M. Evert</x:t>
        </x:is>
      </x:c>
      <x:c r="D64" s="25" t="inlineStr">
        <x:is>
          <x:t xml:space="preserve">USA</x:t>
        </x:is>
      </x:c>
      <x:c r="E64" s="25" t="inlineStr">
        <x:is>
          <x:t xml:space="preserve">United States</x:t>
        </x:is>
      </x:c>
      <x:c r="F64" s="7" t="n">
        <x:v>2</x:v>
      </x:c>
      <x:c r="G64" s="7" t="n">
        <x:v>59</x:v>
      </x:c>
      <x:c r="H64" s="25" t="inlineStr">
        <x:is>
          <x:t xml:space="preserve">6-0,6-4</x:t>
        </x:is>
      </x:c>
      <x:c r="I64" s="25" t="inlineStr">
        <x:is>
          <x:t xml:space="preserve">O.V. Morozova</x:t>
        </x:is>
      </x:c>
      <x:c r="J64" s="25" t="inlineStr">
        <x:is>
          <x:t xml:space="preserve">URS</x:t>
        </x:is>
      </x:c>
      <x:c r="K64" s="25" t="inlineStr">
        <x:is>
          <x:t xml:space="preserve">Soviet Union</x:t>
        </x:is>
      </x:c>
      <x:c r="L64" s="7" t="n">
        <x:v>8</x:v>
      </x:c>
    </x:row>
    <x:row r="65">
      <x:c r="B65" s="24" t="inlineStr">
        <x:is>
          <x:t xml:space="preserve">C.M. Evert Count</x:t>
        </x:is>
      </x:c>
      <x:c r="C65" s="25" t="n">
        <x:f>SUBTOTAL(3,C63:C64)</x:f>
        <x:v>2</x:v>
      </x:c>
    </x:row>
    <x:row r="66" hidden="1">
      <x:c r="A66" t="n">
        <x:v>1898</x:v>
      </x:c>
      <x:c r="B66" s="25" t="inlineStr">
        <x:is>
          <x:t xml:space="preserve">Women's</x:t>
        </x:is>
      </x:c>
      <x:c r="C66" s="25" t="inlineStr">
        <x:is>
          <x:t xml:space="preserve">C.R. Cooper</x:t>
        </x:is>
      </x:c>
      <x:c r="D66" s="25" t="inlineStr">
        <x:is>
          <x:t xml:space="preserve">GBR</x:t>
        </x:is>
      </x:c>
      <x:c r="E66" s="25" t="inlineStr">
        <x:is>
          <x:t xml:space="preserve">United Kingdom</x:t>
        </x:is>
      </x:c>
      <x:c r="H66" s="25" t="inlineStr">
        <x:is>
          <x:t xml:space="preserve">6-4,6-4</x:t>
        </x:is>
      </x:c>
      <x:c r="I66" s="25" t="inlineStr">
        <x:is>
          <x:t xml:space="preserve">M.L.Martin</x:t>
        </x:is>
      </x:c>
      <x:c r="J66" s="25" t="inlineStr">
        <x:is>
          <x:t xml:space="preserve">GBR</x:t>
        </x:is>
      </x:c>
      <x:c r="K66" s="25" t="inlineStr">
        <x:is>
          <x:t xml:space="preserve">United Kingdom</x:t>
        </x:is>
      </x:c>
    </x:row>
    <x:row r="67" hidden="1">
      <x:c r="A67" t="n">
        <x:v>1896</x:v>
      </x:c>
      <x:c r="B67" s="25" t="inlineStr">
        <x:is>
          <x:t xml:space="preserve">Women's</x:t>
        </x:is>
      </x:c>
      <x:c r="C67" s="25" t="inlineStr">
        <x:is>
          <x:t xml:space="preserve">C.R. Cooper</x:t>
        </x:is>
      </x:c>
      <x:c r="D67" s="25" t="inlineStr">
        <x:is>
          <x:t xml:space="preserve">GBR</x:t>
        </x:is>
      </x:c>
      <x:c r="E67" s="25" t="inlineStr">
        <x:is>
          <x:t xml:space="preserve">United Kingdom</x:t>
        </x:is>
      </x:c>
      <x:c r="H67" s="25" t="inlineStr">
        <x:is>
          <x:t xml:space="preserve">6-2,6-3</x:t>
        </x:is>
      </x:c>
      <x:c r="I67" s="25" t="inlineStr">
        <x:is>
          <x:t xml:space="preserve">W.H. Pickering</x:t>
        </x:is>
      </x:c>
      <x:c r="J67" s="25" t="inlineStr">
        <x:is>
          <x:t xml:space="preserve">GBR</x:t>
        </x:is>
      </x:c>
      <x:c r="K67" s="25" t="inlineStr">
        <x:is>
          <x:t xml:space="preserve">United Kingdom</x:t>
        </x:is>
      </x:c>
    </x:row>
    <x:row r="68" hidden="1">
      <x:c r="A68" t="n">
        <x:v>1895</x:v>
      </x:c>
      <x:c r="B68" s="25" t="inlineStr">
        <x:is>
          <x:t xml:space="preserve">Women's</x:t>
        </x:is>
      </x:c>
      <x:c r="C68" s="25" t="inlineStr">
        <x:is>
          <x:t xml:space="preserve">C.R. Cooper</x:t>
        </x:is>
      </x:c>
      <x:c r="D68" s="25" t="inlineStr">
        <x:is>
          <x:t xml:space="preserve">GBR</x:t>
        </x:is>
      </x:c>
      <x:c r="E68" s="25" t="inlineStr">
        <x:is>
          <x:t xml:space="preserve">United Kingdom</x:t>
        </x:is>
      </x:c>
      <x:c r="H68" s="25" t="inlineStr">
        <x:is>
          <x:t xml:space="preserve">7-5,8-6</x:t>
        </x:is>
      </x:c>
      <x:c r="I68" s="25" t="inlineStr">
        <x:is>
          <x:t xml:space="preserve">H. Jackson</x:t>
        </x:is>
      </x:c>
      <x:c r="J68" s="25" t="inlineStr">
        <x:is>
          <x:t xml:space="preserve">GBR</x:t>
        </x:is>
      </x:c>
      <x:c r="K68" s="25" t="inlineStr">
        <x:is>
          <x:t xml:space="preserve">United Kingdom</x:t>
        </x:is>
      </x:c>
    </x:row>
    <x:row r="69">
      <x:c r="B69" s="24" t="inlineStr">
        <x:is>
          <x:t xml:space="preserve">C.R. Cooper Count</x:t>
        </x:is>
      </x:c>
      <x:c r="C69" s="25" t="n">
        <x:f>SUBTOTAL(3,C66:C68)</x:f>
        <x:v>3</x:v>
      </x:c>
    </x:row>
    <x:row r="70" hidden="1">
      <x:c r="A70" t="n">
        <x:v>1963</x:v>
      </x:c>
      <x:c r="B70" s="25" t="inlineStr">
        <x:is>
          <x:t xml:space="preserve">Men's</x:t>
        </x:is>
      </x:c>
      <x:c r="C70" s="25" t="inlineStr">
        <x:is>
          <x:t xml:space="preserve">C.R. McKinley</x:t>
        </x:is>
      </x:c>
      <x:c r="D70" s="25" t="inlineStr">
        <x:is>
          <x:t xml:space="preserve">USA</x:t>
        </x:is>
      </x:c>
      <x:c r="E70" s="25" t="inlineStr">
        <x:is>
          <x:t xml:space="preserve">United States</x:t>
        </x:is>
      </x:c>
      <x:c r="F70" s="7" t="n">
        <x:v>4</x:v>
      </x:c>
      <x:c r="G70" s="7" t="n">
        <x:v>78</x:v>
      </x:c>
      <x:c r="H70" s="25" t="inlineStr">
        <x:is>
          <x:t xml:space="preserve">9-7,6-1,6-4</x:t>
        </x:is>
      </x:c>
      <x:c r="I70" s="25" t="inlineStr">
        <x:is>
          <x:t xml:space="preserve">F.S. Stolle</x:t>
        </x:is>
      </x:c>
      <x:c r="J70" s="25" t="inlineStr">
        <x:is>
          <x:t xml:space="preserve">AUS</x:t>
        </x:is>
      </x:c>
      <x:c r="K70" s="25" t="inlineStr">
        <x:is>
          <x:t xml:space="preserve">Australia</x:t>
        </x:is>
      </x:c>
      <x:c r="L70" s="7" t="inlineStr">
        <x:is>
          <x:t xml:space="preserve">U</x:t>
        </x:is>
      </x:c>
    </x:row>
    <x:row r="71">
      <x:c r="B71" s="24" t="inlineStr">
        <x:is>
          <x:t xml:space="preserve">C.R. McKinley Count</x:t>
        </x:is>
      </x:c>
      <x:c r="C71" s="25" t="n">
        <x:f>SUBTOTAL(3,C70:C70)</x:f>
        <x:v>1</x:v>
      </x:c>
    </x:row>
    <x:row r="72" hidden="1">
      <x:c r="A72" t="n">
        <x:v>1937</x:v>
      </x:c>
      <x:c r="B72" s="25" t="inlineStr">
        <x:is>
          <x:t xml:space="preserve">Women's</x:t>
        </x:is>
      </x:c>
      <x:c r="C72" s="25" t="inlineStr">
        <x:is>
          <x:t xml:space="preserve">D.E. Round</x:t>
        </x:is>
      </x:c>
      <x:c r="D72" s="25" t="inlineStr">
        <x:is>
          <x:t xml:space="preserve">GBR</x:t>
        </x:is>
      </x:c>
      <x:c r="E72" s="25" t="inlineStr">
        <x:is>
          <x:t xml:space="preserve">United Kingdom</x:t>
        </x:is>
      </x:c>
      <x:c r="F72" s="7" t="n">
        <x:v>7</x:v>
      </x:c>
      <x:c r="G72" s="7" t="n">
        <x:v>60</x:v>
      </x:c>
      <x:c r="H72" s="25" t="inlineStr">
        <x:is>
          <x:t xml:space="preserve">6-2,2-6,7-5</x:t>
        </x:is>
      </x:c>
      <x:c r="I72" s="25" t="inlineStr">
        <x:is>
          <x:t xml:space="preserve">J. Jedrzejowska</x:t>
        </x:is>
      </x:c>
      <x:c r="J72" s="25" t="inlineStr">
        <x:is>
          <x:t xml:space="preserve">POL</x:t>
        </x:is>
      </x:c>
      <x:c r="K72" s="25" t="inlineStr">
        <x:is>
          <x:t xml:space="preserve">Poland</x:t>
        </x:is>
      </x:c>
      <x:c r="L72" s="7" t="n">
        <x:v>4</x:v>
      </x:c>
    </x:row>
    <x:row r="73" hidden="1">
      <x:c r="A73" t="n">
        <x:v>1934</x:v>
      </x:c>
      <x:c r="B73" s="25" t="inlineStr">
        <x:is>
          <x:t xml:space="preserve">Women's</x:t>
        </x:is>
      </x:c>
      <x:c r="C73" s="25" t="inlineStr">
        <x:is>
          <x:t xml:space="preserve">D.E. Round</x:t>
        </x:is>
      </x:c>
      <x:c r="D73" s="25" t="inlineStr">
        <x:is>
          <x:t xml:space="preserve">GBR</x:t>
        </x:is>
      </x:c>
      <x:c r="E73" s="25" t="inlineStr">
        <x:is>
          <x:t xml:space="preserve">United Kingdom</x:t>
        </x:is>
      </x:c>
      <x:c r="F73" s="7" t="n">
        <x:v>2</x:v>
      </x:c>
      <x:c r="H73" s="25" t="inlineStr">
        <x:is>
          <x:t xml:space="preserve">6-2,5-7,6-3</x:t>
        </x:is>
      </x:c>
      <x:c r="I73" s="25" t="inlineStr">
        <x:is>
          <x:t xml:space="preserve">H.H. Jacobs</x:t>
        </x:is>
      </x:c>
      <x:c r="J73" s="25" t="inlineStr">
        <x:is>
          <x:t xml:space="preserve">USA</x:t>
        </x:is>
      </x:c>
      <x:c r="K73" s="25" t="inlineStr">
        <x:is>
          <x:t xml:space="preserve">United States</x:t>
        </x:is>
      </x:c>
      <x:c r="L73" s="7" t="n">
        <x:v>1</x:v>
      </x:c>
    </x:row>
    <x:row r="74">
      <x:c r="B74" s="24" t="inlineStr">
        <x:is>
          <x:t xml:space="preserve">D.E. Round Count</x:t>
        </x:is>
      </x:c>
      <x:c r="C74" s="25" t="n">
        <x:f>SUBTOTAL(3,C72:C73)</x:f>
        <x:v>2</x:v>
      </x:c>
    </x:row>
    <x:row r="75" hidden="1">
      <x:c r="A75" t="n">
        <x:v>1951</x:v>
      </x:c>
      <x:c r="B75" s="25" t="inlineStr">
        <x:is>
          <x:t xml:space="preserve">Women's</x:t>
        </x:is>
      </x:c>
      <x:c r="C75" s="25" t="inlineStr">
        <x:is>
          <x:t xml:space="preserve">D.J. Hart</x:t>
        </x:is>
      </x:c>
      <x:c r="D75" s="25" t="inlineStr">
        <x:is>
          <x:t xml:space="preserve">USA</x:t>
        </x:is>
      </x:c>
      <x:c r="E75" s="25" t="inlineStr">
        <x:is>
          <x:t xml:space="preserve">United States</x:t>
        </x:is>
      </x:c>
      <x:c r="F75" s="7" t="n">
        <x:v>3</x:v>
      </x:c>
      <x:c r="G75" s="7" t="n">
        <x:v>35</x:v>
      </x:c>
      <x:c r="H75" s="25" t="inlineStr">
        <x:is>
          <x:t xml:space="preserve">6-1,6-0</x:t>
        </x:is>
      </x:c>
      <x:c r="I75" s="25" t="inlineStr">
        <x:is>
          <x:t xml:space="preserve">S.J. Fry</x:t>
        </x:is>
      </x:c>
      <x:c r="J75" s="25" t="inlineStr">
        <x:is>
          <x:t xml:space="preserve">USA</x:t>
        </x:is>
      </x:c>
      <x:c r="K75" s="25" t="inlineStr">
        <x:is>
          <x:t xml:space="preserve">United States</x:t>
        </x:is>
      </x:c>
      <x:c r="L75" s="7" t="n">
        <x:v>4</x:v>
      </x:c>
    </x:row>
    <x:row r="76">
      <x:c r="B76" s="24" t="inlineStr">
        <x:is>
          <x:t xml:space="preserve">D.J. Hart Count</x:t>
        </x:is>
      </x:c>
      <x:c r="C76" s="25" t="n">
        <x:f>SUBTOTAL(3,C75:C75)</x:f>
        <x:v>1</x:v>
      </x:c>
    </x:row>
    <x:row r="77" hidden="1">
      <x:c r="A77" t="n">
        <x:v>1906</x:v>
      </x:c>
      <x:c r="B77" s="25" t="inlineStr">
        <x:is>
          <x:t xml:space="preserve">Women's</x:t>
        </x:is>
      </x:c>
      <x:c r="C77" s="25" t="inlineStr">
        <x:is>
          <x:t xml:space="preserve">D.K. Douglass</x:t>
        </x:is>
      </x:c>
      <x:c r="D77" s="25" t="inlineStr">
        <x:is>
          <x:t xml:space="preserve">GBR</x:t>
        </x:is>
      </x:c>
      <x:c r="E77" s="25" t="inlineStr">
        <x:is>
          <x:t xml:space="preserve">United Kingdom</x:t>
        </x:is>
      </x:c>
      <x:c r="G77" s="7" t="n">
        <x:v>57</x:v>
      </x:c>
      <x:c r="H77" s="25" t="inlineStr">
        <x:is>
          <x:t xml:space="preserve">6-3,9-7</x:t>
        </x:is>
      </x:c>
      <x:c r="I77" s="25" t="inlineStr">
        <x:is>
          <x:t xml:space="preserve">M.G. Sutton</x:t>
        </x:is>
      </x:c>
      <x:c r="J77" s="25" t="inlineStr">
        <x:is>
          <x:t xml:space="preserve">USA</x:t>
        </x:is>
      </x:c>
      <x:c r="K77" s="25" t="inlineStr">
        <x:is>
          <x:t xml:space="preserve">United States</x:t>
        </x:is>
      </x:c>
    </x:row>
    <x:row r="78" hidden="1">
      <x:c r="A78" t="n">
        <x:v>1904</x:v>
      </x:c>
      <x:c r="B78" s="25" t="inlineStr">
        <x:is>
          <x:t xml:space="preserve">Women's</x:t>
        </x:is>
      </x:c>
      <x:c r="C78" s="25" t="inlineStr">
        <x:is>
          <x:t xml:space="preserve">D.K. Douglass</x:t>
        </x:is>
      </x:c>
      <x:c r="D78" s="25" t="inlineStr">
        <x:is>
          <x:t xml:space="preserve">GBR</x:t>
        </x:is>
      </x:c>
      <x:c r="E78" s="25" t="inlineStr">
        <x:is>
          <x:t xml:space="preserve">United Kingdom</x:t>
        </x:is>
      </x:c>
      <x:c r="H78" s="25" t="inlineStr">
        <x:is>
          <x:t xml:space="preserve">6-0,6-3</x:t>
        </x:is>
      </x:c>
      <x:c r="I78" s="25" t="inlineStr">
        <x:is>
          <x:t xml:space="preserve">A. Sterry</x:t>
        </x:is>
      </x:c>
      <x:c r="J78" s="25" t="inlineStr">
        <x:is>
          <x:t xml:space="preserve">GBR</x:t>
        </x:is>
      </x:c>
      <x:c r="K78" s="25" t="inlineStr">
        <x:is>
          <x:t xml:space="preserve">United Kingdom</x:t>
        </x:is>
      </x:c>
    </x:row>
    <x:row r="79" hidden="1">
      <x:c r="A79" t="n">
        <x:v>1903</x:v>
      </x:c>
      <x:c r="B79" s="25" t="inlineStr">
        <x:is>
          <x:t xml:space="preserve">Women's</x:t>
        </x:is>
      </x:c>
      <x:c r="C79" s="25" t="inlineStr">
        <x:is>
          <x:t xml:space="preserve">D.K. Douglass</x:t>
        </x:is>
      </x:c>
      <x:c r="D79" s="25" t="inlineStr">
        <x:is>
          <x:t xml:space="preserve">GBR</x:t>
        </x:is>
      </x:c>
      <x:c r="E79" s="25" t="inlineStr">
        <x:is>
          <x:t xml:space="preserve">United Kingdom</x:t>
        </x:is>
      </x:c>
      <x:c r="H79" s="25" t="inlineStr">
        <x:is>
          <x:t xml:space="preserve">4-6,6-4,6-2</x:t>
        </x:is>
      </x:c>
      <x:c r="I79" s="25" t="inlineStr">
        <x:is>
          <x:t xml:space="preserve">E.W. Thomson</x:t>
        </x:is>
      </x:c>
      <x:c r="J79" s="25" t="inlineStr">
        <x:is>
          <x:t xml:space="preserve">GBR</x:t>
        </x:is>
      </x:c>
      <x:c r="K79" s="25" t="inlineStr">
        <x:is>
          <x:t xml:space="preserve">United Kingdom</x:t>
        </x:is>
      </x:c>
    </x:row>
    <x:row r="80">
      <x:c r="B80" s="24" t="inlineStr">
        <x:is>
          <x:t xml:space="preserve">D.K. Douglass Count</x:t>
        </x:is>
      </x:c>
      <x:c r="C80" s="25" t="n">
        <x:f>SUBTOTAL(3,C77:C79)</x:f>
        <x:v>3</x:v>
      </x:c>
    </x:row>
    <x:row r="81" hidden="1">
      <x:c r="A81" t="n">
        <x:v>1912</x:v>
      </x:c>
      <x:c r="B81" s="25" t="inlineStr">
        <x:is>
          <x:t xml:space="preserve">Women's</x:t>
        </x:is>
      </x:c>
      <x:c r="C81" s="25" t="inlineStr">
        <x:is>
          <x:t xml:space="preserve">D.T.R. Larcombe</x:t>
        </x:is>
      </x:c>
      <x:c r="D81" s="25" t="inlineStr">
        <x:is>
          <x:t xml:space="preserve">GBR</x:t>
        </x:is>
      </x:c>
      <x:c r="E81" s="25" t="inlineStr">
        <x:is>
          <x:t xml:space="preserve">United Kingdom</x:t>
        </x:is>
      </x:c>
      <x:c r="H81" s="25" t="inlineStr">
        <x:is>
          <x:t xml:space="preserve">6-3,6-1</x:t>
        </x:is>
      </x:c>
      <x:c r="I81" s="25" t="inlineStr">
        <x:is>
          <x:t xml:space="preserve">A. Sterry</x:t>
        </x:is>
      </x:c>
      <x:c r="J81" s="25" t="inlineStr">
        <x:is>
          <x:t xml:space="preserve">GBR</x:t>
        </x:is>
      </x:c>
      <x:c r="K81" s="25" t="inlineStr">
        <x:is>
          <x:t xml:space="preserve">United Kingdom</x:t>
        </x:is>
      </x:c>
    </x:row>
    <x:row r="82">
      <x:c r="B82" s="24" t="inlineStr">
        <x:is>
          <x:t xml:space="preserve">D.T.R. Larcombe Count</x:t>
        </x:is>
      </x:c>
      <x:c r="C82" s="25" t="n">
        <x:f>SUBTOTAL(3,C81:C81)</x:f>
        <x:v>1</x:v>
      </x:c>
    </x:row>
    <x:row r="83" hidden="1">
      <x:c r="A83" t="n">
        <x:v>1971</x:v>
      </x:c>
      <x:c r="B83" s="25" t="inlineStr">
        <x:is>
          <x:t xml:space="preserve">Women's</x:t>
        </x:is>
      </x:c>
      <x:c r="C83" s="25" t="inlineStr">
        <x:is>
          <x:t xml:space="preserve">E.F. Goolagong</x:t>
        </x:is>
      </x:c>
      <x:c r="D83" s="25" t="inlineStr">
        <x:is>
          <x:t xml:space="preserve">AUS</x:t>
        </x:is>
      </x:c>
      <x:c r="E83" s="25" t="inlineStr">
        <x:is>
          <x:t xml:space="preserve">Australia</x:t>
        </x:is>
      </x:c>
      <x:c r="F83" s="7" t="n">
        <x:v>3</x:v>
      </x:c>
      <x:c r="G83" s="7" t="n">
        <x:v>62</x:v>
      </x:c>
      <x:c r="H83" s="25" t="inlineStr">
        <x:is>
          <x:t xml:space="preserve">6-4,6-1,</x:t>
        </x:is>
      </x:c>
      <x:c r="I83" s="25" t="inlineStr">
        <x:is>
          <x:t xml:space="preserve">B.M. Court</x:t>
        </x:is>
      </x:c>
      <x:c r="J83" s="25" t="inlineStr">
        <x:is>
          <x:t xml:space="preserve">AUS</x:t>
        </x:is>
      </x:c>
      <x:c r="K83" s="25" t="inlineStr">
        <x:is>
          <x:t xml:space="preserve">Australia</x:t>
        </x:is>
      </x:c>
      <x:c r="L83" s="7" t="n">
        <x:v>1</x:v>
      </x:c>
    </x:row>
    <x:row r="84">
      <x:c r="B84" s="24" t="inlineStr">
        <x:is>
          <x:t xml:space="preserve">E.F. Goolagong Count</x:t>
        </x:is>
      </x:c>
      <x:c r="C84" s="25" t="n">
        <x:f>SUBTOTAL(3,C83:C83)</x:f>
        <x:v>1</x:v>
      </x:c>
    </x:row>
    <x:row r="85" hidden="1">
      <x:c r="A85" t="n">
        <x:v>1953</x:v>
      </x:c>
      <x:c r="B85" s="25" t="inlineStr">
        <x:is>
          <x:t xml:space="preserve">Men's</x:t>
        </x:is>
      </x:c>
      <x:c r="C85" s="25" t="inlineStr">
        <x:is>
          <x:t xml:space="preserve">E.V. Seixas</x:t>
        </x:is>
      </x:c>
      <x:c r="D85" s="25" t="inlineStr">
        <x:is>
          <x:t xml:space="preserve">USA</x:t>
        </x:is>
      </x:c>
      <x:c r="E85" s="25" t="inlineStr">
        <x:is>
          <x:t xml:space="preserve">United States</x:t>
        </x:is>
      </x:c>
      <x:c r="F85" s="7" t="n">
        <x:v>2</x:v>
      </x:c>
      <x:c r="G85" s="7" t="n">
        <x:v>80</x:v>
      </x:c>
      <x:c r="H85" s="25" t="inlineStr">
        <x:is>
          <x:t xml:space="preserve">9-7,6-3,6-4</x:t>
        </x:is>
      </x:c>
      <x:c r="I85" s="25" t="inlineStr">
        <x:is>
          <x:t xml:space="preserve">K. Nielsen</x:t>
        </x:is>
      </x:c>
      <x:c r="J85" s="25" t="inlineStr">
        <x:is>
          <x:t xml:space="preserve">DEN</x:t>
        </x:is>
      </x:c>
      <x:c r="K85" s="25" t="inlineStr">
        <x:is>
          <x:t xml:space="preserve">Denmark</x:t>
        </x:is>
      </x:c>
      <x:c r="L85" s="7" t="inlineStr">
        <x:is>
          <x:t xml:space="preserve">U</x:t>
        </x:is>
      </x:c>
    </x:row>
    <x:row r="86">
      <x:c r="B86" s="24" t="inlineStr">
        <x:is>
          <x:t xml:space="preserve">E.V. Seixas Count</x:t>
        </x:is>
      </x:c>
      <x:c r="C86" s="25" t="n">
        <x:f>SUBTOTAL(3,C85:C85)</x:f>
        <x:v>1</x:v>
      </x:c>
    </x:row>
    <x:row r="87" hidden="1">
      <x:c r="A87" t="n">
        <x:v>1952</x:v>
      </x:c>
      <x:c r="B87" s="25" t="inlineStr">
        <x:is>
          <x:t xml:space="preserve">Men's</x:t>
        </x:is>
      </x:c>
      <x:c r="C87" s="25" t="inlineStr">
        <x:is>
          <x:t xml:space="preserve">F.A. Sedgman</x:t>
        </x:is>
      </x:c>
      <x:c r="D87" s="25" t="inlineStr">
        <x:is>
          <x:t xml:space="preserve">AUS</x:t>
        </x:is>
      </x:c>
      <x:c r="E87" s="25" t="inlineStr">
        <x:is>
          <x:t xml:space="preserve">Australia</x:t>
        </x:is>
      </x:c>
      <x:c r="F87" s="7" t="n">
        <x:v>1</x:v>
      </x:c>
      <x:c r="G87" s="7" t="n">
        <x:v>80</x:v>
      </x:c>
      <x:c r="H87" s="25" t="inlineStr">
        <x:is>
          <x:t xml:space="preserve">4-6,6-2,6-3,6-2</x:t>
        </x:is>
      </x:c>
      <x:c r="I87" s="25" t="inlineStr">
        <x:is>
          <x:t xml:space="preserve">J. Drobny</x:t>
        </x:is>
      </x:c>
      <x:c r="J87" s="25" t="inlineStr">
        <x:is>
          <x:t xml:space="preserve">CZE</x:t>
        </x:is>
      </x:c>
      <x:c r="K87" s="25" t="inlineStr">
        <x:is>
          <x:t xml:space="preserve">Czechia</x:t>
        </x:is>
      </x:c>
      <x:c r="L87" s="7" t="n">
        <x:v>2</x:v>
      </x:c>
    </x:row>
    <x:row r="88">
      <x:c r="B88" s="24" t="inlineStr">
        <x:is>
          <x:t xml:space="preserve">F.A. Sedgman Count</x:t>
        </x:is>
      </x:c>
      <x:c r="C88" s="25" t="n">
        <x:f>SUBTOTAL(3,C87:C87)</x:f>
        <x:v>1</x:v>
      </x:c>
    </x:row>
    <x:row r="89" hidden="1">
      <x:c r="A89" t="n">
        <x:v>1961</x:v>
      </x:c>
      <x:c r="B89" s="25" t="inlineStr">
        <x:is>
          <x:t xml:space="preserve">Women's</x:t>
        </x:is>
      </x:c>
      <x:c r="C89" s="25" t="inlineStr">
        <x:is>
          <x:t xml:space="preserve">F.A.M. Mortimer</x:t>
        </x:is>
      </x:c>
      <x:c r="D89" s="25" t="inlineStr">
        <x:is>
          <x:t xml:space="preserve">GBR</x:t>
        </x:is>
      </x:c>
      <x:c r="E89" s="25" t="inlineStr">
        <x:is>
          <x:t xml:space="preserve">United Kingdom</x:t>
        </x:is>
      </x:c>
      <x:c r="F89" s="7" t="n">
        <x:v>7</x:v>
      </x:c>
      <x:c r="G89" s="7" t="n">
        <x:v>96</x:v>
      </x:c>
      <x:c r="H89" s="25" t="inlineStr">
        <x:is>
          <x:t xml:space="preserve">4-6,6-4,7-5,</x:t>
        </x:is>
      </x:c>
      <x:c r="I89" s="25" t="inlineStr">
        <x:is>
          <x:t xml:space="preserve">C.C. Truman</x:t>
        </x:is>
      </x:c>
      <x:c r="J89" s="25" t="inlineStr">
        <x:is>
          <x:t xml:space="preserve">GBR</x:t>
        </x:is>
      </x:c>
      <x:c r="K89" s="25" t="inlineStr">
        <x:is>
          <x:t xml:space="preserve">United Kingdom</x:t>
        </x:is>
      </x:c>
      <x:c r="L89" s="7" t="n">
        <x:v>6</x:v>
      </x:c>
    </x:row>
    <x:row r="90">
      <x:c r="B90" s="24" t="inlineStr">
        <x:is>
          <x:t xml:space="preserve">F.A.M. Mortimer Count</x:t>
        </x:is>
      </x:c>
      <x:c r="C90" s="25" t="n">
        <x:f>SUBTOTAL(3,C89:C89)</x:f>
        <x:v>1</x:v>
      </x:c>
    </x:row>
    <x:row r="91" hidden="1">
      <x:c r="A91" t="n">
        <x:v>1936</x:v>
      </x:c>
      <x:c r="B91" s="25" t="inlineStr">
        <x:is>
          <x:t xml:space="preserve">Men's</x:t>
        </x:is>
      </x:c>
      <x:c r="C91" s="25" t="inlineStr">
        <x:is>
          <x:t xml:space="preserve">F.J. Perry</x:t>
        </x:is>
      </x:c>
      <x:c r="D91" s="25" t="inlineStr">
        <x:is>
          <x:t xml:space="preserve">GBR</x:t>
        </x:is>
      </x:c>
      <x:c r="E91" s="25" t="inlineStr">
        <x:is>
          <x:t xml:space="preserve">United Kingdom</x:t>
        </x:is>
      </x:c>
      <x:c r="F91" s="7" t="n">
        <x:v>1</x:v>
      </x:c>
      <x:c r="G91" s="7" t="n">
        <x:v>40</x:v>
      </x:c>
      <x:c r="H91" s="25" t="inlineStr">
        <x:is>
          <x:t xml:space="preserve">6-1,6-1,6-0</x:t>
        </x:is>
      </x:c>
      <x:c r="I91" s="25" t="inlineStr">
        <x:is>
          <x:t xml:space="preserve">G. von Cramm</x:t>
        </x:is>
      </x:c>
      <x:c r="J91" s="25" t="inlineStr">
        <x:is>
          <x:t xml:space="preserve">GER</x:t>
        </x:is>
      </x:c>
      <x:c r="K91" s="25" t="inlineStr">
        <x:is>
          <x:t xml:space="preserve">Germany</x:t>
        </x:is>
      </x:c>
      <x:c r="L91" s="7" t="n">
        <x:v>2</x:v>
      </x:c>
    </x:row>
    <x:row r="92" hidden="1">
      <x:c r="A92" t="n">
        <x:v>1935</x:v>
      </x:c>
      <x:c r="B92" s="25" t="inlineStr">
        <x:is>
          <x:t xml:space="preserve">Men's</x:t>
        </x:is>
      </x:c>
      <x:c r="C92" s="25" t="inlineStr">
        <x:is>
          <x:t xml:space="preserve">F.J. Perry</x:t>
        </x:is>
      </x:c>
      <x:c r="D92" s="25" t="inlineStr">
        <x:is>
          <x:t xml:space="preserve">GBR</x:t>
        </x:is>
      </x:c>
      <x:c r="E92" s="25" t="inlineStr">
        <x:is>
          <x:t xml:space="preserve">United Kingdom</x:t>
        </x:is>
      </x:c>
      <x:c r="F92" s="7" t="n">
        <x:v>1</x:v>
      </x:c>
      <x:c r="G92" s="7" t="n">
        <x:v>80</x:v>
      </x:c>
      <x:c r="H92" s="25" t="inlineStr">
        <x:is>
          <x:t xml:space="preserve">6-2,6-4,6-4</x:t>
        </x:is>
      </x:c>
      <x:c r="I92" s="25" t="inlineStr">
        <x:is>
          <x:t xml:space="preserve">G. von Cramm</x:t>
        </x:is>
      </x:c>
      <x:c r="J92" s="25" t="inlineStr">
        <x:is>
          <x:t xml:space="preserve">GER</x:t>
        </x:is>
      </x:c>
      <x:c r="K92" s="25" t="inlineStr">
        <x:is>
          <x:t xml:space="preserve">Germany</x:t>
        </x:is>
      </x:c>
      <x:c r="L92" s="7" t="n">
        <x:v>2</x:v>
      </x:c>
    </x:row>
    <x:row r="93" hidden="1">
      <x:c r="A93" t="n">
        <x:v>1934</x:v>
      </x:c>
      <x:c r="B93" s="25" t="inlineStr">
        <x:is>
          <x:t xml:space="preserve">Men's</x:t>
        </x:is>
      </x:c>
      <x:c r="C93" s="25" t="inlineStr">
        <x:is>
          <x:t xml:space="preserve">F.J. Perry</x:t>
        </x:is>
      </x:c>
      <x:c r="D93" s="25" t="inlineStr">
        <x:is>
          <x:t xml:space="preserve">GBR</x:t>
        </x:is>
      </x:c>
      <x:c r="E93" s="25" t="inlineStr">
        <x:is>
          <x:t xml:space="preserve">United Kingdom</x:t>
        </x:is>
      </x:c>
      <x:c r="F93" s="7" t="n">
        <x:v>2</x:v>
      </x:c>
      <x:c r="G93" s="7" t="n">
        <x:v>72</x:v>
      </x:c>
      <x:c r="H93" s="25" t="inlineStr">
        <x:is>
          <x:t xml:space="preserve">6-3,6-0,7-5</x:t>
        </x:is>
      </x:c>
      <x:c r="I93" s="25" t="inlineStr">
        <x:is>
          <x:t xml:space="preserve">J.H. Crawford</x:t>
        </x:is>
      </x:c>
      <x:c r="J93" s="25" t="inlineStr">
        <x:is>
          <x:t xml:space="preserve">AUS</x:t>
        </x:is>
      </x:c>
      <x:c r="K93" s="25" t="inlineStr">
        <x:is>
          <x:t xml:space="preserve">Australia</x:t>
        </x:is>
      </x:c>
      <x:c r="L93" s="7" t="n">
        <x:v>1</x:v>
      </x:c>
    </x:row>
    <x:row r="94">
      <x:c r="B94" s="24" t="inlineStr">
        <x:is>
          <x:t xml:space="preserve">F.J. Perry Count</x:t>
        </x:is>
      </x:c>
      <x:c r="C94" s="25" t="n">
        <x:f>SUBTOTAL(3,C91:C93)</x:f>
        <x:v>3</x:v>
      </x:c>
    </x:row>
    <x:row r="95" hidden="1">
      <x:c r="A95" t="n">
        <x:v>1949</x:v>
      </x:c>
      <x:c r="B95" s="25" t="inlineStr">
        <x:is>
          <x:t xml:space="preserve">Men's</x:t>
        </x:is>
      </x:c>
      <x:c r="C95" s="25" t="inlineStr">
        <x:is>
          <x:t xml:space="preserve">F.R. Schroeder</x:t>
        </x:is>
      </x:c>
      <x:c r="D95" s="25" t="inlineStr">
        <x:is>
          <x:t xml:space="preserve">USA</x:t>
        </x:is>
      </x:c>
      <x:c r="E95" s="25" t="inlineStr">
        <x:is>
          <x:t xml:space="preserve">United States</x:t>
        </x:is>
      </x:c>
      <x:c r="F95" s="7" t="n">
        <x:v>1</x:v>
      </x:c>
      <x:c r="G95" s="7" t="n">
        <x:v>100</x:v>
      </x:c>
      <x:c r="H95" s="25" t="inlineStr">
        <x:is>
          <x:t xml:space="preserve">3-6,6-0,6-3,4-6,6-4</x:t>
        </x:is>
      </x:c>
      <x:c r="I95" s="25" t="inlineStr">
        <x:is>
          <x:t xml:space="preserve">J. Drobny</x:t>
        </x:is>
      </x:c>
      <x:c r="J95" s="25" t="inlineStr">
        <x:is>
          <x:t xml:space="preserve">CZE</x:t>
        </x:is>
      </x:c>
      <x:c r="K95" s="25" t="inlineStr">
        <x:is>
          <x:t xml:space="preserve">Czechia</x:t>
        </x:is>
      </x:c>
      <x:c r="L95" s="7" t="n">
        <x:v>6</x:v>
      </x:c>
    </x:row>
    <x:row r="96">
      <x:c r="B96" s="24" t="inlineStr">
        <x:is>
          <x:t xml:space="preserve">F.R. Schroeder Count</x:t>
        </x:is>
      </x:c>
      <x:c r="C96" s="25" t="n">
        <x:f>SUBTOTAL(3,C95:C95)</x:f>
        <x:v>1</x:v>
      </x:c>
    </x:row>
    <x:row r="97" hidden="1">
      <x:c r="A97" t="n">
        <x:v>1938</x:v>
      </x:c>
      <x:c r="B97" s="25" t="inlineStr">
        <x:is>
          <x:t xml:space="preserve">Women's</x:t>
        </x:is>
      </x:c>
      <x:c r="C97" s="25" t="inlineStr">
        <x:is>
          <x:t xml:space="preserve">F.S. Moody</x:t>
        </x:is>
      </x:c>
      <x:c r="D97" s="25" t="inlineStr">
        <x:is>
          <x:t xml:space="preserve">USA</x:t>
        </x:is>
      </x:c>
      <x:c r="E97" s="25" t="inlineStr">
        <x:is>
          <x:t xml:space="preserve">United States</x:t>
        </x:is>
      </x:c>
      <x:c r="F97" s="7" t="n">
        <x:v>1</x:v>
      </x:c>
      <x:c r="H97" s="25" t="inlineStr">
        <x:is>
          <x:t xml:space="preserve">6-4,6-0</x:t>
        </x:is>
      </x:c>
      <x:c r="I97" s="25" t="inlineStr">
        <x:is>
          <x:t xml:space="preserve">H.H. Jacobs</x:t>
        </x:is>
      </x:c>
      <x:c r="J97" s="25" t="inlineStr">
        <x:is>
          <x:t xml:space="preserve">USA</x:t>
        </x:is>
      </x:c>
      <x:c r="K97" s="25" t="inlineStr">
        <x:is>
          <x:t xml:space="preserve">United States</x:t>
        </x:is>
      </x:c>
    </x:row>
    <x:row r="98" hidden="1">
      <x:c r="A98" t="n">
        <x:v>1935</x:v>
      </x:c>
      <x:c r="B98" s="25" t="inlineStr">
        <x:is>
          <x:t xml:space="preserve">Women's</x:t>
        </x:is>
      </x:c>
      <x:c r="C98" s="25" t="inlineStr">
        <x:is>
          <x:t xml:space="preserve">F.S. Moody</x:t>
        </x:is>
      </x:c>
      <x:c r="D98" s="25" t="inlineStr">
        <x:is>
          <x:t xml:space="preserve">USA</x:t>
        </x:is>
      </x:c>
      <x:c r="E98" s="25" t="inlineStr">
        <x:is>
          <x:t xml:space="preserve">United States</x:t>
        </x:is>
      </x:c>
      <x:c r="F98" s="7" t="n">
        <x:v>4</x:v>
      </x:c>
      <x:c r="G98" s="7" t="n">
        <x:v>100</x:v>
      </x:c>
      <x:c r="H98" s="25" t="inlineStr">
        <x:is>
          <x:t xml:space="preserve">6-3,3-6,7-5</x:t>
        </x:is>
      </x:c>
      <x:c r="I98" s="25" t="inlineStr">
        <x:is>
          <x:t xml:space="preserve">H.H. Jacobs</x:t>
        </x:is>
      </x:c>
      <x:c r="J98" s="25" t="inlineStr">
        <x:is>
          <x:t xml:space="preserve">USA</x:t>
        </x:is>
      </x:c>
      <x:c r="K98" s="25" t="inlineStr">
        <x:is>
          <x:t xml:space="preserve">United States</x:t>
        </x:is>
      </x:c>
      <x:c r="L98" s="7" t="n">
        <x:v>3</x:v>
      </x:c>
    </x:row>
    <x:row r="99" hidden="1">
      <x:c r="A99" t="n">
        <x:v>1933</x:v>
      </x:c>
      <x:c r="B99" s="25" t="inlineStr">
        <x:is>
          <x:t xml:space="preserve">Women's</x:t>
        </x:is>
      </x:c>
      <x:c r="C99" s="25" t="inlineStr">
        <x:is>
          <x:t xml:space="preserve">F.S. Moody</x:t>
        </x:is>
      </x:c>
      <x:c r="D99" s="25" t="inlineStr">
        <x:is>
          <x:t xml:space="preserve">USA</x:t>
        </x:is>
      </x:c>
      <x:c r="E99" s="25" t="inlineStr">
        <x:is>
          <x:t xml:space="preserve">United States</x:t>
        </x:is>
      </x:c>
      <x:c r="F99" s="7" t="n">
        <x:v>1</x:v>
      </x:c>
      <x:c r="G99" s="7" t="n">
        <x:v>120</x:v>
      </x:c>
      <x:c r="H99" s="25" t="inlineStr">
        <x:is>
          <x:t xml:space="preserve">6-4,6-8,6-3</x:t>
        </x:is>
      </x:c>
      <x:c r="I99" s="25" t="inlineStr">
        <x:is>
          <x:t xml:space="preserve">D.E. Round</x:t>
        </x:is>
      </x:c>
      <x:c r="J99" s="25" t="inlineStr">
        <x:is>
          <x:t xml:space="preserve">GBR</x:t>
        </x:is>
      </x:c>
      <x:c r="K99" s="25" t="inlineStr">
        <x:is>
          <x:t xml:space="preserve">United Kingdom</x:t>
        </x:is>
      </x:c>
      <x:c r="L99" s="7" t="n">
        <x:v>2</x:v>
      </x:c>
    </x:row>
    <x:row r="100" hidden="1">
      <x:c r="A100" t="n">
        <x:v>1932</x:v>
      </x:c>
      <x:c r="B100" s="25" t="inlineStr">
        <x:is>
          <x:t xml:space="preserve">Women's</x:t>
        </x:is>
      </x:c>
      <x:c r="C100" s="25" t="inlineStr">
        <x:is>
          <x:t xml:space="preserve">F.S. Moody</x:t>
        </x:is>
      </x:c>
      <x:c r="D100" s="25" t="inlineStr">
        <x:is>
          <x:t xml:space="preserve">USA</x:t>
        </x:is>
      </x:c>
      <x:c r="E100" s="25" t="inlineStr">
        <x:is>
          <x:t xml:space="preserve">United States</x:t>
        </x:is>
      </x:c>
      <x:c r="F100" s="7" t="n">
        <x:v>1</x:v>
      </x:c>
      <x:c r="G100" s="7" t="n">
        <x:v>50</x:v>
      </x:c>
      <x:c r="H100" s="25" t="inlineStr">
        <x:is>
          <x:t xml:space="preserve">6-3,6-1</x:t>
        </x:is>
      </x:c>
      <x:c r="I100" s="25" t="inlineStr">
        <x:is>
          <x:t xml:space="preserve">H.H. Jacobs</x:t>
        </x:is>
      </x:c>
      <x:c r="J100" s="25" t="inlineStr">
        <x:is>
          <x:t xml:space="preserve">USA</x:t>
        </x:is>
      </x:c>
      <x:c r="K100" s="25" t="inlineStr">
        <x:is>
          <x:t xml:space="preserve">United States</x:t>
        </x:is>
      </x:c>
      <x:c r="L100" s="7" t="n">
        <x:v>5</x:v>
      </x:c>
    </x:row>
    <x:row r="101" hidden="1">
      <x:c r="A101" t="n">
        <x:v>1930</x:v>
      </x:c>
      <x:c r="B101" s="25" t="inlineStr">
        <x:is>
          <x:t xml:space="preserve">Women's</x:t>
        </x:is>
      </x:c>
      <x:c r="C101" s="25" t="inlineStr">
        <x:is>
          <x:t xml:space="preserve">F.S. Moody</x:t>
        </x:is>
      </x:c>
      <x:c r="D101" s="25" t="inlineStr">
        <x:is>
          <x:t xml:space="preserve">USA</x:t>
        </x:is>
      </x:c>
      <x:c r="E101" s="25" t="inlineStr">
        <x:is>
          <x:t xml:space="preserve">United States</x:t>
        </x:is>
      </x:c>
      <x:c r="F101" s="7" t="n">
        <x:v>1</x:v>
      </x:c>
      <x:c r="H101" s="25" t="inlineStr">
        <x:is>
          <x:t xml:space="preserve">6-2,6-2</x:t>
        </x:is>
      </x:c>
      <x:c r="I101" s="25" t="inlineStr">
        <x:is>
          <x:t xml:space="preserve">E.M. Ryan</x:t>
        </x:is>
      </x:c>
      <x:c r="J101" s="25" t="inlineStr">
        <x:is>
          <x:t xml:space="preserve">USA</x:t>
        </x:is>
      </x:c>
      <x:c r="K101" s="25" t="inlineStr">
        <x:is>
          <x:t xml:space="preserve">United States</x:t>
        </x:is>
      </x:c>
      <x:c r="L101" s="7" t="n">
        <x:v>8</x:v>
      </x:c>
    </x:row>
    <x:row r="102">
      <x:c r="B102" s="24" t="inlineStr">
        <x:is>
          <x:t xml:space="preserve">F.S. Moody Count</x:t>
        </x:is>
      </x:c>
      <x:c r="C102" s="25" t="n">
        <x:f>SUBTOTAL(3,C97:C101)</x:f>
        <x:v>5</x:v>
      </x:c>
    </x:row>
    <x:row r="103" hidden="1">
      <x:c r="A103" t="n">
        <x:v>1922</x:v>
      </x:c>
      <x:c r="B103" s="25" t="inlineStr">
        <x:is>
          <x:t xml:space="preserve">Men's</x:t>
        </x:is>
      </x:c>
      <x:c r="C103" s="25" t="inlineStr">
        <x:is>
          <x:t xml:space="preserve">G.L. Patterson</x:t>
        </x:is>
      </x:c>
      <x:c r="D103" s="25" t="inlineStr">
        <x:is>
          <x:t xml:space="preserve">AUS</x:t>
        </x:is>
      </x:c>
      <x:c r="E103" s="25" t="inlineStr">
        <x:is>
          <x:t xml:space="preserve">Australia</x:t>
        </x:is>
      </x:c>
      <x:c r="H103" s="25" t="inlineStr">
        <x:is>
          <x:t xml:space="preserve">6-3,6-4,6-2</x:t>
        </x:is>
      </x:c>
      <x:c r="I103" s="25" t="inlineStr">
        <x:is>
          <x:t xml:space="preserve">R. Lycett</x:t>
        </x:is>
      </x:c>
      <x:c r="J103" s="25" t="inlineStr">
        <x:is>
          <x:t xml:space="preserve">GBR</x:t>
        </x:is>
      </x:c>
      <x:c r="K103" s="25" t="inlineStr">
        <x:is>
          <x:t xml:space="preserve">United Kingdom</x:t>
        </x:is>
      </x:c>
    </x:row>
    <x:row r="104" hidden="1">
      <x:c r="A104" t="n">
        <x:v>1919</x:v>
      </x:c>
      <x:c r="B104" s="25" t="inlineStr">
        <x:is>
          <x:t xml:space="preserve">Men's</x:t>
        </x:is>
      </x:c>
      <x:c r="C104" s="25" t="inlineStr">
        <x:is>
          <x:t xml:space="preserve">G.L. Patterson</x:t>
        </x:is>
      </x:c>
      <x:c r="D104" s="25" t="inlineStr">
        <x:is>
          <x:t xml:space="preserve">AUS</x:t>
        </x:is>
      </x:c>
      <x:c r="E104" s="25" t="inlineStr">
        <x:is>
          <x:t xml:space="preserve">Australia</x:t>
        </x:is>
      </x:c>
      <x:c r="H104" s="25" t="inlineStr">
        <x:is>
          <x:t xml:space="preserve">6-3,7-5,6-2</x:t>
        </x:is>
      </x:c>
      <x:c r="I104" s="25" t="inlineStr">
        <x:is>
          <x:t xml:space="preserve">N.E. Brookes</x:t>
        </x:is>
      </x:c>
      <x:c r="J104" s="25" t="inlineStr">
        <x:is>
          <x:t xml:space="preserve">AUS</x:t>
        </x:is>
      </x:c>
      <x:c r="K104" s="25" t="inlineStr">
        <x:is>
          <x:t xml:space="preserve">Australia</x:t>
        </x:is>
      </x:c>
    </x:row>
    <x:row r="105">
      <x:c r="B105" s="24" t="inlineStr">
        <x:is>
          <x:t xml:space="preserve">G.L. Patterson Count</x:t>
        </x:is>
      </x:c>
      <x:c r="C105" s="25" t="n">
        <x:f>SUBTOTAL(3,C103:C104)</x:f>
        <x:v>2</x:v>
      </x:c>
    </x:row>
    <x:row r="106" hidden="1">
      <x:c r="A106" t="n">
        <x:v>2017</x:v>
      </x:c>
      <x:c r="B106" s="25" t="inlineStr">
        <x:is>
          <x:t xml:space="preserve">Women's</x:t>
        </x:is>
      </x:c>
      <x:c r="C106" s="25" t="inlineStr">
        <x:is>
          <x:t xml:space="preserve">G.Muguruza</x:t>
        </x:is>
      </x:c>
      <x:c r="D106" s="25" t="inlineStr">
        <x:is>
          <x:t xml:space="preserve">ESP</x:t>
        </x:is>
      </x:c>
      <x:c r="E106" s="25" t="inlineStr">
        <x:is>
          <x:t xml:space="preserve">Spain</x:t>
        </x:is>
      </x:c>
      <x:c r="F106" s="7" t="n">
        <x:v>14</x:v>
      </x:c>
      <x:c r="G106" s="7" t="n">
        <x:v>77</x:v>
      </x:c>
      <x:c r="H106" s="25" t="inlineStr">
        <x:is>
          <x:t xml:space="preserve">7-5,6-0</x:t>
        </x:is>
      </x:c>
      <x:c r="I106" s="25" t="inlineStr">
        <x:is>
          <x:t xml:space="preserve">V.E.S Williams</x:t>
        </x:is>
      </x:c>
      <x:c r="J106" s="25" t="inlineStr">
        <x:is>
          <x:t xml:space="preserve">USA</x:t>
        </x:is>
      </x:c>
      <x:c r="K106" s="25" t="inlineStr">
        <x:is>
          <x:t xml:space="preserve">United States</x:t>
        </x:is>
      </x:c>
      <x:c r="L106" s="7" t="n">
        <x:v>10</x:v>
      </x:c>
    </x:row>
    <x:row r="107">
      <x:c r="B107" s="24" t="inlineStr">
        <x:is>
          <x:t xml:space="preserve">G.Muguruza Count</x:t>
        </x:is>
      </x:c>
      <x:c r="C107" s="25" t="n">
        <x:f>SUBTOTAL(3,C106:C106)</x:f>
        <x:v>1</x:v>
      </x:c>
    </x:row>
    <x:row r="108" hidden="1">
      <x:c r="A108" t="n">
        <x:v>2001</x:v>
      </x:c>
      <x:c r="B108" s="25" t="inlineStr">
        <x:is>
          <x:t xml:space="preserve">Men's</x:t>
        </x:is>
      </x:c>
      <x:c r="C108" s="25" t="inlineStr">
        <x:is>
          <x:t xml:space="preserve">G.S. Ivanisevic</x:t>
        </x:is>
      </x:c>
      <x:c r="D108" s="25" t="inlineStr">
        <x:is>
          <x:t xml:space="preserve">CRO</x:t>
        </x:is>
      </x:c>
      <x:c r="E108" s="25" t="inlineStr">
        <x:is>
          <x:t xml:space="preserve">Croatia</x:t>
        </x:is>
      </x:c>
      <x:c r="G108" s="7" t="n">
        <x:v>182</x:v>
      </x:c>
      <x:c r="H108" s="25" t="inlineStr">
        <x:is>
          <x:t xml:space="preserve">6-3,3-6,6-3,2-6,9-7</x:t>
        </x:is>
      </x:c>
      <x:c r="I108" s="25" t="inlineStr">
        <x:is>
          <x:t xml:space="preserve">P.M. Rafter</x:t>
        </x:is>
      </x:c>
      <x:c r="J108" s="25" t="inlineStr">
        <x:is>
          <x:t xml:space="preserve">AUS</x:t>
        </x:is>
      </x:c>
      <x:c r="K108" s="25" t="inlineStr">
        <x:is>
          <x:t xml:space="preserve">Australia</x:t>
        </x:is>
      </x:c>
      <x:c r="L108" s="7" t="n">
        <x:v>3</x:v>
      </x:c>
    </x:row>
    <x:row r="109">
      <x:c r="B109" s="24" t="inlineStr">
        <x:is>
          <x:t xml:space="preserve">G.S. Ivanisevic Count</x:t>
        </x:is>
      </x:c>
      <x:c r="C109" s="25" t="n">
        <x:f>SUBTOTAL(3,C108:C108)</x:f>
        <x:v>1</x:v>
      </x:c>
    </x:row>
    <x:row r="110" hidden="1">
      <x:c r="A110" t="n">
        <x:v>1900</x:v>
      </x:c>
      <x:c r="B110" s="25" t="inlineStr">
        <x:is>
          <x:t xml:space="preserve">Women's</x:t>
        </x:is>
      </x:c>
      <x:c r="C110" s="25" t="inlineStr">
        <x:is>
          <x:t xml:space="preserve">G.W. Hillyard</x:t>
        </x:is>
      </x:c>
      <x:c r="D110" s="25" t="inlineStr">
        <x:is>
          <x:t xml:space="preserve">GBR</x:t>
        </x:is>
      </x:c>
      <x:c r="E110" s="25" t="inlineStr">
        <x:is>
          <x:t xml:space="preserve">United Kingdom</x:t>
        </x:is>
      </x:c>
      <x:c r="H110" s="25" t="inlineStr">
        <x:is>
          <x:t xml:space="preserve">4-6,6-4,6-4</x:t>
        </x:is>
      </x:c>
      <x:c r="I110" s="25" t="inlineStr">
        <x:is>
          <x:t xml:space="preserve">C.R. Cooper</x:t>
        </x:is>
      </x:c>
      <x:c r="J110" s="25" t="inlineStr">
        <x:is>
          <x:t xml:space="preserve">GBR</x:t>
        </x:is>
      </x:c>
      <x:c r="K110" s="25" t="inlineStr">
        <x:is>
          <x:t xml:space="preserve">United Kingdom</x:t>
        </x:is>
      </x:c>
    </x:row>
    <x:row r="111" hidden="1">
      <x:c r="A111" t="n">
        <x:v>1899</x:v>
      </x:c>
      <x:c r="B111" s="25" t="inlineStr">
        <x:is>
          <x:t xml:space="preserve">Women's</x:t>
        </x:is>
      </x:c>
      <x:c r="C111" s="25" t="inlineStr">
        <x:is>
          <x:t xml:space="preserve">G.W. Hillyard</x:t>
        </x:is>
      </x:c>
      <x:c r="D111" s="25" t="inlineStr">
        <x:is>
          <x:t xml:space="preserve">GBR</x:t>
        </x:is>
      </x:c>
      <x:c r="E111" s="25" t="inlineStr">
        <x:is>
          <x:t xml:space="preserve">United Kingdom</x:t>
        </x:is>
      </x:c>
      <x:c r="H111" s="25" t="inlineStr">
        <x:is>
          <x:t xml:space="preserve">6-2,6-3</x:t>
        </x:is>
      </x:c>
      <x:c r="I111" s="25" t="inlineStr">
        <x:is>
          <x:t xml:space="preserve">C.R. Cooper</x:t>
        </x:is>
      </x:c>
      <x:c r="J111" s="25" t="inlineStr">
        <x:is>
          <x:t xml:space="preserve">GBR</x:t>
        </x:is>
      </x:c>
      <x:c r="K111" s="25" t="inlineStr">
        <x:is>
          <x:t xml:space="preserve">United Kingdom</x:t>
        </x:is>
      </x:c>
    </x:row>
    <x:row r="112" hidden="1">
      <x:c r="A112" t="n">
        <x:v>1897</x:v>
      </x:c>
      <x:c r="B112" s="25" t="inlineStr">
        <x:is>
          <x:t xml:space="preserve">Women's</x:t>
        </x:is>
      </x:c>
      <x:c r="C112" s="25" t="inlineStr">
        <x:is>
          <x:t xml:space="preserve">G.W. Hillyard</x:t>
        </x:is>
      </x:c>
      <x:c r="D112" s="25" t="inlineStr">
        <x:is>
          <x:t xml:space="preserve">GBR</x:t>
        </x:is>
      </x:c>
      <x:c r="E112" s="25" t="inlineStr">
        <x:is>
          <x:t xml:space="preserve">United Kingdom</x:t>
        </x:is>
      </x:c>
      <x:c r="H112" s="25" t="inlineStr">
        <x:is>
          <x:t xml:space="preserve">5-7,7-5,6-2</x:t>
        </x:is>
      </x:c>
      <x:c r="I112" s="25" t="inlineStr">
        <x:is>
          <x:t xml:space="preserve">C.R. Cooper</x:t>
        </x:is>
      </x:c>
      <x:c r="J112" s="25" t="inlineStr">
        <x:is>
          <x:t xml:space="preserve">GBR</x:t>
        </x:is>
      </x:c>
      <x:c r="K112" s="25" t="inlineStr">
        <x:is>
          <x:t xml:space="preserve">United Kingdom</x:t>
        </x:is>
      </x:c>
    </x:row>
    <x:row r="113" hidden="1">
      <x:c r="A113" t="n">
        <x:v>1894</x:v>
      </x:c>
      <x:c r="B113" s="25" t="inlineStr">
        <x:is>
          <x:t xml:space="preserve">Women's</x:t>
        </x:is>
      </x:c>
      <x:c r="C113" s="25" t="inlineStr">
        <x:is>
          <x:t xml:space="preserve">G.W. Hillyard</x:t>
        </x:is>
      </x:c>
      <x:c r="D113" s="25" t="inlineStr">
        <x:is>
          <x:t xml:space="preserve">GBR</x:t>
        </x:is>
      </x:c>
      <x:c r="E113" s="25" t="inlineStr">
        <x:is>
          <x:t xml:space="preserve">United Kingdom</x:t>
        </x:is>
      </x:c>
      <x:c r="H113" s="25" t="inlineStr">
        <x:is>
          <x:t xml:space="preserve">6-1,6-1</x:t>
        </x:is>
      </x:c>
      <x:c r="I113" s="25" t="inlineStr">
        <x:is>
          <x:t xml:space="preserve">E.L. Austin</x:t>
        </x:is>
      </x:c>
      <x:c r="J113" s="25" t="inlineStr">
        <x:is>
          <x:t xml:space="preserve">GBR</x:t>
        </x:is>
      </x:c>
      <x:c r="K113" s="25" t="inlineStr">
        <x:is>
          <x:t xml:space="preserve">United Kingdom</x:t>
        </x:is>
      </x:c>
    </x:row>
    <x:row r="114" hidden="1">
      <x:c r="A114" t="n">
        <x:v>1889</x:v>
      </x:c>
      <x:c r="B114" s="25" t="inlineStr">
        <x:is>
          <x:t xml:space="preserve">Women's</x:t>
        </x:is>
      </x:c>
      <x:c r="C114" s="25" t="inlineStr">
        <x:is>
          <x:t xml:space="preserve">G.W. Hillyard</x:t>
        </x:is>
      </x:c>
      <x:c r="D114" s="25" t="inlineStr">
        <x:is>
          <x:t xml:space="preserve">GBR</x:t>
        </x:is>
      </x:c>
      <x:c r="E114" s="25" t="inlineStr">
        <x:is>
          <x:t xml:space="preserve">United Kingdom</x:t>
        </x:is>
      </x:c>
      <x:c r="H114" s="25" t="inlineStr">
        <x:is>
          <x:t xml:space="preserve">4-6,8-6,6-4</x:t>
        </x:is>
      </x:c>
      <x:c r="I114" s="25" t="inlineStr">
        <x:is>
          <x:t xml:space="preserve">H.G.B. Rice</x:t>
        </x:is>
      </x:c>
      <x:c r="J114" s="25" t="inlineStr">
        <x:is>
          <x:t xml:space="preserve">GBR</x:t>
        </x:is>
      </x:c>
      <x:c r="K114" s="25" t="inlineStr">
        <x:is>
          <x:t xml:space="preserve">United Kingdom</x:t>
        </x:is>
      </x:c>
    </x:row>
    <x:row r="115">
      <x:c r="B115" s="24" t="inlineStr">
        <x:is>
          <x:t xml:space="preserve">G.W. Hillyard Count</x:t>
        </x:is>
      </x:c>
      <x:c r="C115" s="25" t="n">
        <x:f>SUBTOTAL(3,C110:C114)</x:f>
        <x:v>5</x:v>
      </x:c>
    </x:row>
    <x:row r="116" hidden="1">
      <x:c r="A116" t="n">
        <x:v>1932</x:v>
      </x:c>
      <x:c r="B116" s="25" t="inlineStr">
        <x:is>
          <x:t xml:space="preserve">Men's</x:t>
        </x:is>
      </x:c>
      <x:c r="C116" s="25" t="inlineStr">
        <x:is>
          <x:t xml:space="preserve">H.E.Vines</x:t>
        </x:is>
      </x:c>
      <x:c r="D116" s="25" t="inlineStr">
        <x:is>
          <x:t xml:space="preserve">USA</x:t>
        </x:is>
      </x:c>
      <x:c r="E116" s="25" t="inlineStr">
        <x:is>
          <x:t xml:space="preserve">United States</x:t>
        </x:is>
      </x:c>
      <x:c r="F116" s="7" t="n">
        <x:v>2</x:v>
      </x:c>
      <x:c r="G116" s="7" t="n">
        <x:v>50</x:v>
      </x:c>
      <x:c r="H116" s="25" t="inlineStr">
        <x:is>
          <x:t xml:space="preserve">6-2,6-2,6-0</x:t>
        </x:is>
      </x:c>
      <x:c r="I116" s="25" t="inlineStr">
        <x:is>
          <x:t xml:space="preserve">H.W. Austin</x:t>
        </x:is>
      </x:c>
      <x:c r="J116" s="25" t="inlineStr">
        <x:is>
          <x:t xml:space="preserve">GBR</x:t>
        </x:is>
      </x:c>
      <x:c r="K116" s="25" t="inlineStr">
        <x:is>
          <x:t xml:space="preserve">United Kingdom</x:t>
        </x:is>
      </x:c>
      <x:c r="L116" s="7" t="n">
        <x:v>6</x:v>
      </x:c>
    </x:row>
    <x:row r="117">
      <x:c r="B117" s="24" t="inlineStr">
        <x:is>
          <x:t xml:space="preserve">H.E.Vines Count</x:t>
        </x:is>
      </x:c>
      <x:c r="C117" s="25" t="n">
        <x:f>SUBTOTAL(3,C116:C116)</x:f>
        <x:v>1</x:v>
      </x:c>
    </x:row>
    <x:row r="118" hidden="1">
      <x:c r="A118" t="n">
        <x:v>1887</x:v>
      </x:c>
      <x:c r="B118" s="25" t="inlineStr">
        <x:is>
          <x:t xml:space="preserve">Men's</x:t>
        </x:is>
      </x:c>
      <x:c r="C118" s="25" t="inlineStr">
        <x:is>
          <x:t xml:space="preserve">H.F. Lawford</x:t>
        </x:is>
      </x:c>
      <x:c r="D118" s="25" t="inlineStr">
        <x:is>
          <x:t xml:space="preserve">GBR</x:t>
        </x:is>
      </x:c>
      <x:c r="E118" s="25" t="inlineStr">
        <x:is>
          <x:t xml:space="preserve">United Kingdom</x:t>
        </x:is>
      </x:c>
      <x:c r="G118" s="7" t="n">
        <x:v>120</x:v>
      </x:c>
      <x:c r="H118" s="25" t="inlineStr">
        <x:is>
          <x:t xml:space="preserve">1-6,6-3,3-6,6-4,6-4</x:t>
        </x:is>
      </x:c>
      <x:c r="I118" s="25" t="inlineStr">
        <x:is>
          <x:t xml:space="preserve">J.E. Renshaw</x:t>
        </x:is>
      </x:c>
      <x:c r="J118" s="25" t="inlineStr">
        <x:is>
          <x:t xml:space="preserve">GBR</x:t>
        </x:is>
      </x:c>
      <x:c r="K118" s="25" t="inlineStr">
        <x:is>
          <x:t xml:space="preserve">United Kingdom</x:t>
        </x:is>
      </x:c>
    </x:row>
    <x:row r="119">
      <x:c r="B119" s="24" t="inlineStr">
        <x:is>
          <x:t xml:space="preserve">H.F. Lawford Count</x:t>
        </x:is>
      </x:c>
      <x:c r="C119" s="25" t="n">
        <x:f>SUBTOTAL(3,C118:C118)</x:f>
        <x:v>1</x:v>
      </x:c>
    </x:row>
    <x:row r="120" hidden="1">
      <x:c r="A120" t="n">
        <x:v>1890</x:v>
      </x:c>
      <x:c r="B120" s="25" t="inlineStr">
        <x:is>
          <x:t xml:space="preserve">Women's</x:t>
        </x:is>
      </x:c>
      <x:c r="C120" s="25" t="inlineStr">
        <x:is>
          <x:t xml:space="preserve">H.G.B. Rice</x:t>
        </x:is>
      </x:c>
      <x:c r="D120" s="25" t="inlineStr">
        <x:is>
          <x:t xml:space="preserve">GBR</x:t>
        </x:is>
      </x:c>
      <x:c r="E120" s="25" t="inlineStr">
        <x:is>
          <x:t xml:space="preserve">United Kingdom</x:t>
        </x:is>
      </x:c>
      <x:c r="H120" s="25" t="inlineStr">
        <x:is>
          <x:t xml:space="preserve">6-4,6-1</x:t>
        </x:is>
      </x:c>
      <x:c r="I120" s="25" t="inlineStr">
        <x:is>
          <x:t xml:space="preserve">M. Jacks</x:t>
        </x:is>
      </x:c>
      <x:c r="J120" s="25" t="inlineStr">
        <x:is>
          <x:t xml:space="preserve">GBR</x:t>
        </x:is>
      </x:c>
      <x:c r="K120" s="25" t="inlineStr">
        <x:is>
          <x:t xml:space="preserve">United Kingdom</x:t>
        </x:is>
      </x:c>
    </x:row>
    <x:row r="121">
      <x:c r="B121" s="24" t="inlineStr">
        <x:is>
          <x:t xml:space="preserve">H.G.B. Rice Count</x:t>
        </x:is>
      </x:c>
      <x:c r="C121" s="25" t="n">
        <x:f>SUBTOTAL(3,C120:C120)</x:f>
        <x:v>1</x:v>
      </x:c>
    </x:row>
    <x:row r="122" hidden="1">
      <x:c r="A122" t="n">
        <x:v>1936</x:v>
      </x:c>
      <x:c r="B122" s="25" t="inlineStr">
        <x:is>
          <x:t xml:space="preserve">Women's</x:t>
        </x:is>
      </x:c>
      <x:c r="C122" s="25" t="inlineStr">
        <x:is>
          <x:t xml:space="preserve">H.H. Jacobs</x:t>
        </x:is>
      </x:c>
      <x:c r="D122" s="25" t="inlineStr">
        <x:is>
          <x:t xml:space="preserve">USA</x:t>
        </x:is>
      </x:c>
      <x:c r="E122" s="25" t="inlineStr">
        <x:is>
          <x:t xml:space="preserve">United States</x:t>
        </x:is>
      </x:c>
      <x:c r="F122" s="7" t="n">
        <x:v>2</x:v>
      </x:c>
      <x:c r="G122" s="7" t="n">
        <x:v>101</x:v>
      </x:c>
      <x:c r="H122" s="25" t="inlineStr">
        <x:is>
          <x:t xml:space="preserve">6-2,4-6,7-5</x:t>
        </x:is>
      </x:c>
      <x:c r="I122" s="25" t="inlineStr">
        <x:is>
          <x:t xml:space="preserve">S. Sperling</x:t>
        </x:is>
      </x:c>
      <x:c r="J122" s="25" t="inlineStr">
        <x:is>
          <x:t xml:space="preserve">GER</x:t>
        </x:is>
      </x:c>
      <x:c r="K122" s="25" t="inlineStr">
        <x:is>
          <x:t xml:space="preserve">Germany</x:t>
        </x:is>
      </x:c>
      <x:c r="L122" s="7" t="n">
        <x:v>5</x:v>
      </x:c>
    </x:row>
    <x:row r="123">
      <x:c r="B123" s="24" t="inlineStr">
        <x:is>
          <x:t xml:space="preserve">H.H. Jacobs Count</x:t>
        </x:is>
      </x:c>
      <x:c r="C123" s="25" t="n">
        <x:f>SUBTOTAL(3,C122:C122)</x:f>
        <x:v>1</x:v>
      </x:c>
    </x:row>
    <x:row r="124" hidden="1">
      <x:c r="A124" t="n">
        <x:v>1929</x:v>
      </x:c>
      <x:c r="B124" s="25" t="inlineStr">
        <x:is>
          <x:t xml:space="preserve">Men's</x:t>
        </x:is>
      </x:c>
      <x:c r="C124" s="25" t="inlineStr">
        <x:is>
          <x:t xml:space="preserve">H.J. Cochet</x:t>
        </x:is>
      </x:c>
      <x:c r="D124" s="25" t="inlineStr">
        <x:is>
          <x:t xml:space="preserve">FRA</x:t>
        </x:is>
      </x:c>
      <x:c r="E124" s="25" t="inlineStr">
        <x:is>
          <x:t xml:space="preserve">France</x:t>
        </x:is>
      </x:c>
      <x:c r="F124" s="7" t="n">
        <x:v>1</x:v>
      </x:c>
      <x:c r="G124" s="7" t="n">
        <x:v>60</x:v>
      </x:c>
      <x:c r="H124" s="25" t="inlineStr">
        <x:is>
          <x:t xml:space="preserve">6-4,6-3,6-4</x:t>
        </x:is>
      </x:c>
      <x:c r="I124" s="25" t="inlineStr">
        <x:is>
          <x:t xml:space="preserve">J.R. Borotra</x:t>
        </x:is>
      </x:c>
      <x:c r="J124" s="25" t="inlineStr">
        <x:is>
          <x:t xml:space="preserve">FRA</x:t>
        </x:is>
      </x:c>
      <x:c r="K124" s="25" t="inlineStr">
        <x:is>
          <x:t xml:space="preserve">France</x:t>
        </x:is>
      </x:c>
      <x:c r="L124" s="7" t="n">
        <x:v>2</x:v>
      </x:c>
    </x:row>
    <x:row r="125" hidden="1">
      <x:c r="A125" t="n">
        <x:v>1927</x:v>
      </x:c>
      <x:c r="B125" s="25" t="inlineStr">
        <x:is>
          <x:t xml:space="preserve">Men's</x:t>
        </x:is>
      </x:c>
      <x:c r="C125" s="25" t="inlineStr">
        <x:is>
          <x:t xml:space="preserve">H.J. Cochet</x:t>
        </x:is>
      </x:c>
      <x:c r="D125" s="25" t="inlineStr">
        <x:is>
          <x:t xml:space="preserve">FRA</x:t>
        </x:is>
      </x:c>
      <x:c r="E125" s="25" t="inlineStr">
        <x:is>
          <x:t xml:space="preserve">France</x:t>
        </x:is>
      </x:c>
      <x:c r="F125" s="7" t="n">
        <x:v>4</x:v>
      </x:c>
      <x:c r="H125" s="25" t="inlineStr">
        <x:is>
          <x:t xml:space="preserve">4-6,4-6,6-3,6-4,7-5</x:t>
        </x:is>
      </x:c>
      <x:c r="I125" s="25" t="inlineStr">
        <x:is>
          <x:t xml:space="preserve">J.R. Borotra</x:t>
        </x:is>
      </x:c>
      <x:c r="J125" s="25" t="inlineStr">
        <x:is>
          <x:t xml:space="preserve">FRA</x:t>
        </x:is>
      </x:c>
      <x:c r="K125" s="25" t="inlineStr">
        <x:is>
          <x:t xml:space="preserve">France</x:t>
        </x:is>
      </x:c>
      <x:c r="L125" s="7" t="n">
        <x:v>3</x:v>
      </x:c>
    </x:row>
    <x:row r="126">
      <x:c r="B126" s="24" t="inlineStr">
        <x:is>
          <x:t xml:space="preserve">H.J. Cochet Count</x:t>
        </x:is>
      </x:c>
      <x:c r="C126" s="25" t="n">
        <x:f>SUBTOTAL(3,C124:C125)</x:f>
        <x:v>2</x:v>
      </x:c>
    </x:row>
    <x:row r="127" hidden="1">
      <x:c r="A127" t="n">
        <x:v>1906</x:v>
      </x:c>
      <x:c r="B127" s="25" t="inlineStr">
        <x:is>
          <x:t xml:space="preserve">Men's</x:t>
        </x:is>
      </x:c>
      <x:c r="C127" s="25" t="inlineStr">
        <x:is>
          <x:t xml:space="preserve">H.L. Doherty</x:t>
        </x:is>
      </x:c>
      <x:c r="D127" s="25" t="inlineStr">
        <x:is>
          <x:t xml:space="preserve">GBR</x:t>
        </x:is>
      </x:c>
      <x:c r="E127" s="25" t="inlineStr">
        <x:is>
          <x:t xml:space="preserve">United Kingdom</x:t>
        </x:is>
      </x:c>
      <x:c r="G127" s="7" t="n">
        <x:v>74</x:v>
      </x:c>
      <x:c r="H127" s="25" t="inlineStr">
        <x:is>
          <x:t xml:space="preserve">6-4,4-6,6-2,6-3</x:t>
        </x:is>
      </x:c>
      <x:c r="I127" s="25" t="inlineStr">
        <x:is>
          <x:t xml:space="preserve">F.L. Riseley</x:t>
        </x:is>
      </x:c>
      <x:c r="J127" s="25" t="inlineStr">
        <x:is>
          <x:t xml:space="preserve">GBR</x:t>
        </x:is>
      </x:c>
      <x:c r="K127" s="25" t="inlineStr">
        <x:is>
          <x:t xml:space="preserve">United Kingdom</x:t>
        </x:is>
      </x:c>
    </x:row>
    <x:row r="128" hidden="1">
      <x:c r="A128" t="n">
        <x:v>1905</x:v>
      </x:c>
      <x:c r="B128" s="25" t="inlineStr">
        <x:is>
          <x:t xml:space="preserve">Men's</x:t>
        </x:is>
      </x:c>
      <x:c r="C128" s="25" t="inlineStr">
        <x:is>
          <x:t xml:space="preserve">H.L. Doherty</x:t>
        </x:is>
      </x:c>
      <x:c r="D128" s="25" t="inlineStr">
        <x:is>
          <x:t xml:space="preserve">GBR</x:t>
        </x:is>
      </x:c>
      <x:c r="E128" s="25" t="inlineStr">
        <x:is>
          <x:t xml:space="preserve">United Kingdom</x:t>
        </x:is>
      </x:c>
      <x:c r="G128" s="7" t="n">
        <x:v>65</x:v>
      </x:c>
      <x:c r="H128" s="25" t="inlineStr">
        <x:is>
          <x:t xml:space="preserve">8-6,6-2,6-4</x:t>
        </x:is>
      </x:c>
      <x:c r="I128" s="25" t="inlineStr">
        <x:is>
          <x:t xml:space="preserve">N.E. Brookes</x:t>
        </x:is>
      </x:c>
      <x:c r="J128" s="25" t="inlineStr">
        <x:is>
          <x:t xml:space="preserve">AUS</x:t>
        </x:is>
      </x:c>
      <x:c r="K128" s="25" t="inlineStr">
        <x:is>
          <x:t xml:space="preserve">Australia</x:t>
        </x:is>
      </x:c>
    </x:row>
    <x:row r="129" hidden="1">
      <x:c r="A129" t="n">
        <x:v>1904</x:v>
      </x:c>
      <x:c r="B129" s="25" t="inlineStr">
        <x:is>
          <x:t xml:space="preserve">Men's</x:t>
        </x:is>
      </x:c>
      <x:c r="C129" s="25" t="inlineStr">
        <x:is>
          <x:t xml:space="preserve">H.L. Doherty</x:t>
        </x:is>
      </x:c>
      <x:c r="D129" s="25" t="inlineStr">
        <x:is>
          <x:t xml:space="preserve">GBR</x:t>
        </x:is>
      </x:c>
      <x:c r="E129" s="25" t="inlineStr">
        <x:is>
          <x:t xml:space="preserve">United Kingdom</x:t>
        </x:is>
      </x:c>
      <x:c r="H129" s="25" t="inlineStr">
        <x:is>
          <x:t xml:space="preserve">6-1,7-5,8-6</x:t>
        </x:is>
      </x:c>
      <x:c r="I129" s="25" t="inlineStr">
        <x:is>
          <x:t xml:space="preserve">F.L. Riseley</x:t>
        </x:is>
      </x:c>
      <x:c r="J129" s="25" t="inlineStr">
        <x:is>
          <x:t xml:space="preserve">GBR</x:t>
        </x:is>
      </x:c>
      <x:c r="K129" s="25" t="inlineStr">
        <x:is>
          <x:t xml:space="preserve">United Kingdom</x:t>
        </x:is>
      </x:c>
    </x:row>
    <x:row r="130" hidden="1">
      <x:c r="A130" t="n">
        <x:v>1903</x:v>
      </x:c>
      <x:c r="B130" s="25" t="inlineStr">
        <x:is>
          <x:t xml:space="preserve">Men's</x:t>
        </x:is>
      </x:c>
      <x:c r="C130" s="25" t="inlineStr">
        <x:is>
          <x:t xml:space="preserve">H.L. Doherty</x:t>
        </x:is>
      </x:c>
      <x:c r="D130" s="25" t="inlineStr">
        <x:is>
          <x:t xml:space="preserve">GBR</x:t>
        </x:is>
      </x:c>
      <x:c r="E130" s="25" t="inlineStr">
        <x:is>
          <x:t xml:space="preserve">United Kingdom</x:t>
        </x:is>
      </x:c>
      <x:c r="H130" s="25" t="inlineStr">
        <x:is>
          <x:t xml:space="preserve">7-5,6-3,6-0</x:t>
        </x:is>
      </x:c>
      <x:c r="I130" s="25" t="inlineStr">
        <x:is>
          <x:t xml:space="preserve">F.L. Riseley</x:t>
        </x:is>
      </x:c>
      <x:c r="J130" s="25" t="inlineStr">
        <x:is>
          <x:t xml:space="preserve">GBR</x:t>
        </x:is>
      </x:c>
      <x:c r="K130" s="25" t="inlineStr">
        <x:is>
          <x:t xml:space="preserve">United Kingdom</x:t>
        </x:is>
      </x:c>
    </x:row>
    <x:row r="131" hidden="1">
      <x:c r="A131" t="n">
        <x:v>1902</x:v>
      </x:c>
      <x:c r="B131" s="25" t="inlineStr">
        <x:is>
          <x:t xml:space="preserve">Men's</x:t>
        </x:is>
      </x:c>
      <x:c r="C131" s="25" t="inlineStr">
        <x:is>
          <x:t xml:space="preserve">H.L. Doherty</x:t>
        </x:is>
      </x:c>
      <x:c r="D131" s="25" t="inlineStr">
        <x:is>
          <x:t xml:space="preserve">GBR</x:t>
        </x:is>
      </x:c>
      <x:c r="E131" s="25" t="inlineStr">
        <x:is>
          <x:t xml:space="preserve">United Kingdom</x:t>
        </x:is>
      </x:c>
      <x:c r="G131" s="7" t="n">
        <x:v>84</x:v>
      </x:c>
      <x:c r="H131" s="25" t="inlineStr">
        <x:is>
          <x:t xml:space="preserve">6-4,6-3,3-6,6-0</x:t>
        </x:is>
      </x:c>
      <x:c r="I131" s="25" t="inlineStr">
        <x:is>
          <x:t xml:space="preserve">A.W. Gore</x:t>
        </x:is>
      </x:c>
      <x:c r="J131" s="25" t="inlineStr">
        <x:is>
          <x:t xml:space="preserve">GBR</x:t>
        </x:is>
      </x:c>
      <x:c r="K131" s="25" t="inlineStr">
        <x:is>
          <x:t xml:space="preserve">United Kingdom</x:t>
        </x:is>
      </x:c>
    </x:row>
    <x:row r="132">
      <x:c r="B132" s="24" t="inlineStr">
        <x:is>
          <x:t xml:space="preserve">H.L. Doherty Count</x:t>
        </x:is>
      </x:c>
      <x:c r="C132" s="25" t="n">
        <x:f>SUBTOTAL(3,C127:C131)</x:f>
        <x:v>5</x:v>
      </x:c>
    </x:row>
    <x:row r="133" hidden="1">
      <x:c r="A133" t="n">
        <x:v>1929</x:v>
      </x:c>
      <x:c r="B133" s="25" t="inlineStr">
        <x:is>
          <x:t xml:space="preserve">Women's</x:t>
        </x:is>
      </x:c>
      <x:c r="C133" s="25" t="inlineStr">
        <x:is>
          <x:t xml:space="preserve">H.N. Wills</x:t>
        </x:is>
      </x:c>
      <x:c r="D133" s="25" t="inlineStr">
        <x:is>
          <x:t xml:space="preserve">USA</x:t>
        </x:is>
      </x:c>
      <x:c r="E133" s="25" t="inlineStr">
        <x:is>
          <x:t xml:space="preserve">United States</x:t>
        </x:is>
      </x:c>
      <x:c r="F133" s="7" t="n">
        <x:v>1</x:v>
      </x:c>
      <x:c r="H133" s="25" t="inlineStr">
        <x:is>
          <x:t xml:space="preserve">6-1,6-2</x:t>
        </x:is>
      </x:c>
      <x:c r="I133" s="25" t="inlineStr">
        <x:is>
          <x:t xml:space="preserve">H.H. Jacobs</x:t>
        </x:is>
      </x:c>
      <x:c r="J133" s="25" t="inlineStr">
        <x:is>
          <x:t xml:space="preserve">USA</x:t>
        </x:is>
      </x:c>
      <x:c r="K133" s="25" t="inlineStr">
        <x:is>
          <x:t xml:space="preserve">United States</x:t>
        </x:is>
      </x:c>
      <x:c r="L133" s="7" t="n">
        <x:v>5</x:v>
      </x:c>
    </x:row>
    <x:row r="134" hidden="1">
      <x:c r="A134" t="n">
        <x:v>1928</x:v>
      </x:c>
      <x:c r="B134" s="25" t="inlineStr">
        <x:is>
          <x:t xml:space="preserve">Women's</x:t>
        </x:is>
      </x:c>
      <x:c r="C134" s="25" t="inlineStr">
        <x:is>
          <x:t xml:space="preserve">H.N. Wills</x:t>
        </x:is>
      </x:c>
      <x:c r="D134" s="25" t="inlineStr">
        <x:is>
          <x:t xml:space="preserve">USA</x:t>
        </x:is>
      </x:c>
      <x:c r="E134" s="25" t="inlineStr">
        <x:is>
          <x:t xml:space="preserve">United States</x:t>
        </x:is>
      </x:c>
      <x:c r="F134" s="7" t="n">
        <x:v>1</x:v>
      </x:c>
      <x:c r="H134" s="25" t="inlineStr">
        <x:is>
          <x:t xml:space="preserve">6-2,6-3</x:t>
        </x:is>
      </x:c>
      <x:c r="I134" s="25" t="inlineStr">
        <x:is>
          <x:t xml:space="preserve">E.M. de Alvarez</x:t>
        </x:is>
      </x:c>
      <x:c r="J134" s="25" t="inlineStr">
        <x:is>
          <x:t xml:space="preserve">ESP</x:t>
        </x:is>
      </x:c>
      <x:c r="K134" s="25" t="inlineStr">
        <x:is>
          <x:t xml:space="preserve">Spain</x:t>
        </x:is>
      </x:c>
      <x:c r="L134" s="7" t="n">
        <x:v>2</x:v>
      </x:c>
    </x:row>
    <x:row r="135" hidden="1">
      <x:c r="A135" t="n">
        <x:v>1927</x:v>
      </x:c>
      <x:c r="B135" s="25" t="inlineStr">
        <x:is>
          <x:t xml:space="preserve">Women's</x:t>
        </x:is>
      </x:c>
      <x:c r="C135" s="25" t="inlineStr">
        <x:is>
          <x:t xml:space="preserve">H.N. Wills</x:t>
        </x:is>
      </x:c>
      <x:c r="D135" s="25" t="inlineStr">
        <x:is>
          <x:t xml:space="preserve">USA</x:t>
        </x:is>
      </x:c>
      <x:c r="E135" s="25" t="inlineStr">
        <x:is>
          <x:t xml:space="preserve">United States</x:t>
        </x:is>
      </x:c>
      <x:c r="F135" s="7" t="n">
        <x:v>1</x:v>
      </x:c>
      <x:c r="H135" s="25" t="inlineStr">
        <x:is>
          <x:t xml:space="preserve">6-2,6-4</x:t>
        </x:is>
      </x:c>
      <x:c r="I135" s="25" t="inlineStr">
        <x:is>
          <x:t xml:space="preserve">E.M. de Alvarez</x:t>
        </x:is>
      </x:c>
      <x:c r="J135" s="25" t="inlineStr">
        <x:is>
          <x:t xml:space="preserve">ESP</x:t>
        </x:is>
      </x:c>
      <x:c r="K135" s="25" t="inlineStr">
        <x:is>
          <x:t xml:space="preserve">Spain</x:t>
        </x:is>
      </x:c>
      <x:c r="L135" s="7" t="n">
        <x:v>4</x:v>
      </x:c>
    </x:row>
    <x:row r="136">
      <x:c r="B136" s="24" t="inlineStr">
        <x:is>
          <x:t xml:space="preserve">H.N. Wills Count</x:t>
        </x:is>
      </x:c>
      <x:c r="C136" s="25" t="n">
        <x:f>SUBTOTAL(3,C133:C135)</x:f>
        <x:v>3</x:v>
      </x:c>
    </x:row>
    <x:row r="137" hidden="1">
      <x:c r="A137" t="n">
        <x:v>1896</x:v>
      </x:c>
      <x:c r="B137" s="25" t="inlineStr">
        <x:is>
          <x:t xml:space="preserve">Men's</x:t>
        </x:is>
      </x:c>
      <x:c r="C137" s="25" t="inlineStr">
        <x:is>
          <x:t xml:space="preserve">H.S. Mahony</x:t>
        </x:is>
      </x:c>
      <x:c r="D137" s="25" t="inlineStr">
        <x:is>
          <x:t xml:space="preserve">GBR</x:t>
        </x:is>
      </x:c>
      <x:c r="E137" s="25" t="inlineStr">
        <x:is>
          <x:t xml:space="preserve">United Kingdom</x:t>
        </x:is>
      </x:c>
      <x:c r="G137" s="7" t="n">
        <x:v>120</x:v>
      </x:c>
      <x:c r="H137" s="25" t="inlineStr">
        <x:is>
          <x:t xml:space="preserve">6-2,6-8,5-7,8-6,6-3</x:t>
        </x:is>
      </x:c>
      <x:c r="I137" s="25" t="inlineStr">
        <x:is>
          <x:t xml:space="preserve">W. Baddeley</x:t>
        </x:is>
      </x:c>
      <x:c r="J137" s="25" t="inlineStr">
        <x:is>
          <x:t xml:space="preserve">GBR</x:t>
        </x:is>
      </x:c>
      <x:c r="K137" s="25" t="inlineStr">
        <x:is>
          <x:t xml:space="preserve">United Kingdom</x:t>
        </x:is>
      </x:c>
    </x:row>
    <x:row r="138">
      <x:c r="B138" s="24" t="inlineStr">
        <x:is>
          <x:t xml:space="preserve">H.S. Mahony Count</x:t>
        </x:is>
      </x:c>
      <x:c r="C138" s="25" t="n">
        <x:f>SUBTOTAL(3,C137:C137)</x:f>
        <x:v>1</x:v>
      </x:c>
    </x:row>
    <x:row r="139" hidden="1">
      <x:c r="A139" t="n">
        <x:v>1994</x:v>
      </x:c>
      <x:c r="B139" s="25" t="inlineStr">
        <x:is>
          <x:t xml:space="preserve">Women's</x:t>
        </x:is>
      </x:c>
      <x:c r="C139" s="25" t="inlineStr">
        <x:is>
          <x:t xml:space="preserve">I.C. Martinez</x:t>
        </x:is>
      </x:c>
      <x:c r="D139" s="25" t="inlineStr">
        <x:is>
          <x:t xml:space="preserve">ESP</x:t>
        </x:is>
      </x:c>
      <x:c r="E139" s="25" t="inlineStr">
        <x:is>
          <x:t xml:space="preserve">Spain</x:t>
        </x:is>
      </x:c>
      <x:c r="F139" s="7" t="n">
        <x:v>3</x:v>
      </x:c>
      <x:c r="G139" s="7" t="n">
        <x:v>119</x:v>
      </x:c>
      <x:c r="H139" s="25" t="inlineStr">
        <x:is>
          <x:t xml:space="preserve">6-4,3-6,6-3,</x:t>
        </x:is>
      </x:c>
      <x:c r="I139" s="25" t="inlineStr">
        <x:is>
          <x:t xml:space="preserve">M. Navratilova</x:t>
        </x:is>
      </x:c>
      <x:c r="J139" s="25" t="inlineStr">
        <x:is>
          <x:t xml:space="preserve">USA</x:t>
        </x:is>
      </x:c>
      <x:c r="K139" s="25" t="inlineStr">
        <x:is>
          <x:t xml:space="preserve">United States</x:t>
        </x:is>
      </x:c>
      <x:c r="L139" s="7" t="n">
        <x:v>4</x:v>
      </x:c>
    </x:row>
    <x:row r="140">
      <x:c r="B140" s="24" t="inlineStr">
        <x:is>
          <x:t xml:space="preserve">I.C. Martinez Count</x:t>
        </x:is>
      </x:c>
      <x:c r="C140" s="25" t="n">
        <x:f>SUBTOTAL(3,C139:C139)</x:f>
        <x:v>1</x:v>
      </x:c>
    </x:row>
    <x:row r="141" hidden="1">
      <x:c r="A141" t="n">
        <x:v>1954</x:v>
      </x:c>
      <x:c r="B141" s="25" t="inlineStr">
        <x:is>
          <x:t xml:space="preserve">Men's</x:t>
        </x:is>
      </x:c>
      <x:c r="C141" s="25" t="inlineStr">
        <x:is>
          <x:t xml:space="preserve">J. Drobny</x:t>
        </x:is>
      </x:c>
      <x:c r="D141" s="25" t="inlineStr">
        <x:is>
          <x:t xml:space="preserve">CZE</x:t>
        </x:is>
      </x:c>
      <x:c r="E141" s="25" t="inlineStr">
        <x:is>
          <x:t xml:space="preserve">Czechia</x:t>
        </x:is>
      </x:c>
      <x:c r="F141" s="7" t="n">
        <x:v>11</x:v>
      </x:c>
      <x:c r="G141" s="7" t="n">
        <x:v>157</x:v>
      </x:c>
      <x:c r="H141" s="25" t="inlineStr">
        <x:is>
          <x:t xml:space="preserve">13-11,4-6,6-2,9-7</x:t>
        </x:is>
      </x:c>
      <x:c r="I141" s="25" t="inlineStr">
        <x:is>
          <x:t xml:space="preserve">K.R. Rosewall</x:t>
        </x:is>
      </x:c>
      <x:c r="J141" s="25" t="inlineStr">
        <x:is>
          <x:t xml:space="preserve">AUS</x:t>
        </x:is>
      </x:c>
      <x:c r="K141" s="25" t="inlineStr">
        <x:is>
          <x:t xml:space="preserve">Australia</x:t>
        </x:is>
      </x:c>
      <x:c r="L141" s="7" t="n">
        <x:v>3</x:v>
      </x:c>
    </x:row>
    <x:row r="142">
      <x:c r="B142" s="24" t="inlineStr">
        <x:is>
          <x:t xml:space="preserve">J. Drobny Count</x:t>
        </x:is>
      </x:c>
      <x:c r="C142" s="25" t="n">
        <x:f>SUBTOTAL(3,C141:C141)</x:f>
        <x:v>1</x:v>
      </x:c>
    </x:row>
    <x:row r="143" hidden="1">
      <x:c r="A143" t="n">
        <x:v>1973</x:v>
      </x:c>
      <x:c r="B143" s="25" t="inlineStr">
        <x:is>
          <x:t xml:space="preserve">Men's</x:t>
        </x:is>
      </x:c>
      <x:c r="C143" s="25" t="inlineStr">
        <x:is>
          <x:t xml:space="preserve">J. Kodes</x:t>
        </x:is>
      </x:c>
      <x:c r="D143" s="25" t="inlineStr">
        <x:is>
          <x:t xml:space="preserve">CZE</x:t>
        </x:is>
      </x:c>
      <x:c r="E143" s="25" t="inlineStr">
        <x:is>
          <x:t xml:space="preserve">Czechia</x:t>
        </x:is>
      </x:c>
      <x:c r="F143" s="7" t="n">
        <x:v>2</x:v>
      </x:c>
      <x:c r="G143" s="7" t="n">
        <x:v>110</x:v>
      </x:c>
      <x:c r="H143" s="25" t="inlineStr">
        <x:is>
          <x:t xml:space="preserve">6-1,9-8(7-5),6-3</x:t>
        </x:is>
      </x:c>
      <x:c r="I143" s="25" t="inlineStr">
        <x:is>
          <x:t xml:space="preserve">A. Metreveli</x:t>
        </x:is>
      </x:c>
      <x:c r="J143" s="25" t="inlineStr">
        <x:is>
          <x:t xml:space="preserve">URS</x:t>
        </x:is>
      </x:c>
      <x:c r="K143" s="25" t="inlineStr">
        <x:is>
          <x:t xml:space="preserve">Soviet Union</x:t>
        </x:is>
      </x:c>
      <x:c r="L143" s="7" t="n">
        <x:v>4</x:v>
      </x:c>
    </x:row>
    <x:row r="144">
      <x:c r="B144" s="24" t="inlineStr">
        <x:is>
          <x:t xml:space="preserve">J. Kodes Count</x:t>
        </x:is>
      </x:c>
      <x:c r="C144" s="25" t="n">
        <x:f>SUBTOTAL(3,C143:C143)</x:f>
        <x:v>1</x:v>
      </x:c>
    </x:row>
    <x:row r="145" hidden="1">
      <x:c r="A145" t="n">
        <x:v>1998</x:v>
      </x:c>
      <x:c r="B145" s="25" t="inlineStr">
        <x:is>
          <x:t xml:space="preserve">Women's</x:t>
        </x:is>
      </x:c>
      <x:c r="C145" s="25" t="inlineStr">
        <x:is>
          <x:t xml:space="preserve">J. Novotna</x:t>
        </x:is>
      </x:c>
      <x:c r="D145" s="25" t="inlineStr">
        <x:is>
          <x:t xml:space="preserve">CZE</x:t>
        </x:is>
      </x:c>
      <x:c r="E145" s="25" t="inlineStr">
        <x:is>
          <x:t xml:space="preserve">Czechia</x:t>
        </x:is>
      </x:c>
      <x:c r="F145" s="7" t="n">
        <x:v>3</x:v>
      </x:c>
      <x:c r="G145" s="7" t="n">
        <x:v>94</x:v>
      </x:c>
      <x:c r="H145" s="25" t="inlineStr">
        <x:is>
          <x:t xml:space="preserve">6-4,7-6(7-2)</x:t>
        </x:is>
      </x:c>
      <x:c r="I145" s="25" t="inlineStr">
        <x:is>
          <x:t xml:space="preserve">N. Tauziat</x:t>
        </x:is>
      </x:c>
      <x:c r="J145" s="25" t="inlineStr">
        <x:is>
          <x:t xml:space="preserve">FRA</x:t>
        </x:is>
      </x:c>
      <x:c r="K145" s="25" t="inlineStr">
        <x:is>
          <x:t xml:space="preserve">France</x:t>
        </x:is>
      </x:c>
      <x:c r="L145" s="7" t="n">
        <x:v>16</x:v>
      </x:c>
    </x:row>
    <x:row r="146">
      <x:c r="B146" s="24" t="inlineStr">
        <x:is>
          <x:t xml:space="preserve">J. Novotna Count</x:t>
        </x:is>
      </x:c>
      <x:c r="C146" s="25" t="n">
        <x:f>SUBTOTAL(3,C145:C145)</x:f>
        <x:v>1</x:v>
      </x:c>
    </x:row>
    <x:row r="147" hidden="1">
      <x:c r="A147" t="n">
        <x:v>1894</x:v>
      </x:c>
      <x:c r="B147" s="25" t="inlineStr">
        <x:is>
          <x:t xml:space="preserve">Men's</x:t>
        </x:is>
      </x:c>
      <x:c r="C147" s="25" t="inlineStr">
        <x:is>
          <x:t xml:space="preserve">J. Pim</x:t>
        </x:is>
      </x:c>
      <x:c r="D147" s="25" t="inlineStr">
        <x:is>
          <x:t xml:space="preserve">GBR</x:t>
        </x:is>
      </x:c>
      <x:c r="E147" s="25" t="inlineStr">
        <x:is>
          <x:t xml:space="preserve">United Kingdom</x:t>
        </x:is>
      </x:c>
      <x:c r="G147" s="7" t="n">
        <x:v>117</x:v>
      </x:c>
      <x:c r="H147" s="25" t="inlineStr">
        <x:is>
          <x:t xml:space="preserve">10-8,6-2,8-6</x:t>
        </x:is>
      </x:c>
      <x:c r="I147" s="25" t="inlineStr">
        <x:is>
          <x:t xml:space="preserve">W. Baddeley</x:t>
        </x:is>
      </x:c>
      <x:c r="J147" s="25" t="inlineStr">
        <x:is>
          <x:t xml:space="preserve">GBR</x:t>
        </x:is>
      </x:c>
      <x:c r="K147" s="25" t="inlineStr">
        <x:is>
          <x:t xml:space="preserve">United Kingdom</x:t>
        </x:is>
      </x:c>
    </x:row>
    <x:row r="148" hidden="1">
      <x:c r="A148" t="n">
        <x:v>1893</x:v>
      </x:c>
      <x:c r="B148" s="25" t="inlineStr">
        <x:is>
          <x:t xml:space="preserve">Men's</x:t>
        </x:is>
      </x:c>
      <x:c r="C148" s="25" t="inlineStr">
        <x:is>
          <x:t xml:space="preserve">J. Pim</x:t>
        </x:is>
      </x:c>
      <x:c r="D148" s="25" t="inlineStr">
        <x:is>
          <x:t xml:space="preserve">GBR</x:t>
        </x:is>
      </x:c>
      <x:c r="E148" s="25" t="inlineStr">
        <x:is>
          <x:t xml:space="preserve">United Kingdom</x:t>
        </x:is>
      </x:c>
      <x:c r="G148" s="7" t="n">
        <x:v>65</x:v>
      </x:c>
      <x:c r="H148" s="25" t="inlineStr">
        <x:is>
          <x:t xml:space="preserve">3-6,6-1,6-3,6-2</x:t>
        </x:is>
      </x:c>
      <x:c r="I148" s="25" t="inlineStr">
        <x:is>
          <x:t xml:space="preserve">W. Baddeley</x:t>
        </x:is>
      </x:c>
      <x:c r="J148" s="25" t="inlineStr">
        <x:is>
          <x:t xml:space="preserve">GBR</x:t>
        </x:is>
      </x:c>
      <x:c r="K148" s="25" t="inlineStr">
        <x:is>
          <x:t xml:space="preserve">United Kingdom</x:t>
        </x:is>
      </x:c>
    </x:row>
    <x:row r="149">
      <x:c r="B149" s="24" t="inlineStr">
        <x:is>
          <x:t xml:space="preserve">J. Pim Count</x:t>
        </x:is>
      </x:c>
      <x:c r="C149" s="25" t="n">
        <x:f>SUBTOTAL(3,C147:C148)</x:f>
        <x:v>2</x:v>
      </x:c>
    </x:row>
    <x:row r="150" hidden="1">
      <x:c r="A150" t="n">
        <x:v>1947</x:v>
      </x:c>
      <x:c r="B150" s="25" t="inlineStr">
        <x:is>
          <x:t xml:space="preserve">Men's</x:t>
        </x:is>
      </x:c>
      <x:c r="C150" s="25" t="inlineStr">
        <x:is>
          <x:t xml:space="preserve">J.A. Kramer</x:t>
        </x:is>
      </x:c>
      <x:c r="D150" s="25" t="inlineStr">
        <x:is>
          <x:t xml:space="preserve">USA</x:t>
        </x:is>
      </x:c>
      <x:c r="E150" s="25" t="inlineStr">
        <x:is>
          <x:t xml:space="preserve">United States</x:t>
        </x:is>
      </x:c>
      <x:c r="F150" s="7" t="n">
        <x:v>1</x:v>
      </x:c>
      <x:c r="G150" s="7" t="n">
        <x:v>45</x:v>
      </x:c>
      <x:c r="H150" s="25" t="inlineStr">
        <x:is>
          <x:t xml:space="preserve">6-1,6-3,6-2</x:t>
        </x:is>
      </x:c>
      <x:c r="I150" s="25" t="inlineStr">
        <x:is>
          <x:t xml:space="preserve">T.P. Brown</x:t>
        </x:is>
      </x:c>
      <x:c r="J150" s="25" t="inlineStr">
        <x:is>
          <x:t xml:space="preserve">USA</x:t>
        </x:is>
      </x:c>
      <x:c r="K150" s="25" t="inlineStr">
        <x:is>
          <x:t xml:space="preserve">United States</x:t>
        </x:is>
      </x:c>
      <x:c r="L150" s="7" t="n">
        <x:v>3</x:v>
      </x:c>
    </x:row>
    <x:row r="151">
      <x:c r="B151" s="24" t="inlineStr">
        <x:is>
          <x:t xml:space="preserve">J.A. Kramer Count</x:t>
        </x:is>
      </x:c>
      <x:c r="C151" s="25" t="n">
        <x:f>SUBTOTAL(3,C150:C150)</x:f>
        <x:v>1</x:v>
      </x:c>
    </x:row>
    <x:row r="152" hidden="1">
      <x:c r="A152" t="n">
        <x:v>1938</x:v>
      </x:c>
      <x:c r="B152" s="25" t="inlineStr">
        <x:is>
          <x:t xml:space="preserve">Men's</x:t>
        </x:is>
      </x:c>
      <x:c r="C152" s="25" t="inlineStr">
        <x:is>
          <x:t xml:space="preserve">J.D. Budge</x:t>
        </x:is>
      </x:c>
      <x:c r="D152" s="25" t="inlineStr">
        <x:is>
          <x:t xml:space="preserve">USA</x:t>
        </x:is>
      </x:c>
      <x:c r="E152" s="25" t="inlineStr">
        <x:is>
          <x:t xml:space="preserve">United States</x:t>
        </x:is>
      </x:c>
      <x:c r="F152" s="7" t="n">
        <x:v>1</x:v>
      </x:c>
      <x:c r="G152" s="7" t="n">
        <x:v>59</x:v>
      </x:c>
      <x:c r="H152" s="25" t="inlineStr">
        <x:is>
          <x:t xml:space="preserve">6-1,6-0,6-3</x:t>
        </x:is>
      </x:c>
      <x:c r="I152" s="25" t="inlineStr">
        <x:is>
          <x:t xml:space="preserve">H.W. Austin</x:t>
        </x:is>
      </x:c>
      <x:c r="J152" s="25" t="inlineStr">
        <x:is>
          <x:t xml:space="preserve">GBR</x:t>
        </x:is>
      </x:c>
      <x:c r="K152" s="25" t="inlineStr">
        <x:is>
          <x:t xml:space="preserve">United Kingdom</x:t>
        </x:is>
      </x:c>
      <x:c r="L152" s="7" t="n">
        <x:v>2</x:v>
      </x:c>
    </x:row>
    <x:row r="153" hidden="1">
      <x:c r="A153" t="n">
        <x:v>1937</x:v>
      </x:c>
      <x:c r="B153" s="25" t="inlineStr">
        <x:is>
          <x:t xml:space="preserve">Men's</x:t>
        </x:is>
      </x:c>
      <x:c r="C153" s="25" t="inlineStr">
        <x:is>
          <x:t xml:space="preserve">J.D. Budge</x:t>
        </x:is>
      </x:c>
      <x:c r="D153" s="25" t="inlineStr">
        <x:is>
          <x:t xml:space="preserve">USA</x:t>
        </x:is>
      </x:c>
      <x:c r="E153" s="25" t="inlineStr">
        <x:is>
          <x:t xml:space="preserve">United States</x:t>
        </x:is>
      </x:c>
      <x:c r="F153" s="7" t="n">
        <x:v>1</x:v>
      </x:c>
      <x:c r="G153" s="7" t="n">
        <x:v>65</x:v>
      </x:c>
      <x:c r="H153" s="25" t="inlineStr">
        <x:is>
          <x:t xml:space="preserve">6-3,6-4,6-2</x:t>
        </x:is>
      </x:c>
      <x:c r="I153" s="25" t="inlineStr">
        <x:is>
          <x:t xml:space="preserve">G. von Cramm</x:t>
        </x:is>
      </x:c>
      <x:c r="J153" s="25" t="inlineStr">
        <x:is>
          <x:t xml:space="preserve">GER</x:t>
        </x:is>
      </x:c>
      <x:c r="K153" s="25" t="inlineStr">
        <x:is>
          <x:t xml:space="preserve">Germany</x:t>
        </x:is>
      </x:c>
      <x:c r="L153" s="7" t="n">
        <x:v>2</x:v>
      </x:c>
    </x:row>
    <x:row r="154">
      <x:c r="B154" s="24" t="inlineStr">
        <x:is>
          <x:t xml:space="preserve">J.D. Budge Count</x:t>
        </x:is>
      </x:c>
      <x:c r="C154" s="25" t="n">
        <x:f>SUBTOTAL(3,C152:C153)</x:f>
        <x:v>2</x:v>
      </x:c>
    </x:row>
    <x:row r="155" hidden="1">
      <x:c r="A155" t="n">
        <x:v>1971</x:v>
      </x:c>
      <x:c r="B155" s="25" t="inlineStr">
        <x:is>
          <x:t xml:space="preserve">Men's</x:t>
        </x:is>
      </x:c>
      <x:c r="C155" s="25" t="inlineStr">
        <x:is>
          <x:t xml:space="preserve">J.D. Newcombe</x:t>
        </x:is>
      </x:c>
      <x:c r="D155" s="25" t="inlineStr">
        <x:is>
          <x:t xml:space="preserve">AUS</x:t>
        </x:is>
      </x:c>
      <x:c r="E155" s="25" t="inlineStr">
        <x:is>
          <x:t xml:space="preserve">Australia</x:t>
        </x:is>
      </x:c>
      <x:c r="F155" s="7" t="n">
        <x:v>2</x:v>
      </x:c>
      <x:c r="G155" s="7" t="n">
        <x:v>170</x:v>
      </x:c>
      <x:c r="H155" s="25" t="inlineStr">
        <x:is>
          <x:t xml:space="preserve">6-3,5-7,2-6,6-4,6-4</x:t>
        </x:is>
      </x:c>
      <x:c r="I155" s="25" t="inlineStr">
        <x:is>
          <x:t xml:space="preserve">S.R. Smith</x:t>
        </x:is>
      </x:c>
      <x:c r="J155" s="25" t="inlineStr">
        <x:is>
          <x:t xml:space="preserve">USA</x:t>
        </x:is>
      </x:c>
      <x:c r="K155" s="25" t="inlineStr">
        <x:is>
          <x:t xml:space="preserve">United States</x:t>
        </x:is>
      </x:c>
      <x:c r="L155" s="7" t="n">
        <x:v>4</x:v>
      </x:c>
    </x:row>
    <x:row r="156" hidden="1">
      <x:c r="A156" t="n">
        <x:v>1970</x:v>
      </x:c>
      <x:c r="B156" s="25" t="inlineStr">
        <x:is>
          <x:t xml:space="preserve">Men's</x:t>
        </x:is>
      </x:c>
      <x:c r="C156" s="25" t="inlineStr">
        <x:is>
          <x:t xml:space="preserve">J.D. Newcombe</x:t>
        </x:is>
      </x:c>
      <x:c r="D156" s="25" t="inlineStr">
        <x:is>
          <x:t xml:space="preserve">AUS</x:t>
        </x:is>
      </x:c>
      <x:c r="E156" s="25" t="inlineStr">
        <x:is>
          <x:t xml:space="preserve">Australia</x:t>
        </x:is>
      </x:c>
      <x:c r="F156" s="7" t="n">
        <x:v>2</x:v>
      </x:c>
      <x:c r="G156" s="7" t="n">
        <x:v>163</x:v>
      </x:c>
      <x:c r="H156" s="25" t="inlineStr">
        <x:is>
          <x:t xml:space="preserve">5-7,6-3,6-2,3-6,6-1</x:t>
        </x:is>
      </x:c>
      <x:c r="I156" s="25" t="inlineStr">
        <x:is>
          <x:t xml:space="preserve">K.R. Rosewall</x:t>
        </x:is>
      </x:c>
      <x:c r="J156" s="25" t="inlineStr">
        <x:is>
          <x:t xml:space="preserve">AUS</x:t>
        </x:is>
      </x:c>
      <x:c r="K156" s="25" t="inlineStr">
        <x:is>
          <x:t xml:space="preserve">Australia</x:t>
        </x:is>
      </x:c>
      <x:c r="L156" s="7" t="n">
        <x:v>5</x:v>
      </x:c>
    </x:row>
    <x:row r="157" hidden="1">
      <x:c r="A157" t="n">
        <x:v>1967</x:v>
      </x:c>
      <x:c r="B157" s="25" t="inlineStr">
        <x:is>
          <x:t xml:space="preserve">Men's</x:t>
        </x:is>
      </x:c>
      <x:c r="C157" s="25" t="inlineStr">
        <x:is>
          <x:t xml:space="preserve">J.D. Newcombe</x:t>
        </x:is>
      </x:c>
      <x:c r="D157" s="25" t="inlineStr">
        <x:is>
          <x:t xml:space="preserve">AUS</x:t>
        </x:is>
      </x:c>
      <x:c r="E157" s="25" t="inlineStr">
        <x:is>
          <x:t xml:space="preserve">Australia</x:t>
        </x:is>
      </x:c>
      <x:c r="F157" s="7" t="n">
        <x:v>3</x:v>
      </x:c>
      <x:c r="G157" s="7" t="n">
        <x:v>71</x:v>
      </x:c>
      <x:c r="H157" s="25" t="inlineStr">
        <x:is>
          <x:t xml:space="preserve">6-3,6-1,6-1</x:t>
        </x:is>
      </x:c>
      <x:c r="I157" s="25" t="inlineStr">
        <x:is>
          <x:t xml:space="preserve">W.P. Bungert</x:t>
        </x:is>
      </x:c>
      <x:c r="J157" s="25" t="inlineStr">
        <x:is>
          <x:t xml:space="preserve">GER</x:t>
        </x:is>
      </x:c>
      <x:c r="K157" s="25" t="inlineStr">
        <x:is>
          <x:t xml:space="preserve">Germany</x:t>
        </x:is>
      </x:c>
      <x:c r="L157" s="7" t="inlineStr">
        <x:is>
          <x:t xml:space="preserve">U</x:t>
        </x:is>
      </x:c>
    </x:row>
    <x:row r="158">
      <x:c r="B158" s="24" t="inlineStr">
        <x:is>
          <x:t xml:space="preserve">J.D. Newcombe Count</x:t>
        </x:is>
      </x:c>
      <x:c r="C158" s="25" t="n">
        <x:f>SUBTOTAL(3,C155:C157)</x:f>
        <x:v>3</x:v>
      </x:c>
    </x:row>
    <x:row r="159" hidden="1">
      <x:c r="A159" t="n">
        <x:v>1950</x:v>
      </x:c>
      <x:c r="B159" s="25" t="inlineStr">
        <x:is>
          <x:t xml:space="preserve">Men's</x:t>
        </x:is>
      </x:c>
      <x:c r="C159" s="25" t="inlineStr">
        <x:is>
          <x:t xml:space="preserve">J.E. Patty</x:t>
        </x:is>
      </x:c>
      <x:c r="D159" s="25" t="inlineStr">
        <x:is>
          <x:t xml:space="preserve">USA</x:t>
        </x:is>
      </x:c>
      <x:c r="E159" s="25" t="inlineStr">
        <x:is>
          <x:t xml:space="preserve">United States</x:t>
        </x:is>
      </x:c>
      <x:c r="F159" s="7" t="n">
        <x:v>5</x:v>
      </x:c>
      <x:c r="G159" s="7" t="n">
        <x:v>120</x:v>
      </x:c>
      <x:c r="H159" s="25" t="inlineStr">
        <x:is>
          <x:t xml:space="preserve">6-1,8-10,6-2,6-3</x:t>
        </x:is>
      </x:c>
      <x:c r="I159" s="25" t="inlineStr">
        <x:is>
          <x:t xml:space="preserve">F.A. Sedgman</x:t>
        </x:is>
      </x:c>
      <x:c r="J159" s="25" t="inlineStr">
        <x:is>
          <x:t xml:space="preserve">AUS</x:t>
        </x:is>
      </x:c>
      <x:c r="K159" s="25" t="inlineStr">
        <x:is>
          <x:t xml:space="preserve">Australia</x:t>
        </x:is>
      </x:c>
      <x:c r="L159" s="7" t="n">
        <x:v>1</x:v>
      </x:c>
    </x:row>
    <x:row r="160">
      <x:c r="B160" s="24" t="inlineStr">
        <x:is>
          <x:t xml:space="preserve">J.E. Patty Count</x:t>
        </x:is>
      </x:c>
      <x:c r="C160" s="25" t="n">
        <x:f>SUBTOTAL(3,C159:C159)</x:f>
        <x:v>1</x:v>
      </x:c>
    </x:row>
    <x:row r="161" hidden="1">
      <x:c r="A161" t="n">
        <x:v>1888</x:v>
      </x:c>
      <x:c r="B161" s="25" t="inlineStr">
        <x:is>
          <x:t xml:space="preserve">Men's</x:t>
        </x:is>
      </x:c>
      <x:c r="C161" s="25" t="inlineStr">
        <x:is>
          <x:t xml:space="preserve">J.E. Renshaw</x:t>
        </x:is>
      </x:c>
      <x:c r="D161" s="25" t="inlineStr">
        <x:is>
          <x:t xml:space="preserve">GBR</x:t>
        </x:is>
      </x:c>
      <x:c r="E161" s="25" t="inlineStr">
        <x:is>
          <x:t xml:space="preserve">United Kingdom</x:t>
        </x:is>
      </x:c>
      <x:c r="G161" s="7" t="n">
        <x:v>51</x:v>
      </x:c>
      <x:c r="H161" s="25" t="inlineStr">
        <x:is>
          <x:t xml:space="preserve">6-3,7-5,6-0</x:t>
        </x:is>
      </x:c>
      <x:c r="I161" s="25" t="inlineStr">
        <x:is>
          <x:t xml:space="preserve">H.F. Lawford</x:t>
        </x:is>
      </x:c>
      <x:c r="J161" s="25" t="inlineStr">
        <x:is>
          <x:t xml:space="preserve">GBR</x:t>
        </x:is>
      </x:c>
      <x:c r="K161" s="25" t="inlineStr">
        <x:is>
          <x:t xml:space="preserve">United Kingdom</x:t>
        </x:is>
      </x:c>
    </x:row>
    <x:row r="162">
      <x:c r="B162" s="24" t="inlineStr">
        <x:is>
          <x:t xml:space="preserve">J.E. Renshaw Count</x:t>
        </x:is>
      </x:c>
      <x:c r="C162" s="25" t="n">
        <x:f>SUBTOTAL(3,C161:C161)</x:f>
        <x:v>1</x:v>
      </x:c>
    </x:row>
    <x:row r="163" hidden="1">
      <x:c r="A163" t="n">
        <x:v>1933</x:v>
      </x:c>
      <x:c r="B163" s="25" t="inlineStr">
        <x:is>
          <x:t xml:space="preserve">Men's</x:t>
        </x:is>
      </x:c>
      <x:c r="C163" s="25" t="inlineStr">
        <x:is>
          <x:t xml:space="preserve">J.H. Crawford</x:t>
        </x:is>
      </x:c>
      <x:c r="D163" s="25" t="inlineStr">
        <x:is>
          <x:t xml:space="preserve">AUS</x:t>
        </x:is>
      </x:c>
      <x:c r="E163" s="25" t="inlineStr">
        <x:is>
          <x:t xml:space="preserve">Australia</x:t>
        </x:is>
      </x:c>
      <x:c r="F163" s="7" t="n">
        <x:v>2</x:v>
      </x:c>
      <x:c r="G163" s="7" t="n">
        <x:v>120</x:v>
      </x:c>
      <x:c r="H163" s="25" t="inlineStr">
        <x:is>
          <x:t xml:space="preserve">4-6,11-9,6-2,2-6,6-4</x:t>
        </x:is>
      </x:c>
      <x:c r="I163" s="25" t="inlineStr">
        <x:is>
          <x:t xml:space="preserve">H.E. Vines</x:t>
        </x:is>
      </x:c>
      <x:c r="J163" s="25" t="inlineStr">
        <x:is>
          <x:t xml:space="preserve">USA</x:t>
        </x:is>
      </x:c>
      <x:c r="K163" s="25" t="inlineStr">
        <x:is>
          <x:t xml:space="preserve">United States</x:t>
        </x:is>
      </x:c>
      <x:c r="L163" s="7" t="n">
        <x:v>1</x:v>
      </x:c>
    </x:row>
    <x:row r="164">
      <x:c r="B164" s="24" t="inlineStr">
        <x:is>
          <x:t xml:space="preserve">J.H. Crawford Count</x:t>
        </x:is>
      </x:c>
      <x:c r="C164" s="25" t="n">
        <x:f>SUBTOTAL(3,C163:C163)</x:f>
        <x:v>1</x:v>
      </x:c>
    </x:row>
    <x:row r="165" hidden="1">
      <x:c r="A165" t="n">
        <x:v>1981</x:v>
      </x:c>
      <x:c r="B165" s="25" t="inlineStr">
        <x:is>
          <x:t xml:space="preserve">Women's</x:t>
        </x:is>
      </x:c>
      <x:c r="C165" s="25" t="inlineStr">
        <x:is>
          <x:t xml:space="preserve">J.M. Lloyd</x:t>
        </x:is>
      </x:c>
      <x:c r="D165" s="25" t="inlineStr">
        <x:is>
          <x:t xml:space="preserve">USA</x:t>
        </x:is>
      </x:c>
      <x:c r="E165" s="25" t="inlineStr">
        <x:is>
          <x:t xml:space="preserve">United States</x:t>
        </x:is>
      </x:c>
      <x:c r="F165" s="7" t="n">
        <x:v>1</x:v>
      </x:c>
      <x:c r="G165" s="7" t="n">
        <x:v>60</x:v>
      </x:c>
      <x:c r="H165" s="25" t="inlineStr">
        <x:is>
          <x:t xml:space="preserve">6-2,6-2,</x:t>
        </x:is>
      </x:c>
      <x:c r="I165" s="25" t="inlineStr">
        <x:is>
          <x:t xml:space="preserve">H. Mandlikova</x:t>
        </x:is>
      </x:c>
      <x:c r="J165" s="25" t="inlineStr">
        <x:is>
          <x:t xml:space="preserve">TCH</x:t>
        </x:is>
      </x:c>
      <x:c r="K165" s="25" t="inlineStr">
        <x:is>
          <x:t xml:space="preserve">Czechoslovakia</x:t>
        </x:is>
      </x:c>
      <x:c r="L165" s="7" t="n">
        <x:v>2</x:v>
      </x:c>
    </x:row>
    <x:row r="166">
      <x:c r="B166" s="24" t="inlineStr">
        <x:is>
          <x:t xml:space="preserve">J.M. Lloyd Count</x:t>
        </x:is>
      </x:c>
      <x:c r="C166" s="25" t="n">
        <x:f>SUBTOTAL(3,C165:C165)</x:f>
        <x:v>1</x:v>
      </x:c>
    </x:row>
    <x:row r="167" hidden="1">
      <x:c r="A167" t="n">
        <x:v>1984</x:v>
      </x:c>
      <x:c r="B167" s="25" t="inlineStr">
        <x:is>
          <x:t xml:space="preserve">Men's</x:t>
        </x:is>
      </x:c>
      <x:c r="C167" s="25" t="inlineStr">
        <x:is>
          <x:t xml:space="preserve">J.P. McEnroe</x:t>
        </x:is>
      </x:c>
      <x:c r="D167" s="25" t="inlineStr">
        <x:is>
          <x:t xml:space="preserve">USA</x:t>
        </x:is>
      </x:c>
      <x:c r="E167" s="25" t="inlineStr">
        <x:is>
          <x:t xml:space="preserve">United States</x:t>
        </x:is>
      </x:c>
      <x:c r="F167" s="7" t="n">
        <x:v>1</x:v>
      </x:c>
      <x:c r="G167" s="7" t="n">
        <x:v>80</x:v>
      </x:c>
      <x:c r="H167" s="25" t="inlineStr">
        <x:is>
          <x:t xml:space="preserve">6-1,6-1,6-2</x:t>
        </x:is>
      </x:c>
      <x:c r="I167" s="25" t="inlineStr">
        <x:is>
          <x:t xml:space="preserve">J.S. Connors</x:t>
        </x:is>
      </x:c>
      <x:c r="J167" s="25" t="inlineStr">
        <x:is>
          <x:t xml:space="preserve">USA</x:t>
        </x:is>
      </x:c>
      <x:c r="K167" s="25" t="inlineStr">
        <x:is>
          <x:t xml:space="preserve">United States</x:t>
        </x:is>
      </x:c>
      <x:c r="L167" s="7" t="n">
        <x:v>3</x:v>
      </x:c>
    </x:row>
    <x:row r="168" hidden="1">
      <x:c r="A168" t="n">
        <x:v>1983</x:v>
      </x:c>
      <x:c r="B168" s="25" t="inlineStr">
        <x:is>
          <x:t xml:space="preserve">Men's</x:t>
        </x:is>
      </x:c>
      <x:c r="C168" s="25" t="inlineStr">
        <x:is>
          <x:t xml:space="preserve">J.P. McEnroe</x:t>
        </x:is>
      </x:c>
      <x:c r="D168" s="25" t="inlineStr">
        <x:is>
          <x:t xml:space="preserve">USA</x:t>
        </x:is>
      </x:c>
      <x:c r="E168" s="25" t="inlineStr">
        <x:is>
          <x:t xml:space="preserve">United States</x:t>
        </x:is>
      </x:c>
      <x:c r="F168" s="7" t="n">
        <x:v>2</x:v>
      </x:c>
      <x:c r="G168" s="7" t="n">
        <x:v>85</x:v>
      </x:c>
      <x:c r="H168" s="25" t="inlineStr">
        <x:is>
          <x:t xml:space="preserve">6-2,6-2,6-2</x:t>
        </x:is>
      </x:c>
      <x:c r="I168" s="25" t="inlineStr">
        <x:is>
          <x:t xml:space="preserve">C.J. Lewis</x:t>
        </x:is>
      </x:c>
      <x:c r="J168" s="25" t="inlineStr">
        <x:is>
          <x:t xml:space="preserve">NZL</x:t>
        </x:is>
      </x:c>
      <x:c r="K168" s="25" t="inlineStr">
        <x:is>
          <x:t xml:space="preserve">New Zealand</x:t>
        </x:is>
      </x:c>
      <x:c r="L168" s="7" t="inlineStr">
        <x:is>
          <x:t xml:space="preserve">U</x:t>
        </x:is>
      </x:c>
    </x:row>
    <x:row r="169" hidden="1">
      <x:c r="A169" t="n">
        <x:v>1981</x:v>
      </x:c>
      <x:c r="B169" s="25" t="inlineStr">
        <x:is>
          <x:t xml:space="preserve">Men's</x:t>
        </x:is>
      </x:c>
      <x:c r="C169" s="25" t="inlineStr">
        <x:is>
          <x:t xml:space="preserve">J.P. McEnroe</x:t>
        </x:is>
      </x:c>
      <x:c r="D169" s="25" t="inlineStr">
        <x:is>
          <x:t xml:space="preserve">USA</x:t>
        </x:is>
      </x:c>
      <x:c r="E169" s="25" t="inlineStr">
        <x:is>
          <x:t xml:space="preserve">United States</x:t>
        </x:is>
      </x:c>
      <x:c r="F169" s="7" t="n">
        <x:v>2</x:v>
      </x:c>
      <x:c r="G169" s="7" t="n">
        <x:v>202</x:v>
      </x:c>
      <x:c r="H169" s="25" t="inlineStr">
        <x:is>
          <x:t xml:space="preserve">4-6,7-6(7-1),7-6(7-4),6-4</x:t>
        </x:is>
      </x:c>
      <x:c r="I169" s="25" t="inlineStr">
        <x:is>
          <x:t xml:space="preserve">B.R. Borg</x:t>
        </x:is>
      </x:c>
      <x:c r="J169" s="25" t="inlineStr">
        <x:is>
          <x:t xml:space="preserve">SWE</x:t>
        </x:is>
      </x:c>
      <x:c r="K169" s="25" t="inlineStr">
        <x:is>
          <x:t xml:space="preserve">SweDenmark</x:t>
        </x:is>
      </x:c>
      <x:c r="L169" s="7" t="n">
        <x:v>1</x:v>
      </x:c>
    </x:row>
    <x:row r="170">
      <x:c r="B170" s="24" t="inlineStr">
        <x:is>
          <x:t xml:space="preserve">J.P. McEnroe Count</x:t>
        </x:is>
      </x:c>
      <x:c r="C170" s="25" t="n">
        <x:f>SUBTOTAL(3,C167:C169)</x:f>
        <x:v>3</x:v>
      </x:c>
    </x:row>
    <x:row r="171" hidden="1">
      <x:c r="A171" t="n">
        <x:v>1926</x:v>
      </x:c>
      <x:c r="B171" s="25" t="inlineStr">
        <x:is>
          <x:t xml:space="preserve">Men's</x:t>
        </x:is>
      </x:c>
      <x:c r="C171" s="25" t="inlineStr">
        <x:is>
          <x:t xml:space="preserve">J.R. Borotra</x:t>
        </x:is>
      </x:c>
      <x:c r="D171" s="25" t="inlineStr">
        <x:is>
          <x:t xml:space="preserve">FRA</x:t>
        </x:is>
      </x:c>
      <x:c r="E171" s="25" t="inlineStr">
        <x:is>
          <x:t xml:space="preserve">France</x:t>
        </x:is>
      </x:c>
      <x:c r="G171" s="7" t="n">
        <x:v>65</x:v>
      </x:c>
      <x:c r="H171" s="25" t="inlineStr">
        <x:is>
          <x:t xml:space="preserve">8-6,6-1,6-3</x:t>
        </x:is>
      </x:c>
      <x:c r="I171" s="25" t="inlineStr">
        <x:is>
          <x:t xml:space="preserve">H.O. Kinsey</x:t>
        </x:is>
      </x:c>
      <x:c r="J171" s="25" t="inlineStr">
        <x:is>
          <x:t xml:space="preserve">USA</x:t>
        </x:is>
      </x:c>
      <x:c r="K171" s="25" t="inlineStr">
        <x:is>
          <x:t xml:space="preserve">United States</x:t>
        </x:is>
      </x:c>
    </x:row>
    <x:row r="172" hidden="1">
      <x:c r="A172" t="n">
        <x:v>1924</x:v>
      </x:c>
      <x:c r="B172" s="25" t="inlineStr">
        <x:is>
          <x:t xml:space="preserve">Men's</x:t>
        </x:is>
      </x:c>
      <x:c r="C172" s="25" t="inlineStr">
        <x:is>
          <x:t xml:space="preserve">J.R. Borotra</x:t>
        </x:is>
      </x:c>
      <x:c r="D172" s="25" t="inlineStr">
        <x:is>
          <x:t xml:space="preserve">FRA</x:t>
        </x:is>
      </x:c>
      <x:c r="E172" s="25" t="inlineStr">
        <x:is>
          <x:t xml:space="preserve">France</x:t>
        </x:is>
      </x:c>
      <x:c r="G172" s="7" t="n">
        <x:v>80</x:v>
      </x:c>
      <x:c r="H172" s="25" t="inlineStr">
        <x:is>
          <x:t xml:space="preserve">6-1,3-6,6-1,3-6,6-4</x:t>
        </x:is>
      </x:c>
      <x:c r="I172" s="25" t="inlineStr">
        <x:is>
          <x:t xml:space="preserve">J.R. Lacoste</x:t>
        </x:is>
      </x:c>
      <x:c r="J172" s="25" t="inlineStr">
        <x:is>
          <x:t xml:space="preserve">FRA</x:t>
        </x:is>
      </x:c>
      <x:c r="K172" s="25" t="inlineStr">
        <x:is>
          <x:t xml:space="preserve">France</x:t>
        </x:is>
      </x:c>
    </x:row>
    <x:row r="173">
      <x:c r="B173" s="24" t="inlineStr">
        <x:is>
          <x:t xml:space="preserve">J.R. Borotra Count</x:t>
        </x:is>
      </x:c>
      <x:c r="C173" s="25" t="n">
        <x:f>SUBTOTAL(3,C171:C172)</x:f>
        <x:v>2</x:v>
      </x:c>
    </x:row>
    <x:row r="174" hidden="1">
      <x:c r="A174" t="n">
        <x:v>1928</x:v>
      </x:c>
      <x:c r="B174" s="25" t="inlineStr">
        <x:is>
          <x:t xml:space="preserve">Men's</x:t>
        </x:is>
      </x:c>
      <x:c r="C174" s="25" t="inlineStr">
        <x:is>
          <x:t xml:space="preserve">J.R. Lacoste</x:t>
        </x:is>
      </x:c>
      <x:c r="D174" s="25" t="inlineStr">
        <x:is>
          <x:t xml:space="preserve">FRA</x:t>
        </x:is>
      </x:c>
      <x:c r="E174" s="25" t="inlineStr">
        <x:is>
          <x:t xml:space="preserve">France</x:t>
        </x:is>
      </x:c>
      <x:c r="F174" s="7" t="n">
        <x:v>2</x:v>
      </x:c>
      <x:c r="H174" s="25" t="inlineStr">
        <x:is>
          <x:t xml:space="preserve">6-1,4-6,6-4,6-2</x:t>
        </x:is>
      </x:c>
      <x:c r="I174" s="25" t="inlineStr">
        <x:is>
          <x:t xml:space="preserve">H.J. Cochet</x:t>
        </x:is>
      </x:c>
      <x:c r="J174" s="25" t="inlineStr">
        <x:is>
          <x:t xml:space="preserve">FRA</x:t>
        </x:is>
      </x:c>
      <x:c r="K174" s="25" t="inlineStr">
        <x:is>
          <x:t xml:space="preserve">France</x:t>
        </x:is>
      </x:c>
      <x:c r="L174" s="7" t="n">
        <x:v>1</x:v>
      </x:c>
    </x:row>
    <x:row r="175" hidden="1">
      <x:c r="A175" t="n">
        <x:v>1925</x:v>
      </x:c>
      <x:c r="B175" s="25" t="inlineStr">
        <x:is>
          <x:t xml:space="preserve">Men's</x:t>
        </x:is>
      </x:c>
      <x:c r="C175" s="25" t="inlineStr">
        <x:is>
          <x:t xml:space="preserve">J.R. Lacoste</x:t>
        </x:is>
      </x:c>
      <x:c r="D175" s="25" t="inlineStr">
        <x:is>
          <x:t xml:space="preserve">FRA</x:t>
        </x:is>
      </x:c>
      <x:c r="E175" s="25" t="inlineStr">
        <x:is>
          <x:t xml:space="preserve">France</x:t>
        </x:is>
      </x:c>
      <x:c r="H175" s="25" t="inlineStr">
        <x:is>
          <x:t xml:space="preserve">6-3,6-3,4-6,8-6</x:t>
        </x:is>
      </x:c>
      <x:c r="I175" s="25" t="inlineStr">
        <x:is>
          <x:t xml:space="preserve">J.R. Borotra</x:t>
        </x:is>
      </x:c>
      <x:c r="J175" s="25" t="inlineStr">
        <x:is>
          <x:t xml:space="preserve">FRA</x:t>
        </x:is>
      </x:c>
      <x:c r="K175" s="25" t="inlineStr">
        <x:is>
          <x:t xml:space="preserve">France</x:t>
        </x:is>
      </x:c>
    </x:row>
    <x:row r="176">
      <x:c r="B176" s="24" t="inlineStr">
        <x:is>
          <x:t xml:space="preserve">J.R. Lacoste Count</x:t>
        </x:is>
      </x:c>
      <x:c r="C176" s="25" t="n">
        <x:f>SUBTOTAL(3,C174:C175)</x:f>
        <x:v>2</x:v>
      </x:c>
    </x:row>
    <x:row r="177" hidden="1">
      <x:c r="A177" t="n">
        <x:v>1962</x:v>
      </x:c>
      <x:c r="B177" s="25" t="inlineStr">
        <x:is>
          <x:t xml:space="preserve">Women's</x:t>
        </x:is>
      </x:c>
      <x:c r="C177" s="25" t="inlineStr">
        <x:is>
          <x:t xml:space="preserve">J.R. Susman</x:t>
        </x:is>
      </x:c>
      <x:c r="D177" s="25" t="inlineStr">
        <x:is>
          <x:t xml:space="preserve">USA</x:t>
        </x:is>
      </x:c>
      <x:c r="E177" s="25" t="inlineStr">
        <x:is>
          <x:t xml:space="preserve">United States</x:t>
        </x:is>
      </x:c>
      <x:c r="F177" s="7" t="n">
        <x:v>8</x:v>
      </x:c>
      <x:c r="G177" s="7" t="n">
        <x:v>57</x:v>
      </x:c>
      <x:c r="H177" s="25" t="inlineStr">
        <x:is>
          <x:t xml:space="preserve">6-4,6-4,</x:t>
        </x:is>
      </x:c>
      <x:c r="I177" s="25" t="inlineStr">
        <x:is>
          <x:t xml:space="preserve">C. Sukova</x:t>
        </x:is>
      </x:c>
      <x:c r="J177" s="25" t="inlineStr">
        <x:is>
          <x:t xml:space="preserve">TCH</x:t>
        </x:is>
      </x:c>
      <x:c r="K177" s="25" t="inlineStr">
        <x:is>
          <x:t xml:space="preserve">Czechoslovakia</x:t>
        </x:is>
      </x:c>
    </x:row>
    <x:row r="178">
      <x:c r="B178" s="24" t="inlineStr">
        <x:is>
          <x:t xml:space="preserve">J.R. Susman Count</x:t>
        </x:is>
      </x:c>
      <x:c r="C178" s="25" t="n">
        <x:f>SUBTOTAL(3,C177:C177)</x:f>
        <x:v>1</x:v>
      </x:c>
    </x:row>
    <x:row r="179" hidden="1">
      <x:c r="A179" t="n">
        <x:v>1982</x:v>
      </x:c>
      <x:c r="B179" s="25" t="inlineStr">
        <x:is>
          <x:t xml:space="preserve">Men's</x:t>
        </x:is>
      </x:c>
      <x:c r="C179" s="25" t="inlineStr">
        <x:is>
          <x:t xml:space="preserve">J.S. Connors</x:t>
        </x:is>
      </x:c>
      <x:c r="D179" s="25" t="inlineStr">
        <x:is>
          <x:t xml:space="preserve">USA</x:t>
        </x:is>
      </x:c>
      <x:c r="E179" s="25" t="inlineStr">
        <x:is>
          <x:t xml:space="preserve">United States</x:t>
        </x:is>
      </x:c>
      <x:c r="F179" s="7" t="n">
        <x:v>2</x:v>
      </x:c>
      <x:c r="G179" s="7" t="n">
        <x:v>256</x:v>
      </x:c>
      <x:c r="H179" s="25" t="inlineStr">
        <x:is>
          <x:t xml:space="preserve">3-6,6-3,6-7(2-7),7-6(7-5),6-4</x:t>
        </x:is>
      </x:c>
      <x:c r="I179" s="25" t="inlineStr">
        <x:is>
          <x:t xml:space="preserve">J.P. McEnroe</x:t>
        </x:is>
      </x:c>
      <x:c r="J179" s="25" t="inlineStr">
        <x:is>
          <x:t xml:space="preserve">USA</x:t>
        </x:is>
      </x:c>
      <x:c r="K179" s="25" t="inlineStr">
        <x:is>
          <x:t xml:space="preserve">United States</x:t>
        </x:is>
      </x:c>
      <x:c r="L179" s="7" t="n">
        <x:v>1</x:v>
      </x:c>
    </x:row>
    <x:row r="180" hidden="1">
      <x:c r="A180" t="n">
        <x:v>1974</x:v>
      </x:c>
      <x:c r="B180" s="25" t="inlineStr">
        <x:is>
          <x:t xml:space="preserve">Men's</x:t>
        </x:is>
      </x:c>
      <x:c r="C180" s="25" t="inlineStr">
        <x:is>
          <x:t xml:space="preserve">J.S. Connors</x:t>
        </x:is>
      </x:c>
      <x:c r="D180" s="25" t="inlineStr">
        <x:is>
          <x:t xml:space="preserve">USA</x:t>
        </x:is>
      </x:c>
      <x:c r="E180" s="25" t="inlineStr">
        <x:is>
          <x:t xml:space="preserve">United States</x:t>
        </x:is>
      </x:c>
      <x:c r="F180" s="7" t="n">
        <x:v>3</x:v>
      </x:c>
      <x:c r="G180" s="7" t="n">
        <x:v>93</x:v>
      </x:c>
      <x:c r="H180" s="25" t="inlineStr">
        <x:is>
          <x:t xml:space="preserve">6-1,6-1,6-4</x:t>
        </x:is>
      </x:c>
      <x:c r="I180" s="25" t="inlineStr">
        <x:is>
          <x:t xml:space="preserve">K.R. Rosewall</x:t>
        </x:is>
      </x:c>
      <x:c r="J180" s="25" t="inlineStr">
        <x:is>
          <x:t xml:space="preserve">AUS</x:t>
        </x:is>
      </x:c>
      <x:c r="K180" s="25" t="inlineStr">
        <x:is>
          <x:t xml:space="preserve">Australia</x:t>
        </x:is>
      </x:c>
      <x:c r="L180" s="7" t="n">
        <x:v>9</x:v>
      </x:c>
    </x:row>
    <x:row r="181">
      <x:c r="B181" s="24" t="inlineStr">
        <x:is>
          <x:t xml:space="preserve">J.S. Connors Count</x:t>
        </x:is>
      </x:c>
      <x:c r="C181" s="25" t="n">
        <x:f>SUBTOTAL(3,C179:C180)</x:f>
        <x:v>2</x:v>
      </x:c>
    </x:row>
    <x:row r="182" hidden="1">
      <x:c r="A182" t="n">
        <x:v>1880</x:v>
      </x:c>
      <x:c r="B182" s="25" t="inlineStr">
        <x:is>
          <x:t xml:space="preserve">Men's</x:t>
        </x:is>
      </x:c>
      <x:c r="C182" s="25" t="inlineStr">
        <x:is>
          <x:t xml:space="preserve">J.T. Hartley</x:t>
        </x:is>
      </x:c>
      <x:c r="D182" s="25" t="inlineStr">
        <x:is>
          <x:t xml:space="preserve">GBR</x:t>
        </x:is>
      </x:c>
      <x:c r="E182" s="25" t="inlineStr">
        <x:is>
          <x:t xml:space="preserve">United Kingdom</x:t>
        </x:is>
      </x:c>
      <x:c r="H182" s="25" t="inlineStr">
        <x:is>
          <x:t xml:space="preserve">6-3,6-2,2-6,6-3</x:t>
        </x:is>
      </x:c>
      <x:c r="I182" s="25" t="inlineStr">
        <x:is>
          <x:t xml:space="preserve">H.F. Lawford</x:t>
        </x:is>
      </x:c>
      <x:c r="J182" s="25" t="inlineStr">
        <x:is>
          <x:t xml:space="preserve">GBR</x:t>
        </x:is>
      </x:c>
      <x:c r="K182" s="25" t="inlineStr">
        <x:is>
          <x:t xml:space="preserve">United Kingdom</x:t>
        </x:is>
      </x:c>
    </x:row>
    <x:row r="183" hidden="1">
      <x:c r="A183" t="n">
        <x:v>1879</x:v>
      </x:c>
      <x:c r="B183" s="25" t="inlineStr">
        <x:is>
          <x:t xml:space="preserve">Men's</x:t>
        </x:is>
      </x:c>
      <x:c r="C183" s="25" t="inlineStr">
        <x:is>
          <x:t xml:space="preserve">J.T. Hartley</x:t>
        </x:is>
      </x:c>
      <x:c r="D183" s="25" t="inlineStr">
        <x:is>
          <x:t xml:space="preserve">GBR</x:t>
        </x:is>
      </x:c>
      <x:c r="E183" s="25" t="inlineStr">
        <x:is>
          <x:t xml:space="preserve">United Kingdom</x:t>
        </x:is>
      </x:c>
      <x:c r="H183" s="25" t="inlineStr">
        <x:is>
          <x:t xml:space="preserve">6-2,6-4,6-2</x:t>
        </x:is>
      </x:c>
      <x:c r="I183" s="25" t="inlineStr">
        <x:is>
          <x:t xml:space="preserve">V.T.St.L. Goold</x:t>
        </x:is>
      </x:c>
      <x:c r="J183" s="25" t="inlineStr">
        <x:is>
          <x:t xml:space="preserve">GBR</x:t>
        </x:is>
      </x:c>
      <x:c r="K183" s="25" t="inlineStr">
        <x:is>
          <x:t xml:space="preserve">United Kingdom</x:t>
        </x:is>
      </x:c>
    </x:row>
    <x:row r="184">
      <x:c r="B184" s="24" t="inlineStr">
        <x:is>
          <x:t xml:space="preserve">J.T. Hartley Count</x:t>
        </x:is>
      </x:c>
      <x:c r="C184" s="25" t="n">
        <x:f>SUBTOTAL(3,C182:C183)</x:f>
        <x:v>2</x:v>
      </x:c>
    </x:row>
    <x:row r="185" hidden="1">
      <x:c r="A185" t="n">
        <x:v>1924</x:v>
      </x:c>
      <x:c r="B185" s="25" t="inlineStr">
        <x:is>
          <x:t xml:space="preserve">Women's</x:t>
        </x:is>
      </x:c>
      <x:c r="C185" s="25" t="inlineStr">
        <x:is>
          <x:t xml:space="preserve">K. McKane</x:t>
        </x:is>
      </x:c>
      <x:c r="D185" s="25" t="inlineStr">
        <x:is>
          <x:t xml:space="preserve">GBR</x:t>
        </x:is>
      </x:c>
      <x:c r="E185" s="25" t="inlineStr">
        <x:is>
          <x:t xml:space="preserve">United Kingdom</x:t>
        </x:is>
      </x:c>
      <x:c r="G185" s="7" t="n">
        <x:v>75</x:v>
      </x:c>
      <x:c r="H185" s="25" t="inlineStr">
        <x:is>
          <x:t xml:space="preserve">4-6,6-4,6-4</x:t>
        </x:is>
      </x:c>
      <x:c r="I185" s="25" t="inlineStr">
        <x:is>
          <x:t xml:space="preserve">H.N. Wills</x:t>
        </x:is>
      </x:c>
      <x:c r="J185" s="25" t="inlineStr">
        <x:is>
          <x:t xml:space="preserve">USA</x:t>
        </x:is>
      </x:c>
      <x:c r="K185" s="25" t="inlineStr">
        <x:is>
          <x:t xml:space="preserve">United States</x:t>
        </x:is>
      </x:c>
    </x:row>
    <x:row r="186">
      <x:c r="B186" s="24" t="inlineStr">
        <x:is>
          <x:t xml:space="preserve">K. McKane Count</x:t>
        </x:is>
      </x:c>
      <x:c r="C186" s="25" t="n">
        <x:f>SUBTOTAL(3,C185:C185)</x:f>
        <x:v>1</x:v>
      </x:c>
    </x:row>
    <x:row r="187" hidden="1">
      <x:c r="A187" t="n">
        <x:v>1999</x:v>
      </x:c>
      <x:c r="B187" s="25" t="inlineStr">
        <x:is>
          <x:t xml:space="preserve">Women's</x:t>
        </x:is>
      </x:c>
      <x:c r="C187" s="25" t="inlineStr">
        <x:is>
          <x:t xml:space="preserve">L.A. Davenport</x:t>
        </x:is>
      </x:c>
      <x:c r="D187" s="25" t="inlineStr">
        <x:is>
          <x:t xml:space="preserve">USA</x:t>
        </x:is>
      </x:c>
      <x:c r="E187" s="25" t="inlineStr">
        <x:is>
          <x:t xml:space="preserve">United States</x:t>
        </x:is>
      </x:c>
      <x:c r="F187" s="7" t="n">
        <x:v>3</x:v>
      </x:c>
      <x:c r="G187" s="7" t="n">
        <x:v>75</x:v>
      </x:c>
      <x:c r="H187" s="25" t="inlineStr">
        <x:is>
          <x:t xml:space="preserve">6-4,7-5</x:t>
        </x:is>
      </x:c>
      <x:c r="I187" s="25" t="inlineStr">
        <x:is>
          <x:t xml:space="preserve">S.M. Graf</x:t>
        </x:is>
      </x:c>
      <x:c r="J187" s="25" t="inlineStr">
        <x:is>
          <x:t xml:space="preserve">GER</x:t>
        </x:is>
      </x:c>
      <x:c r="K187" s="25" t="inlineStr">
        <x:is>
          <x:t xml:space="preserve">Germany</x:t>
        </x:is>
      </x:c>
      <x:c r="L187" s="7" t="n">
        <x:v>2</x:v>
      </x:c>
    </x:row>
    <x:row r="188">
      <x:c r="B188" s="24" t="inlineStr">
        <x:is>
          <x:t xml:space="preserve">L.A. Davenport Count</x:t>
        </x:is>
      </x:c>
      <x:c r="C188" s="25" t="n">
        <x:f>SUBTOTAL(3,C187:C187)</x:f>
        <x:v>1</x:v>
      </x:c>
    </x:row>
    <x:row r="189" hidden="1">
      <x:c r="A189" t="n">
        <x:v>1926</x:v>
      </x:c>
      <x:c r="B189" s="25" t="inlineStr">
        <x:is>
          <x:t xml:space="preserve">Women's</x:t>
        </x:is>
      </x:c>
      <x:c r="C189" s="25" t="inlineStr">
        <x:is>
          <x:t xml:space="preserve">L.A. Godfree</x:t>
        </x:is>
      </x:c>
      <x:c r="D189" s="25" t="inlineStr">
        <x:is>
          <x:t xml:space="preserve">GBR</x:t>
        </x:is>
      </x:c>
      <x:c r="E189" s="25" t="inlineStr">
        <x:is>
          <x:t xml:space="preserve">United Kingdom</x:t>
        </x:is>
      </x:c>
      <x:c r="G189" s="7" t="n">
        <x:v>60</x:v>
      </x:c>
      <x:c r="H189" s="25" t="inlineStr">
        <x:is>
          <x:t xml:space="preserve">6-2,4-6,6-3</x:t>
        </x:is>
      </x:c>
      <x:c r="I189" s="25" t="inlineStr">
        <x:is>
          <x:t xml:space="preserve">E.M. de Alvarez</x:t>
        </x:is>
      </x:c>
      <x:c r="J189" s="25" t="inlineStr">
        <x:is>
          <x:t xml:space="preserve">ESP</x:t>
        </x:is>
      </x:c>
      <x:c r="K189" s="25" t="inlineStr">
        <x:is>
          <x:t xml:space="preserve">Spain</x:t>
        </x:is>
      </x:c>
    </x:row>
    <x:row r="190">
      <x:c r="B190" s="24" t="inlineStr">
        <x:is>
          <x:t xml:space="preserve">L.A. Godfree Count</x:t>
        </x:is>
      </x:c>
      <x:c r="C190" s="25" t="n">
        <x:f>SUBTOTAL(3,C189:C189)</x:f>
        <x:v>1</x:v>
      </x:c>
    </x:row>
    <x:row r="191" hidden="1">
      <x:c r="A191" t="n">
        <x:v>1957</x:v>
      </x:c>
      <x:c r="B191" s="25" t="inlineStr">
        <x:is>
          <x:t xml:space="preserve">Men's</x:t>
        </x:is>
      </x:c>
      <x:c r="C191" s="25" t="inlineStr">
        <x:is>
          <x:t xml:space="preserve">L.A. Hoad</x:t>
        </x:is>
      </x:c>
      <x:c r="D191" s="25" t="inlineStr">
        <x:is>
          <x:t xml:space="preserve">AUS</x:t>
        </x:is>
      </x:c>
      <x:c r="E191" s="25" t="inlineStr">
        <x:is>
          <x:t xml:space="preserve">Australia</x:t>
        </x:is>
      </x:c>
      <x:c r="F191" s="7" t="n">
        <x:v>1</x:v>
      </x:c>
      <x:c r="G191" s="7" t="n">
        <x:v>57</x:v>
      </x:c>
      <x:c r="H191" s="25" t="inlineStr">
        <x:is>
          <x:t xml:space="preserve">6-2,6-1,6-2</x:t>
        </x:is>
      </x:c>
      <x:c r="I191" s="25" t="inlineStr">
        <x:is>
          <x:t xml:space="preserve">A.J. Cooper</x:t>
        </x:is>
      </x:c>
      <x:c r="J191" s="25" t="inlineStr">
        <x:is>
          <x:t xml:space="preserve">AUS</x:t>
        </x:is>
      </x:c>
      <x:c r="K191" s="25" t="inlineStr">
        <x:is>
          <x:t xml:space="preserve">Australia</x:t>
        </x:is>
      </x:c>
      <x:c r="L191" s="7" t="n">
        <x:v>2</x:v>
      </x:c>
    </x:row>
    <x:row r="192" hidden="1">
      <x:c r="A192" t="n">
        <x:v>1956</x:v>
      </x:c>
      <x:c r="B192" s="25" t="inlineStr">
        <x:is>
          <x:t xml:space="preserve">Men's</x:t>
        </x:is>
      </x:c>
      <x:c r="C192" s="25" t="inlineStr">
        <x:is>
          <x:t xml:space="preserve">L.A. Hoad</x:t>
        </x:is>
      </x:c>
      <x:c r="D192" s="25" t="inlineStr">
        <x:is>
          <x:t xml:space="preserve">AUS</x:t>
        </x:is>
      </x:c>
      <x:c r="E192" s="25" t="inlineStr">
        <x:is>
          <x:t xml:space="preserve">Australia</x:t>
        </x:is>
      </x:c>
      <x:c r="F192" s="7" t="n">
        <x:v>1</x:v>
      </x:c>
      <x:c r="G192" s="7" t="n">
        <x:v>117</x:v>
      </x:c>
      <x:c r="H192" s="25" t="inlineStr">
        <x:is>
          <x:t xml:space="preserve">6-2,4-6,7-5,6-4</x:t>
        </x:is>
      </x:c>
      <x:c r="I192" s="25" t="inlineStr">
        <x:is>
          <x:t xml:space="preserve">K.R. Rosewall</x:t>
        </x:is>
      </x:c>
      <x:c r="J192" s="25" t="inlineStr">
        <x:is>
          <x:t xml:space="preserve">AUS</x:t>
        </x:is>
      </x:c>
      <x:c r="K192" s="25" t="inlineStr">
        <x:is>
          <x:t xml:space="preserve">Australia</x:t>
        </x:is>
      </x:c>
      <x:c r="L192" s="7" t="n">
        <x:v>2</x:v>
      </x:c>
    </x:row>
    <x:row r="193">
      <x:c r="B193" s="24" t="inlineStr">
        <x:is>
          <x:t xml:space="preserve">L.A. Hoad Count</x:t>
        </x:is>
      </x:c>
      <x:c r="C193" s="25" t="n">
        <x:f>SUBTOTAL(3,C191:C192)</x:f>
        <x:v>2</x:v>
      </x:c>
    </x:row>
    <x:row r="194" hidden="1">
      <x:c r="A194" t="n">
        <x:v>2002</x:v>
      </x:c>
      <x:c r="B194" s="25" t="inlineStr">
        <x:is>
          <x:t xml:space="preserve">Men's</x:t>
        </x:is>
      </x:c>
      <x:c r="C194" s="25" t="inlineStr">
        <x:is>
          <x:t xml:space="preserve">L.G. Hewitt</x:t>
        </x:is>
      </x:c>
      <x:c r="D194" s="25" t="inlineStr">
        <x:is>
          <x:t xml:space="preserve">AUS</x:t>
        </x:is>
      </x:c>
      <x:c r="E194" s="25" t="inlineStr">
        <x:is>
          <x:t xml:space="preserve">Australia</x:t>
        </x:is>
      </x:c>
      <x:c r="F194" s="7" t="n">
        <x:v>1</x:v>
      </x:c>
      <x:c r="G194" s="7" t="n">
        <x:v>116</x:v>
      </x:c>
      <x:c r="H194" s="25" t="inlineStr">
        <x:is>
          <x:t xml:space="preserve">6-1,6-3,6-2</x:t>
        </x:is>
      </x:c>
      <x:c r="I194" s="25" t="inlineStr">
        <x:is>
          <x:t xml:space="preserve">D.P. Nalbandian</x:t>
        </x:is>
      </x:c>
      <x:c r="J194" s="25" t="inlineStr">
        <x:is>
          <x:t xml:space="preserve">ARG</x:t>
        </x:is>
      </x:c>
      <x:c r="K194" s="25" t="inlineStr">
        <x:is>
          <x:t xml:space="preserve">Argentina</x:t>
        </x:is>
      </x:c>
      <x:c r="L194" s="7" t="n">
        <x:v>28</x:v>
      </x:c>
    </x:row>
    <x:row r="195">
      <x:c r="B195" s="24" t="inlineStr">
        <x:is>
          <x:t xml:space="preserve">L.G. Hewitt Count</x:t>
        </x:is>
      </x:c>
      <x:c r="C195" s="25" t="n">
        <x:f>SUBTOTAL(3,C194:C194)</x:f>
        <x:v>1</x:v>
      </x:c>
    </x:row>
    <x:row r="196" hidden="1">
      <x:c r="A196" t="n">
        <x:v>1975</x:v>
      </x:c>
      <x:c r="B196" s="25" t="inlineStr">
        <x:is>
          <x:t xml:space="preserve">Women's</x:t>
        </x:is>
      </x:c>
      <x:c r="C196" s="25" t="inlineStr">
        <x:is>
          <x:t xml:space="preserve">L.W. King</x:t>
        </x:is>
      </x:c>
      <x:c r="D196" s="25" t="inlineStr">
        <x:is>
          <x:t xml:space="preserve">USA</x:t>
        </x:is>
      </x:c>
      <x:c r="E196" s="25" t="inlineStr">
        <x:is>
          <x:t xml:space="preserve">United States</x:t>
        </x:is>
      </x:c>
      <x:c r="F196" s="7" t="n">
        <x:v>3</x:v>
      </x:c>
      <x:c r="G196" s="7" t="n">
        <x:v>38</x:v>
      </x:c>
      <x:c r="H196" s="25" t="inlineStr">
        <x:is>
          <x:t xml:space="preserve">6-0,6-1,</x:t>
        </x:is>
      </x:c>
      <x:c r="I196" s="25" t="inlineStr">
        <x:is>
          <x:t xml:space="preserve">R.A. Cawley</x:t>
        </x:is>
      </x:c>
      <x:c r="J196" s="25" t="inlineStr">
        <x:is>
          <x:t xml:space="preserve">AUS</x:t>
        </x:is>
      </x:c>
      <x:c r="K196" s="25" t="inlineStr">
        <x:is>
          <x:t xml:space="preserve">Australia</x:t>
        </x:is>
      </x:c>
      <x:c r="L196" s="7" t="n">
        <x:v>4</x:v>
      </x:c>
    </x:row>
    <x:row r="197" hidden="1">
      <x:c r="A197" t="n">
        <x:v>1973</x:v>
      </x:c>
      <x:c r="B197" s="25" t="inlineStr">
        <x:is>
          <x:t xml:space="preserve">Women's</x:t>
        </x:is>
      </x:c>
      <x:c r="C197" s="25" t="inlineStr">
        <x:is>
          <x:t xml:space="preserve">L.W. King</x:t>
        </x:is>
      </x:c>
      <x:c r="D197" s="25" t="inlineStr">
        <x:is>
          <x:t xml:space="preserve">USA</x:t>
        </x:is>
      </x:c>
      <x:c r="E197" s="25" t="inlineStr">
        <x:is>
          <x:t xml:space="preserve">United States</x:t>
        </x:is>
      </x:c>
      <x:c r="F197" s="7" t="n">
        <x:v>2</x:v>
      </x:c>
      <x:c r="G197" s="7" t="n">
        <x:v>53</x:v>
      </x:c>
      <x:c r="H197" s="25" t="inlineStr">
        <x:is>
          <x:t xml:space="preserve">6-0,7-5</x:t>
        </x:is>
      </x:c>
      <x:c r="I197" s="25" t="inlineStr">
        <x:is>
          <x:t xml:space="preserve">C.M. Evert</x:t>
        </x:is>
      </x:c>
      <x:c r="J197" s="25" t="inlineStr">
        <x:is>
          <x:t xml:space="preserve">USA</x:t>
        </x:is>
      </x:c>
      <x:c r="K197" s="25" t="inlineStr">
        <x:is>
          <x:t xml:space="preserve">United States</x:t>
        </x:is>
      </x:c>
      <x:c r="L197" s="7" t="n">
        <x:v>4</x:v>
      </x:c>
    </x:row>
    <x:row r="198" hidden="1">
      <x:c r="A198" t="n">
        <x:v>1972</x:v>
      </x:c>
      <x:c r="B198" s="25" t="inlineStr">
        <x:is>
          <x:t xml:space="preserve">Women's</x:t>
        </x:is>
      </x:c>
      <x:c r="C198" s="25" t="inlineStr">
        <x:is>
          <x:t xml:space="preserve">L.W. King</x:t>
        </x:is>
      </x:c>
      <x:c r="D198" s="25" t="inlineStr">
        <x:is>
          <x:t xml:space="preserve">USA</x:t>
        </x:is>
      </x:c>
      <x:c r="E198" s="25" t="inlineStr">
        <x:is>
          <x:t xml:space="preserve">United States</x:t>
        </x:is>
      </x:c>
      <x:c r="F198" s="7" t="n">
        <x:v>2</x:v>
      </x:c>
      <x:c r="G198" s="7" t="n">
        <x:v>50</x:v>
      </x:c>
      <x:c r="H198" s="25" t="inlineStr">
        <x:is>
          <x:t xml:space="preserve">6-3,6-3,</x:t>
        </x:is>
      </x:c>
      <x:c r="I198" s="25" t="inlineStr">
        <x:is>
          <x:t xml:space="preserve">E.F. Goolagong</x:t>
        </x:is>
      </x:c>
      <x:c r="J198" s="25" t="inlineStr">
        <x:is>
          <x:t xml:space="preserve">AUS</x:t>
        </x:is>
      </x:c>
      <x:c r="K198" s="25" t="inlineStr">
        <x:is>
          <x:t xml:space="preserve">Australia</x:t>
        </x:is>
      </x:c>
      <x:c r="L198" s="7" t="n">
        <x:v>1</x:v>
      </x:c>
    </x:row>
    <x:row r="199" hidden="1">
      <x:c r="A199" t="n">
        <x:v>1968</x:v>
      </x:c>
      <x:c r="B199" s="25" t="inlineStr">
        <x:is>
          <x:t xml:space="preserve">Women's</x:t>
        </x:is>
      </x:c>
      <x:c r="C199" s="25" t="inlineStr">
        <x:is>
          <x:t xml:space="preserve">L.W. King</x:t>
        </x:is>
      </x:c>
      <x:c r="D199" s="25" t="inlineStr">
        <x:is>
          <x:t xml:space="preserve">USA</x:t>
        </x:is>
      </x:c>
      <x:c r="E199" s="25" t="inlineStr">
        <x:is>
          <x:t xml:space="preserve">United States</x:t>
        </x:is>
      </x:c>
      <x:c r="F199" s="7" t="n">
        <x:v>1</x:v>
      </x:c>
      <x:c r="G199" s="7" t="n">
        <x:v>69</x:v>
      </x:c>
      <x:c r="H199" s="25" t="inlineStr">
        <x:is>
          <x:t xml:space="preserve">9-7,7-5,</x:t>
        </x:is>
      </x:c>
      <x:c r="I199" s="25" t="inlineStr">
        <x:is>
          <x:t xml:space="preserve">J.A.M. Tegart</x:t>
        </x:is>
      </x:c>
      <x:c r="J199" s="25" t="inlineStr">
        <x:is>
          <x:t xml:space="preserve">AUS</x:t>
        </x:is>
      </x:c>
      <x:c r="K199" s="25" t="inlineStr">
        <x:is>
          <x:t xml:space="preserve">Australia</x:t>
        </x:is>
      </x:c>
      <x:c r="L199" s="7" t="n">
        <x:v>7</x:v>
      </x:c>
    </x:row>
    <x:row r="200" hidden="1">
      <x:c r="A200" t="n">
        <x:v>1967</x:v>
      </x:c>
      <x:c r="B200" s="25" t="inlineStr">
        <x:is>
          <x:t xml:space="preserve">Women's</x:t>
        </x:is>
      </x:c>
      <x:c r="C200" s="25" t="inlineStr">
        <x:is>
          <x:t xml:space="preserve">L.W. King</x:t>
        </x:is>
      </x:c>
      <x:c r="D200" s="25" t="inlineStr">
        <x:is>
          <x:t xml:space="preserve">USA</x:t>
        </x:is>
      </x:c>
      <x:c r="E200" s="25" t="inlineStr">
        <x:is>
          <x:t xml:space="preserve">United States</x:t>
        </x:is>
      </x:c>
      <x:c r="F200" s="7" t="n">
        <x:v>1</x:v>
      </x:c>
      <x:c r="G200" s="7" t="n">
        <x:v>60</x:v>
      </x:c>
      <x:c r="H200" s="25" t="inlineStr">
        <x:is>
          <x:t xml:space="preserve">6-3,6-4,</x:t>
        </x:is>
      </x:c>
      <x:c r="I200" s="25" t="inlineStr">
        <x:is>
          <x:t xml:space="preserve">P.F. Jones</x:t>
        </x:is>
      </x:c>
      <x:c r="J200" s="25" t="inlineStr">
        <x:is>
          <x:t xml:space="preserve">GBR</x:t>
        </x:is>
      </x:c>
      <x:c r="K200" s="25" t="inlineStr">
        <x:is>
          <x:t xml:space="preserve">United Kingdom</x:t>
        </x:is>
      </x:c>
      <x:c r="L200" s="7" t="n">
        <x:v>3</x:v>
      </x:c>
    </x:row>
    <x:row r="201" hidden="1">
      <x:c r="A201" t="n">
        <x:v>1966</x:v>
      </x:c>
      <x:c r="B201" s="25" t="inlineStr">
        <x:is>
          <x:t xml:space="preserve">Women's</x:t>
        </x:is>
      </x:c>
      <x:c r="C201" s="25" t="inlineStr">
        <x:is>
          <x:t xml:space="preserve">L.W. King</x:t>
        </x:is>
      </x:c>
      <x:c r="D201" s="25" t="inlineStr">
        <x:is>
          <x:t xml:space="preserve">USA</x:t>
        </x:is>
      </x:c>
      <x:c r="E201" s="25" t="inlineStr">
        <x:is>
          <x:t xml:space="preserve">United States</x:t>
        </x:is>
      </x:c>
      <x:c r="F201" s="7" t="n">
        <x:v>4</x:v>
      </x:c>
      <x:c r="G201" s="7" t="n">
        <x:v>68</x:v>
      </x:c>
      <x:c r="H201" s="25" t="inlineStr">
        <x:is>
          <x:t xml:space="preserve">6-3,3-6,6-1,</x:t>
        </x:is>
      </x:c>
      <x:c r="I201" s="25" t="inlineStr">
        <x:is>
          <x:t xml:space="preserve">M.E.A. Bueno</x:t>
        </x:is>
      </x:c>
      <x:c r="J201" s="25" t="inlineStr">
        <x:is>
          <x:t xml:space="preserve">BRA</x:t>
        </x:is>
      </x:c>
      <x:c r="K201" s="25" t="inlineStr">
        <x:is>
          <x:t xml:space="preserve">Brazil</x:t>
        </x:is>
      </x:c>
      <x:c r="L201" s="7" t="n">
        <x:v>2</x:v>
      </x:c>
    </x:row>
    <x:row r="202">
      <x:c r="B202" s="24" t="inlineStr">
        <x:is>
          <x:t xml:space="preserve">L.W. King Count</x:t>
        </x:is>
      </x:c>
      <x:c r="C202" s="25" t="n">
        <x:f>SUBTOTAL(3,C196:C201)</x:f>
        <x:v>6</x:v>
      </x:c>
    </x:row>
    <x:row r="203" hidden="1">
      <x:c r="A203" t="n">
        <x:v>2013</x:v>
      </x:c>
      <x:c r="B203" s="25" t="inlineStr">
        <x:is>
          <x:t xml:space="preserve">Women's</x:t>
        </x:is>
      </x:c>
      <x:c r="C203" s="25" t="inlineStr">
        <x:is>
          <x:t xml:space="preserve">M. Bartoli</x:t>
        </x:is>
      </x:c>
      <x:c r="D203" s="25" t="inlineStr">
        <x:is>
          <x:t xml:space="preserve">FRA</x:t>
        </x:is>
      </x:c>
      <x:c r="E203" s="25" t="inlineStr">
        <x:is>
          <x:t xml:space="preserve">France</x:t>
        </x:is>
      </x:c>
      <x:c r="F203" s="7" t="n">
        <x:v>15</x:v>
      </x:c>
      <x:c r="G203" s="7" t="n">
        <x:v>81</x:v>
      </x:c>
      <x:c r="H203" s="25" t="inlineStr">
        <x:is>
          <x:t xml:space="preserve">6-2,1-6,6-4</x:t>
        </x:is>
      </x:c>
      <x:c r="I203" s="25" t="inlineStr">
        <x:is>
          <x:t xml:space="preserve">S. Lisicki</x:t>
        </x:is>
      </x:c>
      <x:c r="J203" s="25" t="inlineStr">
        <x:is>
          <x:t xml:space="preserve">GER</x:t>
        </x:is>
      </x:c>
      <x:c r="K203" s="25" t="inlineStr">
        <x:is>
          <x:t xml:space="preserve">Germany</x:t>
        </x:is>
      </x:c>
      <x:c r="L203" s="7" t="n">
        <x:v>23</x:v>
      </x:c>
    </x:row>
    <x:row r="204">
      <x:c r="B204" s="24" t="inlineStr">
        <x:is>
          <x:t xml:space="preserve">M. Bartoli Count</x:t>
        </x:is>
      </x:c>
      <x:c r="C204" s="25" t="n">
        <x:f>SUBTOTAL(3,C203:C203)</x:f>
        <x:v>1</x:v>
      </x:c>
    </x:row>
    <x:row r="205" hidden="1">
      <x:c r="A205" t="n">
        <x:v>1997</x:v>
      </x:c>
      <x:c r="B205" s="25" t="inlineStr">
        <x:is>
          <x:t xml:space="preserve">Women's</x:t>
        </x:is>
      </x:c>
      <x:c r="C205" s="25" t="inlineStr">
        <x:is>
          <x:t xml:space="preserve">M. Hingis</x:t>
        </x:is>
      </x:c>
      <x:c r="D205" s="25" t="inlineStr">
        <x:is>
          <x:t xml:space="preserve">SUI</x:t>
        </x:is>
      </x:c>
      <x:c r="E205" s="25" t="inlineStr">
        <x:is>
          <x:t xml:space="preserve">Switzerland</x:t>
        </x:is>
      </x:c>
      <x:c r="F205" s="7" t="n">
        <x:v>1</x:v>
      </x:c>
      <x:c r="G205" s="7" t="n">
        <x:v>110</x:v>
      </x:c>
      <x:c r="H205" s="25" t="inlineStr">
        <x:is>
          <x:t xml:space="preserve">2-6,6-3,6-3</x:t>
        </x:is>
      </x:c>
      <x:c r="I205" s="25" t="inlineStr">
        <x:is>
          <x:t xml:space="preserve">J. Novotna</x:t>
        </x:is>
      </x:c>
      <x:c r="J205" s="25" t="inlineStr">
        <x:is>
          <x:t xml:space="preserve">CZE</x:t>
        </x:is>
      </x:c>
      <x:c r="K205" s="25" t="inlineStr">
        <x:is>
          <x:t xml:space="preserve">Czechia</x:t>
        </x:is>
      </x:c>
      <x:c r="L205" s="7" t="n">
        <x:v>3</x:v>
      </x:c>
    </x:row>
    <x:row r="206">
      <x:c r="B206" s="24" t="inlineStr">
        <x:is>
          <x:t xml:space="preserve">M. Hingis Count</x:t>
        </x:is>
      </x:c>
      <x:c r="C206" s="25" t="n">
        <x:f>SUBTOTAL(3,C205:C205)</x:f>
        <x:v>1</x:v>
      </x:c>
    </x:row>
    <x:row r="207" hidden="1">
      <x:c r="A207" t="n">
        <x:v>1990</x:v>
      </x:c>
      <x:c r="B207" s="25" t="inlineStr">
        <x:is>
          <x:t xml:space="preserve">Women's</x:t>
        </x:is>
      </x:c>
      <x:c r="C207" s="25" t="inlineStr">
        <x:is>
          <x:t xml:space="preserve">M. Navratilova</x:t>
        </x:is>
      </x:c>
      <x:c r="D207" s="25" t="inlineStr">
        <x:is>
          <x:t xml:space="preserve">USA</x:t>
        </x:is>
      </x:c>
      <x:c r="E207" s="25" t="inlineStr">
        <x:is>
          <x:t xml:space="preserve">United States</x:t>
        </x:is>
      </x:c>
      <x:c r="F207" s="7" t="n">
        <x:v>2</x:v>
      </x:c>
      <x:c r="G207" s="7" t="n">
        <x:v>75</x:v>
      </x:c>
      <x:c r="H207" s="25" t="inlineStr">
        <x:is>
          <x:t xml:space="preserve">6-4,6-1,</x:t>
        </x:is>
      </x:c>
      <x:c r="I207" s="25" t="inlineStr">
        <x:is>
          <x:t xml:space="preserve">Z.L. Garrison</x:t>
        </x:is>
      </x:c>
      <x:c r="J207" s="25" t="inlineStr">
        <x:is>
          <x:t xml:space="preserve">USA</x:t>
        </x:is>
      </x:c>
      <x:c r="K207" s="25" t="inlineStr">
        <x:is>
          <x:t xml:space="preserve">United States</x:t>
        </x:is>
      </x:c>
      <x:c r="L207" s="7" t="n">
        <x:v>5</x:v>
      </x:c>
    </x:row>
    <x:row r="208" hidden="1">
      <x:c r="A208" t="n">
        <x:v>1987</x:v>
      </x:c>
      <x:c r="B208" s="25" t="inlineStr">
        <x:is>
          <x:t xml:space="preserve">Women's</x:t>
        </x:is>
      </x:c>
      <x:c r="C208" s="25" t="inlineStr">
        <x:is>
          <x:t xml:space="preserve">M. Navratilova</x:t>
        </x:is>
      </x:c>
      <x:c r="D208" s="25" t="inlineStr">
        <x:is>
          <x:t xml:space="preserve">USA</x:t>
        </x:is>
      </x:c>
      <x:c r="E208" s="25" t="inlineStr">
        <x:is>
          <x:t xml:space="preserve">United States</x:t>
        </x:is>
      </x:c>
      <x:c r="F208" s="7" t="n">
        <x:v>1</x:v>
      </x:c>
      <x:c r="G208" s="7" t="n">
        <x:v>69</x:v>
      </x:c>
      <x:c r="H208" s="25" t="inlineStr">
        <x:is>
          <x:t xml:space="preserve">7-5,6-3,</x:t>
        </x:is>
      </x:c>
      <x:c r="I208" s="25" t="inlineStr">
        <x:is>
          <x:t xml:space="preserve">S.M. Graf</x:t>
        </x:is>
      </x:c>
      <x:c r="J208" s="25" t="inlineStr">
        <x:is>
          <x:t xml:space="preserve">GER</x:t>
        </x:is>
      </x:c>
      <x:c r="K208" s="25" t="inlineStr">
        <x:is>
          <x:t xml:space="preserve">Germany</x:t>
        </x:is>
      </x:c>
      <x:c r="L208" s="7" t="n">
        <x:v>2</x:v>
      </x:c>
    </x:row>
    <x:row r="209" hidden="1">
      <x:c r="A209" t="n">
        <x:v>1986</x:v>
      </x:c>
      <x:c r="B209" s="25" t="inlineStr">
        <x:is>
          <x:t xml:space="preserve">Women's</x:t>
        </x:is>
      </x:c>
      <x:c r="C209" s="25" t="inlineStr">
        <x:is>
          <x:t xml:space="preserve">M. Navratilova</x:t>
        </x:is>
      </x:c>
      <x:c r="D209" s="25" t="inlineStr">
        <x:is>
          <x:t xml:space="preserve">USA</x:t>
        </x:is>
      </x:c>
      <x:c r="E209" s="25" t="inlineStr">
        <x:is>
          <x:t xml:space="preserve">United States</x:t>
        </x:is>
      </x:c>
      <x:c r="F209" s="7" t="n">
        <x:v>1</x:v>
      </x:c>
      <x:c r="G209" s="7" t="n">
        <x:v>72</x:v>
      </x:c>
      <x:c r="H209" s="25" t="inlineStr">
        <x:is>
          <x:t xml:space="preserve">7-6(7-1),6-3,</x:t>
        </x:is>
      </x:c>
      <x:c r="I209" s="25" t="inlineStr">
        <x:is>
          <x:t xml:space="preserve">H. Mandlikova</x:t>
        </x:is>
      </x:c>
      <x:c r="J209" s="25" t="inlineStr">
        <x:is>
          <x:t xml:space="preserve">TCH</x:t>
        </x:is>
      </x:c>
      <x:c r="K209" s="25" t="inlineStr">
        <x:is>
          <x:t xml:space="preserve">Czechoslovakia</x:t>
        </x:is>
      </x:c>
      <x:c r="L209" s="7" t="n">
        <x:v>3</x:v>
      </x:c>
    </x:row>
    <x:row r="210" hidden="1">
      <x:c r="A210" t="n">
        <x:v>1985</x:v>
      </x:c>
      <x:c r="B210" s="25" t="inlineStr">
        <x:is>
          <x:t xml:space="preserve">Women's</x:t>
        </x:is>
      </x:c>
      <x:c r="C210" s="25" t="inlineStr">
        <x:is>
          <x:t xml:space="preserve">M. Navratilova</x:t>
        </x:is>
      </x:c>
      <x:c r="D210" s="25" t="inlineStr">
        <x:is>
          <x:t xml:space="preserve">USA</x:t>
        </x:is>
      </x:c>
      <x:c r="E210" s="25" t="inlineStr">
        <x:is>
          <x:t xml:space="preserve">United States</x:t>
        </x:is>
      </x:c>
      <x:c r="F210" s="7" t="n">
        <x:v>1</x:v>
      </x:c>
      <x:c r="G210" s="7" t="n">
        <x:v>107</x:v>
      </x:c>
      <x:c r="H210" s="25" t="inlineStr">
        <x:is>
          <x:t xml:space="preserve">4-6,6-3,6-2,</x:t>
        </x:is>
      </x:c>
      <x:c r="I210" s="25" t="inlineStr">
        <x:is>
          <x:t xml:space="preserve">J.M. Lloyd</x:t>
        </x:is>
      </x:c>
      <x:c r="J210" s="25" t="inlineStr">
        <x:is>
          <x:t xml:space="preserve">USA</x:t>
        </x:is>
      </x:c>
      <x:c r="K210" s="25" t="inlineStr">
        <x:is>
          <x:t xml:space="preserve">United States</x:t>
        </x:is>
      </x:c>
      <x:c r="L210" s="7" t="n">
        <x:v>1</x:v>
      </x:c>
    </x:row>
    <x:row r="211" hidden="1">
      <x:c r="A211" t="n">
        <x:v>1984</x:v>
      </x:c>
      <x:c r="B211" s="25" t="inlineStr">
        <x:is>
          <x:t xml:space="preserve">Women's</x:t>
        </x:is>
      </x:c>
      <x:c r="C211" s="25" t="inlineStr">
        <x:is>
          <x:t xml:space="preserve">M. Navratilova</x:t>
        </x:is>
      </x:c>
      <x:c r="D211" s="25" t="inlineStr">
        <x:is>
          <x:t xml:space="preserve">USA</x:t>
        </x:is>
      </x:c>
      <x:c r="E211" s="25" t="inlineStr">
        <x:is>
          <x:t xml:space="preserve">United States</x:t>
        </x:is>
      </x:c>
      <x:c r="F211" s="7" t="n">
        <x:v>1</x:v>
      </x:c>
      <x:c r="G211" s="7" t="n">
        <x:v>84</x:v>
      </x:c>
      <x:c r="H211" s="25" t="inlineStr">
        <x:is>
          <x:t xml:space="preserve">7-6(7-5),6-2,</x:t>
        </x:is>
      </x:c>
      <x:c r="I211" s="25" t="inlineStr">
        <x:is>
          <x:t xml:space="preserve">J.M. Lloyd</x:t>
        </x:is>
      </x:c>
      <x:c r="J211" s="25" t="inlineStr">
        <x:is>
          <x:t xml:space="preserve">USA</x:t>
        </x:is>
      </x:c>
      <x:c r="K211" s="25" t="inlineStr">
        <x:is>
          <x:t xml:space="preserve">United States</x:t>
        </x:is>
      </x:c>
      <x:c r="L211" s="7" t="n">
        <x:v>2</x:v>
      </x:c>
    </x:row>
    <x:row r="212" hidden="1">
      <x:c r="A212" t="n">
        <x:v>1983</x:v>
      </x:c>
      <x:c r="B212" s="25" t="inlineStr">
        <x:is>
          <x:t xml:space="preserve">Women's</x:t>
        </x:is>
      </x:c>
      <x:c r="C212" s="25" t="inlineStr">
        <x:is>
          <x:t xml:space="preserve">M. Navratilova</x:t>
        </x:is>
      </x:c>
      <x:c r="D212" s="25" t="inlineStr">
        <x:is>
          <x:t xml:space="preserve">USA</x:t>
        </x:is>
      </x:c>
      <x:c r="E212" s="25" t="inlineStr">
        <x:is>
          <x:t xml:space="preserve">United States</x:t>
        </x:is>
      </x:c>
      <x:c r="F212" s="7" t="n">
        <x:v>1</x:v>
      </x:c>
      <x:c r="G212" s="7" t="n">
        <x:v>54</x:v>
      </x:c>
      <x:c r="H212" s="25" t="inlineStr">
        <x:is>
          <x:t xml:space="preserve">6-0,6-3,</x:t>
        </x:is>
      </x:c>
      <x:c r="I212" s="25" t="inlineStr">
        <x:is>
          <x:t xml:space="preserve">A. Jaeger</x:t>
        </x:is>
      </x:c>
      <x:c r="J212" s="25" t="inlineStr">
        <x:is>
          <x:t xml:space="preserve">USA</x:t>
        </x:is>
      </x:c>
      <x:c r="K212" s="25" t="inlineStr">
        <x:is>
          <x:t xml:space="preserve">United States</x:t>
        </x:is>
      </x:c>
      <x:c r="L212" s="7" t="n">
        <x:v>3</x:v>
      </x:c>
    </x:row>
    <x:row r="213" hidden="1">
      <x:c r="A213" t="n">
        <x:v>1982</x:v>
      </x:c>
      <x:c r="B213" s="25" t="inlineStr">
        <x:is>
          <x:t xml:space="preserve">Women's</x:t>
        </x:is>
      </x:c>
      <x:c r="C213" s="25" t="inlineStr">
        <x:is>
          <x:t xml:space="preserve">M. Navratilova</x:t>
        </x:is>
      </x:c>
      <x:c r="D213" s="25" t="inlineStr">
        <x:is>
          <x:t xml:space="preserve">USA</x:t>
        </x:is>
      </x:c>
      <x:c r="E213" s="25" t="inlineStr">
        <x:is>
          <x:t xml:space="preserve">United States</x:t>
        </x:is>
      </x:c>
      <x:c r="F213" s="7" t="n">
        <x:v>1</x:v>
      </x:c>
      <x:c r="G213" s="7" t="n">
        <x:v>87</x:v>
      </x:c>
      <x:c r="H213" s="25" t="inlineStr">
        <x:is>
          <x:t xml:space="preserve">6-1,3-6,6-2,</x:t>
        </x:is>
      </x:c>
      <x:c r="I213" s="25" t="inlineStr">
        <x:is>
          <x:t xml:space="preserve">J.M. Lloyd</x:t>
        </x:is>
      </x:c>
      <x:c r="J213" s="25" t="inlineStr">
        <x:is>
          <x:t xml:space="preserve">USA</x:t>
        </x:is>
      </x:c>
      <x:c r="K213" s="25" t="inlineStr">
        <x:is>
          <x:t xml:space="preserve">United States</x:t>
        </x:is>
      </x:c>
      <x:c r="L213" s="7" t="n">
        <x:v>2</x:v>
      </x:c>
    </x:row>
    <x:row r="214" hidden="1">
      <x:c r="A214" t="n">
        <x:v>1979</x:v>
      </x:c>
      <x:c r="B214" s="25" t="inlineStr">
        <x:is>
          <x:t xml:space="preserve">Women's</x:t>
        </x:is>
      </x:c>
      <x:c r="C214" s="25" t="inlineStr">
        <x:is>
          <x:t xml:space="preserve">M. Navratilova</x:t>
        </x:is>
      </x:c>
      <x:c r="D214" s="25" t="inlineStr">
        <x:is>
          <x:t xml:space="preserve">USA</x:t>
        </x:is>
      </x:c>
      <x:c r="E214" s="25" t="inlineStr">
        <x:is>
          <x:t xml:space="preserve">United States</x:t>
        </x:is>
      </x:c>
      <x:c r="F214" s="7" t="n">
        <x:v>1</x:v>
      </x:c>
      <x:c r="G214" s="7" t="n">
        <x:v>60</x:v>
      </x:c>
      <x:c r="H214" s="25" t="inlineStr">
        <x:is>
          <x:t xml:space="preserve">6-4,6-4,</x:t>
        </x:is>
      </x:c>
      <x:c r="I214" s="25" t="inlineStr">
        <x:is>
          <x:t xml:space="preserve">J.M. Lloyd</x:t>
        </x:is>
      </x:c>
      <x:c r="J214" s="25" t="inlineStr">
        <x:is>
          <x:t xml:space="preserve">USA</x:t>
        </x:is>
      </x:c>
      <x:c r="K214" s="25" t="inlineStr">
        <x:is>
          <x:t xml:space="preserve">United States</x:t>
        </x:is>
      </x:c>
      <x:c r="L214" s="7" t="n">
        <x:v>2</x:v>
      </x:c>
    </x:row>
    <x:row r="215" hidden="1">
      <x:c r="A215" t="n">
        <x:v>1978</x:v>
      </x:c>
      <x:c r="B215" s="25" t="inlineStr">
        <x:is>
          <x:t xml:space="preserve">Women's</x:t>
        </x:is>
      </x:c>
      <x:c r="C215" s="25" t="inlineStr">
        <x:is>
          <x:t xml:space="preserve">M. Navratilova</x:t>
        </x:is>
      </x:c>
      <x:c r="D215" s="25" t="inlineStr">
        <x:is>
          <x:t xml:space="preserve">USA</x:t>
        </x:is>
      </x:c>
      <x:c r="E215" s="25" t="inlineStr">
        <x:is>
          <x:t xml:space="preserve">United States</x:t>
        </x:is>
      </x:c>
      <x:c r="F215" s="7" t="n">
        <x:v>2</x:v>
      </x:c>
      <x:c r="G215" s="7" t="n">
        <x:v>102</x:v>
      </x:c>
      <x:c r="H215" s="25" t="inlineStr">
        <x:is>
          <x:t xml:space="preserve">2-6,6-4,7-5,</x:t>
        </x:is>
      </x:c>
      <x:c r="I215" s="25" t="inlineStr">
        <x:is>
          <x:t xml:space="preserve">C.M. Evert</x:t>
        </x:is>
      </x:c>
      <x:c r="J215" s="25" t="inlineStr">
        <x:is>
          <x:t xml:space="preserve">USA</x:t>
        </x:is>
      </x:c>
      <x:c r="K215" s="25" t="inlineStr">
        <x:is>
          <x:t xml:space="preserve">United States</x:t>
        </x:is>
      </x:c>
      <x:c r="L215" s="7" t="n">
        <x:v>1</x:v>
      </x:c>
    </x:row>
    <x:row r="216">
      <x:c r="B216" s="24" t="inlineStr">
        <x:is>
          <x:t xml:space="preserve">M. Navratilova Count</x:t>
        </x:is>
      </x:c>
      <x:c r="C216" s="25" t="n">
        <x:f>SUBTOTAL(3,C207:C215)</x:f>
        <x:v>9</x:v>
      </x:c>
    </x:row>
    <x:row r="217" hidden="1">
      <x:c r="A217" t="n">
        <x:v>2004</x:v>
      </x:c>
      <x:c r="B217" s="25" t="inlineStr">
        <x:is>
          <x:t xml:space="preserve">Women's</x:t>
        </x:is>
      </x:c>
      <x:c r="C217" s="25" t="inlineStr">
        <x:is>
          <x:t xml:space="preserve">M. Sharapova</x:t>
        </x:is>
      </x:c>
      <x:c r="D217" s="25" t="inlineStr">
        <x:is>
          <x:t xml:space="preserve">RUS</x:t>
        </x:is>
      </x:c>
      <x:c r="E217" s="25" t="inlineStr">
        <x:is>
          <x:t xml:space="preserve">Russia</x:t>
        </x:is>
      </x:c>
      <x:c r="F217" s="7" t="n">
        <x:v>13</x:v>
      </x:c>
      <x:c r="G217" s="7" t="n">
        <x:v>74</x:v>
      </x:c>
      <x:c r="H217" s="25" t="inlineStr">
        <x:is>
          <x:t xml:space="preserve">6-1,6-4</x:t>
        </x:is>
      </x:c>
      <x:c r="I217" s="25" t="inlineStr">
        <x:is>
          <x:t xml:space="preserve">S. Williams</x:t>
        </x:is>
      </x:c>
      <x:c r="J217" s="25" t="inlineStr">
        <x:is>
          <x:t xml:space="preserve">USA</x:t>
        </x:is>
      </x:c>
      <x:c r="K217" s="25" t="inlineStr">
        <x:is>
          <x:t xml:space="preserve">United States</x:t>
        </x:is>
      </x:c>
      <x:c r="L217" s="7" t="n">
        <x:v>1</x:v>
      </x:c>
    </x:row>
    <x:row r="218">
      <x:c r="B218" s="24" t="inlineStr">
        <x:is>
          <x:t xml:space="preserve">M. Sharapova Count</x:t>
        </x:is>
      </x:c>
      <x:c r="C218" s="25" t="n">
        <x:f>SUBTOTAL(3,C217:C217)</x:f>
        <x:v>1</x:v>
      </x:c>
    </x:row>
    <x:row r="219" hidden="1">
      <x:c r="A219" t="n">
        <x:v>1965</x:v>
      </x:c>
      <x:c r="B219" s="25" t="inlineStr">
        <x:is>
          <x:t xml:space="preserve">Women's</x:t>
        </x:is>
      </x:c>
      <x:c r="C219" s="25" t="inlineStr">
        <x:is>
          <x:t xml:space="preserve">M. Smith</x:t>
        </x:is>
      </x:c>
      <x:c r="D219" s="25" t="inlineStr">
        <x:is>
          <x:t xml:space="preserve">AUS</x:t>
        </x:is>
      </x:c>
      <x:c r="E219" s="25" t="inlineStr">
        <x:is>
          <x:t xml:space="preserve">Australia</x:t>
        </x:is>
      </x:c>
      <x:c r="F219" s="7" t="n">
        <x:v>2</x:v>
      </x:c>
      <x:c r="G219" s="7" t="n">
        <x:v>56</x:v>
      </x:c>
      <x:c r="H219" s="25" t="inlineStr">
        <x:is>
          <x:t xml:space="preserve">6-4,7-5,</x:t>
        </x:is>
      </x:c>
      <x:c r="I219" s="25" t="inlineStr">
        <x:is>
          <x:t xml:space="preserve">M.E.A. Bueno</x:t>
        </x:is>
      </x:c>
      <x:c r="J219" s="25" t="inlineStr">
        <x:is>
          <x:t xml:space="preserve">BRA</x:t>
        </x:is>
      </x:c>
      <x:c r="K219" s="25" t="inlineStr">
        <x:is>
          <x:t xml:space="preserve">Brazil</x:t>
        </x:is>
      </x:c>
      <x:c r="L219" s="7" t="n">
        <x:v>1</x:v>
      </x:c>
    </x:row>
    <x:row r="220" hidden="1">
      <x:c r="A220" t="n">
        <x:v>1963</x:v>
      </x:c>
      <x:c r="B220" s="25" t="inlineStr">
        <x:is>
          <x:t xml:space="preserve">Women's</x:t>
        </x:is>
      </x:c>
      <x:c r="C220" s="25" t="inlineStr">
        <x:is>
          <x:t xml:space="preserve">M. Smith</x:t>
        </x:is>
      </x:c>
      <x:c r="D220" s="25" t="inlineStr">
        <x:is>
          <x:t xml:space="preserve">AUS</x:t>
        </x:is>
      </x:c>
      <x:c r="E220" s="25" t="inlineStr">
        <x:is>
          <x:t xml:space="preserve">Australia</x:t>
        </x:is>
      </x:c>
      <x:c r="F220" s="7" t="n">
        <x:v>1</x:v>
      </x:c>
      <x:c r="G220" s="7" t="n">
        <x:v>51</x:v>
      </x:c>
      <x:c r="H220" s="25" t="inlineStr">
        <x:is>
          <x:t xml:space="preserve">6-3,6-4,</x:t>
        </x:is>
      </x:c>
      <x:c r="I220" s="25" t="inlineStr">
        <x:is>
          <x:t xml:space="preserve">B.J. Moffitt</x:t>
        </x:is>
      </x:c>
      <x:c r="J220" s="25" t="inlineStr">
        <x:is>
          <x:t xml:space="preserve">USA</x:t>
        </x:is>
      </x:c>
      <x:c r="K220" s="25" t="inlineStr">
        <x:is>
          <x:t xml:space="preserve">United States</x:t>
        </x:is>
      </x:c>
    </x:row>
    <x:row r="221">
      <x:c r="B221" s="24" t="inlineStr">
        <x:is>
          <x:t xml:space="preserve">M. Smith Count</x:t>
        </x:is>
      </x:c>
      <x:c r="C221" s="25" t="n">
        <x:f>SUBTOTAL(3,C219:C220)</x:f>
        <x:v>2</x:v>
      </x:c>
    </x:row>
    <x:row r="222" hidden="1">
      <x:c r="A222" t="n">
        <x:v>1955</x:v>
      </x:c>
      <x:c r="B222" s="25" t="inlineStr">
        <x:is>
          <x:t xml:space="preserve">Men's</x:t>
        </x:is>
      </x:c>
      <x:c r="C222" s="25" t="inlineStr">
        <x:is>
          <x:t xml:space="preserve">M.A. Trabert</x:t>
        </x:is>
      </x:c>
      <x:c r="D222" s="25" t="inlineStr">
        <x:is>
          <x:t xml:space="preserve">USA</x:t>
        </x:is>
      </x:c>
      <x:c r="E222" s="25" t="inlineStr">
        <x:is>
          <x:t xml:space="preserve">United States</x:t>
        </x:is>
      </x:c>
      <x:c r="F222" s="7" t="n">
        <x:v>1</x:v>
      </x:c>
      <x:c r="G222" s="7" t="n">
        <x:v>73</x:v>
      </x:c>
      <x:c r="H222" s="25" t="inlineStr">
        <x:is>
          <x:t xml:space="preserve">6-3,7-5,6-1</x:t>
        </x:is>
      </x:c>
      <x:c r="I222" s="25" t="inlineStr">
        <x:is>
          <x:t xml:space="preserve">K. Nielsen</x:t>
        </x:is>
      </x:c>
      <x:c r="J222" s="25" t="inlineStr">
        <x:is>
          <x:t xml:space="preserve">DEN</x:t>
        </x:is>
      </x:c>
      <x:c r="K222" s="25" t="inlineStr">
        <x:is>
          <x:t xml:space="preserve">Denmark</x:t>
        </x:is>
      </x:c>
      <x:c r="L222" s="7" t="inlineStr">
        <x:is>
          <x:t xml:space="preserve">U</x:t>
        </x:is>
      </x:c>
    </x:row>
    <x:row r="223">
      <x:c r="B223" s="24" t="inlineStr">
        <x:is>
          <x:t xml:space="preserve">M.A. Trabert Count</x:t>
        </x:is>
      </x:c>
      <x:c r="C223" s="25" t="n">
        <x:f>SUBTOTAL(3,C222:C222)</x:f>
        <x:v>1</x:v>
      </x:c>
    </x:row>
    <x:row r="224" hidden="1">
      <x:c r="A224" t="n">
        <x:v>1954</x:v>
      </x:c>
      <x:c r="B224" s="25" t="inlineStr">
        <x:is>
          <x:t xml:space="preserve">Women's</x:t>
        </x:is>
      </x:c>
      <x:c r="C224" s="25" t="inlineStr">
        <x:is>
          <x:t xml:space="preserve">M.C. Connolly</x:t>
        </x:is>
      </x:c>
      <x:c r="D224" s="25" t="inlineStr">
        <x:is>
          <x:t xml:space="preserve">USA</x:t>
        </x:is>
      </x:c>
      <x:c r="E224" s="25" t="inlineStr">
        <x:is>
          <x:t xml:space="preserve">United States</x:t>
        </x:is>
      </x:c>
      <x:c r="F224" s="7" t="n">
        <x:v>1</x:v>
      </x:c>
      <x:c r="G224" s="7" t="n">
        <x:v>50</x:v>
      </x:c>
      <x:c r="H224" s="25" t="inlineStr">
        <x:is>
          <x:t xml:space="preserve">6-2,7-5,</x:t>
        </x:is>
      </x:c>
      <x:c r="I224" s="25" t="inlineStr">
        <x:is>
          <x:t xml:space="preserve">A.L. Brough</x:t>
        </x:is>
      </x:c>
      <x:c r="J224" s="25" t="inlineStr">
        <x:is>
          <x:t xml:space="preserve">USA</x:t>
        </x:is>
      </x:c>
      <x:c r="K224" s="25" t="inlineStr">
        <x:is>
          <x:t xml:space="preserve">United States</x:t>
        </x:is>
      </x:c>
      <x:c r="L224" s="7" t="n">
        <x:v>4</x:v>
      </x:c>
    </x:row>
    <x:row r="225" hidden="1">
      <x:c r="A225" t="n">
        <x:v>1953</x:v>
      </x:c>
      <x:c r="B225" s="25" t="inlineStr">
        <x:is>
          <x:t xml:space="preserve">Women's</x:t>
        </x:is>
      </x:c>
      <x:c r="C225" s="25" t="inlineStr">
        <x:is>
          <x:t xml:space="preserve">M.C. Connolly</x:t>
        </x:is>
      </x:c>
      <x:c r="D225" s="25" t="inlineStr">
        <x:is>
          <x:t xml:space="preserve">USA</x:t>
        </x:is>
      </x:c>
      <x:c r="E225" s="25" t="inlineStr">
        <x:is>
          <x:t xml:space="preserve">United States</x:t>
        </x:is>
      </x:c>
      <x:c r="F225" s="7" t="n">
        <x:v>1</x:v>
      </x:c>
      <x:c r="G225" s="7" t="n">
        <x:v>67</x:v>
      </x:c>
      <x:c r="H225" s="25" t="inlineStr">
        <x:is>
          <x:t xml:space="preserve">8-6,7-5,</x:t>
        </x:is>
      </x:c>
      <x:c r="I225" s="25" t="inlineStr">
        <x:is>
          <x:t xml:space="preserve">D.J. Hart</x:t>
        </x:is>
      </x:c>
      <x:c r="J225" s="25" t="inlineStr">
        <x:is>
          <x:t xml:space="preserve">USA</x:t>
        </x:is>
      </x:c>
      <x:c r="K225" s="25" t="inlineStr">
        <x:is>
          <x:t xml:space="preserve">United States</x:t>
        </x:is>
      </x:c>
      <x:c r="L225" s="7" t="n">
        <x:v>2</x:v>
      </x:c>
    </x:row>
    <x:row r="226" hidden="1">
      <x:c r="A226" t="n">
        <x:v>1952</x:v>
      </x:c>
      <x:c r="B226" s="25" t="inlineStr">
        <x:is>
          <x:t xml:space="preserve">Women's</x:t>
        </x:is>
      </x:c>
      <x:c r="C226" s="25" t="inlineStr">
        <x:is>
          <x:t xml:space="preserve">M.C. Connolly</x:t>
        </x:is>
      </x:c>
      <x:c r="D226" s="25" t="inlineStr">
        <x:is>
          <x:t xml:space="preserve">USA</x:t>
        </x:is>
      </x:c>
      <x:c r="E226" s="25" t="inlineStr">
        <x:is>
          <x:t xml:space="preserve">United States</x:t>
        </x:is>
      </x:c>
      <x:c r="F226" s="7" t="n">
        <x:v>2</x:v>
      </x:c>
      <x:c r="G226" s="7" t="n">
        <x:v>65</x:v>
      </x:c>
      <x:c r="H226" s="25" t="inlineStr">
        <x:is>
          <x:t xml:space="preserve">7-5,6-3,</x:t>
        </x:is>
      </x:c>
      <x:c r="I226" s="25" t="inlineStr">
        <x:is>
          <x:t xml:space="preserve">A.L. Brough</x:t>
        </x:is>
      </x:c>
      <x:c r="J226" s="25" t="inlineStr">
        <x:is>
          <x:t xml:space="preserve">USA</x:t>
        </x:is>
      </x:c>
      <x:c r="K226" s="25" t="inlineStr">
        <x:is>
          <x:t xml:space="preserve">United States</x:t>
        </x:is>
      </x:c>
      <x:c r="L226" s="7" t="n">
        <x:v>4</x:v>
      </x:c>
    </x:row>
    <x:row r="227">
      <x:c r="B227" s="24" t="inlineStr">
        <x:is>
          <x:t xml:space="preserve">M.C. Connolly Count</x:t>
        </x:is>
      </x:c>
      <x:c r="C227" s="25" t="n">
        <x:f>SUBTOTAL(3,C224:C226)</x:f>
        <x:v>3</x:v>
      </x:c>
    </x:row>
    <x:row r="228" hidden="1">
      <x:c r="A228" t="n">
        <x:v>1991</x:v>
      </x:c>
      <x:c r="B228" s="25" t="inlineStr">
        <x:is>
          <x:t xml:space="preserve">Men's</x:t>
        </x:is>
      </x:c>
      <x:c r="C228" s="25" t="inlineStr">
        <x:is>
          <x:t xml:space="preserve">M.D. Stich</x:t>
        </x:is>
      </x:c>
      <x:c r="D228" s="25" t="inlineStr">
        <x:is>
          <x:t xml:space="preserve">GER</x:t>
        </x:is>
      </x:c>
      <x:c r="E228" s="25" t="inlineStr">
        <x:is>
          <x:t xml:space="preserve">Germany</x:t>
        </x:is>
      </x:c>
      <x:c r="F228" s="7" t="n">
        <x:v>6</x:v>
      </x:c>
      <x:c r="G228" s="7" t="n">
        <x:v>153</x:v>
      </x:c>
      <x:c r="H228" s="25" t="inlineStr">
        <x:is>
          <x:t xml:space="preserve">6-4,7-6(7-4),6-4</x:t>
        </x:is>
      </x:c>
      <x:c r="I228" s="25" t="inlineStr">
        <x:is>
          <x:t xml:space="preserve">B.F. Becker</x:t>
        </x:is>
      </x:c>
      <x:c r="J228" s="25" t="inlineStr">
        <x:is>
          <x:t xml:space="preserve">GER</x:t>
        </x:is>
      </x:c>
      <x:c r="K228" s="25" t="inlineStr">
        <x:is>
          <x:t xml:space="preserve">Germany</x:t>
        </x:is>
      </x:c>
      <x:c r="L228" s="7" t="n">
        <x:v>2</x:v>
      </x:c>
    </x:row>
    <x:row r="229">
      <x:c r="B229" s="24" t="inlineStr">
        <x:is>
          <x:t xml:space="preserve">M.D. Stich Count</x:t>
        </x:is>
      </x:c>
      <x:c r="C229" s="25" t="n">
        <x:f>SUBTOTAL(3,C228:C228)</x:f>
        <x:v>1</x:v>
      </x:c>
    </x:row>
    <x:row r="230" hidden="1">
      <x:c r="A230" t="n">
        <x:v>1947</x:v>
      </x:c>
      <x:c r="B230" s="25" t="inlineStr">
        <x:is>
          <x:t xml:space="preserve">Women's</x:t>
        </x:is>
      </x:c>
      <x:c r="C230" s="25" t="inlineStr">
        <x:is>
          <x:t xml:space="preserve">M.E. Osborne</x:t>
        </x:is>
      </x:c>
      <x:c r="D230" s="25" t="inlineStr">
        <x:is>
          <x:t xml:space="preserve">USA</x:t>
        </x:is>
      </x:c>
      <x:c r="E230" s="25" t="inlineStr">
        <x:is>
          <x:t xml:space="preserve">United States</x:t>
        </x:is>
      </x:c>
      <x:c r="F230" s="7" t="n">
        <x:v>1</x:v>
      </x:c>
      <x:c r="H230" s="25" t="inlineStr">
        <x:is>
          <x:t xml:space="preserve">6-2,6-4,</x:t>
        </x:is>
      </x:c>
      <x:c r="I230" s="25" t="inlineStr">
        <x:is>
          <x:t xml:space="preserve">D.J. Hart</x:t>
        </x:is>
      </x:c>
      <x:c r="J230" s="25" t="inlineStr">
        <x:is>
          <x:t xml:space="preserve">USA</x:t>
        </x:is>
      </x:c>
      <x:c r="K230" s="25" t="inlineStr">
        <x:is>
          <x:t xml:space="preserve">United States</x:t>
        </x:is>
      </x:c>
      <x:c r="L230" s="7" t="n">
        <x:v>3</x:v>
      </x:c>
    </x:row>
    <x:row r="231">
      <x:c r="B231" s="24" t="inlineStr">
        <x:is>
          <x:t xml:space="preserve">M.E. Osborne Count</x:t>
        </x:is>
      </x:c>
      <x:c r="C231" s="25" t="n">
        <x:f>SUBTOTAL(3,C230:C230)</x:f>
        <x:v>1</x:v>
      </x:c>
    </x:row>
    <x:row r="232" hidden="1">
      <x:c r="A232" t="n">
        <x:v>1902</x:v>
      </x:c>
      <x:c r="B232" s="25" t="inlineStr">
        <x:is>
          <x:t xml:space="preserve">Women's</x:t>
        </x:is>
      </x:c>
      <x:c r="C232" s="25" t="inlineStr">
        <x:is>
          <x:t xml:space="preserve">M.E. Robb</x:t>
        </x:is>
      </x:c>
      <x:c r="D232" s="25" t="inlineStr">
        <x:is>
          <x:t xml:space="preserve">GBR</x:t>
        </x:is>
      </x:c>
      <x:c r="E232" s="25" t="inlineStr">
        <x:is>
          <x:t xml:space="preserve">United Kingdom</x:t>
        </x:is>
      </x:c>
      <x:c r="H232" s="25" t="inlineStr">
        <x:is>
          <x:t xml:space="preserve">7-5,6-1</x:t>
        </x:is>
      </x:c>
      <x:c r="I232" s="25" t="inlineStr">
        <x:is>
          <x:t xml:space="preserve">A. Sterry</x:t>
        </x:is>
      </x:c>
      <x:c r="J232" s="25" t="inlineStr">
        <x:is>
          <x:t xml:space="preserve">GBR</x:t>
        </x:is>
      </x:c>
      <x:c r="K232" s="25" t="inlineStr">
        <x:is>
          <x:t xml:space="preserve">United Kingdom</x:t>
        </x:is>
      </x:c>
    </x:row>
    <x:row r="233">
      <x:c r="B233" s="24" t="inlineStr">
        <x:is>
          <x:t xml:space="preserve">M.E. Robb Count</x:t>
        </x:is>
      </x:c>
      <x:c r="C233" s="25" t="n">
        <x:f>SUBTOTAL(3,C232:C232)</x:f>
        <x:v>1</x:v>
      </x:c>
    </x:row>
    <x:row r="234" hidden="1">
      <x:c r="A234" t="n">
        <x:v>1964</x:v>
      </x:c>
      <x:c r="B234" s="25" t="inlineStr">
        <x:is>
          <x:t xml:space="preserve">Women's</x:t>
        </x:is>
      </x:c>
      <x:c r="C234" s="25" t="inlineStr">
        <x:is>
          <x:t xml:space="preserve">M.E.A. Bueno</x:t>
        </x:is>
      </x:c>
      <x:c r="D234" s="25" t="inlineStr">
        <x:is>
          <x:t xml:space="preserve">BRA</x:t>
        </x:is>
      </x:c>
      <x:c r="E234" s="25" t="inlineStr">
        <x:is>
          <x:t xml:space="preserve">Brazil</x:t>
        </x:is>
      </x:c>
      <x:c r="F234" s="7" t="n">
        <x:v>2</x:v>
      </x:c>
      <x:c r="G234" s="7" t="n">
        <x:v>90</x:v>
      </x:c>
      <x:c r="H234" s="25" t="inlineStr">
        <x:is>
          <x:t xml:space="preserve">6-4,7-9,6-3,</x:t>
        </x:is>
      </x:c>
      <x:c r="I234" s="25" t="inlineStr">
        <x:is>
          <x:t xml:space="preserve">M. Smith</x:t>
        </x:is>
      </x:c>
      <x:c r="J234" s="25" t="inlineStr">
        <x:is>
          <x:t xml:space="preserve">AUS</x:t>
        </x:is>
      </x:c>
      <x:c r="K234" s="25" t="inlineStr">
        <x:is>
          <x:t xml:space="preserve">Australia</x:t>
        </x:is>
      </x:c>
      <x:c r="L234" s="7" t="n">
        <x:v>1</x:v>
      </x:c>
    </x:row>
    <x:row r="235" hidden="1">
      <x:c r="A235" t="n">
        <x:v>1960</x:v>
      </x:c>
      <x:c r="B235" s="25" t="inlineStr">
        <x:is>
          <x:t xml:space="preserve">Women's</x:t>
        </x:is>
      </x:c>
      <x:c r="C235" s="25" t="inlineStr">
        <x:is>
          <x:t xml:space="preserve">M.E.A. Bueno</x:t>
        </x:is>
      </x:c>
      <x:c r="D235" s="25" t="inlineStr">
        <x:is>
          <x:t xml:space="preserve">BRA</x:t>
        </x:is>
      </x:c>
      <x:c r="E235" s="25" t="inlineStr">
        <x:is>
          <x:t xml:space="preserve">Brazil</x:t>
        </x:is>
      </x:c>
      <x:c r="F235" s="7" t="n">
        <x:v>1</x:v>
      </x:c>
      <x:c r="G235" s="7" t="n">
        <x:v>59</x:v>
      </x:c>
      <x:c r="H235" s="25" t="inlineStr">
        <x:is>
          <x:t xml:space="preserve">8-6,6-0</x:t>
        </x:is>
      </x:c>
      <x:c r="I235" s="25" t="inlineStr">
        <x:is>
          <x:t xml:space="preserve">S. Reynolds</x:t>
        </x:is>
      </x:c>
      <x:c r="J235" s="25" t="inlineStr">
        <x:is>
          <x:t xml:space="preserve">RSA</x:t>
        </x:is>
      </x:c>
      <x:c r="K235" s="25" t="inlineStr">
        <x:is>
          <x:t xml:space="preserve">South Africa</x:t>
        </x:is>
      </x:c>
      <x:c r="L235" s="7" t="n">
        <x:v>8</x:v>
      </x:c>
    </x:row>
    <x:row r="236" hidden="1">
      <x:c r="A236" t="n">
        <x:v>1959</x:v>
      </x:c>
      <x:c r="B236" s="25" t="inlineStr">
        <x:is>
          <x:t xml:space="preserve">Women's</x:t>
        </x:is>
      </x:c>
      <x:c r="C236" s="25" t="inlineStr">
        <x:is>
          <x:t xml:space="preserve">M.E.A. Bueno</x:t>
        </x:is>
      </x:c>
      <x:c r="D236" s="25" t="inlineStr">
        <x:is>
          <x:t xml:space="preserve">BRA</x:t>
        </x:is>
      </x:c>
      <x:c r="E236" s="25" t="inlineStr">
        <x:is>
          <x:t xml:space="preserve">Brazil</x:t>
        </x:is>
      </x:c>
      <x:c r="F236" s="7" t="n">
        <x:v>6</x:v>
      </x:c>
      <x:c r="G236" s="7" t="n">
        <x:v>43</x:v>
      </x:c>
      <x:c r="H236" s="25" t="inlineStr">
        <x:is>
          <x:t xml:space="preserve">6-4,6-3,</x:t>
        </x:is>
      </x:c>
      <x:c r="I236" s="25" t="inlineStr">
        <x:is>
          <x:t xml:space="preserve">D.R. Hard</x:t>
        </x:is>
      </x:c>
      <x:c r="J236" s="25" t="inlineStr">
        <x:is>
          <x:t xml:space="preserve">USA</x:t>
        </x:is>
      </x:c>
      <x:c r="K236" s="25" t="inlineStr">
        <x:is>
          <x:t xml:space="preserve">United States</x:t>
        </x:is>
      </x:c>
      <x:c r="L236" s="7" t="n">
        <x:v>4</x:v>
      </x:c>
    </x:row>
    <x:row r="237">
      <x:c r="B237" s="24" t="inlineStr">
        <x:is>
          <x:t xml:space="preserve">M.E.A. Bueno Count</x:t>
        </x:is>
      </x:c>
      <x:c r="C237" s="25" t="n">
        <x:f>SUBTOTAL(3,C234:C236)</x:f>
        <x:v>3</x:v>
      </x:c>
    </x:row>
    <x:row r="238" hidden="1">
      <x:c r="A238" t="n">
        <x:v>1885</x:v>
      </x:c>
      <x:c r="B238" s="25" t="inlineStr">
        <x:is>
          <x:t xml:space="preserve">Women's</x:t>
        </x:is>
      </x:c>
      <x:c r="C238" s="25" t="inlineStr">
        <x:is>
          <x:t xml:space="preserve">M.E.E. Watson</x:t>
        </x:is>
      </x:c>
      <x:c r="D238" s="25" t="inlineStr">
        <x:is>
          <x:t xml:space="preserve">GBR</x:t>
        </x:is>
      </x:c>
      <x:c r="E238" s="25" t="inlineStr">
        <x:is>
          <x:t xml:space="preserve">United Kingdom</x:t>
        </x:is>
      </x:c>
      <x:c r="H238" s="25" t="inlineStr">
        <x:is>
          <x:t xml:space="preserve">6-1,7-5</x:t>
        </x:is>
      </x:c>
      <x:c r="I238" s="25" t="inlineStr">
        <x:is>
          <x:t xml:space="preserve">B Bingley</x:t>
        </x:is>
      </x:c>
      <x:c r="J238" s="25" t="inlineStr">
        <x:is>
          <x:t xml:space="preserve">GBR</x:t>
        </x:is>
      </x:c>
      <x:c r="K238" s="25" t="inlineStr">
        <x:is>
          <x:t xml:space="preserve">United Kingdom</x:t>
        </x:is>
      </x:c>
    </x:row>
    <x:row r="239" hidden="1">
      <x:c r="A239" t="n">
        <x:v>1884</x:v>
      </x:c>
      <x:c r="B239" s="25" t="inlineStr">
        <x:is>
          <x:t xml:space="preserve">Women's</x:t>
        </x:is>
      </x:c>
      <x:c r="C239" s="25" t="inlineStr">
        <x:is>
          <x:t xml:space="preserve">M.E.E. Watson</x:t>
        </x:is>
      </x:c>
      <x:c r="D239" s="25" t="inlineStr">
        <x:is>
          <x:t xml:space="preserve">GBR</x:t>
        </x:is>
      </x:c>
      <x:c r="E239" s="25" t="inlineStr">
        <x:is>
          <x:t xml:space="preserve">United Kingdom</x:t>
        </x:is>
      </x:c>
      <x:c r="H239" s="25" t="inlineStr">
        <x:is>
          <x:t xml:space="preserve">6-8,6-3,6-3</x:t>
        </x:is>
      </x:c>
      <x:c r="I239" s="25" t="inlineStr">
        <x:is>
          <x:t xml:space="preserve">L.M. Watson</x:t>
        </x:is>
      </x:c>
      <x:c r="J239" s="25" t="inlineStr">
        <x:is>
          <x:t xml:space="preserve">GBR</x:t>
        </x:is>
      </x:c>
      <x:c r="K239" s="25" t="inlineStr">
        <x:is>
          <x:t xml:space="preserve">United Kingdom</x:t>
        </x:is>
      </x:c>
    </x:row>
    <x:row r="240">
      <x:c r="B240" s="24" t="inlineStr">
        <x:is>
          <x:t xml:space="preserve">M.E.E. Watson Count</x:t>
        </x:is>
      </x:c>
      <x:c r="C240" s="25" t="n">
        <x:f>SUBTOTAL(3,C238:C239)</x:f>
        <x:v>2</x:v>
      </x:c>
    </x:row>
    <x:row r="241" hidden="1">
      <x:c r="A241" t="n">
        <x:v>1907</x:v>
      </x:c>
      <x:c r="B241" s="25" t="inlineStr">
        <x:is>
          <x:t xml:space="preserve">Women's</x:t>
        </x:is>
      </x:c>
      <x:c r="C241" s="25" t="inlineStr">
        <x:is>
          <x:t xml:space="preserve">M.G. Sutton</x:t>
        </x:is>
      </x:c>
      <x:c r="D241" s="25" t="inlineStr">
        <x:is>
          <x:t xml:space="preserve">USA</x:t>
        </x:is>
      </x:c>
      <x:c r="E241" s="25" t="inlineStr">
        <x:is>
          <x:t xml:space="preserve">United States</x:t>
        </x:is>
      </x:c>
      <x:c r="H241" s="25" t="inlineStr">
        <x:is>
          <x:t xml:space="preserve">6-1,6-4</x:t>
        </x:is>
      </x:c>
      <x:c r="I241" s="25" t="inlineStr">
        <x:is>
          <x:t xml:space="preserve">R.L. Chambers</x:t>
        </x:is>
      </x:c>
      <x:c r="J241" s="25" t="inlineStr">
        <x:is>
          <x:t xml:space="preserve">GBR</x:t>
        </x:is>
      </x:c>
      <x:c r="K241" s="25" t="inlineStr">
        <x:is>
          <x:t xml:space="preserve">United Kingdom</x:t>
        </x:is>
      </x:c>
    </x:row>
    <x:row r="242" hidden="1">
      <x:c r="A242" t="n">
        <x:v>1905</x:v>
      </x:c>
      <x:c r="B242" s="25" t="inlineStr">
        <x:is>
          <x:t xml:space="preserve">Women's</x:t>
        </x:is>
      </x:c>
      <x:c r="C242" s="25" t="inlineStr">
        <x:is>
          <x:t xml:space="preserve">M.G. Sutton</x:t>
        </x:is>
      </x:c>
      <x:c r="D242" s="25" t="inlineStr">
        <x:is>
          <x:t xml:space="preserve">USA</x:t>
        </x:is>
      </x:c>
      <x:c r="E242" s="25" t="inlineStr">
        <x:is>
          <x:t xml:space="preserve">United States</x:t>
        </x:is>
      </x:c>
      <x:c r="H242" s="25" t="inlineStr">
        <x:is>
          <x:t xml:space="preserve">6-3,6-4</x:t>
        </x:is>
      </x:c>
      <x:c r="I242" s="25" t="inlineStr">
        <x:is>
          <x:t xml:space="preserve">D.K. Douglass</x:t>
        </x:is>
      </x:c>
      <x:c r="J242" s="25" t="inlineStr">
        <x:is>
          <x:t xml:space="preserve">GBR</x:t>
        </x:is>
      </x:c>
      <x:c r="K242" s="25" t="inlineStr">
        <x:is>
          <x:t xml:space="preserve">United Kingdom</x:t>
        </x:is>
      </x:c>
    </x:row>
    <x:row r="243">
      <x:c r="B243" s="24" t="inlineStr">
        <x:is>
          <x:t xml:space="preserve">M.G. Sutton Count</x:t>
        </x:is>
      </x:c>
      <x:c r="C243" s="25" t="n">
        <x:f>SUBTOTAL(3,C241:C242)</x:f>
        <x:v>2</x:v>
      </x:c>
    </x:row>
    <x:row r="244" hidden="1">
      <x:c r="A244" t="n">
        <x:v>1966</x:v>
      </x:c>
      <x:c r="B244" s="25" t="inlineStr">
        <x:is>
          <x:t xml:space="preserve">Men's</x:t>
        </x:is>
      </x:c>
      <x:c r="C244" s="25" t="inlineStr">
        <x:is>
          <x:t xml:space="preserve">M.M. Santana</x:t>
        </x:is>
      </x:c>
      <x:c r="D244" s="25" t="inlineStr">
        <x:is>
          <x:t xml:space="preserve">ESP</x:t>
        </x:is>
      </x:c>
      <x:c r="E244" s="25" t="inlineStr">
        <x:is>
          <x:t xml:space="preserve">Spain</x:t>
        </x:is>
      </x:c>
      <x:c r="F244" s="7" t="n">
        <x:v>4</x:v>
      </x:c>
      <x:c r="G244" s="7" t="n">
        <x:v>104</x:v>
      </x:c>
      <x:c r="H244" s="25" t="inlineStr">
        <x:is>
          <x:t xml:space="preserve">6-4,11-9,6-4</x:t>
        </x:is>
      </x:c>
      <x:c r="I244" s="25" t="inlineStr">
        <x:is>
          <x:t xml:space="preserve">R.D. Ralston</x:t>
        </x:is>
      </x:c>
      <x:c r="J244" s="25" t="inlineStr">
        <x:is>
          <x:t xml:space="preserve">USA</x:t>
        </x:is>
      </x:c>
      <x:c r="K244" s="25" t="inlineStr">
        <x:is>
          <x:t xml:space="preserve">United States</x:t>
        </x:is>
      </x:c>
      <x:c r="L244" s="7" t="n">
        <x:v>6</x:v>
      </x:c>
    </x:row>
    <x:row r="245">
      <x:c r="B245" s="24" t="inlineStr">
        <x:is>
          <x:t xml:space="preserve">M.M. Santana Count</x:t>
        </x:is>
      </x:c>
      <x:c r="C245" s="25" t="n">
        <x:f>SUBTOTAL(3,C244:C244)</x:f>
        <x:v>1</x:v>
      </x:c>
    </x:row>
    <x:row r="246" hidden="1">
      <x:c r="A246" s="22" t="n">
        <x:v>2021</x:v>
      </x:c>
      <x:c r="B246" s="25" t="inlineStr">
        <x:is>
          <x:t xml:space="preserve">Men's</x:t>
        </x:is>
      </x:c>
      <x:c r="C246" s="25" t="inlineStr">
        <x:is>
          <x:t xml:space="preserve">N. Djokovic</x:t>
        </x:is>
      </x:c>
      <x:c r="D246" s="25" t="inlineStr">
        <x:is>
          <x:t xml:space="preserve">SRB</x:t>
        </x:is>
      </x:c>
      <x:c r="E246" s="25" t="inlineStr">
        <x:is>
          <x:t xml:space="preserve">Serbia</x:t>
        </x:is>
      </x:c>
      <x:c r="F246" s="7" t="n">
        <x:v>1</x:v>
      </x:c>
      <x:c r="G246" s="7" t="n">
        <x:v>204</x:v>
      </x:c>
      <x:c r="H246" s="25" t="inlineStr">
        <x:is>
          <x:t xml:space="preserve">6-7,6-4,6-4,6-3</x:t>
        </x:is>
      </x:c>
      <x:c r="I246" s="25" t="inlineStr">
        <x:is>
          <x:t xml:space="preserve">M. Berrettini</x:t>
        </x:is>
      </x:c>
      <x:c r="J246" s="25" t="inlineStr">
        <x:is>
          <x:t xml:space="preserve">ITA</x:t>
        </x:is>
      </x:c>
      <x:c r="K246" s="25" t="inlineStr">
        <x:is>
          <x:t xml:space="preserve">Italy</x:t>
        </x:is>
      </x:c>
      <x:c r="L246" s="7" t="n">
        <x:v>7</x:v>
      </x:c>
    </x:row>
    <x:row r="247" hidden="1">
      <x:c r="A247" t="n">
        <x:v>2019</x:v>
      </x:c>
      <x:c r="B247" s="25" t="inlineStr">
        <x:is>
          <x:t xml:space="preserve">Men's</x:t>
        </x:is>
      </x:c>
      <x:c r="C247" s="25" t="inlineStr">
        <x:is>
          <x:t xml:space="preserve">N. Djokovic</x:t>
        </x:is>
      </x:c>
      <x:c r="D247" s="25" t="inlineStr">
        <x:is>
          <x:t xml:space="preserve">SRB</x:t>
        </x:is>
      </x:c>
      <x:c r="E247" s="25" t="inlineStr">
        <x:is>
          <x:t xml:space="preserve">Serbia</x:t>
        </x:is>
      </x:c>
      <x:c r="F247" s="7" t="n">
        <x:v>1</x:v>
      </x:c>
      <x:c r="G247" s="7" t="n">
        <x:v>297</x:v>
      </x:c>
      <x:c r="H247" s="25" t="inlineStr">
        <x:is>
          <x:t xml:space="preserve">7-6,1-6,7-6,4-6,7-6</x:t>
        </x:is>
      </x:c>
      <x:c r="I247" s="25" t="inlineStr">
        <x:is>
          <x:t xml:space="preserve">R. Federer</x:t>
        </x:is>
      </x:c>
      <x:c r="J247" s="25" t="inlineStr">
        <x:is>
          <x:t xml:space="preserve">SUI</x:t>
        </x:is>
      </x:c>
      <x:c r="K247" s="25" t="inlineStr">
        <x:is>
          <x:t xml:space="preserve">Switzerland</x:t>
        </x:is>
      </x:c>
      <x:c r="L247" s="7" t="n">
        <x:v>2</x:v>
      </x:c>
    </x:row>
    <x:row r="248" hidden="1">
      <x:c r="A248" t="n">
        <x:v>2018</x:v>
      </x:c>
      <x:c r="B248" s="25" t="inlineStr">
        <x:is>
          <x:t xml:space="preserve">Men's</x:t>
        </x:is>
      </x:c>
      <x:c r="C248" s="25" t="inlineStr">
        <x:is>
          <x:t xml:space="preserve">N. Djokovic</x:t>
        </x:is>
      </x:c>
      <x:c r="D248" s="25" t="inlineStr">
        <x:is>
          <x:t xml:space="preserve">SRB</x:t>
        </x:is>
      </x:c>
      <x:c r="E248" s="25" t="inlineStr">
        <x:is>
          <x:t xml:space="preserve">Serbia</x:t>
        </x:is>
      </x:c>
      <x:c r="F248" s="7" t="n">
        <x:v>12</x:v>
      </x:c>
      <x:c r="G248" s="7" t="n">
        <x:v>170</x:v>
      </x:c>
      <x:c r="H248" s="25" t="inlineStr">
        <x:is>
          <x:t xml:space="preserve">6-2,6-2,7-6</x:t>
        </x:is>
      </x:c>
      <x:c r="I248" s="25" t="inlineStr">
        <x:is>
          <x:t xml:space="preserve">K.Anderson</x:t>
        </x:is>
      </x:c>
      <x:c r="J248" s="25" t="inlineStr">
        <x:is>
          <x:t xml:space="preserve">RSA</x:t>
        </x:is>
      </x:c>
      <x:c r="K248" s="25" t="inlineStr">
        <x:is>
          <x:t xml:space="preserve">South Africa</x:t>
        </x:is>
      </x:c>
      <x:c r="L248" s="7" t="n">
        <x:v>8</x:v>
      </x:c>
    </x:row>
    <x:row r="249" hidden="1">
      <x:c r="A249" t="n">
        <x:v>2015</x:v>
      </x:c>
      <x:c r="B249" s="25" t="inlineStr">
        <x:is>
          <x:t xml:space="preserve">Men's</x:t>
        </x:is>
      </x:c>
      <x:c r="C249" s="25" t="inlineStr">
        <x:is>
          <x:t xml:space="preserve">N. Djokovic</x:t>
        </x:is>
      </x:c>
      <x:c r="D249" s="25" t="inlineStr">
        <x:is>
          <x:t xml:space="preserve">SRB</x:t>
        </x:is>
      </x:c>
      <x:c r="E249" s="25" t="inlineStr">
        <x:is>
          <x:t xml:space="preserve">Serbia</x:t>
        </x:is>
      </x:c>
      <x:c r="F249" s="7" t="n">
        <x:v>1</x:v>
      </x:c>
      <x:c r="G249" s="7" t="n">
        <x:v>176</x:v>
      </x:c>
      <x:c r="H249" s="25" t="inlineStr">
        <x:is>
          <x:t xml:space="preserve">7-6,6-7,6-4,6-3</x:t>
        </x:is>
      </x:c>
      <x:c r="I249" s="25" t="inlineStr">
        <x:is>
          <x:t xml:space="preserve">R. Federer</x:t>
        </x:is>
      </x:c>
      <x:c r="J249" s="25" t="inlineStr">
        <x:is>
          <x:t xml:space="preserve">SUI</x:t>
        </x:is>
      </x:c>
      <x:c r="K249" s="25" t="inlineStr">
        <x:is>
          <x:t xml:space="preserve">Switzerland</x:t>
        </x:is>
      </x:c>
      <x:c r="L249" s="7" t="n">
        <x:v>2</x:v>
      </x:c>
    </x:row>
    <x:row r="250" hidden="1">
      <x:c r="A250" t="n">
        <x:v>2014</x:v>
      </x:c>
      <x:c r="B250" s="25" t="inlineStr">
        <x:is>
          <x:t xml:space="preserve">Men's</x:t>
        </x:is>
      </x:c>
      <x:c r="C250" s="25" t="inlineStr">
        <x:is>
          <x:t xml:space="preserve">N. Djokovic</x:t>
        </x:is>
      </x:c>
      <x:c r="D250" s="25" t="inlineStr">
        <x:is>
          <x:t xml:space="preserve">SRB</x:t>
        </x:is>
      </x:c>
      <x:c r="E250" s="25" t="inlineStr">
        <x:is>
          <x:t xml:space="preserve">Serbia</x:t>
        </x:is>
      </x:c>
      <x:c r="F250" s="7" t="n">
        <x:v>1</x:v>
      </x:c>
      <x:c r="G250" s="7" t="n">
        <x:v>236</x:v>
      </x:c>
      <x:c r="H250" s="25" t="inlineStr">
        <x:is>
          <x:t xml:space="preserve">6-7,6-4,7-6,5-7,6-4</x:t>
        </x:is>
      </x:c>
      <x:c r="I250" s="25" t="inlineStr">
        <x:is>
          <x:t xml:space="preserve">R. Federer</x:t>
        </x:is>
      </x:c>
      <x:c r="J250" s="25" t="inlineStr">
        <x:is>
          <x:t xml:space="preserve">SUI</x:t>
        </x:is>
      </x:c>
      <x:c r="K250" s="25" t="inlineStr">
        <x:is>
          <x:t xml:space="preserve">Switzerland</x:t>
        </x:is>
      </x:c>
      <x:c r="L250" s="7" t="n">
        <x:v>4</x:v>
      </x:c>
    </x:row>
    <x:row r="251" hidden="1">
      <x:c r="A251" t="n">
        <x:v>2011</x:v>
      </x:c>
      <x:c r="B251" s="25" t="inlineStr">
        <x:is>
          <x:t xml:space="preserve">Men's</x:t>
        </x:is>
      </x:c>
      <x:c r="C251" s="25" t="inlineStr">
        <x:is>
          <x:t xml:space="preserve">N. Djokovic</x:t>
        </x:is>
      </x:c>
      <x:c r="D251" s="25" t="inlineStr">
        <x:is>
          <x:t xml:space="preserve">SRB</x:t>
        </x:is>
      </x:c>
      <x:c r="E251" s="25" t="inlineStr">
        <x:is>
          <x:t xml:space="preserve">Serbia</x:t>
        </x:is>
      </x:c>
      <x:c r="F251" s="7" t="n">
        <x:v>2</x:v>
      </x:c>
      <x:c r="G251" s="7" t="n">
        <x:v>148</x:v>
      </x:c>
      <x:c r="H251" s="25" t="inlineStr">
        <x:is>
          <x:t xml:space="preserve">6-4,6-1,1-6,6-3</x:t>
        </x:is>
      </x:c>
      <x:c r="I251" s="25" t="inlineStr">
        <x:is>
          <x:t xml:space="preserve">R. Nadal</x:t>
        </x:is>
      </x:c>
      <x:c r="J251" s="25" t="inlineStr">
        <x:is>
          <x:t xml:space="preserve">ESP</x:t>
        </x:is>
      </x:c>
      <x:c r="K251" s="25" t="inlineStr">
        <x:is>
          <x:t xml:space="preserve">Spain</x:t>
        </x:is>
      </x:c>
      <x:c r="L251" s="7" t="n">
        <x:v>1</x:v>
      </x:c>
    </x:row>
    <x:row r="252">
      <x:c r="B252" s="24" t="inlineStr">
        <x:is>
          <x:t xml:space="preserve">N. Djokovic Count</x:t>
        </x:is>
      </x:c>
      <x:c r="C252" s="25" t="n">
        <x:f>SUBTOTAL(3,C246:C251)</x:f>
        <x:v>6</x:v>
      </x:c>
    </x:row>
    <x:row r="253" hidden="1">
      <x:c r="A253" t="n">
        <x:v>1960</x:v>
      </x:c>
      <x:c r="B253" s="25" t="inlineStr">
        <x:is>
          <x:t xml:space="preserve">Men's</x:t>
        </x:is>
      </x:c>
      <x:c r="C253" s="25" t="inlineStr">
        <x:is>
          <x:t xml:space="preserve">N.A. Fraser</x:t>
        </x:is>
      </x:c>
      <x:c r="D253" s="25" t="inlineStr">
        <x:is>
          <x:t xml:space="preserve">AUS</x:t>
        </x:is>
      </x:c>
      <x:c r="E253" s="25" t="inlineStr">
        <x:is>
          <x:t xml:space="preserve">Australia</x:t>
        </x:is>
      </x:c>
      <x:c r="F253" s="7" t="n">
        <x:v>1</x:v>
      </x:c>
      <x:c r="G253" s="7" t="n">
        <x:v>130</x:v>
      </x:c>
      <x:c r="H253" s="25" t="inlineStr">
        <x:is>
          <x:t xml:space="preserve">6-4,3-6,9-7,7-5</x:t>
        </x:is>
      </x:c>
      <x:c r="I253" s="25" t="inlineStr">
        <x:is>
          <x:t xml:space="preserve">R.G. Laver</x:t>
        </x:is>
      </x:c>
      <x:c r="J253" s="25" t="inlineStr">
        <x:is>
          <x:t xml:space="preserve">AUS</x:t>
        </x:is>
      </x:c>
      <x:c r="K253" s="25" t="inlineStr">
        <x:is>
          <x:t xml:space="preserve">Australia</x:t>
        </x:is>
      </x:c>
      <x:c r="L253" s="7" t="n">
        <x:v>3</x:v>
      </x:c>
    </x:row>
    <x:row r="254">
      <x:c r="B254" s="24" t="inlineStr">
        <x:is>
          <x:t xml:space="preserve">N.A. Fraser Count</x:t>
        </x:is>
      </x:c>
      <x:c r="C254" s="25" t="n">
        <x:f>SUBTOTAL(3,C253:C253)</x:f>
        <x:v>1</x:v>
      </x:c>
    </x:row>
    <x:row r="255" hidden="1">
      <x:c r="A255" t="n">
        <x:v>1914</x:v>
      </x:c>
      <x:c r="B255" s="25" t="inlineStr">
        <x:is>
          <x:t xml:space="preserve">Men's</x:t>
        </x:is>
      </x:c>
      <x:c r="C255" s="25" t="inlineStr">
        <x:is>
          <x:t xml:space="preserve">N.E. Brookes</x:t>
        </x:is>
      </x:c>
      <x:c r="D255" s="25" t="inlineStr">
        <x:is>
          <x:t xml:space="preserve">AUS</x:t>
        </x:is>
      </x:c>
      <x:c r="E255" s="25" t="inlineStr">
        <x:is>
          <x:t xml:space="preserve">Australia</x:t>
        </x:is>
      </x:c>
      <x:c r="H255" s="25" t="inlineStr">
        <x:is>
          <x:t xml:space="preserve">6-4,6-4,7-5</x:t>
        </x:is>
      </x:c>
      <x:c r="I255" s="25" t="inlineStr">
        <x:is>
          <x:t xml:space="preserve">A.F. Wilding</x:t>
        </x:is>
      </x:c>
      <x:c r="J255" s="25" t="inlineStr">
        <x:is>
          <x:t xml:space="preserve">NZL</x:t>
        </x:is>
      </x:c>
      <x:c r="K255" s="25" t="inlineStr">
        <x:is>
          <x:t xml:space="preserve">New Zealand</x:t>
        </x:is>
      </x:c>
    </x:row>
    <x:row r="256" hidden="1">
      <x:c r="A256" t="n">
        <x:v>1907</x:v>
      </x:c>
      <x:c r="B256" s="25" t="inlineStr">
        <x:is>
          <x:t xml:space="preserve">Men's</x:t>
        </x:is>
      </x:c>
      <x:c r="C256" s="25" t="inlineStr">
        <x:is>
          <x:t xml:space="preserve">N.E. Brookes</x:t>
        </x:is>
      </x:c>
      <x:c r="D256" s="25" t="inlineStr">
        <x:is>
          <x:t xml:space="preserve">AUS</x:t>
        </x:is>
      </x:c>
      <x:c r="E256" s="25" t="inlineStr">
        <x:is>
          <x:t xml:space="preserve">Australia</x:t>
        </x:is>
      </x:c>
      <x:c r="H256" s="25" t="inlineStr">
        <x:is>
          <x:t xml:space="preserve">6-4,6-2,6-2</x:t>
        </x:is>
      </x:c>
      <x:c r="I256" s="25" t="inlineStr">
        <x:is>
          <x:t xml:space="preserve">A.W. Gore</x:t>
        </x:is>
      </x:c>
      <x:c r="J256" s="25" t="inlineStr">
        <x:is>
          <x:t xml:space="preserve">GBR</x:t>
        </x:is>
      </x:c>
      <x:c r="K256" s="25" t="inlineStr">
        <x:is>
          <x:t xml:space="preserve">United Kingdom</x:t>
        </x:is>
      </x:c>
    </x:row>
    <x:row r="257">
      <x:c r="B257" s="24" t="inlineStr">
        <x:is>
          <x:t xml:space="preserve">N.E. Brookes Count</x:t>
        </x:is>
      </x:c>
      <x:c r="C257" s="25" t="n">
        <x:f>SUBTOTAL(3,C255:C256)</x:f>
        <x:v>2</x:v>
      </x:c>
    </x:row>
    <x:row r="258" hidden="1">
      <x:c r="A258" t="n">
        <x:v>2014</x:v>
      </x:c>
      <x:c r="B258" s="25" t="inlineStr">
        <x:is>
          <x:t xml:space="preserve">Women's</x:t>
        </x:is>
      </x:c>
      <x:c r="C258" s="25" t="inlineStr">
        <x:is>
          <x:t xml:space="preserve">P. Kvitová</x:t>
        </x:is>
      </x:c>
      <x:c r="D258" s="25" t="inlineStr">
        <x:is>
          <x:t xml:space="preserve">CZE</x:t>
        </x:is>
      </x:c>
      <x:c r="E258" s="25" t="inlineStr">
        <x:is>
          <x:t xml:space="preserve">Czechia</x:t>
        </x:is>
      </x:c>
      <x:c r="F258" s="7" t="n">
        <x:v>6</x:v>
      </x:c>
      <x:c r="G258" s="7" t="n">
        <x:v>55</x:v>
      </x:c>
      <x:c r="H258" s="25" t="inlineStr">
        <x:is>
          <x:t xml:space="preserve">6-3,6-0</x:t>
        </x:is>
      </x:c>
      <x:c r="I258" s="25" t="inlineStr">
        <x:is>
          <x:t xml:space="preserve">E. Bouchard</x:t>
        </x:is>
      </x:c>
      <x:c r="J258" s="25" t="inlineStr">
        <x:is>
          <x:t xml:space="preserve">CND</x:t>
        </x:is>
      </x:c>
      <x:c r="K258" s="25" t="inlineStr">
        <x:is>
          <x:t xml:space="preserve">Canada</x:t>
        </x:is>
      </x:c>
      <x:c r="L258" s="7" t="n">
        <x:v>13</x:v>
      </x:c>
    </x:row>
    <x:row r="259">
      <x:c r="B259" s="24" t="inlineStr">
        <x:is>
          <x:t xml:space="preserve">P. Kvitová Count</x:t>
        </x:is>
      </x:c>
      <x:c r="C259" s="25" t="n">
        <x:f>SUBTOTAL(3,C258:C258)</x:f>
        <x:v>1</x:v>
      </x:c>
    </x:row>
    <x:row r="260" hidden="1">
      <x:c r="A260" t="n">
        <x:v>2000</x:v>
      </x:c>
      <x:c r="B260" s="25" t="inlineStr">
        <x:is>
          <x:t xml:space="preserve">Men's</x:t>
        </x:is>
      </x:c>
      <x:c r="C260" s="25" t="inlineStr">
        <x:is>
          <x:t xml:space="preserve">P. Sampras</x:t>
        </x:is>
      </x:c>
      <x:c r="D260" s="25" t="inlineStr">
        <x:is>
          <x:t xml:space="preserve">USA</x:t>
        </x:is>
      </x:c>
      <x:c r="E260" s="25" t="inlineStr">
        <x:is>
          <x:t xml:space="preserve">United States</x:t>
        </x:is>
      </x:c>
      <x:c r="F260" s="7" t="n">
        <x:v>1</x:v>
      </x:c>
      <x:c r="G260" s="7" t="n">
        <x:v>182</x:v>
      </x:c>
      <x:c r="H260" s="25" t="inlineStr">
        <x:is>
          <x:t xml:space="preserve">6-7(10-12),7-6(7-5),6-4,6-2</x:t>
        </x:is>
      </x:c>
      <x:c r="I260" s="25" t="inlineStr">
        <x:is>
          <x:t xml:space="preserve">P.M. Rafter</x:t>
        </x:is>
      </x:c>
      <x:c r="J260" s="25" t="inlineStr">
        <x:is>
          <x:t xml:space="preserve">AUS</x:t>
        </x:is>
      </x:c>
      <x:c r="K260" s="25" t="inlineStr">
        <x:is>
          <x:t xml:space="preserve">Australia</x:t>
        </x:is>
      </x:c>
      <x:c r="L260" s="7" t="n">
        <x:v>12</x:v>
      </x:c>
    </x:row>
    <x:row r="261" hidden="1">
      <x:c r="A261" t="n">
        <x:v>1999</x:v>
      </x:c>
      <x:c r="B261" s="25" t="inlineStr">
        <x:is>
          <x:t xml:space="preserve">Men's</x:t>
        </x:is>
      </x:c>
      <x:c r="C261" s="25" t="inlineStr">
        <x:is>
          <x:t xml:space="preserve">P. Sampras</x:t>
        </x:is>
      </x:c>
      <x:c r="D261" s="25" t="inlineStr">
        <x:is>
          <x:t xml:space="preserve">USA</x:t>
        </x:is>
      </x:c>
      <x:c r="E261" s="25" t="inlineStr">
        <x:is>
          <x:t xml:space="preserve">United States</x:t>
        </x:is>
      </x:c>
      <x:c r="F261" s="7" t="n">
        <x:v>1</x:v>
      </x:c>
      <x:c r="G261" s="7" t="n">
        <x:v>115</x:v>
      </x:c>
      <x:c r="H261" s="25" t="inlineStr">
        <x:is>
          <x:t xml:space="preserve">6-3,6-4,7-5</x:t>
        </x:is>
      </x:c>
      <x:c r="I261" s="25" t="inlineStr">
        <x:is>
          <x:t xml:space="preserve">A.K. Agassi</x:t>
        </x:is>
      </x:c>
      <x:c r="J261" s="25" t="inlineStr">
        <x:is>
          <x:t xml:space="preserve">USA</x:t>
        </x:is>
      </x:c>
      <x:c r="K261" s="25" t="inlineStr">
        <x:is>
          <x:t xml:space="preserve">United States</x:t>
        </x:is>
      </x:c>
      <x:c r="L261" s="7" t="n">
        <x:v>4</x:v>
      </x:c>
    </x:row>
    <x:row r="262" hidden="1">
      <x:c r="A262" t="n">
        <x:v>1998</x:v>
      </x:c>
      <x:c r="B262" s="25" t="inlineStr">
        <x:is>
          <x:t xml:space="preserve">Men's</x:t>
        </x:is>
      </x:c>
      <x:c r="C262" s="25" t="inlineStr">
        <x:is>
          <x:t xml:space="preserve">P. Sampras</x:t>
        </x:is>
      </x:c>
      <x:c r="D262" s="25" t="inlineStr">
        <x:is>
          <x:t xml:space="preserve">USA</x:t>
        </x:is>
      </x:c>
      <x:c r="E262" s="25" t="inlineStr">
        <x:is>
          <x:t xml:space="preserve">United States</x:t>
        </x:is>
      </x:c>
      <x:c r="F262" s="7" t="n">
        <x:v>1</x:v>
      </x:c>
      <x:c r="G262" s="7" t="n">
        <x:v>172</x:v>
      </x:c>
      <x:c r="H262" s="25" t="inlineStr">
        <x:is>
          <x:t xml:space="preserve">6-7(2-7),7-6(11-9),6-4,3-6,6-2</x:t>
        </x:is>
      </x:c>
      <x:c r="I262" s="25" t="inlineStr">
        <x:is>
          <x:t xml:space="preserve">G.S. Ivanisevic</x:t>
        </x:is>
      </x:c>
      <x:c r="J262" s="25" t="inlineStr">
        <x:is>
          <x:t xml:space="preserve">CRO</x:t>
        </x:is>
      </x:c>
      <x:c r="K262" s="25" t="inlineStr">
        <x:is>
          <x:t xml:space="preserve">Croatia</x:t>
        </x:is>
      </x:c>
      <x:c r="L262" s="7" t="n">
        <x:v>14</x:v>
      </x:c>
    </x:row>
    <x:row r="263" hidden="1">
      <x:c r="A263" t="n">
        <x:v>1997</x:v>
      </x:c>
      <x:c r="B263" s="25" t="inlineStr">
        <x:is>
          <x:t xml:space="preserve">Men's</x:t>
        </x:is>
      </x:c>
      <x:c r="C263" s="25" t="inlineStr">
        <x:is>
          <x:t xml:space="preserve">P. Sampras</x:t>
        </x:is>
      </x:c>
      <x:c r="D263" s="25" t="inlineStr">
        <x:is>
          <x:t xml:space="preserve">USA</x:t>
        </x:is>
      </x:c>
      <x:c r="E263" s="25" t="inlineStr">
        <x:is>
          <x:t xml:space="preserve">United States</x:t>
        </x:is>
      </x:c>
      <x:c r="F263" s="7" t="n">
        <x:v>1</x:v>
      </x:c>
      <x:c r="G263" s="7" t="n">
        <x:v>94</x:v>
      </x:c>
      <x:c r="H263" s="25" t="inlineStr">
        <x:is>
          <x:t xml:space="preserve">6-4,6-2,6-4</x:t>
        </x:is>
      </x:c>
      <x:c r="I263" s="25" t="inlineStr">
        <x:is>
          <x:t xml:space="preserve">C.A. Pioline</x:t>
        </x:is>
      </x:c>
      <x:c r="J263" s="25" t="inlineStr">
        <x:is>
          <x:t xml:space="preserve">FRA</x:t>
        </x:is>
      </x:c>
      <x:c r="K263" s="25" t="inlineStr">
        <x:is>
          <x:t xml:space="preserve">France</x:t>
        </x:is>
      </x:c>
      <x:c r="L263" s="7" t="inlineStr">
        <x:is>
          <x:t xml:space="preserve">U</x:t>
        </x:is>
      </x:c>
    </x:row>
    <x:row r="264" hidden="1">
      <x:c r="A264" t="n">
        <x:v>1995</x:v>
      </x:c>
      <x:c r="B264" s="25" t="inlineStr">
        <x:is>
          <x:t xml:space="preserve">Men's</x:t>
        </x:is>
      </x:c>
      <x:c r="C264" s="25" t="inlineStr">
        <x:is>
          <x:t xml:space="preserve">P. Sampras</x:t>
        </x:is>
      </x:c>
      <x:c r="D264" s="25" t="inlineStr">
        <x:is>
          <x:t xml:space="preserve">USA</x:t>
        </x:is>
      </x:c>
      <x:c r="E264" s="25" t="inlineStr">
        <x:is>
          <x:t xml:space="preserve">United States</x:t>
        </x:is>
      </x:c>
      <x:c r="F264" s="7" t="n">
        <x:v>2</x:v>
      </x:c>
      <x:c r="G264" s="7" t="n">
        <x:v>149</x:v>
      </x:c>
      <x:c r="H264" s="25" t="inlineStr">
        <x:is>
          <x:t xml:space="preserve">6-7(5-7),6-2,6-4,6-2</x:t>
        </x:is>
      </x:c>
      <x:c r="I264" s="25" t="inlineStr">
        <x:is>
          <x:t xml:space="preserve">B.F. Becker</x:t>
        </x:is>
      </x:c>
      <x:c r="J264" s="25" t="inlineStr">
        <x:is>
          <x:t xml:space="preserve">GER</x:t>
        </x:is>
      </x:c>
      <x:c r="K264" s="25" t="inlineStr">
        <x:is>
          <x:t xml:space="preserve">Germany</x:t>
        </x:is>
      </x:c>
      <x:c r="L264" s="7" t="n">
        <x:v>3</x:v>
      </x:c>
    </x:row>
    <x:row r="265" hidden="1">
      <x:c r="A265" t="n">
        <x:v>1994</x:v>
      </x:c>
      <x:c r="B265" s="25" t="inlineStr">
        <x:is>
          <x:t xml:space="preserve">Men's</x:t>
        </x:is>
      </x:c>
      <x:c r="C265" s="25" t="inlineStr">
        <x:is>
          <x:t xml:space="preserve">P. Sampras</x:t>
        </x:is>
      </x:c>
      <x:c r="D265" s="25" t="inlineStr">
        <x:is>
          <x:t xml:space="preserve">USA</x:t>
        </x:is>
      </x:c>
      <x:c r="E265" s="25" t="inlineStr">
        <x:is>
          <x:t xml:space="preserve">United States</x:t>
        </x:is>
      </x:c>
      <x:c r="F265" s="7" t="n">
        <x:v>1</x:v>
      </x:c>
      <x:c r="G265" s="7" t="n">
        <x:v>115</x:v>
      </x:c>
      <x:c r="H265" s="25" t="inlineStr">
        <x:is>
          <x:t xml:space="preserve">7-6(7-2),7-6(7-5),6-0</x:t>
        </x:is>
      </x:c>
      <x:c r="I265" s="25" t="inlineStr">
        <x:is>
          <x:t xml:space="preserve">G.S. Ivanisevic</x:t>
        </x:is>
      </x:c>
      <x:c r="J265" s="25" t="inlineStr">
        <x:is>
          <x:t xml:space="preserve">CRO</x:t>
        </x:is>
      </x:c>
      <x:c r="K265" s="25" t="inlineStr">
        <x:is>
          <x:t xml:space="preserve">Croatia</x:t>
        </x:is>
      </x:c>
      <x:c r="L265" s="7" t="n">
        <x:v>4</x:v>
      </x:c>
    </x:row>
    <x:row r="266" hidden="1">
      <x:c r="A266" t="n">
        <x:v>1993</x:v>
      </x:c>
      <x:c r="B266" s="25" t="inlineStr">
        <x:is>
          <x:t xml:space="preserve">Men's</x:t>
        </x:is>
      </x:c>
      <x:c r="C266" s="25" t="inlineStr">
        <x:is>
          <x:t xml:space="preserve">P. Sampras</x:t>
        </x:is>
      </x:c>
      <x:c r="D266" s="25" t="inlineStr">
        <x:is>
          <x:t xml:space="preserve">USA</x:t>
        </x:is>
      </x:c>
      <x:c r="E266" s="25" t="inlineStr">
        <x:is>
          <x:t xml:space="preserve">United States</x:t>
        </x:is>
      </x:c>
      <x:c r="F266" s="7" t="n">
        <x:v>1</x:v>
      </x:c>
      <x:c r="G266" s="7" t="n">
        <x:v>178</x:v>
      </x:c>
      <x:c r="H266" s="25" t="inlineStr">
        <x:is>
          <x:t xml:space="preserve">7-6(7-3),7-6(8-6),3-6,6-3</x:t>
        </x:is>
      </x:c>
      <x:c r="I266" s="25" t="inlineStr">
        <x:is>
          <x:t xml:space="preserve">J.S. Courier</x:t>
        </x:is>
      </x:c>
      <x:c r="J266" s="25" t="inlineStr">
        <x:is>
          <x:t xml:space="preserve">USA</x:t>
        </x:is>
      </x:c>
      <x:c r="K266" s="25" t="inlineStr">
        <x:is>
          <x:t xml:space="preserve">United States</x:t>
        </x:is>
      </x:c>
      <x:c r="L266" s="7" t="n">
        <x:v>3</x:v>
      </x:c>
    </x:row>
    <x:row r="267">
      <x:c r="B267" s="24" t="inlineStr">
        <x:is>
          <x:t xml:space="preserve">P. Sampras Count</x:t>
        </x:is>
      </x:c>
      <x:c r="C267" s="25" t="n">
        <x:f>SUBTOTAL(3,C260:C266)</x:f>
        <x:v>7</x:v>
      </x:c>
    </x:row>
    <x:row r="268" hidden="1">
      <x:c r="A268" t="n">
        <x:v>1909</x:v>
      </x:c>
      <x:c r="B268" s="25" t="inlineStr">
        <x:is>
          <x:t xml:space="preserve">Women's</x:t>
        </x:is>
      </x:c>
      <x:c r="C268" s="25" t="inlineStr">
        <x:is>
          <x:t xml:space="preserve">P.D.H. Boothby</x:t>
        </x:is>
      </x:c>
      <x:c r="D268" s="25" t="inlineStr">
        <x:is>
          <x:t xml:space="preserve">GBR</x:t>
        </x:is>
      </x:c>
      <x:c r="E268" s="25" t="inlineStr">
        <x:is>
          <x:t xml:space="preserve">United Kingdom</x:t>
        </x:is>
      </x:c>
      <x:c r="H268" s="25" t="inlineStr">
        <x:is>
          <x:t xml:space="preserve">6-4,4-6,8-6</x:t>
        </x:is>
      </x:c>
      <x:c r="I268" s="25" t="inlineStr">
        <x:is>
          <x:t xml:space="preserve">A.M. Morton</x:t>
        </x:is>
      </x:c>
      <x:c r="J268" s="25" t="inlineStr">
        <x:is>
          <x:t xml:space="preserve">GBR</x:t>
        </x:is>
      </x:c>
      <x:c r="K268" s="25" t="inlineStr">
        <x:is>
          <x:t xml:space="preserve">United Kingdom</x:t>
        </x:is>
      </x:c>
    </x:row>
    <x:row r="269">
      <x:c r="B269" s="24" t="inlineStr">
        <x:is>
          <x:t xml:space="preserve">P.D.H. Boothby Count</x:t>
        </x:is>
      </x:c>
      <x:c r="C269" s="25" t="n">
        <x:f>SUBTOTAL(3,C268:C268)</x:f>
        <x:v>1</x:v>
      </x:c>
    </x:row>
    <x:row r="270" hidden="1">
      <x:c r="A270" t="n">
        <x:v>1878</x:v>
      </x:c>
      <x:c r="B270" s="25" t="inlineStr">
        <x:is>
          <x:t xml:space="preserve">Men's</x:t>
        </x:is>
      </x:c>
      <x:c r="C270" s="25" t="inlineStr">
        <x:is>
          <x:t xml:space="preserve">P.F. Hadow</x:t>
        </x:is>
      </x:c>
      <x:c r="D270" s="25" t="inlineStr">
        <x:is>
          <x:t xml:space="preserve">GBR</x:t>
        </x:is>
      </x:c>
      <x:c r="E270" s="25" t="inlineStr">
        <x:is>
          <x:t xml:space="preserve">United Kingdom</x:t>
        </x:is>
      </x:c>
      <x:c r="H270" s="25" t="inlineStr">
        <x:is>
          <x:t xml:space="preserve">7-5,6-1,9-7</x:t>
        </x:is>
      </x:c>
      <x:c r="I270" s="25" t="inlineStr">
        <x:is>
          <x:t xml:space="preserve">S.W. Gore</x:t>
        </x:is>
      </x:c>
      <x:c r="J270" s="25" t="inlineStr">
        <x:is>
          <x:t xml:space="preserve">GBR</x:t>
        </x:is>
      </x:c>
      <x:c r="K270" s="25" t="inlineStr">
        <x:is>
          <x:t xml:space="preserve">United Kingdom</x:t>
        </x:is>
      </x:c>
    </x:row>
    <x:row r="271">
      <x:c r="B271" s="24" t="inlineStr">
        <x:is>
          <x:t xml:space="preserve">P.F. Hadow Count</x:t>
        </x:is>
      </x:c>
      <x:c r="C271" s="25" t="n">
        <x:f>SUBTOTAL(3,C270:C270)</x:f>
        <x:v>1</x:v>
      </x:c>
    </x:row>
    <x:row r="272" hidden="1">
      <x:c r="A272" t="n">
        <x:v>1969</x:v>
      </x:c>
      <x:c r="B272" s="25" t="inlineStr">
        <x:is>
          <x:t xml:space="preserve">Women's</x:t>
        </x:is>
      </x:c>
      <x:c r="C272" s="25" t="inlineStr">
        <x:is>
          <x:t xml:space="preserve">P.F. Jones</x:t>
        </x:is>
      </x:c>
      <x:c r="D272" s="25" t="inlineStr">
        <x:is>
          <x:t xml:space="preserve">GBR</x:t>
        </x:is>
      </x:c>
      <x:c r="E272" s="25" t="inlineStr">
        <x:is>
          <x:t xml:space="preserve">United Kingdom</x:t>
        </x:is>
      </x:c>
      <x:c r="F272" s="7" t="n">
        <x:v>4</x:v>
      </x:c>
      <x:c r="G272" s="7" t="n">
        <x:v>71</x:v>
      </x:c>
      <x:c r="H272" s="25" t="inlineStr">
        <x:is>
          <x:t xml:space="preserve">3-6,6-3,6-2,</x:t>
        </x:is>
      </x:c>
      <x:c r="I272" s="25" t="inlineStr">
        <x:is>
          <x:t xml:space="preserve">L.W. King</x:t>
        </x:is>
      </x:c>
      <x:c r="J272" s="25" t="inlineStr">
        <x:is>
          <x:t xml:space="preserve">USA</x:t>
        </x:is>
      </x:c>
      <x:c r="K272" s="25" t="inlineStr">
        <x:is>
          <x:t xml:space="preserve">United States</x:t>
        </x:is>
      </x:c>
      <x:c r="L272" s="7" t="n">
        <x:v>2</x:v>
      </x:c>
    </x:row>
    <x:row r="273">
      <x:c r="B273" s="24" t="inlineStr">
        <x:is>
          <x:t xml:space="preserve">P.F. Jones Count</x:t>
        </x:is>
      </x:c>
      <x:c r="C273" s="25" t="n">
        <x:f>SUBTOTAL(3,C272:C272)</x:f>
        <x:v>1</x:v>
      </x:c>
    </x:row>
    <x:row r="274" hidden="1">
      <x:c r="A274" t="n">
        <x:v>1987</x:v>
      </x:c>
      <x:c r="B274" s="25" t="inlineStr">
        <x:is>
          <x:t xml:space="preserve">Men's</x:t>
        </x:is>
      </x:c>
      <x:c r="C274" s="25" t="inlineStr">
        <x:is>
          <x:t xml:space="preserve">P.H. Cash</x:t>
        </x:is>
      </x:c>
      <x:c r="D274" s="25" t="inlineStr">
        <x:is>
          <x:t xml:space="preserve">AUS</x:t>
        </x:is>
      </x:c>
      <x:c r="E274" s="25" t="inlineStr">
        <x:is>
          <x:t xml:space="preserve">Australia</x:t>
        </x:is>
      </x:c>
      <x:c r="F274" s="7" t="n">
        <x:v>11</x:v>
      </x:c>
      <x:c r="G274" s="7" t="n">
        <x:v>165</x:v>
      </x:c>
      <x:c r="H274" s="25" t="inlineStr">
        <x:is>
          <x:t xml:space="preserve">7-6(7-5),6-2,7-5</x:t>
        </x:is>
      </x:c>
      <x:c r="I274" s="25" t="inlineStr">
        <x:is>
          <x:t xml:space="preserve">I. Lendl</x:t>
        </x:is>
      </x:c>
      <x:c r="J274" s="25" t="inlineStr">
        <x:is>
          <x:t xml:space="preserve">TCH</x:t>
        </x:is>
      </x:c>
      <x:c r="K274" s="25" t="inlineStr">
        <x:is>
          <x:t xml:space="preserve">Czechoslovakia</x:t>
        </x:is>
      </x:c>
      <x:c r="L274" s="7" t="n">
        <x:v>2</x:v>
      </x:c>
    </x:row>
    <x:row r="275">
      <x:c r="B275" s="24" t="inlineStr">
        <x:is>
          <x:t xml:space="preserve">P.H. Cash Count</x:t>
        </x:is>
      </x:c>
      <x:c r="C275" s="25" t="n">
        <x:f>SUBTOTAL(3,C274:C274)</x:f>
        <x:v>1</x:v>
      </x:c>
    </x:row>
    <x:row r="276" hidden="1">
      <x:c r="A276" t="n">
        <x:v>2011</x:v>
      </x:c>
      <x:c r="B276" s="25" t="inlineStr">
        <x:is>
          <x:t xml:space="preserve">Women's</x:t>
        </x:is>
      </x:c>
      <x:c r="C276" s="25" t="inlineStr">
        <x:is>
          <x:t xml:space="preserve">P.Kvitova</x:t>
        </x:is>
      </x:c>
      <x:c r="D276" s="25" t="inlineStr">
        <x:is>
          <x:t xml:space="preserve">CZE</x:t>
        </x:is>
      </x:c>
      <x:c r="E276" s="25" t="inlineStr">
        <x:is>
          <x:t xml:space="preserve">Czechia</x:t>
        </x:is>
      </x:c>
      <x:c r="F276" s="7" t="n">
        <x:v>8</x:v>
      </x:c>
      <x:c r="G276" s="7" t="n">
        <x:v>85</x:v>
      </x:c>
      <x:c r="H276" s="25" t="inlineStr">
        <x:is>
          <x:t xml:space="preserve">6-3,6-4</x:t>
        </x:is>
      </x:c>
      <x:c r="I276" s="25" t="inlineStr">
        <x:is>
          <x:t xml:space="preserve">M. Sharapova</x:t>
        </x:is>
      </x:c>
      <x:c r="J276" s="25" t="inlineStr">
        <x:is>
          <x:t xml:space="preserve">RUS</x:t>
        </x:is>
      </x:c>
      <x:c r="K276" s="25" t="inlineStr">
        <x:is>
          <x:t xml:space="preserve">Russia</x:t>
        </x:is>
      </x:c>
      <x:c r="L276" s="7" t="n">
        <x:v>5</x:v>
      </x:c>
    </x:row>
    <x:row r="277">
      <x:c r="B277" s="24" t="inlineStr">
        <x:is>
          <x:t xml:space="preserve">P.Kvitova Count</x:t>
        </x:is>
      </x:c>
      <x:c r="C277" s="25" t="n">
        <x:f>SUBTOTAL(3,C276:C276)</x:f>
        <x:v>1</x:v>
      </x:c>
    </x:row>
    <x:row r="278" hidden="1">
      <x:c r="A278" t="n">
        <x:v>1946</x:v>
      </x:c>
      <x:c r="B278" s="25" t="inlineStr">
        <x:is>
          <x:t xml:space="preserve">Women's</x:t>
        </x:is>
      </x:c>
      <x:c r="C278" s="25" t="inlineStr">
        <x:is>
          <x:t xml:space="preserve">P.M. Betz</x:t>
        </x:is>
      </x:c>
      <x:c r="D278" s="25" t="inlineStr">
        <x:is>
          <x:t xml:space="preserve">USA</x:t>
        </x:is>
      </x:c>
      <x:c r="E278" s="25" t="inlineStr">
        <x:is>
          <x:t xml:space="preserve">United States</x:t>
        </x:is>
      </x:c>
      <x:c r="F278" s="7" t="n">
        <x:v>1</x:v>
      </x:c>
      <x:c r="H278" s="25" t="inlineStr">
        <x:is>
          <x:t xml:space="preserve">6-2,6-4,</x:t>
        </x:is>
      </x:c>
      <x:c r="I278" s="25" t="inlineStr">
        <x:is>
          <x:t xml:space="preserve">A.L. Brough</x:t>
        </x:is>
      </x:c>
      <x:c r="J278" s="25" t="inlineStr">
        <x:is>
          <x:t xml:space="preserve">USA</x:t>
        </x:is>
      </x:c>
      <x:c r="K278" s="25" t="inlineStr">
        <x:is>
          <x:t xml:space="preserve">United States</x:t>
        </x:is>
      </x:c>
      <x:c r="L278" s="7" t="n">
        <x:v>3</x:v>
      </x:c>
    </x:row>
    <x:row r="279">
      <x:c r="B279" s="24" t="inlineStr">
        <x:is>
          <x:t xml:space="preserve">P.M. Betz Count</x:t>
        </x:is>
      </x:c>
      <x:c r="C279" s="25" t="n">
        <x:f>SUBTOTAL(3,C278:C278)</x:f>
        <x:v>1</x:v>
      </x:c>
    </x:row>
    <x:row r="280" hidden="1">
      <x:c r="A280" t="n">
        <x:v>1948</x:v>
      </x:c>
      <x:c r="B280" s="25" t="inlineStr">
        <x:is>
          <x:t xml:space="preserve">Men's</x:t>
        </x:is>
      </x:c>
      <x:c r="C280" s="25" t="inlineStr">
        <x:is>
          <x:t xml:space="preserve">R. Falkenburg</x:t>
        </x:is>
      </x:c>
      <x:c r="D280" s="25" t="inlineStr">
        <x:is>
          <x:t xml:space="preserve">USA</x:t>
        </x:is>
      </x:c>
      <x:c r="E280" s="25" t="inlineStr">
        <x:is>
          <x:t xml:space="preserve">United States</x:t>
        </x:is>
      </x:c>
      <x:c r="F280" s="7" t="n">
        <x:v>7</x:v>
      </x:c>
      <x:c r="G280" s="7" t="n">
        <x:v>125</x:v>
      </x:c>
      <x:c r="H280" s="25" t="inlineStr">
        <x:is>
          <x:t xml:space="preserve">7-5,0-6,6-2,3-6,7-5</x:t>
        </x:is>
      </x:c>
      <x:c r="I280" s="25" t="inlineStr">
        <x:is>
          <x:t xml:space="preserve">J.E. Bromwich</x:t>
        </x:is>
      </x:c>
      <x:c r="J280" s="25" t="inlineStr">
        <x:is>
          <x:t xml:space="preserve">AUS</x:t>
        </x:is>
      </x:c>
      <x:c r="K280" s="25" t="inlineStr">
        <x:is>
          <x:t xml:space="preserve">Australia</x:t>
        </x:is>
      </x:c>
      <x:c r="L280" s="7" t="n">
        <x:v>2</x:v>
      </x:c>
    </x:row>
    <x:row r="281">
      <x:c r="B281" s="24" t="inlineStr">
        <x:is>
          <x:t xml:space="preserve">R. Falkenburg Count</x:t>
        </x:is>
      </x:c>
      <x:c r="C281" s="25" t="n">
        <x:f>SUBTOTAL(3,C280:C280)</x:f>
        <x:v>1</x:v>
      </x:c>
    </x:row>
    <x:row r="282" hidden="1">
      <x:c r="A282" t="n">
        <x:v>2017</x:v>
      </x:c>
      <x:c r="B282" s="25" t="inlineStr">
        <x:is>
          <x:t xml:space="preserve">Men's</x:t>
        </x:is>
      </x:c>
      <x:c r="C282" s="25" t="inlineStr">
        <x:is>
          <x:t xml:space="preserve">R. Federer</x:t>
        </x:is>
      </x:c>
      <x:c r="D282" s="25" t="inlineStr">
        <x:is>
          <x:t xml:space="preserve">SUI</x:t>
        </x:is>
      </x:c>
      <x:c r="E282" s="25" t="inlineStr">
        <x:is>
          <x:t xml:space="preserve">Switzerland</x:t>
        </x:is>
      </x:c>
      <x:c r="F282" s="7" t="n">
        <x:v>3</x:v>
      </x:c>
      <x:c r="G282" s="7" t="n">
        <x:v>101</x:v>
      </x:c>
      <x:c r="H282" s="25" t="inlineStr">
        <x:is>
          <x:t xml:space="preserve">6-3,6-1,6-4</x:t>
        </x:is>
      </x:c>
      <x:c r="I282" s="25" t="inlineStr">
        <x:is>
          <x:t xml:space="preserve">M.Cilic</x:t>
        </x:is>
      </x:c>
      <x:c r="J282" s="25" t="inlineStr">
        <x:is>
          <x:t xml:space="preserve">HRV</x:t>
        </x:is>
      </x:c>
      <x:c r="K282" s="25" t="inlineStr">
        <x:is>
          <x:t xml:space="preserve">Croatiaatia</x:t>
        </x:is>
      </x:c>
      <x:c r="L282" s="7" t="n">
        <x:v>7</x:v>
      </x:c>
    </x:row>
    <x:row r="283" hidden="1">
      <x:c r="A283" t="n">
        <x:v>2012</x:v>
      </x:c>
      <x:c r="B283" s="25" t="inlineStr">
        <x:is>
          <x:t xml:space="preserve">Men's</x:t>
        </x:is>
      </x:c>
      <x:c r="C283" s="25" t="inlineStr">
        <x:is>
          <x:t xml:space="preserve">R. Federer</x:t>
        </x:is>
      </x:c>
      <x:c r="D283" s="25" t="inlineStr">
        <x:is>
          <x:t xml:space="preserve">SUI</x:t>
        </x:is>
      </x:c>
      <x:c r="E283" s="25" t="inlineStr">
        <x:is>
          <x:t xml:space="preserve">Switzerland</x:t>
        </x:is>
      </x:c>
      <x:c r="F283" s="7" t="n">
        <x:v>3</x:v>
      </x:c>
      <x:c r="G283" s="7" t="n">
        <x:v>204</x:v>
      </x:c>
      <x:c r="H283" s="25" t="inlineStr">
        <x:is>
          <x:t xml:space="preserve">4-6,7-5,6-3,6-4</x:t>
        </x:is>
      </x:c>
      <x:c r="I283" s="25" t="inlineStr">
        <x:is>
          <x:t xml:space="preserve">A. Murray</x:t>
        </x:is>
      </x:c>
      <x:c r="J283" s="25" t="inlineStr">
        <x:is>
          <x:t xml:space="preserve">GBR</x:t>
        </x:is>
      </x:c>
      <x:c r="K283" s="25" t="inlineStr">
        <x:is>
          <x:t xml:space="preserve">United Kingdom</x:t>
        </x:is>
      </x:c>
      <x:c r="L283" s="7" t="n">
        <x:v>4</x:v>
      </x:c>
    </x:row>
    <x:row r="284" hidden="1">
      <x:c r="A284" t="n">
        <x:v>2009</x:v>
      </x:c>
      <x:c r="B284" s="25" t="inlineStr">
        <x:is>
          <x:t xml:space="preserve">Men's</x:t>
        </x:is>
      </x:c>
      <x:c r="C284" s="25" t="inlineStr">
        <x:is>
          <x:t xml:space="preserve">R. Federer</x:t>
        </x:is>
      </x:c>
      <x:c r="D284" s="25" t="inlineStr">
        <x:is>
          <x:t xml:space="preserve">SUI</x:t>
        </x:is>
      </x:c>
      <x:c r="E284" s="25" t="inlineStr">
        <x:is>
          <x:t xml:space="preserve">Switzerland</x:t>
        </x:is>
      </x:c>
      <x:c r="F284" s="7" t="n">
        <x:v>2</x:v>
      </x:c>
      <x:c r="G284" s="7" t="n">
        <x:v>256</x:v>
      </x:c>
      <x:c r="H284" s="25" t="inlineStr">
        <x:is>
          <x:t xml:space="preserve">5-7,7-6(8-6),7-6(7-5),3-6,16-14</x:t>
        </x:is>
      </x:c>
      <x:c r="I284" s="25" t="inlineStr">
        <x:is>
          <x:t xml:space="preserve">A. Roddick</x:t>
        </x:is>
      </x:c>
      <x:c r="J284" s="25" t="inlineStr">
        <x:is>
          <x:t xml:space="preserve">USA</x:t>
        </x:is>
      </x:c>
      <x:c r="K284" s="25" t="inlineStr">
        <x:is>
          <x:t xml:space="preserve">United States</x:t>
        </x:is>
      </x:c>
      <x:c r="L284" s="7" t="n">
        <x:v>6</x:v>
      </x:c>
    </x:row>
    <x:row r="285" hidden="1">
      <x:c r="A285" t="n">
        <x:v>2007</x:v>
      </x:c>
      <x:c r="B285" s="25" t="inlineStr">
        <x:is>
          <x:t xml:space="preserve">Men's</x:t>
        </x:is>
      </x:c>
      <x:c r="C285" s="25" t="inlineStr">
        <x:is>
          <x:t xml:space="preserve">R. Federer</x:t>
        </x:is>
      </x:c>
      <x:c r="D285" s="25" t="inlineStr">
        <x:is>
          <x:t xml:space="preserve">SUI</x:t>
        </x:is>
      </x:c>
      <x:c r="E285" s="25" t="inlineStr">
        <x:is>
          <x:t xml:space="preserve">Switzerland</x:t>
        </x:is>
      </x:c>
      <x:c r="F285" s="7" t="n">
        <x:v>1</x:v>
      </x:c>
      <x:c r="G285" s="7" t="n">
        <x:v>225</x:v>
      </x:c>
      <x:c r="H285" s="25" t="inlineStr">
        <x:is>
          <x:t xml:space="preserve">7-6(9-7),4-6,7-6(7-3),2-6,6-2</x:t>
        </x:is>
      </x:c>
      <x:c r="I285" s="25" t="inlineStr">
        <x:is>
          <x:t xml:space="preserve">R. Nadal</x:t>
        </x:is>
      </x:c>
      <x:c r="J285" s="25" t="inlineStr">
        <x:is>
          <x:t xml:space="preserve">ESP</x:t>
        </x:is>
      </x:c>
      <x:c r="K285" s="25" t="inlineStr">
        <x:is>
          <x:t xml:space="preserve">Spain</x:t>
        </x:is>
      </x:c>
      <x:c r="L285" s="7" t="n">
        <x:v>2</x:v>
      </x:c>
    </x:row>
    <x:row r="286" hidden="1">
      <x:c r="A286" t="n">
        <x:v>2006</x:v>
      </x:c>
      <x:c r="B286" s="25" t="inlineStr">
        <x:is>
          <x:t xml:space="preserve">Men's</x:t>
        </x:is>
      </x:c>
      <x:c r="C286" s="25" t="inlineStr">
        <x:is>
          <x:t xml:space="preserve">R. Federer</x:t>
        </x:is>
      </x:c>
      <x:c r="D286" s="25" t="inlineStr">
        <x:is>
          <x:t xml:space="preserve">SUI</x:t>
        </x:is>
      </x:c>
      <x:c r="E286" s="25" t="inlineStr">
        <x:is>
          <x:t xml:space="preserve">Switzerland</x:t>
        </x:is>
      </x:c>
      <x:c r="F286" s="7" t="n">
        <x:v>1</x:v>
      </x:c>
      <x:c r="G286" s="7" t="n">
        <x:v>170</x:v>
      </x:c>
      <x:c r="H286" s="25" t="inlineStr">
        <x:is>
          <x:t xml:space="preserve">6-0,7-6(7-5),6-7(2-7),6-3</x:t>
        </x:is>
      </x:c>
      <x:c r="I286" s="25" t="inlineStr">
        <x:is>
          <x:t xml:space="preserve">R. Nadal</x:t>
        </x:is>
      </x:c>
      <x:c r="J286" s="25" t="inlineStr">
        <x:is>
          <x:t xml:space="preserve">ESP</x:t>
        </x:is>
      </x:c>
      <x:c r="K286" s="25" t="inlineStr">
        <x:is>
          <x:t xml:space="preserve">Spain</x:t>
        </x:is>
      </x:c>
      <x:c r="L286" s="7" t="n">
        <x:v>2</x:v>
      </x:c>
    </x:row>
    <x:row r="287" hidden="1">
      <x:c r="A287" t="n">
        <x:v>2005</x:v>
      </x:c>
      <x:c r="B287" s="25" t="inlineStr">
        <x:is>
          <x:t xml:space="preserve">Men's</x:t>
        </x:is>
      </x:c>
      <x:c r="C287" s="25" t="inlineStr">
        <x:is>
          <x:t xml:space="preserve">R. Federer</x:t>
        </x:is>
      </x:c>
      <x:c r="D287" s="25" t="inlineStr">
        <x:is>
          <x:t xml:space="preserve">SUI</x:t>
        </x:is>
      </x:c>
      <x:c r="E287" s="25" t="inlineStr">
        <x:is>
          <x:t xml:space="preserve">Switzerland</x:t>
        </x:is>
      </x:c>
      <x:c r="F287" s="7" t="n">
        <x:v>1</x:v>
      </x:c>
      <x:c r="G287" s="7" t="n">
        <x:v>101</x:v>
      </x:c>
      <x:c r="H287" s="25" t="inlineStr">
        <x:is>
          <x:t xml:space="preserve">6-2,7-6(7-2),6-4</x:t>
        </x:is>
      </x:c>
      <x:c r="I287" s="25" t="inlineStr">
        <x:is>
          <x:t xml:space="preserve">A. Roddick</x:t>
        </x:is>
      </x:c>
      <x:c r="J287" s="25" t="inlineStr">
        <x:is>
          <x:t xml:space="preserve">USA</x:t>
        </x:is>
      </x:c>
      <x:c r="K287" s="25" t="inlineStr">
        <x:is>
          <x:t xml:space="preserve">United States</x:t>
        </x:is>
      </x:c>
      <x:c r="L287" s="7" t="n">
        <x:v>2</x:v>
      </x:c>
    </x:row>
    <x:row r="288" hidden="1">
      <x:c r="A288" t="n">
        <x:v>2004</x:v>
      </x:c>
      <x:c r="B288" s="25" t="inlineStr">
        <x:is>
          <x:t xml:space="preserve">Men's</x:t>
        </x:is>
      </x:c>
      <x:c r="C288" s="25" t="inlineStr">
        <x:is>
          <x:t xml:space="preserve">R. Federer</x:t>
        </x:is>
      </x:c>
      <x:c r="D288" s="25" t="inlineStr">
        <x:is>
          <x:t xml:space="preserve">SUI</x:t>
        </x:is>
      </x:c>
      <x:c r="E288" s="25" t="inlineStr">
        <x:is>
          <x:t xml:space="preserve">Switzerland</x:t>
        </x:is>
      </x:c>
      <x:c r="F288" s="7" t="n">
        <x:v>1</x:v>
      </x:c>
      <x:c r="G288" s="7" t="n">
        <x:v>151</x:v>
      </x:c>
      <x:c r="H288" s="25" t="inlineStr">
        <x:is>
          <x:t xml:space="preserve">4-6,7-5,7-6(7-3),6-4</x:t>
        </x:is>
      </x:c>
      <x:c r="I288" s="25" t="inlineStr">
        <x:is>
          <x:t xml:space="preserve">A. Roddick</x:t>
        </x:is>
      </x:c>
      <x:c r="J288" s="25" t="inlineStr">
        <x:is>
          <x:t xml:space="preserve">USA</x:t>
        </x:is>
      </x:c>
      <x:c r="K288" s="25" t="inlineStr">
        <x:is>
          <x:t xml:space="preserve">United States</x:t>
        </x:is>
      </x:c>
      <x:c r="L288" s="7" t="n">
        <x:v>2</x:v>
      </x:c>
    </x:row>
    <x:row r="289" s="7" customFormat="1" hidden="1">
      <x:c r="A289" t="n">
        <x:v>2003</x:v>
      </x:c>
      <x:c r="B289" s="25" t="inlineStr">
        <x:is>
          <x:t xml:space="preserve">Men's</x:t>
        </x:is>
      </x:c>
      <x:c r="C289" s="25" t="inlineStr">
        <x:is>
          <x:t xml:space="preserve">R. Federer</x:t>
        </x:is>
      </x:c>
      <x:c r="D289" s="25" t="inlineStr">
        <x:is>
          <x:t xml:space="preserve">SUI</x:t>
        </x:is>
      </x:c>
      <x:c r="E289" s="25" t="inlineStr">
        <x:is>
          <x:t xml:space="preserve">Switzerland</x:t>
        </x:is>
      </x:c>
      <x:c r="F289" s="7" t="n">
        <x:v>4</x:v>
      </x:c>
      <x:c r="G289" s="7" t="n">
        <x:v>119</x:v>
      </x:c>
      <x:c r="H289" s="25" t="inlineStr">
        <x:is>
          <x:t xml:space="preserve">7-6(7-5),6-2,7-6(7-3)</x:t>
        </x:is>
      </x:c>
      <x:c r="I289" s="25" t="inlineStr">
        <x:is>
          <x:t xml:space="preserve">M. Philippousis</x:t>
        </x:is>
      </x:c>
      <x:c r="J289" s="25" t="inlineStr">
        <x:is>
          <x:t xml:space="preserve">AUS</x:t>
        </x:is>
      </x:c>
      <x:c r="K289" s="25" t="inlineStr">
        <x:is>
          <x:t xml:space="preserve">Australia</x:t>
        </x:is>
      </x:c>
      <x:c r="L289" s="7" t="inlineStr">
        <x:is>
          <x:t xml:space="preserve">U</x:t>
        </x:is>
      </x:c>
    </x:row>
    <x:row r="290" s="7" customFormat="1">
      <x:c r="B290" s="24" t="inlineStr">
        <x:is>
          <x:t xml:space="preserve">R. Federer Count</x:t>
        </x:is>
      </x:c>
      <x:c r="C290" s="25" t="n">
        <x:f>SUBTOTAL(3,C282:C289)</x:f>
        <x:v>8</x:v>
      </x:c>
      <x:c r="D290" s="25" t="n"/>
      <x:c r="E290" s="25" t="n"/>
      <x:c r="H290" s="25" t="n"/>
      <x:c r="I290" s="25" t="n"/>
      <x:c r="J290" s="25" t="n"/>
      <x:c r="K290" s="25" t="n"/>
    </x:row>
    <x:row r="291" s="7" customFormat="1" hidden="1">
      <x:c r="A291" t="n">
        <x:v>2010</x:v>
      </x:c>
      <x:c r="B291" s="25" t="inlineStr">
        <x:is>
          <x:t xml:space="preserve">Men's</x:t>
        </x:is>
      </x:c>
      <x:c r="C291" s="25" t="inlineStr">
        <x:is>
          <x:t xml:space="preserve">R. Nadal</x:t>
        </x:is>
      </x:c>
      <x:c r="D291" s="25" t="inlineStr">
        <x:is>
          <x:t xml:space="preserve">ESP</x:t>
        </x:is>
      </x:c>
      <x:c r="E291" s="25" t="inlineStr">
        <x:is>
          <x:t xml:space="preserve">Spain</x:t>
        </x:is>
      </x:c>
      <x:c r="F291" s="7" t="n">
        <x:v>2</x:v>
      </x:c>
      <x:c r="G291" s="7" t="n">
        <x:v>133</x:v>
      </x:c>
      <x:c r="H291" s="25" t="inlineStr">
        <x:is>
          <x:t xml:space="preserve">6-3,7-5,6-4</x:t>
        </x:is>
      </x:c>
      <x:c r="I291" s="25" t="inlineStr">
        <x:is>
          <x:t xml:space="preserve">T. Berdych</x:t>
        </x:is>
      </x:c>
      <x:c r="J291" s="25" t="inlineStr">
        <x:is>
          <x:t xml:space="preserve">CZ</x:t>
        </x:is>
      </x:c>
      <x:c r="K291" s="25" t="inlineStr">
        <x:is>
          <x:t xml:space="preserve">Czechia</x:t>
        </x:is>
      </x:c>
      <x:c r="L291" s="7" t="n">
        <x:v>12</x:v>
      </x:c>
    </x:row>
    <x:row r="292" s="7" customFormat="1" hidden="1">
      <x:c r="A292" t="n">
        <x:v>2008</x:v>
      </x:c>
      <x:c r="B292" s="25" t="inlineStr">
        <x:is>
          <x:t xml:space="preserve">Men's</x:t>
        </x:is>
      </x:c>
      <x:c r="C292" s="25" t="inlineStr">
        <x:is>
          <x:t xml:space="preserve">R. Nadal</x:t>
        </x:is>
      </x:c>
      <x:c r="D292" s="25" t="inlineStr">
        <x:is>
          <x:t xml:space="preserve">ESP</x:t>
        </x:is>
      </x:c>
      <x:c r="E292" s="25" t="inlineStr">
        <x:is>
          <x:t xml:space="preserve">Spain</x:t>
        </x:is>
      </x:c>
      <x:c r="F292" s="7" t="n">
        <x:v>2</x:v>
      </x:c>
      <x:c r="G292" s="7" t="n">
        <x:v>288</x:v>
      </x:c>
      <x:c r="H292" s="25" t="inlineStr">
        <x:is>
          <x:t xml:space="preserve">6-4,6-4,6-7(5-7),6-7(8-10),9-7</x:t>
        </x:is>
      </x:c>
      <x:c r="I292" s="25" t="inlineStr">
        <x:is>
          <x:t xml:space="preserve">R. Federer</x:t>
        </x:is>
      </x:c>
      <x:c r="J292" s="25" t="inlineStr">
        <x:is>
          <x:t xml:space="preserve">SUI</x:t>
        </x:is>
      </x:c>
      <x:c r="K292" s="25" t="inlineStr">
        <x:is>
          <x:t xml:space="preserve">Switzerland</x:t>
        </x:is>
      </x:c>
      <x:c r="L292" s="7" t="n">
        <x:v>1</x:v>
      </x:c>
    </x:row>
    <x:row r="293" s="7" customFormat="1">
      <x:c r="B293" s="24" t="inlineStr">
        <x:is>
          <x:t xml:space="preserve">R. Nadal Count</x:t>
        </x:is>
      </x:c>
      <x:c r="C293" s="25" t="n">
        <x:f>SUBTOTAL(3,C291:C292)</x:f>
        <x:v>2</x:v>
      </x:c>
      <x:c r="D293" s="25" t="n"/>
      <x:c r="E293" s="25" t="n"/>
      <x:c r="H293" s="25" t="n"/>
      <x:c r="I293" s="25" t="n"/>
      <x:c r="J293" s="25" t="n"/>
      <x:c r="K293" s="25" t="n"/>
    </x:row>
    <x:row r="294" s="7" customFormat="1" hidden="1">
      <x:c r="A294" t="n">
        <x:v>1951</x:v>
      </x:c>
      <x:c r="B294" s="25" t="inlineStr">
        <x:is>
          <x:t xml:space="preserve">Men's</x:t>
        </x:is>
      </x:c>
      <x:c r="C294" s="25" t="inlineStr">
        <x:is>
          <x:t xml:space="preserve">R. Savitt</x:t>
        </x:is>
      </x:c>
      <x:c r="D294" s="25" t="inlineStr">
        <x:is>
          <x:t xml:space="preserve">USA</x:t>
        </x:is>
      </x:c>
      <x:c r="E294" s="25" t="inlineStr">
        <x:is>
          <x:t xml:space="preserve">United States</x:t>
        </x:is>
      </x:c>
      <x:c r="F294" s="7" t="n">
        <x:v>6</x:v>
      </x:c>
      <x:c r="G294" s="7" t="n">
        <x:v>62</x:v>
      </x:c>
      <x:c r="H294" s="25" t="inlineStr">
        <x:is>
          <x:t xml:space="preserve">6-4,6-4,6-4</x:t>
        </x:is>
      </x:c>
      <x:c r="I294" s="25" t="inlineStr">
        <x:is>
          <x:t xml:space="preserve">K.B. McGregor</x:t>
        </x:is>
      </x:c>
      <x:c r="J294" s="25" t="inlineStr">
        <x:is>
          <x:t xml:space="preserve">AUS</x:t>
        </x:is>
      </x:c>
      <x:c r="K294" s="25" t="inlineStr">
        <x:is>
          <x:t xml:space="preserve">Australia</x:t>
        </x:is>
      </x:c>
      <x:c r="L294" s="7" t="n">
        <x:v>7</x:v>
      </x:c>
    </x:row>
    <x:row r="295" s="7" customFormat="1">
      <x:c r="B295" s="24" t="inlineStr">
        <x:is>
          <x:t xml:space="preserve">R. Savitt Count</x:t>
        </x:is>
      </x:c>
      <x:c r="C295" s="25" t="n">
        <x:f>SUBTOTAL(3,C294:C294)</x:f>
        <x:v>1</x:v>
      </x:c>
      <x:c r="D295" s="25" t="n"/>
      <x:c r="E295" s="25" t="n"/>
      <x:c r="H295" s="25" t="n"/>
      <x:c r="I295" s="25" t="n"/>
      <x:c r="J295" s="25" t="n"/>
      <x:c r="K295" s="25" t="n"/>
    </x:row>
    <x:row r="296" s="7" customFormat="1" hidden="1">
      <x:c r="A296" t="n">
        <x:v>1980</x:v>
      </x:c>
      <x:c r="B296" s="25" t="inlineStr">
        <x:is>
          <x:t xml:space="preserve">Women's</x:t>
        </x:is>
      </x:c>
      <x:c r="C296" s="25" t="inlineStr">
        <x:is>
          <x:t xml:space="preserve">R.A. Cawley</x:t>
        </x:is>
      </x:c>
      <x:c r="D296" s="25" t="inlineStr">
        <x:is>
          <x:t xml:space="preserve">AUS</x:t>
        </x:is>
      </x:c>
      <x:c r="E296" s="25" t="inlineStr">
        <x:is>
          <x:t xml:space="preserve">Australia</x:t>
        </x:is>
      </x:c>
      <x:c r="F296" s="7" t="n">
        <x:v>4</x:v>
      </x:c>
      <x:c r="G296" s="7" t="n">
        <x:v>93</x:v>
      </x:c>
      <x:c r="H296" s="25" t="inlineStr">
        <x:is>
          <x:t xml:space="preserve">6-1,7-6(7-4)</x:t>
        </x:is>
      </x:c>
      <x:c r="I296" s="25" t="inlineStr">
        <x:is>
          <x:t xml:space="preserve">J.M. Lloyd</x:t>
        </x:is>
      </x:c>
      <x:c r="J296" s="25" t="inlineStr">
        <x:is>
          <x:t xml:space="preserve">USA</x:t>
        </x:is>
      </x:c>
      <x:c r="K296" s="25" t="inlineStr">
        <x:is>
          <x:t xml:space="preserve">United States</x:t>
        </x:is>
      </x:c>
      <x:c r="L296" s="7" t="n">
        <x:v>3</x:v>
      </x:c>
    </x:row>
    <x:row r="297" s="7" customFormat="1">
      <x:c r="B297" s="24" t="inlineStr">
        <x:is>
          <x:t xml:space="preserve">R.A. Cawley Count</x:t>
        </x:is>
      </x:c>
      <x:c r="C297" s="25" t="n">
        <x:f>SUBTOTAL(3,C296:C296)</x:f>
        <x:v>1</x:v>
      </x:c>
      <x:c r="D297" s="25" t="n"/>
      <x:c r="E297" s="25" t="n"/>
      <x:c r="H297" s="25" t="n"/>
      <x:c r="I297" s="25" t="n"/>
      <x:c r="J297" s="25" t="n"/>
      <x:c r="K297" s="25" t="n"/>
    </x:row>
    <x:row r="298" s="7" customFormat="1" hidden="1">
      <x:c r="A298" t="n">
        <x:v>1900</x:v>
      </x:c>
      <x:c r="B298" s="25" t="inlineStr">
        <x:is>
          <x:t xml:space="preserve">Men's</x:t>
        </x:is>
      </x:c>
      <x:c r="C298" s="25" t="inlineStr">
        <x:is>
          <x:t xml:space="preserve">R.F. Doherty</x:t>
        </x:is>
      </x:c>
      <x:c r="D298" s="25" t="inlineStr">
        <x:is>
          <x:t xml:space="preserve">GBR</x:t>
        </x:is>
      </x:c>
      <x:c r="E298" s="25" t="inlineStr">
        <x:is>
          <x:t xml:space="preserve">United Kingdom</x:t>
        </x:is>
      </x:c>
      <x:c r="H298" s="25" t="inlineStr">
        <x:is>
          <x:t xml:space="preserve">6-8,6-3,6-1,6-2</x:t>
        </x:is>
      </x:c>
      <x:c r="I298" s="25" t="inlineStr">
        <x:is>
          <x:t xml:space="preserve">S.H. Smith</x:t>
        </x:is>
      </x:c>
      <x:c r="J298" s="25" t="inlineStr">
        <x:is>
          <x:t xml:space="preserve">GBR</x:t>
        </x:is>
      </x:c>
      <x:c r="K298" s="25" t="inlineStr">
        <x:is>
          <x:t xml:space="preserve">United Kingdom</x:t>
        </x:is>
      </x:c>
    </x:row>
    <x:row r="299" s="7" customFormat="1" hidden="1">
      <x:c r="A299" t="n">
        <x:v>1899</x:v>
      </x:c>
      <x:c r="B299" s="25" t="inlineStr">
        <x:is>
          <x:t xml:space="preserve">Men's</x:t>
        </x:is>
      </x:c>
      <x:c r="C299" s="25" t="inlineStr">
        <x:is>
          <x:t xml:space="preserve">R.F. Doherty</x:t>
        </x:is>
      </x:c>
      <x:c r="D299" s="25" t="inlineStr">
        <x:is>
          <x:t xml:space="preserve">GBR</x:t>
        </x:is>
      </x:c>
      <x:c r="E299" s="25" t="inlineStr">
        <x:is>
          <x:t xml:space="preserve">United Kingdom</x:t>
        </x:is>
      </x:c>
      <x:c r="H299" s="25" t="inlineStr">
        <x:is>
          <x:t xml:space="preserve">1-6,4-6,6-3,6-3,6-3</x:t>
        </x:is>
      </x:c>
      <x:c r="I299" s="25" t="inlineStr">
        <x:is>
          <x:t xml:space="preserve">A.W. Gore</x:t>
        </x:is>
      </x:c>
      <x:c r="J299" s="25" t="inlineStr">
        <x:is>
          <x:t xml:space="preserve">GBR</x:t>
        </x:is>
      </x:c>
      <x:c r="K299" s="25" t="inlineStr">
        <x:is>
          <x:t xml:space="preserve">United Kingdom</x:t>
        </x:is>
      </x:c>
    </x:row>
    <x:row r="300" s="7" customFormat="1" hidden="1">
      <x:c r="A300" t="n">
        <x:v>1898</x:v>
      </x:c>
      <x:c r="B300" s="25" t="inlineStr">
        <x:is>
          <x:t xml:space="preserve">Men's</x:t>
        </x:is>
      </x:c>
      <x:c r="C300" s="25" t="inlineStr">
        <x:is>
          <x:t xml:space="preserve">R.F. Doherty</x:t>
        </x:is>
      </x:c>
      <x:c r="D300" s="25" t="inlineStr">
        <x:is>
          <x:t xml:space="preserve">GBR</x:t>
        </x:is>
      </x:c>
      <x:c r="E300" s="25" t="inlineStr">
        <x:is>
          <x:t xml:space="preserve">United Kingdom</x:t>
        </x:is>
      </x:c>
      <x:c r="G300" s="7" t="n">
        <x:v>55</x:v>
      </x:c>
      <x:c r="H300" s="25" t="inlineStr">
        <x:is>
          <x:t xml:space="preserve">6-3,6-3,2-6,5-7,6-1</x:t>
        </x:is>
      </x:c>
      <x:c r="I300" s="25" t="inlineStr">
        <x:is>
          <x:t xml:space="preserve">H.L. Doherty</x:t>
        </x:is>
      </x:c>
      <x:c r="J300" s="25" t="inlineStr">
        <x:is>
          <x:t xml:space="preserve">GBR</x:t>
        </x:is>
      </x:c>
      <x:c r="K300" s="25" t="inlineStr">
        <x:is>
          <x:t xml:space="preserve">United Kingdom</x:t>
        </x:is>
      </x:c>
    </x:row>
    <x:row r="301" s="7" customFormat="1" hidden="1">
      <x:c r="A301" t="n">
        <x:v>1897</x:v>
      </x:c>
      <x:c r="B301" s="25" t="inlineStr">
        <x:is>
          <x:t xml:space="preserve">Men's</x:t>
        </x:is>
      </x:c>
      <x:c r="C301" s="25" t="inlineStr">
        <x:is>
          <x:t xml:space="preserve">R.F. Doherty</x:t>
        </x:is>
      </x:c>
      <x:c r="D301" s="25" t="inlineStr">
        <x:is>
          <x:t xml:space="preserve">GBR</x:t>
        </x:is>
      </x:c>
      <x:c r="E301" s="25" t="inlineStr">
        <x:is>
          <x:t xml:space="preserve">United Kingdom</x:t>
        </x:is>
      </x:c>
      <x:c r="G301" s="7" t="n">
        <x:v>67</x:v>
      </x:c>
      <x:c r="H301" s="25" t="inlineStr">
        <x:is>
          <x:t xml:space="preserve">6-4,6-4,6-3</x:t>
        </x:is>
      </x:c>
      <x:c r="I301" s="25" t="inlineStr">
        <x:is>
          <x:t xml:space="preserve">H.S. Mahony</x:t>
        </x:is>
      </x:c>
      <x:c r="J301" s="25" t="inlineStr">
        <x:is>
          <x:t xml:space="preserve">GBR</x:t>
        </x:is>
      </x:c>
      <x:c r="K301" s="25" t="inlineStr">
        <x:is>
          <x:t xml:space="preserve">United Kingdom</x:t>
        </x:is>
      </x:c>
    </x:row>
    <x:row r="302" s="7" customFormat="1">
      <x:c r="B302" s="24" t="inlineStr">
        <x:is>
          <x:t xml:space="preserve">R.F. Doherty Count</x:t>
        </x:is>
      </x:c>
      <x:c r="C302" s="25" t="n">
        <x:f>SUBTOTAL(3,C298:C301)</x:f>
        <x:v>4</x:v>
      </x:c>
      <x:c r="D302" s="25" t="n"/>
      <x:c r="E302" s="25" t="n"/>
      <x:c r="H302" s="25" t="n"/>
      <x:c r="I302" s="25" t="n"/>
      <x:c r="J302" s="25" t="n"/>
      <x:c r="K302" s="25" t="n"/>
    </x:row>
    <x:row r="303" s="7" customFormat="1" hidden="1">
      <x:c r="A303" t="n">
        <x:v>1969</x:v>
      </x:c>
      <x:c r="B303" s="25" t="inlineStr">
        <x:is>
          <x:t xml:space="preserve">Men's</x:t>
        </x:is>
      </x:c>
      <x:c r="C303" s="25" t="inlineStr">
        <x:is>
          <x:t xml:space="preserve">R.G. Laver</x:t>
        </x:is>
      </x:c>
      <x:c r="D303" s="25" t="inlineStr">
        <x:is>
          <x:t xml:space="preserve">AUS</x:t>
        </x:is>
      </x:c>
      <x:c r="E303" s="25" t="inlineStr">
        <x:is>
          <x:t xml:space="preserve">Australia</x:t>
        </x:is>
      </x:c>
      <x:c r="F303" s="7" t="n">
        <x:v>1</x:v>
      </x:c>
      <x:c r="G303" s="7" t="n">
        <x:v>136</x:v>
      </x:c>
      <x:c r="H303" s="25" t="inlineStr">
        <x:is>
          <x:t xml:space="preserve">6-4,5-7,6-4,6-4</x:t>
        </x:is>
      </x:c>
      <x:c r="I303" s="25" t="inlineStr">
        <x:is>
          <x:t xml:space="preserve">J.D. Newcombe</x:t>
        </x:is>
      </x:c>
      <x:c r="J303" s="25" t="inlineStr">
        <x:is>
          <x:t xml:space="preserve">AUS</x:t>
        </x:is>
      </x:c>
      <x:c r="K303" s="25" t="inlineStr">
        <x:is>
          <x:t xml:space="preserve">Australia</x:t>
        </x:is>
      </x:c>
      <x:c r="L303" s="7" t="n">
        <x:v>6</x:v>
      </x:c>
    </x:row>
    <x:row r="304" s="7" customFormat="1" hidden="1">
      <x:c r="A304" t="n">
        <x:v>1968</x:v>
      </x:c>
      <x:c r="B304" s="25" t="inlineStr">
        <x:is>
          <x:t xml:space="preserve">Men's</x:t>
        </x:is>
      </x:c>
      <x:c r="C304" s="25" t="inlineStr">
        <x:is>
          <x:t xml:space="preserve">R.G. Laver</x:t>
        </x:is>
      </x:c>
      <x:c r="D304" s="25" t="inlineStr">
        <x:is>
          <x:t xml:space="preserve">AUS</x:t>
        </x:is>
      </x:c>
      <x:c r="E304" s="25" t="inlineStr">
        <x:is>
          <x:t xml:space="preserve">Australia</x:t>
        </x:is>
      </x:c>
      <x:c r="F304" s="7" t="n">
        <x:v>1</x:v>
      </x:c>
      <x:c r="G304" s="7" t="n">
        <x:v>60</x:v>
      </x:c>
      <x:c r="H304" s="25" t="inlineStr">
        <x:is>
          <x:t xml:space="preserve">6-3,6-4,6-2</x:t>
        </x:is>
      </x:c>
      <x:c r="I304" s="25" t="inlineStr">
        <x:is>
          <x:t xml:space="preserve">A.D. Roche</x:t>
        </x:is>
      </x:c>
      <x:c r="J304" s="25" t="inlineStr">
        <x:is>
          <x:t xml:space="preserve">AUS</x:t>
        </x:is>
      </x:c>
      <x:c r="K304" s="25" t="inlineStr">
        <x:is>
          <x:t xml:space="preserve">Australia</x:t>
        </x:is>
      </x:c>
      <x:c r="L304" s="7" t="n">
        <x:v>15</x:v>
      </x:c>
    </x:row>
    <x:row r="305" s="7" customFormat="1" hidden="1">
      <x:c r="A305" t="n">
        <x:v>1962</x:v>
      </x:c>
      <x:c r="B305" s="25" t="inlineStr">
        <x:is>
          <x:t xml:space="preserve">Men's</x:t>
        </x:is>
      </x:c>
      <x:c r="C305" s="25" t="inlineStr">
        <x:is>
          <x:t xml:space="preserve">R.G. Laver</x:t>
        </x:is>
      </x:c>
      <x:c r="D305" s="25" t="inlineStr">
        <x:is>
          <x:t xml:space="preserve">AUS</x:t>
        </x:is>
      </x:c>
      <x:c r="E305" s="25" t="inlineStr">
        <x:is>
          <x:t xml:space="preserve">Australia</x:t>
        </x:is>
      </x:c>
      <x:c r="F305" s="7" t="n">
        <x:v>1</x:v>
      </x:c>
      <x:c r="G305" s="7" t="n">
        <x:v>51</x:v>
      </x:c>
      <x:c r="H305" s="25" t="inlineStr">
        <x:is>
          <x:t xml:space="preserve">6-2,6-2,6-1</x:t>
        </x:is>
      </x:c>
      <x:c r="I305" s="25" t="inlineStr">
        <x:is>
          <x:t xml:space="preserve">M.F. Mulligan</x:t>
        </x:is>
      </x:c>
      <x:c r="J305" s="25" t="inlineStr">
        <x:is>
          <x:t xml:space="preserve">AUS</x:t>
        </x:is>
      </x:c>
      <x:c r="K305" s="25" t="inlineStr">
        <x:is>
          <x:t xml:space="preserve">Australia</x:t>
        </x:is>
      </x:c>
      <x:c r="L305" s="7" t="inlineStr">
        <x:is>
          <x:t xml:space="preserve">U</x:t>
        </x:is>
      </x:c>
    </x:row>
    <x:row r="306" s="7" customFormat="1" hidden="1">
      <x:c r="A306" t="n">
        <x:v>1961</x:v>
      </x:c>
      <x:c r="B306" s="25" t="inlineStr">
        <x:is>
          <x:t xml:space="preserve">Men's</x:t>
        </x:is>
      </x:c>
      <x:c r="C306" s="25" t="inlineStr">
        <x:is>
          <x:t xml:space="preserve">R.G. Laver</x:t>
        </x:is>
      </x:c>
      <x:c r="D306" s="25" t="inlineStr">
        <x:is>
          <x:t xml:space="preserve">AUS</x:t>
        </x:is>
      </x:c>
      <x:c r="E306" s="25" t="inlineStr">
        <x:is>
          <x:t xml:space="preserve">Australia</x:t>
        </x:is>
      </x:c>
      <x:c r="F306" s="7" t="n">
        <x:v>2</x:v>
      </x:c>
      <x:c r="G306" s="7" t="n">
        <x:v>55</x:v>
      </x:c>
      <x:c r="H306" s="25" t="inlineStr">
        <x:is>
          <x:t xml:space="preserve">6-3,6-1,6-4</x:t>
        </x:is>
      </x:c>
      <x:c r="I306" s="25" t="inlineStr">
        <x:is>
          <x:t xml:space="preserve">C.R. McKinley</x:t>
        </x:is>
      </x:c>
      <x:c r="J306" s="25" t="inlineStr">
        <x:is>
          <x:t xml:space="preserve">USA</x:t>
        </x:is>
      </x:c>
      <x:c r="K306" s="25" t="inlineStr">
        <x:is>
          <x:t xml:space="preserve">United States</x:t>
        </x:is>
      </x:c>
      <x:c r="L306" s="7" t="n">
        <x:v>8</x:v>
      </x:c>
    </x:row>
    <x:row r="307" s="7" customFormat="1">
      <x:c r="B307" s="24" t="inlineStr">
        <x:is>
          <x:t xml:space="preserve">R.G. Laver Count</x:t>
        </x:is>
      </x:c>
      <x:c r="C307" s="25" t="n">
        <x:f>SUBTOTAL(3,C303:C306)</x:f>
        <x:v>4</x:v>
      </x:c>
      <x:c r="D307" s="25" t="n"/>
      <x:c r="E307" s="25" t="n"/>
      <x:c r="H307" s="25" t="n"/>
      <x:c r="I307" s="25" t="n"/>
      <x:c r="J307" s="25" t="n"/>
      <x:c r="K307" s="25" t="n"/>
    </x:row>
    <x:row r="308" s="7" customFormat="1" hidden="1">
      <x:c r="A308" t="n">
        <x:v>1914</x:v>
      </x:c>
      <x:c r="B308" s="25" t="inlineStr">
        <x:is>
          <x:t xml:space="preserve">Women's</x:t>
        </x:is>
      </x:c>
      <x:c r="C308" s="25" t="inlineStr">
        <x:is>
          <x:t xml:space="preserve">R.L. Chambers</x:t>
        </x:is>
      </x:c>
      <x:c r="D308" s="25" t="inlineStr">
        <x:is>
          <x:t xml:space="preserve">GBR</x:t>
        </x:is>
      </x:c>
      <x:c r="E308" s="25" t="inlineStr">
        <x:is>
          <x:t xml:space="preserve">United Kingdom</x:t>
        </x:is>
      </x:c>
      <x:c r="H308" s="25" t="inlineStr">
        <x:is>
          <x:t xml:space="preserve">7-5,6-4</x:t>
        </x:is>
      </x:c>
      <x:c r="I308" s="25" t="inlineStr">
        <x:is>
          <x:t xml:space="preserve">D.T.R. Larcombe</x:t>
        </x:is>
      </x:c>
      <x:c r="J308" s="25" t="inlineStr">
        <x:is>
          <x:t xml:space="preserve">GBR</x:t>
        </x:is>
      </x:c>
      <x:c r="K308" s="25" t="inlineStr">
        <x:is>
          <x:t xml:space="preserve">United Kingdom</x:t>
        </x:is>
      </x:c>
    </x:row>
    <x:row r="309" s="7" customFormat="1" hidden="1">
      <x:c r="A309" t="n">
        <x:v>1913</x:v>
      </x:c>
      <x:c r="B309" s="25" t="inlineStr">
        <x:is>
          <x:t xml:space="preserve">Women's</x:t>
        </x:is>
      </x:c>
      <x:c r="C309" s="25" t="inlineStr">
        <x:is>
          <x:t xml:space="preserve">R.L. Chambers</x:t>
        </x:is>
      </x:c>
      <x:c r="D309" s="25" t="inlineStr">
        <x:is>
          <x:t xml:space="preserve">GBR</x:t>
        </x:is>
      </x:c>
      <x:c r="E309" s="25" t="inlineStr">
        <x:is>
          <x:t xml:space="preserve">United Kingdom</x:t>
        </x:is>
      </x:c>
      <x:c r="H309" s="25" t="inlineStr">
        <x:is>
          <x:t xml:space="preserve">6-0,6-4</x:t>
        </x:is>
      </x:c>
      <x:c r="I309" s="25" t="inlineStr">
        <x:is>
          <x:t xml:space="preserve">R.J. McNair</x:t>
        </x:is>
      </x:c>
      <x:c r="J309" s="25" t="inlineStr">
        <x:is>
          <x:t xml:space="preserve">GBR</x:t>
        </x:is>
      </x:c>
      <x:c r="K309" s="25" t="inlineStr">
        <x:is>
          <x:t xml:space="preserve">United Kingdom</x:t>
        </x:is>
      </x:c>
    </x:row>
    <x:row r="310" s="7" customFormat="1" hidden="1">
      <x:c r="A310" t="n">
        <x:v>1911</x:v>
      </x:c>
      <x:c r="B310" s="25" t="inlineStr">
        <x:is>
          <x:t xml:space="preserve">Women's</x:t>
        </x:is>
      </x:c>
      <x:c r="C310" s="25" t="inlineStr">
        <x:is>
          <x:t xml:space="preserve">R.L. Chambers</x:t>
        </x:is>
      </x:c>
      <x:c r="D310" s="25" t="inlineStr">
        <x:is>
          <x:t xml:space="preserve">GBR</x:t>
        </x:is>
      </x:c>
      <x:c r="E310" s="25" t="inlineStr">
        <x:is>
          <x:t xml:space="preserve">United Kingdom</x:t>
        </x:is>
      </x:c>
      <x:c r="G310" s="7" t="n">
        <x:v>25</x:v>
      </x:c>
      <x:c r="H310" s="25" t="inlineStr">
        <x:is>
          <x:t xml:space="preserve">6-0,6-0</x:t>
        </x:is>
      </x:c>
      <x:c r="I310" s="25" t="inlineStr">
        <x:is>
          <x:t xml:space="preserve">P.D.H. Boothby</x:t>
        </x:is>
      </x:c>
      <x:c r="J310" s="25" t="inlineStr">
        <x:is>
          <x:t xml:space="preserve">GBR</x:t>
        </x:is>
      </x:c>
      <x:c r="K310" s="25" t="inlineStr">
        <x:is>
          <x:t xml:space="preserve">United Kingdom</x:t>
        </x:is>
      </x:c>
    </x:row>
    <x:row r="311" s="7" customFormat="1" hidden="1">
      <x:c r="A311" t="n">
        <x:v>1910</x:v>
      </x:c>
      <x:c r="B311" s="25" t="inlineStr">
        <x:is>
          <x:t xml:space="preserve">Women's</x:t>
        </x:is>
      </x:c>
      <x:c r="C311" s="25" t="inlineStr">
        <x:is>
          <x:t xml:space="preserve">R.L. Chambers</x:t>
        </x:is>
      </x:c>
      <x:c r="D311" s="25" t="inlineStr">
        <x:is>
          <x:t xml:space="preserve">GBR</x:t>
        </x:is>
      </x:c>
      <x:c r="E311" s="25" t="inlineStr">
        <x:is>
          <x:t xml:space="preserve">United Kingdom</x:t>
        </x:is>
      </x:c>
      <x:c r="H311" s="25" t="inlineStr">
        <x:is>
          <x:t xml:space="preserve">6-2,6-2</x:t>
        </x:is>
      </x:c>
      <x:c r="I311" s="25" t="inlineStr">
        <x:is>
          <x:t xml:space="preserve">P.D.H. Boothby</x:t>
        </x:is>
      </x:c>
      <x:c r="J311" s="25" t="inlineStr">
        <x:is>
          <x:t xml:space="preserve">GBR</x:t>
        </x:is>
      </x:c>
      <x:c r="K311" s="25" t="inlineStr">
        <x:is>
          <x:t xml:space="preserve">United Kingdom</x:t>
        </x:is>
      </x:c>
    </x:row>
    <x:row r="312" s="7" customFormat="1">
      <x:c r="B312" s="24" t="inlineStr">
        <x:is>
          <x:t xml:space="preserve">R.L. Chambers Count</x:t>
        </x:is>
      </x:c>
      <x:c r="C312" s="25" t="n">
        <x:f>SUBTOTAL(3,C308:C311)</x:f>
        <x:v>4</x:v>
      </x:c>
      <x:c r="D312" s="25" t="n"/>
      <x:c r="E312" s="25" t="n"/>
      <x:c r="H312" s="25" t="n"/>
      <x:c r="I312" s="25" t="n"/>
      <x:c r="J312" s="25" t="n"/>
      <x:c r="K312" s="25" t="n"/>
    </x:row>
    <x:row r="313" s="7" customFormat="1" hidden="1">
      <x:c r="A313" t="n">
        <x:v>1939</x:v>
      </x:c>
      <x:c r="B313" s="25" t="inlineStr">
        <x:is>
          <x:t xml:space="preserve">Men's</x:t>
        </x:is>
      </x:c>
      <x:c r="C313" s="25" t="inlineStr">
        <x:is>
          <x:t xml:space="preserve">R.L. Riggs</x:t>
        </x:is>
      </x:c>
      <x:c r="D313" s="25" t="inlineStr">
        <x:is>
          <x:t xml:space="preserve">USA</x:t>
        </x:is>
      </x:c>
      <x:c r="E313" s="25" t="inlineStr">
        <x:is>
          <x:t xml:space="preserve">United States</x:t>
        </x:is>
      </x:c>
      <x:c r="F313" s="7" t="n">
        <x:v>2</x:v>
      </x:c>
      <x:c r="G313" s="7" t="n">
        <x:v>135</x:v>
      </x:c>
      <x:c r="H313" s="25" t="inlineStr">
        <x:is>
          <x:t xml:space="preserve">2-6,8-6,3-6,6-3,6-2</x:t>
        </x:is>
      </x:c>
      <x:c r="I313" s="25" t="inlineStr">
        <x:is>
          <x:t xml:space="preserve">E.T. Cooke</x:t>
        </x:is>
      </x:c>
      <x:c r="J313" s="25" t="inlineStr">
        <x:is>
          <x:t xml:space="preserve">USA</x:t>
        </x:is>
      </x:c>
      <x:c r="K313" s="25" t="inlineStr">
        <x:is>
          <x:t xml:space="preserve">United States</x:t>
        </x:is>
      </x:c>
      <x:c r="L313" s="7" t="n">
        <x:v>6</x:v>
      </x:c>
    </x:row>
    <x:row r="314" s="7" customFormat="1">
      <x:c r="B314" s="24" t="inlineStr">
        <x:is>
          <x:t xml:space="preserve">R.L. Riggs Count</x:t>
        </x:is>
      </x:c>
      <x:c r="C314" s="25" t="n">
        <x:f>SUBTOTAL(3,C313:C313)</x:f>
        <x:v>1</x:v>
      </x:c>
      <x:c r="D314" s="25" t="n"/>
      <x:c r="E314" s="25" t="n"/>
      <x:c r="H314" s="25" t="n"/>
      <x:c r="I314" s="25" t="n"/>
      <x:c r="J314" s="25" t="n"/>
      <x:c r="K314" s="25" t="n"/>
    </x:row>
    <x:row r="315" s="7" customFormat="1" hidden="1">
      <x:c r="A315" t="n">
        <x:v>1996</x:v>
      </x:c>
      <x:c r="B315" s="25" t="inlineStr">
        <x:is>
          <x:t xml:space="preserve">Men's</x:t>
        </x:is>
      </x:c>
      <x:c r="C315" s="25" t="inlineStr">
        <x:is>
          <x:t xml:space="preserve">R.P.S. Krajicek</x:t>
        </x:is>
      </x:c>
      <x:c r="D315" s="25" t="inlineStr">
        <x:is>
          <x:t xml:space="preserve">NED</x:t>
        </x:is>
      </x:c>
      <x:c r="E315" s="25" t="inlineStr">
        <x:is>
          <x:t xml:space="preserve">Netherlands</x:t>
        </x:is>
      </x:c>
      <x:c r="G315" s="7" t="n">
        <x:v>94</x:v>
      </x:c>
      <x:c r="H315" s="25" t="inlineStr">
        <x:is>
          <x:t xml:space="preserve">6-3,6-4,6-3</x:t>
        </x:is>
      </x:c>
      <x:c r="I315" s="25" t="inlineStr">
        <x:is>
          <x:t xml:space="preserve">M.O. Washington</x:t>
        </x:is>
      </x:c>
      <x:c r="J315" s="25" t="inlineStr">
        <x:is>
          <x:t xml:space="preserve">USA</x:t>
        </x:is>
      </x:c>
      <x:c r="K315" s="25" t="inlineStr">
        <x:is>
          <x:t xml:space="preserve">United States</x:t>
        </x:is>
      </x:c>
      <x:c r="L315" s="7" t="inlineStr">
        <x:is>
          <x:t xml:space="preserve">U</x:t>
        </x:is>
      </x:c>
    </x:row>
    <x:row r="316" s="7" customFormat="1">
      <x:c r="B316" s="24" t="inlineStr">
        <x:is>
          <x:t xml:space="preserve">R.P.S. Krajicek Count</x:t>
        </x:is>
      </x:c>
      <x:c r="C316" s="25" t="n">
        <x:f>SUBTOTAL(3,C315:C315)</x:f>
        <x:v>1</x:v>
      </x:c>
      <x:c r="D316" s="25" t="n"/>
      <x:c r="E316" s="25" t="n"/>
      <x:c r="H316" s="25" t="n"/>
      <x:c r="I316" s="25" t="n"/>
      <x:c r="J316" s="25" t="n"/>
      <x:c r="K316" s="25" t="n"/>
    </x:row>
    <x:row r="317" s="7" customFormat="1" hidden="1">
      <x:c r="A317" t="n">
        <x:v>1965</x:v>
      </x:c>
      <x:c r="B317" s="25" t="inlineStr">
        <x:is>
          <x:t xml:space="preserve">Men's</x:t>
        </x:is>
      </x:c>
      <x:c r="C317" s="25" t="inlineStr">
        <x:is>
          <x:t xml:space="preserve">R.S. Emerson</x:t>
        </x:is>
      </x:c>
      <x:c r="D317" s="25" t="inlineStr">
        <x:is>
          <x:t xml:space="preserve">AUS</x:t>
        </x:is>
      </x:c>
      <x:c r="E317" s="25" t="inlineStr">
        <x:is>
          <x:t xml:space="preserve">Australia</x:t>
        </x:is>
      </x:c>
      <x:c r="F317" s="7" t="n">
        <x:v>1</x:v>
      </x:c>
      <x:c r="G317" s="7" t="n">
        <x:v>67</x:v>
      </x:c>
      <x:c r="H317" s="25" t="inlineStr">
        <x:is>
          <x:t xml:space="preserve">6-2,6-4,6-4</x:t>
        </x:is>
      </x:c>
      <x:c r="I317" s="25" t="inlineStr">
        <x:is>
          <x:t xml:space="preserve">F.S. Stolle</x:t>
        </x:is>
      </x:c>
      <x:c r="J317" s="25" t="inlineStr">
        <x:is>
          <x:t xml:space="preserve">AUS</x:t>
        </x:is>
      </x:c>
      <x:c r="K317" s="25" t="inlineStr">
        <x:is>
          <x:t xml:space="preserve">Australia</x:t>
        </x:is>
      </x:c>
      <x:c r="L317" s="7" t="n">
        <x:v>2</x:v>
      </x:c>
    </x:row>
    <x:row r="318" s="7" customFormat="1" hidden="1">
      <x:c r="A318" t="n">
        <x:v>1964</x:v>
      </x:c>
      <x:c r="B318" s="25" t="inlineStr">
        <x:is>
          <x:t xml:space="preserve">Men's</x:t>
        </x:is>
      </x:c>
      <x:c r="C318" s="25" t="inlineStr">
        <x:is>
          <x:t xml:space="preserve">R.S. Emerson</x:t>
        </x:is>
      </x:c>
      <x:c r="D318" s="25" t="inlineStr">
        <x:is>
          <x:t xml:space="preserve">AUS</x:t>
        </x:is>
      </x:c>
      <x:c r="E318" s="25" t="inlineStr">
        <x:is>
          <x:t xml:space="preserve">Australia</x:t>
        </x:is>
      </x:c>
      <x:c r="F318" s="7" t="n">
        <x:v>1</x:v>
      </x:c>
      <x:c r="G318" s="7" t="n">
        <x:v>127</x:v>
      </x:c>
      <x:c r="H318" s="25" t="inlineStr">
        <x:is>
          <x:t xml:space="preserve">6-4,12-10,4-6,6-3</x:t>
        </x:is>
      </x:c>
      <x:c r="I318" s="25" t="inlineStr">
        <x:is>
          <x:t xml:space="preserve">F.S. Stolle</x:t>
        </x:is>
      </x:c>
      <x:c r="J318" s="25" t="inlineStr">
        <x:is>
          <x:t xml:space="preserve">AUS</x:t>
        </x:is>
      </x:c>
      <x:c r="K318" s="25" t="inlineStr">
        <x:is>
          <x:t xml:space="preserve">Australia</x:t>
        </x:is>
      </x:c>
      <x:c r="L318" s="7" t="n">
        <x:v>6</x:v>
      </x:c>
    </x:row>
    <x:row r="319" s="7" customFormat="1">
      <x:c r="B319" s="24" t="inlineStr">
        <x:is>
          <x:t xml:space="preserve">R.S. Emerson Count</x:t>
        </x:is>
      </x:c>
      <x:c r="C319" s="25" t="n">
        <x:f>SUBTOTAL(3,C317:C318)</x:f>
        <x:v>2</x:v>
      </x:c>
      <x:c r="D319" s="25" t="n"/>
      <x:c r="E319" s="25" t="n"/>
      <x:c r="H319" s="25" t="n"/>
      <x:c r="I319" s="25" t="n"/>
      <x:c r="J319" s="25" t="n"/>
      <x:c r="K319" s="25" t="n"/>
    </x:row>
    <x:row r="320" s="7" customFormat="1" hidden="1">
      <x:c r="A320" t="n">
        <x:v>2016</x:v>
      </x:c>
      <x:c r="B320" s="25" t="inlineStr">
        <x:is>
          <x:t xml:space="preserve">Women's</x:t>
        </x:is>
      </x:c>
      <x:c r="C320" s="25" t="inlineStr">
        <x:is>
          <x:t xml:space="preserve">S. Williams</x:t>
        </x:is>
      </x:c>
      <x:c r="D320" s="25" t="inlineStr">
        <x:is>
          <x:t xml:space="preserve">USA</x:t>
        </x:is>
      </x:c>
      <x:c r="E320" s="25" t="inlineStr">
        <x:is>
          <x:t xml:space="preserve">United States</x:t>
        </x:is>
      </x:c>
      <x:c r="F320" s="7" t="n">
        <x:v>1</x:v>
      </x:c>
      <x:c r="G320" s="7" t="n">
        <x:v>83</x:v>
      </x:c>
      <x:c r="H320" s="25" t="inlineStr">
        <x:is>
          <x:t xml:space="preserve">7-5,6-3</x:t>
        </x:is>
      </x:c>
      <x:c r="I320" s="25" t="inlineStr">
        <x:is>
          <x:t xml:space="preserve">A. Kerber</x:t>
        </x:is>
      </x:c>
      <x:c r="J320" s="25" t="inlineStr">
        <x:is>
          <x:t xml:space="preserve">GER</x:t>
        </x:is>
      </x:c>
      <x:c r="K320" s="25" t="inlineStr">
        <x:is>
          <x:t xml:space="preserve">Germany</x:t>
        </x:is>
      </x:c>
      <x:c r="L320" s="7" t="n">
        <x:v>4</x:v>
      </x:c>
    </x:row>
    <x:row r="321" s="7" customFormat="1" hidden="1">
      <x:c r="A321" t="n">
        <x:v>2015</x:v>
      </x:c>
      <x:c r="B321" s="25" t="inlineStr">
        <x:is>
          <x:t xml:space="preserve">Women's</x:t>
        </x:is>
      </x:c>
      <x:c r="C321" s="25" t="inlineStr">
        <x:is>
          <x:t xml:space="preserve">S. Williams</x:t>
        </x:is>
      </x:c>
      <x:c r="D321" s="25" t="inlineStr">
        <x:is>
          <x:t xml:space="preserve">USA</x:t>
        </x:is>
      </x:c>
      <x:c r="E321" s="25" t="inlineStr">
        <x:is>
          <x:t xml:space="preserve">United States</x:t>
        </x:is>
      </x:c>
      <x:c r="F321" s="7" t="n">
        <x:v>1</x:v>
      </x:c>
      <x:c r="G321" s="7" t="n">
        <x:v>83</x:v>
      </x:c>
      <x:c r="H321" s="25" t="inlineStr">
        <x:is>
          <x:t xml:space="preserve">6-4,6-4</x:t>
        </x:is>
      </x:c>
      <x:c r="I321" s="25" t="inlineStr">
        <x:is>
          <x:t xml:space="preserve">G. Muguruza</x:t>
        </x:is>
      </x:c>
      <x:c r="J321" s="25" t="inlineStr">
        <x:is>
          <x:t xml:space="preserve">ESP</x:t>
        </x:is>
      </x:c>
      <x:c r="K321" s="25" t="inlineStr">
        <x:is>
          <x:t xml:space="preserve">Spain</x:t>
        </x:is>
      </x:c>
      <x:c r="L321" s="7" t="n">
        <x:v>20</x:v>
      </x:c>
    </x:row>
    <x:row r="322" s="7" customFormat="1" hidden="1">
      <x:c r="A322" t="n">
        <x:v>2012</x:v>
      </x:c>
      <x:c r="B322" s="25" t="inlineStr">
        <x:is>
          <x:t xml:space="preserve">Women's</x:t>
        </x:is>
      </x:c>
      <x:c r="C322" s="25" t="inlineStr">
        <x:is>
          <x:t xml:space="preserve">S. Williams</x:t>
        </x:is>
      </x:c>
      <x:c r="D322" s="25" t="inlineStr">
        <x:is>
          <x:t xml:space="preserve">USA</x:t>
        </x:is>
      </x:c>
      <x:c r="E322" s="25" t="inlineStr">
        <x:is>
          <x:t xml:space="preserve">United States</x:t>
        </x:is>
      </x:c>
      <x:c r="F322" s="7" t="n">
        <x:v>6</x:v>
      </x:c>
      <x:c r="G322" s="7" t="n">
        <x:v>122</x:v>
      </x:c>
      <x:c r="H322" s="25" t="inlineStr">
        <x:is>
          <x:t xml:space="preserve">6-1,5-7,6-2</x:t>
        </x:is>
      </x:c>
      <x:c r="I322" s="25" t="inlineStr">
        <x:is>
          <x:t xml:space="preserve">A. Radwańska</x:t>
        </x:is>
      </x:c>
      <x:c r="J322" s="25" t="inlineStr">
        <x:is>
          <x:t xml:space="preserve">POL</x:t>
        </x:is>
      </x:c>
      <x:c r="K322" s="25" t="inlineStr">
        <x:is>
          <x:t xml:space="preserve">Poland</x:t>
        </x:is>
      </x:c>
      <x:c r="L322" s="7" t="n">
        <x:v>3</x:v>
      </x:c>
    </x:row>
    <x:row r="323" s="7" customFormat="1" hidden="1">
      <x:c r="A323" t="n">
        <x:v>2010</x:v>
      </x:c>
      <x:c r="B323" s="25" t="inlineStr">
        <x:is>
          <x:t xml:space="preserve">Women's</x:t>
        </x:is>
      </x:c>
      <x:c r="C323" s="25" t="inlineStr">
        <x:is>
          <x:t xml:space="preserve">S. Williams</x:t>
        </x:is>
      </x:c>
      <x:c r="D323" s="25" t="inlineStr">
        <x:is>
          <x:t xml:space="preserve">USA</x:t>
        </x:is>
      </x:c>
      <x:c r="E323" s="25" t="inlineStr">
        <x:is>
          <x:t xml:space="preserve">United States</x:t>
        </x:is>
      </x:c>
      <x:c r="F323" s="7" t="n">
        <x:v>1</x:v>
      </x:c>
      <x:c r="G323" s="7" t="n">
        <x:v>66</x:v>
      </x:c>
      <x:c r="H323" s="25" t="inlineStr">
        <x:is>
          <x:t xml:space="preserve">6-3,6-2</x:t>
        </x:is>
      </x:c>
      <x:c r="I323" s="25" t="inlineStr">
        <x:is>
          <x:t xml:space="preserve">V. Zvonareva</x:t>
        </x:is>
      </x:c>
      <x:c r="J323" s="25" t="inlineStr">
        <x:is>
          <x:t xml:space="preserve">RUS</x:t>
        </x:is>
      </x:c>
      <x:c r="K323" s="25" t="inlineStr">
        <x:is>
          <x:t xml:space="preserve">Russia</x:t>
        </x:is>
      </x:c>
      <x:c r="L323" s="7" t="n">
        <x:v>21</x:v>
      </x:c>
    </x:row>
    <x:row r="324" s="7" customFormat="1" hidden="1">
      <x:c r="A324" t="n">
        <x:v>2009</x:v>
      </x:c>
      <x:c r="B324" s="25" t="inlineStr">
        <x:is>
          <x:t xml:space="preserve">Women's</x:t>
        </x:is>
      </x:c>
      <x:c r="C324" s="25" t="inlineStr">
        <x:is>
          <x:t xml:space="preserve">S. Williams</x:t>
        </x:is>
      </x:c>
      <x:c r="D324" s="25" t="inlineStr">
        <x:is>
          <x:t xml:space="preserve">USA</x:t>
        </x:is>
      </x:c>
      <x:c r="E324" s="25" t="inlineStr">
        <x:is>
          <x:t xml:space="preserve">United States</x:t>
        </x:is>
      </x:c>
      <x:c r="F324" s="7" t="n">
        <x:v>2</x:v>
      </x:c>
      <x:c r="G324" s="7" t="n">
        <x:v>87</x:v>
      </x:c>
      <x:c r="H324" s="25" t="inlineStr">
        <x:is>
          <x:t xml:space="preserve">7-6(7-3),6-2</x:t>
        </x:is>
      </x:c>
      <x:c r="I324" s="25" t="inlineStr">
        <x:is>
          <x:t xml:space="preserve">V.E.S. Williams</x:t>
        </x:is>
      </x:c>
      <x:c r="J324" s="25" t="inlineStr">
        <x:is>
          <x:t xml:space="preserve">USA</x:t>
        </x:is>
      </x:c>
      <x:c r="K324" s="25" t="inlineStr">
        <x:is>
          <x:t xml:space="preserve">United States</x:t>
        </x:is>
      </x:c>
      <x:c r="L324" s="7" t="n">
        <x:v>3</x:v>
      </x:c>
    </x:row>
    <x:row r="325" s="7" customFormat="1" hidden="1">
      <x:c r="A325" t="n">
        <x:v>2003</x:v>
      </x:c>
      <x:c r="B325" s="25" t="inlineStr">
        <x:is>
          <x:t xml:space="preserve">Women's</x:t>
        </x:is>
      </x:c>
      <x:c r="C325" s="25" t="inlineStr">
        <x:is>
          <x:t xml:space="preserve">S. Williams</x:t>
        </x:is>
      </x:c>
      <x:c r="D325" s="25" t="inlineStr">
        <x:is>
          <x:t xml:space="preserve">USA</x:t>
        </x:is>
      </x:c>
      <x:c r="E325" s="25" t="inlineStr">
        <x:is>
          <x:t xml:space="preserve">United States</x:t>
        </x:is>
      </x:c>
      <x:c r="F325" s="7" t="n">
        <x:v>1</x:v>
      </x:c>
      <x:c r="G325" s="7" t="n">
        <x:v>123</x:v>
      </x:c>
      <x:c r="H325" s="25" t="inlineStr">
        <x:is>
          <x:t xml:space="preserve">4-6,6-4,6-2</x:t>
        </x:is>
      </x:c>
      <x:c r="I325" s="25" t="inlineStr">
        <x:is>
          <x:t xml:space="preserve">V.E.S. Williams</x:t>
        </x:is>
      </x:c>
      <x:c r="J325" s="25" t="inlineStr">
        <x:is>
          <x:t xml:space="preserve">USA</x:t>
        </x:is>
      </x:c>
      <x:c r="K325" s="25" t="inlineStr">
        <x:is>
          <x:t xml:space="preserve">United States</x:t>
        </x:is>
      </x:c>
      <x:c r="L325" s="7" t="n">
        <x:v>4</x:v>
      </x:c>
    </x:row>
    <x:row r="326" s="7" customFormat="1" hidden="1">
      <x:c r="A326" t="n">
        <x:v>2002</x:v>
      </x:c>
      <x:c r="B326" s="25" t="inlineStr">
        <x:is>
          <x:t xml:space="preserve">Women's</x:t>
        </x:is>
      </x:c>
      <x:c r="C326" s="25" t="inlineStr">
        <x:is>
          <x:t xml:space="preserve">S. Williams</x:t>
        </x:is>
      </x:c>
      <x:c r="D326" s="25" t="inlineStr">
        <x:is>
          <x:t xml:space="preserve">USA</x:t>
        </x:is>
      </x:c>
      <x:c r="E326" s="25" t="inlineStr">
        <x:is>
          <x:t xml:space="preserve">United States</x:t>
        </x:is>
      </x:c>
      <x:c r="F326" s="7" t="n">
        <x:v>2</x:v>
      </x:c>
      <x:c r="G326" s="7" t="n">
        <x:v>78</x:v>
      </x:c>
      <x:c r="H326" s="25" t="inlineStr">
        <x:is>
          <x:t xml:space="preserve">7-6(7-4),6-3</x:t>
        </x:is>
      </x:c>
      <x:c r="I326" s="25" t="inlineStr">
        <x:is>
          <x:t xml:space="preserve">V.E.S. Williams</x:t>
        </x:is>
      </x:c>
      <x:c r="J326" s="25" t="inlineStr">
        <x:is>
          <x:t xml:space="preserve">USA</x:t>
        </x:is>
      </x:c>
      <x:c r="K326" s="25" t="inlineStr">
        <x:is>
          <x:t xml:space="preserve">United States</x:t>
        </x:is>
      </x:c>
      <x:c r="L326" s="7" t="n">
        <x:v>1</x:v>
      </x:c>
    </x:row>
    <x:row r="327" s="7" customFormat="1">
      <x:c r="B327" s="24" t="inlineStr">
        <x:is>
          <x:t xml:space="preserve">S. Williams Count</x:t>
        </x:is>
      </x:c>
      <x:c r="C327" s="25" t="n">
        <x:f>SUBTOTAL(3,C320:C326)</x:f>
        <x:v>7</x:v>
      </x:c>
      <x:c r="D327" s="25" t="n"/>
      <x:c r="E327" s="25" t="n"/>
      <x:c r="H327" s="25" t="n"/>
      <x:c r="I327" s="25" t="n"/>
      <x:c r="J327" s="25" t="n"/>
      <x:c r="K327" s="25" t="n"/>
    </x:row>
    <x:row r="328" s="7" customFormat="1" hidden="1">
      <x:c r="A328" t="n">
        <x:v>1990</x:v>
      </x:c>
      <x:c r="B328" s="25" t="inlineStr">
        <x:is>
          <x:t xml:space="preserve">Men's</x:t>
        </x:is>
      </x:c>
      <x:c r="C328" s="25" t="inlineStr">
        <x:is>
          <x:t xml:space="preserve">S.B. Edberg</x:t>
        </x:is>
      </x:c>
      <x:c r="D328" s="25" t="inlineStr">
        <x:is>
          <x:t xml:space="preserve">SWE</x:t>
        </x:is>
      </x:c>
      <x:c r="E328" s="25" t="inlineStr">
        <x:is>
          <x:t xml:space="preserve">Sweden</x:t>
        </x:is>
      </x:c>
      <x:c r="F328" s="7" t="n">
        <x:v>3</x:v>
      </x:c>
      <x:c r="G328" s="7" t="n">
        <x:v>178</x:v>
      </x:c>
      <x:c r="H328" s="25" t="inlineStr">
        <x:is>
          <x:t xml:space="preserve">6-2,6-2,3-6,3-6,6-4</x:t>
        </x:is>
      </x:c>
      <x:c r="I328" s="25" t="inlineStr">
        <x:is>
          <x:t xml:space="preserve">B.F. Becker</x:t>
        </x:is>
      </x:c>
      <x:c r="J328" s="25" t="inlineStr">
        <x:is>
          <x:t xml:space="preserve">GER</x:t>
        </x:is>
      </x:c>
      <x:c r="K328" s="25" t="inlineStr">
        <x:is>
          <x:t xml:space="preserve">Germany</x:t>
        </x:is>
      </x:c>
      <x:c r="L328" s="7" t="n">
        <x:v>2</x:v>
      </x:c>
    </x:row>
    <x:row r="329" s="7" customFormat="1" hidden="1">
      <x:c r="A329" t="n">
        <x:v>1988</x:v>
      </x:c>
      <x:c r="B329" s="25" t="inlineStr">
        <x:is>
          <x:t xml:space="preserve">Men's</x:t>
        </x:is>
      </x:c>
      <x:c r="C329" s="25" t="inlineStr">
        <x:is>
          <x:t xml:space="preserve">S.B. Edberg</x:t>
        </x:is>
      </x:c>
      <x:c r="D329" s="25" t="inlineStr">
        <x:is>
          <x:t xml:space="preserve">SWE</x:t>
        </x:is>
      </x:c>
      <x:c r="E329" s="25" t="inlineStr">
        <x:is>
          <x:t xml:space="preserve">Sweden</x:t>
        </x:is>
      </x:c>
      <x:c r="F329" s="7" t="n">
        <x:v>3</x:v>
      </x:c>
      <x:c r="G329" s="7" t="n">
        <x:v>170</x:v>
      </x:c>
      <x:c r="H329" s="25" t="inlineStr">
        <x:is>
          <x:t xml:space="preserve">4-6,7-6(7-2),6-4,6-2</x:t>
        </x:is>
      </x:c>
      <x:c r="I329" s="25" t="inlineStr">
        <x:is>
          <x:t xml:space="preserve">B.F. Becker</x:t>
        </x:is>
      </x:c>
      <x:c r="J329" s="25" t="inlineStr">
        <x:is>
          <x:t xml:space="preserve">GER</x:t>
        </x:is>
      </x:c>
      <x:c r="K329" s="25" t="inlineStr">
        <x:is>
          <x:t xml:space="preserve">Germany</x:t>
        </x:is>
      </x:c>
      <x:c r="L329" s="7" t="n">
        <x:v>6</x:v>
      </x:c>
    </x:row>
    <x:row r="330" s="7" customFormat="1">
      <x:c r="B330" s="24" t="inlineStr">
        <x:is>
          <x:t xml:space="preserve">S.B. Edberg Count</x:t>
        </x:is>
      </x:c>
      <x:c r="C330" s="25" t="n">
        <x:f>SUBTOTAL(3,C328:C329)</x:f>
        <x:v>2</x:v>
      </x:c>
      <x:c r="D330" s="25" t="n"/>
      <x:c r="E330" s="25" t="n"/>
      <x:c r="H330" s="25" t="n"/>
      <x:c r="I330" s="25" t="n"/>
      <x:c r="J330" s="25" t="n"/>
      <x:c r="K330" s="25" t="n"/>
    </x:row>
    <x:row r="331" s="7" customFormat="1" hidden="1">
      <x:c r="A331" t="n">
        <x:v>1931</x:v>
      </x:c>
      <x:c r="B331" s="25" t="inlineStr">
        <x:is>
          <x:t xml:space="preserve">Men's</x:t>
        </x:is>
      </x:c>
      <x:c r="C331" s="25" t="inlineStr">
        <x:is>
          <x:t xml:space="preserve">S.B.B. Wood</x:t>
        </x:is>
      </x:c>
      <x:c r="D331" s="25" t="inlineStr">
        <x:is>
          <x:t xml:space="preserve">USA</x:t>
        </x:is>
      </x:c>
      <x:c r="E331" s="25" t="inlineStr">
        <x:is>
          <x:t xml:space="preserve">United States</x:t>
        </x:is>
      </x:c>
      <x:c r="F331" s="7" t="n">
        <x:v>7</x:v>
      </x:c>
      <x:c r="H331" s="25" t="inlineStr">
        <x:is>
          <x:t xml:space="preserve">walkover</x:t>
        </x:is>
      </x:c>
      <x:c r="I331" s="25" t="inlineStr">
        <x:is>
          <x:t xml:space="preserve">F.X. Shields</x:t>
        </x:is>
      </x:c>
      <x:c r="J331" s="25" t="inlineStr">
        <x:is>
          <x:t xml:space="preserve">USA</x:t>
        </x:is>
      </x:c>
      <x:c r="K331" s="25" t="inlineStr">
        <x:is>
          <x:t xml:space="preserve">United States</x:t>
        </x:is>
      </x:c>
      <x:c r="L331" s="7" t="n">
        <x:v>3</x:v>
      </x:c>
    </x:row>
    <x:row r="332" s="7" customFormat="1">
      <x:c r="B332" s="24" t="inlineStr">
        <x:is>
          <x:t xml:space="preserve">S.B.B. Wood Count</x:t>
        </x:is>
      </x:c>
      <x:c r="C332" s="25" t="n">
        <x:f>SUBTOTAL(3,C331:C331)</x:f>
        <x:v>1</x:v>
      </x:c>
      <x:c r="D332" s="25" t="n"/>
      <x:c r="E332" s="25" t="n"/>
      <x:c r="H332" s="25" t="n"/>
      <x:c r="I332" s="25" t="n"/>
      <x:c r="J332" s="25" t="n"/>
      <x:c r="K332" s="25" t="n"/>
    </x:row>
    <x:row r="333" s="7" customFormat="1" hidden="1">
      <x:c r="A333" t="n">
        <x:v>2019</x:v>
      </x:c>
      <x:c r="B333" s="25" t="inlineStr">
        <x:is>
          <x:t xml:space="preserve">Women's</x:t>
        </x:is>
      </x:c>
      <x:c r="C333" s="25" t="inlineStr">
        <x:is>
          <x:t xml:space="preserve">S.Halep</x:t>
        </x:is>
      </x:c>
      <x:c r="D333" s="25" t="inlineStr">
        <x:is>
          <x:t xml:space="preserve">ROU</x:t>
        </x:is>
      </x:c>
      <x:c r="E333" s="25" t="inlineStr">
        <x:is>
          <x:t xml:space="preserve">Romania</x:t>
        </x:is>
      </x:c>
      <x:c r="F333" s="7" t="n">
        <x:v>7</x:v>
      </x:c>
      <x:c r="G333" s="7" t="n">
        <x:v>56</x:v>
      </x:c>
      <x:c r="H333" s="25" t="inlineStr">
        <x:is>
          <x:t xml:space="preserve">6-2,6-2</x:t>
        </x:is>
      </x:c>
      <x:c r="I333" s="25" t="inlineStr">
        <x:is>
          <x:t xml:space="preserve">S. Williams</x:t>
        </x:is>
      </x:c>
      <x:c r="J333" s="25" t="inlineStr">
        <x:is>
          <x:t xml:space="preserve">USA</x:t>
        </x:is>
      </x:c>
      <x:c r="K333" s="25" t="inlineStr">
        <x:is>
          <x:t xml:space="preserve">United States</x:t>
        </x:is>
      </x:c>
      <x:c r="L333" s="7" t="n">
        <x:v>11</x:v>
      </x:c>
    </x:row>
    <x:row r="334" s="7" customFormat="1">
      <x:c r="B334" s="24" t="inlineStr">
        <x:is>
          <x:t xml:space="preserve">S.Halep Count</x:t>
        </x:is>
      </x:c>
      <x:c r="C334" s="25" t="n">
        <x:f>SUBTOTAL(3,C333:C333)</x:f>
        <x:v>1</x:v>
      </x:c>
      <x:c r="D334" s="25" t="n"/>
      <x:c r="E334" s="25" t="n"/>
      <x:c r="H334" s="25" t="n"/>
      <x:c r="I334" s="25" t="n"/>
      <x:c r="J334" s="25" t="n"/>
      <x:c r="K334" s="25" t="n"/>
    </x:row>
    <x:row r="335" s="7" customFormat="1" hidden="1">
      <x:c r="A335" t="n">
        <x:v>1956</x:v>
      </x:c>
      <x:c r="B335" s="25" t="inlineStr">
        <x:is>
          <x:t xml:space="preserve">Women's</x:t>
        </x:is>
      </x:c>
      <x:c r="C335" s="25" t="inlineStr">
        <x:is>
          <x:t xml:space="preserve">S.J. Fry</x:t>
        </x:is>
      </x:c>
      <x:c r="D335" s="25" t="inlineStr">
        <x:is>
          <x:t xml:space="preserve">USA</x:t>
        </x:is>
      </x:c>
      <x:c r="E335" s="25" t="inlineStr">
        <x:is>
          <x:t xml:space="preserve">United States</x:t>
        </x:is>
      </x:c>
      <x:c r="F335" s="7" t="n">
        <x:v>5</x:v>
      </x:c>
      <x:c r="G335" s="7" t="n">
        <x:v>50</x:v>
      </x:c>
      <x:c r="H335" s="25" t="inlineStr">
        <x:is>
          <x:t xml:space="preserve">6-3,6-1,</x:t>
        </x:is>
      </x:c>
      <x:c r="I335" s="25" t="inlineStr">
        <x:is>
          <x:t xml:space="preserve">A. Buxton</x:t>
        </x:is>
      </x:c>
      <x:c r="J335" s="25" t="inlineStr">
        <x:is>
          <x:t xml:space="preserve">GBR</x:t>
        </x:is>
      </x:c>
      <x:c r="K335" s="25" t="inlineStr">
        <x:is>
          <x:t xml:space="preserve">United Kingdom</x:t>
        </x:is>
      </x:c>
      <x:c r="L335" s="7" t="n">
        <x:v>6</x:v>
      </x:c>
    </x:row>
    <x:row r="336" s="7" customFormat="1">
      <x:c r="B336" s="24" t="inlineStr">
        <x:is>
          <x:t xml:space="preserve">S.J. Fry Count</x:t>
        </x:is>
      </x:c>
      <x:c r="C336" s="25" t="n">
        <x:f>SUBTOTAL(3,C335:C335)</x:f>
        <x:v>1</x:v>
      </x:c>
      <x:c r="D336" s="25" t="n"/>
      <x:c r="E336" s="25" t="n"/>
      <x:c r="H336" s="25" t="n"/>
      <x:c r="I336" s="25" t="n"/>
      <x:c r="J336" s="25" t="n"/>
      <x:c r="K336" s="25" t="n"/>
    </x:row>
    <x:row r="337" s="7" customFormat="1" hidden="1">
      <x:c r="A337" t="n">
        <x:v>1996</x:v>
      </x:c>
      <x:c r="B337" s="25" t="inlineStr">
        <x:is>
          <x:t xml:space="preserve">Women's</x:t>
        </x:is>
      </x:c>
      <x:c r="C337" s="25" t="inlineStr">
        <x:is>
          <x:t xml:space="preserve">S.M. Graf</x:t>
        </x:is>
      </x:c>
      <x:c r="D337" s="25" t="inlineStr">
        <x:is>
          <x:t xml:space="preserve">GER</x:t>
        </x:is>
      </x:c>
      <x:c r="E337" s="25" t="inlineStr">
        <x:is>
          <x:t xml:space="preserve">Germany</x:t>
        </x:is>
      </x:c>
      <x:c r="F337" s="7" t="n">
        <x:v>1</x:v>
      </x:c>
      <x:c r="G337" s="7" t="n">
        <x:v>88</x:v>
      </x:c>
      <x:c r="H337" s="25" t="inlineStr">
        <x:is>
          <x:t xml:space="preserve">6-3,7-5,</x:t>
        </x:is>
      </x:c>
      <x:c r="I337" s="25" t="inlineStr">
        <x:is>
          <x:t xml:space="preserve">A.I.M. Sanchez Vicario</x:t>
        </x:is>
      </x:c>
      <x:c r="J337" s="25" t="inlineStr">
        <x:is>
          <x:t xml:space="preserve">ESP</x:t>
        </x:is>
      </x:c>
      <x:c r="K337" s="25" t="inlineStr">
        <x:is>
          <x:t xml:space="preserve">Spain</x:t>
        </x:is>
      </x:c>
      <x:c r="L337" s="7" t="n">
        <x:v>4</x:v>
      </x:c>
    </x:row>
    <x:row r="338" s="7" customFormat="1" hidden="1">
      <x:c r="A338" t="n">
        <x:v>1995</x:v>
      </x:c>
      <x:c r="B338" s="25" t="inlineStr">
        <x:is>
          <x:t xml:space="preserve">Women's</x:t>
        </x:is>
      </x:c>
      <x:c r="C338" s="25" t="inlineStr">
        <x:is>
          <x:t xml:space="preserve">S.M. Graf</x:t>
        </x:is>
      </x:c>
      <x:c r="D338" s="25" t="inlineStr">
        <x:is>
          <x:t xml:space="preserve">GER</x:t>
        </x:is>
      </x:c>
      <x:c r="E338" s="25" t="inlineStr">
        <x:is>
          <x:t xml:space="preserve">Germany</x:t>
        </x:is>
      </x:c>
      <x:c r="F338" s="7" t="n">
        <x:v>1</x:v>
      </x:c>
      <x:c r="G338" s="7" t="n">
        <x:v>122</x:v>
      </x:c>
      <x:c r="H338" s="25" t="inlineStr">
        <x:is>
          <x:t xml:space="preserve">4-6,6-1,7-5,</x:t>
        </x:is>
      </x:c>
      <x:c r="I338" s="25" t="inlineStr">
        <x:is>
          <x:t xml:space="preserve">A.I.M. Sanchez Vicario</x:t>
        </x:is>
      </x:c>
      <x:c r="J338" s="25" t="inlineStr">
        <x:is>
          <x:t xml:space="preserve">ESP</x:t>
        </x:is>
      </x:c>
      <x:c r="K338" s="25" t="inlineStr">
        <x:is>
          <x:t xml:space="preserve">Spain</x:t>
        </x:is>
      </x:c>
      <x:c r="L338" s="7" t="n">
        <x:v>2</x:v>
      </x:c>
    </x:row>
    <x:row r="339" s="7" customFormat="1" hidden="1">
      <x:c r="A339" t="n">
        <x:v>1993</x:v>
      </x:c>
      <x:c r="B339" s="25" t="inlineStr">
        <x:is>
          <x:t xml:space="preserve">Women's</x:t>
        </x:is>
      </x:c>
      <x:c r="C339" s="25" t="inlineStr">
        <x:is>
          <x:t xml:space="preserve">S.M. Graf</x:t>
        </x:is>
      </x:c>
      <x:c r="D339" s="25" t="inlineStr">
        <x:is>
          <x:t xml:space="preserve">GER</x:t>
        </x:is>
      </x:c>
      <x:c r="E339" s="25" t="inlineStr">
        <x:is>
          <x:t xml:space="preserve">Germany</x:t>
        </x:is>
      </x:c>
      <x:c r="F339" s="7" t="n">
        <x:v>1</x:v>
      </x:c>
      <x:c r="G339" s="7" t="n">
        <x:v>134</x:v>
      </x:c>
      <x:c r="H339" s="25" t="inlineStr">
        <x:is>
          <x:t xml:space="preserve">7-6(8-6),1-6,6-4,</x:t>
        </x:is>
      </x:c>
      <x:c r="I339" s="25" t="inlineStr">
        <x:is>
          <x:t xml:space="preserve">J. Novotna</x:t>
        </x:is>
      </x:c>
      <x:c r="J339" s="25" t="inlineStr">
        <x:is>
          <x:t xml:space="preserve">CZE</x:t>
        </x:is>
      </x:c>
      <x:c r="K339" s="25" t="inlineStr">
        <x:is>
          <x:t xml:space="preserve">Czechia</x:t>
        </x:is>
      </x:c>
      <x:c r="L339" s="7" t="n">
        <x:v>8</x:v>
      </x:c>
    </x:row>
    <x:row r="340" s="7" customFormat="1" hidden="1">
      <x:c r="A340" t="n">
        <x:v>1992</x:v>
      </x:c>
      <x:c r="B340" s="25" t="inlineStr">
        <x:is>
          <x:t xml:space="preserve">Women's</x:t>
        </x:is>
      </x:c>
      <x:c r="C340" s="25" t="inlineStr">
        <x:is>
          <x:t xml:space="preserve">S.M. Graf</x:t>
        </x:is>
      </x:c>
      <x:c r="D340" s="25" t="inlineStr">
        <x:is>
          <x:t xml:space="preserve">GER</x:t>
        </x:is>
      </x:c>
      <x:c r="E340" s="25" t="inlineStr">
        <x:is>
          <x:t xml:space="preserve">Germany</x:t>
        </x:is>
      </x:c>
      <x:c r="F340" s="7" t="n">
        <x:v>2</x:v>
      </x:c>
      <x:c r="G340" s="7" t="n">
        <x:v>58</x:v>
      </x:c>
      <x:c r="H340" s="25" t="inlineStr">
        <x:is>
          <x:t xml:space="preserve">6-2,6-1,</x:t>
        </x:is>
      </x:c>
      <x:c r="I340" s="25" t="inlineStr">
        <x:is>
          <x:t xml:space="preserve">M. Seles</x:t>
        </x:is>
      </x:c>
      <x:c r="J340" s="25" t="inlineStr">
        <x:is>
          <x:t xml:space="preserve">YUG</x:t>
        </x:is>
      </x:c>
      <x:c r="K340" s="25" t="inlineStr">
        <x:is>
          <x:t xml:space="preserve">Yugoslavia</x:t>
        </x:is>
      </x:c>
      <x:c r="L340" s="7" t="n">
        <x:v>1</x:v>
      </x:c>
    </x:row>
    <x:row r="341" s="7" customFormat="1" hidden="1">
      <x:c r="A341" t="n">
        <x:v>1991</x:v>
      </x:c>
      <x:c r="B341" s="25" t="inlineStr">
        <x:is>
          <x:t xml:space="preserve">Women's</x:t>
        </x:is>
      </x:c>
      <x:c r="C341" s="25" t="inlineStr">
        <x:is>
          <x:t xml:space="preserve">S.M. Graf</x:t>
        </x:is>
      </x:c>
      <x:c r="D341" s="25" t="inlineStr">
        <x:is>
          <x:t xml:space="preserve">GER</x:t>
        </x:is>
      </x:c>
      <x:c r="E341" s="25" t="inlineStr">
        <x:is>
          <x:t xml:space="preserve">Germany</x:t>
        </x:is>
      </x:c>
      <x:c r="F341" s="7" t="n">
        <x:v>1</x:v>
      </x:c>
      <x:c r="G341" s="7" t="n">
        <x:v>127</x:v>
      </x:c>
      <x:c r="H341" s="25" t="inlineStr">
        <x:is>
          <x:t xml:space="preserve">6-4,3-6,8-6,</x:t>
        </x:is>
      </x:c>
      <x:c r="I341" s="25" t="inlineStr">
        <x:is>
          <x:t xml:space="preserve">G.B. Sabatini</x:t>
        </x:is>
      </x:c>
      <x:c r="J341" s="25" t="inlineStr">
        <x:is>
          <x:t xml:space="preserve">ARG</x:t>
        </x:is>
      </x:c>
      <x:c r="K341" s="25" t="inlineStr">
        <x:is>
          <x:t xml:space="preserve">Argentina</x:t>
        </x:is>
      </x:c>
      <x:c r="L341" s="7" t="n">
        <x:v>2</x:v>
      </x:c>
    </x:row>
    <x:row r="342" s="7" customFormat="1" hidden="1">
      <x:c r="A342" t="n">
        <x:v>1989</x:v>
      </x:c>
      <x:c r="B342" s="25" t="inlineStr">
        <x:is>
          <x:t xml:space="preserve">Women's</x:t>
        </x:is>
      </x:c>
      <x:c r="C342" s="25" t="inlineStr">
        <x:is>
          <x:t xml:space="preserve">S.M. Graf</x:t>
        </x:is>
      </x:c>
      <x:c r="D342" s="25" t="inlineStr">
        <x:is>
          <x:t xml:space="preserve">GER</x:t>
        </x:is>
      </x:c>
      <x:c r="E342" s="25" t="inlineStr">
        <x:is>
          <x:t xml:space="preserve">Germany</x:t>
        </x:is>
      </x:c>
      <x:c r="F342" s="7" t="n">
        <x:v>1</x:v>
      </x:c>
      <x:c r="G342" s="7" t="n">
        <x:v>92</x:v>
      </x:c>
      <x:c r="H342" s="25" t="inlineStr">
        <x:is>
          <x:t xml:space="preserve">6-2,6-7(1-7),6-1,</x:t>
        </x:is>
      </x:c>
      <x:c r="I342" s="25" t="inlineStr">
        <x:is>
          <x:t xml:space="preserve">M. Navratilova</x:t>
        </x:is>
      </x:c>
      <x:c r="J342" s="25" t="inlineStr">
        <x:is>
          <x:t xml:space="preserve">USA</x:t>
        </x:is>
      </x:c>
      <x:c r="K342" s="25" t="inlineStr">
        <x:is>
          <x:t xml:space="preserve">United States</x:t>
        </x:is>
      </x:c>
      <x:c r="L342" s="7" t="n">
        <x:v>2</x:v>
      </x:c>
    </x:row>
    <x:row r="343" s="7" customFormat="1" hidden="1">
      <x:c r="A343" t="n">
        <x:v>1988</x:v>
      </x:c>
      <x:c r="B343" s="25" t="inlineStr">
        <x:is>
          <x:t xml:space="preserve">Women's</x:t>
        </x:is>
      </x:c>
      <x:c r="C343" s="25" t="inlineStr">
        <x:is>
          <x:t xml:space="preserve">S.M. Graf</x:t>
        </x:is>
      </x:c>
      <x:c r="D343" s="25" t="inlineStr">
        <x:is>
          <x:t xml:space="preserve">GER</x:t>
        </x:is>
      </x:c>
      <x:c r="E343" s="25" t="inlineStr">
        <x:is>
          <x:t xml:space="preserve">Germany</x:t>
        </x:is>
      </x:c>
      <x:c r="F343" s="7" t="n">
        <x:v>1</x:v>
      </x:c>
      <x:c r="G343" s="7" t="n">
        <x:v>93</x:v>
      </x:c>
      <x:c r="H343" s="25" t="inlineStr">
        <x:is>
          <x:t xml:space="preserve">5-7,6-2,6-1,</x:t>
        </x:is>
      </x:c>
      <x:c r="I343" s="25" t="inlineStr">
        <x:is>
          <x:t xml:space="preserve">M. Navratilova</x:t>
        </x:is>
      </x:c>
      <x:c r="J343" s="25" t="inlineStr">
        <x:is>
          <x:t xml:space="preserve">USA</x:t>
        </x:is>
      </x:c>
      <x:c r="K343" s="25" t="inlineStr">
        <x:is>
          <x:t xml:space="preserve">United States</x:t>
        </x:is>
      </x:c>
      <x:c r="L343" s="7" t="n">
        <x:v>2</x:v>
      </x:c>
    </x:row>
    <x:row r="344" s="7" customFormat="1">
      <x:c r="B344" s="24" t="inlineStr">
        <x:is>
          <x:t xml:space="preserve">S.M. Graf Count</x:t>
        </x:is>
      </x:c>
      <x:c r="C344" s="25" t="n">
        <x:f>SUBTOTAL(3,C337:C343)</x:f>
        <x:v>7</x:v>
      </x:c>
      <x:c r="D344" s="25" t="n"/>
      <x:c r="E344" s="25" t="n"/>
      <x:c r="H344" s="25" t="n"/>
      <x:c r="I344" s="25" t="n"/>
      <x:c r="J344" s="25" t="n"/>
      <x:c r="K344" s="25" t="n"/>
    </x:row>
    <x:row r="345" s="7" customFormat="1" hidden="1">
      <x:c r="A345" t="n">
        <x:v>1972</x:v>
      </x:c>
      <x:c r="B345" s="25" t="inlineStr">
        <x:is>
          <x:t xml:space="preserve">Men's</x:t>
        </x:is>
      </x:c>
      <x:c r="C345" s="25" t="inlineStr">
        <x:is>
          <x:t xml:space="preserve">S.R. Smith</x:t>
        </x:is>
      </x:c>
      <x:c r="D345" s="25" t="inlineStr">
        <x:is>
          <x:t xml:space="preserve">USA</x:t>
        </x:is>
      </x:c>
      <x:c r="E345" s="25" t="inlineStr">
        <x:is>
          <x:t xml:space="preserve">United States</x:t>
        </x:is>
      </x:c>
      <x:c r="F345" s="7" t="n">
        <x:v>1</x:v>
      </x:c>
      <x:c r="G345" s="7" t="n">
        <x:v>161</x:v>
      </x:c>
      <x:c r="H345" s="25" t="inlineStr">
        <x:is>
          <x:t xml:space="preserve">4-6,6-3,6-3,4-6,7-5</x:t>
        </x:is>
      </x:c>
      <x:c r="I345" s="25" t="inlineStr">
        <x:is>
          <x:t xml:space="preserve">I. Nastase</x:t>
        </x:is>
      </x:c>
      <x:c r="J345" s="25" t="inlineStr">
        <x:is>
          <x:t xml:space="preserve">ROM</x:t>
        </x:is>
      </x:c>
      <x:c r="K345" s="25" t="inlineStr">
        <x:is>
          <x:t xml:space="preserve">Romania</x:t>
        </x:is>
      </x:c>
      <x:c r="L345" s="7" t="n">
        <x:v>2</x:v>
      </x:c>
    </x:row>
    <x:row r="346" s="7" customFormat="1">
      <x:c r="B346" s="24" t="inlineStr">
        <x:is>
          <x:t xml:space="preserve">S.R. Smith Count</x:t>
        </x:is>
      </x:c>
      <x:c r="C346" s="25" t="n">
        <x:f>SUBTOTAL(3,C345:C345)</x:f>
        <x:v>1</x:v>
      </x:c>
      <x:c r="D346" s="25" t="n"/>
      <x:c r="E346" s="25" t="n"/>
      <x:c r="H346" s="25" t="n"/>
      <x:c r="I346" s="25" t="n"/>
      <x:c r="J346" s="25" t="n"/>
      <x:c r="K346" s="25" t="n"/>
    </x:row>
    <x:row r="347" s="7" customFormat="1" hidden="1">
      <x:c r="A347" t="n">
        <x:v>1925</x:v>
      </x:c>
      <x:c r="B347" s="25" t="inlineStr">
        <x:is>
          <x:t xml:space="preserve">Women's</x:t>
        </x:is>
      </x:c>
      <x:c r="C347" s="25" t="inlineStr">
        <x:is>
          <x:t xml:space="preserve">S.R.F. Lenglen</x:t>
        </x:is>
      </x:c>
      <x:c r="D347" s="25" t="inlineStr">
        <x:is>
          <x:t xml:space="preserve">FRA</x:t>
        </x:is>
      </x:c>
      <x:c r="E347" s="25" t="inlineStr">
        <x:is>
          <x:t xml:space="preserve">France</x:t>
        </x:is>
      </x:c>
      <x:c r="G347" s="7" t="n">
        <x:v>25</x:v>
      </x:c>
      <x:c r="H347" s="25" t="inlineStr">
        <x:is>
          <x:t xml:space="preserve">6-2,6-0</x:t>
        </x:is>
      </x:c>
      <x:c r="I347" s="25" t="inlineStr">
        <x:is>
          <x:t xml:space="preserve">J.C. Fry</x:t>
        </x:is>
      </x:c>
      <x:c r="J347" s="25" t="inlineStr">
        <x:is>
          <x:t xml:space="preserve">GBR</x:t>
        </x:is>
      </x:c>
      <x:c r="K347" s="25" t="inlineStr">
        <x:is>
          <x:t xml:space="preserve">United Kingdom</x:t>
        </x:is>
      </x:c>
    </x:row>
    <x:row r="348" s="7" customFormat="1" hidden="1">
      <x:c r="A348" t="n">
        <x:v>1923</x:v>
      </x:c>
      <x:c r="B348" s="25" t="inlineStr">
        <x:is>
          <x:t xml:space="preserve">Women's</x:t>
        </x:is>
      </x:c>
      <x:c r="C348" s="25" t="inlineStr">
        <x:is>
          <x:t xml:space="preserve">S.R.F. Lenglen</x:t>
        </x:is>
      </x:c>
      <x:c r="D348" s="25" t="inlineStr">
        <x:is>
          <x:t xml:space="preserve">FRA</x:t>
        </x:is>
      </x:c>
      <x:c r="E348" s="25" t="inlineStr">
        <x:is>
          <x:t xml:space="preserve">France</x:t>
        </x:is>
      </x:c>
      <x:c r="H348" s="25" t="inlineStr">
        <x:is>
          <x:t xml:space="preserve">6-2,6-2</x:t>
        </x:is>
      </x:c>
      <x:c r="I348" s="25" t="inlineStr">
        <x:is>
          <x:t xml:space="preserve">K. McKane</x:t>
        </x:is>
      </x:c>
      <x:c r="J348" s="25" t="inlineStr">
        <x:is>
          <x:t xml:space="preserve">GBR</x:t>
        </x:is>
      </x:c>
      <x:c r="K348" s="25" t="inlineStr">
        <x:is>
          <x:t xml:space="preserve">United Kingdom</x:t>
        </x:is>
      </x:c>
    </x:row>
    <x:row r="349" s="7" customFormat="1" hidden="1">
      <x:c r="A349" t="n">
        <x:v>1922</x:v>
      </x:c>
      <x:c r="B349" s="25" t="inlineStr">
        <x:is>
          <x:t xml:space="preserve">Women's</x:t>
        </x:is>
      </x:c>
      <x:c r="C349" s="25" t="inlineStr">
        <x:is>
          <x:t xml:space="preserve">S.R.F. Lenglen</x:t>
        </x:is>
      </x:c>
      <x:c r="D349" s="25" t="inlineStr">
        <x:is>
          <x:t xml:space="preserve">FRA</x:t>
        </x:is>
      </x:c>
      <x:c r="E349" s="25" t="inlineStr">
        <x:is>
          <x:t xml:space="preserve">France</x:t>
        </x:is>
      </x:c>
      <x:c r="G349" s="7" t="n">
        <x:v>23</x:v>
      </x:c>
      <x:c r="H349" s="25" t="inlineStr">
        <x:is>
          <x:t xml:space="preserve">6-2,6-0</x:t>
        </x:is>
      </x:c>
      <x:c r="I349" s="25" t="inlineStr">
        <x:is>
          <x:t xml:space="preserve">F.I. Mallory</x:t>
        </x:is>
      </x:c>
      <x:c r="J349" s="25" t="inlineStr">
        <x:is>
          <x:t xml:space="preserve">USA</x:t>
        </x:is>
      </x:c>
      <x:c r="K349" s="25" t="inlineStr">
        <x:is>
          <x:t xml:space="preserve">United States</x:t>
        </x:is>
      </x:c>
    </x:row>
    <x:row r="350" s="7" customFormat="1" hidden="1">
      <x:c r="A350" t="n">
        <x:v>1921</x:v>
      </x:c>
      <x:c r="B350" s="25" t="inlineStr">
        <x:is>
          <x:t xml:space="preserve">Women's</x:t>
        </x:is>
      </x:c>
      <x:c r="C350" s="25" t="inlineStr">
        <x:is>
          <x:t xml:space="preserve">S.R.F. Lenglen</x:t>
        </x:is>
      </x:c>
      <x:c r="D350" s="25" t="inlineStr">
        <x:is>
          <x:t xml:space="preserve">FRA</x:t>
        </x:is>
      </x:c>
      <x:c r="E350" s="25" t="inlineStr">
        <x:is>
          <x:t xml:space="preserve">France</x:t>
        </x:is>
      </x:c>
      <x:c r="H350" s="25" t="inlineStr">
        <x:is>
          <x:t xml:space="preserve">6-2,6-0</x:t>
        </x:is>
      </x:c>
      <x:c r="I350" s="25" t="inlineStr">
        <x:is>
          <x:t xml:space="preserve">E.M. Ryan</x:t>
        </x:is>
      </x:c>
      <x:c r="J350" s="25" t="inlineStr">
        <x:is>
          <x:t xml:space="preserve">USA</x:t>
        </x:is>
      </x:c>
      <x:c r="K350" s="25" t="inlineStr">
        <x:is>
          <x:t xml:space="preserve">United States</x:t>
        </x:is>
      </x:c>
    </x:row>
    <x:row r="351" s="7" customFormat="1" hidden="1">
      <x:c r="A351" t="n">
        <x:v>1920</x:v>
      </x:c>
      <x:c r="B351" s="25" t="inlineStr">
        <x:is>
          <x:t xml:space="preserve">Women's</x:t>
        </x:is>
      </x:c>
      <x:c r="C351" s="25" t="inlineStr">
        <x:is>
          <x:t xml:space="preserve">S.R.F. Lenglen</x:t>
        </x:is>
      </x:c>
      <x:c r="D351" s="25" t="inlineStr">
        <x:is>
          <x:t xml:space="preserve">FRA</x:t>
        </x:is>
      </x:c>
      <x:c r="E351" s="25" t="inlineStr">
        <x:is>
          <x:t xml:space="preserve">France</x:t>
        </x:is>
      </x:c>
      <x:c r="H351" s="25" t="inlineStr">
        <x:is>
          <x:t xml:space="preserve">6-3,6-0</x:t>
        </x:is>
      </x:c>
      <x:c r="I351" s="25" t="inlineStr">
        <x:is>
          <x:t xml:space="preserve">R.L. Chambers</x:t>
        </x:is>
      </x:c>
      <x:c r="J351" s="25" t="inlineStr">
        <x:is>
          <x:t xml:space="preserve">GBR</x:t>
        </x:is>
      </x:c>
      <x:c r="K351" s="25" t="inlineStr">
        <x:is>
          <x:t xml:space="preserve">United Kingdom</x:t>
        </x:is>
      </x:c>
    </x:row>
    <x:row r="352" s="7" customFormat="1" hidden="1">
      <x:c r="A352" t="n">
        <x:v>1919</x:v>
      </x:c>
      <x:c r="B352" s="25" t="inlineStr">
        <x:is>
          <x:t xml:space="preserve">Women's</x:t>
        </x:is>
      </x:c>
      <x:c r="C352" s="25" t="inlineStr">
        <x:is>
          <x:t xml:space="preserve">S.R.F. Lenglen</x:t>
        </x:is>
      </x:c>
      <x:c r="D352" s="25" t="inlineStr">
        <x:is>
          <x:t xml:space="preserve">FRA</x:t>
        </x:is>
      </x:c>
      <x:c r="E352" s="25" t="inlineStr">
        <x:is>
          <x:t xml:space="preserve">France</x:t>
        </x:is>
      </x:c>
      <x:c r="G352" s="7" t="n">
        <x:v>125</x:v>
      </x:c>
      <x:c r="H352" s="25" t="inlineStr">
        <x:is>
          <x:t xml:space="preserve">10-8,4-6,9-7</x:t>
        </x:is>
      </x:c>
      <x:c r="I352" s="25" t="inlineStr">
        <x:is>
          <x:t xml:space="preserve">R.L. Chambers</x:t>
        </x:is>
      </x:c>
      <x:c r="J352" s="25" t="inlineStr">
        <x:is>
          <x:t xml:space="preserve">GBR</x:t>
        </x:is>
      </x:c>
      <x:c r="K352" s="25" t="inlineStr">
        <x:is>
          <x:t xml:space="preserve">United Kingdom</x:t>
        </x:is>
      </x:c>
    </x:row>
    <x:row r="353" s="7" customFormat="1">
      <x:c r="B353" s="24" t="inlineStr">
        <x:is>
          <x:t xml:space="preserve">S.R.F. Lenglen Count</x:t>
        </x:is>
      </x:c>
      <x:c r="C353" s="25" t="n">
        <x:f>SUBTOTAL(3,C347:C352)</x:f>
        <x:v>6</x:v>
      </x:c>
      <x:c r="D353" s="25" t="n"/>
      <x:c r="E353" s="25" t="n"/>
      <x:c r="H353" s="25" t="n"/>
      <x:c r="I353" s="25" t="n"/>
      <x:c r="J353" s="25" t="n"/>
      <x:c r="K353" s="25" t="n"/>
    </x:row>
    <x:row r="354" s="7" customFormat="1" hidden="1">
      <x:c r="A354" t="n">
        <x:v>1977</x:v>
      </x:c>
      <x:c r="B354" s="25" t="inlineStr">
        <x:is>
          <x:t xml:space="preserve">Women's</x:t>
        </x:is>
      </x:c>
      <x:c r="C354" s="25" t="inlineStr">
        <x:is>
          <x:t xml:space="preserve">S.V. Wade</x:t>
        </x:is>
      </x:c>
      <x:c r="D354" s="25" t="inlineStr">
        <x:is>
          <x:t xml:space="preserve">GBR</x:t>
        </x:is>
      </x:c>
      <x:c r="E354" s="25" t="inlineStr">
        <x:is>
          <x:t xml:space="preserve">United Kingdom</x:t>
        </x:is>
      </x:c>
      <x:c r="F354" s="7" t="n">
        <x:v>3</x:v>
      </x:c>
      <x:c r="G354" s="7" t="n">
        <x:v>98</x:v>
      </x:c>
      <x:c r="H354" s="25" t="inlineStr">
        <x:is>
          <x:t xml:space="preserve">4-6,6-3,6-1,</x:t>
        </x:is>
      </x:c>
      <x:c r="I354" s="25" t="inlineStr">
        <x:is>
          <x:t xml:space="preserve">B.F. Stove</x:t>
        </x:is>
      </x:c>
      <x:c r="J354" s="25" t="inlineStr">
        <x:is>
          <x:t xml:space="preserve">NED</x:t>
        </x:is>
      </x:c>
      <x:c r="K354" s="25" t="inlineStr">
        <x:is>
          <x:t xml:space="preserve">Netherlands</x:t>
        </x:is>
      </x:c>
      <x:c r="L354" s="7" t="n">
        <x:v>7</x:v>
      </x:c>
    </x:row>
    <x:row r="355" s="7" customFormat="1">
      <x:c r="B355" s="24" t="inlineStr">
        <x:is>
          <x:t xml:space="preserve">S.V. Wade Count</x:t>
        </x:is>
      </x:c>
      <x:c r="C355" s="25" t="n">
        <x:f>SUBTOTAL(3,C354:C354)</x:f>
        <x:v>1</x:v>
      </x:c>
      <x:c r="D355" s="25" t="n"/>
      <x:c r="E355" s="25" t="n"/>
      <x:c r="H355" s="25" t="n"/>
      <x:c r="I355" s="25" t="n"/>
      <x:c r="J355" s="25" t="n"/>
      <x:c r="K355" s="25" t="n"/>
    </x:row>
    <x:row r="356" s="7" customFormat="1" hidden="1">
      <x:c r="A356" t="n">
        <x:v>1877</x:v>
      </x:c>
      <x:c r="B356" s="25" t="inlineStr">
        <x:is>
          <x:t xml:space="preserve">Men's</x:t>
        </x:is>
      </x:c>
      <x:c r="C356" s="25" t="inlineStr">
        <x:is>
          <x:t xml:space="preserve">S.W. Gore</x:t>
        </x:is>
      </x:c>
      <x:c r="D356" s="25" t="inlineStr">
        <x:is>
          <x:t xml:space="preserve">GBR</x:t>
        </x:is>
      </x:c>
      <x:c r="E356" s="25" t="inlineStr">
        <x:is>
          <x:t xml:space="preserve">United Kingdom</x:t>
        </x:is>
      </x:c>
      <x:c r="G356" s="7" t="n">
        <x:v>48</x:v>
      </x:c>
      <x:c r="H356" s="25" t="inlineStr">
        <x:is>
          <x:t xml:space="preserve">6-1,6-2,6-4</x:t>
        </x:is>
      </x:c>
      <x:c r="I356" s="25" t="inlineStr">
        <x:is>
          <x:t xml:space="preserve">W.C. Marshall</x:t>
        </x:is>
      </x:c>
      <x:c r="J356" s="25" t="inlineStr">
        <x:is>
          <x:t xml:space="preserve">GBR</x:t>
        </x:is>
      </x:c>
      <x:c r="K356" s="25" t="inlineStr">
        <x:is>
          <x:t xml:space="preserve">United Kingdom</x:t>
        </x:is>
      </x:c>
    </x:row>
    <x:row r="357" s="7" customFormat="1">
      <x:c r="B357" s="24" t="inlineStr">
        <x:is>
          <x:t xml:space="preserve">S.W. Gore Count</x:t>
        </x:is>
      </x:c>
      <x:c r="C357" s="25" t="n">
        <x:f>SUBTOTAL(3,C356:C356)</x:f>
        <x:v>1</x:v>
      </x:c>
      <x:c r="D357" s="25" t="n"/>
      <x:c r="E357" s="25" t="n"/>
      <x:c r="H357" s="25" t="n"/>
      <x:c r="I357" s="25" t="n"/>
      <x:c r="J357" s="25" t="n"/>
      <x:c r="K357" s="25" t="n"/>
    </x:row>
    <x:row r="358" s="7" customFormat="1" hidden="1">
      <x:c r="A358" t="n">
        <x:v>2008</x:v>
      </x:c>
      <x:c r="B358" s="25" t="inlineStr">
        <x:is>
          <x:t xml:space="preserve">Women's</x:t>
        </x:is>
      </x:c>
      <x:c r="C358" s="25" t="inlineStr">
        <x:is>
          <x:t xml:space="preserve">V.E.S. Williams</x:t>
        </x:is>
      </x:c>
      <x:c r="D358" s="25" t="inlineStr">
        <x:is>
          <x:t xml:space="preserve">USA</x:t>
        </x:is>
      </x:c>
      <x:c r="E358" s="25" t="inlineStr">
        <x:is>
          <x:t xml:space="preserve">United States</x:t>
        </x:is>
      </x:c>
      <x:c r="F358" s="7" t="n">
        <x:v>7</x:v>
      </x:c>
      <x:c r="G358" s="7" t="n">
        <x:v>111</x:v>
      </x:c>
      <x:c r="H358" s="25" t="inlineStr">
        <x:is>
          <x:t xml:space="preserve">7-5,6-4</x:t>
        </x:is>
      </x:c>
      <x:c r="I358" s="25" t="inlineStr">
        <x:is>
          <x:t xml:space="preserve">S. Williams</x:t>
        </x:is>
      </x:c>
      <x:c r="J358" s="25" t="inlineStr">
        <x:is>
          <x:t xml:space="preserve">USA</x:t>
        </x:is>
      </x:c>
      <x:c r="K358" s="25" t="inlineStr">
        <x:is>
          <x:t xml:space="preserve">United States</x:t>
        </x:is>
      </x:c>
      <x:c r="L358" s="7" t="n">
        <x:v>6</x:v>
      </x:c>
    </x:row>
    <x:row r="359" s="7" customFormat="1" hidden="1">
      <x:c r="A359" t="n">
        <x:v>2007</x:v>
      </x:c>
      <x:c r="B359" s="25" t="inlineStr">
        <x:is>
          <x:t xml:space="preserve">Women's</x:t>
        </x:is>
      </x:c>
      <x:c r="C359" s="25" t="inlineStr">
        <x:is>
          <x:t xml:space="preserve">V.E.S. Williams</x:t>
        </x:is>
      </x:c>
      <x:c r="D359" s="25" t="inlineStr">
        <x:is>
          <x:t xml:space="preserve">USA</x:t>
        </x:is>
      </x:c>
      <x:c r="E359" s="25" t="inlineStr">
        <x:is>
          <x:t xml:space="preserve">United States</x:t>
        </x:is>
      </x:c>
      <x:c r="F359" s="7" t="n">
        <x:v>23</x:v>
      </x:c>
      <x:c r="G359" s="7" t="n">
        <x:v>90</x:v>
      </x:c>
      <x:c r="H359" s="25" t="inlineStr">
        <x:is>
          <x:t xml:space="preserve">6-4,6-1</x:t>
        </x:is>
      </x:c>
      <x:c r="I359" s="25" t="inlineStr">
        <x:is>
          <x:t xml:space="preserve">M. Bartoli</x:t>
        </x:is>
      </x:c>
      <x:c r="J359" s="25" t="inlineStr">
        <x:is>
          <x:t xml:space="preserve">FRA</x:t>
        </x:is>
      </x:c>
      <x:c r="K359" s="25" t="inlineStr">
        <x:is>
          <x:t xml:space="preserve">France</x:t>
        </x:is>
      </x:c>
      <x:c r="L359" s="7" t="n">
        <x:v>18</x:v>
      </x:c>
    </x:row>
    <x:row r="360" s="7" customFormat="1" hidden="1">
      <x:c r="A360" t="n">
        <x:v>2005</x:v>
      </x:c>
      <x:c r="B360" s="25" t="inlineStr">
        <x:is>
          <x:t xml:space="preserve">Women's</x:t>
        </x:is>
      </x:c>
      <x:c r="C360" s="25" t="inlineStr">
        <x:is>
          <x:t xml:space="preserve">V.E.S. Williams</x:t>
        </x:is>
      </x:c>
      <x:c r="D360" s="25" t="inlineStr">
        <x:is>
          <x:t xml:space="preserve">USA</x:t>
        </x:is>
      </x:c>
      <x:c r="E360" s="25" t="inlineStr">
        <x:is>
          <x:t xml:space="preserve">United States</x:t>
        </x:is>
      </x:c>
      <x:c r="F360" s="7" t="n">
        <x:v>14</x:v>
      </x:c>
      <x:c r="G360" s="7" t="n">
        <x:v>166</x:v>
      </x:c>
      <x:c r="H360" s="25" t="inlineStr">
        <x:is>
          <x:t xml:space="preserve">4-6,7-6(7-4),9-7</x:t>
        </x:is>
      </x:c>
      <x:c r="I360" s="25" t="inlineStr">
        <x:is>
          <x:t xml:space="preserve">L. Davenport</x:t>
        </x:is>
      </x:c>
      <x:c r="J360" s="25" t="inlineStr">
        <x:is>
          <x:t xml:space="preserve">USA</x:t>
        </x:is>
      </x:c>
      <x:c r="K360" s="25" t="inlineStr">
        <x:is>
          <x:t xml:space="preserve">United States</x:t>
        </x:is>
      </x:c>
      <x:c r="L360" s="7" t="n">
        <x:v>1</x:v>
      </x:c>
    </x:row>
    <x:row r="361" s="7" customFormat="1" hidden="1">
      <x:c r="A361" t="n">
        <x:v>2001</x:v>
      </x:c>
      <x:c r="B361" s="25" t="inlineStr">
        <x:is>
          <x:t xml:space="preserve">Women's</x:t>
        </x:is>
      </x:c>
      <x:c r="C361" s="25" t="inlineStr">
        <x:is>
          <x:t xml:space="preserve">V.E.S. Williams</x:t>
        </x:is>
      </x:c>
      <x:c r="D361" s="25" t="inlineStr">
        <x:is>
          <x:t xml:space="preserve">USA</x:t>
        </x:is>
      </x:c>
      <x:c r="E361" s="25" t="inlineStr">
        <x:is>
          <x:t xml:space="preserve">United States</x:t>
        </x:is>
      </x:c>
      <x:c r="F361" s="7" t="n">
        <x:v>2</x:v>
      </x:c>
      <x:c r="G361" s="7" t="n">
        <x:v>69</x:v>
      </x:c>
      <x:c r="H361" s="25" t="inlineStr">
        <x:is>
          <x:t xml:space="preserve">6-1,3-6,6-0</x:t>
        </x:is>
      </x:c>
      <x:c r="I361" s="25" t="inlineStr">
        <x:is>
          <x:t xml:space="preserve">J. Henin</x:t>
        </x:is>
      </x:c>
      <x:c r="J361" s="25" t="inlineStr">
        <x:is>
          <x:t xml:space="preserve">BEL</x:t>
        </x:is>
      </x:c>
      <x:c r="K361" s="25" t="inlineStr">
        <x:is>
          <x:t xml:space="preserve">Belgium</x:t>
        </x:is>
      </x:c>
      <x:c r="L361" s="7" t="n">
        <x:v>8</x:v>
      </x:c>
    </x:row>
    <x:row r="362" s="7" customFormat="1" hidden="1">
      <x:c r="A362" t="n">
        <x:v>2000</x:v>
      </x:c>
      <x:c r="B362" s="25" t="inlineStr">
        <x:is>
          <x:t xml:space="preserve">Women's</x:t>
        </x:is>
      </x:c>
      <x:c r="C362" s="25" t="inlineStr">
        <x:is>
          <x:t xml:space="preserve">V.E.S. Williams</x:t>
        </x:is>
      </x:c>
      <x:c r="D362" s="25" t="inlineStr">
        <x:is>
          <x:t xml:space="preserve">USA</x:t>
        </x:is>
      </x:c>
      <x:c r="E362" s="25" t="inlineStr">
        <x:is>
          <x:t xml:space="preserve">United States</x:t>
        </x:is>
      </x:c>
      <x:c r="F362" s="7" t="n">
        <x:v>5</x:v>
      </x:c>
      <x:c r="G362" s="7" t="n">
        <x:v>84</x:v>
      </x:c>
      <x:c r="H362" s="25" t="inlineStr">
        <x:is>
          <x:t xml:space="preserve">6-3,7-6(7-3)</x:t>
        </x:is>
      </x:c>
      <x:c r="I362" s="25" t="inlineStr">
        <x:is>
          <x:t xml:space="preserve">L.A. Davenport</x:t>
        </x:is>
      </x:c>
      <x:c r="J362" s="25" t="inlineStr">
        <x:is>
          <x:t xml:space="preserve">USA</x:t>
        </x:is>
      </x:c>
      <x:c r="K362" s="25" t="inlineStr">
        <x:is>
          <x:t xml:space="preserve">United States</x:t>
        </x:is>
      </x:c>
      <x:c r="L362" s="7" t="n">
        <x:v>2</x:v>
      </x:c>
    </x:row>
    <x:row r="363" s="7" customFormat="1">
      <x:c r="B363" s="24" t="inlineStr">
        <x:is>
          <x:t xml:space="preserve">V.E.S. Williams Count</x:t>
        </x:is>
      </x:c>
      <x:c r="C363" s="25" t="n">
        <x:f>SUBTOTAL(3,C358:C362)</x:f>
        <x:v>5</x:v>
      </x:c>
      <x:c r="D363" s="25" t="n"/>
      <x:c r="E363" s="25" t="n"/>
      <x:c r="H363" s="25" t="n"/>
      <x:c r="I363" s="25" t="n"/>
      <x:c r="J363" s="25" t="n"/>
      <x:c r="K363" s="25" t="n"/>
    </x:row>
    <x:row r="364" s="7" customFormat="1" hidden="1">
      <x:c r="A364" t="n">
        <x:v>1895</x:v>
      </x:c>
      <x:c r="B364" s="25" t="inlineStr">
        <x:is>
          <x:t xml:space="preserve">Men's</x:t>
        </x:is>
      </x:c>
      <x:c r="C364" s="25" t="inlineStr">
        <x:is>
          <x:t xml:space="preserve">W. Baddeley</x:t>
        </x:is>
      </x:c>
      <x:c r="D364" s="25" t="inlineStr">
        <x:is>
          <x:t xml:space="preserve">GBR</x:t>
        </x:is>
      </x:c>
      <x:c r="E364" s="25" t="inlineStr">
        <x:is>
          <x:t xml:space="preserve">United Kingdom</x:t>
        </x:is>
      </x:c>
      <x:c r="G364" s="7" t="n">
        <x:v>95</x:v>
      </x:c>
      <x:c r="H364" s="25" t="inlineStr">
        <x:is>
          <x:t xml:space="preserve">4-6,2-6,8-6,6-2,6-3</x:t>
        </x:is>
      </x:c>
      <x:c r="I364" s="25" t="inlineStr">
        <x:is>
          <x:t xml:space="preserve">W.V. Eaves</x:t>
        </x:is>
      </x:c>
      <x:c r="J364" s="25" t="inlineStr">
        <x:is>
          <x:t xml:space="preserve">GBR</x:t>
        </x:is>
      </x:c>
      <x:c r="K364" s="25" t="inlineStr">
        <x:is>
          <x:t xml:space="preserve">United Kingdom</x:t>
        </x:is>
      </x:c>
    </x:row>
    <x:row r="365" s="7" customFormat="1" hidden="1">
      <x:c r="A365" t="n">
        <x:v>1892</x:v>
      </x:c>
      <x:c r="B365" s="25" t="inlineStr">
        <x:is>
          <x:t xml:space="preserve">Men's</x:t>
        </x:is>
      </x:c>
      <x:c r="C365" s="25" t="inlineStr">
        <x:is>
          <x:t xml:space="preserve">W. Baddeley</x:t>
        </x:is>
      </x:c>
      <x:c r="D365" s="25" t="inlineStr">
        <x:is>
          <x:t xml:space="preserve">GBR</x:t>
        </x:is>
      </x:c>
      <x:c r="E365" s="25" t="inlineStr">
        <x:is>
          <x:t xml:space="preserve">United Kingdom</x:t>
        </x:is>
      </x:c>
      <x:c r="G365" s="7" t="n">
        <x:v>75</x:v>
      </x:c>
      <x:c r="H365" s="25" t="inlineStr">
        <x:is>
          <x:t xml:space="preserve">4-6,6-3,6-3,6-2</x:t>
        </x:is>
      </x:c>
      <x:c r="I365" s="25" t="inlineStr">
        <x:is>
          <x:t xml:space="preserve">J. Pim</x:t>
        </x:is>
      </x:c>
      <x:c r="J365" s="25" t="inlineStr">
        <x:is>
          <x:t xml:space="preserve">GBR</x:t>
        </x:is>
      </x:c>
      <x:c r="K365" s="25" t="inlineStr">
        <x:is>
          <x:t xml:space="preserve">United Kingdom</x:t>
        </x:is>
      </x:c>
    </x:row>
    <x:row r="366" s="7" customFormat="1" hidden="1">
      <x:c r="A366" t="n">
        <x:v>1891</x:v>
      </x:c>
      <x:c r="B366" s="25" t="inlineStr">
        <x:is>
          <x:t xml:space="preserve">Men's</x:t>
        </x:is>
      </x:c>
      <x:c r="C366" s="25" t="inlineStr">
        <x:is>
          <x:t xml:space="preserve">W. Baddeley</x:t>
        </x:is>
      </x:c>
      <x:c r="D366" s="25" t="inlineStr">
        <x:is>
          <x:t xml:space="preserve">GBR</x:t>
        </x:is>
      </x:c>
      <x:c r="E366" s="25" t="inlineStr">
        <x:is>
          <x:t xml:space="preserve">United Kingdom</x:t>
        </x:is>
      </x:c>
      <x:c r="H366" s="25" t="inlineStr">
        <x:is>
          <x:t xml:space="preserve">6-4,1-6,7-5,6-0</x:t>
        </x:is>
      </x:c>
      <x:c r="I366" s="25" t="inlineStr">
        <x:is>
          <x:t xml:space="preserve">J.Pim</x:t>
        </x:is>
      </x:c>
      <x:c r="J366" s="25" t="inlineStr">
        <x:is>
          <x:t xml:space="preserve">GBR</x:t>
        </x:is>
      </x:c>
      <x:c r="K366" s="25" t="inlineStr">
        <x:is>
          <x:t xml:space="preserve">United Kingdom</x:t>
        </x:is>
      </x:c>
    </x:row>
    <x:row r="367" s="7" customFormat="1">
      <x:c r="B367" s="24" t="inlineStr">
        <x:is>
          <x:t xml:space="preserve">W. Baddeley Count</x:t>
        </x:is>
      </x:c>
      <x:c r="C367" s="25" t="n">
        <x:f>SUBTOTAL(3,C364:C366)</x:f>
        <x:v>3</x:v>
      </x:c>
      <x:c r="D367" s="25" t="n"/>
      <x:c r="E367" s="25" t="n"/>
      <x:c r="H367" s="25" t="n"/>
      <x:c r="I367" s="25" t="n"/>
      <x:c r="J367" s="25" t="n"/>
      <x:c r="K367" s="25" t="n"/>
    </x:row>
    <x:row r="368" s="7" customFormat="1" hidden="1">
      <x:c r="A368" t="n">
        <x:v>1923</x:v>
      </x:c>
      <x:c r="B368" s="25" t="inlineStr">
        <x:is>
          <x:t xml:space="preserve">Men's</x:t>
        </x:is>
      </x:c>
      <x:c r="C368" s="25" t="inlineStr">
        <x:is>
          <x:t xml:space="preserve">W. M. Johnston</x:t>
        </x:is>
      </x:c>
      <x:c r="D368" s="25" t="inlineStr">
        <x:is>
          <x:t xml:space="preserve">USA</x:t>
        </x:is>
      </x:c>
      <x:c r="E368" s="25" t="inlineStr">
        <x:is>
          <x:t xml:space="preserve">United States</x:t>
        </x:is>
      </x:c>
      <x:c r="G368" s="7" t="n">
        <x:v>46</x:v>
      </x:c>
      <x:c r="H368" s="25" t="inlineStr">
        <x:is>
          <x:t xml:space="preserve">6-0,6-3,6-1</x:t>
        </x:is>
      </x:c>
      <x:c r="I368" s="25" t="inlineStr">
        <x:is>
          <x:t xml:space="preserve">F.T. Hunter</x:t>
        </x:is>
      </x:c>
      <x:c r="J368" s="25" t="inlineStr">
        <x:is>
          <x:t xml:space="preserve">USA</x:t>
        </x:is>
      </x:c>
      <x:c r="K368" s="25" t="inlineStr">
        <x:is>
          <x:t xml:space="preserve">United States</x:t>
        </x:is>
      </x:c>
    </x:row>
    <x:row r="369" s="7" customFormat="1">
      <x:c r="B369" s="24" t="inlineStr">
        <x:is>
          <x:t xml:space="preserve">W. M. Johnston Count</x:t>
        </x:is>
      </x:c>
      <x:c r="C369" s="25" t="n">
        <x:f>SUBTOTAL(3,C368:C368)</x:f>
        <x:v>1</x:v>
      </x:c>
      <x:c r="D369" s="25" t="n"/>
      <x:c r="E369" s="25" t="n"/>
      <x:c r="H369" s="25" t="n"/>
      <x:c r="I369" s="25" t="n"/>
      <x:c r="J369" s="25" t="n"/>
      <x:c r="K369" s="25" t="n"/>
    </x:row>
    <x:row r="370" s="7" customFormat="1" hidden="1">
      <x:c r="A370" t="n">
        <x:v>1889</x:v>
      </x:c>
      <x:c r="B370" s="25" t="inlineStr">
        <x:is>
          <x:t xml:space="preserve">Men's</x:t>
        </x:is>
      </x:c>
      <x:c r="C370" s="25" t="inlineStr">
        <x:is>
          <x:t xml:space="preserve">W.C. Renshaw</x:t>
        </x:is>
      </x:c>
      <x:c r="D370" s="25" t="inlineStr">
        <x:is>
          <x:t xml:space="preserve">GBR</x:t>
        </x:is>
      </x:c>
      <x:c r="E370" s="25" t="inlineStr">
        <x:is>
          <x:t xml:space="preserve">United Kingdom</x:t>
        </x:is>
      </x:c>
      <x:c r="G370" s="7" t="n">
        <x:v>63</x:v>
      </x:c>
      <x:c r="H370" s="25" t="inlineStr">
        <x:is>
          <x:t xml:space="preserve">6-4,6-1,3-6,6-0</x:t>
        </x:is>
      </x:c>
      <x:c r="I370" s="25" t="inlineStr">
        <x:is>
          <x:t xml:space="preserve">J.E. Renshaw</x:t>
        </x:is>
      </x:c>
      <x:c r="J370" s="25" t="inlineStr">
        <x:is>
          <x:t xml:space="preserve">GBR</x:t>
        </x:is>
      </x:c>
      <x:c r="K370" s="25" t="inlineStr">
        <x:is>
          <x:t xml:space="preserve">United Kingdom</x:t>
        </x:is>
      </x:c>
    </x:row>
    <x:row r="371" s="7" customFormat="1" hidden="1">
      <x:c r="A371" t="n">
        <x:v>1886</x:v>
      </x:c>
      <x:c r="B371" s="25" t="inlineStr">
        <x:is>
          <x:t xml:space="preserve">Men's</x:t>
        </x:is>
      </x:c>
      <x:c r="C371" s="25" t="inlineStr">
        <x:is>
          <x:t xml:space="preserve">W.C. Renshaw</x:t>
        </x:is>
      </x:c>
      <x:c r="D371" s="25" t="inlineStr">
        <x:is>
          <x:t xml:space="preserve">GBR</x:t>
        </x:is>
      </x:c>
      <x:c r="E371" s="25" t="inlineStr">
        <x:is>
          <x:t xml:space="preserve">United Kingdom</x:t>
        </x:is>
      </x:c>
      <x:c r="G371" s="7" t="n">
        <x:v>96</x:v>
      </x:c>
      <x:c r="H371" s="25" t="inlineStr">
        <x:is>
          <x:t xml:space="preserve">6-0,5-7,6-3,6-4</x:t>
        </x:is>
      </x:c>
      <x:c r="I371" s="25" t="inlineStr">
        <x:is>
          <x:t xml:space="preserve">H.F. Lawford</x:t>
        </x:is>
      </x:c>
      <x:c r="J371" s="25" t="inlineStr">
        <x:is>
          <x:t xml:space="preserve">GBR</x:t>
        </x:is>
      </x:c>
      <x:c r="K371" s="25" t="inlineStr">
        <x:is>
          <x:t xml:space="preserve">United Kingdom</x:t>
        </x:is>
      </x:c>
    </x:row>
    <x:row r="372" s="7" customFormat="1" hidden="1">
      <x:c r="A372" t="n">
        <x:v>1885</x:v>
      </x:c>
      <x:c r="B372" s="25" t="inlineStr">
        <x:is>
          <x:t xml:space="preserve">Men's</x:t>
        </x:is>
      </x:c>
      <x:c r="C372" s="25" t="inlineStr">
        <x:is>
          <x:t xml:space="preserve">W.C. Renshaw</x:t>
        </x:is>
      </x:c>
      <x:c r="D372" s="25" t="inlineStr">
        <x:is>
          <x:t xml:space="preserve">GBR</x:t>
        </x:is>
      </x:c>
      <x:c r="E372" s="25" t="inlineStr">
        <x:is>
          <x:t xml:space="preserve">United Kingdom</x:t>
        </x:is>
      </x:c>
      <x:c r="G372" s="7" t="n">
        <x:v>122</x:v>
      </x:c>
      <x:c r="H372" s="25" t="inlineStr">
        <x:is>
          <x:t xml:space="preserve">7-5,6-2,4-6,7-5</x:t>
        </x:is>
      </x:c>
      <x:c r="I372" s="25" t="inlineStr">
        <x:is>
          <x:t xml:space="preserve">H.F. Lawford</x:t>
        </x:is>
      </x:c>
      <x:c r="J372" s="25" t="inlineStr">
        <x:is>
          <x:t xml:space="preserve">GBR</x:t>
        </x:is>
      </x:c>
      <x:c r="K372" s="25" t="inlineStr">
        <x:is>
          <x:t xml:space="preserve">United Kingdom</x:t>
        </x:is>
      </x:c>
    </x:row>
    <x:row r="373" s="7" customFormat="1" hidden="1">
      <x:c r="A373" t="n">
        <x:v>1884</x:v>
      </x:c>
      <x:c r="B373" s="25" t="inlineStr">
        <x:is>
          <x:t xml:space="preserve">Men's</x:t>
        </x:is>
      </x:c>
      <x:c r="C373" s="25" t="inlineStr">
        <x:is>
          <x:t xml:space="preserve">W.C. Renshaw</x:t>
        </x:is>
      </x:c>
      <x:c r="D373" s="25" t="inlineStr">
        <x:is>
          <x:t xml:space="preserve">GBR</x:t>
        </x:is>
      </x:c>
      <x:c r="E373" s="25" t="inlineStr">
        <x:is>
          <x:t xml:space="preserve">United Kingdom</x:t>
        </x:is>
      </x:c>
      <x:c r="G373" s="7" t="n">
        <x:v>69</x:v>
      </x:c>
      <x:c r="H373" s="25" t="inlineStr">
        <x:is>
          <x:t xml:space="preserve">6-0,6-4,9-7</x:t>
        </x:is>
      </x:c>
      <x:c r="I373" s="25" t="inlineStr">
        <x:is>
          <x:t xml:space="preserve">H.F. Lawford</x:t>
        </x:is>
      </x:c>
      <x:c r="J373" s="25" t="inlineStr">
        <x:is>
          <x:t xml:space="preserve">GBR</x:t>
        </x:is>
      </x:c>
      <x:c r="K373" s="25" t="inlineStr">
        <x:is>
          <x:t xml:space="preserve">United Kingdom</x:t>
        </x:is>
      </x:c>
    </x:row>
    <x:row r="374" s="7" customFormat="1" hidden="1">
      <x:c r="A374" t="n">
        <x:v>1883</x:v>
      </x:c>
      <x:c r="B374" s="25" t="inlineStr">
        <x:is>
          <x:t xml:space="preserve">Men's</x:t>
        </x:is>
      </x:c>
      <x:c r="C374" s="25" t="inlineStr">
        <x:is>
          <x:t xml:space="preserve">W.C. Renshaw</x:t>
        </x:is>
      </x:c>
      <x:c r="D374" s="25" t="inlineStr">
        <x:is>
          <x:t xml:space="preserve">GBR</x:t>
        </x:is>
      </x:c>
      <x:c r="E374" s="25" t="inlineStr">
        <x:is>
          <x:t xml:space="preserve">United Kingdom</x:t>
        </x:is>
      </x:c>
      <x:c r="G374" s="7" t="n">
        <x:v>89</x:v>
      </x:c>
      <x:c r="H374" s="25" t="inlineStr">
        <x:is>
          <x:t xml:space="preserve">2-6,6-3,6-3,4-6,6-3</x:t>
        </x:is>
      </x:c>
      <x:c r="I374" s="25" t="inlineStr">
        <x:is>
          <x:t xml:space="preserve">J.E. Renshaw</x:t>
        </x:is>
      </x:c>
      <x:c r="J374" s="25" t="inlineStr">
        <x:is>
          <x:t xml:space="preserve">GBR</x:t>
        </x:is>
      </x:c>
      <x:c r="K374" s="25" t="inlineStr">
        <x:is>
          <x:t xml:space="preserve">United Kingdom</x:t>
        </x:is>
      </x:c>
    </x:row>
    <x:row r="375" s="7" customFormat="1" hidden="1">
      <x:c r="A375" t="n">
        <x:v>1882</x:v>
      </x:c>
      <x:c r="B375" s="25" t="inlineStr">
        <x:is>
          <x:t xml:space="preserve">Men's</x:t>
        </x:is>
      </x:c>
      <x:c r="C375" s="25" t="inlineStr">
        <x:is>
          <x:t xml:space="preserve">W.C. Renshaw</x:t>
        </x:is>
      </x:c>
      <x:c r="D375" s="25" t="inlineStr">
        <x:is>
          <x:t xml:space="preserve">GBR</x:t>
        </x:is>
      </x:c>
      <x:c r="E375" s="25" t="inlineStr">
        <x:is>
          <x:t xml:space="preserve">United Kingdom</x:t>
        </x:is>
      </x:c>
      <x:c r="G375" s="7" t="n">
        <x:v>85</x:v>
      </x:c>
      <x:c r="H375" s="25" t="inlineStr">
        <x:is>
          <x:t xml:space="preserve">6-1,2-6,4-6,6-2,6-2</x:t>
        </x:is>
      </x:c>
      <x:c r="I375" s="25" t="inlineStr">
        <x:is>
          <x:t xml:space="preserve">J.E. Renshaw</x:t>
        </x:is>
      </x:c>
      <x:c r="J375" s="25" t="inlineStr">
        <x:is>
          <x:t xml:space="preserve">GBR</x:t>
        </x:is>
      </x:c>
      <x:c r="K375" s="25" t="inlineStr">
        <x:is>
          <x:t xml:space="preserve">United Kingdom</x:t>
        </x:is>
      </x:c>
    </x:row>
    <x:row r="376" s="7" customFormat="1" hidden="1">
      <x:c r="A376" t="n">
        <x:v>1881</x:v>
      </x:c>
      <x:c r="B376" s="25" t="inlineStr">
        <x:is>
          <x:t xml:space="preserve">Men's</x:t>
        </x:is>
      </x:c>
      <x:c r="C376" s="25" t="inlineStr">
        <x:is>
          <x:t xml:space="preserve">W.C. Renshaw</x:t>
        </x:is>
      </x:c>
      <x:c r="D376" s="25" t="inlineStr">
        <x:is>
          <x:t xml:space="preserve">GBR</x:t>
        </x:is>
      </x:c>
      <x:c r="E376" s="25" t="inlineStr">
        <x:is>
          <x:t xml:space="preserve">United Kingdom</x:t>
        </x:is>
      </x:c>
      <x:c r="G376" s="7" t="n">
        <x:v>37</x:v>
      </x:c>
      <x:c r="H376" s="25" t="inlineStr">
        <x:is>
          <x:t xml:space="preserve">6-0,6-1,6-1</x:t>
        </x:is>
      </x:c>
      <x:c r="I376" s="25" t="inlineStr">
        <x:is>
          <x:t xml:space="preserve">J.T. Hartley</x:t>
        </x:is>
      </x:c>
      <x:c r="J376" s="25" t="inlineStr">
        <x:is>
          <x:t xml:space="preserve">GBR</x:t>
        </x:is>
      </x:c>
      <x:c r="K376" s="25" t="inlineStr">
        <x:is>
          <x:t xml:space="preserve">United Kingdom</x:t>
        </x:is>
      </x:c>
    </x:row>
    <x:row r="377" s="7" customFormat="1">
      <x:c r="B377" s="24" t="inlineStr">
        <x:is>
          <x:t xml:space="preserve">W.C. Renshaw Count</x:t>
        </x:is>
      </x:c>
      <x:c r="C377" s="25" t="n">
        <x:f>SUBTOTAL(3,C370:C376)</x:f>
        <x:v>7</x:v>
      </x:c>
      <x:c r="D377" s="25" t="n"/>
      <x:c r="E377" s="25" t="n"/>
      <x:c r="H377" s="25" t="n"/>
      <x:c r="I377" s="25" t="n"/>
      <x:c r="J377" s="25" t="n"/>
      <x:c r="K377" s="25" t="n"/>
    </x:row>
    <x:row r="378" s="7" customFormat="1" hidden="1">
      <x:c r="A378" t="n">
        <x:v>1890</x:v>
      </x:c>
      <x:c r="B378" s="25" t="inlineStr">
        <x:is>
          <x:t xml:space="preserve">Men's</x:t>
        </x:is>
      </x:c>
      <x:c r="C378" s="25" t="inlineStr">
        <x:is>
          <x:t xml:space="preserve">W.J. Hamilton</x:t>
        </x:is>
      </x:c>
      <x:c r="D378" s="25" t="inlineStr">
        <x:is>
          <x:t xml:space="preserve">GBR</x:t>
        </x:is>
      </x:c>
      <x:c r="E378" s="25" t="inlineStr">
        <x:is>
          <x:t xml:space="preserve">United Kingdom</x:t>
        </x:is>
      </x:c>
      <x:c r="G378" s="7" t="n">
        <x:v>96</x:v>
      </x:c>
      <x:c r="H378" s="25" t="inlineStr">
        <x:is>
          <x:t xml:space="preserve">6-8,6-2,3-6,6-1,6-1</x:t>
        </x:is>
      </x:c>
      <x:c r="I378" s="25" t="inlineStr">
        <x:is>
          <x:t xml:space="preserve">W.C. Renshaw</x:t>
        </x:is>
      </x:c>
      <x:c r="J378" s="25" t="inlineStr">
        <x:is>
          <x:t xml:space="preserve">GBR</x:t>
        </x:is>
      </x:c>
      <x:c r="K378" s="25" t="inlineStr">
        <x:is>
          <x:t xml:space="preserve">United Kingdom</x:t>
        </x:is>
      </x:c>
    </x:row>
    <x:row r="379" s="7" customFormat="1">
      <x:c r="B379" s="24" t="inlineStr">
        <x:is>
          <x:t xml:space="preserve">W.J. Hamilton Count</x:t>
        </x:is>
      </x:c>
      <x:c r="C379" s="25" t="n">
        <x:f>SUBTOTAL(3,C378:C378)</x:f>
        <x:v>1</x:v>
      </x:c>
      <x:c r="D379" s="25" t="n"/>
      <x:c r="E379" s="25" t="n"/>
      <x:c r="H379" s="25" t="n"/>
      <x:c r="I379" s="25" t="n"/>
      <x:c r="J379" s="25" t="n"/>
      <x:c r="K379" s="25" t="n"/>
    </x:row>
    <x:row r="380" s="7" customFormat="1" hidden="1">
      <x:c r="A380" t="n">
        <x:v>1930</x:v>
      </x:c>
      <x:c r="B380" s="25" t="inlineStr">
        <x:is>
          <x:t xml:space="preserve">Men's</x:t>
        </x:is>
      </x:c>
      <x:c r="C380" s="25" t="inlineStr">
        <x:is>
          <x:t xml:space="preserve">W.T. Tilden</x:t>
        </x:is>
      </x:c>
      <x:c r="D380" s="25" t="inlineStr">
        <x:is>
          <x:t xml:space="preserve">USA</x:t>
        </x:is>
      </x:c>
      <x:c r="E380" s="25" t="inlineStr">
        <x:is>
          <x:t xml:space="preserve">United States</x:t>
        </x:is>
      </x:c>
      <x:c r="F380" s="7" t="n">
        <x:v>2</x:v>
      </x:c>
      <x:c r="G380" s="7" t="n">
        <x:v>70</x:v>
      </x:c>
      <x:c r="H380" s="25" t="inlineStr">
        <x:is>
          <x:t xml:space="preserve">6-3,9-7,6-4</x:t>
        </x:is>
      </x:c>
      <x:c r="I380" s="25" t="inlineStr">
        <x:is>
          <x:t xml:space="preserve">W.L. Allison</x:t>
        </x:is>
      </x:c>
      <x:c r="J380" s="25" t="inlineStr">
        <x:is>
          <x:t xml:space="preserve">USA</x:t>
        </x:is>
      </x:c>
      <x:c r="K380" s="25" t="inlineStr">
        <x:is>
          <x:t xml:space="preserve">United States</x:t>
        </x:is>
      </x:c>
      <x:c r="L380" s="7" t="inlineStr">
        <x:is>
          <x:t xml:space="preserve">U</x:t>
        </x:is>
      </x:c>
    </x:row>
    <x:row r="381" s="7" customFormat="1" hidden="1">
      <x:c r="A381" t="n">
        <x:v>1921</x:v>
      </x:c>
      <x:c r="B381" s="25" t="inlineStr">
        <x:is>
          <x:t xml:space="preserve">Men's</x:t>
        </x:is>
      </x:c>
      <x:c r="C381" s="25" t="inlineStr">
        <x:is>
          <x:t xml:space="preserve">W.T. Tilden</x:t>
        </x:is>
      </x:c>
      <x:c r="D381" s="25" t="inlineStr">
        <x:is>
          <x:t xml:space="preserve">USA</x:t>
        </x:is>
      </x:c>
      <x:c r="E381" s="25" t="inlineStr">
        <x:is>
          <x:t xml:space="preserve">United States</x:t>
        </x:is>
      </x:c>
      <x:c r="H381" s="25" t="inlineStr">
        <x:is>
          <x:t xml:space="preserve">4-6,2-6,6-1,6-0,7-5</x:t>
        </x:is>
      </x:c>
      <x:c r="I381" s="25" t="inlineStr">
        <x:is>
          <x:t xml:space="preserve">B.I.C. Norton</x:t>
        </x:is>
      </x:c>
      <x:c r="J381" s="25" t="inlineStr">
        <x:is>
          <x:t xml:space="preserve">RSA</x:t>
        </x:is>
      </x:c>
      <x:c r="K381" s="25" t="inlineStr">
        <x:is>
          <x:t xml:space="preserve">South Africa</x:t>
        </x:is>
      </x:c>
    </x:row>
    <x:row r="382" s="7" customFormat="1" hidden="1">
      <x:c r="A382" t="n">
        <x:v>1920</x:v>
      </x:c>
      <x:c r="B382" s="25" t="inlineStr">
        <x:is>
          <x:t xml:space="preserve">Men's</x:t>
        </x:is>
      </x:c>
      <x:c r="C382" s="25" t="inlineStr">
        <x:is>
          <x:t xml:space="preserve">W.T. Tilden</x:t>
        </x:is>
      </x:c>
      <x:c r="D382" s="25" t="inlineStr">
        <x:is>
          <x:t xml:space="preserve">USA</x:t>
        </x:is>
      </x:c>
      <x:c r="E382" s="25" t="inlineStr">
        <x:is>
          <x:t xml:space="preserve">United States</x:t>
        </x:is>
      </x:c>
      <x:c r="H382" s="25" t="inlineStr">
        <x:is>
          <x:t xml:space="preserve">2-6,6-3,6-2,6-4</x:t>
        </x:is>
      </x:c>
      <x:c r="I382" s="25" t="inlineStr">
        <x:is>
          <x:t xml:space="preserve">G.L. Patterson</x:t>
        </x:is>
      </x:c>
      <x:c r="J382" s="25" t="inlineStr">
        <x:is>
          <x:t xml:space="preserve">AUS</x:t>
        </x:is>
      </x:c>
      <x:c r="K382" s="25" t="inlineStr">
        <x:is>
          <x:t xml:space="preserve">Australia</x:t>
        </x:is>
      </x:c>
    </x:row>
    <x:row r="383" s="7" customFormat="1">
      <x:c r="B383" s="24" t="inlineStr">
        <x:is>
          <x:t xml:space="preserve">W.T. Tilden Count</x:t>
        </x:is>
      </x:c>
      <x:c r="C383" s="25" t="n">
        <x:f>SUBTOTAL(3,C380:C382)</x:f>
        <x:v>3</x:v>
      </x:c>
      <x:c r="D383" s="25" t="n"/>
      <x:c r="E383" s="25" t="n"/>
      <x:c r="H383" s="25" t="n"/>
      <x:c r="I383" s="25" t="n"/>
      <x:c r="J383" s="25" t="n"/>
      <x:c r="K383" s="25" t="n"/>
    </x:row>
    <x:row r="384" s="7" customFormat="1" hidden="1">
      <x:c r="A384" t="n">
        <x:v>1946</x:v>
      </x:c>
      <x:c r="B384" s="25" t="inlineStr">
        <x:is>
          <x:t xml:space="preserve">Men's</x:t>
        </x:is>
      </x:c>
      <x:c r="C384" s="25" t="inlineStr">
        <x:is>
          <x:t xml:space="preserve">Y.F.M. Petra</x:t>
        </x:is>
      </x:c>
      <x:c r="D384" s="25" t="inlineStr">
        <x:is>
          <x:t xml:space="preserve">FRA</x:t>
        </x:is>
      </x:c>
      <x:c r="E384" s="25" t="inlineStr">
        <x:is>
          <x:t xml:space="preserve">France</x:t>
        </x:is>
      </x:c>
      <x:c r="F384" s="7" t="n">
        <x:v>5</x:v>
      </x:c>
      <x:c r="H384" s="25" t="inlineStr">
        <x:is>
          <x:t xml:space="preserve">6-2,6-4,7-9,5-7,6-4</x:t>
        </x:is>
      </x:c>
      <x:c r="I384" s="25" t="inlineStr">
        <x:is>
          <x:t xml:space="preserve">G.E. Brown</x:t>
        </x:is>
      </x:c>
      <x:c r="J384" s="25" t="inlineStr">
        <x:is>
          <x:t xml:space="preserve">AUS</x:t>
        </x:is>
      </x:c>
      <x:c r="K384" s="25" t="inlineStr">
        <x:is>
          <x:t xml:space="preserve">Australia</x:t>
        </x:is>
      </x:c>
      <x:c r="L384" s="7" t="n">
        <x:v>3</x:v>
      </x:c>
    </x:row>
    <x:row r="385" s="7" customFormat="1">
      <x:c r="B385" s="24" t="inlineStr">
        <x:is>
          <x:t xml:space="preserve">Y.F.M. Petra Count</x:t>
        </x:is>
      </x:c>
      <x:c r="C385" s="25" t="n">
        <x:f>SUBTOTAL(3,C384:C384)</x:f>
        <x:v>1</x:v>
      </x:c>
      <x:c r="D385" s="25" t="n"/>
      <x:c r="E385" s="25" t="n"/>
      <x:c r="H385" s="25" t="n"/>
      <x:c r="I385" s="25" t="n"/>
      <x:c r="J385" s="25" t="n"/>
      <x:c r="K385" s="25" t="n"/>
    </x:row>
    <x:row r="386" s="7" customFormat="1">
      <x:c r="B386" s="24" t="inlineStr">
        <x:is>
          <x:t xml:space="preserve">Grand Count</x:t>
        </x:is>
      </x:c>
      <x:c r="C386" s="25" t="n">
        <x:f>SUBTOTAL(3,C2:C384)</x:f>
        <x:v>261</x:v>
      </x:c>
      <x:c r="D386" s="25" t="n"/>
      <x:c r="E386" s="25" t="n"/>
      <x:c r="H386" s="25" t="n"/>
      <x:c r="I386" s="25" t="n"/>
      <x:c r="J386" s="25" t="n"/>
      <x:c r="K386" s="25" t="n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0" customWidth="1"/>
    <x:col min="2" max="2" width="11" customWidth="1"/>
    <x:col min="3" max="3" width="22" customWidth="1"/>
    <x:col min="4" max="4" width="18" customWidth="1"/>
    <x:col min="5" max="5" width="12" customWidth="1"/>
    <x:col min="6" max="6" width="14" customWidth="1"/>
    <x:col min="7" max="7" width="11" customWidth="1"/>
    <x:col min="8" max="8" width="27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22" customWidth="1"/>
    <x:col min="20" max="20" width="18" customWidth="1"/>
    <x:col min="21" max="21" width="12" customWidth="1"/>
    <x:col min="22" max="22" width="14" customWidth="1"/>
    <x:col min="23" max="23" width="14" customWidth="1"/>
    <x:col min="24" max="24" width="15" customWidth="1"/>
    <x:col min="25" max="25" width="20" customWidth="1"/>
    <x:col min="26" max="26" width="25" customWidth="1"/>
    <x:col min="27" max="27" width="18" customWidth="1"/>
    <x:col min="28" max="28" width="20" customWidth="1"/>
    <x:col min="29" max="29" width="12" customWidth="1"/>
    <x:col min="30" max="30" width="21" customWidth="1"/>
    <x:col min="31" max="31" width="21" customWidth="1"/>
  </x:cols>
  <x:sheetData>
    <x:row r="1" ht="28" customHeight="1">
      <x:c r="A1" s="32" t="inlineStr">
        <x:is>
          <x:t xml:space="preserve">Wimbledon Championship Match Analysis</x:t>
        </x:is>
      </x:c>
    </x:row>
    <x:row r="2" ht="32" customHeight="1">
      <x:c r="A2" s="33" t="inlineStr">
        <x:is>
          <x:t xml:space="preserve">Source: wimbledons_champions. Derived columns are calculated from the original score, seed and winner fields; Mins is never estimated.</x:t>
        </x:is>
      </x:c>
    </x:row>
    <x:row r="3"/>
    <x:row r="4">
      <x:c r="A4" s="34" t="inlineStr">
        <x:is>
          <x:t xml:space="preserve">Year</x:t>
        </x:is>
      </x:c>
      <x:c r="B4" s="34" t="inlineStr">
        <x:is>
          <x:t xml:space="preserve">Gender</x:t>
        </x:is>
      </x:c>
      <x:c r="C4" s="34" t="inlineStr">
        <x:is>
          <x:t xml:space="preserve">Champion</x:t>
        </x:is>
      </x:c>
      <x:c r="D4" s="34" t="inlineStr">
        <x:is>
          <x:t xml:space="preserve">Champion Nationality</x:t>
        </x:is>
      </x:c>
      <x:c r="E4" s="34" t="inlineStr">
        <x:is>
          <x:t xml:space="preserve">Champion Country</x:t>
        </x:is>
      </x:c>
      <x:c r="F4" s="34" t="inlineStr">
        <x:is>
          <x:t xml:space="preserve">Champion Seed</x:t>
        </x:is>
      </x:c>
      <x:c r="G4" s="34" t="inlineStr">
        <x:is>
          <x:t xml:space="preserve">Mins</x:t>
        </x:is>
      </x:c>
      <x:c r="H4" s="34" t="inlineStr">
        <x:is>
          <x:t xml:space="preserve">Score</x:t>
        </x:is>
      </x:c>
      <x:c r="I4" s="34" t="inlineStr">
        <x:is>
          <x:t xml:space="preserve">1st-won</x:t>
        </x:is>
      </x:c>
      <x:c r="J4" s="34" t="inlineStr">
        <x:is>
          <x:t xml:space="preserve">1st-loss</x:t>
        </x:is>
      </x:c>
      <x:c r="K4" s="34" t="inlineStr">
        <x:is>
          <x:t xml:space="preserve">2nd-won</x:t>
        </x:is>
      </x:c>
      <x:c r="L4" s="34" t="inlineStr">
        <x:is>
          <x:t xml:space="preserve">2nd-loss</x:t>
        </x:is>
      </x:c>
      <x:c r="M4" s="34" t="inlineStr">
        <x:is>
          <x:t xml:space="preserve">3rd-won</x:t>
        </x:is>
      </x:c>
      <x:c r="N4" s="34" t="inlineStr">
        <x:is>
          <x:t xml:space="preserve">3rd-loss</x:t>
        </x:is>
      </x:c>
      <x:c r="O4" s="34" t="inlineStr">
        <x:is>
          <x:t xml:space="preserve">4th-won</x:t>
        </x:is>
      </x:c>
      <x:c r="P4" s="34" t="inlineStr">
        <x:is>
          <x:t xml:space="preserve">4th-loss</x:t>
        </x:is>
      </x:c>
      <x:c r="Q4" s="34" t="inlineStr">
        <x:is>
          <x:t xml:space="preserve">5th-won</x:t>
        </x:is>
      </x:c>
      <x:c r="R4" s="34" t="inlineStr">
        <x:is>
          <x:t xml:space="preserve">5th-loss</x:t>
        </x:is>
      </x:c>
      <x:c r="S4" s="34" t="inlineStr">
        <x:is>
          <x:t xml:space="preserve">Runner-up</x:t>
        </x:is>
      </x:c>
      <x:c r="T4" s="34" t="inlineStr">
        <x:is>
          <x:t xml:space="preserve">Runner-up Nationality</x:t>
        </x:is>
      </x:c>
      <x:c r="U4" s="34" t="inlineStr">
        <x:is>
          <x:t xml:space="preserve">Runner-up Country</x:t>
        </x:is>
      </x:c>
      <x:c r="V4" s="34" t="inlineStr">
        <x:is>
          <x:t xml:space="preserve">Runner-up Seed</x:t>
        </x:is>
      </x:c>
      <x:c r="W4" s="34" t="inlineStr">
        <x:is>
          <x:t xml:space="preserve">Total Sets Played</x:t>
        </x:is>
      </x:c>
      <x:c r="X4" s="34" t="inlineStr">
        <x:is>
          <x:t xml:space="preserve">Total Games Played</x:t>
        </x:is>
      </x:c>
      <x:c r="Y4" s="34" t="inlineStr">
        <x:is>
          <x:t xml:space="preserve">Match Completion Status</x:t>
        </x:is>
      </x:c>
      <x:c r="Z4" s="34" t="inlineStr">
        <x:is>
          <x:t xml:space="preserve">Duration Availability</x:t>
        </x:is>
      </x:c>
      <x:c r="AA4" s="34" t="inlineStr">
        <x:is>
          <x:t xml:space="preserve">Champion Win Count</x:t>
        </x:is>
      </x:c>
      <x:c r="AB4" s="34" t="inlineStr">
        <x:is>
          <x:t xml:space="preserve">Top Player (5+ titles)</x:t>
        </x:is>
      </x:c>
      <x:c r="AC4" s="34" t="inlineStr">
        <x:is>
          <x:t xml:space="preserve">Decade</x:t>
        </x:is>
      </x:c>
      <x:c r="AD4" s="34" t="inlineStr">
        <x:is>
          <x:t xml:space="preserve">Champion Seed Status</x:t>
        </x:is>
      </x:c>
      <x:c r="AE4" s="34" t="inlineStr">
        <x:is>
          <x:t xml:space="preserve">Runner-up Seed Status</x:t>
        </x:is>
      </x:c>
    </x:row>
    <x:row r="5">
      <x:c r="A5" t="n">
        <x:v>2026</x:v>
      </x:c>
      <x:c r="B5" t="inlineStr">
        <x:is>
          <x:t xml:space="preserve">Women's</x:t>
        </x:is>
      </x:c>
      <x:c r="C5" t="inlineStr">
        <x:is>
          <x:t xml:space="preserve">L. Noskova</x:t>
        </x:is>
      </x:c>
      <x:c r="D5" t="inlineStr">
        <x:is>
          <x:t xml:space="preserve">CZE</x:t>
        </x:is>
      </x:c>
      <x:c r="E5" t="inlineStr">
        <x:is>
          <x:t xml:space="preserve">Czechia</x:t>
        </x:is>
      </x:c>
      <x:c r="F5" t="n">
        <x:v>9</x:v>
      </x:c>
      <x:c r="G5" t="n">
        <x:v>148</x:v>
      </x:c>
      <x:c r="H5" t="inlineStr">
        <x:is>
          <x:t xml:space="preserve">6-2,5-7,6-3</x:t>
        </x:is>
      </x:c>
      <x:c r="I5" t="n">
        <x:v>6</x:v>
      </x:c>
      <x:c r="J5" t="n">
        <x:v>2</x:v>
      </x:c>
      <x:c r="K5" t="n">
        <x:v>5</x:v>
      </x:c>
      <x:c r="L5" t="n">
        <x:v>7</x:v>
      </x:c>
      <x:c r="M5" t="n">
        <x:v>6</x:v>
      </x:c>
      <x:c r="N5" t="n">
        <x:v>3</x:v>
      </x:c>
      <x:c r="S5" t="inlineStr">
        <x:is>
          <x:t xml:space="preserve">K.Muchova</x:t>
        </x:is>
      </x:c>
      <x:c r="T5" t="inlineStr">
        <x:is>
          <x:t xml:space="preserve">CZE</x:t>
        </x:is>
      </x:c>
      <x:c r="U5" t="inlineStr">
        <x:is>
          <x:t xml:space="preserve">Czechia</x:t>
        </x:is>
      </x:c>
      <x:c r="V5" t="n">
        <x:v>10</x:v>
      </x:c>
      <x:c r="W5" t="n">
        <x:v>3</x:v>
      </x:c>
      <x:c r="X5" t="n">
        <x:v>29</x:v>
      </x:c>
      <x:c r="Y5" t="inlineStr">
        <x:is>
          <x:t xml:space="preserve">Completed</x:t>
        </x:is>
      </x:c>
      <x:c r="Z5" t="inlineStr">
        <x:is>
          <x:t xml:space="preserve">Recorded</x:t>
        </x:is>
      </x:c>
      <x:c r="AA5" t="n">
        <x:v>1</x:v>
      </x:c>
      <x:c r="AB5" t="inlineStr">
        <x:is>
          <x:t xml:space="preserve">No</x:t>
        </x:is>
      </x:c>
      <x:c r="AC5" t="inlineStr">
        <x:is>
          <x:t xml:space="preserve">2020s</x:t>
        </x:is>
      </x:c>
      <x:c r="AD5" t="inlineStr">
        <x:is>
          <x:t xml:space="preserve">Seeded</x:t>
        </x:is>
      </x:c>
      <x:c r="AE5" t="inlineStr">
        <x:is>
          <x:t xml:space="preserve">Seeded</x:t>
        </x:is>
      </x:c>
    </x:row>
    <x:row r="6">
      <x:c r="A6" t="n">
        <x:v>2026</x:v>
      </x:c>
      <x:c r="B6" t="inlineStr">
        <x:is>
          <x:t xml:space="preserve">Men's</x:t>
        </x:is>
      </x:c>
      <x:c r="C6" t="inlineStr">
        <x:is>
          <x:t xml:space="preserve">J. Sinner</x:t>
        </x:is>
      </x:c>
      <x:c r="D6" t="inlineStr">
        <x:is>
          <x:t xml:space="preserve">ITA</x:t>
        </x:is>
      </x:c>
      <x:c r="E6" t="inlineStr">
        <x:is>
          <x:t xml:space="preserve">Italy</x:t>
        </x:is>
      </x:c>
      <x:c r="F6" t="n">
        <x:v>1</x:v>
      </x:c>
      <x:c r="G6" t="n">
        <x:v>154</x:v>
      </x:c>
      <x:c r="H6" t="inlineStr">
        <x:is>
          <x:t xml:space="preserve">6-7,7-6,6-3,6-4</x:t>
        </x:is>
      </x:c>
      <x:c r="I6" t="n">
        <x:v>6</x:v>
      </x:c>
      <x:c r="J6" t="n">
        <x:v>7</x:v>
      </x:c>
      <x:c r="K6" t="n">
        <x:v>7</x:v>
      </x:c>
      <x:c r="L6" t="n">
        <x:v>6</x:v>
      </x:c>
      <x:c r="M6" t="n">
        <x:v>6</x:v>
      </x:c>
      <x:c r="N6" t="n">
        <x:v>3</x:v>
      </x:c>
      <x:c r="O6" t="n">
        <x:v>6</x:v>
      </x:c>
      <x:c r="P6" t="n">
        <x:v>4</x:v>
      </x:c>
      <x:c r="S6" t="inlineStr">
        <x:is>
          <x:t xml:space="preserve">A. Zverev</x:t>
        </x:is>
      </x:c>
      <x:c r="T6" t="inlineStr">
        <x:is>
          <x:t xml:space="preserve">GER</x:t>
        </x:is>
      </x:c>
      <x:c r="U6" t="inlineStr">
        <x:is>
          <x:t xml:space="preserve">Germany</x:t>
        </x:is>
      </x:c>
      <x:c r="V6" t="n">
        <x:v>2</x:v>
      </x:c>
      <x:c r="W6" t="n">
        <x:v>4</x:v>
      </x:c>
      <x:c r="X6" t="n">
        <x:v>45</x:v>
      </x:c>
      <x:c r="Y6" t="inlineStr">
        <x:is>
          <x:t xml:space="preserve">Completed</x:t>
        </x:is>
      </x:c>
      <x:c r="Z6" t="inlineStr">
        <x:is>
          <x:t xml:space="preserve">Recorded</x:t>
        </x:is>
      </x:c>
      <x:c r="AA6" t="n">
        <x:v>2</x:v>
      </x:c>
      <x:c r="AB6" t="inlineStr">
        <x:is>
          <x:t xml:space="preserve">No</x:t>
        </x:is>
      </x:c>
      <x:c r="AC6" t="inlineStr">
        <x:is>
          <x:t xml:space="preserve">2020s</x:t>
        </x:is>
      </x:c>
      <x:c r="AD6" t="inlineStr">
        <x:is>
          <x:t xml:space="preserve">Seeded</x:t>
        </x:is>
      </x:c>
      <x:c r="AE6" t="inlineStr">
        <x:is>
          <x:t xml:space="preserve">Seeded</x:t>
        </x:is>
      </x:c>
    </x:row>
    <x:row r="7">
      <x:c r="A7" t="n">
        <x:v>2025</x:v>
      </x:c>
      <x:c r="B7" t="inlineStr">
        <x:is>
          <x:t xml:space="preserve">Women's</x:t>
        </x:is>
      </x:c>
      <x:c r="C7" t="inlineStr">
        <x:is>
          <x:t xml:space="preserve">I. Świątek</x:t>
        </x:is>
      </x:c>
      <x:c r="D7" t="inlineStr">
        <x:is>
          <x:t xml:space="preserve">POL</x:t>
        </x:is>
      </x:c>
      <x:c r="E7" t="inlineStr">
        <x:is>
          <x:t xml:space="preserve">Poland</x:t>
        </x:is>
      </x:c>
      <x:c r="F7" t="n">
        <x:v>8</x:v>
      </x:c>
      <x:c r="G7" t="n">
        <x:v>57</x:v>
      </x:c>
      <x:c r="H7" t="inlineStr">
        <x:is>
          <x:t xml:space="preserve">6-0,6-0</x:t>
        </x:is>
      </x:c>
      <x:c r="I7" t="n">
        <x:v>6</x:v>
      </x:c>
      <x:c r="J7" t="n">
        <x:v>0</x:v>
      </x:c>
      <x:c r="K7" t="n">
        <x:v>6</x:v>
      </x:c>
      <x:c r="L7" t="n">
        <x:v>0</x:v>
      </x:c>
      <x:c r="S7" t="inlineStr">
        <x:is>
          <x:t xml:space="preserve">A. Anisimova</x:t>
        </x:is>
      </x:c>
      <x:c r="T7" t="inlineStr">
        <x:is>
          <x:t xml:space="preserve">USA</x:t>
        </x:is>
      </x:c>
      <x:c r="U7" t="inlineStr">
        <x:is>
          <x:t xml:space="preserve">United States</x:t>
        </x:is>
      </x:c>
      <x:c r="V7" t="n">
        <x:v>13</x:v>
      </x:c>
      <x:c r="W7" t="n">
        <x:v>2</x:v>
      </x:c>
      <x:c r="X7" t="n">
        <x:v>12</x:v>
      </x:c>
      <x:c r="Y7" t="inlineStr">
        <x:is>
          <x:t xml:space="preserve">Completed</x:t>
        </x:is>
      </x:c>
      <x:c r="Z7" t="inlineStr">
        <x:is>
          <x:t xml:space="preserve">Recorded</x:t>
        </x:is>
      </x:c>
      <x:c r="AA7" t="n">
        <x:v>1</x:v>
      </x:c>
      <x:c r="AB7" t="inlineStr">
        <x:is>
          <x:t xml:space="preserve">No</x:t>
        </x:is>
      </x:c>
      <x:c r="AC7" t="inlineStr">
        <x:is>
          <x:t xml:space="preserve">2020s</x:t>
        </x:is>
      </x:c>
      <x:c r="AD7" t="inlineStr">
        <x:is>
          <x:t xml:space="preserve">Seeded</x:t>
        </x:is>
      </x:c>
      <x:c r="AE7" t="inlineStr">
        <x:is>
          <x:t xml:space="preserve">Seeded</x:t>
        </x:is>
      </x:c>
    </x:row>
    <x:row r="8">
      <x:c r="A8" t="n">
        <x:v>2025</x:v>
      </x:c>
      <x:c r="B8" t="inlineStr">
        <x:is>
          <x:t xml:space="preserve">Men's</x:t>
        </x:is>
      </x:c>
      <x:c r="C8" t="inlineStr">
        <x:is>
          <x:t xml:space="preserve">J. Sinner</x:t>
        </x:is>
      </x:c>
      <x:c r="D8" t="inlineStr">
        <x:is>
          <x:t xml:space="preserve">ITA</x:t>
        </x:is>
      </x:c>
      <x:c r="E8" t="inlineStr">
        <x:is>
          <x:t xml:space="preserve">Italy</x:t>
        </x:is>
      </x:c>
      <x:c r="F8" t="n">
        <x:v>1</x:v>
      </x:c>
      <x:c r="G8" t="n">
        <x:v>184</x:v>
      </x:c>
      <x:c r="H8" t="inlineStr">
        <x:is>
          <x:t xml:space="preserve">4-6,6-4,6-4,6-4</x:t>
        </x:is>
      </x:c>
      <x:c r="I8" t="n">
        <x:v>4</x:v>
      </x:c>
      <x:c r="J8" t="n">
        <x:v>6</x:v>
      </x:c>
      <x:c r="K8" t="n">
        <x:v>6</x:v>
      </x:c>
      <x:c r="L8" t="n">
        <x:v>4</x:v>
      </x:c>
      <x:c r="M8" t="n">
        <x:v>6</x:v>
      </x:c>
      <x:c r="N8" t="n">
        <x:v>4</x:v>
      </x:c>
      <x:c r="O8" t="n">
        <x:v>6</x:v>
      </x:c>
      <x:c r="P8" t="n">
        <x:v>4</x:v>
      </x:c>
      <x:c r="S8" t="inlineStr">
        <x:is>
          <x:t xml:space="preserve">C. Alcaraz</x:t>
        </x:is>
      </x:c>
      <x:c r="T8" t="inlineStr">
        <x:is>
          <x:t xml:space="preserve">ESP</x:t>
        </x:is>
      </x:c>
      <x:c r="U8" t="inlineStr">
        <x:is>
          <x:t xml:space="preserve">Spain</x:t>
        </x:is>
      </x:c>
      <x:c r="V8" t="n">
        <x:v>2</x:v>
      </x:c>
      <x:c r="W8" t="n">
        <x:v>4</x:v>
      </x:c>
      <x:c r="X8" t="n">
        <x:v>40</x:v>
      </x:c>
      <x:c r="Y8" t="inlineStr">
        <x:is>
          <x:t xml:space="preserve">Completed</x:t>
        </x:is>
      </x:c>
      <x:c r="Z8" t="inlineStr">
        <x:is>
          <x:t xml:space="preserve">Recorded</x:t>
        </x:is>
      </x:c>
      <x:c r="AA8" t="n">
        <x:v>2</x:v>
      </x:c>
      <x:c r="AB8" t="inlineStr">
        <x:is>
          <x:t xml:space="preserve">No</x:t>
        </x:is>
      </x:c>
      <x:c r="AC8" t="inlineStr">
        <x:is>
          <x:t xml:space="preserve">2020s</x:t>
        </x:is>
      </x:c>
      <x:c r="AD8" t="inlineStr">
        <x:is>
          <x:t xml:space="preserve">Seeded</x:t>
        </x:is>
      </x:c>
      <x:c r="AE8" t="inlineStr">
        <x:is>
          <x:t xml:space="preserve">Seeded</x:t>
        </x:is>
      </x:c>
    </x:row>
    <x:row r="9">
      <x:c r="A9" t="n">
        <x:v>2024</x:v>
      </x:c>
      <x:c r="B9" t="inlineStr">
        <x:is>
          <x:t xml:space="preserve">Women's</x:t>
        </x:is>
      </x:c>
      <x:c r="C9" t="inlineStr">
        <x:is>
          <x:t xml:space="preserve">B. Krejčíková</x:t>
        </x:is>
      </x:c>
      <x:c r="D9" t="inlineStr">
        <x:is>
          <x:t xml:space="preserve">CZE</x:t>
        </x:is>
      </x:c>
      <x:c r="E9" t="inlineStr">
        <x:is>
          <x:t xml:space="preserve">Czechia</x:t>
        </x:is>
      </x:c>
      <x:c r="F9" t="n">
        <x:v>31</x:v>
      </x:c>
      <x:c r="G9" t="n">
        <x:v>116</x:v>
      </x:c>
      <x:c r="H9" t="inlineStr">
        <x:is>
          <x:t xml:space="preserve">6-2,2-6,6-4</x:t>
        </x:is>
      </x:c>
      <x:c r="I9" t="n">
        <x:v>6</x:v>
      </x:c>
      <x:c r="J9" t="n">
        <x:v>2</x:v>
      </x:c>
      <x:c r="K9" t="n">
        <x:v>2</x:v>
      </x:c>
      <x:c r="L9" t="n">
        <x:v>6</x:v>
      </x:c>
      <x:c r="M9" t="n">
        <x:v>6</x:v>
      </x:c>
      <x:c r="N9" t="n">
        <x:v>4</x:v>
      </x:c>
      <x:c r="S9" t="inlineStr">
        <x:is>
          <x:t xml:space="preserve">J. Paolini</x:t>
        </x:is>
      </x:c>
      <x:c r="T9" t="inlineStr">
        <x:is>
          <x:t xml:space="preserve">ITA</x:t>
        </x:is>
      </x:c>
      <x:c r="U9" t="inlineStr">
        <x:is>
          <x:t xml:space="preserve">Italy</x:t>
        </x:is>
      </x:c>
      <x:c r="V9" t="n">
        <x:v>7</x:v>
      </x:c>
      <x:c r="W9" t="n">
        <x:v>3</x:v>
      </x:c>
      <x:c r="X9" t="n">
        <x:v>26</x:v>
      </x:c>
      <x:c r="Y9" t="inlineStr">
        <x:is>
          <x:t xml:space="preserve">Completed</x:t>
        </x:is>
      </x:c>
      <x:c r="Z9" t="inlineStr">
        <x:is>
          <x:t xml:space="preserve">Recorded</x:t>
        </x:is>
      </x:c>
      <x:c r="AA9" t="n">
        <x:v>1</x:v>
      </x:c>
      <x:c r="AB9" t="inlineStr">
        <x:is>
          <x:t xml:space="preserve">No</x:t>
        </x:is>
      </x:c>
      <x:c r="AC9" t="inlineStr">
        <x:is>
          <x:t xml:space="preserve">2020s</x:t>
        </x:is>
      </x:c>
      <x:c r="AD9" t="inlineStr">
        <x:is>
          <x:t xml:space="preserve">Seeded</x:t>
        </x:is>
      </x:c>
      <x:c r="AE9" t="inlineStr">
        <x:is>
          <x:t xml:space="preserve">Seeded</x:t>
        </x:is>
      </x:c>
    </x:row>
    <x:row r="10">
      <x:c r="A10" t="n">
        <x:v>2024</x:v>
      </x:c>
      <x:c r="B10" t="inlineStr">
        <x:is>
          <x:t xml:space="preserve">Men's</x:t>
        </x:is>
      </x:c>
      <x:c r="C10" t="inlineStr">
        <x:is>
          <x:t xml:space="preserve">C. Alcaraz</x:t>
        </x:is>
      </x:c>
      <x:c r="D10" t="inlineStr">
        <x:is>
          <x:t xml:space="preserve">ESP</x:t>
        </x:is>
      </x:c>
      <x:c r="E10" t="inlineStr">
        <x:is>
          <x:t xml:space="preserve">Spain</x:t>
        </x:is>
      </x:c>
      <x:c r="F10" t="n">
        <x:v>3</x:v>
      </x:c>
      <x:c r="G10" t="n">
        <x:v>147</x:v>
      </x:c>
      <x:c r="H10" t="inlineStr">
        <x:is>
          <x:t xml:space="preserve">6-2,6-2,7-6</x:t>
        </x:is>
      </x:c>
      <x:c r="I10" t="n">
        <x:v>6</x:v>
      </x:c>
      <x:c r="J10" t="n">
        <x:v>2</x:v>
      </x:c>
      <x:c r="K10" t="n">
        <x:v>6</x:v>
      </x:c>
      <x:c r="L10" t="n">
        <x:v>2</x:v>
      </x:c>
      <x:c r="M10" t="n">
        <x:v>7</x:v>
      </x:c>
      <x:c r="N10" t="n">
        <x:v>6</x:v>
      </x:c>
      <x:c r="S10" t="inlineStr">
        <x:is>
          <x:t xml:space="preserve">N. Djokovic</x:t>
        </x:is>
      </x:c>
      <x:c r="T10" t="inlineStr">
        <x:is>
          <x:t xml:space="preserve">SRB</x:t>
        </x:is>
      </x:c>
      <x:c r="U10" t="inlineStr">
        <x:is>
          <x:t xml:space="preserve">Serbia</x:t>
        </x:is>
      </x:c>
      <x:c r="V10" t="n">
        <x:v>2</x:v>
      </x:c>
      <x:c r="W10" t="n">
        <x:v>3</x:v>
      </x:c>
      <x:c r="X10" t="n">
        <x:v>29</x:v>
      </x:c>
      <x:c r="Y10" t="inlineStr">
        <x:is>
          <x:t xml:space="preserve">Completed</x:t>
        </x:is>
      </x:c>
      <x:c r="Z10" t="inlineStr">
        <x:is>
          <x:t xml:space="preserve">Recorded</x:t>
        </x:is>
      </x:c>
      <x:c r="AA10" t="n">
        <x:v>1</x:v>
      </x:c>
      <x:c r="AB10" t="inlineStr">
        <x:is>
          <x:t xml:space="preserve">No</x:t>
        </x:is>
      </x:c>
      <x:c r="AC10" t="inlineStr">
        <x:is>
          <x:t xml:space="preserve">2020s</x:t>
        </x:is>
      </x:c>
      <x:c r="AD10" t="inlineStr">
        <x:is>
          <x:t xml:space="preserve">Seeded</x:t>
        </x:is>
      </x:c>
      <x:c r="AE10" t="inlineStr">
        <x:is>
          <x:t xml:space="preserve">Seeded</x:t>
        </x:is>
      </x:c>
    </x:row>
    <x:row r="11">
      <x:c r="A11" t="n">
        <x:v>2023</x:v>
      </x:c>
      <x:c r="B11" t="inlineStr">
        <x:is>
          <x:t xml:space="preserve">Women's</x:t>
        </x:is>
      </x:c>
      <x:c r="C11" t="inlineStr">
        <x:is>
          <x:t xml:space="preserve">M.Vondrousova</x:t>
        </x:is>
      </x:c>
      <x:c r="D11" t="inlineStr">
        <x:is>
          <x:t xml:space="preserve">CZE</x:t>
        </x:is>
      </x:c>
      <x:c r="E11" t="inlineStr">
        <x:is>
          <x:t xml:space="preserve">Czechia</x:t>
        </x:is>
      </x:c>
      <x:c r="F11" t="inlineStr">
        <x:is>
          <x:t xml:space="preserve">U</x:t>
        </x:is>
      </x:c>
      <x:c r="G11" t="n">
        <x:v>80</x:v>
      </x:c>
      <x:c r="H11" t="inlineStr">
        <x:is>
          <x:t xml:space="preserve">6-4, 6-4</x:t>
        </x:is>
      </x:c>
      <x:c r="I11" t="n">
        <x:v>6</x:v>
      </x:c>
      <x:c r="J11" t="n">
        <x:v>4</x:v>
      </x:c>
      <x:c r="K11" t="n">
        <x:v>6</x:v>
      </x:c>
      <x:c r="L11" t="n">
        <x:v>4</x:v>
      </x:c>
      <x:c r="S11" t="inlineStr">
        <x:is>
          <x:t xml:space="preserve">O.Jabeur</x:t>
        </x:is>
      </x:c>
      <x:c r="T11" t="inlineStr">
        <x:is>
          <x:t xml:space="preserve">TUN</x:t>
        </x:is>
      </x:c>
      <x:c r="U11" t="inlineStr">
        <x:is>
          <x:t xml:space="preserve">Tunisia</x:t>
        </x:is>
      </x:c>
      <x:c r="V11" t="n">
        <x:v>6</x:v>
      </x:c>
      <x:c r="W11" t="n">
        <x:v>2</x:v>
      </x:c>
      <x:c r="X11" t="n">
        <x:v>20</x:v>
      </x:c>
      <x:c r="Y11" t="inlineStr">
        <x:is>
          <x:t xml:space="preserve">Completed</x:t>
        </x:is>
      </x:c>
      <x:c r="Z11" t="inlineStr">
        <x:is>
          <x:t xml:space="preserve">Recorded</x:t>
        </x:is>
      </x:c>
      <x:c r="AA11" t="n">
        <x:v>1</x:v>
      </x:c>
      <x:c r="AB11" t="inlineStr">
        <x:is>
          <x:t xml:space="preserve">No</x:t>
        </x:is>
      </x:c>
      <x:c r="AC11" t="inlineStr">
        <x:is>
          <x:t xml:space="preserve">2020s</x:t>
        </x:is>
      </x:c>
      <x:c r="AD11" t="inlineStr">
        <x:is>
          <x:t xml:space="preserve">Unseeded/unknown</x:t>
        </x:is>
      </x:c>
      <x:c r="AE11" t="inlineStr">
        <x:is>
          <x:t xml:space="preserve">Seeded</x:t>
        </x:is>
      </x:c>
    </x:row>
    <x:row r="12">
      <x:c r="A12" t="n">
        <x:v>2023</x:v>
      </x:c>
      <x:c r="B12" t="inlineStr">
        <x:is>
          <x:t xml:space="preserve">Men's</x:t>
        </x:is>
      </x:c>
      <x:c r="C12" t="inlineStr">
        <x:is>
          <x:t xml:space="preserve">C.Alcaraz</x:t>
        </x:is>
      </x:c>
      <x:c r="D12" t="inlineStr">
        <x:is>
          <x:t xml:space="preserve">ESP</x:t>
        </x:is>
      </x:c>
      <x:c r="E12" t="inlineStr">
        <x:is>
          <x:t xml:space="preserve">Spain</x:t>
        </x:is>
      </x:c>
      <x:c r="F12" t="n">
        <x:v>1</x:v>
      </x:c>
      <x:c r="G12" t="n">
        <x:v>283</x:v>
      </x:c>
      <x:c r="H12" t="inlineStr">
        <x:is>
          <x:t xml:space="preserve">1-6, 7-6, 6-1, 3-6, 6-4</x:t>
        </x:is>
      </x:c>
      <x:c r="I12" t="n">
        <x:v>1</x:v>
      </x:c>
      <x:c r="J12" t="n">
        <x:v>6</x:v>
      </x:c>
      <x:c r="K12" t="n">
        <x:v>7</x:v>
      </x:c>
      <x:c r="L12" t="n">
        <x:v>6</x:v>
      </x:c>
      <x:c r="M12" t="n">
        <x:v>6</x:v>
      </x:c>
      <x:c r="N12" t="n">
        <x:v>1</x:v>
      </x:c>
      <x:c r="O12" t="n">
        <x:v>3</x:v>
      </x:c>
      <x:c r="P12" t="n">
        <x:v>6</x:v>
      </x:c>
      <x:c r="Q12" t="n">
        <x:v>6</x:v>
      </x:c>
      <x:c r="R12" t="n">
        <x:v>4</x:v>
      </x:c>
      <x:c r="S12" t="inlineStr">
        <x:is>
          <x:t xml:space="preserve">N.Djokovic</x:t>
        </x:is>
      </x:c>
      <x:c r="T12" t="inlineStr">
        <x:is>
          <x:t xml:space="preserve">SRB</x:t>
        </x:is>
      </x:c>
      <x:c r="U12" t="inlineStr">
        <x:is>
          <x:t xml:space="preserve">Serbia</x:t>
        </x:is>
      </x:c>
      <x:c r="V12" t="n">
        <x:v>2</x:v>
      </x:c>
      <x:c r="W12" t="n">
        <x:v>5</x:v>
      </x:c>
      <x:c r="X12" t="n">
        <x:v>46</x:v>
      </x:c>
      <x:c r="Y12" t="inlineStr">
        <x:is>
          <x:t xml:space="preserve">Completed</x:t>
        </x:is>
      </x:c>
      <x:c r="Z12" t="inlineStr">
        <x:is>
          <x:t xml:space="preserve">Recorded</x:t>
        </x:is>
      </x:c>
      <x:c r="AA12" t="n">
        <x:v>1</x:v>
      </x:c>
      <x:c r="AB12" t="inlineStr">
        <x:is>
          <x:t xml:space="preserve">No</x:t>
        </x:is>
      </x:c>
      <x:c r="AC12" t="inlineStr">
        <x:is>
          <x:t xml:space="preserve">2020s</x:t>
        </x:is>
      </x:c>
      <x:c r="AD12" t="inlineStr">
        <x:is>
          <x:t xml:space="preserve">Seeded</x:t>
        </x:is>
      </x:c>
      <x:c r="AE12" t="inlineStr">
        <x:is>
          <x:t xml:space="preserve">Seeded</x:t>
        </x:is>
      </x:c>
    </x:row>
    <x:row r="13">
      <x:c r="A13" t="n">
        <x:v>2022</x:v>
      </x:c>
      <x:c r="B13" t="inlineStr">
        <x:is>
          <x:t xml:space="preserve">Women's</x:t>
        </x:is>
      </x:c>
      <x:c r="C13" t="inlineStr">
        <x:is>
          <x:t xml:space="preserve">E. Rybakina</x:t>
        </x:is>
      </x:c>
      <x:c r="D13" t="inlineStr">
        <x:is>
          <x:t xml:space="preserve">KAZ</x:t>
        </x:is>
      </x:c>
      <x:c r="E13" t="inlineStr">
        <x:is>
          <x:t xml:space="preserve">Kazakhstan</x:t>
        </x:is>
      </x:c>
      <x:c r="F13" t="n">
        <x:v>17</x:v>
      </x:c>
      <x:c r="G13" t="n">
        <x:v>108</x:v>
      </x:c>
      <x:c r="H13" t="inlineStr">
        <x:is>
          <x:t xml:space="preserve">3-6,6-2,6-2</x:t>
        </x:is>
      </x:c>
      <x:c r="I13" t="n">
        <x:v>3</x:v>
      </x:c>
      <x:c r="J13" t="n">
        <x:v>6</x:v>
      </x:c>
      <x:c r="K13" t="n">
        <x:v>6</x:v>
      </x:c>
      <x:c r="L13" t="n">
        <x:v>5</x:v>
      </x:c>
      <x:c r="M13" t="n">
        <x:v>6</x:v>
      </x:c>
      <x:c r="N13" t="n">
        <x:v>2</x:v>
      </x:c>
      <x:c r="S13" t="inlineStr">
        <x:is>
          <x:t xml:space="preserve">O. Jabeur</x:t>
        </x:is>
      </x:c>
      <x:c r="T13" t="inlineStr">
        <x:is>
          <x:t xml:space="preserve">TUN</x:t>
        </x:is>
      </x:c>
      <x:c r="U13" t="inlineStr">
        <x:is>
          <x:t xml:space="preserve">Tunisia</x:t>
        </x:is>
      </x:c>
      <x:c r="V13" t="n">
        <x:v>3</x:v>
      </x:c>
      <x:c r="W13" t="n">
        <x:v>3</x:v>
      </x:c>
      <x:c r="X13" t="n">
        <x:v>28</x:v>
      </x:c>
      <x:c r="Y13" t="inlineStr">
        <x:is>
          <x:t xml:space="preserve">Completed</x:t>
        </x:is>
      </x:c>
      <x:c r="Z13" t="inlineStr">
        <x:is>
          <x:t xml:space="preserve">Recorded</x:t>
        </x:is>
      </x:c>
      <x:c r="AA13" t="n">
        <x:v>1</x:v>
      </x:c>
      <x:c r="AB13" t="inlineStr">
        <x:is>
          <x:t xml:space="preserve">No</x:t>
        </x:is>
      </x:c>
      <x:c r="AC13" t="inlineStr">
        <x:is>
          <x:t xml:space="preserve">2020s</x:t>
        </x:is>
      </x:c>
      <x:c r="AD13" t="inlineStr">
        <x:is>
          <x:t xml:space="preserve">Seeded</x:t>
        </x:is>
      </x:c>
      <x:c r="AE13" t="inlineStr">
        <x:is>
          <x:t xml:space="preserve">Seeded</x:t>
        </x:is>
      </x:c>
    </x:row>
    <x:row r="14">
      <x:c r="A14" t="n">
        <x:v>2022</x:v>
      </x:c>
      <x:c r="B14" t="inlineStr">
        <x:is>
          <x:t xml:space="preserve">Men's</x:t>
        </x:is>
      </x:c>
      <x:c r="C14" t="inlineStr">
        <x:is>
          <x:t xml:space="preserve">N. Djokovic</x:t>
        </x:is>
      </x:c>
      <x:c r="D14" t="inlineStr">
        <x:is>
          <x:t xml:space="preserve">SRB</x:t>
        </x:is>
      </x:c>
      <x:c r="E14" t="inlineStr">
        <x:is>
          <x:t xml:space="preserve">Serbia</x:t>
        </x:is>
      </x:c>
      <x:c r="F14" t="n">
        <x:v>1</x:v>
      </x:c>
      <x:c r="G14" t="n">
        <x:v>181</x:v>
      </x:c>
      <x:c r="H14" t="inlineStr">
        <x:is>
          <x:t xml:space="preserve">4-6,6-3,6-4,7-6(7-3)</x:t>
        </x:is>
      </x:c>
      <x:c r="I14" t="n">
        <x:v>4</x:v>
      </x:c>
      <x:c r="J14" t="n">
        <x:v>6</x:v>
      </x:c>
      <x:c r="K14" t="n">
        <x:v>6</x:v>
      </x:c>
      <x:c r="L14" t="n">
        <x:v>3</x:v>
      </x:c>
      <x:c r="M14" t="n">
        <x:v>6</x:v>
      </x:c>
      <x:c r="N14" t="n">
        <x:v>4</x:v>
      </x:c>
      <x:c r="O14" t="n">
        <x:v>7</x:v>
      </x:c>
      <x:c r="P14" t="n">
        <x:v>6</x:v>
      </x:c>
      <x:c r="S14" t="inlineStr">
        <x:is>
          <x:t xml:space="preserve">N. Kyrgios</x:t>
        </x:is>
      </x:c>
      <x:c r="T14" t="inlineStr">
        <x:is>
          <x:t xml:space="preserve">Aus</x:t>
        </x:is>
      </x:c>
      <x:c r="U14" t="inlineStr">
        <x:is>
          <x:t xml:space="preserve">Australia</x:t>
        </x:is>
      </x:c>
      <x:c r="V14" t="inlineStr">
        <x:is>
          <x:t xml:space="preserve">U</x:t>
        </x:is>
      </x:c>
      <x:c r="W14" t="n">
        <x:v>4</x:v>
      </x:c>
      <x:c r="X14" t="n">
        <x:v>42</x:v>
      </x:c>
      <x:c r="Y14" t="inlineStr">
        <x:is>
          <x:t xml:space="preserve">Completed</x:t>
        </x:is>
      </x:c>
      <x:c r="Z14" t="inlineStr">
        <x:is>
          <x:t xml:space="preserve">Recorded</x:t>
        </x:is>
      </x:c>
      <x:c r="AA14" t="n">
        <x:v>7</x:v>
      </x:c>
      <x:c r="AB14" t="inlineStr">
        <x:is>
          <x:t xml:space="preserve">Yes</x:t>
        </x:is>
      </x:c>
      <x:c r="AC14" t="inlineStr">
        <x:is>
          <x:t xml:space="preserve">2020s</x:t>
        </x:is>
      </x:c>
      <x:c r="AD14" t="inlineStr">
        <x:is>
          <x:t xml:space="preserve">Seeded</x:t>
        </x:is>
      </x:c>
      <x:c r="AE14" t="inlineStr">
        <x:is>
          <x:t xml:space="preserve">Unseeded/unknown</x:t>
        </x:is>
      </x:c>
    </x:row>
    <x:row r="15">
      <x:c r="A15" t="n">
        <x:v>2021</x:v>
      </x:c>
      <x:c r="B15" t="inlineStr">
        <x:is>
          <x:t xml:space="preserve">Women's</x:t>
        </x:is>
      </x:c>
      <x:c r="C15" t="inlineStr">
        <x:is>
          <x:t xml:space="preserve">A. Barty</x:t>
        </x:is>
      </x:c>
      <x:c r="D15" t="inlineStr">
        <x:is>
          <x:t xml:space="preserve">AUS</x:t>
        </x:is>
      </x:c>
      <x:c r="E15" t="inlineStr">
        <x:is>
          <x:t xml:space="preserve">Australia</x:t>
        </x:is>
      </x:c>
      <x:c r="F15" t="n">
        <x:v>1</x:v>
      </x:c>
      <x:c r="G15" t="n">
        <x:v>116</x:v>
      </x:c>
      <x:c r="H15" t="inlineStr">
        <x:is>
          <x:t xml:space="preserve">6-3,6-7(4-7),6-3</x:t>
        </x:is>
      </x:c>
      <x:c r="I15" t="n">
        <x:v>6</x:v>
      </x:c>
      <x:c r="J15" t="n">
        <x:v>3</x:v>
      </x:c>
      <x:c r="K15" t="n">
        <x:v>6</x:v>
      </x:c>
      <x:c r="L15" t="n">
        <x:v>7</x:v>
      </x:c>
      <x:c r="M15" t="n">
        <x:v>6</x:v>
      </x:c>
      <x:c r="N15" t="n">
        <x:v>3</x:v>
      </x:c>
      <x:c r="S15" t="inlineStr">
        <x:is>
          <x:t xml:space="preserve">k.Pliskova</x:t>
        </x:is>
      </x:c>
      <x:c r="T15" t="inlineStr">
        <x:is>
          <x:t xml:space="preserve">CZE</x:t>
        </x:is>
      </x:c>
      <x:c r="U15" t="inlineStr">
        <x:is>
          <x:t xml:space="preserve">Czechia</x:t>
        </x:is>
      </x:c>
      <x:c r="V15" t="n">
        <x:v>8</x:v>
      </x:c>
      <x:c r="W15" t="n">
        <x:v>3</x:v>
      </x:c>
      <x:c r="X15" t="n">
        <x:v>31</x:v>
      </x:c>
      <x:c r="Y15" t="inlineStr">
        <x:is>
          <x:t xml:space="preserve">Completed</x:t>
        </x:is>
      </x:c>
      <x:c r="Z15" t="inlineStr">
        <x:is>
          <x:t xml:space="preserve">Recorded</x:t>
        </x:is>
      </x:c>
      <x:c r="AA15" t="n">
        <x:v>1</x:v>
      </x:c>
      <x:c r="AB15" t="inlineStr">
        <x:is>
          <x:t xml:space="preserve">No</x:t>
        </x:is>
      </x:c>
      <x:c r="AC15" t="inlineStr">
        <x:is>
          <x:t xml:space="preserve">2020s</x:t>
        </x:is>
      </x:c>
      <x:c r="AD15" t="inlineStr">
        <x:is>
          <x:t xml:space="preserve">Seeded</x:t>
        </x:is>
      </x:c>
      <x:c r="AE15" t="inlineStr">
        <x:is>
          <x:t xml:space="preserve">Seeded</x:t>
        </x:is>
      </x:c>
    </x:row>
    <x:row r="16">
      <x:c r="A16" t="n">
        <x:v>2021</x:v>
      </x:c>
      <x:c r="B16" t="inlineStr">
        <x:is>
          <x:t xml:space="preserve">Men's</x:t>
        </x:is>
      </x:c>
      <x:c r="C16" t="inlineStr">
        <x:is>
          <x:t xml:space="preserve">N. Djokovic</x:t>
        </x:is>
      </x:c>
      <x:c r="D16" t="inlineStr">
        <x:is>
          <x:t xml:space="preserve">SRB</x:t>
        </x:is>
      </x:c>
      <x:c r="E16" t="inlineStr">
        <x:is>
          <x:t xml:space="preserve">Serbia</x:t>
        </x:is>
      </x:c>
      <x:c r="F16" t="n">
        <x:v>1</x:v>
      </x:c>
      <x:c r="G16" t="n">
        <x:v>204</x:v>
      </x:c>
      <x:c r="H16" t="inlineStr">
        <x:is>
          <x:t xml:space="preserve">6-7(4-7),6-4,6-4,6-3</x:t>
        </x:is>
      </x:c>
      <x:c r="I16" t="n">
        <x:v>6</x:v>
      </x:c>
      <x:c r="J16" t="n">
        <x:v>7</x:v>
      </x:c>
      <x:c r="K16" t="n">
        <x:v>6</x:v>
      </x:c>
      <x:c r="L16" t="n">
        <x:v>4</x:v>
      </x:c>
      <x:c r="M16" t="n">
        <x:v>6</x:v>
      </x:c>
      <x:c r="N16" t="n">
        <x:v>4</x:v>
      </x:c>
      <x:c r="O16" t="n">
        <x:v>6</x:v>
      </x:c>
      <x:c r="P16" t="n">
        <x:v>3</x:v>
      </x:c>
      <x:c r="S16" t="inlineStr">
        <x:is>
          <x:t xml:space="preserve">M. Berrettini</x:t>
        </x:is>
      </x:c>
      <x:c r="T16" t="inlineStr">
        <x:is>
          <x:t xml:space="preserve">ITA</x:t>
        </x:is>
      </x:c>
      <x:c r="U16" t="inlineStr">
        <x:is>
          <x:t xml:space="preserve">Italy</x:t>
        </x:is>
      </x:c>
      <x:c r="V16" t="n">
        <x:v>7</x:v>
      </x:c>
      <x:c r="W16" t="n">
        <x:v>4</x:v>
      </x:c>
      <x:c r="X16" t="n">
        <x:v>42</x:v>
      </x:c>
      <x:c r="Y16" t="inlineStr">
        <x:is>
          <x:t xml:space="preserve">Completed</x:t>
        </x:is>
      </x:c>
      <x:c r="Z16" t="inlineStr">
        <x:is>
          <x:t xml:space="preserve">Recorded</x:t>
        </x:is>
      </x:c>
      <x:c r="AA16" t="n">
        <x:v>7</x:v>
      </x:c>
      <x:c r="AB16" t="inlineStr">
        <x:is>
          <x:t xml:space="preserve">Yes</x:t>
        </x:is>
      </x:c>
      <x:c r="AC16" t="inlineStr">
        <x:is>
          <x:t xml:space="preserve">2020s</x:t>
        </x:is>
      </x:c>
      <x:c r="AD16" t="inlineStr">
        <x:is>
          <x:t xml:space="preserve">Seeded</x:t>
        </x:is>
      </x:c>
      <x:c r="AE16" t="inlineStr">
        <x:is>
          <x:t xml:space="preserve">Seeded</x:t>
        </x:is>
      </x:c>
    </x:row>
    <x:row r="17">
      <x:c r="A17" t="n">
        <x:v>2019</x:v>
      </x:c>
      <x:c r="B17" t="inlineStr">
        <x:is>
          <x:t xml:space="preserve">Women's</x:t>
        </x:is>
      </x:c>
      <x:c r="C17" t="inlineStr">
        <x:is>
          <x:t xml:space="preserve">S.Halep</x:t>
        </x:is>
      </x:c>
      <x:c r="D17" t="inlineStr">
        <x:is>
          <x:t xml:space="preserve">ROU</x:t>
        </x:is>
      </x:c>
      <x:c r="E17" t="inlineStr">
        <x:is>
          <x:t xml:space="preserve">Romania</x:t>
        </x:is>
      </x:c>
      <x:c r="F17" t="n">
        <x:v>7</x:v>
      </x:c>
      <x:c r="G17" t="n">
        <x:v>56</x:v>
      </x:c>
      <x:c r="H17" t="inlineStr">
        <x:is>
          <x:t xml:space="preserve">6-2,6-2</x:t>
        </x:is>
      </x:c>
      <x:c r="I17" t="n">
        <x:v>6</x:v>
      </x:c>
      <x:c r="J17" t="n">
        <x:v>2</x:v>
      </x:c>
      <x:c r="K17" t="n">
        <x:v>6</x:v>
      </x:c>
      <x:c r="L17" t="n">
        <x:v>2</x:v>
      </x:c>
      <x:c r="S17" t="inlineStr">
        <x:is>
          <x:t xml:space="preserve">S. Williams</x:t>
        </x:is>
      </x:c>
      <x:c r="T17" t="inlineStr">
        <x:is>
          <x:t xml:space="preserve">USA</x:t>
        </x:is>
      </x:c>
      <x:c r="U17" t="inlineStr">
        <x:is>
          <x:t xml:space="preserve">United States</x:t>
        </x:is>
      </x:c>
      <x:c r="V17" t="n">
        <x:v>11</x:v>
      </x:c>
      <x:c r="W17" t="n">
        <x:v>2</x:v>
      </x:c>
      <x:c r="X17" t="n">
        <x:v>16</x:v>
      </x:c>
      <x:c r="Y17" t="inlineStr">
        <x:is>
          <x:t xml:space="preserve">Completed</x:t>
        </x:is>
      </x:c>
      <x:c r="Z17" t="inlineStr">
        <x:is>
          <x:t xml:space="preserve">Recorded</x:t>
        </x:is>
      </x:c>
      <x:c r="AA17" t="n">
        <x:v>1</x:v>
      </x:c>
      <x:c r="AB17" t="inlineStr">
        <x:is>
          <x:t xml:space="preserve">No</x:t>
        </x:is>
      </x:c>
      <x:c r="AC17" t="inlineStr">
        <x:is>
          <x:t xml:space="preserve">2010s</x:t>
        </x:is>
      </x:c>
      <x:c r="AD17" t="inlineStr">
        <x:is>
          <x:t xml:space="preserve">Seeded</x:t>
        </x:is>
      </x:c>
      <x:c r="AE17" t="inlineStr">
        <x:is>
          <x:t xml:space="preserve">Seeded</x:t>
        </x:is>
      </x:c>
    </x:row>
    <x:row r="18">
      <x:c r="A18" t="n">
        <x:v>2019</x:v>
      </x:c>
      <x:c r="B18" t="inlineStr">
        <x:is>
          <x:t xml:space="preserve">Men's</x:t>
        </x:is>
      </x:c>
      <x:c r="C18" t="inlineStr">
        <x:is>
          <x:t xml:space="preserve">N. Djokovic</x:t>
        </x:is>
      </x:c>
      <x:c r="D18" t="inlineStr">
        <x:is>
          <x:t xml:space="preserve">SRB</x:t>
        </x:is>
      </x:c>
      <x:c r="E18" t="inlineStr">
        <x:is>
          <x:t xml:space="preserve">Serbia</x:t>
        </x:is>
      </x:c>
      <x:c r="F18" t="n">
        <x:v>1</x:v>
      </x:c>
      <x:c r="G18" t="n">
        <x:v>297</x:v>
      </x:c>
      <x:c r="H18" t="inlineStr">
        <x:is>
          <x:t xml:space="preserve">7-6(7-5),1-6,7-6(7-4),4-6,13-12(7-3)</x:t>
        </x:is>
      </x:c>
      <x:c r="I18" t="n">
        <x:v>7</x:v>
      </x:c>
      <x:c r="J18" t="n">
        <x:v>6</x:v>
      </x:c>
      <x:c r="K18" t="n">
        <x:v>1</x:v>
      </x:c>
      <x:c r="L18" t="n">
        <x:v>6</x:v>
      </x:c>
      <x:c r="M18" t="n">
        <x:v>7</x:v>
      </x:c>
      <x:c r="N18" t="n">
        <x:v>6</x:v>
      </x:c>
      <x:c r="O18" t="n">
        <x:v>4</x:v>
      </x:c>
      <x:c r="P18" t="n">
        <x:v>6</x:v>
      </x:c>
      <x:c r="Q18" t="n">
        <x:v>7</x:v>
      </x:c>
      <x:c r="R18" t="n">
        <x:v>6</x:v>
      </x:c>
      <x:c r="S18" t="inlineStr">
        <x:is>
          <x:t xml:space="preserve">R. Federer</x:t>
        </x:is>
      </x:c>
      <x:c r="T18" t="inlineStr">
        <x:is>
          <x:t xml:space="preserve">SUI</x:t>
        </x:is>
      </x:c>
      <x:c r="U18" t="inlineStr">
        <x:is>
          <x:t xml:space="preserve">Switzerland</x:t>
        </x:is>
      </x:c>
      <x:c r="V18" t="n">
        <x:v>2</x:v>
      </x:c>
      <x:c r="W18" t="n">
        <x:v>5</x:v>
      </x:c>
      <x:c r="X18" t="n">
        <x:v>56</x:v>
      </x:c>
      <x:c r="Y18" t="inlineStr">
        <x:is>
          <x:t xml:space="preserve">Completed</x:t>
        </x:is>
      </x:c>
      <x:c r="Z18" t="inlineStr">
        <x:is>
          <x:t xml:space="preserve">Recorded</x:t>
        </x:is>
      </x:c>
      <x:c r="AA18" t="n">
        <x:v>7</x:v>
      </x:c>
      <x:c r="AB18" t="inlineStr">
        <x:is>
          <x:t xml:space="preserve">Yes</x:t>
        </x:is>
      </x:c>
      <x:c r="AC18" t="inlineStr">
        <x:is>
          <x:t xml:space="preserve">2010s</x:t>
        </x:is>
      </x:c>
      <x:c r="AD18" t="inlineStr">
        <x:is>
          <x:t xml:space="preserve">Seeded</x:t>
        </x:is>
      </x:c>
      <x:c r="AE18" t="inlineStr">
        <x:is>
          <x:t xml:space="preserve">Seeded</x:t>
        </x:is>
      </x:c>
    </x:row>
    <x:row r="19">
      <x:c r="A19" t="n">
        <x:v>2018</x:v>
      </x:c>
      <x:c r="B19" t="inlineStr">
        <x:is>
          <x:t xml:space="preserve">Women's</x:t>
        </x:is>
      </x:c>
      <x:c r="C19" t="inlineStr">
        <x:is>
          <x:t xml:space="preserve">A. Kerber</x:t>
        </x:is>
      </x:c>
      <x:c r="D19" t="inlineStr">
        <x:is>
          <x:t xml:space="preserve">GER</x:t>
        </x:is>
      </x:c>
      <x:c r="E19" t="inlineStr">
        <x:is>
          <x:t xml:space="preserve">Germany</x:t>
        </x:is>
      </x:c>
      <x:c r="F19" t="n">
        <x:v>11</x:v>
      </x:c>
      <x:c r="G19" t="n">
        <x:v>65</x:v>
      </x:c>
      <x:c r="H19" t="inlineStr">
        <x:is>
          <x:t xml:space="preserve">6-3,6-3</x:t>
        </x:is>
      </x:c>
      <x:c r="I19" t="n">
        <x:v>6</x:v>
      </x:c>
      <x:c r="J19" t="n">
        <x:v>3</x:v>
      </x:c>
      <x:c r="K19" t="n">
        <x:v>6</x:v>
      </x:c>
      <x:c r="L19" t="n">
        <x:v>3</x:v>
      </x:c>
      <x:c r="S19" t="inlineStr">
        <x:is>
          <x:t xml:space="preserve">S. Williams</x:t>
        </x:is>
      </x:c>
      <x:c r="T19" t="inlineStr">
        <x:is>
          <x:t xml:space="preserve">USA</x:t>
        </x:is>
      </x:c>
      <x:c r="U19" t="inlineStr">
        <x:is>
          <x:t xml:space="preserve">United States</x:t>
        </x:is>
      </x:c>
      <x:c r="V19" t="n">
        <x:v>25</x:v>
      </x:c>
      <x:c r="W19" t="n">
        <x:v>2</x:v>
      </x:c>
      <x:c r="X19" t="n">
        <x:v>18</x:v>
      </x:c>
      <x:c r="Y19" t="inlineStr">
        <x:is>
          <x:t xml:space="preserve">Completed</x:t>
        </x:is>
      </x:c>
      <x:c r="Z19" t="inlineStr">
        <x:is>
          <x:t xml:space="preserve">Recorded</x:t>
        </x:is>
      </x:c>
      <x:c r="AA19" t="n">
        <x:v>1</x:v>
      </x:c>
      <x:c r="AB19" t="inlineStr">
        <x:is>
          <x:t xml:space="preserve">No</x:t>
        </x:is>
      </x:c>
      <x:c r="AC19" t="inlineStr">
        <x:is>
          <x:t xml:space="preserve">2010s</x:t>
        </x:is>
      </x:c>
      <x:c r="AD19" t="inlineStr">
        <x:is>
          <x:t xml:space="preserve">Seeded</x:t>
        </x:is>
      </x:c>
      <x:c r="AE19" t="inlineStr">
        <x:is>
          <x:t xml:space="preserve">Seeded</x:t>
        </x:is>
      </x:c>
    </x:row>
    <x:row r="20">
      <x:c r="A20" t="n">
        <x:v>2018</x:v>
      </x:c>
      <x:c r="B20" t="inlineStr">
        <x:is>
          <x:t xml:space="preserve">Men's</x:t>
        </x:is>
      </x:c>
      <x:c r="C20" t="inlineStr">
        <x:is>
          <x:t xml:space="preserve">N. Djokovic</x:t>
        </x:is>
      </x:c>
      <x:c r="D20" t="inlineStr">
        <x:is>
          <x:t xml:space="preserve">SRB</x:t>
        </x:is>
      </x:c>
      <x:c r="E20" t="inlineStr">
        <x:is>
          <x:t xml:space="preserve">Serbia</x:t>
        </x:is>
      </x:c>
      <x:c r="F20" t="n">
        <x:v>12</x:v>
      </x:c>
      <x:c r="G20" t="n">
        <x:v>170</x:v>
      </x:c>
      <x:c r="H20" t="inlineStr">
        <x:is>
          <x:t xml:space="preserve">6-2,6-2,7-6(7-3)</x:t>
        </x:is>
      </x:c>
      <x:c r="I20" t="n">
        <x:v>6</x:v>
      </x:c>
      <x:c r="J20" t="n">
        <x:v>2</x:v>
      </x:c>
      <x:c r="K20" t="n">
        <x:v>6</x:v>
      </x:c>
      <x:c r="L20" t="n">
        <x:v>2</x:v>
      </x:c>
      <x:c r="M20" t="n">
        <x:v>7</x:v>
      </x:c>
      <x:c r="N20" t="n">
        <x:v>6</x:v>
      </x:c>
      <x:c r="S20" t="inlineStr">
        <x:is>
          <x:t xml:space="preserve">K. Anderson</x:t>
        </x:is>
      </x:c>
      <x:c r="T20" t="inlineStr">
        <x:is>
          <x:t xml:space="preserve">RSA</x:t>
        </x:is>
      </x:c>
      <x:c r="U20" t="inlineStr">
        <x:is>
          <x:t xml:space="preserve">South Africa</x:t>
        </x:is>
      </x:c>
      <x:c r="V20" t="n">
        <x:v>8</x:v>
      </x:c>
      <x:c r="W20" t="n">
        <x:v>3</x:v>
      </x:c>
      <x:c r="X20" t="n">
        <x:v>29</x:v>
      </x:c>
      <x:c r="Y20" t="inlineStr">
        <x:is>
          <x:t xml:space="preserve">Completed</x:t>
        </x:is>
      </x:c>
      <x:c r="Z20" t="inlineStr">
        <x:is>
          <x:t xml:space="preserve">Recorded</x:t>
        </x:is>
      </x:c>
      <x:c r="AA20" t="n">
        <x:v>7</x:v>
      </x:c>
      <x:c r="AB20" t="inlineStr">
        <x:is>
          <x:t xml:space="preserve">Yes</x:t>
        </x:is>
      </x:c>
      <x:c r="AC20" t="inlineStr">
        <x:is>
          <x:t xml:space="preserve">2010s</x:t>
        </x:is>
      </x:c>
      <x:c r="AD20" t="inlineStr">
        <x:is>
          <x:t xml:space="preserve">Seeded</x:t>
        </x:is>
      </x:c>
      <x:c r="AE20" t="inlineStr">
        <x:is>
          <x:t xml:space="preserve">Seeded</x:t>
        </x:is>
      </x:c>
    </x:row>
    <x:row r="21">
      <x:c r="A21" t="n">
        <x:v>2017</x:v>
      </x:c>
      <x:c r="B21" t="inlineStr">
        <x:is>
          <x:t xml:space="preserve">Women's</x:t>
        </x:is>
      </x:c>
      <x:c r="C21" t="inlineStr">
        <x:is>
          <x:t xml:space="preserve">G. Muguruza</x:t>
        </x:is>
      </x:c>
      <x:c r="D21" t="inlineStr">
        <x:is>
          <x:t xml:space="preserve">ESP</x:t>
        </x:is>
      </x:c>
      <x:c r="E21" t="inlineStr">
        <x:is>
          <x:t xml:space="preserve">Spain</x:t>
        </x:is>
      </x:c>
      <x:c r="F21" t="n">
        <x:v>14</x:v>
      </x:c>
      <x:c r="G21" t="n">
        <x:v>77</x:v>
      </x:c>
      <x:c r="H21" t="inlineStr">
        <x:is>
          <x:t xml:space="preserve">7-5,6-0</x:t>
        </x:is>
      </x:c>
      <x:c r="I21" t="n">
        <x:v>7</x:v>
      </x:c>
      <x:c r="J21" t="n">
        <x:v>5</x:v>
      </x:c>
      <x:c r="K21" t="n">
        <x:v>6</x:v>
      </x:c>
      <x:c r="L21" t="n">
        <x:v>0</x:v>
      </x:c>
      <x:c r="S21" t="inlineStr">
        <x:is>
          <x:t xml:space="preserve">V.E.S. Williams</x:t>
        </x:is>
      </x:c>
      <x:c r="T21" t="inlineStr">
        <x:is>
          <x:t xml:space="preserve">USA</x:t>
        </x:is>
      </x:c>
      <x:c r="U21" t="inlineStr">
        <x:is>
          <x:t xml:space="preserve">United States</x:t>
        </x:is>
      </x:c>
      <x:c r="V21" t="n">
        <x:v>10</x:v>
      </x:c>
      <x:c r="W21" t="n">
        <x:v>2</x:v>
      </x:c>
      <x:c r="X21" t="n">
        <x:v>18</x:v>
      </x:c>
      <x:c r="Y21" t="inlineStr">
        <x:is>
          <x:t xml:space="preserve">Completed</x:t>
        </x:is>
      </x:c>
      <x:c r="Z21" t="inlineStr">
        <x:is>
          <x:t xml:space="preserve">Recorded</x:t>
        </x:is>
      </x:c>
      <x:c r="AA21" t="n">
        <x:v>1</x:v>
      </x:c>
      <x:c r="AB21" t="inlineStr">
        <x:is>
          <x:t xml:space="preserve">No</x:t>
        </x:is>
      </x:c>
      <x:c r="AC21" t="inlineStr">
        <x:is>
          <x:t xml:space="preserve">2010s</x:t>
        </x:is>
      </x:c>
      <x:c r="AD21" t="inlineStr">
        <x:is>
          <x:t xml:space="preserve">Seeded</x:t>
        </x:is>
      </x:c>
      <x:c r="AE21" t="inlineStr">
        <x:is>
          <x:t xml:space="preserve">Seeded</x:t>
        </x:is>
      </x:c>
    </x:row>
    <x:row r="22">
      <x:c r="A22" t="n">
        <x:v>2017</x:v>
      </x:c>
      <x:c r="B22" t="inlineStr">
        <x:is>
          <x:t xml:space="preserve">Men's</x:t>
        </x:is>
      </x:c>
      <x:c r="C22" t="inlineStr">
        <x:is>
          <x:t xml:space="preserve">R. Federer</x:t>
        </x:is>
      </x:c>
      <x:c r="D22" t="inlineStr">
        <x:is>
          <x:t xml:space="preserve">SUI</x:t>
        </x:is>
      </x:c>
      <x:c r="E22" t="inlineStr">
        <x:is>
          <x:t xml:space="preserve">Switzerland</x:t>
        </x:is>
      </x:c>
      <x:c r="F22" t="n">
        <x:v>3</x:v>
      </x:c>
      <x:c r="G22" t="n">
        <x:v>101</x:v>
      </x:c>
      <x:c r="H22" t="inlineStr">
        <x:is>
          <x:t xml:space="preserve">6-3,6-1,6-4</x:t>
        </x:is>
      </x:c>
      <x:c r="I22" t="n">
        <x:v>6</x:v>
      </x:c>
      <x:c r="J22" t="n">
        <x:v>3</x:v>
      </x:c>
      <x:c r="K22" t="n">
        <x:v>6</x:v>
      </x:c>
      <x:c r="L22" t="n">
        <x:v>1</x:v>
      </x:c>
      <x:c r="M22" t="n">
        <x:v>6</x:v>
      </x:c>
      <x:c r="N22" t="n">
        <x:v>4</x:v>
      </x:c>
      <x:c r="S22" t="inlineStr">
        <x:is>
          <x:t xml:space="preserve">M.Cilic</x:t>
        </x:is>
      </x:c>
      <x:c r="T22" t="inlineStr">
        <x:is>
          <x:t xml:space="preserve">CRO</x:t>
        </x:is>
      </x:c>
      <x:c r="U22" t="inlineStr">
        <x:is>
          <x:t xml:space="preserve">Croatia</x:t>
        </x:is>
      </x:c>
      <x:c r="V22" t="n">
        <x:v>7</x:v>
      </x:c>
      <x:c r="W22" t="n">
        <x:v>3</x:v>
      </x:c>
      <x:c r="X22" t="n">
        <x:v>26</x:v>
      </x:c>
      <x:c r="Y22" t="inlineStr">
        <x:is>
          <x:t xml:space="preserve">Completed</x:t>
        </x:is>
      </x:c>
      <x:c r="Z22" t="inlineStr">
        <x:is>
          <x:t xml:space="preserve">Recorded</x:t>
        </x:is>
      </x:c>
      <x:c r="AA22" t="n">
        <x:v>8</x:v>
      </x:c>
      <x:c r="AB22" t="inlineStr">
        <x:is>
          <x:t xml:space="preserve">Yes</x:t>
        </x:is>
      </x:c>
      <x:c r="AC22" t="inlineStr">
        <x:is>
          <x:t xml:space="preserve">2010s</x:t>
        </x:is>
      </x:c>
      <x:c r="AD22" t="inlineStr">
        <x:is>
          <x:t xml:space="preserve">Seeded</x:t>
        </x:is>
      </x:c>
      <x:c r="AE22" t="inlineStr">
        <x:is>
          <x:t xml:space="preserve">Seeded</x:t>
        </x:is>
      </x:c>
    </x:row>
    <x:row r="23">
      <x:c r="A23" t="n">
        <x:v>2016</x:v>
      </x:c>
      <x:c r="B23" t="inlineStr">
        <x:is>
          <x:t xml:space="preserve">Women's</x:t>
        </x:is>
      </x:c>
      <x:c r="C23" t="inlineStr">
        <x:is>
          <x:t xml:space="preserve">S. Williams</x:t>
        </x:is>
      </x:c>
      <x:c r="D23" t="inlineStr">
        <x:is>
          <x:t xml:space="preserve">USA</x:t>
        </x:is>
      </x:c>
      <x:c r="E23" t="inlineStr">
        <x:is>
          <x:t xml:space="preserve">United States</x:t>
        </x:is>
      </x:c>
      <x:c r="F23" t="n">
        <x:v>1</x:v>
      </x:c>
      <x:c r="G23" t="n">
        <x:v>83</x:v>
      </x:c>
      <x:c r="H23" t="inlineStr">
        <x:is>
          <x:t xml:space="preserve">7-5, 6-3</x:t>
        </x:is>
      </x:c>
      <x:c r="I23" t="n">
        <x:v>7</x:v>
      </x:c>
      <x:c r="J23" t="n">
        <x:v>5</x:v>
      </x:c>
      <x:c r="K23" t="n">
        <x:v>6</x:v>
      </x:c>
      <x:c r="L23" t="n">
        <x:v>3</x:v>
      </x:c>
      <x:c r="S23" t="inlineStr">
        <x:is>
          <x:t xml:space="preserve">A. Kerber</x:t>
        </x:is>
      </x:c>
      <x:c r="T23" t="inlineStr">
        <x:is>
          <x:t xml:space="preserve">GER</x:t>
        </x:is>
      </x:c>
      <x:c r="U23" t="inlineStr">
        <x:is>
          <x:t xml:space="preserve">Germany</x:t>
        </x:is>
      </x:c>
      <x:c r="V23" t="n">
        <x:v>4</x:v>
      </x:c>
      <x:c r="W23" t="n">
        <x:v>2</x:v>
      </x:c>
      <x:c r="X23" t="n">
        <x:v>21</x:v>
      </x:c>
      <x:c r="Y23" t="inlineStr">
        <x:is>
          <x:t xml:space="preserve">Completed</x:t>
        </x:is>
      </x:c>
      <x:c r="Z23" t="inlineStr">
        <x:is>
          <x:t xml:space="preserve">Recorded</x:t>
        </x:is>
      </x:c>
      <x:c r="AA23" t="n">
        <x:v>7</x:v>
      </x:c>
      <x:c r="AB23" t="inlineStr">
        <x:is>
          <x:t xml:space="preserve">Yes</x:t>
        </x:is>
      </x:c>
      <x:c r="AC23" t="inlineStr">
        <x:is>
          <x:t xml:space="preserve">2010s</x:t>
        </x:is>
      </x:c>
      <x:c r="AD23" t="inlineStr">
        <x:is>
          <x:t xml:space="preserve">Seeded</x:t>
        </x:is>
      </x:c>
      <x:c r="AE23" t="inlineStr">
        <x:is>
          <x:t xml:space="preserve">Seeded</x:t>
        </x:is>
      </x:c>
    </x:row>
    <x:row r="24">
      <x:c r="A24" t="n">
        <x:v>2016</x:v>
      </x:c>
      <x:c r="B24" t="inlineStr">
        <x:is>
          <x:t xml:space="preserve">Men's</x:t>
        </x:is>
      </x:c>
      <x:c r="C24" t="inlineStr">
        <x:is>
          <x:t xml:space="preserve">A. Murray</x:t>
        </x:is>
      </x:c>
      <x:c r="D24" t="inlineStr">
        <x:is>
          <x:t xml:space="preserve">GBR</x:t>
        </x:is>
      </x:c>
      <x:c r="E24" t="inlineStr">
        <x:is>
          <x:t xml:space="preserve">United Kingdom</x:t>
        </x:is>
      </x:c>
      <x:c r="F24" t="n">
        <x:v>2</x:v>
      </x:c>
      <x:c r="G24" t="n">
        <x:v>170</x:v>
      </x:c>
      <x:c r="H24" t="inlineStr">
        <x:is>
          <x:t xml:space="preserve">6-4, 7-6(7-3), 7-6(7-2)</x:t>
        </x:is>
      </x:c>
      <x:c r="I24" t="n">
        <x:v>6</x:v>
      </x:c>
      <x:c r="J24" t="n">
        <x:v>4</x:v>
      </x:c>
      <x:c r="K24" t="n">
        <x:v>7</x:v>
      </x:c>
      <x:c r="L24" t="n">
        <x:v>6</x:v>
      </x:c>
      <x:c r="M24" t="n">
        <x:v>7</x:v>
      </x:c>
      <x:c r="N24" t="n">
        <x:v>6</x:v>
      </x:c>
      <x:c r="S24" t="inlineStr">
        <x:is>
          <x:t xml:space="preserve">M. Raonic</x:t>
        </x:is>
      </x:c>
      <x:c r="T24" t="inlineStr">
        <x:is>
          <x:t xml:space="preserve">CND</x:t>
        </x:is>
      </x:c>
      <x:c r="U24" t="inlineStr">
        <x:is>
          <x:t xml:space="preserve">Canada</x:t>
        </x:is>
      </x:c>
      <x:c r="V24" t="n">
        <x:v>6</x:v>
      </x:c>
      <x:c r="W24" t="n">
        <x:v>3</x:v>
      </x:c>
      <x:c r="X24" t="n">
        <x:v>36</x:v>
      </x:c>
      <x:c r="Y24" t="inlineStr">
        <x:is>
          <x:t xml:space="preserve">Completed</x:t>
        </x:is>
      </x:c>
      <x:c r="Z24" t="inlineStr">
        <x:is>
          <x:t xml:space="preserve">Recorded</x:t>
        </x:is>
      </x:c>
      <x:c r="AA24" t="n">
        <x:v>2</x:v>
      </x:c>
      <x:c r="AB24" t="inlineStr">
        <x:is>
          <x:t xml:space="preserve">No</x:t>
        </x:is>
      </x:c>
      <x:c r="AC24" t="inlineStr">
        <x:is>
          <x:t xml:space="preserve">2010s</x:t>
        </x:is>
      </x:c>
      <x:c r="AD24" t="inlineStr">
        <x:is>
          <x:t xml:space="preserve">Seeded</x:t>
        </x:is>
      </x:c>
      <x:c r="AE24" t="inlineStr">
        <x:is>
          <x:t xml:space="preserve">Seeded</x:t>
        </x:is>
      </x:c>
    </x:row>
    <x:row r="25">
      <x:c r="A25" t="n">
        <x:v>2015</x:v>
      </x:c>
      <x:c r="B25" t="inlineStr">
        <x:is>
          <x:t xml:space="preserve">Women's</x:t>
        </x:is>
      </x:c>
      <x:c r="C25" t="inlineStr">
        <x:is>
          <x:t xml:space="preserve">S. Williams</x:t>
        </x:is>
      </x:c>
      <x:c r="D25" t="inlineStr">
        <x:is>
          <x:t xml:space="preserve">USA</x:t>
        </x:is>
      </x:c>
      <x:c r="E25" t="inlineStr">
        <x:is>
          <x:t xml:space="preserve">United States</x:t>
        </x:is>
      </x:c>
      <x:c r="F25" t="n">
        <x:v>1</x:v>
      </x:c>
      <x:c r="G25" t="n">
        <x:v>83</x:v>
      </x:c>
      <x:c r="H25" t="inlineStr">
        <x:is>
          <x:t xml:space="preserve">6-4, 6-4</x:t>
        </x:is>
      </x:c>
      <x:c r="I25" t="n">
        <x:v>6</x:v>
      </x:c>
      <x:c r="J25" t="n">
        <x:v>4</x:v>
      </x:c>
      <x:c r="K25" t="n">
        <x:v>6</x:v>
      </x:c>
      <x:c r="L25" t="n">
        <x:v>4</x:v>
      </x:c>
      <x:c r="S25" t="inlineStr">
        <x:is>
          <x:t xml:space="preserve">G. Muguruza</x:t>
        </x:is>
      </x:c>
      <x:c r="T25" t="inlineStr">
        <x:is>
          <x:t xml:space="preserve">ESP</x:t>
        </x:is>
      </x:c>
      <x:c r="U25" t="inlineStr">
        <x:is>
          <x:t xml:space="preserve">Spain</x:t>
        </x:is>
      </x:c>
      <x:c r="V25" t="n">
        <x:v>20</x:v>
      </x:c>
      <x:c r="W25" t="n">
        <x:v>2</x:v>
      </x:c>
      <x:c r="X25" t="n">
        <x:v>20</x:v>
      </x:c>
      <x:c r="Y25" t="inlineStr">
        <x:is>
          <x:t xml:space="preserve">Completed</x:t>
        </x:is>
      </x:c>
      <x:c r="Z25" t="inlineStr">
        <x:is>
          <x:t xml:space="preserve">Recorded</x:t>
        </x:is>
      </x:c>
      <x:c r="AA25" t="n">
        <x:v>7</x:v>
      </x:c>
      <x:c r="AB25" t="inlineStr">
        <x:is>
          <x:t xml:space="preserve">Yes</x:t>
        </x:is>
      </x:c>
      <x:c r="AC25" t="inlineStr">
        <x:is>
          <x:t xml:space="preserve">2010s</x:t>
        </x:is>
      </x:c>
      <x:c r="AD25" t="inlineStr">
        <x:is>
          <x:t xml:space="preserve">Seeded</x:t>
        </x:is>
      </x:c>
      <x:c r="AE25" t="inlineStr">
        <x:is>
          <x:t xml:space="preserve">Seeded</x:t>
        </x:is>
      </x:c>
    </x:row>
    <x:row r="26">
      <x:c r="A26" t="n">
        <x:v>2015</x:v>
      </x:c>
      <x:c r="B26" t="inlineStr">
        <x:is>
          <x:t xml:space="preserve">Men's</x:t>
        </x:is>
      </x:c>
      <x:c r="C26" t="inlineStr">
        <x:is>
          <x:t xml:space="preserve">N. Djokovic</x:t>
        </x:is>
      </x:c>
      <x:c r="D26" t="inlineStr">
        <x:is>
          <x:t xml:space="preserve">SRB</x:t>
        </x:is>
      </x:c>
      <x:c r="E26" t="inlineStr">
        <x:is>
          <x:t xml:space="preserve">Serbia</x:t>
        </x:is>
      </x:c>
      <x:c r="F26" t="n">
        <x:v>1</x:v>
      </x:c>
      <x:c r="G26" t="n">
        <x:v>176</x:v>
      </x:c>
      <x:c r="H26" t="inlineStr">
        <x:is>
          <x:t xml:space="preserve">7-6(7-1), 6-7(10-12), 6-4, 6-3</x:t>
        </x:is>
      </x:c>
      <x:c r="I26" t="n">
        <x:v>7</x:v>
      </x:c>
      <x:c r="J26" t="n">
        <x:v>6</x:v>
      </x:c>
      <x:c r="K26" t="n">
        <x:v>6</x:v>
      </x:c>
      <x:c r="L26" t="n">
        <x:v>7</x:v>
      </x:c>
      <x:c r="M26" t="n">
        <x:v>6</x:v>
      </x:c>
      <x:c r="N26" t="n">
        <x:v>4</x:v>
      </x:c>
      <x:c r="O26" t="n">
        <x:v>6</x:v>
      </x:c>
      <x:c r="P26" t="n">
        <x:v>3</x:v>
      </x:c>
      <x:c r="S26" t="inlineStr">
        <x:is>
          <x:t xml:space="preserve">R. Federer</x:t>
        </x:is>
      </x:c>
      <x:c r="T26" t="inlineStr">
        <x:is>
          <x:t xml:space="preserve">SUI</x:t>
        </x:is>
      </x:c>
      <x:c r="U26" t="inlineStr">
        <x:is>
          <x:t xml:space="preserve">Switzerland</x:t>
        </x:is>
      </x:c>
      <x:c r="V26" t="n">
        <x:v>2</x:v>
      </x:c>
      <x:c r="W26" t="n">
        <x:v>4</x:v>
      </x:c>
      <x:c r="X26" t="n">
        <x:v>45</x:v>
      </x:c>
      <x:c r="Y26" t="inlineStr">
        <x:is>
          <x:t xml:space="preserve">Completed</x:t>
        </x:is>
      </x:c>
      <x:c r="Z26" t="inlineStr">
        <x:is>
          <x:t xml:space="preserve">Recorded</x:t>
        </x:is>
      </x:c>
      <x:c r="AA26" t="n">
        <x:v>7</x:v>
      </x:c>
      <x:c r="AB26" t="inlineStr">
        <x:is>
          <x:t xml:space="preserve">Yes</x:t>
        </x:is>
      </x:c>
      <x:c r="AC26" t="inlineStr">
        <x:is>
          <x:t xml:space="preserve">2010s</x:t>
        </x:is>
      </x:c>
      <x:c r="AD26" t="inlineStr">
        <x:is>
          <x:t xml:space="preserve">Seeded</x:t>
        </x:is>
      </x:c>
      <x:c r="AE26" t="inlineStr">
        <x:is>
          <x:t xml:space="preserve">Seeded</x:t>
        </x:is>
      </x:c>
    </x:row>
    <x:row r="27">
      <x:c r="A27" t="n">
        <x:v>2014</x:v>
      </x:c>
      <x:c r="B27" t="inlineStr">
        <x:is>
          <x:t xml:space="preserve">Women's</x:t>
        </x:is>
      </x:c>
      <x:c r="C27" t="inlineStr">
        <x:is>
          <x:t xml:space="preserve">P. Kvitová</x:t>
        </x:is>
      </x:c>
      <x:c r="D27" t="inlineStr">
        <x:is>
          <x:t xml:space="preserve">CZE</x:t>
        </x:is>
      </x:c>
      <x:c r="E27" t="inlineStr">
        <x:is>
          <x:t xml:space="preserve">Czechia</x:t>
        </x:is>
      </x:c>
      <x:c r="F27" t="n">
        <x:v>6</x:v>
      </x:c>
      <x:c r="G27" t="n">
        <x:v>55</x:v>
      </x:c>
      <x:c r="H27" t="inlineStr">
        <x:is>
          <x:t xml:space="preserve">6-3, 6-0</x:t>
        </x:is>
      </x:c>
      <x:c r="I27" t="n">
        <x:v>6</x:v>
      </x:c>
      <x:c r="J27" t="n">
        <x:v>3</x:v>
      </x:c>
      <x:c r="K27" t="n">
        <x:v>6</x:v>
      </x:c>
      <x:c r="L27" t="n">
        <x:v>0</x:v>
      </x:c>
      <x:c r="S27" t="inlineStr">
        <x:is>
          <x:t xml:space="preserve">E. Bouchard</x:t>
        </x:is>
      </x:c>
      <x:c r="T27" t="inlineStr">
        <x:is>
          <x:t xml:space="preserve">CND</x:t>
        </x:is>
      </x:c>
      <x:c r="U27" t="inlineStr">
        <x:is>
          <x:t xml:space="preserve">Canada</x:t>
        </x:is>
      </x:c>
      <x:c r="V27" t="n">
        <x:v>13</x:v>
      </x:c>
      <x:c r="W27" t="n">
        <x:v>2</x:v>
      </x:c>
      <x:c r="X27" t="n">
        <x:v>15</x:v>
      </x:c>
      <x:c r="Y27" t="inlineStr">
        <x:is>
          <x:t xml:space="preserve">Completed</x:t>
        </x:is>
      </x:c>
      <x:c r="Z27" t="inlineStr">
        <x:is>
          <x:t xml:space="preserve">Recorded</x:t>
        </x:is>
      </x:c>
      <x:c r="AA27" t="n">
        <x:v>1</x:v>
      </x:c>
      <x:c r="AB27" t="inlineStr">
        <x:is>
          <x:t xml:space="preserve">No</x:t>
        </x:is>
      </x:c>
      <x:c r="AC27" t="inlineStr">
        <x:is>
          <x:t xml:space="preserve">2010s</x:t>
        </x:is>
      </x:c>
      <x:c r="AD27" t="inlineStr">
        <x:is>
          <x:t xml:space="preserve">Seeded</x:t>
        </x:is>
      </x:c>
      <x:c r="AE27" t="inlineStr">
        <x:is>
          <x:t xml:space="preserve">Seeded</x:t>
        </x:is>
      </x:c>
    </x:row>
    <x:row r="28">
      <x:c r="A28" t="n">
        <x:v>2014</x:v>
      </x:c>
      <x:c r="B28" t="inlineStr">
        <x:is>
          <x:t xml:space="preserve">Men's</x:t>
        </x:is>
      </x:c>
      <x:c r="C28" t="inlineStr">
        <x:is>
          <x:t xml:space="preserve">N. Djokovic</x:t>
        </x:is>
      </x:c>
      <x:c r="D28" t="inlineStr">
        <x:is>
          <x:t xml:space="preserve">SRB</x:t>
        </x:is>
      </x:c>
      <x:c r="E28" t="inlineStr">
        <x:is>
          <x:t xml:space="preserve">Serbia</x:t>
        </x:is>
      </x:c>
      <x:c r="F28" t="n">
        <x:v>1</x:v>
      </x:c>
      <x:c r="G28" t="n">
        <x:v>236</x:v>
      </x:c>
      <x:c r="H28" t="inlineStr">
        <x:is>
          <x:t xml:space="preserve">6-7(7-9), 6-4, 7-6(7-4), 5-7, 6-4</x:t>
        </x:is>
      </x:c>
      <x:c r="I28" t="n">
        <x:v>6</x:v>
      </x:c>
      <x:c r="J28" t="n">
        <x:v>7</x:v>
      </x:c>
      <x:c r="K28" t="n">
        <x:v>6</x:v>
      </x:c>
      <x:c r="L28" t="n">
        <x:v>4</x:v>
      </x:c>
      <x:c r="M28" t="n">
        <x:v>7</x:v>
      </x:c>
      <x:c r="N28" t="n">
        <x:v>6</x:v>
      </x:c>
      <x:c r="O28" t="n">
        <x:v>5</x:v>
      </x:c>
      <x:c r="P28" t="n">
        <x:v>7</x:v>
      </x:c>
      <x:c r="Q28" t="n">
        <x:v>6</x:v>
      </x:c>
      <x:c r="R28" t="n">
        <x:v>4</x:v>
      </x:c>
      <x:c r="S28" t="inlineStr">
        <x:is>
          <x:t xml:space="preserve">R. Federer</x:t>
        </x:is>
      </x:c>
      <x:c r="T28" t="inlineStr">
        <x:is>
          <x:t xml:space="preserve">SUI</x:t>
        </x:is>
      </x:c>
      <x:c r="U28" t="inlineStr">
        <x:is>
          <x:t xml:space="preserve">Switzerland</x:t>
        </x:is>
      </x:c>
      <x:c r="V28" t="n">
        <x:v>4</x:v>
      </x:c>
      <x:c r="W28" t="n">
        <x:v>5</x:v>
      </x:c>
      <x:c r="X28" t="n">
        <x:v>58</x:v>
      </x:c>
      <x:c r="Y28" t="inlineStr">
        <x:is>
          <x:t xml:space="preserve">Completed</x:t>
        </x:is>
      </x:c>
      <x:c r="Z28" t="inlineStr">
        <x:is>
          <x:t xml:space="preserve">Recorded</x:t>
        </x:is>
      </x:c>
      <x:c r="AA28" t="n">
        <x:v>7</x:v>
      </x:c>
      <x:c r="AB28" t="inlineStr">
        <x:is>
          <x:t xml:space="preserve">Yes</x:t>
        </x:is>
      </x:c>
      <x:c r="AC28" t="inlineStr">
        <x:is>
          <x:t xml:space="preserve">2010s</x:t>
        </x:is>
      </x:c>
      <x:c r="AD28" t="inlineStr">
        <x:is>
          <x:t xml:space="preserve">Seeded</x:t>
        </x:is>
      </x:c>
      <x:c r="AE28" t="inlineStr">
        <x:is>
          <x:t xml:space="preserve">Seeded</x:t>
        </x:is>
      </x:c>
    </x:row>
    <x:row r="29">
      <x:c r="A29" t="n">
        <x:v>2013</x:v>
      </x:c>
      <x:c r="B29" t="inlineStr">
        <x:is>
          <x:t xml:space="preserve">Women's</x:t>
        </x:is>
      </x:c>
      <x:c r="C29" t="inlineStr">
        <x:is>
          <x:t xml:space="preserve">M. Bartoli</x:t>
        </x:is>
      </x:c>
      <x:c r="D29" t="inlineStr">
        <x:is>
          <x:t xml:space="preserve">FRA</x:t>
        </x:is>
      </x:c>
      <x:c r="E29" t="inlineStr">
        <x:is>
          <x:t xml:space="preserve">France</x:t>
        </x:is>
      </x:c>
      <x:c r="F29" t="n">
        <x:v>15</x:v>
      </x:c>
      <x:c r="G29" t="n">
        <x:v>81</x:v>
      </x:c>
      <x:c r="H29" t="inlineStr">
        <x:is>
          <x:t xml:space="preserve">6-2,1-6,6-4</x:t>
        </x:is>
      </x:c>
      <x:c r="I29" t="n">
        <x:v>6</x:v>
      </x:c>
      <x:c r="J29" t="n">
        <x:v>2</x:v>
      </x:c>
      <x:c r="K29" t="n">
        <x:v>1</x:v>
      </x:c>
      <x:c r="L29" t="n">
        <x:v>6</x:v>
      </x:c>
      <x:c r="M29" t="n">
        <x:v>6</x:v>
      </x:c>
      <x:c r="N29" t="n">
        <x:v>4</x:v>
      </x:c>
      <x:c r="S29" t="inlineStr">
        <x:is>
          <x:t xml:space="preserve">S. Lisicki</x:t>
        </x:is>
      </x:c>
      <x:c r="T29" t="inlineStr">
        <x:is>
          <x:t xml:space="preserve">GER</x:t>
        </x:is>
      </x:c>
      <x:c r="U29" t="inlineStr">
        <x:is>
          <x:t xml:space="preserve">Germany</x:t>
        </x:is>
      </x:c>
      <x:c r="V29" t="n">
        <x:v>23</x:v>
      </x:c>
      <x:c r="W29" t="n">
        <x:v>3</x:v>
      </x:c>
      <x:c r="X29" t="n">
        <x:v>25</x:v>
      </x:c>
      <x:c r="Y29" t="inlineStr">
        <x:is>
          <x:t xml:space="preserve">Completed</x:t>
        </x:is>
      </x:c>
      <x:c r="Z29" t="inlineStr">
        <x:is>
          <x:t xml:space="preserve">Recorded</x:t>
        </x:is>
      </x:c>
      <x:c r="AA29" t="n">
        <x:v>1</x:v>
      </x:c>
      <x:c r="AB29" t="inlineStr">
        <x:is>
          <x:t xml:space="preserve">No</x:t>
        </x:is>
      </x:c>
      <x:c r="AC29" t="inlineStr">
        <x:is>
          <x:t xml:space="preserve">2010s</x:t>
        </x:is>
      </x:c>
      <x:c r="AD29" t="inlineStr">
        <x:is>
          <x:t xml:space="preserve">Seeded</x:t>
        </x:is>
      </x:c>
      <x:c r="AE29" t="inlineStr">
        <x:is>
          <x:t xml:space="preserve">Seeded</x:t>
        </x:is>
      </x:c>
    </x:row>
    <x:row r="30">
      <x:c r="A30" t="n">
        <x:v>2013</x:v>
      </x:c>
      <x:c r="B30" t="inlineStr">
        <x:is>
          <x:t xml:space="preserve">Men's</x:t>
        </x:is>
      </x:c>
      <x:c r="C30" t="inlineStr">
        <x:is>
          <x:t xml:space="preserve">A. Murray</x:t>
        </x:is>
      </x:c>
      <x:c r="D30" t="inlineStr">
        <x:is>
          <x:t xml:space="preserve">GBR</x:t>
        </x:is>
      </x:c>
      <x:c r="E30" t="inlineStr">
        <x:is>
          <x:t xml:space="preserve">United Kingdom</x:t>
        </x:is>
      </x:c>
      <x:c r="F30" t="n">
        <x:v>2</x:v>
      </x:c>
      <x:c r="G30" t="n">
        <x:v>134</x:v>
      </x:c>
      <x:c r="H30" t="inlineStr">
        <x:is>
          <x:t xml:space="preserve">6-4, 7-5, 6-4</x:t>
        </x:is>
      </x:c>
      <x:c r="I30" t="n">
        <x:v>6</x:v>
      </x:c>
      <x:c r="J30" t="n">
        <x:v>4</x:v>
      </x:c>
      <x:c r="K30" t="n">
        <x:v>7</x:v>
      </x:c>
      <x:c r="L30" t="n">
        <x:v>5</x:v>
      </x:c>
      <x:c r="M30" t="n">
        <x:v>6</x:v>
      </x:c>
      <x:c r="N30" t="n">
        <x:v>4</x:v>
      </x:c>
      <x:c r="S30" t="inlineStr">
        <x:is>
          <x:t xml:space="preserve">N. Djokovic</x:t>
        </x:is>
      </x:c>
      <x:c r="T30" t="inlineStr">
        <x:is>
          <x:t xml:space="preserve">SRB</x:t>
        </x:is>
      </x:c>
      <x:c r="U30" t="inlineStr">
        <x:is>
          <x:t xml:space="preserve">Serbia</x:t>
        </x:is>
      </x:c>
      <x:c r="V30" t="n">
        <x:v>1</x:v>
      </x:c>
      <x:c r="W30" t="n">
        <x:v>3</x:v>
      </x:c>
      <x:c r="X30" t="n">
        <x:v>32</x:v>
      </x:c>
      <x:c r="Y30" t="inlineStr">
        <x:is>
          <x:t xml:space="preserve">Completed</x:t>
        </x:is>
      </x:c>
      <x:c r="Z30" t="inlineStr">
        <x:is>
          <x:t xml:space="preserve">Recorded</x:t>
        </x:is>
      </x:c>
      <x:c r="AA30" t="n">
        <x:v>2</x:v>
      </x:c>
      <x:c r="AB30" t="inlineStr">
        <x:is>
          <x:t xml:space="preserve">No</x:t>
        </x:is>
      </x:c>
      <x:c r="AC30" t="inlineStr">
        <x:is>
          <x:t xml:space="preserve">2010s</x:t>
        </x:is>
      </x:c>
      <x:c r="AD30" t="inlineStr">
        <x:is>
          <x:t xml:space="preserve">Seeded</x:t>
        </x:is>
      </x:c>
      <x:c r="AE30" t="inlineStr">
        <x:is>
          <x:t xml:space="preserve">Seeded</x:t>
        </x:is>
      </x:c>
    </x:row>
    <x:row r="31">
      <x:c r="A31" t="n">
        <x:v>2012</x:v>
      </x:c>
      <x:c r="B31" t="inlineStr">
        <x:is>
          <x:t xml:space="preserve">Women's</x:t>
        </x:is>
      </x:c>
      <x:c r="C31" t="inlineStr">
        <x:is>
          <x:t xml:space="preserve">S. Williams</x:t>
        </x:is>
      </x:c>
      <x:c r="D31" t="inlineStr">
        <x:is>
          <x:t xml:space="preserve">USA</x:t>
        </x:is>
      </x:c>
      <x:c r="E31" t="inlineStr">
        <x:is>
          <x:t xml:space="preserve">United States</x:t>
        </x:is>
      </x:c>
      <x:c r="F31" t="n">
        <x:v>6</x:v>
      </x:c>
      <x:c r="G31" t="n">
        <x:v>122</x:v>
      </x:c>
      <x:c r="H31" t="inlineStr">
        <x:is>
          <x:t xml:space="preserve">6-1, 5-7, 6-2</x:t>
        </x:is>
      </x:c>
      <x:c r="I31" t="n">
        <x:v>6</x:v>
      </x:c>
      <x:c r="J31" t="n">
        <x:v>1</x:v>
      </x:c>
      <x:c r="K31" t="n">
        <x:v>5</x:v>
      </x:c>
      <x:c r="L31" t="n">
        <x:v>7</x:v>
      </x:c>
      <x:c r="M31" t="n">
        <x:v>6</x:v>
      </x:c>
      <x:c r="N31" t="n">
        <x:v>2</x:v>
      </x:c>
      <x:c r="S31" t="inlineStr">
        <x:is>
          <x:t xml:space="preserve">A. Radwańska</x:t>
        </x:is>
      </x:c>
      <x:c r="T31" t="inlineStr">
        <x:is>
          <x:t xml:space="preserve">POL</x:t>
        </x:is>
      </x:c>
      <x:c r="U31" t="inlineStr">
        <x:is>
          <x:t xml:space="preserve">Poland</x:t>
        </x:is>
      </x:c>
      <x:c r="V31" t="n">
        <x:v>3</x:v>
      </x:c>
      <x:c r="W31" t="n">
        <x:v>3</x:v>
      </x:c>
      <x:c r="X31" t="n">
        <x:v>27</x:v>
      </x:c>
      <x:c r="Y31" t="inlineStr">
        <x:is>
          <x:t xml:space="preserve">Completed</x:t>
        </x:is>
      </x:c>
      <x:c r="Z31" t="inlineStr">
        <x:is>
          <x:t xml:space="preserve">Recorded</x:t>
        </x:is>
      </x:c>
      <x:c r="AA31" t="n">
        <x:v>7</x:v>
      </x:c>
      <x:c r="AB31" t="inlineStr">
        <x:is>
          <x:t xml:space="preserve">Yes</x:t>
        </x:is>
      </x:c>
      <x:c r="AC31" t="inlineStr">
        <x:is>
          <x:t xml:space="preserve">2010s</x:t>
        </x:is>
      </x:c>
      <x:c r="AD31" t="inlineStr">
        <x:is>
          <x:t xml:space="preserve">Seeded</x:t>
        </x:is>
      </x:c>
      <x:c r="AE31" t="inlineStr">
        <x:is>
          <x:t xml:space="preserve">Seeded</x:t>
        </x:is>
      </x:c>
    </x:row>
    <x:row r="32">
      <x:c r="A32" t="n">
        <x:v>2012</x:v>
      </x:c>
      <x:c r="B32" t="inlineStr">
        <x:is>
          <x:t xml:space="preserve">Men's</x:t>
        </x:is>
      </x:c>
      <x:c r="C32" t="inlineStr">
        <x:is>
          <x:t xml:space="preserve">R. Federer</x:t>
        </x:is>
      </x:c>
      <x:c r="D32" t="inlineStr">
        <x:is>
          <x:t xml:space="preserve">SUI</x:t>
        </x:is>
      </x:c>
      <x:c r="E32" t="inlineStr">
        <x:is>
          <x:t xml:space="preserve">Switzerland</x:t>
        </x:is>
      </x:c>
      <x:c r="F32" t="n">
        <x:v>3</x:v>
      </x:c>
      <x:c r="G32" t="n">
        <x:v>204</x:v>
      </x:c>
      <x:c r="H32" t="inlineStr">
        <x:is>
          <x:t xml:space="preserve">4-6, 7-5, 6-3, 6-4</x:t>
        </x:is>
      </x:c>
      <x:c r="I32" t="n">
        <x:v>4</x:v>
      </x:c>
      <x:c r="J32" t="n">
        <x:v>6</x:v>
      </x:c>
      <x:c r="K32" t="n">
        <x:v>7</x:v>
      </x:c>
      <x:c r="L32" t="n">
        <x:v>5</x:v>
      </x:c>
      <x:c r="M32" t="n">
        <x:v>6</x:v>
      </x:c>
      <x:c r="N32" t="n">
        <x:v>3</x:v>
      </x:c>
      <x:c r="O32" t="n">
        <x:v>6</x:v>
      </x:c>
      <x:c r="P32" t="n">
        <x:v>4</x:v>
      </x:c>
      <x:c r="S32" t="inlineStr">
        <x:is>
          <x:t xml:space="preserve">A. Murray</x:t>
        </x:is>
      </x:c>
      <x:c r="T32" t="inlineStr">
        <x:is>
          <x:t xml:space="preserve">GBR</x:t>
        </x:is>
      </x:c>
      <x:c r="U32" t="inlineStr">
        <x:is>
          <x:t xml:space="preserve">United Kingdom</x:t>
        </x:is>
      </x:c>
      <x:c r="V32" t="n">
        <x:v>4</x:v>
      </x:c>
      <x:c r="W32" t="n">
        <x:v>4</x:v>
      </x:c>
      <x:c r="X32" t="n">
        <x:v>41</x:v>
      </x:c>
      <x:c r="Y32" t="inlineStr">
        <x:is>
          <x:t xml:space="preserve">Completed</x:t>
        </x:is>
      </x:c>
      <x:c r="Z32" t="inlineStr">
        <x:is>
          <x:t xml:space="preserve">Recorded</x:t>
        </x:is>
      </x:c>
      <x:c r="AA32" t="n">
        <x:v>8</x:v>
      </x:c>
      <x:c r="AB32" t="inlineStr">
        <x:is>
          <x:t xml:space="preserve">Yes</x:t>
        </x:is>
      </x:c>
      <x:c r="AC32" t="inlineStr">
        <x:is>
          <x:t xml:space="preserve">2010s</x:t>
        </x:is>
      </x:c>
      <x:c r="AD32" t="inlineStr">
        <x:is>
          <x:t xml:space="preserve">Seeded</x:t>
        </x:is>
      </x:c>
      <x:c r="AE32" t="inlineStr">
        <x:is>
          <x:t xml:space="preserve">Seeded</x:t>
        </x:is>
      </x:c>
    </x:row>
    <x:row r="33">
      <x:c r="A33" t="n">
        <x:v>2011</x:v>
      </x:c>
      <x:c r="B33" t="inlineStr">
        <x:is>
          <x:t xml:space="preserve">Women's</x:t>
        </x:is>
      </x:c>
      <x:c r="C33" t="inlineStr">
        <x:is>
          <x:t xml:space="preserve">P. Kvitova</x:t>
        </x:is>
      </x:c>
      <x:c r="D33" t="inlineStr">
        <x:is>
          <x:t xml:space="preserve">CZE</x:t>
        </x:is>
      </x:c>
      <x:c r="E33" t="inlineStr">
        <x:is>
          <x:t xml:space="preserve">Czechia</x:t>
        </x:is>
      </x:c>
      <x:c r="F33" t="n">
        <x:v>8</x:v>
      </x:c>
      <x:c r="G33" t="n">
        <x:v>85</x:v>
      </x:c>
      <x:c r="H33" t="inlineStr">
        <x:is>
          <x:t xml:space="preserve">6-3, 6-4</x:t>
        </x:is>
      </x:c>
      <x:c r="I33" t="n">
        <x:v>6</x:v>
      </x:c>
      <x:c r="J33" t="n">
        <x:v>3</x:v>
      </x:c>
      <x:c r="K33" t="n">
        <x:v>6</x:v>
      </x:c>
      <x:c r="L33" t="n">
        <x:v>4</x:v>
      </x:c>
      <x:c r="S33" t="inlineStr">
        <x:is>
          <x:t xml:space="preserve">M. Sharapova</x:t>
        </x:is>
      </x:c>
      <x:c r="T33" t="inlineStr">
        <x:is>
          <x:t xml:space="preserve">RUS</x:t>
        </x:is>
      </x:c>
      <x:c r="U33" t="inlineStr">
        <x:is>
          <x:t xml:space="preserve">Russia</x:t>
        </x:is>
      </x:c>
      <x:c r="V33" t="n">
        <x:v>5</x:v>
      </x:c>
      <x:c r="W33" t="n">
        <x:v>2</x:v>
      </x:c>
      <x:c r="X33" t="n">
        <x:v>19</x:v>
      </x:c>
      <x:c r="Y33" t="inlineStr">
        <x:is>
          <x:t xml:space="preserve">Completed</x:t>
        </x:is>
      </x:c>
      <x:c r="Z33" t="inlineStr">
        <x:is>
          <x:t xml:space="preserve">Recorded</x:t>
        </x:is>
      </x:c>
      <x:c r="AA33" t="n">
        <x:v>1</x:v>
      </x:c>
      <x:c r="AB33" t="inlineStr">
        <x:is>
          <x:t xml:space="preserve">No</x:t>
        </x:is>
      </x:c>
      <x:c r="AC33" t="inlineStr">
        <x:is>
          <x:t xml:space="preserve">2010s</x:t>
        </x:is>
      </x:c>
      <x:c r="AD33" t="inlineStr">
        <x:is>
          <x:t xml:space="preserve">Seeded</x:t>
        </x:is>
      </x:c>
      <x:c r="AE33" t="inlineStr">
        <x:is>
          <x:t xml:space="preserve">Seeded</x:t>
        </x:is>
      </x:c>
    </x:row>
    <x:row r="34">
      <x:c r="A34" t="n">
        <x:v>2011</x:v>
      </x:c>
      <x:c r="B34" t="inlineStr">
        <x:is>
          <x:t xml:space="preserve">Men's</x:t>
        </x:is>
      </x:c>
      <x:c r="C34" t="inlineStr">
        <x:is>
          <x:t xml:space="preserve">N. Djokovic</x:t>
        </x:is>
      </x:c>
      <x:c r="D34" t="inlineStr">
        <x:is>
          <x:t xml:space="preserve">SRB</x:t>
        </x:is>
      </x:c>
      <x:c r="E34" t="inlineStr">
        <x:is>
          <x:t xml:space="preserve">Serbia</x:t>
        </x:is>
      </x:c>
      <x:c r="F34" t="n">
        <x:v>2</x:v>
      </x:c>
      <x:c r="G34" t="n">
        <x:v>148</x:v>
      </x:c>
      <x:c r="H34" t="inlineStr">
        <x:is>
          <x:t xml:space="preserve">6-4 6-1 1-6 6-3</x:t>
        </x:is>
      </x:c>
      <x:c r="I34" t="n">
        <x:v>6</x:v>
      </x:c>
      <x:c r="J34" t="n">
        <x:v>4</x:v>
      </x:c>
      <x:c r="K34" t="n">
        <x:v>6</x:v>
      </x:c>
      <x:c r="L34" t="n">
        <x:v>1</x:v>
      </x:c>
      <x:c r="M34" t="n">
        <x:v>1</x:v>
      </x:c>
      <x:c r="N34" t="n">
        <x:v>6</x:v>
      </x:c>
      <x:c r="O34" t="n">
        <x:v>6</x:v>
      </x:c>
      <x:c r="P34" t="n">
        <x:v>3</x:v>
      </x:c>
      <x:c r="S34" t="inlineStr">
        <x:is>
          <x:t xml:space="preserve">R. Nadal</x:t>
        </x:is>
      </x:c>
      <x:c r="T34" t="inlineStr">
        <x:is>
          <x:t xml:space="preserve">ESP</x:t>
        </x:is>
      </x:c>
      <x:c r="U34" t="inlineStr">
        <x:is>
          <x:t xml:space="preserve">Spain</x:t>
        </x:is>
      </x:c>
      <x:c r="V34" t="n">
        <x:v>1</x:v>
      </x:c>
      <x:c r="W34" t="n">
        <x:v>4</x:v>
      </x:c>
      <x:c r="X34" t="n">
        <x:v>33</x:v>
      </x:c>
      <x:c r="Y34" t="inlineStr">
        <x:is>
          <x:t xml:space="preserve">Completed</x:t>
        </x:is>
      </x:c>
      <x:c r="Z34" t="inlineStr">
        <x:is>
          <x:t xml:space="preserve">Recorded</x:t>
        </x:is>
      </x:c>
      <x:c r="AA34" t="n">
        <x:v>7</x:v>
      </x:c>
      <x:c r="AB34" t="inlineStr">
        <x:is>
          <x:t xml:space="preserve">Yes</x:t>
        </x:is>
      </x:c>
      <x:c r="AC34" t="inlineStr">
        <x:is>
          <x:t xml:space="preserve">2010s</x:t>
        </x:is>
      </x:c>
      <x:c r="AD34" t="inlineStr">
        <x:is>
          <x:t xml:space="preserve">Seeded</x:t>
        </x:is>
      </x:c>
      <x:c r="AE34" t="inlineStr">
        <x:is>
          <x:t xml:space="preserve">Seeded</x:t>
        </x:is>
      </x:c>
    </x:row>
    <x:row r="35">
      <x:c r="A35" t="n">
        <x:v>2010</x:v>
      </x:c>
      <x:c r="B35" t="inlineStr">
        <x:is>
          <x:t xml:space="preserve">Women's</x:t>
        </x:is>
      </x:c>
      <x:c r="C35" t="inlineStr">
        <x:is>
          <x:t xml:space="preserve">S. Williams</x:t>
        </x:is>
      </x:c>
      <x:c r="D35" t="inlineStr">
        <x:is>
          <x:t xml:space="preserve">USA</x:t>
        </x:is>
      </x:c>
      <x:c r="E35" t="inlineStr">
        <x:is>
          <x:t xml:space="preserve">United States</x:t>
        </x:is>
      </x:c>
      <x:c r="F35" t="n">
        <x:v>1</x:v>
      </x:c>
      <x:c r="G35" t="n">
        <x:v>66</x:v>
      </x:c>
      <x:c r="H35" t="inlineStr">
        <x:is>
          <x:t xml:space="preserve">6-3, 6-2</x:t>
        </x:is>
      </x:c>
      <x:c r="I35" t="n">
        <x:v>6</x:v>
      </x:c>
      <x:c r="J35" t="n">
        <x:v>3</x:v>
      </x:c>
      <x:c r="K35" t="n">
        <x:v>6</x:v>
      </x:c>
      <x:c r="L35" t="n">
        <x:v>2</x:v>
      </x:c>
      <x:c r="S35" t="inlineStr">
        <x:is>
          <x:t xml:space="preserve">V. Zvonareva</x:t>
        </x:is>
      </x:c>
      <x:c r="T35" t="inlineStr">
        <x:is>
          <x:t xml:space="preserve">RUS</x:t>
        </x:is>
      </x:c>
      <x:c r="U35" t="inlineStr">
        <x:is>
          <x:t xml:space="preserve">Russia</x:t>
        </x:is>
      </x:c>
      <x:c r="V35" t="n">
        <x:v>21</x:v>
      </x:c>
      <x:c r="W35" t="n">
        <x:v>2</x:v>
      </x:c>
      <x:c r="X35" t="n">
        <x:v>17</x:v>
      </x:c>
      <x:c r="Y35" t="inlineStr">
        <x:is>
          <x:t xml:space="preserve">Completed</x:t>
        </x:is>
      </x:c>
      <x:c r="Z35" t="inlineStr">
        <x:is>
          <x:t xml:space="preserve">Recorded</x:t>
        </x:is>
      </x:c>
      <x:c r="AA35" t="n">
        <x:v>7</x:v>
      </x:c>
      <x:c r="AB35" t="inlineStr">
        <x:is>
          <x:t xml:space="preserve">Yes</x:t>
        </x:is>
      </x:c>
      <x:c r="AC35" t="inlineStr">
        <x:is>
          <x:t xml:space="preserve">2010s</x:t>
        </x:is>
      </x:c>
      <x:c r="AD35" t="inlineStr">
        <x:is>
          <x:t xml:space="preserve">Seeded</x:t>
        </x:is>
      </x:c>
      <x:c r="AE35" t="inlineStr">
        <x:is>
          <x:t xml:space="preserve">Seeded</x:t>
        </x:is>
      </x:c>
    </x:row>
    <x:row r="36">
      <x:c r="A36" t="n">
        <x:v>2010</x:v>
      </x:c>
      <x:c r="B36" t="inlineStr">
        <x:is>
          <x:t xml:space="preserve">Men's</x:t>
        </x:is>
      </x:c>
      <x:c r="C36" t="inlineStr">
        <x:is>
          <x:t xml:space="preserve">R. Nadal</x:t>
        </x:is>
      </x:c>
      <x:c r="D36" t="inlineStr">
        <x:is>
          <x:t xml:space="preserve">ESP</x:t>
        </x:is>
      </x:c>
      <x:c r="E36" t="inlineStr">
        <x:is>
          <x:t xml:space="preserve">Spain</x:t>
        </x:is>
      </x:c>
      <x:c r="F36" t="n">
        <x:v>2</x:v>
      </x:c>
      <x:c r="G36" t="n">
        <x:v>133</x:v>
      </x:c>
      <x:c r="H36" t="inlineStr">
        <x:is>
          <x:t xml:space="preserve">6-3, 7-5, 6-4</x:t>
        </x:is>
      </x:c>
      <x:c r="I36" t="n">
        <x:v>6</x:v>
      </x:c>
      <x:c r="J36" t="n">
        <x:v>3</x:v>
      </x:c>
      <x:c r="K36" t="n">
        <x:v>7</x:v>
      </x:c>
      <x:c r="L36" t="n">
        <x:v>5</x:v>
      </x:c>
      <x:c r="M36" t="n">
        <x:v>6</x:v>
      </x:c>
      <x:c r="N36" t="n">
        <x:v>4</x:v>
      </x:c>
      <x:c r="S36" t="inlineStr">
        <x:is>
          <x:t xml:space="preserve">T. Berdych</x:t>
        </x:is>
      </x:c>
      <x:c r="T36" t="inlineStr">
        <x:is>
          <x:t xml:space="preserve">CZE</x:t>
        </x:is>
      </x:c>
      <x:c r="U36" t="inlineStr">
        <x:is>
          <x:t xml:space="preserve">Czechia</x:t>
        </x:is>
      </x:c>
      <x:c r="V36" t="n">
        <x:v>12</x:v>
      </x:c>
      <x:c r="W36" t="n">
        <x:v>3</x:v>
      </x:c>
      <x:c r="X36" t="n">
        <x:v>31</x:v>
      </x:c>
      <x:c r="Y36" t="inlineStr">
        <x:is>
          <x:t xml:space="preserve">Completed</x:t>
        </x:is>
      </x:c>
      <x:c r="Z36" t="inlineStr">
        <x:is>
          <x:t xml:space="preserve">Recorded</x:t>
        </x:is>
      </x:c>
      <x:c r="AA36" t="n">
        <x:v>2</x:v>
      </x:c>
      <x:c r="AB36" t="inlineStr">
        <x:is>
          <x:t xml:space="preserve">No</x:t>
        </x:is>
      </x:c>
      <x:c r="AC36" t="inlineStr">
        <x:is>
          <x:t xml:space="preserve">2010s</x:t>
        </x:is>
      </x:c>
      <x:c r="AD36" t="inlineStr">
        <x:is>
          <x:t xml:space="preserve">Seeded</x:t>
        </x:is>
      </x:c>
      <x:c r="AE36" t="inlineStr">
        <x:is>
          <x:t xml:space="preserve">Seeded</x:t>
        </x:is>
      </x:c>
    </x:row>
    <x:row r="37">
      <x:c r="A37" t="n">
        <x:v>2009</x:v>
      </x:c>
      <x:c r="B37" t="inlineStr">
        <x:is>
          <x:t xml:space="preserve">Women's</x:t>
        </x:is>
      </x:c>
      <x:c r="C37" t="inlineStr">
        <x:is>
          <x:t xml:space="preserve">S. Williams</x:t>
        </x:is>
      </x:c>
      <x:c r="D37" t="inlineStr">
        <x:is>
          <x:t xml:space="preserve">USA</x:t>
        </x:is>
      </x:c>
      <x:c r="E37" t="inlineStr">
        <x:is>
          <x:t xml:space="preserve">United States</x:t>
        </x:is>
      </x:c>
      <x:c r="F37" t="n">
        <x:v>2</x:v>
      </x:c>
      <x:c r="G37" t="n">
        <x:v>87</x:v>
      </x:c>
      <x:c r="H37" t="inlineStr">
        <x:is>
          <x:t xml:space="preserve">7-6 (7-3), 6-2</x:t>
        </x:is>
      </x:c>
      <x:c r="I37" t="n">
        <x:v>7</x:v>
      </x:c>
      <x:c r="J37" t="n">
        <x:v>6</x:v>
      </x:c>
      <x:c r="K37" t="n">
        <x:v>6</x:v>
      </x:c>
      <x:c r="L37" t="n">
        <x:v>2</x:v>
      </x:c>
      <x:c r="S37" t="inlineStr">
        <x:is>
          <x:t xml:space="preserve">V.E.S. Williams</x:t>
        </x:is>
      </x:c>
      <x:c r="T37" t="inlineStr">
        <x:is>
          <x:t xml:space="preserve">USA</x:t>
        </x:is>
      </x:c>
      <x:c r="U37" t="inlineStr">
        <x:is>
          <x:t xml:space="preserve">United States</x:t>
        </x:is>
      </x:c>
      <x:c r="V37" t="n">
        <x:v>3</x:v>
      </x:c>
      <x:c r="W37" t="n">
        <x:v>2</x:v>
      </x:c>
      <x:c r="X37" t="n">
        <x:v>21</x:v>
      </x:c>
      <x:c r="Y37" t="inlineStr">
        <x:is>
          <x:t xml:space="preserve">Completed</x:t>
        </x:is>
      </x:c>
      <x:c r="Z37" t="inlineStr">
        <x:is>
          <x:t xml:space="preserve">Recorded</x:t>
        </x:is>
      </x:c>
      <x:c r="AA37" t="n">
        <x:v>7</x:v>
      </x:c>
      <x:c r="AB37" t="inlineStr">
        <x:is>
          <x:t xml:space="preserve">Yes</x:t>
        </x:is>
      </x:c>
      <x:c r="AC37" t="inlineStr">
        <x:is>
          <x:t xml:space="preserve">2000s</x:t>
        </x:is>
      </x:c>
      <x:c r="AD37" t="inlineStr">
        <x:is>
          <x:t xml:space="preserve">Seeded</x:t>
        </x:is>
      </x:c>
      <x:c r="AE37" t="inlineStr">
        <x:is>
          <x:t xml:space="preserve">Seeded</x:t>
        </x:is>
      </x:c>
    </x:row>
    <x:row r="38">
      <x:c r="A38" t="n">
        <x:v>2009</x:v>
      </x:c>
      <x:c r="B38" t="inlineStr">
        <x:is>
          <x:t xml:space="preserve">Men's</x:t>
        </x:is>
      </x:c>
      <x:c r="C38" t="inlineStr">
        <x:is>
          <x:t xml:space="preserve">R. Federer</x:t>
        </x:is>
      </x:c>
      <x:c r="D38" t="inlineStr">
        <x:is>
          <x:t xml:space="preserve">SUI</x:t>
        </x:is>
      </x:c>
      <x:c r="E38" t="inlineStr">
        <x:is>
          <x:t xml:space="preserve">Switzerland</x:t>
        </x:is>
      </x:c>
      <x:c r="F38" t="n">
        <x:v>2</x:v>
      </x:c>
      <x:c r="G38" t="n">
        <x:v>256</x:v>
      </x:c>
      <x:c r="H38" t="inlineStr">
        <x:is>
          <x:t xml:space="preserve">5-7, 7-6 (8-6), 7-6 (7-5), 3-6, 16-14</x:t>
        </x:is>
      </x:c>
      <x:c r="I38" t="n">
        <x:v>5</x:v>
      </x:c>
      <x:c r="J38" t="n">
        <x:v>7</x:v>
      </x:c>
      <x:c r="K38" t="n">
        <x:v>7</x:v>
      </x:c>
      <x:c r="L38" t="n">
        <x:v>6</x:v>
      </x:c>
      <x:c r="M38" t="n">
        <x:v>7</x:v>
      </x:c>
      <x:c r="N38" t="n">
        <x:v>6</x:v>
      </x:c>
      <x:c r="O38" t="n">
        <x:v>3</x:v>
      </x:c>
      <x:c r="P38" t="n">
        <x:v>6</x:v>
      </x:c>
      <x:c r="Q38" t="n">
        <x:v>16</x:v>
      </x:c>
      <x:c r="R38" t="n">
        <x:v>14</x:v>
      </x:c>
      <x:c r="S38" t="inlineStr">
        <x:is>
          <x:t xml:space="preserve">A. Roddick</x:t>
        </x:is>
      </x:c>
      <x:c r="T38" t="inlineStr">
        <x:is>
          <x:t xml:space="preserve">USA</x:t>
        </x:is>
      </x:c>
      <x:c r="U38" t="inlineStr">
        <x:is>
          <x:t xml:space="preserve">United States</x:t>
        </x:is>
      </x:c>
      <x:c r="V38" t="n">
        <x:v>6</x:v>
      </x:c>
      <x:c r="W38" t="n">
        <x:v>5</x:v>
      </x:c>
      <x:c r="X38" t="n">
        <x:v>77</x:v>
      </x:c>
      <x:c r="Y38" t="inlineStr">
        <x:is>
          <x:t xml:space="preserve">Completed</x:t>
        </x:is>
      </x:c>
      <x:c r="Z38" t="inlineStr">
        <x:is>
          <x:t xml:space="preserve">Recorded</x:t>
        </x:is>
      </x:c>
      <x:c r="AA38" t="n">
        <x:v>8</x:v>
      </x:c>
      <x:c r="AB38" t="inlineStr">
        <x:is>
          <x:t xml:space="preserve">Yes</x:t>
        </x:is>
      </x:c>
      <x:c r="AC38" t="inlineStr">
        <x:is>
          <x:t xml:space="preserve">2000s</x:t>
        </x:is>
      </x:c>
      <x:c r="AD38" t="inlineStr">
        <x:is>
          <x:t xml:space="preserve">Seeded</x:t>
        </x:is>
      </x:c>
      <x:c r="AE38" t="inlineStr">
        <x:is>
          <x:t xml:space="preserve">Seeded</x:t>
        </x:is>
      </x:c>
    </x:row>
    <x:row r="39">
      <x:c r="A39" t="n">
        <x:v>2008</x:v>
      </x:c>
      <x:c r="B39" t="inlineStr">
        <x:is>
          <x:t xml:space="preserve">Women's</x:t>
        </x:is>
      </x:c>
      <x:c r="C39" t="inlineStr">
        <x:is>
          <x:t xml:space="preserve">V.E.S. Williams</x:t>
        </x:is>
      </x:c>
      <x:c r="D39" t="inlineStr">
        <x:is>
          <x:t xml:space="preserve">USA</x:t>
        </x:is>
      </x:c>
      <x:c r="E39" t="inlineStr">
        <x:is>
          <x:t xml:space="preserve">United States</x:t>
        </x:is>
      </x:c>
      <x:c r="F39" t="n">
        <x:v>7</x:v>
      </x:c>
      <x:c r="G39" t="n">
        <x:v>111</x:v>
      </x:c>
      <x:c r="H39" t="inlineStr">
        <x:is>
          <x:t xml:space="preserve">7-5, 6-4</x:t>
        </x:is>
      </x:c>
      <x:c r="I39" t="n">
        <x:v>7</x:v>
      </x:c>
      <x:c r="J39" t="n">
        <x:v>5</x:v>
      </x:c>
      <x:c r="K39" t="n">
        <x:v>6</x:v>
      </x:c>
      <x:c r="L39" t="n">
        <x:v>4</x:v>
      </x:c>
      <x:c r="S39" t="inlineStr">
        <x:is>
          <x:t xml:space="preserve">S. Williams</x:t>
        </x:is>
      </x:c>
      <x:c r="T39" t="inlineStr">
        <x:is>
          <x:t xml:space="preserve">USA</x:t>
        </x:is>
      </x:c>
      <x:c r="U39" t="inlineStr">
        <x:is>
          <x:t xml:space="preserve">United States</x:t>
        </x:is>
      </x:c>
      <x:c r="V39" t="n">
        <x:v>6</x:v>
      </x:c>
      <x:c r="W39" t="n">
        <x:v>2</x:v>
      </x:c>
      <x:c r="X39" t="n">
        <x:v>22</x:v>
      </x:c>
      <x:c r="Y39" t="inlineStr">
        <x:is>
          <x:t xml:space="preserve">Completed</x:t>
        </x:is>
      </x:c>
      <x:c r="Z39" t="inlineStr">
        <x:is>
          <x:t xml:space="preserve">Recorded</x:t>
        </x:is>
      </x:c>
      <x:c r="AA39" t="n">
        <x:v>5</x:v>
      </x:c>
      <x:c r="AB39" t="inlineStr">
        <x:is>
          <x:t xml:space="preserve">Yes</x:t>
        </x:is>
      </x:c>
      <x:c r="AC39" t="inlineStr">
        <x:is>
          <x:t xml:space="preserve">2000s</x:t>
        </x:is>
      </x:c>
      <x:c r="AD39" t="inlineStr">
        <x:is>
          <x:t xml:space="preserve">Seeded</x:t>
        </x:is>
      </x:c>
      <x:c r="AE39" t="inlineStr">
        <x:is>
          <x:t xml:space="preserve">Seeded</x:t>
        </x:is>
      </x:c>
    </x:row>
    <x:row r="40">
      <x:c r="A40" t="n">
        <x:v>2008</x:v>
      </x:c>
      <x:c r="B40" t="inlineStr">
        <x:is>
          <x:t xml:space="preserve">Men's</x:t>
        </x:is>
      </x:c>
      <x:c r="C40" t="inlineStr">
        <x:is>
          <x:t xml:space="preserve">R. Nadal</x:t>
        </x:is>
      </x:c>
      <x:c r="D40" t="inlineStr">
        <x:is>
          <x:t xml:space="preserve">ESP</x:t>
        </x:is>
      </x:c>
      <x:c r="E40" t="inlineStr">
        <x:is>
          <x:t xml:space="preserve">Spain</x:t>
        </x:is>
      </x:c>
      <x:c r="F40" t="n">
        <x:v>2</x:v>
      </x:c>
      <x:c r="G40" t="n">
        <x:v>288</x:v>
      </x:c>
      <x:c r="H40" t="inlineStr">
        <x:is>
          <x:t xml:space="preserve">6-4, 6-4, 6-7 (5-7), 6-7 (8-10), 9-7</x:t>
        </x:is>
      </x:c>
      <x:c r="I40" t="n">
        <x:v>6</x:v>
      </x:c>
      <x:c r="J40" t="n">
        <x:v>4</x:v>
      </x:c>
      <x:c r="K40" t="n">
        <x:v>6</x:v>
      </x:c>
      <x:c r="L40" t="n">
        <x:v>4</x:v>
      </x:c>
      <x:c r="M40" t="n">
        <x:v>6</x:v>
      </x:c>
      <x:c r="N40" t="n">
        <x:v>7</x:v>
      </x:c>
      <x:c r="O40" t="n">
        <x:v>6</x:v>
      </x:c>
      <x:c r="P40" t="n">
        <x:v>7</x:v>
      </x:c>
      <x:c r="Q40" t="n">
        <x:v>9</x:v>
      </x:c>
      <x:c r="R40" t="n">
        <x:v>7</x:v>
      </x:c>
      <x:c r="S40" t="inlineStr">
        <x:is>
          <x:t xml:space="preserve">R. Federer</x:t>
        </x:is>
      </x:c>
      <x:c r="T40" t="inlineStr">
        <x:is>
          <x:t xml:space="preserve">SUI</x:t>
        </x:is>
      </x:c>
      <x:c r="U40" t="inlineStr">
        <x:is>
          <x:t xml:space="preserve">Switzerland</x:t>
        </x:is>
      </x:c>
      <x:c r="V40" t="n">
        <x:v>1</x:v>
      </x:c>
      <x:c r="W40" t="n">
        <x:v>5</x:v>
      </x:c>
      <x:c r="X40" t="n">
        <x:v>62</x:v>
      </x:c>
      <x:c r="Y40" t="inlineStr">
        <x:is>
          <x:t xml:space="preserve">Completed</x:t>
        </x:is>
      </x:c>
      <x:c r="Z40" t="inlineStr">
        <x:is>
          <x:t xml:space="preserve">Recorded</x:t>
        </x:is>
      </x:c>
      <x:c r="AA40" t="n">
        <x:v>2</x:v>
      </x:c>
      <x:c r="AB40" t="inlineStr">
        <x:is>
          <x:t xml:space="preserve">No</x:t>
        </x:is>
      </x:c>
      <x:c r="AC40" t="inlineStr">
        <x:is>
          <x:t xml:space="preserve">2000s</x:t>
        </x:is>
      </x:c>
      <x:c r="AD40" t="inlineStr">
        <x:is>
          <x:t xml:space="preserve">Seeded</x:t>
        </x:is>
      </x:c>
      <x:c r="AE40" t="inlineStr">
        <x:is>
          <x:t xml:space="preserve">Seeded</x:t>
        </x:is>
      </x:c>
    </x:row>
    <x:row r="41">
      <x:c r="A41" t="n">
        <x:v>2007</x:v>
      </x:c>
      <x:c r="B41" t="inlineStr">
        <x:is>
          <x:t xml:space="preserve">Women's</x:t>
        </x:is>
      </x:c>
      <x:c r="C41" t="inlineStr">
        <x:is>
          <x:t xml:space="preserve">V.E.S. Williams</x:t>
        </x:is>
      </x:c>
      <x:c r="D41" t="inlineStr">
        <x:is>
          <x:t xml:space="preserve">USA</x:t>
        </x:is>
      </x:c>
      <x:c r="E41" t="inlineStr">
        <x:is>
          <x:t xml:space="preserve">United States</x:t>
        </x:is>
      </x:c>
      <x:c r="F41" t="n">
        <x:v>23</x:v>
      </x:c>
      <x:c r="G41" t="n">
        <x:v>90</x:v>
      </x:c>
      <x:c r="H41" t="inlineStr">
        <x:is>
          <x:t xml:space="preserve">6-4, 6-1</x:t>
        </x:is>
      </x:c>
      <x:c r="I41" t="n">
        <x:v>6</x:v>
      </x:c>
      <x:c r="J41" t="n">
        <x:v>4</x:v>
      </x:c>
      <x:c r="K41" t="n">
        <x:v>6</x:v>
      </x:c>
      <x:c r="L41" t="n">
        <x:v>1</x:v>
      </x:c>
      <x:c r="S41" t="inlineStr">
        <x:is>
          <x:t xml:space="preserve">M. Bartoli</x:t>
        </x:is>
      </x:c>
      <x:c r="T41" t="inlineStr">
        <x:is>
          <x:t xml:space="preserve">FRA</x:t>
        </x:is>
      </x:c>
      <x:c r="U41" t="inlineStr">
        <x:is>
          <x:t xml:space="preserve">France</x:t>
        </x:is>
      </x:c>
      <x:c r="V41" t="n">
        <x:v>18</x:v>
      </x:c>
      <x:c r="W41" t="n">
        <x:v>2</x:v>
      </x:c>
      <x:c r="X41" t="n">
        <x:v>17</x:v>
      </x:c>
      <x:c r="Y41" t="inlineStr">
        <x:is>
          <x:t xml:space="preserve">Completed</x:t>
        </x:is>
      </x:c>
      <x:c r="Z41" t="inlineStr">
        <x:is>
          <x:t xml:space="preserve">Recorded</x:t>
        </x:is>
      </x:c>
      <x:c r="AA41" t="n">
        <x:v>5</x:v>
      </x:c>
      <x:c r="AB41" t="inlineStr">
        <x:is>
          <x:t xml:space="preserve">Yes</x:t>
        </x:is>
      </x:c>
      <x:c r="AC41" t="inlineStr">
        <x:is>
          <x:t xml:space="preserve">2000s</x:t>
        </x:is>
      </x:c>
      <x:c r="AD41" t="inlineStr">
        <x:is>
          <x:t xml:space="preserve">Seeded</x:t>
        </x:is>
      </x:c>
      <x:c r="AE41" t="inlineStr">
        <x:is>
          <x:t xml:space="preserve">Seeded</x:t>
        </x:is>
      </x:c>
    </x:row>
    <x:row r="42">
      <x:c r="A42" t="n">
        <x:v>2007</x:v>
      </x:c>
      <x:c r="B42" t="inlineStr">
        <x:is>
          <x:t xml:space="preserve">Men's</x:t>
        </x:is>
      </x:c>
      <x:c r="C42" t="inlineStr">
        <x:is>
          <x:t xml:space="preserve">R. Federer</x:t>
        </x:is>
      </x:c>
      <x:c r="D42" t="inlineStr">
        <x:is>
          <x:t xml:space="preserve">SUI</x:t>
        </x:is>
      </x:c>
      <x:c r="E42" t="inlineStr">
        <x:is>
          <x:t xml:space="preserve">Switzerland</x:t>
        </x:is>
      </x:c>
      <x:c r="F42" t="n">
        <x:v>1</x:v>
      </x:c>
      <x:c r="G42" t="n">
        <x:v>225</x:v>
      </x:c>
      <x:c r="H42" t="inlineStr">
        <x:is>
          <x:t xml:space="preserve">7-6 (9-7), 4-6, 7-6 (7-3), 2-6, 6-2</x:t>
        </x:is>
      </x:c>
      <x:c r="I42" t="n">
        <x:v>7</x:v>
      </x:c>
      <x:c r="J42" t="n">
        <x:v>6</x:v>
      </x:c>
      <x:c r="K42" t="n">
        <x:v>4</x:v>
      </x:c>
      <x:c r="L42" t="n">
        <x:v>6</x:v>
      </x:c>
      <x:c r="M42" t="n">
        <x:v>7</x:v>
      </x:c>
      <x:c r="N42" t="n">
        <x:v>6</x:v>
      </x:c>
      <x:c r="O42" t="n">
        <x:v>2</x:v>
      </x:c>
      <x:c r="P42" t="n">
        <x:v>6</x:v>
      </x:c>
      <x:c r="Q42" t="n">
        <x:v>6</x:v>
      </x:c>
      <x:c r="R42" t="n">
        <x:v>2</x:v>
      </x:c>
      <x:c r="S42" t="inlineStr">
        <x:is>
          <x:t xml:space="preserve">R. Nadal</x:t>
        </x:is>
      </x:c>
      <x:c r="T42" t="inlineStr">
        <x:is>
          <x:t xml:space="preserve">ESP</x:t>
        </x:is>
      </x:c>
      <x:c r="U42" t="inlineStr">
        <x:is>
          <x:t xml:space="preserve">Spain</x:t>
        </x:is>
      </x:c>
      <x:c r="V42" t="n">
        <x:v>2</x:v>
      </x:c>
      <x:c r="W42" t="n">
        <x:v>5</x:v>
      </x:c>
      <x:c r="X42" t="n">
        <x:v>52</x:v>
      </x:c>
      <x:c r="Y42" t="inlineStr">
        <x:is>
          <x:t xml:space="preserve">Completed</x:t>
        </x:is>
      </x:c>
      <x:c r="Z42" t="inlineStr">
        <x:is>
          <x:t xml:space="preserve">Recorded</x:t>
        </x:is>
      </x:c>
      <x:c r="AA42" t="n">
        <x:v>8</x:v>
      </x:c>
      <x:c r="AB42" t="inlineStr">
        <x:is>
          <x:t xml:space="preserve">Yes</x:t>
        </x:is>
      </x:c>
      <x:c r="AC42" t="inlineStr">
        <x:is>
          <x:t xml:space="preserve">2000s</x:t>
        </x:is>
      </x:c>
      <x:c r="AD42" t="inlineStr">
        <x:is>
          <x:t xml:space="preserve">Seeded</x:t>
        </x:is>
      </x:c>
      <x:c r="AE42" t="inlineStr">
        <x:is>
          <x:t xml:space="preserve">Seeded</x:t>
        </x:is>
      </x:c>
    </x:row>
    <x:row r="43">
      <x:c r="A43" t="n">
        <x:v>2006</x:v>
      </x:c>
      <x:c r="B43" t="inlineStr">
        <x:is>
          <x:t xml:space="preserve">Women's</x:t>
        </x:is>
      </x:c>
      <x:c r="C43" t="inlineStr">
        <x:is>
          <x:t xml:space="preserve">A. Mauresmo</x:t>
        </x:is>
      </x:c>
      <x:c r="D43" t="inlineStr">
        <x:is>
          <x:t xml:space="preserve">FRA</x:t>
        </x:is>
      </x:c>
      <x:c r="E43" t="inlineStr">
        <x:is>
          <x:t xml:space="preserve">France</x:t>
        </x:is>
      </x:c>
      <x:c r="F43" t="n">
        <x:v>1</x:v>
      </x:c>
      <x:c r="G43" t="n">
        <x:v>122</x:v>
      </x:c>
      <x:c r="H43" t="inlineStr">
        <x:is>
          <x:t xml:space="preserve">2-6, 6-3, 6-4</x:t>
        </x:is>
      </x:c>
      <x:c r="I43" t="n">
        <x:v>2</x:v>
      </x:c>
      <x:c r="J43" t="n">
        <x:v>6</x:v>
      </x:c>
      <x:c r="K43" t="n">
        <x:v>6</x:v>
      </x:c>
      <x:c r="L43" t="n">
        <x:v>3</x:v>
      </x:c>
      <x:c r="M43" t="n">
        <x:v>6</x:v>
      </x:c>
      <x:c r="N43" t="n">
        <x:v>4</x:v>
      </x:c>
      <x:c r="S43" t="inlineStr">
        <x:is>
          <x:t xml:space="preserve">PY. Hardenne</x:t>
        </x:is>
      </x:c>
      <x:c r="T43" t="inlineStr">
        <x:is>
          <x:t xml:space="preserve">BEL</x:t>
        </x:is>
      </x:c>
      <x:c r="U43" t="inlineStr">
        <x:is>
          <x:t xml:space="preserve">Belgium</x:t>
        </x:is>
      </x:c>
      <x:c r="V43" t="n">
        <x:v>3</x:v>
      </x:c>
      <x:c r="W43" t="n">
        <x:v>3</x:v>
      </x:c>
      <x:c r="X43" t="n">
        <x:v>27</x:v>
      </x:c>
      <x:c r="Y43" t="inlineStr">
        <x:is>
          <x:t xml:space="preserve">Completed</x:t>
        </x:is>
      </x:c>
      <x:c r="Z43" t="inlineStr">
        <x:is>
          <x:t xml:space="preserve">Recorded</x:t>
        </x:is>
      </x:c>
      <x:c r="AA43" t="n">
        <x:v>1</x:v>
      </x:c>
      <x:c r="AB43" t="inlineStr">
        <x:is>
          <x:t xml:space="preserve">No</x:t>
        </x:is>
      </x:c>
      <x:c r="AC43" t="inlineStr">
        <x:is>
          <x:t xml:space="preserve">2000s</x:t>
        </x:is>
      </x:c>
      <x:c r="AD43" t="inlineStr">
        <x:is>
          <x:t xml:space="preserve">Seeded</x:t>
        </x:is>
      </x:c>
      <x:c r="AE43" t="inlineStr">
        <x:is>
          <x:t xml:space="preserve">Seeded</x:t>
        </x:is>
      </x:c>
    </x:row>
    <x:row r="44">
      <x:c r="A44" t="n">
        <x:v>2006</x:v>
      </x:c>
      <x:c r="B44" t="inlineStr">
        <x:is>
          <x:t xml:space="preserve">Men's</x:t>
        </x:is>
      </x:c>
      <x:c r="C44" t="inlineStr">
        <x:is>
          <x:t xml:space="preserve">R. Federer</x:t>
        </x:is>
      </x:c>
      <x:c r="D44" t="inlineStr">
        <x:is>
          <x:t xml:space="preserve">SUI</x:t>
        </x:is>
      </x:c>
      <x:c r="E44" t="inlineStr">
        <x:is>
          <x:t xml:space="preserve">Switzerland</x:t>
        </x:is>
      </x:c>
      <x:c r="F44" t="n">
        <x:v>1</x:v>
      </x:c>
      <x:c r="G44" t="n">
        <x:v>170</x:v>
      </x:c>
      <x:c r="H44" t="inlineStr">
        <x:is>
          <x:t xml:space="preserve">6-0, 7-6 (7-5), 6-7 (2-7), 6-3</x:t>
        </x:is>
      </x:c>
      <x:c r="I44" t="n">
        <x:v>6</x:v>
      </x:c>
      <x:c r="J44" t="n">
        <x:v>0</x:v>
      </x:c>
      <x:c r="K44" t="n">
        <x:v>7</x:v>
      </x:c>
      <x:c r="L44" t="n">
        <x:v>6</x:v>
      </x:c>
      <x:c r="M44" t="n">
        <x:v>6</x:v>
      </x:c>
      <x:c r="N44" t="n">
        <x:v>7</x:v>
      </x:c>
      <x:c r="O44" t="n">
        <x:v>6</x:v>
      </x:c>
      <x:c r="P44" t="n">
        <x:v>3</x:v>
      </x:c>
      <x:c r="S44" t="inlineStr">
        <x:is>
          <x:t xml:space="preserve">R. Nadal</x:t>
        </x:is>
      </x:c>
      <x:c r="T44" t="inlineStr">
        <x:is>
          <x:t xml:space="preserve">ESP</x:t>
        </x:is>
      </x:c>
      <x:c r="U44" t="inlineStr">
        <x:is>
          <x:t xml:space="preserve">Spain</x:t>
        </x:is>
      </x:c>
      <x:c r="V44" t="n">
        <x:v>2</x:v>
      </x:c>
      <x:c r="W44" t="n">
        <x:v>4</x:v>
      </x:c>
      <x:c r="X44" t="n">
        <x:v>41</x:v>
      </x:c>
      <x:c r="Y44" t="inlineStr">
        <x:is>
          <x:t xml:space="preserve">Completed</x:t>
        </x:is>
      </x:c>
      <x:c r="Z44" t="inlineStr">
        <x:is>
          <x:t xml:space="preserve">Recorded</x:t>
        </x:is>
      </x:c>
      <x:c r="AA44" t="n">
        <x:v>8</x:v>
      </x:c>
      <x:c r="AB44" t="inlineStr">
        <x:is>
          <x:t xml:space="preserve">Yes</x:t>
        </x:is>
      </x:c>
      <x:c r="AC44" t="inlineStr">
        <x:is>
          <x:t xml:space="preserve">2000s</x:t>
        </x:is>
      </x:c>
      <x:c r="AD44" t="inlineStr">
        <x:is>
          <x:t xml:space="preserve">Seeded</x:t>
        </x:is>
      </x:c>
      <x:c r="AE44" t="inlineStr">
        <x:is>
          <x:t xml:space="preserve">Seeded</x:t>
        </x:is>
      </x:c>
    </x:row>
    <x:row r="45">
      <x:c r="A45" t="n">
        <x:v>2005</x:v>
      </x:c>
      <x:c r="B45" t="inlineStr">
        <x:is>
          <x:t xml:space="preserve">Women's</x:t>
        </x:is>
      </x:c>
      <x:c r="C45" t="inlineStr">
        <x:is>
          <x:t xml:space="preserve">V.E.S. Williams</x:t>
        </x:is>
      </x:c>
      <x:c r="D45" t="inlineStr">
        <x:is>
          <x:t xml:space="preserve">USA</x:t>
        </x:is>
      </x:c>
      <x:c r="E45" t="inlineStr">
        <x:is>
          <x:t xml:space="preserve">United States</x:t>
        </x:is>
      </x:c>
      <x:c r="F45" t="n">
        <x:v>14</x:v>
      </x:c>
      <x:c r="G45" t="n">
        <x:v>166</x:v>
      </x:c>
      <x:c r="H45" t="inlineStr">
        <x:is>
          <x:t xml:space="preserve">4-6, 7-6 (7-4), 9-7</x:t>
        </x:is>
      </x:c>
      <x:c r="I45" t="n">
        <x:v>4</x:v>
      </x:c>
      <x:c r="J45" t="n">
        <x:v>6</x:v>
      </x:c>
      <x:c r="K45" t="n">
        <x:v>7</x:v>
      </x:c>
      <x:c r="L45" t="n">
        <x:v>6</x:v>
      </x:c>
      <x:c r="M45" t="n">
        <x:v>9</x:v>
      </x:c>
      <x:c r="N45" t="n">
        <x:v>7</x:v>
      </x:c>
      <x:c r="S45" t="inlineStr">
        <x:is>
          <x:t xml:space="preserve">L.A. Davenport</x:t>
        </x:is>
      </x:c>
      <x:c r="T45" t="inlineStr">
        <x:is>
          <x:t xml:space="preserve">USA</x:t>
        </x:is>
      </x:c>
      <x:c r="U45" t="inlineStr">
        <x:is>
          <x:t xml:space="preserve">United States</x:t>
        </x:is>
      </x:c>
      <x:c r="V45" t="n">
        <x:v>1</x:v>
      </x:c>
      <x:c r="W45" t="n">
        <x:v>3</x:v>
      </x:c>
      <x:c r="X45" t="n">
        <x:v>39</x:v>
      </x:c>
      <x:c r="Y45" t="inlineStr">
        <x:is>
          <x:t xml:space="preserve">Completed</x:t>
        </x:is>
      </x:c>
      <x:c r="Z45" t="inlineStr">
        <x:is>
          <x:t xml:space="preserve">Recorded</x:t>
        </x:is>
      </x:c>
      <x:c r="AA45" t="n">
        <x:v>5</x:v>
      </x:c>
      <x:c r="AB45" t="inlineStr">
        <x:is>
          <x:t xml:space="preserve">Yes</x:t>
        </x:is>
      </x:c>
      <x:c r="AC45" t="inlineStr">
        <x:is>
          <x:t xml:space="preserve">2000s</x:t>
        </x:is>
      </x:c>
      <x:c r="AD45" t="inlineStr">
        <x:is>
          <x:t xml:space="preserve">Seeded</x:t>
        </x:is>
      </x:c>
      <x:c r="AE45" t="inlineStr">
        <x:is>
          <x:t xml:space="preserve">Seeded</x:t>
        </x:is>
      </x:c>
    </x:row>
    <x:row r="46">
      <x:c r="A46" t="n">
        <x:v>2005</x:v>
      </x:c>
      <x:c r="B46" t="inlineStr">
        <x:is>
          <x:t xml:space="preserve">Men's</x:t>
        </x:is>
      </x:c>
      <x:c r="C46" t="inlineStr">
        <x:is>
          <x:t xml:space="preserve">R. Federer</x:t>
        </x:is>
      </x:c>
      <x:c r="D46" t="inlineStr">
        <x:is>
          <x:t xml:space="preserve">SUI</x:t>
        </x:is>
      </x:c>
      <x:c r="E46" t="inlineStr">
        <x:is>
          <x:t xml:space="preserve">Switzerland</x:t>
        </x:is>
      </x:c>
      <x:c r="F46" t="n">
        <x:v>1</x:v>
      </x:c>
      <x:c r="G46" t="n">
        <x:v>101</x:v>
      </x:c>
      <x:c r="H46" t="inlineStr">
        <x:is>
          <x:t xml:space="preserve">6-2, 7-6 (7-2), 6-4</x:t>
        </x:is>
      </x:c>
      <x:c r="I46" t="n">
        <x:v>6</x:v>
      </x:c>
      <x:c r="J46" t="n">
        <x:v>2</x:v>
      </x:c>
      <x:c r="K46" t="n">
        <x:v>7</x:v>
      </x:c>
      <x:c r="L46" t="n">
        <x:v>6</x:v>
      </x:c>
      <x:c r="M46" t="n">
        <x:v>6</x:v>
      </x:c>
      <x:c r="N46" t="n">
        <x:v>4</x:v>
      </x:c>
      <x:c r="S46" t="inlineStr">
        <x:is>
          <x:t xml:space="preserve">A. Roddick</x:t>
        </x:is>
      </x:c>
      <x:c r="T46" t="inlineStr">
        <x:is>
          <x:t xml:space="preserve">USA</x:t>
        </x:is>
      </x:c>
      <x:c r="U46" t="inlineStr">
        <x:is>
          <x:t xml:space="preserve">United States</x:t>
        </x:is>
      </x:c>
      <x:c r="V46" t="n">
        <x:v>2</x:v>
      </x:c>
      <x:c r="W46" t="n">
        <x:v>3</x:v>
      </x:c>
      <x:c r="X46" t="n">
        <x:v>31</x:v>
      </x:c>
      <x:c r="Y46" t="inlineStr">
        <x:is>
          <x:t xml:space="preserve">Completed</x:t>
        </x:is>
      </x:c>
      <x:c r="Z46" t="inlineStr">
        <x:is>
          <x:t xml:space="preserve">Recorded</x:t>
        </x:is>
      </x:c>
      <x:c r="AA46" t="n">
        <x:v>8</x:v>
      </x:c>
      <x:c r="AB46" t="inlineStr">
        <x:is>
          <x:t xml:space="preserve">Yes</x:t>
        </x:is>
      </x:c>
      <x:c r="AC46" t="inlineStr">
        <x:is>
          <x:t xml:space="preserve">2000s</x:t>
        </x:is>
      </x:c>
      <x:c r="AD46" t="inlineStr">
        <x:is>
          <x:t xml:space="preserve">Seeded</x:t>
        </x:is>
      </x:c>
      <x:c r="AE46" t="inlineStr">
        <x:is>
          <x:t xml:space="preserve">Seeded</x:t>
        </x:is>
      </x:c>
    </x:row>
    <x:row r="47">
      <x:c r="A47" t="n">
        <x:v>2004</x:v>
      </x:c>
      <x:c r="B47" t="inlineStr">
        <x:is>
          <x:t xml:space="preserve">Women's</x:t>
        </x:is>
      </x:c>
      <x:c r="C47" t="inlineStr">
        <x:is>
          <x:t xml:space="preserve">M. Sharapova</x:t>
        </x:is>
      </x:c>
      <x:c r="D47" t="inlineStr">
        <x:is>
          <x:t xml:space="preserve">RUS</x:t>
        </x:is>
      </x:c>
      <x:c r="E47" t="inlineStr">
        <x:is>
          <x:t xml:space="preserve">Russia</x:t>
        </x:is>
      </x:c>
      <x:c r="F47" t="n">
        <x:v>13</x:v>
      </x:c>
      <x:c r="G47" t="n">
        <x:v>74</x:v>
      </x:c>
      <x:c r="H47" t="inlineStr">
        <x:is>
          <x:t xml:space="preserve">6-1, 6-4</x:t>
        </x:is>
      </x:c>
      <x:c r="I47" t="n">
        <x:v>6</x:v>
      </x:c>
      <x:c r="J47" t="n">
        <x:v>1</x:v>
      </x:c>
      <x:c r="K47" t="n">
        <x:v>6</x:v>
      </x:c>
      <x:c r="L47" t="n">
        <x:v>4</x:v>
      </x:c>
      <x:c r="S47" t="inlineStr">
        <x:is>
          <x:t xml:space="preserve">S. Williams</x:t>
        </x:is>
      </x:c>
      <x:c r="T47" t="inlineStr">
        <x:is>
          <x:t xml:space="preserve">USA</x:t>
        </x:is>
      </x:c>
      <x:c r="U47" t="inlineStr">
        <x:is>
          <x:t xml:space="preserve">United States</x:t>
        </x:is>
      </x:c>
      <x:c r="V47" t="n">
        <x:v>1</x:v>
      </x:c>
      <x:c r="W47" t="n">
        <x:v>2</x:v>
      </x:c>
      <x:c r="X47" t="n">
        <x:v>17</x:v>
      </x:c>
      <x:c r="Y47" t="inlineStr">
        <x:is>
          <x:t xml:space="preserve">Completed</x:t>
        </x:is>
      </x:c>
      <x:c r="Z47" t="inlineStr">
        <x:is>
          <x:t xml:space="preserve">Recorded</x:t>
        </x:is>
      </x:c>
      <x:c r="AA47" t="n">
        <x:v>1</x:v>
      </x:c>
      <x:c r="AB47" t="inlineStr">
        <x:is>
          <x:t xml:space="preserve">No</x:t>
        </x:is>
      </x:c>
      <x:c r="AC47" t="inlineStr">
        <x:is>
          <x:t xml:space="preserve">2000s</x:t>
        </x:is>
      </x:c>
      <x:c r="AD47" t="inlineStr">
        <x:is>
          <x:t xml:space="preserve">Seeded</x:t>
        </x:is>
      </x:c>
      <x:c r="AE47" t="inlineStr">
        <x:is>
          <x:t xml:space="preserve">Seeded</x:t>
        </x:is>
      </x:c>
    </x:row>
    <x:row r="48">
      <x:c r="A48" t="n">
        <x:v>2004</x:v>
      </x:c>
      <x:c r="B48" t="inlineStr">
        <x:is>
          <x:t xml:space="preserve">Men's</x:t>
        </x:is>
      </x:c>
      <x:c r="C48" t="inlineStr">
        <x:is>
          <x:t xml:space="preserve">R. Federer</x:t>
        </x:is>
      </x:c>
      <x:c r="D48" t="inlineStr">
        <x:is>
          <x:t xml:space="preserve">SUI</x:t>
        </x:is>
      </x:c>
      <x:c r="E48" t="inlineStr">
        <x:is>
          <x:t xml:space="preserve">Switzerland</x:t>
        </x:is>
      </x:c>
      <x:c r="F48" t="n">
        <x:v>1</x:v>
      </x:c>
      <x:c r="G48" t="n">
        <x:v>151</x:v>
      </x:c>
      <x:c r="H48" t="inlineStr">
        <x:is>
          <x:t xml:space="preserve">4-6, 7-5, 7-6 (7-3), 6-4</x:t>
        </x:is>
      </x:c>
      <x:c r="I48" t="n">
        <x:v>4</x:v>
      </x:c>
      <x:c r="J48" t="n">
        <x:v>6</x:v>
      </x:c>
      <x:c r="K48" t="n">
        <x:v>7</x:v>
      </x:c>
      <x:c r="L48" t="n">
        <x:v>5</x:v>
      </x:c>
      <x:c r="M48" t="n">
        <x:v>7</x:v>
      </x:c>
      <x:c r="N48" t="n">
        <x:v>6</x:v>
      </x:c>
      <x:c r="O48" t="n">
        <x:v>6</x:v>
      </x:c>
      <x:c r="P48" t="n">
        <x:v>4</x:v>
      </x:c>
      <x:c r="S48" t="inlineStr">
        <x:is>
          <x:t xml:space="preserve">A. Roddick</x:t>
        </x:is>
      </x:c>
      <x:c r="T48" t="inlineStr">
        <x:is>
          <x:t xml:space="preserve">USA</x:t>
        </x:is>
      </x:c>
      <x:c r="U48" t="inlineStr">
        <x:is>
          <x:t xml:space="preserve">United States</x:t>
        </x:is>
      </x:c>
      <x:c r="V48" t="n">
        <x:v>2</x:v>
      </x:c>
      <x:c r="W48" t="n">
        <x:v>4</x:v>
      </x:c>
      <x:c r="X48" t="n">
        <x:v>45</x:v>
      </x:c>
      <x:c r="Y48" t="inlineStr">
        <x:is>
          <x:t xml:space="preserve">Completed</x:t>
        </x:is>
      </x:c>
      <x:c r="Z48" t="inlineStr">
        <x:is>
          <x:t xml:space="preserve">Recorded</x:t>
        </x:is>
      </x:c>
      <x:c r="AA48" t="n">
        <x:v>8</x:v>
      </x:c>
      <x:c r="AB48" t="inlineStr">
        <x:is>
          <x:t xml:space="preserve">Yes</x:t>
        </x:is>
      </x:c>
      <x:c r="AC48" t="inlineStr">
        <x:is>
          <x:t xml:space="preserve">2000s</x:t>
        </x:is>
      </x:c>
      <x:c r="AD48" t="inlineStr">
        <x:is>
          <x:t xml:space="preserve">Seeded</x:t>
        </x:is>
      </x:c>
      <x:c r="AE48" t="inlineStr">
        <x:is>
          <x:t xml:space="preserve">Seeded</x:t>
        </x:is>
      </x:c>
    </x:row>
    <x:row r="49">
      <x:c r="A49" t="n">
        <x:v>2003</x:v>
      </x:c>
      <x:c r="B49" t="inlineStr">
        <x:is>
          <x:t xml:space="preserve">Women's</x:t>
        </x:is>
      </x:c>
      <x:c r="C49" t="inlineStr">
        <x:is>
          <x:t xml:space="preserve">S. Williams</x:t>
        </x:is>
      </x:c>
      <x:c r="D49" t="inlineStr">
        <x:is>
          <x:t xml:space="preserve">USA</x:t>
        </x:is>
      </x:c>
      <x:c r="E49" t="inlineStr">
        <x:is>
          <x:t xml:space="preserve">United States</x:t>
        </x:is>
      </x:c>
      <x:c r="F49" t="n">
        <x:v>1</x:v>
      </x:c>
      <x:c r="G49" t="n">
        <x:v>123</x:v>
      </x:c>
      <x:c r="H49" t="inlineStr">
        <x:is>
          <x:t xml:space="preserve">4-6, 6-4, 6-2</x:t>
        </x:is>
      </x:c>
      <x:c r="I49" t="n">
        <x:v>4</x:v>
      </x:c>
      <x:c r="J49" t="n">
        <x:v>6</x:v>
      </x:c>
      <x:c r="K49" t="n">
        <x:v>6</x:v>
      </x:c>
      <x:c r="L49" t="n">
        <x:v>4</x:v>
      </x:c>
      <x:c r="M49" t="n">
        <x:v>6</x:v>
      </x:c>
      <x:c r="N49" t="n">
        <x:v>2</x:v>
      </x:c>
      <x:c r="S49" t="inlineStr">
        <x:is>
          <x:t xml:space="preserve">V.E.S. Williams</x:t>
        </x:is>
      </x:c>
      <x:c r="T49" t="inlineStr">
        <x:is>
          <x:t xml:space="preserve">USA</x:t>
        </x:is>
      </x:c>
      <x:c r="U49" t="inlineStr">
        <x:is>
          <x:t xml:space="preserve">United States</x:t>
        </x:is>
      </x:c>
      <x:c r="V49" t="n">
        <x:v>4</x:v>
      </x:c>
      <x:c r="W49" t="n">
        <x:v>3</x:v>
      </x:c>
      <x:c r="X49" t="n">
        <x:v>28</x:v>
      </x:c>
      <x:c r="Y49" t="inlineStr">
        <x:is>
          <x:t xml:space="preserve">Completed</x:t>
        </x:is>
      </x:c>
      <x:c r="Z49" t="inlineStr">
        <x:is>
          <x:t xml:space="preserve">Recorded</x:t>
        </x:is>
      </x:c>
      <x:c r="AA49" t="n">
        <x:v>7</x:v>
      </x:c>
      <x:c r="AB49" t="inlineStr">
        <x:is>
          <x:t xml:space="preserve">Yes</x:t>
        </x:is>
      </x:c>
      <x:c r="AC49" t="inlineStr">
        <x:is>
          <x:t xml:space="preserve">2000s</x:t>
        </x:is>
      </x:c>
      <x:c r="AD49" t="inlineStr">
        <x:is>
          <x:t xml:space="preserve">Seeded</x:t>
        </x:is>
      </x:c>
      <x:c r="AE49" t="inlineStr">
        <x:is>
          <x:t xml:space="preserve">Seeded</x:t>
        </x:is>
      </x:c>
    </x:row>
    <x:row r="50">
      <x:c r="A50" t="n">
        <x:v>2003</x:v>
      </x:c>
      <x:c r="B50" t="inlineStr">
        <x:is>
          <x:t xml:space="preserve">Men's</x:t>
        </x:is>
      </x:c>
      <x:c r="C50" t="inlineStr">
        <x:is>
          <x:t xml:space="preserve">R. Federer</x:t>
        </x:is>
      </x:c>
      <x:c r="D50" t="inlineStr">
        <x:is>
          <x:t xml:space="preserve">SUI</x:t>
        </x:is>
      </x:c>
      <x:c r="E50" t="inlineStr">
        <x:is>
          <x:t xml:space="preserve">Switzerland</x:t>
        </x:is>
      </x:c>
      <x:c r="F50" t="n">
        <x:v>4</x:v>
      </x:c>
      <x:c r="G50" t="n">
        <x:v>119</x:v>
      </x:c>
      <x:c r="H50" t="inlineStr">
        <x:is>
          <x:t xml:space="preserve">7-6 (7-5), 6-2, 7-6 (7-3)</x:t>
        </x:is>
      </x:c>
      <x:c r="I50" t="n">
        <x:v>7</x:v>
      </x:c>
      <x:c r="J50" t="n">
        <x:v>6</x:v>
      </x:c>
      <x:c r="K50" t="n">
        <x:v>6</x:v>
      </x:c>
      <x:c r="L50" t="n">
        <x:v>2</x:v>
      </x:c>
      <x:c r="M50" t="n">
        <x:v>7</x:v>
      </x:c>
      <x:c r="N50" t="n">
        <x:v>6</x:v>
      </x:c>
      <x:c r="S50" t="inlineStr">
        <x:is>
          <x:t xml:space="preserve">M. Philippousis</x:t>
        </x:is>
      </x:c>
      <x:c r="T50" t="inlineStr">
        <x:is>
          <x:t xml:space="preserve">AUS</x:t>
        </x:is>
      </x:c>
      <x:c r="U50" t="inlineStr">
        <x:is>
          <x:t xml:space="preserve">Australia</x:t>
        </x:is>
      </x:c>
      <x:c r="V50" t="inlineStr">
        <x:is>
          <x:t xml:space="preserve">U</x:t>
        </x:is>
      </x:c>
      <x:c r="W50" t="n">
        <x:v>3</x:v>
      </x:c>
      <x:c r="X50" t="n">
        <x:v>34</x:v>
      </x:c>
      <x:c r="Y50" t="inlineStr">
        <x:is>
          <x:t xml:space="preserve">Completed</x:t>
        </x:is>
      </x:c>
      <x:c r="Z50" t="inlineStr">
        <x:is>
          <x:t xml:space="preserve">Recorded</x:t>
        </x:is>
      </x:c>
      <x:c r="AA50" t="n">
        <x:v>8</x:v>
      </x:c>
      <x:c r="AB50" t="inlineStr">
        <x:is>
          <x:t xml:space="preserve">Yes</x:t>
        </x:is>
      </x:c>
      <x:c r="AC50" t="inlineStr">
        <x:is>
          <x:t xml:space="preserve">2000s</x:t>
        </x:is>
      </x:c>
      <x:c r="AD50" t="inlineStr">
        <x:is>
          <x:t xml:space="preserve">Seeded</x:t>
        </x:is>
      </x:c>
      <x:c r="AE50" t="inlineStr">
        <x:is>
          <x:t xml:space="preserve">Unseeded/unknown</x:t>
        </x:is>
      </x:c>
    </x:row>
    <x:row r="51">
      <x:c r="A51" t="n">
        <x:v>2002</x:v>
      </x:c>
      <x:c r="B51" t="inlineStr">
        <x:is>
          <x:t xml:space="preserve">Women's</x:t>
        </x:is>
      </x:c>
      <x:c r="C51" t="inlineStr">
        <x:is>
          <x:t xml:space="preserve">S. Williams</x:t>
        </x:is>
      </x:c>
      <x:c r="D51" t="inlineStr">
        <x:is>
          <x:t xml:space="preserve">USA</x:t>
        </x:is>
      </x:c>
      <x:c r="E51" t="inlineStr">
        <x:is>
          <x:t xml:space="preserve">United States</x:t>
        </x:is>
      </x:c>
      <x:c r="F51" t="n">
        <x:v>2</x:v>
      </x:c>
      <x:c r="G51" t="n">
        <x:v>78</x:v>
      </x:c>
      <x:c r="H51" t="inlineStr">
        <x:is>
          <x:t xml:space="preserve">7-6 (7-4), 6-3</x:t>
        </x:is>
      </x:c>
      <x:c r="I51" t="n">
        <x:v>7</x:v>
      </x:c>
      <x:c r="J51" t="n">
        <x:v>6</x:v>
      </x:c>
      <x:c r="K51" t="n">
        <x:v>6</x:v>
      </x:c>
      <x:c r="L51" t="n">
        <x:v>3</x:v>
      </x:c>
      <x:c r="S51" t="inlineStr">
        <x:is>
          <x:t xml:space="preserve">V.E.S. Williams</x:t>
        </x:is>
      </x:c>
      <x:c r="T51" t="inlineStr">
        <x:is>
          <x:t xml:space="preserve">USA</x:t>
        </x:is>
      </x:c>
      <x:c r="U51" t="inlineStr">
        <x:is>
          <x:t xml:space="preserve">United States</x:t>
        </x:is>
      </x:c>
      <x:c r="V51" t="n">
        <x:v>1</x:v>
      </x:c>
      <x:c r="W51" t="n">
        <x:v>2</x:v>
      </x:c>
      <x:c r="X51" t="n">
        <x:v>22</x:v>
      </x:c>
      <x:c r="Y51" t="inlineStr">
        <x:is>
          <x:t xml:space="preserve">Completed</x:t>
        </x:is>
      </x:c>
      <x:c r="Z51" t="inlineStr">
        <x:is>
          <x:t xml:space="preserve">Recorded</x:t>
        </x:is>
      </x:c>
      <x:c r="AA51" t="n">
        <x:v>7</x:v>
      </x:c>
      <x:c r="AB51" t="inlineStr">
        <x:is>
          <x:t xml:space="preserve">Yes</x:t>
        </x:is>
      </x:c>
      <x:c r="AC51" t="inlineStr">
        <x:is>
          <x:t xml:space="preserve">2000s</x:t>
        </x:is>
      </x:c>
      <x:c r="AD51" t="inlineStr">
        <x:is>
          <x:t xml:space="preserve">Seeded</x:t>
        </x:is>
      </x:c>
      <x:c r="AE51" t="inlineStr">
        <x:is>
          <x:t xml:space="preserve">Seeded</x:t>
        </x:is>
      </x:c>
    </x:row>
    <x:row r="52">
      <x:c r="A52" t="n">
        <x:v>2002</x:v>
      </x:c>
      <x:c r="B52" t="inlineStr">
        <x:is>
          <x:t xml:space="preserve">Men's</x:t>
        </x:is>
      </x:c>
      <x:c r="C52" t="inlineStr">
        <x:is>
          <x:t xml:space="preserve">L.G. Hewitt</x:t>
        </x:is>
      </x:c>
      <x:c r="D52" t="inlineStr">
        <x:is>
          <x:t xml:space="preserve">AUS</x:t>
        </x:is>
      </x:c>
      <x:c r="E52" t="inlineStr">
        <x:is>
          <x:t xml:space="preserve">Australia</x:t>
        </x:is>
      </x:c>
      <x:c r="F52" t="n">
        <x:v>1</x:v>
      </x:c>
      <x:c r="G52" t="n">
        <x:v>116</x:v>
      </x:c>
      <x:c r="H52" t="inlineStr">
        <x:is>
          <x:t xml:space="preserve">6-1, 6-3, 6-2</x:t>
        </x:is>
      </x:c>
      <x:c r="I52" t="n">
        <x:v>6</x:v>
      </x:c>
      <x:c r="J52" t="n">
        <x:v>1</x:v>
      </x:c>
      <x:c r="K52" t="n">
        <x:v>6</x:v>
      </x:c>
      <x:c r="L52" t="n">
        <x:v>3</x:v>
      </x:c>
      <x:c r="M52" t="n">
        <x:v>6</x:v>
      </x:c>
      <x:c r="N52" t="n">
        <x:v>2</x:v>
      </x:c>
      <x:c r="S52" t="inlineStr">
        <x:is>
          <x:t xml:space="preserve">D.P. Nalbandian</x:t>
        </x:is>
      </x:c>
      <x:c r="T52" t="inlineStr">
        <x:is>
          <x:t xml:space="preserve">ARG</x:t>
        </x:is>
      </x:c>
      <x:c r="U52" t="inlineStr">
        <x:is>
          <x:t xml:space="preserve">Argentina</x:t>
        </x:is>
      </x:c>
      <x:c r="V52" t="n">
        <x:v>28</x:v>
      </x:c>
      <x:c r="W52" t="n">
        <x:v>3</x:v>
      </x:c>
      <x:c r="X52" t="n">
        <x:v>24</x:v>
      </x:c>
      <x:c r="Y52" t="inlineStr">
        <x:is>
          <x:t xml:space="preserve">Completed</x:t>
        </x:is>
      </x:c>
      <x:c r="Z52" t="inlineStr">
        <x:is>
          <x:t xml:space="preserve">Recorded</x:t>
        </x:is>
      </x:c>
      <x:c r="AA52" t="n">
        <x:v>1</x:v>
      </x:c>
      <x:c r="AB52" t="inlineStr">
        <x:is>
          <x:t xml:space="preserve">No</x:t>
        </x:is>
      </x:c>
      <x:c r="AC52" t="inlineStr">
        <x:is>
          <x:t xml:space="preserve">2000s</x:t>
        </x:is>
      </x:c>
      <x:c r="AD52" t="inlineStr">
        <x:is>
          <x:t xml:space="preserve">Seeded</x:t>
        </x:is>
      </x:c>
      <x:c r="AE52" t="inlineStr">
        <x:is>
          <x:t xml:space="preserve">Seeded</x:t>
        </x:is>
      </x:c>
    </x:row>
    <x:row r="53">
      <x:c r="A53" t="n">
        <x:v>2001</x:v>
      </x:c>
      <x:c r="B53" t="inlineStr">
        <x:is>
          <x:t xml:space="preserve">Women's</x:t>
        </x:is>
      </x:c>
      <x:c r="C53" t="inlineStr">
        <x:is>
          <x:t xml:space="preserve">V.E.S. Williams</x:t>
        </x:is>
      </x:c>
      <x:c r="D53" t="inlineStr">
        <x:is>
          <x:t xml:space="preserve">USA</x:t>
        </x:is>
      </x:c>
      <x:c r="E53" t="inlineStr">
        <x:is>
          <x:t xml:space="preserve">United States</x:t>
        </x:is>
      </x:c>
      <x:c r="F53" t="n">
        <x:v>2</x:v>
      </x:c>
      <x:c r="G53" t="n">
        <x:v>69</x:v>
      </x:c>
      <x:c r="H53" t="inlineStr">
        <x:is>
          <x:t xml:space="preserve">6-1, 3-6, 6-0</x:t>
        </x:is>
      </x:c>
      <x:c r="I53" t="n">
        <x:v>6</x:v>
      </x:c>
      <x:c r="J53" t="n">
        <x:v>1</x:v>
      </x:c>
      <x:c r="K53" t="n">
        <x:v>3</x:v>
      </x:c>
      <x:c r="L53" t="n">
        <x:v>6</x:v>
      </x:c>
      <x:c r="M53" t="n">
        <x:v>6</x:v>
      </x:c>
      <x:c r="N53" t="n">
        <x:v>0</x:v>
      </x:c>
      <x:c r="S53" t="inlineStr">
        <x:is>
          <x:t xml:space="preserve">J. Henin</x:t>
        </x:is>
      </x:c>
      <x:c r="T53" t="inlineStr">
        <x:is>
          <x:t xml:space="preserve">BEL</x:t>
        </x:is>
      </x:c>
      <x:c r="U53" t="inlineStr">
        <x:is>
          <x:t xml:space="preserve">Belgium</x:t>
        </x:is>
      </x:c>
      <x:c r="V53" t="n">
        <x:v>8</x:v>
      </x:c>
      <x:c r="W53" t="n">
        <x:v>3</x:v>
      </x:c>
      <x:c r="X53" t="n">
        <x:v>22</x:v>
      </x:c>
      <x:c r="Y53" t="inlineStr">
        <x:is>
          <x:t xml:space="preserve">Completed</x:t>
        </x:is>
      </x:c>
      <x:c r="Z53" t="inlineStr">
        <x:is>
          <x:t xml:space="preserve">Recorded</x:t>
        </x:is>
      </x:c>
      <x:c r="AA53" t="n">
        <x:v>5</x:v>
      </x:c>
      <x:c r="AB53" t="inlineStr">
        <x:is>
          <x:t xml:space="preserve">Yes</x:t>
        </x:is>
      </x:c>
      <x:c r="AC53" t="inlineStr">
        <x:is>
          <x:t xml:space="preserve">2000s</x:t>
        </x:is>
      </x:c>
      <x:c r="AD53" t="inlineStr">
        <x:is>
          <x:t xml:space="preserve">Seeded</x:t>
        </x:is>
      </x:c>
      <x:c r="AE53" t="inlineStr">
        <x:is>
          <x:t xml:space="preserve">Seeded</x:t>
        </x:is>
      </x:c>
    </x:row>
    <x:row r="54">
      <x:c r="A54" t="n">
        <x:v>2001</x:v>
      </x:c>
      <x:c r="B54" t="inlineStr">
        <x:is>
          <x:t xml:space="preserve">Men's</x:t>
        </x:is>
      </x:c>
      <x:c r="C54" t="inlineStr">
        <x:is>
          <x:t xml:space="preserve">G.S. Ivanisevic</x:t>
        </x:is>
      </x:c>
      <x:c r="D54" t="inlineStr">
        <x:is>
          <x:t xml:space="preserve">CRO</x:t>
        </x:is>
      </x:c>
      <x:c r="E54" t="inlineStr">
        <x:is>
          <x:t xml:space="preserve">Croatia</x:t>
        </x:is>
      </x:c>
      <x:c r="F54" t="inlineStr">
        <x:is>
          <x:t xml:space="preserve">WC</x:t>
        </x:is>
      </x:c>
      <x:c r="G54" t="n">
        <x:v>182</x:v>
      </x:c>
      <x:c r="H54" t="inlineStr">
        <x:is>
          <x:t xml:space="preserve">6-3, 3-6, 6-3, 2-6, 9-7</x:t>
        </x:is>
      </x:c>
      <x:c r="I54" t="n">
        <x:v>6</x:v>
      </x:c>
      <x:c r="J54" t="n">
        <x:v>3</x:v>
      </x:c>
      <x:c r="K54" t="n">
        <x:v>3</x:v>
      </x:c>
      <x:c r="L54" t="n">
        <x:v>6</x:v>
      </x:c>
      <x:c r="M54" t="n">
        <x:v>6</x:v>
      </x:c>
      <x:c r="N54" t="n">
        <x:v>3</x:v>
      </x:c>
      <x:c r="O54" t="n">
        <x:v>2</x:v>
      </x:c>
      <x:c r="P54" t="n">
        <x:v>6</x:v>
      </x:c>
      <x:c r="Q54" t="n">
        <x:v>9</x:v>
      </x:c>
      <x:c r="R54" t="n">
        <x:v>7</x:v>
      </x:c>
      <x:c r="S54" t="inlineStr">
        <x:is>
          <x:t xml:space="preserve">P.M. Rafter</x:t>
        </x:is>
      </x:c>
      <x:c r="T54" t="inlineStr">
        <x:is>
          <x:t xml:space="preserve">AUS</x:t>
        </x:is>
      </x:c>
      <x:c r="U54" t="inlineStr">
        <x:is>
          <x:t xml:space="preserve">Australia</x:t>
        </x:is>
      </x:c>
      <x:c r="V54" t="n">
        <x:v>3</x:v>
      </x:c>
      <x:c r="W54" t="n">
        <x:v>5</x:v>
      </x:c>
      <x:c r="X54" t="n">
        <x:v>51</x:v>
      </x:c>
      <x:c r="Y54" t="inlineStr">
        <x:is>
          <x:t xml:space="preserve">Completed</x:t>
        </x:is>
      </x:c>
      <x:c r="Z54" t="inlineStr">
        <x:is>
          <x:t xml:space="preserve">Recorded</x:t>
        </x:is>
      </x:c>
      <x:c r="AA54" t="n">
        <x:v>1</x:v>
      </x:c>
      <x:c r="AB54" t="inlineStr">
        <x:is>
          <x:t xml:space="preserve">No</x:t>
        </x:is>
      </x:c>
      <x:c r="AC54" t="inlineStr">
        <x:is>
          <x:t xml:space="preserve">2000s</x:t>
        </x:is>
      </x:c>
      <x:c r="AD54" t="inlineStr">
        <x:is>
          <x:t xml:space="preserve">Unseeded/unknown</x:t>
        </x:is>
      </x:c>
      <x:c r="AE54" t="inlineStr">
        <x:is>
          <x:t xml:space="preserve">Seeded</x:t>
        </x:is>
      </x:c>
    </x:row>
    <x:row r="55">
      <x:c r="A55" t="n">
        <x:v>2000</x:v>
      </x:c>
      <x:c r="B55" t="inlineStr">
        <x:is>
          <x:t xml:space="preserve">Women's</x:t>
        </x:is>
      </x:c>
      <x:c r="C55" t="inlineStr">
        <x:is>
          <x:t xml:space="preserve">V.E.S. Williams</x:t>
        </x:is>
      </x:c>
      <x:c r="D55" t="inlineStr">
        <x:is>
          <x:t xml:space="preserve">USA</x:t>
        </x:is>
      </x:c>
      <x:c r="E55" t="inlineStr">
        <x:is>
          <x:t xml:space="preserve">United States</x:t>
        </x:is>
      </x:c>
      <x:c r="F55" t="n">
        <x:v>5</x:v>
      </x:c>
      <x:c r="G55" t="n">
        <x:v>84</x:v>
      </x:c>
      <x:c r="H55" t="inlineStr">
        <x:is>
          <x:t xml:space="preserve">6-3, 7-6 (7-3)</x:t>
        </x:is>
      </x:c>
      <x:c r="I55" t="n">
        <x:v>6</x:v>
      </x:c>
      <x:c r="J55" t="n">
        <x:v>3</x:v>
      </x:c>
      <x:c r="K55" t="n">
        <x:v>7</x:v>
      </x:c>
      <x:c r="L55" t="n">
        <x:v>6</x:v>
      </x:c>
      <x:c r="S55" t="inlineStr">
        <x:is>
          <x:t xml:space="preserve">L.A. Davenport</x:t>
        </x:is>
      </x:c>
      <x:c r="T55" t="inlineStr">
        <x:is>
          <x:t xml:space="preserve">USA</x:t>
        </x:is>
      </x:c>
      <x:c r="U55" t="inlineStr">
        <x:is>
          <x:t xml:space="preserve">United States</x:t>
        </x:is>
      </x:c>
      <x:c r="V55" t="n">
        <x:v>2</x:v>
      </x:c>
      <x:c r="W55" t="n">
        <x:v>2</x:v>
      </x:c>
      <x:c r="X55" t="n">
        <x:v>22</x:v>
      </x:c>
      <x:c r="Y55" t="inlineStr">
        <x:is>
          <x:t xml:space="preserve">Completed</x:t>
        </x:is>
      </x:c>
      <x:c r="Z55" t="inlineStr">
        <x:is>
          <x:t xml:space="preserve">Recorded</x:t>
        </x:is>
      </x:c>
      <x:c r="AA55" t="n">
        <x:v>5</x:v>
      </x:c>
      <x:c r="AB55" t="inlineStr">
        <x:is>
          <x:t xml:space="preserve">Yes</x:t>
        </x:is>
      </x:c>
      <x:c r="AC55" t="inlineStr">
        <x:is>
          <x:t xml:space="preserve">2000s</x:t>
        </x:is>
      </x:c>
      <x:c r="AD55" t="inlineStr">
        <x:is>
          <x:t xml:space="preserve">Seeded</x:t>
        </x:is>
      </x:c>
      <x:c r="AE55" t="inlineStr">
        <x:is>
          <x:t xml:space="preserve">Seeded</x:t>
        </x:is>
      </x:c>
    </x:row>
    <x:row r="56">
      <x:c r="A56" t="n">
        <x:v>2000</x:v>
      </x:c>
      <x:c r="B56" t="inlineStr">
        <x:is>
          <x:t xml:space="preserve">Men's</x:t>
        </x:is>
      </x:c>
      <x:c r="C56" t="inlineStr">
        <x:is>
          <x:t xml:space="preserve">P. Sampras</x:t>
        </x:is>
      </x:c>
      <x:c r="D56" t="inlineStr">
        <x:is>
          <x:t xml:space="preserve">USA</x:t>
        </x:is>
      </x:c>
      <x:c r="E56" t="inlineStr">
        <x:is>
          <x:t xml:space="preserve">United States</x:t>
        </x:is>
      </x:c>
      <x:c r="F56" t="n">
        <x:v>1</x:v>
      </x:c>
      <x:c r="G56" t="n">
        <x:v>182</x:v>
      </x:c>
      <x:c r="H56" t="inlineStr">
        <x:is>
          <x:t xml:space="preserve">6-7 (10-12), 7-6 (7-5), 6-4, 6-2</x:t>
        </x:is>
      </x:c>
      <x:c r="I56" t="n">
        <x:v>6</x:v>
      </x:c>
      <x:c r="J56" t="n">
        <x:v>7</x:v>
      </x:c>
      <x:c r="K56" t="n">
        <x:v>7</x:v>
      </x:c>
      <x:c r="L56" t="n">
        <x:v>6</x:v>
      </x:c>
      <x:c r="M56" t="n">
        <x:v>6</x:v>
      </x:c>
      <x:c r="N56" t="n">
        <x:v>4</x:v>
      </x:c>
      <x:c r="O56" t="n">
        <x:v>6</x:v>
      </x:c>
      <x:c r="P56" t="n">
        <x:v>2</x:v>
      </x:c>
      <x:c r="S56" t="inlineStr">
        <x:is>
          <x:t xml:space="preserve">P.M. Rafter</x:t>
        </x:is>
      </x:c>
      <x:c r="T56" t="inlineStr">
        <x:is>
          <x:t xml:space="preserve">AUS</x:t>
        </x:is>
      </x:c>
      <x:c r="U56" t="inlineStr">
        <x:is>
          <x:t xml:space="preserve">Australia</x:t>
        </x:is>
      </x:c>
      <x:c r="V56" t="n">
        <x:v>12</x:v>
      </x:c>
      <x:c r="W56" t="n">
        <x:v>4</x:v>
      </x:c>
      <x:c r="X56" t="n">
        <x:v>44</x:v>
      </x:c>
      <x:c r="Y56" t="inlineStr">
        <x:is>
          <x:t xml:space="preserve">Completed</x:t>
        </x:is>
      </x:c>
      <x:c r="Z56" t="inlineStr">
        <x:is>
          <x:t xml:space="preserve">Recorded</x:t>
        </x:is>
      </x:c>
      <x:c r="AA56" t="n">
        <x:v>7</x:v>
      </x:c>
      <x:c r="AB56" t="inlineStr">
        <x:is>
          <x:t xml:space="preserve">Yes</x:t>
        </x:is>
      </x:c>
      <x:c r="AC56" t="inlineStr">
        <x:is>
          <x:t xml:space="preserve">2000s</x:t>
        </x:is>
      </x:c>
      <x:c r="AD56" t="inlineStr">
        <x:is>
          <x:t xml:space="preserve">Seeded</x:t>
        </x:is>
      </x:c>
      <x:c r="AE56" t="inlineStr">
        <x:is>
          <x:t xml:space="preserve">Seeded</x:t>
        </x:is>
      </x:c>
    </x:row>
    <x:row r="57">
      <x:c r="A57" t="n">
        <x:v>1999</x:v>
      </x:c>
      <x:c r="B57" t="inlineStr">
        <x:is>
          <x:t xml:space="preserve">Women's</x:t>
        </x:is>
      </x:c>
      <x:c r="C57" t="inlineStr">
        <x:is>
          <x:t xml:space="preserve">L.A. Davenport</x:t>
        </x:is>
      </x:c>
      <x:c r="D57" t="inlineStr">
        <x:is>
          <x:t xml:space="preserve">USA</x:t>
        </x:is>
      </x:c>
      <x:c r="E57" t="inlineStr">
        <x:is>
          <x:t xml:space="preserve">United States</x:t>
        </x:is>
      </x:c>
      <x:c r="F57" t="n">
        <x:v>3</x:v>
      </x:c>
      <x:c r="G57" t="n">
        <x:v>75</x:v>
      </x:c>
      <x:c r="H57" t="inlineStr">
        <x:is>
          <x:t xml:space="preserve">6-4, 7-5</x:t>
        </x:is>
      </x:c>
      <x:c r="I57" t="n">
        <x:v>6</x:v>
      </x:c>
      <x:c r="J57" t="n">
        <x:v>4</x:v>
      </x:c>
      <x:c r="K57" t="n">
        <x:v>7</x:v>
      </x:c>
      <x:c r="L57" t="n">
        <x:v>5</x:v>
      </x:c>
      <x:c r="S57" t="inlineStr">
        <x:is>
          <x:t xml:space="preserve">S.M. Graf</x:t>
        </x:is>
      </x:c>
      <x:c r="T57" t="inlineStr">
        <x:is>
          <x:t xml:space="preserve">GER</x:t>
        </x:is>
      </x:c>
      <x:c r="U57" t="inlineStr">
        <x:is>
          <x:t xml:space="preserve">Germany</x:t>
        </x:is>
      </x:c>
      <x:c r="V57" t="n">
        <x:v>2</x:v>
      </x:c>
      <x:c r="W57" t="n">
        <x:v>2</x:v>
      </x:c>
      <x:c r="X57" t="n">
        <x:v>22</x:v>
      </x:c>
      <x:c r="Y57" t="inlineStr">
        <x:is>
          <x:t xml:space="preserve">Completed</x:t>
        </x:is>
      </x:c>
      <x:c r="Z57" t="inlineStr">
        <x:is>
          <x:t xml:space="preserve">Recorded</x:t>
        </x:is>
      </x:c>
      <x:c r="AA57" t="n">
        <x:v>1</x:v>
      </x:c>
      <x:c r="AB57" t="inlineStr">
        <x:is>
          <x:t xml:space="preserve">No</x:t>
        </x:is>
      </x:c>
      <x:c r="AC57" t="inlineStr">
        <x:is>
          <x:t xml:space="preserve">1990s</x:t>
        </x:is>
      </x:c>
      <x:c r="AD57" t="inlineStr">
        <x:is>
          <x:t xml:space="preserve">Seeded</x:t>
        </x:is>
      </x:c>
      <x:c r="AE57" t="inlineStr">
        <x:is>
          <x:t xml:space="preserve">Seeded</x:t>
        </x:is>
      </x:c>
    </x:row>
    <x:row r="58">
      <x:c r="A58" t="n">
        <x:v>1999</x:v>
      </x:c>
      <x:c r="B58" t="inlineStr">
        <x:is>
          <x:t xml:space="preserve">Men's</x:t>
        </x:is>
      </x:c>
      <x:c r="C58" t="inlineStr">
        <x:is>
          <x:t xml:space="preserve">P. Sampras</x:t>
        </x:is>
      </x:c>
      <x:c r="D58" t="inlineStr">
        <x:is>
          <x:t xml:space="preserve">USA</x:t>
        </x:is>
      </x:c>
      <x:c r="E58" t="inlineStr">
        <x:is>
          <x:t xml:space="preserve">United States</x:t>
        </x:is>
      </x:c>
      <x:c r="F58" t="n">
        <x:v>1</x:v>
      </x:c>
      <x:c r="G58" t="n">
        <x:v>115</x:v>
      </x:c>
      <x:c r="H58" t="inlineStr">
        <x:is>
          <x:t xml:space="preserve">6-3, 6-4, 7-5</x:t>
        </x:is>
      </x:c>
      <x:c r="I58" t="n">
        <x:v>6</x:v>
      </x:c>
      <x:c r="J58" t="n">
        <x:v>3</x:v>
      </x:c>
      <x:c r="K58" t="n">
        <x:v>6</x:v>
      </x:c>
      <x:c r="L58" t="n">
        <x:v>4</x:v>
      </x:c>
      <x:c r="M58" t="n">
        <x:v>7</x:v>
      </x:c>
      <x:c r="N58" t="n">
        <x:v>5</x:v>
      </x:c>
      <x:c r="S58" t="inlineStr">
        <x:is>
          <x:t xml:space="preserve">A.K. Agassi</x:t>
        </x:is>
      </x:c>
      <x:c r="T58" t="inlineStr">
        <x:is>
          <x:t xml:space="preserve">USA</x:t>
        </x:is>
      </x:c>
      <x:c r="U58" t="inlineStr">
        <x:is>
          <x:t xml:space="preserve">United States</x:t>
        </x:is>
      </x:c>
      <x:c r="V58" t="n">
        <x:v>4</x:v>
      </x:c>
      <x:c r="W58" t="n">
        <x:v>3</x:v>
      </x:c>
      <x:c r="X58" t="n">
        <x:v>31</x:v>
      </x:c>
      <x:c r="Y58" t="inlineStr">
        <x:is>
          <x:t xml:space="preserve">Completed</x:t>
        </x:is>
      </x:c>
      <x:c r="Z58" t="inlineStr">
        <x:is>
          <x:t xml:space="preserve">Recorded</x:t>
        </x:is>
      </x:c>
      <x:c r="AA58" t="n">
        <x:v>7</x:v>
      </x:c>
      <x:c r="AB58" t="inlineStr">
        <x:is>
          <x:t xml:space="preserve">Yes</x:t>
        </x:is>
      </x:c>
      <x:c r="AC58" t="inlineStr">
        <x:is>
          <x:t xml:space="preserve">1990s</x:t>
        </x:is>
      </x:c>
      <x:c r="AD58" t="inlineStr">
        <x:is>
          <x:t xml:space="preserve">Seeded</x:t>
        </x:is>
      </x:c>
      <x:c r="AE58" t="inlineStr">
        <x:is>
          <x:t xml:space="preserve">Seeded</x:t>
        </x:is>
      </x:c>
    </x:row>
    <x:row r="59">
      <x:c r="A59" t="n">
        <x:v>1998</x:v>
      </x:c>
      <x:c r="B59" t="inlineStr">
        <x:is>
          <x:t xml:space="preserve">Women's</x:t>
        </x:is>
      </x:c>
      <x:c r="C59" t="inlineStr">
        <x:is>
          <x:t xml:space="preserve">J. Novotna</x:t>
        </x:is>
      </x:c>
      <x:c r="D59" t="inlineStr">
        <x:is>
          <x:t xml:space="preserve">CZE</x:t>
        </x:is>
      </x:c>
      <x:c r="E59" t="inlineStr">
        <x:is>
          <x:t xml:space="preserve">Czechia</x:t>
        </x:is>
      </x:c>
      <x:c r="F59" t="n">
        <x:v>3</x:v>
      </x:c>
      <x:c r="G59" t="n">
        <x:v>94</x:v>
      </x:c>
      <x:c r="H59" t="inlineStr">
        <x:is>
          <x:t xml:space="preserve">6-4, 7-6 (7-2)</x:t>
        </x:is>
      </x:c>
      <x:c r="I59" t="n">
        <x:v>6</x:v>
      </x:c>
      <x:c r="J59" t="n">
        <x:v>4</x:v>
      </x:c>
      <x:c r="K59" t="n">
        <x:v>7</x:v>
      </x:c>
      <x:c r="L59" t="n">
        <x:v>6</x:v>
      </x:c>
      <x:c r="S59" t="inlineStr">
        <x:is>
          <x:t xml:space="preserve">N. Tauziat</x:t>
        </x:is>
      </x:c>
      <x:c r="T59" t="inlineStr">
        <x:is>
          <x:t xml:space="preserve">FRA</x:t>
        </x:is>
      </x:c>
      <x:c r="U59" t="inlineStr">
        <x:is>
          <x:t xml:space="preserve">France</x:t>
        </x:is>
      </x:c>
      <x:c r="V59" t="n">
        <x:v>16</x:v>
      </x:c>
      <x:c r="W59" t="n">
        <x:v>2</x:v>
      </x:c>
      <x:c r="X59" t="n">
        <x:v>23</x:v>
      </x:c>
      <x:c r="Y59" t="inlineStr">
        <x:is>
          <x:t xml:space="preserve">Completed</x:t>
        </x:is>
      </x:c>
      <x:c r="Z59" t="inlineStr">
        <x:is>
          <x:t xml:space="preserve">Recorded</x:t>
        </x:is>
      </x:c>
      <x:c r="AA59" t="n">
        <x:v>1</x:v>
      </x:c>
      <x:c r="AB59" t="inlineStr">
        <x:is>
          <x:t xml:space="preserve">No</x:t>
        </x:is>
      </x:c>
      <x:c r="AC59" t="inlineStr">
        <x:is>
          <x:t xml:space="preserve">1990s</x:t>
        </x:is>
      </x:c>
      <x:c r="AD59" t="inlineStr">
        <x:is>
          <x:t xml:space="preserve">Seeded</x:t>
        </x:is>
      </x:c>
      <x:c r="AE59" t="inlineStr">
        <x:is>
          <x:t xml:space="preserve">Seeded</x:t>
        </x:is>
      </x:c>
    </x:row>
    <x:row r="60">
      <x:c r="A60" t="n">
        <x:v>1998</x:v>
      </x:c>
      <x:c r="B60" t="inlineStr">
        <x:is>
          <x:t xml:space="preserve">Men's</x:t>
        </x:is>
      </x:c>
      <x:c r="C60" t="inlineStr">
        <x:is>
          <x:t xml:space="preserve">P. Sampras</x:t>
        </x:is>
      </x:c>
      <x:c r="D60" t="inlineStr">
        <x:is>
          <x:t xml:space="preserve">USA</x:t>
        </x:is>
      </x:c>
      <x:c r="E60" t="inlineStr">
        <x:is>
          <x:t xml:space="preserve">United States</x:t>
        </x:is>
      </x:c>
      <x:c r="F60" t="n">
        <x:v>1</x:v>
      </x:c>
      <x:c r="G60" t="n">
        <x:v>172</x:v>
      </x:c>
      <x:c r="H60" t="inlineStr">
        <x:is>
          <x:t xml:space="preserve">6-7 (2-7), 7-6 (11-9), 6-4, 3-6, 6-2</x:t>
        </x:is>
      </x:c>
      <x:c r="I60" t="n">
        <x:v>6</x:v>
      </x:c>
      <x:c r="J60" t="n">
        <x:v>7</x:v>
      </x:c>
      <x:c r="K60" t="n">
        <x:v>7</x:v>
      </x:c>
      <x:c r="L60" t="n">
        <x:v>6</x:v>
      </x:c>
      <x:c r="M60" t="n">
        <x:v>6</x:v>
      </x:c>
      <x:c r="N60" t="n">
        <x:v>4</x:v>
      </x:c>
      <x:c r="O60" t="n">
        <x:v>3</x:v>
      </x:c>
      <x:c r="P60" t="n">
        <x:v>6</x:v>
      </x:c>
      <x:c r="Q60" t="n">
        <x:v>6</x:v>
      </x:c>
      <x:c r="R60" t="n">
        <x:v>2</x:v>
      </x:c>
      <x:c r="S60" t="inlineStr">
        <x:is>
          <x:t xml:space="preserve">G.S. Ivanisevic</x:t>
        </x:is>
      </x:c>
      <x:c r="T60" t="inlineStr">
        <x:is>
          <x:t xml:space="preserve">CRO</x:t>
        </x:is>
      </x:c>
      <x:c r="U60" t="inlineStr">
        <x:is>
          <x:t xml:space="preserve">Croatia</x:t>
        </x:is>
      </x:c>
      <x:c r="V60" t="n">
        <x:v>14</x:v>
      </x:c>
      <x:c r="W60" t="n">
        <x:v>5</x:v>
      </x:c>
      <x:c r="X60" t="n">
        <x:v>53</x:v>
      </x:c>
      <x:c r="Y60" t="inlineStr">
        <x:is>
          <x:t xml:space="preserve">Completed</x:t>
        </x:is>
      </x:c>
      <x:c r="Z60" t="inlineStr">
        <x:is>
          <x:t xml:space="preserve">Recorded</x:t>
        </x:is>
      </x:c>
      <x:c r="AA60" t="n">
        <x:v>7</x:v>
      </x:c>
      <x:c r="AB60" t="inlineStr">
        <x:is>
          <x:t xml:space="preserve">Yes</x:t>
        </x:is>
      </x:c>
      <x:c r="AC60" t="inlineStr">
        <x:is>
          <x:t xml:space="preserve">1990s</x:t>
        </x:is>
      </x:c>
      <x:c r="AD60" t="inlineStr">
        <x:is>
          <x:t xml:space="preserve">Seeded</x:t>
        </x:is>
      </x:c>
      <x:c r="AE60" t="inlineStr">
        <x:is>
          <x:t xml:space="preserve">Seeded</x:t>
        </x:is>
      </x:c>
    </x:row>
    <x:row r="61">
      <x:c r="A61" t="n">
        <x:v>1997</x:v>
      </x:c>
      <x:c r="B61" t="inlineStr">
        <x:is>
          <x:t xml:space="preserve">Women's</x:t>
        </x:is>
      </x:c>
      <x:c r="C61" t="inlineStr">
        <x:is>
          <x:t xml:space="preserve">M. Hingis</x:t>
        </x:is>
      </x:c>
      <x:c r="D61" t="inlineStr">
        <x:is>
          <x:t xml:space="preserve">SUI</x:t>
        </x:is>
      </x:c>
      <x:c r="E61" t="inlineStr">
        <x:is>
          <x:t xml:space="preserve">Switzerland</x:t>
        </x:is>
      </x:c>
      <x:c r="F61" t="n">
        <x:v>1</x:v>
      </x:c>
      <x:c r="G61" t="n">
        <x:v>110</x:v>
      </x:c>
      <x:c r="H61" t="inlineStr">
        <x:is>
          <x:t xml:space="preserve">2-6, 6-3, 6-3</x:t>
        </x:is>
      </x:c>
      <x:c r="I61" t="n">
        <x:v>2</x:v>
      </x:c>
      <x:c r="J61" t="n">
        <x:v>6</x:v>
      </x:c>
      <x:c r="K61" t="n">
        <x:v>6</x:v>
      </x:c>
      <x:c r="L61" t="n">
        <x:v>3</x:v>
      </x:c>
      <x:c r="M61" t="n">
        <x:v>6</x:v>
      </x:c>
      <x:c r="N61" t="n">
        <x:v>3</x:v>
      </x:c>
      <x:c r="S61" t="inlineStr">
        <x:is>
          <x:t xml:space="preserve">J. Novotna</x:t>
        </x:is>
      </x:c>
      <x:c r="T61" t="inlineStr">
        <x:is>
          <x:t xml:space="preserve">CZE</x:t>
        </x:is>
      </x:c>
      <x:c r="U61" t="inlineStr">
        <x:is>
          <x:t xml:space="preserve">Czechia</x:t>
        </x:is>
      </x:c>
      <x:c r="V61" t="n">
        <x:v>3</x:v>
      </x:c>
      <x:c r="W61" t="n">
        <x:v>3</x:v>
      </x:c>
      <x:c r="X61" t="n">
        <x:v>26</x:v>
      </x:c>
      <x:c r="Y61" t="inlineStr">
        <x:is>
          <x:t xml:space="preserve">Completed</x:t>
        </x:is>
      </x:c>
      <x:c r="Z61" t="inlineStr">
        <x:is>
          <x:t xml:space="preserve">Recorded</x:t>
        </x:is>
      </x:c>
      <x:c r="AA61" t="n">
        <x:v>1</x:v>
      </x:c>
      <x:c r="AB61" t="inlineStr">
        <x:is>
          <x:t xml:space="preserve">No</x:t>
        </x:is>
      </x:c>
      <x:c r="AC61" t="inlineStr">
        <x:is>
          <x:t xml:space="preserve">1990s</x:t>
        </x:is>
      </x:c>
      <x:c r="AD61" t="inlineStr">
        <x:is>
          <x:t xml:space="preserve">Seeded</x:t>
        </x:is>
      </x:c>
      <x:c r="AE61" t="inlineStr">
        <x:is>
          <x:t xml:space="preserve">Seeded</x:t>
        </x:is>
      </x:c>
    </x:row>
    <x:row r="62">
      <x:c r="A62" t="n">
        <x:v>1997</x:v>
      </x:c>
      <x:c r="B62" t="inlineStr">
        <x:is>
          <x:t xml:space="preserve">Men's</x:t>
        </x:is>
      </x:c>
      <x:c r="C62" t="inlineStr">
        <x:is>
          <x:t xml:space="preserve">P. Sampras</x:t>
        </x:is>
      </x:c>
      <x:c r="D62" t="inlineStr">
        <x:is>
          <x:t xml:space="preserve">USA</x:t>
        </x:is>
      </x:c>
      <x:c r="E62" t="inlineStr">
        <x:is>
          <x:t xml:space="preserve">United States</x:t>
        </x:is>
      </x:c>
      <x:c r="F62" t="n">
        <x:v>1</x:v>
      </x:c>
      <x:c r="G62" t="n">
        <x:v>94</x:v>
      </x:c>
      <x:c r="H62" t="inlineStr">
        <x:is>
          <x:t xml:space="preserve">6-4, 6-2, 6-4</x:t>
        </x:is>
      </x:c>
      <x:c r="I62" t="n">
        <x:v>6</x:v>
      </x:c>
      <x:c r="J62" t="n">
        <x:v>4</x:v>
      </x:c>
      <x:c r="K62" t="n">
        <x:v>6</x:v>
      </x:c>
      <x:c r="L62" t="n">
        <x:v>2</x:v>
      </x:c>
      <x:c r="M62" t="n">
        <x:v>6</x:v>
      </x:c>
      <x:c r="N62" t="n">
        <x:v>4</x:v>
      </x:c>
      <x:c r="S62" t="inlineStr">
        <x:is>
          <x:t xml:space="preserve">C.A. Pioline</x:t>
        </x:is>
      </x:c>
      <x:c r="T62" t="inlineStr">
        <x:is>
          <x:t xml:space="preserve">FRA</x:t>
        </x:is>
      </x:c>
      <x:c r="U62" t="inlineStr">
        <x:is>
          <x:t xml:space="preserve">France</x:t>
        </x:is>
      </x:c>
      <x:c r="V62" t="inlineStr">
        <x:is>
          <x:t xml:space="preserve">U</x:t>
        </x:is>
      </x:c>
      <x:c r="W62" t="n">
        <x:v>3</x:v>
      </x:c>
      <x:c r="X62" t="n">
        <x:v>28</x:v>
      </x:c>
      <x:c r="Y62" t="inlineStr">
        <x:is>
          <x:t xml:space="preserve">Completed</x:t>
        </x:is>
      </x:c>
      <x:c r="Z62" t="inlineStr">
        <x:is>
          <x:t xml:space="preserve">Recorded</x:t>
        </x:is>
      </x:c>
      <x:c r="AA62" t="n">
        <x:v>7</x:v>
      </x:c>
      <x:c r="AB62" t="inlineStr">
        <x:is>
          <x:t xml:space="preserve">Yes</x:t>
        </x:is>
      </x:c>
      <x:c r="AC62" t="inlineStr">
        <x:is>
          <x:t xml:space="preserve">1990s</x:t>
        </x:is>
      </x:c>
      <x:c r="AD62" t="inlineStr">
        <x:is>
          <x:t xml:space="preserve">Seeded</x:t>
        </x:is>
      </x:c>
      <x:c r="AE62" t="inlineStr">
        <x:is>
          <x:t xml:space="preserve">Unseeded/unknown</x:t>
        </x:is>
      </x:c>
    </x:row>
    <x:row r="63">
      <x:c r="A63" t="n">
        <x:v>1996</x:v>
      </x:c>
      <x:c r="B63" t="inlineStr">
        <x:is>
          <x:t xml:space="preserve">Women's</x:t>
        </x:is>
      </x:c>
      <x:c r="C63" t="inlineStr">
        <x:is>
          <x:t xml:space="preserve">S.M. Graf</x:t>
        </x:is>
      </x:c>
      <x:c r="D63" t="inlineStr">
        <x:is>
          <x:t xml:space="preserve">GER</x:t>
        </x:is>
      </x:c>
      <x:c r="E63" t="inlineStr">
        <x:is>
          <x:t xml:space="preserve">Germany</x:t>
        </x:is>
      </x:c>
      <x:c r="F63" t="n">
        <x:v>1</x:v>
      </x:c>
      <x:c r="G63" t="n">
        <x:v>88</x:v>
      </x:c>
      <x:c r="H63" t="inlineStr">
        <x:is>
          <x:t xml:space="preserve">6-3, 7-5,</x:t>
        </x:is>
      </x:c>
      <x:c r="I63" t="n">
        <x:v>6</x:v>
      </x:c>
      <x:c r="J63" t="n">
        <x:v>3</x:v>
      </x:c>
      <x:c r="K63" t="n">
        <x:v>7</x:v>
      </x:c>
      <x:c r="L63" t="n">
        <x:v>5</x:v>
      </x:c>
      <x:c r="S63" t="inlineStr">
        <x:is>
          <x:t xml:space="preserve">A.I.M. Sanchez Vicario</x:t>
        </x:is>
      </x:c>
      <x:c r="T63" t="inlineStr">
        <x:is>
          <x:t xml:space="preserve">ESP</x:t>
        </x:is>
      </x:c>
      <x:c r="U63" t="inlineStr">
        <x:is>
          <x:t xml:space="preserve">Spain</x:t>
        </x:is>
      </x:c>
      <x:c r="V63" t="n">
        <x:v>4</x:v>
      </x:c>
      <x:c r="W63" t="n">
        <x:v>2</x:v>
      </x:c>
      <x:c r="X63" t="n">
        <x:v>21</x:v>
      </x:c>
      <x:c r="Y63" t="inlineStr">
        <x:is>
          <x:t xml:space="preserve">Completed</x:t>
        </x:is>
      </x:c>
      <x:c r="Z63" t="inlineStr">
        <x:is>
          <x:t xml:space="preserve">Recorded</x:t>
        </x:is>
      </x:c>
      <x:c r="AA63" t="n">
        <x:v>7</x:v>
      </x:c>
      <x:c r="AB63" t="inlineStr">
        <x:is>
          <x:t xml:space="preserve">Yes</x:t>
        </x:is>
      </x:c>
      <x:c r="AC63" t="inlineStr">
        <x:is>
          <x:t xml:space="preserve">1990s</x:t>
        </x:is>
      </x:c>
      <x:c r="AD63" t="inlineStr">
        <x:is>
          <x:t xml:space="preserve">Seeded</x:t>
        </x:is>
      </x:c>
      <x:c r="AE63" t="inlineStr">
        <x:is>
          <x:t xml:space="preserve">Seeded</x:t>
        </x:is>
      </x:c>
    </x:row>
    <x:row r="64">
      <x:c r="A64" t="n">
        <x:v>1996</x:v>
      </x:c>
      <x:c r="B64" t="inlineStr">
        <x:is>
          <x:t xml:space="preserve">Men's</x:t>
        </x:is>
      </x:c>
      <x:c r="C64" t="inlineStr">
        <x:is>
          <x:t xml:space="preserve">R.P.S. Krajicek</x:t>
        </x:is>
      </x:c>
      <x:c r="D64" t="inlineStr">
        <x:is>
          <x:t xml:space="preserve">NED</x:t>
        </x:is>
      </x:c>
      <x:c r="E64" t="inlineStr">
        <x:is>
          <x:t xml:space="preserve">Netherlands</x:t>
        </x:is>
      </x:c>
      <x:c r="F64" t="inlineStr">
        <x:is>
          <x:t xml:space="preserve">U</x:t>
        </x:is>
      </x:c>
      <x:c r="G64" t="n">
        <x:v>94</x:v>
      </x:c>
      <x:c r="H64" t="inlineStr">
        <x:is>
          <x:t xml:space="preserve">6-3, 6-4, 6-3</x:t>
        </x:is>
      </x:c>
      <x:c r="I64" t="n">
        <x:v>6</x:v>
      </x:c>
      <x:c r="J64" t="n">
        <x:v>3</x:v>
      </x:c>
      <x:c r="K64" t="n">
        <x:v>6</x:v>
      </x:c>
      <x:c r="L64" t="n">
        <x:v>4</x:v>
      </x:c>
      <x:c r="M64" t="n">
        <x:v>6</x:v>
      </x:c>
      <x:c r="N64" t="n">
        <x:v>3</x:v>
      </x:c>
      <x:c r="S64" t="inlineStr">
        <x:is>
          <x:t xml:space="preserve">M.O. Washington</x:t>
        </x:is>
      </x:c>
      <x:c r="T64" t="inlineStr">
        <x:is>
          <x:t xml:space="preserve">USA</x:t>
        </x:is>
      </x:c>
      <x:c r="U64" t="inlineStr">
        <x:is>
          <x:t xml:space="preserve">United States</x:t>
        </x:is>
      </x:c>
      <x:c r="V64" t="inlineStr">
        <x:is>
          <x:t xml:space="preserve">U</x:t>
        </x:is>
      </x:c>
      <x:c r="W64" t="n">
        <x:v>3</x:v>
      </x:c>
      <x:c r="X64" t="n">
        <x:v>28</x:v>
      </x:c>
      <x:c r="Y64" t="inlineStr">
        <x:is>
          <x:t xml:space="preserve">Completed</x:t>
        </x:is>
      </x:c>
      <x:c r="Z64" t="inlineStr">
        <x:is>
          <x:t xml:space="preserve">Recorded</x:t>
        </x:is>
      </x:c>
      <x:c r="AA64" t="n">
        <x:v>1</x:v>
      </x:c>
      <x:c r="AB64" t="inlineStr">
        <x:is>
          <x:t xml:space="preserve">No</x:t>
        </x:is>
      </x:c>
      <x:c r="AC64" t="inlineStr">
        <x:is>
          <x:t xml:space="preserve">1990s</x:t>
        </x:is>
      </x:c>
      <x:c r="AD64" t="inlineStr">
        <x:is>
          <x:t xml:space="preserve">Unseeded/unknown</x:t>
        </x:is>
      </x:c>
      <x:c r="AE64" t="inlineStr">
        <x:is>
          <x:t xml:space="preserve">Unseeded/unknown</x:t>
        </x:is>
      </x:c>
    </x:row>
    <x:row r="65">
      <x:c r="A65" t="n">
        <x:v>1995</x:v>
      </x:c>
      <x:c r="B65" t="inlineStr">
        <x:is>
          <x:t xml:space="preserve">Women's</x:t>
        </x:is>
      </x:c>
      <x:c r="C65" t="inlineStr">
        <x:is>
          <x:t xml:space="preserve">S.M. Graf</x:t>
        </x:is>
      </x:c>
      <x:c r="D65" t="inlineStr">
        <x:is>
          <x:t xml:space="preserve">GER</x:t>
        </x:is>
      </x:c>
      <x:c r="E65" t="inlineStr">
        <x:is>
          <x:t xml:space="preserve">Germany</x:t>
        </x:is>
      </x:c>
      <x:c r="F65" t="n">
        <x:v>1</x:v>
      </x:c>
      <x:c r="G65" t="n">
        <x:v>122</x:v>
      </x:c>
      <x:c r="H65" t="inlineStr">
        <x:is>
          <x:t xml:space="preserve">4-6, 6-1, 7-5,</x:t>
        </x:is>
      </x:c>
      <x:c r="I65" t="n">
        <x:v>4</x:v>
      </x:c>
      <x:c r="J65" t="n">
        <x:v>6</x:v>
      </x:c>
      <x:c r="K65" t="n">
        <x:v>6</x:v>
      </x:c>
      <x:c r="L65" t="n">
        <x:v>1</x:v>
      </x:c>
      <x:c r="M65" t="n">
        <x:v>7</x:v>
      </x:c>
      <x:c r="N65" t="n">
        <x:v>5</x:v>
      </x:c>
      <x:c r="S65" t="inlineStr">
        <x:is>
          <x:t xml:space="preserve">A.I.M. Sanchez Vicario</x:t>
        </x:is>
      </x:c>
      <x:c r="T65" t="inlineStr">
        <x:is>
          <x:t xml:space="preserve">ESP</x:t>
        </x:is>
      </x:c>
      <x:c r="U65" t="inlineStr">
        <x:is>
          <x:t xml:space="preserve">Spain</x:t>
        </x:is>
      </x:c>
      <x:c r="V65" t="n">
        <x:v>2</x:v>
      </x:c>
      <x:c r="W65" t="n">
        <x:v>3</x:v>
      </x:c>
      <x:c r="X65" t="n">
        <x:v>29</x:v>
      </x:c>
      <x:c r="Y65" t="inlineStr">
        <x:is>
          <x:t xml:space="preserve">Completed</x:t>
        </x:is>
      </x:c>
      <x:c r="Z65" t="inlineStr">
        <x:is>
          <x:t xml:space="preserve">Recorded</x:t>
        </x:is>
      </x:c>
      <x:c r="AA65" t="n">
        <x:v>7</x:v>
      </x:c>
      <x:c r="AB65" t="inlineStr">
        <x:is>
          <x:t xml:space="preserve">Yes</x:t>
        </x:is>
      </x:c>
      <x:c r="AC65" t="inlineStr">
        <x:is>
          <x:t xml:space="preserve">1990s</x:t>
        </x:is>
      </x:c>
      <x:c r="AD65" t="inlineStr">
        <x:is>
          <x:t xml:space="preserve">Seeded</x:t>
        </x:is>
      </x:c>
      <x:c r="AE65" t="inlineStr">
        <x:is>
          <x:t xml:space="preserve">Seeded</x:t>
        </x:is>
      </x:c>
    </x:row>
    <x:row r="66">
      <x:c r="A66" t="n">
        <x:v>1995</x:v>
      </x:c>
      <x:c r="B66" t="inlineStr">
        <x:is>
          <x:t xml:space="preserve">Men's</x:t>
        </x:is>
      </x:c>
      <x:c r="C66" t="inlineStr">
        <x:is>
          <x:t xml:space="preserve">P. Sampras</x:t>
        </x:is>
      </x:c>
      <x:c r="D66" t="inlineStr">
        <x:is>
          <x:t xml:space="preserve">USA</x:t>
        </x:is>
      </x:c>
      <x:c r="E66" t="inlineStr">
        <x:is>
          <x:t xml:space="preserve">United States</x:t>
        </x:is>
      </x:c>
      <x:c r="F66" t="n">
        <x:v>2</x:v>
      </x:c>
      <x:c r="G66" t="n">
        <x:v>149</x:v>
      </x:c>
      <x:c r="H66" t="inlineStr">
        <x:is>
          <x:t xml:space="preserve">6-7 (5-7), 6-2, 6-4, 6-2</x:t>
        </x:is>
      </x:c>
      <x:c r="I66" t="n">
        <x:v>6</x:v>
      </x:c>
      <x:c r="J66" t="n">
        <x:v>7</x:v>
      </x:c>
      <x:c r="K66" t="n">
        <x:v>6</x:v>
      </x:c>
      <x:c r="L66" t="n">
        <x:v>2</x:v>
      </x:c>
      <x:c r="M66" t="n">
        <x:v>6</x:v>
      </x:c>
      <x:c r="N66" t="n">
        <x:v>4</x:v>
      </x:c>
      <x:c r="O66" t="n">
        <x:v>6</x:v>
      </x:c>
      <x:c r="P66" t="n">
        <x:v>2</x:v>
      </x:c>
      <x:c r="S66" t="inlineStr">
        <x:is>
          <x:t xml:space="preserve">B.F. Becker</x:t>
        </x:is>
      </x:c>
      <x:c r="T66" t="inlineStr">
        <x:is>
          <x:t xml:space="preserve">GER</x:t>
        </x:is>
      </x:c>
      <x:c r="U66" t="inlineStr">
        <x:is>
          <x:t xml:space="preserve">Germany</x:t>
        </x:is>
      </x:c>
      <x:c r="V66" t="n">
        <x:v>3</x:v>
      </x:c>
      <x:c r="W66" t="n">
        <x:v>4</x:v>
      </x:c>
      <x:c r="X66" t="n">
        <x:v>39</x:v>
      </x:c>
      <x:c r="Y66" t="inlineStr">
        <x:is>
          <x:t xml:space="preserve">Completed</x:t>
        </x:is>
      </x:c>
      <x:c r="Z66" t="inlineStr">
        <x:is>
          <x:t xml:space="preserve">Recorded</x:t>
        </x:is>
      </x:c>
      <x:c r="AA66" t="n">
        <x:v>7</x:v>
      </x:c>
      <x:c r="AB66" t="inlineStr">
        <x:is>
          <x:t xml:space="preserve">Yes</x:t>
        </x:is>
      </x:c>
      <x:c r="AC66" t="inlineStr">
        <x:is>
          <x:t xml:space="preserve">1990s</x:t>
        </x:is>
      </x:c>
      <x:c r="AD66" t="inlineStr">
        <x:is>
          <x:t xml:space="preserve">Seeded</x:t>
        </x:is>
      </x:c>
      <x:c r="AE66" t="inlineStr">
        <x:is>
          <x:t xml:space="preserve">Seeded</x:t>
        </x:is>
      </x:c>
    </x:row>
    <x:row r="67">
      <x:c r="A67" t="n">
        <x:v>1994</x:v>
      </x:c>
      <x:c r="B67" t="inlineStr">
        <x:is>
          <x:t xml:space="preserve">Women's</x:t>
        </x:is>
      </x:c>
      <x:c r="C67" t="inlineStr">
        <x:is>
          <x:t xml:space="preserve">I.C. Martinez</x:t>
        </x:is>
      </x:c>
      <x:c r="D67" t="inlineStr">
        <x:is>
          <x:t xml:space="preserve">ESP</x:t>
        </x:is>
      </x:c>
      <x:c r="E67" t="inlineStr">
        <x:is>
          <x:t xml:space="preserve">Spain</x:t>
        </x:is>
      </x:c>
      <x:c r="F67" t="n">
        <x:v>3</x:v>
      </x:c>
      <x:c r="G67" t="n">
        <x:v>119</x:v>
      </x:c>
      <x:c r="H67" t="inlineStr">
        <x:is>
          <x:t xml:space="preserve">6-4, 3-6, 6-3,</x:t>
        </x:is>
      </x:c>
      <x:c r="I67" t="n">
        <x:v>6</x:v>
      </x:c>
      <x:c r="J67" t="n">
        <x:v>4</x:v>
      </x:c>
      <x:c r="K67" t="n">
        <x:v>3</x:v>
      </x:c>
      <x:c r="L67" t="n">
        <x:v>6</x:v>
      </x:c>
      <x:c r="M67" t="n">
        <x:v>6</x:v>
      </x:c>
      <x:c r="N67" t="n">
        <x:v>3</x:v>
      </x:c>
      <x:c r="S67" t="inlineStr">
        <x:is>
          <x:t xml:space="preserve">M. Navratilova</x:t>
        </x:is>
      </x:c>
      <x:c r="T67" t="inlineStr">
        <x:is>
          <x:t xml:space="preserve">USA</x:t>
        </x:is>
      </x:c>
      <x:c r="U67" t="inlineStr">
        <x:is>
          <x:t xml:space="preserve">United States</x:t>
        </x:is>
      </x:c>
      <x:c r="V67" t="n">
        <x:v>4</x:v>
      </x:c>
      <x:c r="W67" t="n">
        <x:v>3</x:v>
      </x:c>
      <x:c r="X67" t="n">
        <x:v>28</x:v>
      </x:c>
      <x:c r="Y67" t="inlineStr">
        <x:is>
          <x:t xml:space="preserve">Completed</x:t>
        </x:is>
      </x:c>
      <x:c r="Z67" t="inlineStr">
        <x:is>
          <x:t xml:space="preserve">Recorded</x:t>
        </x:is>
      </x:c>
      <x:c r="AA67" t="n">
        <x:v>1</x:v>
      </x:c>
      <x:c r="AB67" t="inlineStr">
        <x:is>
          <x:t xml:space="preserve">No</x:t>
        </x:is>
      </x:c>
      <x:c r="AC67" t="inlineStr">
        <x:is>
          <x:t xml:space="preserve">1990s</x:t>
        </x:is>
      </x:c>
      <x:c r="AD67" t="inlineStr">
        <x:is>
          <x:t xml:space="preserve">Seeded</x:t>
        </x:is>
      </x:c>
      <x:c r="AE67" t="inlineStr">
        <x:is>
          <x:t xml:space="preserve">Seeded</x:t>
        </x:is>
      </x:c>
    </x:row>
    <x:row r="68">
      <x:c r="A68" t="n">
        <x:v>1994</x:v>
      </x:c>
      <x:c r="B68" t="inlineStr">
        <x:is>
          <x:t xml:space="preserve">Men's</x:t>
        </x:is>
      </x:c>
      <x:c r="C68" t="inlineStr">
        <x:is>
          <x:t xml:space="preserve">P. Sampras</x:t>
        </x:is>
      </x:c>
      <x:c r="D68" t="inlineStr">
        <x:is>
          <x:t xml:space="preserve">USA</x:t>
        </x:is>
      </x:c>
      <x:c r="E68" t="inlineStr">
        <x:is>
          <x:t xml:space="preserve">United States</x:t>
        </x:is>
      </x:c>
      <x:c r="F68" t="n">
        <x:v>1</x:v>
      </x:c>
      <x:c r="G68" t="n">
        <x:v>115</x:v>
      </x:c>
      <x:c r="H68" t="inlineStr">
        <x:is>
          <x:t xml:space="preserve">7-6 (7-2), 7-6 (7-5), 6-0</x:t>
        </x:is>
      </x:c>
      <x:c r="I68" t="n">
        <x:v>7</x:v>
      </x:c>
      <x:c r="J68" t="n">
        <x:v>6</x:v>
      </x:c>
      <x:c r="K68" t="n">
        <x:v>7</x:v>
      </x:c>
      <x:c r="L68" t="n">
        <x:v>6</x:v>
      </x:c>
      <x:c r="M68" t="n">
        <x:v>6</x:v>
      </x:c>
      <x:c r="N68" t="n">
        <x:v>0</x:v>
      </x:c>
      <x:c r="S68" t="inlineStr">
        <x:is>
          <x:t xml:space="preserve">G.S. Ivanisevic</x:t>
        </x:is>
      </x:c>
      <x:c r="T68" t="inlineStr">
        <x:is>
          <x:t xml:space="preserve">CRO</x:t>
        </x:is>
      </x:c>
      <x:c r="U68" t="inlineStr">
        <x:is>
          <x:t xml:space="preserve">Croatia</x:t>
        </x:is>
      </x:c>
      <x:c r="V68" t="n">
        <x:v>4</x:v>
      </x:c>
      <x:c r="W68" t="n">
        <x:v>3</x:v>
      </x:c>
      <x:c r="X68" t="n">
        <x:v>32</x:v>
      </x:c>
      <x:c r="Y68" t="inlineStr">
        <x:is>
          <x:t xml:space="preserve">Completed</x:t>
        </x:is>
      </x:c>
      <x:c r="Z68" t="inlineStr">
        <x:is>
          <x:t xml:space="preserve">Recorded</x:t>
        </x:is>
      </x:c>
      <x:c r="AA68" t="n">
        <x:v>7</x:v>
      </x:c>
      <x:c r="AB68" t="inlineStr">
        <x:is>
          <x:t xml:space="preserve">Yes</x:t>
        </x:is>
      </x:c>
      <x:c r="AC68" t="inlineStr">
        <x:is>
          <x:t xml:space="preserve">1990s</x:t>
        </x:is>
      </x:c>
      <x:c r="AD68" t="inlineStr">
        <x:is>
          <x:t xml:space="preserve">Seeded</x:t>
        </x:is>
      </x:c>
      <x:c r="AE68" t="inlineStr">
        <x:is>
          <x:t xml:space="preserve">Seeded</x:t>
        </x:is>
      </x:c>
    </x:row>
    <x:row r="69">
      <x:c r="A69" t="n">
        <x:v>1993</x:v>
      </x:c>
      <x:c r="B69" t="inlineStr">
        <x:is>
          <x:t xml:space="preserve">Women's</x:t>
        </x:is>
      </x:c>
      <x:c r="C69" t="inlineStr">
        <x:is>
          <x:t xml:space="preserve">S.M. Graf</x:t>
        </x:is>
      </x:c>
      <x:c r="D69" t="inlineStr">
        <x:is>
          <x:t xml:space="preserve">GER</x:t>
        </x:is>
      </x:c>
      <x:c r="E69" t="inlineStr">
        <x:is>
          <x:t xml:space="preserve">Germany</x:t>
        </x:is>
      </x:c>
      <x:c r="F69" t="n">
        <x:v>1</x:v>
      </x:c>
      <x:c r="G69" t="n">
        <x:v>134</x:v>
      </x:c>
      <x:c r="H69" t="inlineStr">
        <x:is>
          <x:t xml:space="preserve">7-6 (8-6), 1-6, 6-4,</x:t>
        </x:is>
      </x:c>
      <x:c r="I69" t="n">
        <x:v>7</x:v>
      </x:c>
      <x:c r="J69" t="n">
        <x:v>6</x:v>
      </x:c>
      <x:c r="K69" t="n">
        <x:v>1</x:v>
      </x:c>
      <x:c r="L69" t="n">
        <x:v>6</x:v>
      </x:c>
      <x:c r="M69" t="n">
        <x:v>6</x:v>
      </x:c>
      <x:c r="N69" t="n">
        <x:v>4</x:v>
      </x:c>
      <x:c r="S69" t="inlineStr">
        <x:is>
          <x:t xml:space="preserve">J. Novotna</x:t>
        </x:is>
      </x:c>
      <x:c r="T69" t="inlineStr">
        <x:is>
          <x:t xml:space="preserve">CZE</x:t>
        </x:is>
      </x:c>
      <x:c r="U69" t="inlineStr">
        <x:is>
          <x:t xml:space="preserve">Czechia</x:t>
        </x:is>
      </x:c>
      <x:c r="V69" t="n">
        <x:v>8</x:v>
      </x:c>
      <x:c r="W69" t="n">
        <x:v>3</x:v>
      </x:c>
      <x:c r="X69" t="n">
        <x:v>30</x:v>
      </x:c>
      <x:c r="Y69" t="inlineStr">
        <x:is>
          <x:t xml:space="preserve">Completed</x:t>
        </x:is>
      </x:c>
      <x:c r="Z69" t="inlineStr">
        <x:is>
          <x:t xml:space="preserve">Recorded</x:t>
        </x:is>
      </x:c>
      <x:c r="AA69" t="n">
        <x:v>7</x:v>
      </x:c>
      <x:c r="AB69" t="inlineStr">
        <x:is>
          <x:t xml:space="preserve">Yes</x:t>
        </x:is>
      </x:c>
      <x:c r="AC69" t="inlineStr">
        <x:is>
          <x:t xml:space="preserve">1990s</x:t>
        </x:is>
      </x:c>
      <x:c r="AD69" t="inlineStr">
        <x:is>
          <x:t xml:space="preserve">Seeded</x:t>
        </x:is>
      </x:c>
      <x:c r="AE69" t="inlineStr">
        <x:is>
          <x:t xml:space="preserve">Seeded</x:t>
        </x:is>
      </x:c>
    </x:row>
    <x:row r="70">
      <x:c r="A70" t="n">
        <x:v>1993</x:v>
      </x:c>
      <x:c r="B70" t="inlineStr">
        <x:is>
          <x:t xml:space="preserve">Men's</x:t>
        </x:is>
      </x:c>
      <x:c r="C70" t="inlineStr">
        <x:is>
          <x:t xml:space="preserve">P. Sampras</x:t>
        </x:is>
      </x:c>
      <x:c r="D70" t="inlineStr">
        <x:is>
          <x:t xml:space="preserve">USA</x:t>
        </x:is>
      </x:c>
      <x:c r="E70" t="inlineStr">
        <x:is>
          <x:t xml:space="preserve">United States</x:t>
        </x:is>
      </x:c>
      <x:c r="F70" t="n">
        <x:v>1</x:v>
      </x:c>
      <x:c r="G70" t="n">
        <x:v>178</x:v>
      </x:c>
      <x:c r="H70" t="inlineStr">
        <x:is>
          <x:t xml:space="preserve">7-6 (7-3), 7-6 (8-6), 3-6, 6-3</x:t>
        </x:is>
      </x:c>
      <x:c r="I70" t="n">
        <x:v>7</x:v>
      </x:c>
      <x:c r="J70" t="n">
        <x:v>6</x:v>
      </x:c>
      <x:c r="K70" t="n">
        <x:v>7</x:v>
      </x:c>
      <x:c r="L70" t="n">
        <x:v>6</x:v>
      </x:c>
      <x:c r="M70" t="n">
        <x:v>3</x:v>
      </x:c>
      <x:c r="N70" t="n">
        <x:v>6</x:v>
      </x:c>
      <x:c r="O70" t="n">
        <x:v>6</x:v>
      </x:c>
      <x:c r="P70" t="n">
        <x:v>3</x:v>
      </x:c>
      <x:c r="S70" t="inlineStr">
        <x:is>
          <x:t xml:space="preserve">J.S. Courier</x:t>
        </x:is>
      </x:c>
      <x:c r="T70" t="inlineStr">
        <x:is>
          <x:t xml:space="preserve">USA</x:t>
        </x:is>
      </x:c>
      <x:c r="U70" t="inlineStr">
        <x:is>
          <x:t xml:space="preserve">United States</x:t>
        </x:is>
      </x:c>
      <x:c r="V70" t="n">
        <x:v>3</x:v>
      </x:c>
      <x:c r="W70" t="n">
        <x:v>4</x:v>
      </x:c>
      <x:c r="X70" t="n">
        <x:v>44</x:v>
      </x:c>
      <x:c r="Y70" t="inlineStr">
        <x:is>
          <x:t xml:space="preserve">Completed</x:t>
        </x:is>
      </x:c>
      <x:c r="Z70" t="inlineStr">
        <x:is>
          <x:t xml:space="preserve">Recorded</x:t>
        </x:is>
      </x:c>
      <x:c r="AA70" t="n">
        <x:v>7</x:v>
      </x:c>
      <x:c r="AB70" t="inlineStr">
        <x:is>
          <x:t xml:space="preserve">Yes</x:t>
        </x:is>
      </x:c>
      <x:c r="AC70" t="inlineStr">
        <x:is>
          <x:t xml:space="preserve">1990s</x:t>
        </x:is>
      </x:c>
      <x:c r="AD70" t="inlineStr">
        <x:is>
          <x:t xml:space="preserve">Seeded</x:t>
        </x:is>
      </x:c>
      <x:c r="AE70" t="inlineStr">
        <x:is>
          <x:t xml:space="preserve">Seeded</x:t>
        </x:is>
      </x:c>
    </x:row>
    <x:row r="71">
      <x:c r="A71" t="n">
        <x:v>1992</x:v>
      </x:c>
      <x:c r="B71" t="inlineStr">
        <x:is>
          <x:t xml:space="preserve">Women's</x:t>
        </x:is>
      </x:c>
      <x:c r="C71" t="inlineStr">
        <x:is>
          <x:t xml:space="preserve">S.M. Graf</x:t>
        </x:is>
      </x:c>
      <x:c r="D71" t="inlineStr">
        <x:is>
          <x:t xml:space="preserve">GER</x:t>
        </x:is>
      </x:c>
      <x:c r="E71" t="inlineStr">
        <x:is>
          <x:t xml:space="preserve">Germany</x:t>
        </x:is>
      </x:c>
      <x:c r="F71" t="n">
        <x:v>2</x:v>
      </x:c>
      <x:c r="G71" t="n">
        <x:v>58</x:v>
      </x:c>
      <x:c r="H71" t="inlineStr">
        <x:is>
          <x:t xml:space="preserve">6-2, 6-1,</x:t>
        </x:is>
      </x:c>
      <x:c r="I71" t="n">
        <x:v>6</x:v>
      </x:c>
      <x:c r="J71" t="n">
        <x:v>2</x:v>
      </x:c>
      <x:c r="K71" t="n">
        <x:v>6</x:v>
      </x:c>
      <x:c r="L71" t="n">
        <x:v>1</x:v>
      </x:c>
      <x:c r="S71" t="inlineStr">
        <x:is>
          <x:t xml:space="preserve">M. Seles</x:t>
        </x:is>
      </x:c>
      <x:c r="T71" t="inlineStr">
        <x:is>
          <x:t xml:space="preserve">SRB</x:t>
        </x:is>
      </x:c>
      <x:c r="U71" t="inlineStr">
        <x:is>
          <x:t xml:space="preserve">Serbia</x:t>
        </x:is>
      </x:c>
      <x:c r="V71" t="n">
        <x:v>1</x:v>
      </x:c>
      <x:c r="W71" t="n">
        <x:v>2</x:v>
      </x:c>
      <x:c r="X71" t="n">
        <x:v>15</x:v>
      </x:c>
      <x:c r="Y71" t="inlineStr">
        <x:is>
          <x:t xml:space="preserve">Completed</x:t>
        </x:is>
      </x:c>
      <x:c r="Z71" t="inlineStr">
        <x:is>
          <x:t xml:space="preserve">Recorded</x:t>
        </x:is>
      </x:c>
      <x:c r="AA71" t="n">
        <x:v>7</x:v>
      </x:c>
      <x:c r="AB71" t="inlineStr">
        <x:is>
          <x:t xml:space="preserve">Yes</x:t>
        </x:is>
      </x:c>
      <x:c r="AC71" t="inlineStr">
        <x:is>
          <x:t xml:space="preserve">1990s</x:t>
        </x:is>
      </x:c>
      <x:c r="AD71" t="inlineStr">
        <x:is>
          <x:t xml:space="preserve">Seeded</x:t>
        </x:is>
      </x:c>
      <x:c r="AE71" t="inlineStr">
        <x:is>
          <x:t xml:space="preserve">Seeded</x:t>
        </x:is>
      </x:c>
    </x:row>
    <x:row r="72">
      <x:c r="A72" t="n">
        <x:v>1992</x:v>
      </x:c>
      <x:c r="B72" t="inlineStr">
        <x:is>
          <x:t xml:space="preserve">Men's</x:t>
        </x:is>
      </x:c>
      <x:c r="C72" t="inlineStr">
        <x:is>
          <x:t xml:space="preserve">A.K. Agassi</x:t>
        </x:is>
      </x:c>
      <x:c r="D72" t="inlineStr">
        <x:is>
          <x:t xml:space="preserve">USA</x:t>
        </x:is>
      </x:c>
      <x:c r="E72" t="inlineStr">
        <x:is>
          <x:t xml:space="preserve">United States</x:t>
        </x:is>
      </x:c>
      <x:c r="F72" t="n">
        <x:v>12</x:v>
      </x:c>
      <x:c r="G72" t="n">
        <x:v>170</x:v>
      </x:c>
      <x:c r="H72" t="inlineStr">
        <x:is>
          <x:t xml:space="preserve">6-7 (8-10), 6-4, 6-4, 1-6, 6-4</x:t>
        </x:is>
      </x:c>
      <x:c r="I72" t="n">
        <x:v>6</x:v>
      </x:c>
      <x:c r="J72" t="n">
        <x:v>7</x:v>
      </x:c>
      <x:c r="K72" t="n">
        <x:v>6</x:v>
      </x:c>
      <x:c r="L72" t="n">
        <x:v>4</x:v>
      </x:c>
      <x:c r="M72" t="n">
        <x:v>6</x:v>
      </x:c>
      <x:c r="N72" t="n">
        <x:v>4</x:v>
      </x:c>
      <x:c r="O72" t="n">
        <x:v>1</x:v>
      </x:c>
      <x:c r="P72" t="n">
        <x:v>6</x:v>
      </x:c>
      <x:c r="Q72" t="n">
        <x:v>6</x:v>
      </x:c>
      <x:c r="R72" t="n">
        <x:v>4</x:v>
      </x:c>
      <x:c r="S72" t="inlineStr">
        <x:is>
          <x:t xml:space="preserve">G.S. Ivanisevic</x:t>
        </x:is>
      </x:c>
      <x:c r="T72" t="inlineStr">
        <x:is>
          <x:t xml:space="preserve">CRO</x:t>
        </x:is>
      </x:c>
      <x:c r="U72" t="inlineStr">
        <x:is>
          <x:t xml:space="preserve">Croatia</x:t>
        </x:is>
      </x:c>
      <x:c r="V72" t="n">
        <x:v>8</x:v>
      </x:c>
      <x:c r="W72" t="n">
        <x:v>5</x:v>
      </x:c>
      <x:c r="X72" t="n">
        <x:v>50</x:v>
      </x:c>
      <x:c r="Y72" t="inlineStr">
        <x:is>
          <x:t xml:space="preserve">Completed</x:t>
        </x:is>
      </x:c>
      <x:c r="Z72" t="inlineStr">
        <x:is>
          <x:t xml:space="preserve">Recorded</x:t>
        </x:is>
      </x:c>
      <x:c r="AA72" t="n">
        <x:v>1</x:v>
      </x:c>
      <x:c r="AB72" t="inlineStr">
        <x:is>
          <x:t xml:space="preserve">No</x:t>
        </x:is>
      </x:c>
      <x:c r="AC72" t="inlineStr">
        <x:is>
          <x:t xml:space="preserve">1990s</x:t>
        </x:is>
      </x:c>
      <x:c r="AD72" t="inlineStr">
        <x:is>
          <x:t xml:space="preserve">Seeded</x:t>
        </x:is>
      </x:c>
      <x:c r="AE72" t="inlineStr">
        <x:is>
          <x:t xml:space="preserve">Seeded</x:t>
        </x:is>
      </x:c>
    </x:row>
    <x:row r="73">
      <x:c r="A73" t="n">
        <x:v>1991</x:v>
      </x:c>
      <x:c r="B73" t="inlineStr">
        <x:is>
          <x:t xml:space="preserve">Women's</x:t>
        </x:is>
      </x:c>
      <x:c r="C73" t="inlineStr">
        <x:is>
          <x:t xml:space="preserve">S.M. Graf</x:t>
        </x:is>
      </x:c>
      <x:c r="D73" t="inlineStr">
        <x:is>
          <x:t xml:space="preserve">GER</x:t>
        </x:is>
      </x:c>
      <x:c r="E73" t="inlineStr">
        <x:is>
          <x:t xml:space="preserve">Germany</x:t>
        </x:is>
      </x:c>
      <x:c r="F73" t="n">
        <x:v>1</x:v>
      </x:c>
      <x:c r="G73" t="n">
        <x:v>127</x:v>
      </x:c>
      <x:c r="H73" t="inlineStr">
        <x:is>
          <x:t xml:space="preserve">6-4, 3-6, 8-6,</x:t>
        </x:is>
      </x:c>
      <x:c r="I73" t="n">
        <x:v>6</x:v>
      </x:c>
      <x:c r="J73" t="n">
        <x:v>4</x:v>
      </x:c>
      <x:c r="K73" t="n">
        <x:v>3</x:v>
      </x:c>
      <x:c r="L73" t="n">
        <x:v>6</x:v>
      </x:c>
      <x:c r="M73" t="n">
        <x:v>8</x:v>
      </x:c>
      <x:c r="N73" t="n">
        <x:v>6</x:v>
      </x:c>
      <x:c r="S73" t="inlineStr">
        <x:is>
          <x:t xml:space="preserve">G.B. Sabatini</x:t>
        </x:is>
      </x:c>
      <x:c r="T73" t="inlineStr">
        <x:is>
          <x:t xml:space="preserve">ARG</x:t>
        </x:is>
      </x:c>
      <x:c r="U73" t="inlineStr">
        <x:is>
          <x:t xml:space="preserve">Argentina</x:t>
        </x:is>
      </x:c>
      <x:c r="V73" t="n">
        <x:v>2</x:v>
      </x:c>
      <x:c r="W73" t="n">
        <x:v>3</x:v>
      </x:c>
      <x:c r="X73" t="n">
        <x:v>33</x:v>
      </x:c>
      <x:c r="Y73" t="inlineStr">
        <x:is>
          <x:t xml:space="preserve">Completed</x:t>
        </x:is>
      </x:c>
      <x:c r="Z73" t="inlineStr">
        <x:is>
          <x:t xml:space="preserve">Recorded</x:t>
        </x:is>
      </x:c>
      <x:c r="AA73" t="n">
        <x:v>7</x:v>
      </x:c>
      <x:c r="AB73" t="inlineStr">
        <x:is>
          <x:t xml:space="preserve">Yes</x:t>
        </x:is>
      </x:c>
      <x:c r="AC73" t="inlineStr">
        <x:is>
          <x:t xml:space="preserve">1990s</x:t>
        </x:is>
      </x:c>
      <x:c r="AD73" t="inlineStr">
        <x:is>
          <x:t xml:space="preserve">Seeded</x:t>
        </x:is>
      </x:c>
      <x:c r="AE73" t="inlineStr">
        <x:is>
          <x:t xml:space="preserve">Seeded</x:t>
        </x:is>
      </x:c>
    </x:row>
    <x:row r="74">
      <x:c r="A74" t="n">
        <x:v>1991</x:v>
      </x:c>
      <x:c r="B74" t="inlineStr">
        <x:is>
          <x:t xml:space="preserve">Men's</x:t>
        </x:is>
      </x:c>
      <x:c r="C74" t="inlineStr">
        <x:is>
          <x:t xml:space="preserve">M.D. Stich</x:t>
        </x:is>
      </x:c>
      <x:c r="D74" t="inlineStr">
        <x:is>
          <x:t xml:space="preserve">GER</x:t>
        </x:is>
      </x:c>
      <x:c r="E74" t="inlineStr">
        <x:is>
          <x:t xml:space="preserve">Germany</x:t>
        </x:is>
      </x:c>
      <x:c r="F74" t="n">
        <x:v>6</x:v>
      </x:c>
      <x:c r="G74" t="n">
        <x:v>153</x:v>
      </x:c>
      <x:c r="H74" t="inlineStr">
        <x:is>
          <x:t xml:space="preserve">6-4, 7-6 (7-4), 6-4</x:t>
        </x:is>
      </x:c>
      <x:c r="I74" t="n">
        <x:v>6</x:v>
      </x:c>
      <x:c r="J74" t="n">
        <x:v>4</x:v>
      </x:c>
      <x:c r="K74" t="n">
        <x:v>7</x:v>
      </x:c>
      <x:c r="L74" t="n">
        <x:v>6</x:v>
      </x:c>
      <x:c r="M74" t="n">
        <x:v>6</x:v>
      </x:c>
      <x:c r="N74" t="n">
        <x:v>4</x:v>
      </x:c>
      <x:c r="S74" t="inlineStr">
        <x:is>
          <x:t xml:space="preserve">B.F. Becker</x:t>
        </x:is>
      </x:c>
      <x:c r="T74" t="inlineStr">
        <x:is>
          <x:t xml:space="preserve">GER</x:t>
        </x:is>
      </x:c>
      <x:c r="U74" t="inlineStr">
        <x:is>
          <x:t xml:space="preserve">Germany</x:t>
        </x:is>
      </x:c>
      <x:c r="V74" t="n">
        <x:v>2</x:v>
      </x:c>
      <x:c r="W74" t="n">
        <x:v>3</x:v>
      </x:c>
      <x:c r="X74" t="n">
        <x:v>33</x:v>
      </x:c>
      <x:c r="Y74" t="inlineStr">
        <x:is>
          <x:t xml:space="preserve">Completed</x:t>
        </x:is>
      </x:c>
      <x:c r="Z74" t="inlineStr">
        <x:is>
          <x:t xml:space="preserve">Recorded</x:t>
        </x:is>
      </x:c>
      <x:c r="AA74" t="n">
        <x:v>1</x:v>
      </x:c>
      <x:c r="AB74" t="inlineStr">
        <x:is>
          <x:t xml:space="preserve">No</x:t>
        </x:is>
      </x:c>
      <x:c r="AC74" t="inlineStr">
        <x:is>
          <x:t xml:space="preserve">1990s</x:t>
        </x:is>
      </x:c>
      <x:c r="AD74" t="inlineStr">
        <x:is>
          <x:t xml:space="preserve">Seeded</x:t>
        </x:is>
      </x:c>
      <x:c r="AE74" t="inlineStr">
        <x:is>
          <x:t xml:space="preserve">Seeded</x:t>
        </x:is>
      </x:c>
    </x:row>
    <x:row r="75">
      <x:c r="A75" t="n">
        <x:v>1990</x:v>
      </x:c>
      <x:c r="B75" t="inlineStr">
        <x:is>
          <x:t xml:space="preserve">Women's</x:t>
        </x:is>
      </x:c>
      <x:c r="C75" t="inlineStr">
        <x:is>
          <x:t xml:space="preserve">M. Navratilova</x:t>
        </x:is>
      </x:c>
      <x:c r="D75" t="inlineStr">
        <x:is>
          <x:t xml:space="preserve">USA</x:t>
        </x:is>
      </x:c>
      <x:c r="E75" t="inlineStr">
        <x:is>
          <x:t xml:space="preserve">United States</x:t>
        </x:is>
      </x:c>
      <x:c r="F75" t="n">
        <x:v>2</x:v>
      </x:c>
      <x:c r="G75" t="n">
        <x:v>75</x:v>
      </x:c>
      <x:c r="H75" t="inlineStr">
        <x:is>
          <x:t xml:space="preserve">6-4, 6-1,</x:t>
        </x:is>
      </x:c>
      <x:c r="I75" t="n">
        <x:v>6</x:v>
      </x:c>
      <x:c r="J75" t="n">
        <x:v>4</x:v>
      </x:c>
      <x:c r="K75" t="n">
        <x:v>6</x:v>
      </x:c>
      <x:c r="L75" t="n">
        <x:v>1</x:v>
      </x:c>
      <x:c r="S75" t="inlineStr">
        <x:is>
          <x:t xml:space="preserve">Z.L. Garrison</x:t>
        </x:is>
      </x:c>
      <x:c r="T75" t="inlineStr">
        <x:is>
          <x:t xml:space="preserve">USA</x:t>
        </x:is>
      </x:c>
      <x:c r="U75" t="inlineStr">
        <x:is>
          <x:t xml:space="preserve">United States</x:t>
        </x:is>
      </x:c>
      <x:c r="V75" t="n">
        <x:v>5</x:v>
      </x:c>
      <x:c r="W75" t="n">
        <x:v>2</x:v>
      </x:c>
      <x:c r="X75" t="n">
        <x:v>17</x:v>
      </x:c>
      <x:c r="Y75" t="inlineStr">
        <x:is>
          <x:t xml:space="preserve">Completed</x:t>
        </x:is>
      </x:c>
      <x:c r="Z75" t="inlineStr">
        <x:is>
          <x:t xml:space="preserve">Recorded</x:t>
        </x:is>
      </x:c>
      <x:c r="AA75" t="n">
        <x:v>9</x:v>
      </x:c>
      <x:c r="AB75" t="inlineStr">
        <x:is>
          <x:t xml:space="preserve">Yes</x:t>
        </x:is>
      </x:c>
      <x:c r="AC75" t="inlineStr">
        <x:is>
          <x:t xml:space="preserve">1990s</x:t>
        </x:is>
      </x:c>
      <x:c r="AD75" t="inlineStr">
        <x:is>
          <x:t xml:space="preserve">Seeded</x:t>
        </x:is>
      </x:c>
      <x:c r="AE75" t="inlineStr">
        <x:is>
          <x:t xml:space="preserve">Seeded</x:t>
        </x:is>
      </x:c>
    </x:row>
    <x:row r="76">
      <x:c r="A76" t="n">
        <x:v>1990</x:v>
      </x:c>
      <x:c r="B76" t="inlineStr">
        <x:is>
          <x:t xml:space="preserve">Men's</x:t>
        </x:is>
      </x:c>
      <x:c r="C76" t="inlineStr">
        <x:is>
          <x:t xml:space="preserve">S.B. Edberg</x:t>
        </x:is>
      </x:c>
      <x:c r="D76" t="inlineStr">
        <x:is>
          <x:t xml:space="preserve">SWE</x:t>
        </x:is>
      </x:c>
      <x:c r="E76" t="inlineStr">
        <x:is>
          <x:t xml:space="preserve">Sweden</x:t>
        </x:is>
      </x:c>
      <x:c r="F76" t="n">
        <x:v>3</x:v>
      </x:c>
      <x:c r="G76" t="n">
        <x:v>178</x:v>
      </x:c>
      <x:c r="H76" t="inlineStr">
        <x:is>
          <x:t xml:space="preserve">6-2, 6-2, 3-6, 3-6, 6-4</x:t>
        </x:is>
      </x:c>
      <x:c r="I76" t="n">
        <x:v>6</x:v>
      </x:c>
      <x:c r="J76" t="n">
        <x:v>2</x:v>
      </x:c>
      <x:c r="K76" t="n">
        <x:v>6</x:v>
      </x:c>
      <x:c r="L76" t="n">
        <x:v>2</x:v>
      </x:c>
      <x:c r="M76" t="n">
        <x:v>3</x:v>
      </x:c>
      <x:c r="N76" t="n">
        <x:v>6</x:v>
      </x:c>
      <x:c r="O76" t="n">
        <x:v>3</x:v>
      </x:c>
      <x:c r="P76" t="n">
        <x:v>6</x:v>
      </x:c>
      <x:c r="Q76" t="n">
        <x:v>6</x:v>
      </x:c>
      <x:c r="R76" t="n">
        <x:v>4</x:v>
      </x:c>
      <x:c r="S76" t="inlineStr">
        <x:is>
          <x:t xml:space="preserve">B.F. Becker</x:t>
        </x:is>
      </x:c>
      <x:c r="T76" t="inlineStr">
        <x:is>
          <x:t xml:space="preserve">GER</x:t>
        </x:is>
      </x:c>
      <x:c r="U76" t="inlineStr">
        <x:is>
          <x:t xml:space="preserve">Germany</x:t>
        </x:is>
      </x:c>
      <x:c r="V76" t="n">
        <x:v>2</x:v>
      </x:c>
      <x:c r="W76" t="n">
        <x:v>5</x:v>
      </x:c>
      <x:c r="X76" t="n">
        <x:v>44</x:v>
      </x:c>
      <x:c r="Y76" t="inlineStr">
        <x:is>
          <x:t xml:space="preserve">Completed</x:t>
        </x:is>
      </x:c>
      <x:c r="Z76" t="inlineStr">
        <x:is>
          <x:t xml:space="preserve">Recorded</x:t>
        </x:is>
      </x:c>
      <x:c r="AA76" t="n">
        <x:v>2</x:v>
      </x:c>
      <x:c r="AB76" t="inlineStr">
        <x:is>
          <x:t xml:space="preserve">No</x:t>
        </x:is>
      </x:c>
      <x:c r="AC76" t="inlineStr">
        <x:is>
          <x:t xml:space="preserve">1990s</x:t>
        </x:is>
      </x:c>
      <x:c r="AD76" t="inlineStr">
        <x:is>
          <x:t xml:space="preserve">Seeded</x:t>
        </x:is>
      </x:c>
      <x:c r="AE76" t="inlineStr">
        <x:is>
          <x:t xml:space="preserve">Seeded</x:t>
        </x:is>
      </x:c>
    </x:row>
    <x:row r="77">
      <x:c r="A77" t="n">
        <x:v>1989</x:v>
      </x:c>
      <x:c r="B77" t="inlineStr">
        <x:is>
          <x:t xml:space="preserve">Women's</x:t>
        </x:is>
      </x:c>
      <x:c r="C77" t="inlineStr">
        <x:is>
          <x:t xml:space="preserve">S.M. Graf</x:t>
        </x:is>
      </x:c>
      <x:c r="D77" t="inlineStr">
        <x:is>
          <x:t xml:space="preserve">GER</x:t>
        </x:is>
      </x:c>
      <x:c r="E77" t="inlineStr">
        <x:is>
          <x:t xml:space="preserve">Germany</x:t>
        </x:is>
      </x:c>
      <x:c r="F77" t="n">
        <x:v>1</x:v>
      </x:c>
      <x:c r="G77" t="n">
        <x:v>92</x:v>
      </x:c>
      <x:c r="H77" t="inlineStr">
        <x:is>
          <x:t xml:space="preserve">6-2, 6-7 (1-7), 6-1,</x:t>
        </x:is>
      </x:c>
      <x:c r="I77" t="n">
        <x:v>6</x:v>
      </x:c>
      <x:c r="J77" t="n">
        <x:v>2</x:v>
      </x:c>
      <x:c r="K77" t="n">
        <x:v>6</x:v>
      </x:c>
      <x:c r="L77" t="n">
        <x:v>7</x:v>
      </x:c>
      <x:c r="M77" t="n">
        <x:v>6</x:v>
      </x:c>
      <x:c r="N77" t="n">
        <x:v>1</x:v>
      </x:c>
      <x:c r="S77" t="inlineStr">
        <x:is>
          <x:t xml:space="preserve">M. Navratilova</x:t>
        </x:is>
      </x:c>
      <x:c r="T77" t="inlineStr">
        <x:is>
          <x:t xml:space="preserve">USA</x:t>
        </x:is>
      </x:c>
      <x:c r="U77" t="inlineStr">
        <x:is>
          <x:t xml:space="preserve">United States</x:t>
        </x:is>
      </x:c>
      <x:c r="V77" t="n">
        <x:v>2</x:v>
      </x:c>
      <x:c r="W77" t="n">
        <x:v>3</x:v>
      </x:c>
      <x:c r="X77" t="n">
        <x:v>28</x:v>
      </x:c>
      <x:c r="Y77" t="inlineStr">
        <x:is>
          <x:t xml:space="preserve">Completed</x:t>
        </x:is>
      </x:c>
      <x:c r="Z77" t="inlineStr">
        <x:is>
          <x:t xml:space="preserve">Recorded</x:t>
        </x:is>
      </x:c>
      <x:c r="AA77" t="n">
        <x:v>7</x:v>
      </x:c>
      <x:c r="AB77" t="inlineStr">
        <x:is>
          <x:t xml:space="preserve">Yes</x:t>
        </x:is>
      </x:c>
      <x:c r="AC77" t="inlineStr">
        <x:is>
          <x:t xml:space="preserve">1980s</x:t>
        </x:is>
      </x:c>
      <x:c r="AD77" t="inlineStr">
        <x:is>
          <x:t xml:space="preserve">Seeded</x:t>
        </x:is>
      </x:c>
      <x:c r="AE77" t="inlineStr">
        <x:is>
          <x:t xml:space="preserve">Seeded</x:t>
        </x:is>
      </x:c>
    </x:row>
    <x:row r="78">
      <x:c r="A78" t="n">
        <x:v>1989</x:v>
      </x:c>
      <x:c r="B78" t="inlineStr">
        <x:is>
          <x:t xml:space="preserve">Men's</x:t>
        </x:is>
      </x:c>
      <x:c r="C78" t="inlineStr">
        <x:is>
          <x:t xml:space="preserve">B.F. Becker</x:t>
        </x:is>
      </x:c>
      <x:c r="D78" t="inlineStr">
        <x:is>
          <x:t xml:space="preserve">GER</x:t>
        </x:is>
      </x:c>
      <x:c r="E78" t="inlineStr">
        <x:is>
          <x:t xml:space="preserve">Germany</x:t>
        </x:is>
      </x:c>
      <x:c r="F78" t="n">
        <x:v>3</x:v>
      </x:c>
      <x:c r="G78" t="n">
        <x:v>132</x:v>
      </x:c>
      <x:c r="H78" t="inlineStr">
        <x:is>
          <x:t xml:space="preserve">6-0, 7-6 (7-1), 6-4</x:t>
        </x:is>
      </x:c>
      <x:c r="I78" t="n">
        <x:v>6</x:v>
      </x:c>
      <x:c r="J78" t="n">
        <x:v>0</x:v>
      </x:c>
      <x:c r="K78" t="n">
        <x:v>7</x:v>
      </x:c>
      <x:c r="L78" t="n">
        <x:v>6</x:v>
      </x:c>
      <x:c r="M78" t="n">
        <x:v>6</x:v>
      </x:c>
      <x:c r="N78" t="n">
        <x:v>4</x:v>
      </x:c>
      <x:c r="S78" t="inlineStr">
        <x:is>
          <x:t xml:space="preserve">S.B. Edberg</x:t>
        </x:is>
      </x:c>
      <x:c r="T78" t="inlineStr">
        <x:is>
          <x:t xml:space="preserve">SWE</x:t>
        </x:is>
      </x:c>
      <x:c r="U78" t="inlineStr">
        <x:is>
          <x:t xml:space="preserve">Sweden</x:t>
        </x:is>
      </x:c>
      <x:c r="V78" t="n">
        <x:v>2</x:v>
      </x:c>
      <x:c r="W78" t="n">
        <x:v>3</x:v>
      </x:c>
      <x:c r="X78" t="n">
        <x:v>29</x:v>
      </x:c>
      <x:c r="Y78" t="inlineStr">
        <x:is>
          <x:t xml:space="preserve">Completed</x:t>
        </x:is>
      </x:c>
      <x:c r="Z78" t="inlineStr">
        <x:is>
          <x:t xml:space="preserve">Recorded</x:t>
        </x:is>
      </x:c>
      <x:c r="AA78" t="n">
        <x:v>3</x:v>
      </x:c>
      <x:c r="AB78" t="inlineStr">
        <x:is>
          <x:t xml:space="preserve">No</x:t>
        </x:is>
      </x:c>
      <x:c r="AC78" t="inlineStr">
        <x:is>
          <x:t xml:space="preserve">1980s</x:t>
        </x:is>
      </x:c>
      <x:c r="AD78" t="inlineStr">
        <x:is>
          <x:t xml:space="preserve">Seeded</x:t>
        </x:is>
      </x:c>
      <x:c r="AE78" t="inlineStr">
        <x:is>
          <x:t xml:space="preserve">Seeded</x:t>
        </x:is>
      </x:c>
    </x:row>
    <x:row r="79">
      <x:c r="A79" t="n">
        <x:v>1988</x:v>
      </x:c>
      <x:c r="B79" t="inlineStr">
        <x:is>
          <x:t xml:space="preserve">Women's</x:t>
        </x:is>
      </x:c>
      <x:c r="C79" t="inlineStr">
        <x:is>
          <x:t xml:space="preserve">S.M. Graf</x:t>
        </x:is>
      </x:c>
      <x:c r="D79" t="inlineStr">
        <x:is>
          <x:t xml:space="preserve">GER</x:t>
        </x:is>
      </x:c>
      <x:c r="E79" t="inlineStr">
        <x:is>
          <x:t xml:space="preserve">Germany</x:t>
        </x:is>
      </x:c>
      <x:c r="F79" t="n">
        <x:v>1</x:v>
      </x:c>
      <x:c r="G79" t="n">
        <x:v>93</x:v>
      </x:c>
      <x:c r="H79" t="inlineStr">
        <x:is>
          <x:t xml:space="preserve">5-7, 6-2, 6-1,</x:t>
        </x:is>
      </x:c>
      <x:c r="I79" t="n">
        <x:v>5</x:v>
      </x:c>
      <x:c r="J79" t="n">
        <x:v>7</x:v>
      </x:c>
      <x:c r="K79" t="n">
        <x:v>6</x:v>
      </x:c>
      <x:c r="L79" t="n">
        <x:v>2</x:v>
      </x:c>
      <x:c r="M79" t="n">
        <x:v>6</x:v>
      </x:c>
      <x:c r="N79" t="n">
        <x:v>1</x:v>
      </x:c>
      <x:c r="S79" t="inlineStr">
        <x:is>
          <x:t xml:space="preserve">M. Navratilova</x:t>
        </x:is>
      </x:c>
      <x:c r="T79" t="inlineStr">
        <x:is>
          <x:t xml:space="preserve">USA</x:t>
        </x:is>
      </x:c>
      <x:c r="U79" t="inlineStr">
        <x:is>
          <x:t xml:space="preserve">United States</x:t>
        </x:is>
      </x:c>
      <x:c r="V79" t="n">
        <x:v>2</x:v>
      </x:c>
      <x:c r="W79" t="n">
        <x:v>3</x:v>
      </x:c>
      <x:c r="X79" t="n">
        <x:v>27</x:v>
      </x:c>
      <x:c r="Y79" t="inlineStr">
        <x:is>
          <x:t xml:space="preserve">Completed</x:t>
        </x:is>
      </x:c>
      <x:c r="Z79" t="inlineStr">
        <x:is>
          <x:t xml:space="preserve">Recorded</x:t>
        </x:is>
      </x:c>
      <x:c r="AA79" t="n">
        <x:v>7</x:v>
      </x:c>
      <x:c r="AB79" t="inlineStr">
        <x:is>
          <x:t xml:space="preserve">Yes</x:t>
        </x:is>
      </x:c>
      <x:c r="AC79" t="inlineStr">
        <x:is>
          <x:t xml:space="preserve">1980s</x:t>
        </x:is>
      </x:c>
      <x:c r="AD79" t="inlineStr">
        <x:is>
          <x:t xml:space="preserve">Seeded</x:t>
        </x:is>
      </x:c>
      <x:c r="AE79" t="inlineStr">
        <x:is>
          <x:t xml:space="preserve">Seeded</x:t>
        </x:is>
      </x:c>
    </x:row>
    <x:row r="80">
      <x:c r="A80" t="n">
        <x:v>1988</x:v>
      </x:c>
      <x:c r="B80" t="inlineStr">
        <x:is>
          <x:t xml:space="preserve">Men's</x:t>
        </x:is>
      </x:c>
      <x:c r="C80" t="inlineStr">
        <x:is>
          <x:t xml:space="preserve">S.B. Edberg</x:t>
        </x:is>
      </x:c>
      <x:c r="D80" t="inlineStr">
        <x:is>
          <x:t xml:space="preserve">SWE</x:t>
        </x:is>
      </x:c>
      <x:c r="E80" t="inlineStr">
        <x:is>
          <x:t xml:space="preserve">Sweden</x:t>
        </x:is>
      </x:c>
      <x:c r="F80" t="n">
        <x:v>3</x:v>
      </x:c>
      <x:c r="G80" t="n">
        <x:v>170</x:v>
      </x:c>
      <x:c r="H80" t="inlineStr">
        <x:is>
          <x:t xml:space="preserve">4-6, 7-6 (7-2), 6-4, 6-2</x:t>
        </x:is>
      </x:c>
      <x:c r="I80" t="n">
        <x:v>4</x:v>
      </x:c>
      <x:c r="J80" t="n">
        <x:v>6</x:v>
      </x:c>
      <x:c r="K80" t="n">
        <x:v>7</x:v>
      </x:c>
      <x:c r="L80" t="n">
        <x:v>6</x:v>
      </x:c>
      <x:c r="M80" t="n">
        <x:v>6</x:v>
      </x:c>
      <x:c r="N80" t="n">
        <x:v>4</x:v>
      </x:c>
      <x:c r="O80" t="n">
        <x:v>6</x:v>
      </x:c>
      <x:c r="P80" t="n">
        <x:v>2</x:v>
      </x:c>
      <x:c r="S80" t="inlineStr">
        <x:is>
          <x:t xml:space="preserve">B.F. Becker</x:t>
        </x:is>
      </x:c>
      <x:c r="T80" t="inlineStr">
        <x:is>
          <x:t xml:space="preserve">GER</x:t>
        </x:is>
      </x:c>
      <x:c r="U80" t="inlineStr">
        <x:is>
          <x:t xml:space="preserve">Germany</x:t>
        </x:is>
      </x:c>
      <x:c r="V80" t="n">
        <x:v>6</x:v>
      </x:c>
      <x:c r="W80" t="n">
        <x:v>4</x:v>
      </x:c>
      <x:c r="X80" t="n">
        <x:v>41</x:v>
      </x:c>
      <x:c r="Y80" t="inlineStr">
        <x:is>
          <x:t xml:space="preserve">Completed</x:t>
        </x:is>
      </x:c>
      <x:c r="Z80" t="inlineStr">
        <x:is>
          <x:t xml:space="preserve">Recorded</x:t>
        </x:is>
      </x:c>
      <x:c r="AA80" t="n">
        <x:v>2</x:v>
      </x:c>
      <x:c r="AB80" t="inlineStr">
        <x:is>
          <x:t xml:space="preserve">No</x:t>
        </x:is>
      </x:c>
      <x:c r="AC80" t="inlineStr">
        <x:is>
          <x:t xml:space="preserve">1980s</x:t>
        </x:is>
      </x:c>
      <x:c r="AD80" t="inlineStr">
        <x:is>
          <x:t xml:space="preserve">Seeded</x:t>
        </x:is>
      </x:c>
      <x:c r="AE80" t="inlineStr">
        <x:is>
          <x:t xml:space="preserve">Seeded</x:t>
        </x:is>
      </x:c>
    </x:row>
    <x:row r="81">
      <x:c r="A81" t="n">
        <x:v>1987</x:v>
      </x:c>
      <x:c r="B81" t="inlineStr">
        <x:is>
          <x:t xml:space="preserve">Women's</x:t>
        </x:is>
      </x:c>
      <x:c r="C81" t="inlineStr">
        <x:is>
          <x:t xml:space="preserve">M. Navratilova</x:t>
        </x:is>
      </x:c>
      <x:c r="D81" t="inlineStr">
        <x:is>
          <x:t xml:space="preserve">USA</x:t>
        </x:is>
      </x:c>
      <x:c r="E81" t="inlineStr">
        <x:is>
          <x:t xml:space="preserve">United States</x:t>
        </x:is>
      </x:c>
      <x:c r="F81" t="n">
        <x:v>1</x:v>
      </x:c>
      <x:c r="G81" t="n">
        <x:v>69</x:v>
      </x:c>
      <x:c r="H81" t="inlineStr">
        <x:is>
          <x:t xml:space="preserve">7-5, 6-3,</x:t>
        </x:is>
      </x:c>
      <x:c r="I81" t="n">
        <x:v>7</x:v>
      </x:c>
      <x:c r="J81" t="n">
        <x:v>5</x:v>
      </x:c>
      <x:c r="K81" t="n">
        <x:v>6</x:v>
      </x:c>
      <x:c r="L81" t="n">
        <x:v>3</x:v>
      </x:c>
      <x:c r="S81" t="inlineStr">
        <x:is>
          <x:t xml:space="preserve">S.M. Graf</x:t>
        </x:is>
      </x:c>
      <x:c r="T81" t="inlineStr">
        <x:is>
          <x:t xml:space="preserve">GER</x:t>
        </x:is>
      </x:c>
      <x:c r="U81" t="inlineStr">
        <x:is>
          <x:t xml:space="preserve">Germany</x:t>
        </x:is>
      </x:c>
      <x:c r="V81" t="n">
        <x:v>2</x:v>
      </x:c>
      <x:c r="W81" t="n">
        <x:v>2</x:v>
      </x:c>
      <x:c r="X81" t="n">
        <x:v>21</x:v>
      </x:c>
      <x:c r="Y81" t="inlineStr">
        <x:is>
          <x:t xml:space="preserve">Completed</x:t>
        </x:is>
      </x:c>
      <x:c r="Z81" t="inlineStr">
        <x:is>
          <x:t xml:space="preserve">Recorded</x:t>
        </x:is>
      </x:c>
      <x:c r="AA81" t="n">
        <x:v>9</x:v>
      </x:c>
      <x:c r="AB81" t="inlineStr">
        <x:is>
          <x:t xml:space="preserve">Yes</x:t>
        </x:is>
      </x:c>
      <x:c r="AC81" t="inlineStr">
        <x:is>
          <x:t xml:space="preserve">1980s</x:t>
        </x:is>
      </x:c>
      <x:c r="AD81" t="inlineStr">
        <x:is>
          <x:t xml:space="preserve">Seeded</x:t>
        </x:is>
      </x:c>
      <x:c r="AE81" t="inlineStr">
        <x:is>
          <x:t xml:space="preserve">Seeded</x:t>
        </x:is>
      </x:c>
    </x:row>
    <x:row r="82">
      <x:c r="A82" t="n">
        <x:v>1987</x:v>
      </x:c>
      <x:c r="B82" t="inlineStr">
        <x:is>
          <x:t xml:space="preserve">Men's</x:t>
        </x:is>
      </x:c>
      <x:c r="C82" t="inlineStr">
        <x:is>
          <x:t xml:space="preserve">P.H. Cash</x:t>
        </x:is>
      </x:c>
      <x:c r="D82" t="inlineStr">
        <x:is>
          <x:t xml:space="preserve">AUS</x:t>
        </x:is>
      </x:c>
      <x:c r="E82" t="inlineStr">
        <x:is>
          <x:t xml:space="preserve">Australia</x:t>
        </x:is>
      </x:c>
      <x:c r="F82" t="n">
        <x:v>11</x:v>
      </x:c>
      <x:c r="G82" t="n">
        <x:v>165</x:v>
      </x:c>
      <x:c r="H82" t="inlineStr">
        <x:is>
          <x:t xml:space="preserve">7-6 (7-5), 6-2, 7-5</x:t>
        </x:is>
      </x:c>
      <x:c r="I82" t="n">
        <x:v>7</x:v>
      </x:c>
      <x:c r="J82" t="n">
        <x:v>6</x:v>
      </x:c>
      <x:c r="K82" t="n">
        <x:v>6</x:v>
      </x:c>
      <x:c r="L82" t="n">
        <x:v>2</x:v>
      </x:c>
      <x:c r="M82" t="n">
        <x:v>7</x:v>
      </x:c>
      <x:c r="N82" t="n">
        <x:v>5</x:v>
      </x:c>
      <x:c r="S82" t="inlineStr">
        <x:is>
          <x:t xml:space="preserve">I. Lendl</x:t>
        </x:is>
      </x:c>
      <x:c r="T82" t="inlineStr">
        <x:is>
          <x:t xml:space="preserve">CZE</x:t>
        </x:is>
      </x:c>
      <x:c r="U82" t="inlineStr">
        <x:is>
          <x:t xml:space="preserve">Czechia</x:t>
        </x:is>
      </x:c>
      <x:c r="V82" t="n">
        <x:v>2</x:v>
      </x:c>
      <x:c r="W82" t="n">
        <x:v>3</x:v>
      </x:c>
      <x:c r="X82" t="n">
        <x:v>33</x:v>
      </x:c>
      <x:c r="Y82" t="inlineStr">
        <x:is>
          <x:t xml:space="preserve">Completed</x:t>
        </x:is>
      </x:c>
      <x:c r="Z82" t="inlineStr">
        <x:is>
          <x:t xml:space="preserve">Recorded</x:t>
        </x:is>
      </x:c>
      <x:c r="AA82" t="n">
        <x:v>1</x:v>
      </x:c>
      <x:c r="AB82" t="inlineStr">
        <x:is>
          <x:t xml:space="preserve">No</x:t>
        </x:is>
      </x:c>
      <x:c r="AC82" t="inlineStr">
        <x:is>
          <x:t xml:space="preserve">1980s</x:t>
        </x:is>
      </x:c>
      <x:c r="AD82" t="inlineStr">
        <x:is>
          <x:t xml:space="preserve">Seeded</x:t>
        </x:is>
      </x:c>
      <x:c r="AE82" t="inlineStr">
        <x:is>
          <x:t xml:space="preserve">Seeded</x:t>
        </x:is>
      </x:c>
    </x:row>
    <x:row r="83">
      <x:c r="A83" t="n">
        <x:v>1986</x:v>
      </x:c>
      <x:c r="B83" t="inlineStr">
        <x:is>
          <x:t xml:space="preserve">Women's</x:t>
        </x:is>
      </x:c>
      <x:c r="C83" t="inlineStr">
        <x:is>
          <x:t xml:space="preserve">M. Navratilova</x:t>
        </x:is>
      </x:c>
      <x:c r="D83" t="inlineStr">
        <x:is>
          <x:t xml:space="preserve">USA</x:t>
        </x:is>
      </x:c>
      <x:c r="E83" t="inlineStr">
        <x:is>
          <x:t xml:space="preserve">United States</x:t>
        </x:is>
      </x:c>
      <x:c r="F83" t="n">
        <x:v>1</x:v>
      </x:c>
      <x:c r="G83" t="n">
        <x:v>72</x:v>
      </x:c>
      <x:c r="H83" t="inlineStr">
        <x:is>
          <x:t xml:space="preserve">7-6 (7-1), 6-3,</x:t>
        </x:is>
      </x:c>
      <x:c r="I83" t="n">
        <x:v>7</x:v>
      </x:c>
      <x:c r="J83" t="n">
        <x:v>6</x:v>
      </x:c>
      <x:c r="K83" t="n">
        <x:v>6</x:v>
      </x:c>
      <x:c r="L83" t="n">
        <x:v>3</x:v>
      </x:c>
      <x:c r="S83" t="inlineStr">
        <x:is>
          <x:t xml:space="preserve">H. Mandlikova</x:t>
        </x:is>
      </x:c>
      <x:c r="T83" t="inlineStr">
        <x:is>
          <x:t xml:space="preserve">CZE</x:t>
        </x:is>
      </x:c>
      <x:c r="U83" t="inlineStr">
        <x:is>
          <x:t xml:space="preserve">Czechia</x:t>
        </x:is>
      </x:c>
      <x:c r="V83" t="n">
        <x:v>3</x:v>
      </x:c>
      <x:c r="W83" t="n">
        <x:v>2</x:v>
      </x:c>
      <x:c r="X83" t="n">
        <x:v>22</x:v>
      </x:c>
      <x:c r="Y83" t="inlineStr">
        <x:is>
          <x:t xml:space="preserve">Completed</x:t>
        </x:is>
      </x:c>
      <x:c r="Z83" t="inlineStr">
        <x:is>
          <x:t xml:space="preserve">Recorded</x:t>
        </x:is>
      </x:c>
      <x:c r="AA83" t="n">
        <x:v>9</x:v>
      </x:c>
      <x:c r="AB83" t="inlineStr">
        <x:is>
          <x:t xml:space="preserve">Yes</x:t>
        </x:is>
      </x:c>
      <x:c r="AC83" t="inlineStr">
        <x:is>
          <x:t xml:space="preserve">1980s</x:t>
        </x:is>
      </x:c>
      <x:c r="AD83" t="inlineStr">
        <x:is>
          <x:t xml:space="preserve">Seeded</x:t>
        </x:is>
      </x:c>
      <x:c r="AE83" t="inlineStr">
        <x:is>
          <x:t xml:space="preserve">Seeded</x:t>
        </x:is>
      </x:c>
    </x:row>
    <x:row r="84">
      <x:c r="A84" t="n">
        <x:v>1986</x:v>
      </x:c>
      <x:c r="B84" t="inlineStr">
        <x:is>
          <x:t xml:space="preserve">Men's</x:t>
        </x:is>
      </x:c>
      <x:c r="C84" t="inlineStr">
        <x:is>
          <x:t xml:space="preserve">B.F. Becker</x:t>
        </x:is>
      </x:c>
      <x:c r="D84" t="inlineStr">
        <x:is>
          <x:t xml:space="preserve">GER</x:t>
        </x:is>
      </x:c>
      <x:c r="E84" t="inlineStr">
        <x:is>
          <x:t xml:space="preserve">Germany</x:t>
        </x:is>
      </x:c>
      <x:c r="F84" t="n">
        <x:v>4</x:v>
      </x:c>
      <x:c r="G84" t="n">
        <x:v>122</x:v>
      </x:c>
      <x:c r="H84" t="inlineStr">
        <x:is>
          <x:t xml:space="preserve">6-4, 6-3, 7-5</x:t>
        </x:is>
      </x:c>
      <x:c r="I84" t="n">
        <x:v>6</x:v>
      </x:c>
      <x:c r="J84" t="n">
        <x:v>4</x:v>
      </x:c>
      <x:c r="K84" t="n">
        <x:v>6</x:v>
      </x:c>
      <x:c r="L84" t="n">
        <x:v>3</x:v>
      </x:c>
      <x:c r="M84" t="n">
        <x:v>7</x:v>
      </x:c>
      <x:c r="N84" t="n">
        <x:v>5</x:v>
      </x:c>
      <x:c r="S84" t="inlineStr">
        <x:is>
          <x:t xml:space="preserve">I. Lendl</x:t>
        </x:is>
      </x:c>
      <x:c r="T84" t="inlineStr">
        <x:is>
          <x:t xml:space="preserve">CZE</x:t>
        </x:is>
      </x:c>
      <x:c r="U84" t="inlineStr">
        <x:is>
          <x:t xml:space="preserve">Czechia</x:t>
        </x:is>
      </x:c>
      <x:c r="V84" t="n">
        <x:v>1</x:v>
      </x:c>
      <x:c r="W84" t="n">
        <x:v>3</x:v>
      </x:c>
      <x:c r="X84" t="n">
        <x:v>31</x:v>
      </x:c>
      <x:c r="Y84" t="inlineStr">
        <x:is>
          <x:t xml:space="preserve">Completed</x:t>
        </x:is>
      </x:c>
      <x:c r="Z84" t="inlineStr">
        <x:is>
          <x:t xml:space="preserve">Recorded</x:t>
        </x:is>
      </x:c>
      <x:c r="AA84" t="n">
        <x:v>3</x:v>
      </x:c>
      <x:c r="AB84" t="inlineStr">
        <x:is>
          <x:t xml:space="preserve">No</x:t>
        </x:is>
      </x:c>
      <x:c r="AC84" t="inlineStr">
        <x:is>
          <x:t xml:space="preserve">1980s</x:t>
        </x:is>
      </x:c>
      <x:c r="AD84" t="inlineStr">
        <x:is>
          <x:t xml:space="preserve">Seeded</x:t>
        </x:is>
      </x:c>
      <x:c r="AE84" t="inlineStr">
        <x:is>
          <x:t xml:space="preserve">Seeded</x:t>
        </x:is>
      </x:c>
    </x:row>
    <x:row r="85">
      <x:c r="A85" t="n">
        <x:v>1985</x:v>
      </x:c>
      <x:c r="B85" t="inlineStr">
        <x:is>
          <x:t xml:space="preserve">Women's</x:t>
        </x:is>
      </x:c>
      <x:c r="C85" t="inlineStr">
        <x:is>
          <x:t xml:space="preserve">M. Navratilova</x:t>
        </x:is>
      </x:c>
      <x:c r="D85" t="inlineStr">
        <x:is>
          <x:t xml:space="preserve">USA</x:t>
        </x:is>
      </x:c>
      <x:c r="E85" t="inlineStr">
        <x:is>
          <x:t xml:space="preserve">United States</x:t>
        </x:is>
      </x:c>
      <x:c r="F85" t="n">
        <x:v>1</x:v>
      </x:c>
      <x:c r="G85" t="n">
        <x:v>107</x:v>
      </x:c>
      <x:c r="H85" t="inlineStr">
        <x:is>
          <x:t xml:space="preserve">4-6, 6-3, 6-2,</x:t>
        </x:is>
      </x:c>
      <x:c r="I85" t="n">
        <x:v>4</x:v>
      </x:c>
      <x:c r="J85" t="n">
        <x:v>6</x:v>
      </x:c>
      <x:c r="K85" t="n">
        <x:v>6</x:v>
      </x:c>
      <x:c r="L85" t="n">
        <x:v>3</x:v>
      </x:c>
      <x:c r="M85" t="n">
        <x:v>6</x:v>
      </x:c>
      <x:c r="N85" t="n">
        <x:v>2</x:v>
      </x:c>
      <x:c r="S85" t="inlineStr">
        <x:is>
          <x:t xml:space="preserve">J.M. Lloyd</x:t>
        </x:is>
      </x:c>
      <x:c r="T85" t="inlineStr">
        <x:is>
          <x:t xml:space="preserve">USA</x:t>
        </x:is>
      </x:c>
      <x:c r="U85" t="inlineStr">
        <x:is>
          <x:t xml:space="preserve">United States</x:t>
        </x:is>
      </x:c>
      <x:c r="V85" t="n">
        <x:v>1</x:v>
      </x:c>
      <x:c r="W85" t="n">
        <x:v>3</x:v>
      </x:c>
      <x:c r="X85" t="n">
        <x:v>27</x:v>
      </x:c>
      <x:c r="Y85" t="inlineStr">
        <x:is>
          <x:t xml:space="preserve">Completed</x:t>
        </x:is>
      </x:c>
      <x:c r="Z85" t="inlineStr">
        <x:is>
          <x:t xml:space="preserve">Recorded</x:t>
        </x:is>
      </x:c>
      <x:c r="AA85" t="n">
        <x:v>9</x:v>
      </x:c>
      <x:c r="AB85" t="inlineStr">
        <x:is>
          <x:t xml:space="preserve">Yes</x:t>
        </x:is>
      </x:c>
      <x:c r="AC85" t="inlineStr">
        <x:is>
          <x:t xml:space="preserve">1980s</x:t>
        </x:is>
      </x:c>
      <x:c r="AD85" t="inlineStr">
        <x:is>
          <x:t xml:space="preserve">Seeded</x:t>
        </x:is>
      </x:c>
      <x:c r="AE85" t="inlineStr">
        <x:is>
          <x:t xml:space="preserve">Seeded</x:t>
        </x:is>
      </x:c>
    </x:row>
    <x:row r="86">
      <x:c r="A86" t="n">
        <x:v>1985</x:v>
      </x:c>
      <x:c r="B86" t="inlineStr">
        <x:is>
          <x:t xml:space="preserve">Men's</x:t>
        </x:is>
      </x:c>
      <x:c r="C86" t="inlineStr">
        <x:is>
          <x:t xml:space="preserve">B.F. Becker</x:t>
        </x:is>
      </x:c>
      <x:c r="D86" t="inlineStr">
        <x:is>
          <x:t xml:space="preserve">GER</x:t>
        </x:is>
      </x:c>
      <x:c r="E86" t="inlineStr">
        <x:is>
          <x:t xml:space="preserve">Germany</x:t>
        </x:is>
      </x:c>
      <x:c r="F86" t="inlineStr">
        <x:is>
          <x:t xml:space="preserve">U</x:t>
        </x:is>
      </x:c>
      <x:c r="G86" t="n">
        <x:v>198</x:v>
      </x:c>
      <x:c r="H86" t="inlineStr">
        <x:is>
          <x:t xml:space="preserve">6-3, 6-7 (4-7), 7-6 (7-3), 6-4</x:t>
        </x:is>
      </x:c>
      <x:c r="I86" t="n">
        <x:v>6</x:v>
      </x:c>
      <x:c r="J86" t="n">
        <x:v>3</x:v>
      </x:c>
      <x:c r="K86" t="n">
        <x:v>6</x:v>
      </x:c>
      <x:c r="L86" t="n">
        <x:v>7</x:v>
      </x:c>
      <x:c r="M86" t="n">
        <x:v>7</x:v>
      </x:c>
      <x:c r="N86" t="n">
        <x:v>6</x:v>
      </x:c>
      <x:c r="O86" t="n">
        <x:v>6</x:v>
      </x:c>
      <x:c r="P86" t="n">
        <x:v>4</x:v>
      </x:c>
      <x:c r="S86" t="inlineStr">
        <x:is>
          <x:t xml:space="preserve">K.M. Curren</x:t>
        </x:is>
      </x:c>
      <x:c r="T86" t="inlineStr">
        <x:is>
          <x:t xml:space="preserve">USA</x:t>
        </x:is>
      </x:c>
      <x:c r="U86" t="inlineStr">
        <x:is>
          <x:t xml:space="preserve">United States</x:t>
        </x:is>
      </x:c>
      <x:c r="V86" t="n">
        <x:v>8</x:v>
      </x:c>
      <x:c r="W86" t="n">
        <x:v>4</x:v>
      </x:c>
      <x:c r="X86" t="n">
        <x:v>45</x:v>
      </x:c>
      <x:c r="Y86" t="inlineStr">
        <x:is>
          <x:t xml:space="preserve">Completed</x:t>
        </x:is>
      </x:c>
      <x:c r="Z86" t="inlineStr">
        <x:is>
          <x:t xml:space="preserve">Recorded</x:t>
        </x:is>
      </x:c>
      <x:c r="AA86" t="n">
        <x:v>3</x:v>
      </x:c>
      <x:c r="AB86" t="inlineStr">
        <x:is>
          <x:t xml:space="preserve">No</x:t>
        </x:is>
      </x:c>
      <x:c r="AC86" t="inlineStr">
        <x:is>
          <x:t xml:space="preserve">1980s</x:t>
        </x:is>
      </x:c>
      <x:c r="AD86" t="inlineStr">
        <x:is>
          <x:t xml:space="preserve">Unseeded/unknown</x:t>
        </x:is>
      </x:c>
      <x:c r="AE86" t="inlineStr">
        <x:is>
          <x:t xml:space="preserve">Seeded</x:t>
        </x:is>
      </x:c>
    </x:row>
    <x:row r="87">
      <x:c r="A87" t="n">
        <x:v>1984</x:v>
      </x:c>
      <x:c r="B87" t="inlineStr">
        <x:is>
          <x:t xml:space="preserve">Women's</x:t>
        </x:is>
      </x:c>
      <x:c r="C87" t="inlineStr">
        <x:is>
          <x:t xml:space="preserve">M. Navratilova</x:t>
        </x:is>
      </x:c>
      <x:c r="D87" t="inlineStr">
        <x:is>
          <x:t xml:space="preserve">USA</x:t>
        </x:is>
      </x:c>
      <x:c r="E87" t="inlineStr">
        <x:is>
          <x:t xml:space="preserve">United States</x:t>
        </x:is>
      </x:c>
      <x:c r="F87" t="n">
        <x:v>1</x:v>
      </x:c>
      <x:c r="G87" t="n">
        <x:v>84</x:v>
      </x:c>
      <x:c r="H87" t="inlineStr">
        <x:is>
          <x:t xml:space="preserve">7-6 (7-5), 6-2,</x:t>
        </x:is>
      </x:c>
      <x:c r="I87" t="n">
        <x:v>7</x:v>
      </x:c>
      <x:c r="J87" t="n">
        <x:v>6</x:v>
      </x:c>
      <x:c r="K87" t="n">
        <x:v>6</x:v>
      </x:c>
      <x:c r="L87" t="n">
        <x:v>2</x:v>
      </x:c>
      <x:c r="S87" t="inlineStr">
        <x:is>
          <x:t xml:space="preserve">J.M. Lloyd</x:t>
        </x:is>
      </x:c>
      <x:c r="T87" t="inlineStr">
        <x:is>
          <x:t xml:space="preserve">USA</x:t>
        </x:is>
      </x:c>
      <x:c r="U87" t="inlineStr">
        <x:is>
          <x:t xml:space="preserve">United States</x:t>
        </x:is>
      </x:c>
      <x:c r="V87" t="n">
        <x:v>2</x:v>
      </x:c>
      <x:c r="W87" t="n">
        <x:v>2</x:v>
      </x:c>
      <x:c r="X87" t="n">
        <x:v>21</x:v>
      </x:c>
      <x:c r="Y87" t="inlineStr">
        <x:is>
          <x:t xml:space="preserve">Completed</x:t>
        </x:is>
      </x:c>
      <x:c r="Z87" t="inlineStr">
        <x:is>
          <x:t xml:space="preserve">Recorded</x:t>
        </x:is>
      </x:c>
      <x:c r="AA87" t="n">
        <x:v>9</x:v>
      </x:c>
      <x:c r="AB87" t="inlineStr">
        <x:is>
          <x:t xml:space="preserve">Yes</x:t>
        </x:is>
      </x:c>
      <x:c r="AC87" t="inlineStr">
        <x:is>
          <x:t xml:space="preserve">1980s</x:t>
        </x:is>
      </x:c>
      <x:c r="AD87" t="inlineStr">
        <x:is>
          <x:t xml:space="preserve">Seeded</x:t>
        </x:is>
      </x:c>
      <x:c r="AE87" t="inlineStr">
        <x:is>
          <x:t xml:space="preserve">Seeded</x:t>
        </x:is>
      </x:c>
    </x:row>
    <x:row r="88">
      <x:c r="A88" t="n">
        <x:v>1984</x:v>
      </x:c>
      <x:c r="B88" t="inlineStr">
        <x:is>
          <x:t xml:space="preserve">Men's</x:t>
        </x:is>
      </x:c>
      <x:c r="C88" t="inlineStr">
        <x:is>
          <x:t xml:space="preserve">J.P. McEnroe</x:t>
        </x:is>
      </x:c>
      <x:c r="D88" t="inlineStr">
        <x:is>
          <x:t xml:space="preserve">USA</x:t>
        </x:is>
      </x:c>
      <x:c r="E88" t="inlineStr">
        <x:is>
          <x:t xml:space="preserve">United States</x:t>
        </x:is>
      </x:c>
      <x:c r="F88" t="n">
        <x:v>1</x:v>
      </x:c>
      <x:c r="G88" t="n">
        <x:v>80</x:v>
      </x:c>
      <x:c r="H88" t="inlineStr">
        <x:is>
          <x:t xml:space="preserve">6-1, 6-1, 6-2</x:t>
        </x:is>
      </x:c>
      <x:c r="I88" t="n">
        <x:v>6</x:v>
      </x:c>
      <x:c r="J88" t="n">
        <x:v>1</x:v>
      </x:c>
      <x:c r="K88" t="n">
        <x:v>6</x:v>
      </x:c>
      <x:c r="L88" t="n">
        <x:v>1</x:v>
      </x:c>
      <x:c r="M88" t="n">
        <x:v>6</x:v>
      </x:c>
      <x:c r="N88" t="n">
        <x:v>2</x:v>
      </x:c>
      <x:c r="S88" t="inlineStr">
        <x:is>
          <x:t xml:space="preserve">J.S. Connors</x:t>
        </x:is>
      </x:c>
      <x:c r="T88" t="inlineStr">
        <x:is>
          <x:t xml:space="preserve">USA</x:t>
        </x:is>
      </x:c>
      <x:c r="U88" t="inlineStr">
        <x:is>
          <x:t xml:space="preserve">United States</x:t>
        </x:is>
      </x:c>
      <x:c r="V88" t="n">
        <x:v>3</x:v>
      </x:c>
      <x:c r="W88" t="n">
        <x:v>3</x:v>
      </x:c>
      <x:c r="X88" t="n">
        <x:v>22</x:v>
      </x:c>
      <x:c r="Y88" t="inlineStr">
        <x:is>
          <x:t xml:space="preserve">Completed</x:t>
        </x:is>
      </x:c>
      <x:c r="Z88" t="inlineStr">
        <x:is>
          <x:t xml:space="preserve">Recorded</x:t>
        </x:is>
      </x:c>
      <x:c r="AA88" t="n">
        <x:v>3</x:v>
      </x:c>
      <x:c r="AB88" t="inlineStr">
        <x:is>
          <x:t xml:space="preserve">No</x:t>
        </x:is>
      </x:c>
      <x:c r="AC88" t="inlineStr">
        <x:is>
          <x:t xml:space="preserve">1980s</x:t>
        </x:is>
      </x:c>
      <x:c r="AD88" t="inlineStr">
        <x:is>
          <x:t xml:space="preserve">Seeded</x:t>
        </x:is>
      </x:c>
      <x:c r="AE88" t="inlineStr">
        <x:is>
          <x:t xml:space="preserve">Seeded</x:t>
        </x:is>
      </x:c>
    </x:row>
    <x:row r="89">
      <x:c r="A89" t="n">
        <x:v>1983</x:v>
      </x:c>
      <x:c r="B89" t="inlineStr">
        <x:is>
          <x:t xml:space="preserve">Women's</x:t>
        </x:is>
      </x:c>
      <x:c r="C89" t="inlineStr">
        <x:is>
          <x:t xml:space="preserve">M. Navratilova</x:t>
        </x:is>
      </x:c>
      <x:c r="D89" t="inlineStr">
        <x:is>
          <x:t xml:space="preserve">USA</x:t>
        </x:is>
      </x:c>
      <x:c r="E89" t="inlineStr">
        <x:is>
          <x:t xml:space="preserve">United States</x:t>
        </x:is>
      </x:c>
      <x:c r="F89" t="n">
        <x:v>1</x:v>
      </x:c>
      <x:c r="G89" t="n">
        <x:v>54</x:v>
      </x:c>
      <x:c r="H89" t="inlineStr">
        <x:is>
          <x:t xml:space="preserve">6-0, 6-3,</x:t>
        </x:is>
      </x:c>
      <x:c r="I89" t="n">
        <x:v>6</x:v>
      </x:c>
      <x:c r="J89" t="n">
        <x:v>0</x:v>
      </x:c>
      <x:c r="K89" t="n">
        <x:v>6</x:v>
      </x:c>
      <x:c r="L89" t="n">
        <x:v>3</x:v>
      </x:c>
      <x:c r="S89" t="inlineStr">
        <x:is>
          <x:t xml:space="preserve">A. Jaeger</x:t>
        </x:is>
      </x:c>
      <x:c r="T89" t="inlineStr">
        <x:is>
          <x:t xml:space="preserve">USA</x:t>
        </x:is>
      </x:c>
      <x:c r="U89" t="inlineStr">
        <x:is>
          <x:t xml:space="preserve">United States</x:t>
        </x:is>
      </x:c>
      <x:c r="V89" t="n">
        <x:v>3</x:v>
      </x:c>
      <x:c r="W89" t="n">
        <x:v>2</x:v>
      </x:c>
      <x:c r="X89" t="n">
        <x:v>15</x:v>
      </x:c>
      <x:c r="Y89" t="inlineStr">
        <x:is>
          <x:t xml:space="preserve">Completed</x:t>
        </x:is>
      </x:c>
      <x:c r="Z89" t="inlineStr">
        <x:is>
          <x:t xml:space="preserve">Recorded</x:t>
        </x:is>
      </x:c>
      <x:c r="AA89" t="n">
        <x:v>9</x:v>
      </x:c>
      <x:c r="AB89" t="inlineStr">
        <x:is>
          <x:t xml:space="preserve">Yes</x:t>
        </x:is>
      </x:c>
      <x:c r="AC89" t="inlineStr">
        <x:is>
          <x:t xml:space="preserve">1980s</x:t>
        </x:is>
      </x:c>
      <x:c r="AD89" t="inlineStr">
        <x:is>
          <x:t xml:space="preserve">Seeded</x:t>
        </x:is>
      </x:c>
      <x:c r="AE89" t="inlineStr">
        <x:is>
          <x:t xml:space="preserve">Seeded</x:t>
        </x:is>
      </x:c>
    </x:row>
    <x:row r="90">
      <x:c r="A90" t="n">
        <x:v>1983</x:v>
      </x:c>
      <x:c r="B90" t="inlineStr">
        <x:is>
          <x:t xml:space="preserve">Men's</x:t>
        </x:is>
      </x:c>
      <x:c r="C90" t="inlineStr">
        <x:is>
          <x:t xml:space="preserve">J.P. McEnroe</x:t>
        </x:is>
      </x:c>
      <x:c r="D90" t="inlineStr">
        <x:is>
          <x:t xml:space="preserve">USA</x:t>
        </x:is>
      </x:c>
      <x:c r="E90" t="inlineStr">
        <x:is>
          <x:t xml:space="preserve">United States</x:t>
        </x:is>
      </x:c>
      <x:c r="F90" t="n">
        <x:v>2</x:v>
      </x:c>
      <x:c r="G90" t="n">
        <x:v>85</x:v>
      </x:c>
      <x:c r="H90" t="inlineStr">
        <x:is>
          <x:t xml:space="preserve">6-2, 6-2, 6-2</x:t>
        </x:is>
      </x:c>
      <x:c r="I90" t="n">
        <x:v>6</x:v>
      </x:c>
      <x:c r="J90" t="n">
        <x:v>2</x:v>
      </x:c>
      <x:c r="K90" t="n">
        <x:v>6</x:v>
      </x:c>
      <x:c r="L90" t="n">
        <x:v>2</x:v>
      </x:c>
      <x:c r="M90" t="n">
        <x:v>6</x:v>
      </x:c>
      <x:c r="N90" t="n">
        <x:v>2</x:v>
      </x:c>
      <x:c r="S90" t="inlineStr">
        <x:is>
          <x:t xml:space="preserve">C.J. Lewis</x:t>
        </x:is>
      </x:c>
      <x:c r="T90" t="inlineStr">
        <x:is>
          <x:t xml:space="preserve">NZL</x:t>
        </x:is>
      </x:c>
      <x:c r="U90" t="inlineStr">
        <x:is>
          <x:t xml:space="preserve">New Zealand</x:t>
        </x:is>
      </x:c>
      <x:c r="V90" t="inlineStr">
        <x:is>
          <x:t xml:space="preserve">U</x:t>
        </x:is>
      </x:c>
      <x:c r="W90" t="n">
        <x:v>3</x:v>
      </x:c>
      <x:c r="X90" t="n">
        <x:v>24</x:v>
      </x:c>
      <x:c r="Y90" t="inlineStr">
        <x:is>
          <x:t xml:space="preserve">Completed</x:t>
        </x:is>
      </x:c>
      <x:c r="Z90" t="inlineStr">
        <x:is>
          <x:t xml:space="preserve">Recorded</x:t>
        </x:is>
      </x:c>
      <x:c r="AA90" t="n">
        <x:v>3</x:v>
      </x:c>
      <x:c r="AB90" t="inlineStr">
        <x:is>
          <x:t xml:space="preserve">No</x:t>
        </x:is>
      </x:c>
      <x:c r="AC90" t="inlineStr">
        <x:is>
          <x:t xml:space="preserve">1980s</x:t>
        </x:is>
      </x:c>
      <x:c r="AD90" t="inlineStr">
        <x:is>
          <x:t xml:space="preserve">Seeded</x:t>
        </x:is>
      </x:c>
      <x:c r="AE90" t="inlineStr">
        <x:is>
          <x:t xml:space="preserve">Unseeded/unknown</x:t>
        </x:is>
      </x:c>
    </x:row>
    <x:row r="91">
      <x:c r="A91" t="n">
        <x:v>1982</x:v>
      </x:c>
      <x:c r="B91" t="inlineStr">
        <x:is>
          <x:t xml:space="preserve">Women's</x:t>
        </x:is>
      </x:c>
      <x:c r="C91" t="inlineStr">
        <x:is>
          <x:t xml:space="preserve">M. Navratilova</x:t>
        </x:is>
      </x:c>
      <x:c r="D91" t="inlineStr">
        <x:is>
          <x:t xml:space="preserve">USA</x:t>
        </x:is>
      </x:c>
      <x:c r="E91" t="inlineStr">
        <x:is>
          <x:t xml:space="preserve">United States</x:t>
        </x:is>
      </x:c>
      <x:c r="F91" t="n">
        <x:v>1</x:v>
      </x:c>
      <x:c r="G91" t="n">
        <x:v>87</x:v>
      </x:c>
      <x:c r="H91" t="inlineStr">
        <x:is>
          <x:t xml:space="preserve">6-1, 3-6, 6-2,</x:t>
        </x:is>
      </x:c>
      <x:c r="I91" t="n">
        <x:v>6</x:v>
      </x:c>
      <x:c r="J91" t="n">
        <x:v>1</x:v>
      </x:c>
      <x:c r="K91" t="n">
        <x:v>3</x:v>
      </x:c>
      <x:c r="L91" t="n">
        <x:v>6</x:v>
      </x:c>
      <x:c r="M91" t="n">
        <x:v>6</x:v>
      </x:c>
      <x:c r="N91" t="n">
        <x:v>2</x:v>
      </x:c>
      <x:c r="S91" t="inlineStr">
        <x:is>
          <x:t xml:space="preserve">J.M. Lloyd</x:t>
        </x:is>
      </x:c>
      <x:c r="T91" t="inlineStr">
        <x:is>
          <x:t xml:space="preserve">USA</x:t>
        </x:is>
      </x:c>
      <x:c r="U91" t="inlineStr">
        <x:is>
          <x:t xml:space="preserve">United States</x:t>
        </x:is>
      </x:c>
      <x:c r="V91" t="n">
        <x:v>2</x:v>
      </x:c>
      <x:c r="W91" t="n">
        <x:v>3</x:v>
      </x:c>
      <x:c r="X91" t="n">
        <x:v>24</x:v>
      </x:c>
      <x:c r="Y91" t="inlineStr">
        <x:is>
          <x:t xml:space="preserve">Completed</x:t>
        </x:is>
      </x:c>
      <x:c r="Z91" t="inlineStr">
        <x:is>
          <x:t xml:space="preserve">Recorded</x:t>
        </x:is>
      </x:c>
      <x:c r="AA91" t="n">
        <x:v>9</x:v>
      </x:c>
      <x:c r="AB91" t="inlineStr">
        <x:is>
          <x:t xml:space="preserve">Yes</x:t>
        </x:is>
      </x:c>
      <x:c r="AC91" t="inlineStr">
        <x:is>
          <x:t xml:space="preserve">1980s</x:t>
        </x:is>
      </x:c>
      <x:c r="AD91" t="inlineStr">
        <x:is>
          <x:t xml:space="preserve">Seeded</x:t>
        </x:is>
      </x:c>
      <x:c r="AE91" t="inlineStr">
        <x:is>
          <x:t xml:space="preserve">Seeded</x:t>
        </x:is>
      </x:c>
    </x:row>
    <x:row r="92">
      <x:c r="A92" t="n">
        <x:v>1982</x:v>
      </x:c>
      <x:c r="B92" t="inlineStr">
        <x:is>
          <x:t xml:space="preserve">Men's</x:t>
        </x:is>
      </x:c>
      <x:c r="C92" t="inlineStr">
        <x:is>
          <x:t xml:space="preserve">J.S. Connors</x:t>
        </x:is>
      </x:c>
      <x:c r="D92" t="inlineStr">
        <x:is>
          <x:t xml:space="preserve">USA</x:t>
        </x:is>
      </x:c>
      <x:c r="E92" t="inlineStr">
        <x:is>
          <x:t xml:space="preserve">United States</x:t>
        </x:is>
      </x:c>
      <x:c r="F92" t="n">
        <x:v>2</x:v>
      </x:c>
      <x:c r="G92" t="n">
        <x:v>256</x:v>
      </x:c>
      <x:c r="H92" t="inlineStr">
        <x:is>
          <x:t xml:space="preserve">3-6, 6-3, 6-7 (2-7), 7-6 (7-5), 6-4</x:t>
        </x:is>
      </x:c>
      <x:c r="I92" t="n">
        <x:v>3</x:v>
      </x:c>
      <x:c r="J92" t="n">
        <x:v>6</x:v>
      </x:c>
      <x:c r="K92" t="n">
        <x:v>6</x:v>
      </x:c>
      <x:c r="L92" t="n">
        <x:v>3</x:v>
      </x:c>
      <x:c r="M92" t="n">
        <x:v>6</x:v>
      </x:c>
      <x:c r="N92" t="n">
        <x:v>7</x:v>
      </x:c>
      <x:c r="O92" t="n">
        <x:v>7</x:v>
      </x:c>
      <x:c r="P92" t="n">
        <x:v>6</x:v>
      </x:c>
      <x:c r="Q92" t="n">
        <x:v>6</x:v>
      </x:c>
      <x:c r="R92" t="n">
        <x:v>4</x:v>
      </x:c>
      <x:c r="S92" t="inlineStr">
        <x:is>
          <x:t xml:space="preserve">J.P. McEnroe</x:t>
        </x:is>
      </x:c>
      <x:c r="T92" t="inlineStr">
        <x:is>
          <x:t xml:space="preserve">USA</x:t>
        </x:is>
      </x:c>
      <x:c r="U92" t="inlineStr">
        <x:is>
          <x:t xml:space="preserve">United States</x:t>
        </x:is>
      </x:c>
      <x:c r="V92" t="n">
        <x:v>1</x:v>
      </x:c>
      <x:c r="W92" t="n">
        <x:v>5</x:v>
      </x:c>
      <x:c r="X92" t="n">
        <x:v>54</x:v>
      </x:c>
      <x:c r="Y92" t="inlineStr">
        <x:is>
          <x:t xml:space="preserve">Completed</x:t>
        </x:is>
      </x:c>
      <x:c r="Z92" t="inlineStr">
        <x:is>
          <x:t xml:space="preserve">Recorded</x:t>
        </x:is>
      </x:c>
      <x:c r="AA92" t="n">
        <x:v>2</x:v>
      </x:c>
      <x:c r="AB92" t="inlineStr">
        <x:is>
          <x:t xml:space="preserve">No</x:t>
        </x:is>
      </x:c>
      <x:c r="AC92" t="inlineStr">
        <x:is>
          <x:t xml:space="preserve">1980s</x:t>
        </x:is>
      </x:c>
      <x:c r="AD92" t="inlineStr">
        <x:is>
          <x:t xml:space="preserve">Seeded</x:t>
        </x:is>
      </x:c>
      <x:c r="AE92" t="inlineStr">
        <x:is>
          <x:t xml:space="preserve">Seeded</x:t>
        </x:is>
      </x:c>
    </x:row>
    <x:row r="93">
      <x:c r="A93" t="n">
        <x:v>1981</x:v>
      </x:c>
      <x:c r="B93" t="inlineStr">
        <x:is>
          <x:t xml:space="preserve">Women's</x:t>
        </x:is>
      </x:c>
      <x:c r="C93" t="inlineStr">
        <x:is>
          <x:t xml:space="preserve">J.M. Lloyd</x:t>
        </x:is>
      </x:c>
      <x:c r="D93" t="inlineStr">
        <x:is>
          <x:t xml:space="preserve">USA</x:t>
        </x:is>
      </x:c>
      <x:c r="E93" t="inlineStr">
        <x:is>
          <x:t xml:space="preserve">United States</x:t>
        </x:is>
      </x:c>
      <x:c r="F93" t="n">
        <x:v>1</x:v>
      </x:c>
      <x:c r="G93" t="n">
        <x:v>60</x:v>
      </x:c>
      <x:c r="H93" t="inlineStr">
        <x:is>
          <x:t xml:space="preserve">6-2, 6-2,</x:t>
        </x:is>
      </x:c>
      <x:c r="I93" t="n">
        <x:v>6</x:v>
      </x:c>
      <x:c r="J93" t="n">
        <x:v>2</x:v>
      </x:c>
      <x:c r="K93" t="n">
        <x:v>6</x:v>
      </x:c>
      <x:c r="L93" t="n">
        <x:v>2</x:v>
      </x:c>
      <x:c r="S93" t="inlineStr">
        <x:is>
          <x:t xml:space="preserve">H. Mandlikova</x:t>
        </x:is>
      </x:c>
      <x:c r="T93" t="inlineStr">
        <x:is>
          <x:t xml:space="preserve">CZE</x:t>
        </x:is>
      </x:c>
      <x:c r="U93" t="inlineStr">
        <x:is>
          <x:t xml:space="preserve">Czechia</x:t>
        </x:is>
      </x:c>
      <x:c r="V93" t="n">
        <x:v>2</x:v>
      </x:c>
      <x:c r="W93" t="n">
        <x:v>2</x:v>
      </x:c>
      <x:c r="X93" t="n">
        <x:v>16</x:v>
      </x:c>
      <x:c r="Y93" t="inlineStr">
        <x:is>
          <x:t xml:space="preserve">Completed</x:t>
        </x:is>
      </x:c>
      <x:c r="Z93" t="inlineStr">
        <x:is>
          <x:t xml:space="preserve">Recorded</x:t>
        </x:is>
      </x:c>
      <x:c r="AA93" t="n">
        <x:v>1</x:v>
      </x:c>
      <x:c r="AB93" t="inlineStr">
        <x:is>
          <x:t xml:space="preserve">No</x:t>
        </x:is>
      </x:c>
      <x:c r="AC93" t="inlineStr">
        <x:is>
          <x:t xml:space="preserve">1980s</x:t>
        </x:is>
      </x:c>
      <x:c r="AD93" t="inlineStr">
        <x:is>
          <x:t xml:space="preserve">Seeded</x:t>
        </x:is>
      </x:c>
      <x:c r="AE93" t="inlineStr">
        <x:is>
          <x:t xml:space="preserve">Seeded</x:t>
        </x:is>
      </x:c>
    </x:row>
    <x:row r="94">
      <x:c r="A94" t="n">
        <x:v>1981</x:v>
      </x:c>
      <x:c r="B94" t="inlineStr">
        <x:is>
          <x:t xml:space="preserve">Men's</x:t>
        </x:is>
      </x:c>
      <x:c r="C94" t="inlineStr">
        <x:is>
          <x:t xml:space="preserve">J.P. McEnroe</x:t>
        </x:is>
      </x:c>
      <x:c r="D94" t="inlineStr">
        <x:is>
          <x:t xml:space="preserve">USA</x:t>
        </x:is>
      </x:c>
      <x:c r="E94" t="inlineStr">
        <x:is>
          <x:t xml:space="preserve">United States</x:t>
        </x:is>
      </x:c>
      <x:c r="F94" t="n">
        <x:v>2</x:v>
      </x:c>
      <x:c r="G94" t="n">
        <x:v>202</x:v>
      </x:c>
      <x:c r="H94" t="inlineStr">
        <x:is>
          <x:t xml:space="preserve">4-6, 7-6 (7-1), 7-6 (7-4), 6-4</x:t>
        </x:is>
      </x:c>
      <x:c r="I94" t="n">
        <x:v>4</x:v>
      </x:c>
      <x:c r="J94" t="n">
        <x:v>6</x:v>
      </x:c>
      <x:c r="K94" t="n">
        <x:v>7</x:v>
      </x:c>
      <x:c r="L94" t="n">
        <x:v>6</x:v>
      </x:c>
      <x:c r="M94" t="n">
        <x:v>7</x:v>
      </x:c>
      <x:c r="N94" t="n">
        <x:v>6</x:v>
      </x:c>
      <x:c r="O94" t="n">
        <x:v>6</x:v>
      </x:c>
      <x:c r="P94" t="n">
        <x:v>4</x:v>
      </x:c>
      <x:c r="S94" t="inlineStr">
        <x:is>
          <x:t xml:space="preserve">B.R. Borg</x:t>
        </x:is>
      </x:c>
      <x:c r="T94" t="inlineStr">
        <x:is>
          <x:t xml:space="preserve">SWE</x:t>
        </x:is>
      </x:c>
      <x:c r="U94" t="inlineStr">
        <x:is>
          <x:t xml:space="preserve">Sweden</x:t>
        </x:is>
      </x:c>
      <x:c r="V94" t="n">
        <x:v>1</x:v>
      </x:c>
      <x:c r="W94" t="n">
        <x:v>4</x:v>
      </x:c>
      <x:c r="X94" t="n">
        <x:v>46</x:v>
      </x:c>
      <x:c r="Y94" t="inlineStr">
        <x:is>
          <x:t xml:space="preserve">Completed</x:t>
        </x:is>
      </x:c>
      <x:c r="Z94" t="inlineStr">
        <x:is>
          <x:t xml:space="preserve">Recorded</x:t>
        </x:is>
      </x:c>
      <x:c r="AA94" t="n">
        <x:v>3</x:v>
      </x:c>
      <x:c r="AB94" t="inlineStr">
        <x:is>
          <x:t xml:space="preserve">No</x:t>
        </x:is>
      </x:c>
      <x:c r="AC94" t="inlineStr">
        <x:is>
          <x:t xml:space="preserve">1980s</x:t>
        </x:is>
      </x:c>
      <x:c r="AD94" t="inlineStr">
        <x:is>
          <x:t xml:space="preserve">Seeded</x:t>
        </x:is>
      </x:c>
      <x:c r="AE94" t="inlineStr">
        <x:is>
          <x:t xml:space="preserve">Seeded</x:t>
        </x:is>
      </x:c>
    </x:row>
    <x:row r="95">
      <x:c r="A95" t="n">
        <x:v>1980</x:v>
      </x:c>
      <x:c r="B95" t="inlineStr">
        <x:is>
          <x:t xml:space="preserve">Women's</x:t>
        </x:is>
      </x:c>
      <x:c r="C95" t="inlineStr">
        <x:is>
          <x:t xml:space="preserve">R.A. Cawley</x:t>
        </x:is>
      </x:c>
      <x:c r="D95" t="inlineStr">
        <x:is>
          <x:t xml:space="preserve">AUS</x:t>
        </x:is>
      </x:c>
      <x:c r="E95" t="inlineStr">
        <x:is>
          <x:t xml:space="preserve">Australia</x:t>
        </x:is>
      </x:c>
      <x:c r="F95" t="n">
        <x:v>4</x:v>
      </x:c>
      <x:c r="G95" t="n">
        <x:v>93</x:v>
      </x:c>
      <x:c r="H95" t="inlineStr">
        <x:is>
          <x:t xml:space="preserve">6-1, 7-6 (7-4)</x:t>
        </x:is>
      </x:c>
      <x:c r="I95" t="n">
        <x:v>6</x:v>
      </x:c>
      <x:c r="J95" t="n">
        <x:v>1</x:v>
      </x:c>
      <x:c r="K95" t="n">
        <x:v>7</x:v>
      </x:c>
      <x:c r="L95" t="n">
        <x:v>6</x:v>
      </x:c>
      <x:c r="S95" t="inlineStr">
        <x:is>
          <x:t xml:space="preserve">J.M. Lloyd</x:t>
        </x:is>
      </x:c>
      <x:c r="T95" t="inlineStr">
        <x:is>
          <x:t xml:space="preserve">USA</x:t>
        </x:is>
      </x:c>
      <x:c r="U95" t="inlineStr">
        <x:is>
          <x:t xml:space="preserve">United States</x:t>
        </x:is>
      </x:c>
      <x:c r="V95" t="n">
        <x:v>3</x:v>
      </x:c>
      <x:c r="W95" t="n">
        <x:v>2</x:v>
      </x:c>
      <x:c r="X95" t="n">
        <x:v>20</x:v>
      </x:c>
      <x:c r="Y95" t="inlineStr">
        <x:is>
          <x:t xml:space="preserve">Completed</x:t>
        </x:is>
      </x:c>
      <x:c r="Z95" t="inlineStr">
        <x:is>
          <x:t xml:space="preserve">Recorded</x:t>
        </x:is>
      </x:c>
      <x:c r="AA95" t="n">
        <x:v>1</x:v>
      </x:c>
      <x:c r="AB95" t="inlineStr">
        <x:is>
          <x:t xml:space="preserve">No</x:t>
        </x:is>
      </x:c>
      <x:c r="AC95" t="inlineStr">
        <x:is>
          <x:t xml:space="preserve">1980s</x:t>
        </x:is>
      </x:c>
      <x:c r="AD95" t="inlineStr">
        <x:is>
          <x:t xml:space="preserve">Seeded</x:t>
        </x:is>
      </x:c>
      <x:c r="AE95" t="inlineStr">
        <x:is>
          <x:t xml:space="preserve">Seeded</x:t>
        </x:is>
      </x:c>
    </x:row>
    <x:row r="96">
      <x:c r="A96" t="n">
        <x:v>1980</x:v>
      </x:c>
      <x:c r="B96" t="inlineStr">
        <x:is>
          <x:t xml:space="preserve">Men's</x:t>
        </x:is>
      </x:c>
      <x:c r="C96" t="inlineStr">
        <x:is>
          <x:t xml:space="preserve">B.R. Borg</x:t>
        </x:is>
      </x:c>
      <x:c r="D96" t="inlineStr">
        <x:is>
          <x:t xml:space="preserve">SWE</x:t>
        </x:is>
      </x:c>
      <x:c r="E96" t="inlineStr">
        <x:is>
          <x:t xml:space="preserve">Sweden</x:t>
        </x:is>
      </x:c>
      <x:c r="F96" t="n">
        <x:v>1</x:v>
      </x:c>
      <x:c r="G96" t="n">
        <x:v>233</x:v>
      </x:c>
      <x:c r="H96" t="inlineStr">
        <x:is>
          <x:t xml:space="preserve">1-6, 7-5, 6-3, 6-7 (16-18), 8-6</x:t>
        </x:is>
      </x:c>
      <x:c r="I96" t="n">
        <x:v>1</x:v>
      </x:c>
      <x:c r="J96" t="n">
        <x:v>6</x:v>
      </x:c>
      <x:c r="K96" t="n">
        <x:v>7</x:v>
      </x:c>
      <x:c r="L96" t="n">
        <x:v>5</x:v>
      </x:c>
      <x:c r="M96" t="n">
        <x:v>6</x:v>
      </x:c>
      <x:c r="N96" t="n">
        <x:v>3</x:v>
      </x:c>
      <x:c r="O96" t="n">
        <x:v>6</x:v>
      </x:c>
      <x:c r="P96" t="n">
        <x:v>7</x:v>
      </x:c>
      <x:c r="Q96" t="n">
        <x:v>8</x:v>
      </x:c>
      <x:c r="R96" t="n">
        <x:v>6</x:v>
      </x:c>
      <x:c r="S96" t="inlineStr">
        <x:is>
          <x:t xml:space="preserve">J.P. McEnroe</x:t>
        </x:is>
      </x:c>
      <x:c r="T96" t="inlineStr">
        <x:is>
          <x:t xml:space="preserve">USA</x:t>
        </x:is>
      </x:c>
      <x:c r="U96" t="inlineStr">
        <x:is>
          <x:t xml:space="preserve">United States</x:t>
        </x:is>
      </x:c>
      <x:c r="V96" t="n">
        <x:v>2</x:v>
      </x:c>
      <x:c r="W96" t="n">
        <x:v>5</x:v>
      </x:c>
      <x:c r="X96" t="n">
        <x:v>55</x:v>
      </x:c>
      <x:c r="Y96" t="inlineStr">
        <x:is>
          <x:t xml:space="preserve">Completed</x:t>
        </x:is>
      </x:c>
      <x:c r="Z96" t="inlineStr">
        <x:is>
          <x:t xml:space="preserve">Recorded</x:t>
        </x:is>
      </x:c>
      <x:c r="AA96" t="n">
        <x:v>5</x:v>
      </x:c>
      <x:c r="AB96" t="inlineStr">
        <x:is>
          <x:t xml:space="preserve">Yes</x:t>
        </x:is>
      </x:c>
      <x:c r="AC96" t="inlineStr">
        <x:is>
          <x:t xml:space="preserve">1980s</x:t>
        </x:is>
      </x:c>
      <x:c r="AD96" t="inlineStr">
        <x:is>
          <x:t xml:space="preserve">Seeded</x:t>
        </x:is>
      </x:c>
      <x:c r="AE96" t="inlineStr">
        <x:is>
          <x:t xml:space="preserve">Seeded</x:t>
        </x:is>
      </x:c>
    </x:row>
    <x:row r="97">
      <x:c r="A97" t="n">
        <x:v>1979</x:v>
      </x:c>
      <x:c r="B97" t="inlineStr">
        <x:is>
          <x:t xml:space="preserve">Women's</x:t>
        </x:is>
      </x:c>
      <x:c r="C97" t="inlineStr">
        <x:is>
          <x:t xml:space="preserve">M. Navratilova</x:t>
        </x:is>
      </x:c>
      <x:c r="D97" t="inlineStr">
        <x:is>
          <x:t xml:space="preserve">USA</x:t>
        </x:is>
      </x:c>
      <x:c r="E97" t="inlineStr">
        <x:is>
          <x:t xml:space="preserve">United States</x:t>
        </x:is>
      </x:c>
      <x:c r="F97" t="n">
        <x:v>1</x:v>
      </x:c>
      <x:c r="G97" t="n">
        <x:v>60</x:v>
      </x:c>
      <x:c r="H97" t="inlineStr">
        <x:is>
          <x:t xml:space="preserve">6-4, 6-4,</x:t>
        </x:is>
      </x:c>
      <x:c r="I97" t="n">
        <x:v>6</x:v>
      </x:c>
      <x:c r="J97" t="n">
        <x:v>4</x:v>
      </x:c>
      <x:c r="K97" t="n">
        <x:v>6</x:v>
      </x:c>
      <x:c r="L97" t="n">
        <x:v>4</x:v>
      </x:c>
      <x:c r="S97" t="inlineStr">
        <x:is>
          <x:t xml:space="preserve">J.M. Lloyd</x:t>
        </x:is>
      </x:c>
      <x:c r="T97" t="inlineStr">
        <x:is>
          <x:t xml:space="preserve">USA</x:t>
        </x:is>
      </x:c>
      <x:c r="U97" t="inlineStr">
        <x:is>
          <x:t xml:space="preserve">United States</x:t>
        </x:is>
      </x:c>
      <x:c r="V97" t="n">
        <x:v>2</x:v>
      </x:c>
      <x:c r="W97" t="n">
        <x:v>2</x:v>
      </x:c>
      <x:c r="X97" t="n">
        <x:v>20</x:v>
      </x:c>
      <x:c r="Y97" t="inlineStr">
        <x:is>
          <x:t xml:space="preserve">Completed</x:t>
        </x:is>
      </x:c>
      <x:c r="Z97" t="inlineStr">
        <x:is>
          <x:t xml:space="preserve">Recorded</x:t>
        </x:is>
      </x:c>
      <x:c r="AA97" t="n">
        <x:v>9</x:v>
      </x:c>
      <x:c r="AB97" t="inlineStr">
        <x:is>
          <x:t xml:space="preserve">Yes</x:t>
        </x:is>
      </x:c>
      <x:c r="AC97" t="inlineStr">
        <x:is>
          <x:t xml:space="preserve">1970s</x:t>
        </x:is>
      </x:c>
      <x:c r="AD97" t="inlineStr">
        <x:is>
          <x:t xml:space="preserve">Seeded</x:t>
        </x:is>
      </x:c>
      <x:c r="AE97" t="inlineStr">
        <x:is>
          <x:t xml:space="preserve">Seeded</x:t>
        </x:is>
      </x:c>
    </x:row>
    <x:row r="98">
      <x:c r="A98" t="n">
        <x:v>1979</x:v>
      </x:c>
      <x:c r="B98" t="inlineStr">
        <x:is>
          <x:t xml:space="preserve">Men's</x:t>
        </x:is>
      </x:c>
      <x:c r="C98" t="inlineStr">
        <x:is>
          <x:t xml:space="preserve">B.R. Borg</x:t>
        </x:is>
      </x:c>
      <x:c r="D98" t="inlineStr">
        <x:is>
          <x:t xml:space="preserve">SWE</x:t>
        </x:is>
      </x:c>
      <x:c r="E98" t="inlineStr">
        <x:is>
          <x:t xml:space="preserve">Sweden</x:t>
        </x:is>
      </x:c>
      <x:c r="F98" t="n">
        <x:v>1</x:v>
      </x:c>
      <x:c r="G98" t="n">
        <x:v>169</x:v>
      </x:c>
      <x:c r="H98" t="inlineStr">
        <x:is>
          <x:t xml:space="preserve">6-7(4-7), 6-1, 3-6, 6-3, 6-4</x:t>
        </x:is>
      </x:c>
      <x:c r="I98" t="n">
        <x:v>6</x:v>
      </x:c>
      <x:c r="J98" t="n">
        <x:v>7</x:v>
      </x:c>
      <x:c r="K98" t="n">
        <x:v>6</x:v>
      </x:c>
      <x:c r="L98" t="n">
        <x:v>1</x:v>
      </x:c>
      <x:c r="M98" t="n">
        <x:v>3</x:v>
      </x:c>
      <x:c r="N98" t="n">
        <x:v>6</x:v>
      </x:c>
      <x:c r="O98" t="n">
        <x:v>6</x:v>
      </x:c>
      <x:c r="P98" t="n">
        <x:v>3</x:v>
      </x:c>
      <x:c r="Q98" t="n">
        <x:v>6</x:v>
      </x:c>
      <x:c r="R98" t="n">
        <x:v>4</x:v>
      </x:c>
      <x:c r="S98" t="inlineStr">
        <x:is>
          <x:t xml:space="preserve">R. Tanner</x:t>
        </x:is>
      </x:c>
      <x:c r="T98" t="inlineStr">
        <x:is>
          <x:t xml:space="preserve">USA</x:t>
        </x:is>
      </x:c>
      <x:c r="U98" t="inlineStr">
        <x:is>
          <x:t xml:space="preserve">United States</x:t>
        </x:is>
      </x:c>
      <x:c r="V98" t="n">
        <x:v>5</x:v>
      </x:c>
      <x:c r="W98" t="n">
        <x:v>5</x:v>
      </x:c>
      <x:c r="X98" t="n">
        <x:v>48</x:v>
      </x:c>
      <x:c r="Y98" t="inlineStr">
        <x:is>
          <x:t xml:space="preserve">Completed</x:t>
        </x:is>
      </x:c>
      <x:c r="Z98" t="inlineStr">
        <x:is>
          <x:t xml:space="preserve">Recorded</x:t>
        </x:is>
      </x:c>
      <x:c r="AA98" t="n">
        <x:v>5</x:v>
      </x:c>
      <x:c r="AB98" t="inlineStr">
        <x:is>
          <x:t xml:space="preserve">Yes</x:t>
        </x:is>
      </x:c>
      <x:c r="AC98" t="inlineStr">
        <x:is>
          <x:t xml:space="preserve">1970s</x:t>
        </x:is>
      </x:c>
      <x:c r="AD98" t="inlineStr">
        <x:is>
          <x:t xml:space="preserve">Seeded</x:t>
        </x:is>
      </x:c>
      <x:c r="AE98" t="inlineStr">
        <x:is>
          <x:t xml:space="preserve">Seeded</x:t>
        </x:is>
      </x:c>
    </x:row>
    <x:row r="99">
      <x:c r="A99" t="n">
        <x:v>1978</x:v>
      </x:c>
      <x:c r="B99" t="inlineStr">
        <x:is>
          <x:t xml:space="preserve">Women's</x:t>
        </x:is>
      </x:c>
      <x:c r="C99" t="inlineStr">
        <x:is>
          <x:t xml:space="preserve">M. Navratilova</x:t>
        </x:is>
      </x:c>
      <x:c r="D99" t="inlineStr">
        <x:is>
          <x:t xml:space="preserve">USA</x:t>
        </x:is>
      </x:c>
      <x:c r="E99" t="inlineStr">
        <x:is>
          <x:t xml:space="preserve">United States</x:t>
        </x:is>
      </x:c>
      <x:c r="F99" t="n">
        <x:v>2</x:v>
      </x:c>
      <x:c r="G99" t="n">
        <x:v>102</x:v>
      </x:c>
      <x:c r="H99" t="inlineStr">
        <x:is>
          <x:t xml:space="preserve">2-6, 6-4, 7-5,</x:t>
        </x:is>
      </x:c>
      <x:c r="I99" t="n">
        <x:v>2</x:v>
      </x:c>
      <x:c r="J99" t="n">
        <x:v>6</x:v>
      </x:c>
      <x:c r="K99" t="n">
        <x:v>6</x:v>
      </x:c>
      <x:c r="L99" t="n">
        <x:v>4</x:v>
      </x:c>
      <x:c r="M99" t="n">
        <x:v>7</x:v>
      </x:c>
      <x:c r="N99" t="n">
        <x:v>5</x:v>
      </x:c>
      <x:c r="S99" t="inlineStr">
        <x:is>
          <x:t xml:space="preserve">C.M. Evert</x:t>
        </x:is>
      </x:c>
      <x:c r="T99" t="inlineStr">
        <x:is>
          <x:t xml:space="preserve">USA</x:t>
        </x:is>
      </x:c>
      <x:c r="U99" t="inlineStr">
        <x:is>
          <x:t xml:space="preserve">United States</x:t>
        </x:is>
      </x:c>
      <x:c r="V99" t="n">
        <x:v>1</x:v>
      </x:c>
      <x:c r="W99" t="n">
        <x:v>3</x:v>
      </x:c>
      <x:c r="X99" t="n">
        <x:v>30</x:v>
      </x:c>
      <x:c r="Y99" t="inlineStr">
        <x:is>
          <x:t xml:space="preserve">Completed</x:t>
        </x:is>
      </x:c>
      <x:c r="Z99" t="inlineStr">
        <x:is>
          <x:t xml:space="preserve">Recorded</x:t>
        </x:is>
      </x:c>
      <x:c r="AA99" t="n">
        <x:v>9</x:v>
      </x:c>
      <x:c r="AB99" t="inlineStr">
        <x:is>
          <x:t xml:space="preserve">Yes</x:t>
        </x:is>
      </x:c>
      <x:c r="AC99" t="inlineStr">
        <x:is>
          <x:t xml:space="preserve">1970s</x:t>
        </x:is>
      </x:c>
      <x:c r="AD99" t="inlineStr">
        <x:is>
          <x:t xml:space="preserve">Seeded</x:t>
        </x:is>
      </x:c>
      <x:c r="AE99" t="inlineStr">
        <x:is>
          <x:t xml:space="preserve">Seeded</x:t>
        </x:is>
      </x:c>
    </x:row>
    <x:row r="100">
      <x:c r="A100" t="n">
        <x:v>1978</x:v>
      </x:c>
      <x:c r="B100" t="inlineStr">
        <x:is>
          <x:t xml:space="preserve">Men's</x:t>
        </x:is>
      </x:c>
      <x:c r="C100" t="inlineStr">
        <x:is>
          <x:t xml:space="preserve">B.R. Borg</x:t>
        </x:is>
      </x:c>
      <x:c r="D100" t="inlineStr">
        <x:is>
          <x:t xml:space="preserve">SWE</x:t>
        </x:is>
      </x:c>
      <x:c r="E100" t="inlineStr">
        <x:is>
          <x:t xml:space="preserve">Sweden</x:t>
        </x:is>
      </x:c>
      <x:c r="F100" t="n">
        <x:v>1</x:v>
      </x:c>
      <x:c r="G100" t="n">
        <x:v>108</x:v>
      </x:c>
      <x:c r="H100" t="inlineStr">
        <x:is>
          <x:t xml:space="preserve">6-2, 6-2, 6-3</x:t>
        </x:is>
      </x:c>
      <x:c r="I100" t="n">
        <x:v>6</x:v>
      </x:c>
      <x:c r="J100" t="n">
        <x:v>2</x:v>
      </x:c>
      <x:c r="K100" t="n">
        <x:v>6</x:v>
      </x:c>
      <x:c r="L100" t="n">
        <x:v>2</x:v>
      </x:c>
      <x:c r="M100" t="n">
        <x:v>6</x:v>
      </x:c>
      <x:c r="N100" t="n">
        <x:v>3</x:v>
      </x:c>
      <x:c r="S100" t="inlineStr">
        <x:is>
          <x:t xml:space="preserve">J.S. Connors</x:t>
        </x:is>
      </x:c>
      <x:c r="T100" t="inlineStr">
        <x:is>
          <x:t xml:space="preserve">USA</x:t>
        </x:is>
      </x:c>
      <x:c r="U100" t="inlineStr">
        <x:is>
          <x:t xml:space="preserve">United States</x:t>
        </x:is>
      </x:c>
      <x:c r="V100" t="n">
        <x:v>2</x:v>
      </x:c>
      <x:c r="W100" t="n">
        <x:v>3</x:v>
      </x:c>
      <x:c r="X100" t="n">
        <x:v>25</x:v>
      </x:c>
      <x:c r="Y100" t="inlineStr">
        <x:is>
          <x:t xml:space="preserve">Completed</x:t>
        </x:is>
      </x:c>
      <x:c r="Z100" t="inlineStr">
        <x:is>
          <x:t xml:space="preserve">Recorded</x:t>
        </x:is>
      </x:c>
      <x:c r="AA100" t="n">
        <x:v>5</x:v>
      </x:c>
      <x:c r="AB100" t="inlineStr">
        <x:is>
          <x:t xml:space="preserve">Yes</x:t>
        </x:is>
      </x:c>
      <x:c r="AC100" t="inlineStr">
        <x:is>
          <x:t xml:space="preserve">1970s</x:t>
        </x:is>
      </x:c>
      <x:c r="AD100" t="inlineStr">
        <x:is>
          <x:t xml:space="preserve">Seeded</x:t>
        </x:is>
      </x:c>
      <x:c r="AE100" t="inlineStr">
        <x:is>
          <x:t xml:space="preserve">Seeded</x:t>
        </x:is>
      </x:c>
    </x:row>
    <x:row r="101">
      <x:c r="A101" t="n">
        <x:v>1977</x:v>
      </x:c>
      <x:c r="B101" t="inlineStr">
        <x:is>
          <x:t xml:space="preserve">Women's</x:t>
        </x:is>
      </x:c>
      <x:c r="C101" t="inlineStr">
        <x:is>
          <x:t xml:space="preserve">S.V. Wade</x:t>
        </x:is>
      </x:c>
      <x:c r="D101" t="inlineStr">
        <x:is>
          <x:t xml:space="preserve">GBR</x:t>
        </x:is>
      </x:c>
      <x:c r="E101" t="inlineStr">
        <x:is>
          <x:t xml:space="preserve">United Kingdom</x:t>
        </x:is>
      </x:c>
      <x:c r="F101" t="n">
        <x:v>3</x:v>
      </x:c>
      <x:c r="G101" t="n">
        <x:v>98</x:v>
      </x:c>
      <x:c r="H101" t="inlineStr">
        <x:is>
          <x:t xml:space="preserve">4-6, 6-3, 6-1,</x:t>
        </x:is>
      </x:c>
      <x:c r="I101" t="n">
        <x:v>4</x:v>
      </x:c>
      <x:c r="J101" t="n">
        <x:v>6</x:v>
      </x:c>
      <x:c r="K101" t="n">
        <x:v>6</x:v>
      </x:c>
      <x:c r="L101" t="n">
        <x:v>3</x:v>
      </x:c>
      <x:c r="M101" t="n">
        <x:v>6</x:v>
      </x:c>
      <x:c r="N101" t="n">
        <x:v>1</x:v>
      </x:c>
      <x:c r="S101" t="inlineStr">
        <x:is>
          <x:t xml:space="preserve">B.F. Stove</x:t>
        </x:is>
      </x:c>
      <x:c r="T101" t="inlineStr">
        <x:is>
          <x:t xml:space="preserve">NED</x:t>
        </x:is>
      </x:c>
      <x:c r="U101" t="inlineStr">
        <x:is>
          <x:t xml:space="preserve">Netherlands</x:t>
        </x:is>
      </x:c>
      <x:c r="V101" t="n">
        <x:v>7</x:v>
      </x:c>
      <x:c r="W101" t="n">
        <x:v>3</x:v>
      </x:c>
      <x:c r="X101" t="n">
        <x:v>26</x:v>
      </x:c>
      <x:c r="Y101" t="inlineStr">
        <x:is>
          <x:t xml:space="preserve">Completed</x:t>
        </x:is>
      </x:c>
      <x:c r="Z101" t="inlineStr">
        <x:is>
          <x:t xml:space="preserve">Recorded</x:t>
        </x:is>
      </x:c>
      <x:c r="AA101" t="n">
        <x:v>1</x:v>
      </x:c>
      <x:c r="AB101" t="inlineStr">
        <x:is>
          <x:t xml:space="preserve">No</x:t>
        </x:is>
      </x:c>
      <x:c r="AC101" t="inlineStr">
        <x:is>
          <x:t xml:space="preserve">1970s</x:t>
        </x:is>
      </x:c>
      <x:c r="AD101" t="inlineStr">
        <x:is>
          <x:t xml:space="preserve">Seeded</x:t>
        </x:is>
      </x:c>
      <x:c r="AE101" t="inlineStr">
        <x:is>
          <x:t xml:space="preserve">Seeded</x:t>
        </x:is>
      </x:c>
    </x:row>
    <x:row r="102">
      <x:c r="A102" t="n">
        <x:v>1977</x:v>
      </x:c>
      <x:c r="B102" t="inlineStr">
        <x:is>
          <x:t xml:space="preserve">Men's</x:t>
        </x:is>
      </x:c>
      <x:c r="C102" t="inlineStr">
        <x:is>
          <x:t xml:space="preserve">B.R. Borg</x:t>
        </x:is>
      </x:c>
      <x:c r="D102" t="inlineStr">
        <x:is>
          <x:t xml:space="preserve">SWE</x:t>
        </x:is>
      </x:c>
      <x:c r="E102" t="inlineStr">
        <x:is>
          <x:t xml:space="preserve">Sweden</x:t>
        </x:is>
      </x:c>
      <x:c r="F102" t="n">
        <x:v>2</x:v>
      </x:c>
      <x:c r="G102" t="n">
        <x:v>194</x:v>
      </x:c>
      <x:c r="H102" t="inlineStr">
        <x:is>
          <x:t xml:space="preserve">3-6, 6-2, 6-1, 5-7, 6-4</x:t>
        </x:is>
      </x:c>
      <x:c r="I102" t="n">
        <x:v>3</x:v>
      </x:c>
      <x:c r="J102" t="n">
        <x:v>6</x:v>
      </x:c>
      <x:c r="K102" t="n">
        <x:v>6</x:v>
      </x:c>
      <x:c r="L102" t="n">
        <x:v>2</x:v>
      </x:c>
      <x:c r="M102" t="n">
        <x:v>6</x:v>
      </x:c>
      <x:c r="N102" t="n">
        <x:v>1</x:v>
      </x:c>
      <x:c r="O102" t="n">
        <x:v>5</x:v>
      </x:c>
      <x:c r="P102" t="n">
        <x:v>7</x:v>
      </x:c>
      <x:c r="Q102" t="n">
        <x:v>6</x:v>
      </x:c>
      <x:c r="R102" t="n">
        <x:v>4</x:v>
      </x:c>
      <x:c r="S102" t="inlineStr">
        <x:is>
          <x:t xml:space="preserve">J.S. Connors</x:t>
        </x:is>
      </x:c>
      <x:c r="T102" t="inlineStr">
        <x:is>
          <x:t xml:space="preserve">USA</x:t>
        </x:is>
      </x:c>
      <x:c r="U102" t="inlineStr">
        <x:is>
          <x:t xml:space="preserve">United States</x:t>
        </x:is>
      </x:c>
      <x:c r="V102" t="n">
        <x:v>1</x:v>
      </x:c>
      <x:c r="W102" t="n">
        <x:v>5</x:v>
      </x:c>
      <x:c r="X102" t="n">
        <x:v>46</x:v>
      </x:c>
      <x:c r="Y102" t="inlineStr">
        <x:is>
          <x:t xml:space="preserve">Completed</x:t>
        </x:is>
      </x:c>
      <x:c r="Z102" t="inlineStr">
        <x:is>
          <x:t xml:space="preserve">Recorded</x:t>
        </x:is>
      </x:c>
      <x:c r="AA102" t="n">
        <x:v>5</x:v>
      </x:c>
      <x:c r="AB102" t="inlineStr">
        <x:is>
          <x:t xml:space="preserve">Yes</x:t>
        </x:is>
      </x:c>
      <x:c r="AC102" t="inlineStr">
        <x:is>
          <x:t xml:space="preserve">1970s</x:t>
        </x:is>
      </x:c>
      <x:c r="AD102" t="inlineStr">
        <x:is>
          <x:t xml:space="preserve">Seeded</x:t>
        </x:is>
      </x:c>
      <x:c r="AE102" t="inlineStr">
        <x:is>
          <x:t xml:space="preserve">Seeded</x:t>
        </x:is>
      </x:c>
    </x:row>
    <x:row r="103">
      <x:c r="A103" t="n">
        <x:v>1976</x:v>
      </x:c>
      <x:c r="B103" t="inlineStr">
        <x:is>
          <x:t xml:space="preserve">Women's</x:t>
        </x:is>
      </x:c>
      <x:c r="C103" t="inlineStr">
        <x:is>
          <x:t xml:space="preserve">C.M. Evert</x:t>
        </x:is>
      </x:c>
      <x:c r="D103" t="inlineStr">
        <x:is>
          <x:t xml:space="preserve">USA</x:t>
        </x:is>
      </x:c>
      <x:c r="E103" t="inlineStr">
        <x:is>
          <x:t xml:space="preserve">United States</x:t>
        </x:is>
      </x:c>
      <x:c r="F103" t="n">
        <x:v>1</x:v>
      </x:c>
      <x:c r="G103" t="n">
        <x:v>120</x:v>
      </x:c>
      <x:c r="H103" t="inlineStr">
        <x:is>
          <x:t xml:space="preserve">6-3, 4-6, 8-6,</x:t>
        </x:is>
      </x:c>
      <x:c r="I103" t="n">
        <x:v>6</x:v>
      </x:c>
      <x:c r="J103" t="n">
        <x:v>3</x:v>
      </x:c>
      <x:c r="K103" t="n">
        <x:v>4</x:v>
      </x:c>
      <x:c r="L103" t="n">
        <x:v>6</x:v>
      </x:c>
      <x:c r="M103" t="n">
        <x:v>8</x:v>
      </x:c>
      <x:c r="N103" t="n">
        <x:v>6</x:v>
      </x:c>
      <x:c r="S103" t="inlineStr">
        <x:is>
          <x:t xml:space="preserve">R.A. Cawley</x:t>
        </x:is>
      </x:c>
      <x:c r="T103" t="inlineStr">
        <x:is>
          <x:t xml:space="preserve">AUS</x:t>
        </x:is>
      </x:c>
      <x:c r="U103" t="inlineStr">
        <x:is>
          <x:t xml:space="preserve">Australia</x:t>
        </x:is>
      </x:c>
      <x:c r="V103" t="n">
        <x:v>2</x:v>
      </x:c>
      <x:c r="W103" t="n">
        <x:v>3</x:v>
      </x:c>
      <x:c r="X103" t="n">
        <x:v>33</x:v>
      </x:c>
      <x:c r="Y103" t="inlineStr">
        <x:is>
          <x:t xml:space="preserve">Completed</x:t>
        </x:is>
      </x:c>
      <x:c r="Z103" t="inlineStr">
        <x:is>
          <x:t xml:space="preserve">Recorded</x:t>
        </x:is>
      </x:c>
      <x:c r="AA103" t="n">
        <x:v>2</x:v>
      </x:c>
      <x:c r="AB103" t="inlineStr">
        <x:is>
          <x:t xml:space="preserve">No</x:t>
        </x:is>
      </x:c>
      <x:c r="AC103" t="inlineStr">
        <x:is>
          <x:t xml:space="preserve">1970s</x:t>
        </x:is>
      </x:c>
      <x:c r="AD103" t="inlineStr">
        <x:is>
          <x:t xml:space="preserve">Seeded</x:t>
        </x:is>
      </x:c>
      <x:c r="AE103" t="inlineStr">
        <x:is>
          <x:t xml:space="preserve">Seeded</x:t>
        </x:is>
      </x:c>
    </x:row>
    <x:row r="104">
      <x:c r="A104" t="n">
        <x:v>1976</x:v>
      </x:c>
      <x:c r="B104" t="inlineStr">
        <x:is>
          <x:t xml:space="preserve">Men's</x:t>
        </x:is>
      </x:c>
      <x:c r="C104" t="inlineStr">
        <x:is>
          <x:t xml:space="preserve">B.R. Borg</x:t>
        </x:is>
      </x:c>
      <x:c r="D104" t="inlineStr">
        <x:is>
          <x:t xml:space="preserve">SWE</x:t>
        </x:is>
      </x:c>
      <x:c r="E104" t="inlineStr">
        <x:is>
          <x:t xml:space="preserve">Sweden</x:t>
        </x:is>
      </x:c>
      <x:c r="F104" t="n">
        <x:v>4</x:v>
      </x:c>
      <x:c r="G104" t="n">
        <x:v>110</x:v>
      </x:c>
      <x:c r="H104" t="inlineStr">
        <x:is>
          <x:t xml:space="preserve">6-4, 6-2, 9-7</x:t>
        </x:is>
      </x:c>
      <x:c r="I104" t="n">
        <x:v>6</x:v>
      </x:c>
      <x:c r="J104" t="n">
        <x:v>4</x:v>
      </x:c>
      <x:c r="K104" t="n">
        <x:v>6</x:v>
      </x:c>
      <x:c r="L104" t="n">
        <x:v>2</x:v>
      </x:c>
      <x:c r="M104" t="n">
        <x:v>9</x:v>
      </x:c>
      <x:c r="N104" t="n">
        <x:v>7</x:v>
      </x:c>
      <x:c r="S104" t="inlineStr">
        <x:is>
          <x:t xml:space="preserve">I. Nastase</x:t>
        </x:is>
      </x:c>
      <x:c r="T104" t="inlineStr">
        <x:is>
          <x:t xml:space="preserve">ROM</x:t>
        </x:is>
      </x:c>
      <x:c r="U104" t="inlineStr">
        <x:is>
          <x:t xml:space="preserve">Romania</x:t>
        </x:is>
      </x:c>
      <x:c r="V104" t="n">
        <x:v>3</x:v>
      </x:c>
      <x:c r="W104" t="n">
        <x:v>3</x:v>
      </x:c>
      <x:c r="X104" t="n">
        <x:v>34</x:v>
      </x:c>
      <x:c r="Y104" t="inlineStr">
        <x:is>
          <x:t xml:space="preserve">Completed</x:t>
        </x:is>
      </x:c>
      <x:c r="Z104" t="inlineStr">
        <x:is>
          <x:t xml:space="preserve">Recorded</x:t>
        </x:is>
      </x:c>
      <x:c r="AA104" t="n">
        <x:v>5</x:v>
      </x:c>
      <x:c r="AB104" t="inlineStr">
        <x:is>
          <x:t xml:space="preserve">Yes</x:t>
        </x:is>
      </x:c>
      <x:c r="AC104" t="inlineStr">
        <x:is>
          <x:t xml:space="preserve">1970s</x:t>
        </x:is>
      </x:c>
      <x:c r="AD104" t="inlineStr">
        <x:is>
          <x:t xml:space="preserve">Seeded</x:t>
        </x:is>
      </x:c>
      <x:c r="AE104" t="inlineStr">
        <x:is>
          <x:t xml:space="preserve">Seeded</x:t>
        </x:is>
      </x:c>
    </x:row>
    <x:row r="105">
      <x:c r="A105" t="n">
        <x:v>1975</x:v>
      </x:c>
      <x:c r="B105" t="inlineStr">
        <x:is>
          <x:t xml:space="preserve">Women's</x:t>
        </x:is>
      </x:c>
      <x:c r="C105" t="inlineStr">
        <x:is>
          <x:t xml:space="preserve">L.W. King</x:t>
        </x:is>
      </x:c>
      <x:c r="D105" t="inlineStr">
        <x:is>
          <x:t xml:space="preserve">USA</x:t>
        </x:is>
      </x:c>
      <x:c r="E105" t="inlineStr">
        <x:is>
          <x:t xml:space="preserve">United States</x:t>
        </x:is>
      </x:c>
      <x:c r="F105" t="n">
        <x:v>3</x:v>
      </x:c>
      <x:c r="G105" t="n">
        <x:v>38</x:v>
      </x:c>
      <x:c r="H105" t="inlineStr">
        <x:is>
          <x:t xml:space="preserve">6-0, 6-1,</x:t>
        </x:is>
      </x:c>
      <x:c r="I105" t="n">
        <x:v>6</x:v>
      </x:c>
      <x:c r="J105" t="n">
        <x:v>0</x:v>
      </x:c>
      <x:c r="K105" t="n">
        <x:v>6</x:v>
      </x:c>
      <x:c r="L105" t="n">
        <x:v>1</x:v>
      </x:c>
      <x:c r="S105" t="inlineStr">
        <x:is>
          <x:t xml:space="preserve">R.A. Cawley</x:t>
        </x:is>
      </x:c>
      <x:c r="T105" t="inlineStr">
        <x:is>
          <x:t xml:space="preserve">AUS</x:t>
        </x:is>
      </x:c>
      <x:c r="U105" t="inlineStr">
        <x:is>
          <x:t xml:space="preserve">Australia</x:t>
        </x:is>
      </x:c>
      <x:c r="V105" t="n">
        <x:v>4</x:v>
      </x:c>
      <x:c r="W105" t="n">
        <x:v>2</x:v>
      </x:c>
      <x:c r="X105" t="n">
        <x:v>13</x:v>
      </x:c>
      <x:c r="Y105" t="inlineStr">
        <x:is>
          <x:t xml:space="preserve">Completed</x:t>
        </x:is>
      </x:c>
      <x:c r="Z105" t="inlineStr">
        <x:is>
          <x:t xml:space="preserve">Recorded</x:t>
        </x:is>
      </x:c>
      <x:c r="AA105" t="n">
        <x:v>6</x:v>
      </x:c>
      <x:c r="AB105" t="inlineStr">
        <x:is>
          <x:t xml:space="preserve">Yes</x:t>
        </x:is>
      </x:c>
      <x:c r="AC105" t="inlineStr">
        <x:is>
          <x:t xml:space="preserve">1970s</x:t>
        </x:is>
      </x:c>
      <x:c r="AD105" t="inlineStr">
        <x:is>
          <x:t xml:space="preserve">Seeded</x:t>
        </x:is>
      </x:c>
      <x:c r="AE105" t="inlineStr">
        <x:is>
          <x:t xml:space="preserve">Seeded</x:t>
        </x:is>
      </x:c>
    </x:row>
    <x:row r="106">
      <x:c r="A106" t="n">
        <x:v>1975</x:v>
      </x:c>
      <x:c r="B106" t="inlineStr">
        <x:is>
          <x:t xml:space="preserve">Men's</x:t>
        </x:is>
      </x:c>
      <x:c r="C106" t="inlineStr">
        <x:is>
          <x:t xml:space="preserve">A.R. Ashe</x:t>
        </x:is>
      </x:c>
      <x:c r="D106" t="inlineStr">
        <x:is>
          <x:t xml:space="preserve">USA</x:t>
        </x:is>
      </x:c>
      <x:c r="E106" t="inlineStr">
        <x:is>
          <x:t xml:space="preserve">United States</x:t>
        </x:is>
      </x:c>
      <x:c r="F106" t="n">
        <x:v>6</x:v>
      </x:c>
      <x:c r="G106" t="n">
        <x:v>125</x:v>
      </x:c>
      <x:c r="H106" t="inlineStr">
        <x:is>
          <x:t xml:space="preserve">6-1, 6-1, 5-7, 6-4</x:t>
        </x:is>
      </x:c>
      <x:c r="I106" t="n">
        <x:v>6</x:v>
      </x:c>
      <x:c r="J106" t="n">
        <x:v>1</x:v>
      </x:c>
      <x:c r="K106" t="n">
        <x:v>6</x:v>
      </x:c>
      <x:c r="L106" t="n">
        <x:v>1</x:v>
      </x:c>
      <x:c r="M106" t="n">
        <x:v>5</x:v>
      </x:c>
      <x:c r="N106" t="n">
        <x:v>7</x:v>
      </x:c>
      <x:c r="O106" t="n">
        <x:v>6</x:v>
      </x:c>
      <x:c r="P106" t="n">
        <x:v>4</x:v>
      </x:c>
      <x:c r="S106" t="inlineStr">
        <x:is>
          <x:t xml:space="preserve">J.S. Connors</x:t>
        </x:is>
      </x:c>
      <x:c r="T106" t="inlineStr">
        <x:is>
          <x:t xml:space="preserve">USA</x:t>
        </x:is>
      </x:c>
      <x:c r="U106" t="inlineStr">
        <x:is>
          <x:t xml:space="preserve">United States</x:t>
        </x:is>
      </x:c>
      <x:c r="V106" t="n">
        <x:v>1</x:v>
      </x:c>
      <x:c r="W106" t="n">
        <x:v>4</x:v>
      </x:c>
      <x:c r="X106" t="n">
        <x:v>36</x:v>
      </x:c>
      <x:c r="Y106" t="inlineStr">
        <x:is>
          <x:t xml:space="preserve">Completed</x:t>
        </x:is>
      </x:c>
      <x:c r="Z106" t="inlineStr">
        <x:is>
          <x:t xml:space="preserve">Recorded</x:t>
        </x:is>
      </x:c>
      <x:c r="AA106" t="n">
        <x:v>1</x:v>
      </x:c>
      <x:c r="AB106" t="inlineStr">
        <x:is>
          <x:t xml:space="preserve">No</x:t>
        </x:is>
      </x:c>
      <x:c r="AC106" t="inlineStr">
        <x:is>
          <x:t xml:space="preserve">1970s</x:t>
        </x:is>
      </x:c>
      <x:c r="AD106" t="inlineStr">
        <x:is>
          <x:t xml:space="preserve">Seeded</x:t>
        </x:is>
      </x:c>
      <x:c r="AE106" t="inlineStr">
        <x:is>
          <x:t xml:space="preserve">Seeded</x:t>
        </x:is>
      </x:c>
    </x:row>
    <x:row r="107">
      <x:c r="A107" t="n">
        <x:v>1974</x:v>
      </x:c>
      <x:c r="B107" t="inlineStr">
        <x:is>
          <x:t xml:space="preserve">Women's</x:t>
        </x:is>
      </x:c>
      <x:c r="C107" t="inlineStr">
        <x:is>
          <x:t xml:space="preserve">C.M. Evert</x:t>
        </x:is>
      </x:c>
      <x:c r="D107" t="inlineStr">
        <x:is>
          <x:t xml:space="preserve">USA</x:t>
        </x:is>
      </x:c>
      <x:c r="E107" t="inlineStr">
        <x:is>
          <x:t xml:space="preserve">United States</x:t>
        </x:is>
      </x:c>
      <x:c r="F107" t="n">
        <x:v>2</x:v>
      </x:c>
      <x:c r="G107" t="n">
        <x:v>59</x:v>
      </x:c>
      <x:c r="H107" t="inlineStr">
        <x:is>
          <x:t xml:space="preserve">6-0, 6-4</x:t>
        </x:is>
      </x:c>
      <x:c r="I107" t="n">
        <x:v>6</x:v>
      </x:c>
      <x:c r="J107" t="n">
        <x:v>0</x:v>
      </x:c>
      <x:c r="K107" t="n">
        <x:v>6</x:v>
      </x:c>
      <x:c r="L107" t="n">
        <x:v>4</x:v>
      </x:c>
      <x:c r="S107" t="inlineStr">
        <x:is>
          <x:t xml:space="preserve">O.V. Morozova</x:t>
        </x:is>
      </x:c>
      <x:c r="T107" t="inlineStr">
        <x:is>
          <x:t xml:space="preserve">URS</x:t>
        </x:is>
      </x:c>
      <x:c r="U107" t="inlineStr">
        <x:is>
          <x:t xml:space="preserve">Soviet Union</x:t>
        </x:is>
      </x:c>
      <x:c r="V107" t="n">
        <x:v>8</x:v>
      </x:c>
      <x:c r="W107" t="n">
        <x:v>2</x:v>
      </x:c>
      <x:c r="X107" t="n">
        <x:v>16</x:v>
      </x:c>
      <x:c r="Y107" t="inlineStr">
        <x:is>
          <x:t xml:space="preserve">Completed</x:t>
        </x:is>
      </x:c>
      <x:c r="Z107" t="inlineStr">
        <x:is>
          <x:t xml:space="preserve">Recorded</x:t>
        </x:is>
      </x:c>
      <x:c r="AA107" t="n">
        <x:v>2</x:v>
      </x:c>
      <x:c r="AB107" t="inlineStr">
        <x:is>
          <x:t xml:space="preserve">No</x:t>
        </x:is>
      </x:c>
      <x:c r="AC107" t="inlineStr">
        <x:is>
          <x:t xml:space="preserve">1970s</x:t>
        </x:is>
      </x:c>
      <x:c r="AD107" t="inlineStr">
        <x:is>
          <x:t xml:space="preserve">Seeded</x:t>
        </x:is>
      </x:c>
      <x:c r="AE107" t="inlineStr">
        <x:is>
          <x:t xml:space="preserve">Seeded</x:t>
        </x:is>
      </x:c>
    </x:row>
    <x:row r="108">
      <x:c r="A108" t="n">
        <x:v>1974</x:v>
      </x:c>
      <x:c r="B108" t="inlineStr">
        <x:is>
          <x:t xml:space="preserve">Men's</x:t>
        </x:is>
      </x:c>
      <x:c r="C108" t="inlineStr">
        <x:is>
          <x:t xml:space="preserve">J.S. Connors</x:t>
        </x:is>
      </x:c>
      <x:c r="D108" t="inlineStr">
        <x:is>
          <x:t xml:space="preserve">USA</x:t>
        </x:is>
      </x:c>
      <x:c r="E108" t="inlineStr">
        <x:is>
          <x:t xml:space="preserve">United States</x:t>
        </x:is>
      </x:c>
      <x:c r="F108" t="n">
        <x:v>3</x:v>
      </x:c>
      <x:c r="G108" t="n">
        <x:v>93</x:v>
      </x:c>
      <x:c r="H108" t="inlineStr">
        <x:is>
          <x:t xml:space="preserve">6-1, 6-1, 6-4</x:t>
        </x:is>
      </x:c>
      <x:c r="I108" t="n">
        <x:v>6</x:v>
      </x:c>
      <x:c r="J108" t="n">
        <x:v>1</x:v>
      </x:c>
      <x:c r="K108" t="n">
        <x:v>6</x:v>
      </x:c>
      <x:c r="L108" t="n">
        <x:v>1</x:v>
      </x:c>
      <x:c r="M108" t="n">
        <x:v>6</x:v>
      </x:c>
      <x:c r="N108" t="n">
        <x:v>4</x:v>
      </x:c>
      <x:c r="S108" t="inlineStr">
        <x:is>
          <x:t xml:space="preserve">K.R. Rosewall</x:t>
        </x:is>
      </x:c>
      <x:c r="T108" t="inlineStr">
        <x:is>
          <x:t xml:space="preserve">AUS</x:t>
        </x:is>
      </x:c>
      <x:c r="U108" t="inlineStr">
        <x:is>
          <x:t xml:space="preserve">Australia</x:t>
        </x:is>
      </x:c>
      <x:c r="V108" t="n">
        <x:v>9</x:v>
      </x:c>
      <x:c r="W108" t="n">
        <x:v>3</x:v>
      </x:c>
      <x:c r="X108" t="n">
        <x:v>24</x:v>
      </x:c>
      <x:c r="Y108" t="inlineStr">
        <x:is>
          <x:t xml:space="preserve">Completed</x:t>
        </x:is>
      </x:c>
      <x:c r="Z108" t="inlineStr">
        <x:is>
          <x:t xml:space="preserve">Recorded</x:t>
        </x:is>
      </x:c>
      <x:c r="AA108" t="n">
        <x:v>2</x:v>
      </x:c>
      <x:c r="AB108" t="inlineStr">
        <x:is>
          <x:t xml:space="preserve">No</x:t>
        </x:is>
      </x:c>
      <x:c r="AC108" t="inlineStr">
        <x:is>
          <x:t xml:space="preserve">1970s</x:t>
        </x:is>
      </x:c>
      <x:c r="AD108" t="inlineStr">
        <x:is>
          <x:t xml:space="preserve">Seeded</x:t>
        </x:is>
      </x:c>
      <x:c r="AE108" t="inlineStr">
        <x:is>
          <x:t xml:space="preserve">Seeded</x:t>
        </x:is>
      </x:c>
    </x:row>
    <x:row r="109">
      <x:c r="A109" t="n">
        <x:v>1973</x:v>
      </x:c>
      <x:c r="B109" t="inlineStr">
        <x:is>
          <x:t xml:space="preserve">Women's</x:t>
        </x:is>
      </x:c>
      <x:c r="C109" t="inlineStr">
        <x:is>
          <x:t xml:space="preserve">L.W. King</x:t>
        </x:is>
      </x:c>
      <x:c r="D109" t="inlineStr">
        <x:is>
          <x:t xml:space="preserve">USA</x:t>
        </x:is>
      </x:c>
      <x:c r="E109" t="inlineStr">
        <x:is>
          <x:t xml:space="preserve">United States</x:t>
        </x:is>
      </x:c>
      <x:c r="F109" t="n">
        <x:v>2</x:v>
      </x:c>
      <x:c r="G109" t="n">
        <x:v>53</x:v>
      </x:c>
      <x:c r="H109" t="inlineStr">
        <x:is>
          <x:t xml:space="preserve">6-0, 7-5</x:t>
        </x:is>
      </x:c>
      <x:c r="I109" t="n">
        <x:v>6</x:v>
      </x:c>
      <x:c r="J109" t="n">
        <x:v>0</x:v>
      </x:c>
      <x:c r="K109" t="n">
        <x:v>7</x:v>
      </x:c>
      <x:c r="L109" t="n">
        <x:v>5</x:v>
      </x:c>
      <x:c r="S109" t="inlineStr">
        <x:is>
          <x:t xml:space="preserve">C.M. Evert</x:t>
        </x:is>
      </x:c>
      <x:c r="T109" t="inlineStr">
        <x:is>
          <x:t xml:space="preserve">USA</x:t>
        </x:is>
      </x:c>
      <x:c r="U109" t="inlineStr">
        <x:is>
          <x:t xml:space="preserve">United States</x:t>
        </x:is>
      </x:c>
      <x:c r="V109" t="n">
        <x:v>4</x:v>
      </x:c>
      <x:c r="W109" t="n">
        <x:v>2</x:v>
      </x:c>
      <x:c r="X109" t="n">
        <x:v>18</x:v>
      </x:c>
      <x:c r="Y109" t="inlineStr">
        <x:is>
          <x:t xml:space="preserve">Completed</x:t>
        </x:is>
      </x:c>
      <x:c r="Z109" t="inlineStr">
        <x:is>
          <x:t xml:space="preserve">Recorded</x:t>
        </x:is>
      </x:c>
      <x:c r="AA109" t="n">
        <x:v>6</x:v>
      </x:c>
      <x:c r="AB109" t="inlineStr">
        <x:is>
          <x:t xml:space="preserve">Yes</x:t>
        </x:is>
      </x:c>
      <x:c r="AC109" t="inlineStr">
        <x:is>
          <x:t xml:space="preserve">1970s</x:t>
        </x:is>
      </x:c>
      <x:c r="AD109" t="inlineStr">
        <x:is>
          <x:t xml:space="preserve">Seeded</x:t>
        </x:is>
      </x:c>
      <x:c r="AE109" t="inlineStr">
        <x:is>
          <x:t xml:space="preserve">Seeded</x:t>
        </x:is>
      </x:c>
    </x:row>
    <x:row r="110">
      <x:c r="A110" t="n">
        <x:v>1973</x:v>
      </x:c>
      <x:c r="B110" t="inlineStr">
        <x:is>
          <x:t xml:space="preserve">Men's</x:t>
        </x:is>
      </x:c>
      <x:c r="C110" t="inlineStr">
        <x:is>
          <x:t xml:space="preserve">J. Kodes</x:t>
        </x:is>
      </x:c>
      <x:c r="D110" t="inlineStr">
        <x:is>
          <x:t xml:space="preserve">CZE</x:t>
        </x:is>
      </x:c>
      <x:c r="E110" t="inlineStr">
        <x:is>
          <x:t xml:space="preserve">Czechia</x:t>
        </x:is>
      </x:c>
      <x:c r="F110" t="n">
        <x:v>2</x:v>
      </x:c>
      <x:c r="G110" t="n">
        <x:v>110</x:v>
      </x:c>
      <x:c r="H110" t="inlineStr">
        <x:is>
          <x:t xml:space="preserve">6-1, 9-8(7-5), 6-3</x:t>
        </x:is>
      </x:c>
      <x:c r="I110" t="n">
        <x:v>6</x:v>
      </x:c>
      <x:c r="J110" t="n">
        <x:v>1</x:v>
      </x:c>
      <x:c r="K110" t="n">
        <x:v>9</x:v>
      </x:c>
      <x:c r="L110" t="n">
        <x:v>8</x:v>
      </x:c>
      <x:c r="M110" t="n">
        <x:v>6</x:v>
      </x:c>
      <x:c r="N110" t="n">
        <x:v>3</x:v>
      </x:c>
      <x:c r="S110" t="inlineStr">
        <x:is>
          <x:t xml:space="preserve">A. Metreveli</x:t>
        </x:is>
      </x:c>
      <x:c r="T110" t="inlineStr">
        <x:is>
          <x:t xml:space="preserve">URS</x:t>
        </x:is>
      </x:c>
      <x:c r="U110" t="inlineStr">
        <x:is>
          <x:t xml:space="preserve">Soviet Union</x:t>
        </x:is>
      </x:c>
      <x:c r="V110" t="n">
        <x:v>4</x:v>
      </x:c>
      <x:c r="W110" t="n">
        <x:v>3</x:v>
      </x:c>
      <x:c r="X110" t="n">
        <x:v>33</x:v>
      </x:c>
      <x:c r="Y110" t="inlineStr">
        <x:is>
          <x:t xml:space="preserve">Completed</x:t>
        </x:is>
      </x:c>
      <x:c r="Z110" t="inlineStr">
        <x:is>
          <x:t xml:space="preserve">Recorded</x:t>
        </x:is>
      </x:c>
      <x:c r="AA110" t="n">
        <x:v>1</x:v>
      </x:c>
      <x:c r="AB110" t="inlineStr">
        <x:is>
          <x:t xml:space="preserve">No</x:t>
        </x:is>
      </x:c>
      <x:c r="AC110" t="inlineStr">
        <x:is>
          <x:t xml:space="preserve">1970s</x:t>
        </x:is>
      </x:c>
      <x:c r="AD110" t="inlineStr">
        <x:is>
          <x:t xml:space="preserve">Seeded</x:t>
        </x:is>
      </x:c>
      <x:c r="AE110" t="inlineStr">
        <x:is>
          <x:t xml:space="preserve">Seeded</x:t>
        </x:is>
      </x:c>
    </x:row>
    <x:row r="111">
      <x:c r="A111" t="n">
        <x:v>1972</x:v>
      </x:c>
      <x:c r="B111" t="inlineStr">
        <x:is>
          <x:t xml:space="preserve">Women's</x:t>
        </x:is>
      </x:c>
      <x:c r="C111" t="inlineStr">
        <x:is>
          <x:t xml:space="preserve">L.W. King</x:t>
        </x:is>
      </x:c>
      <x:c r="D111" t="inlineStr">
        <x:is>
          <x:t xml:space="preserve">USA</x:t>
        </x:is>
      </x:c>
      <x:c r="E111" t="inlineStr">
        <x:is>
          <x:t xml:space="preserve">United States</x:t>
        </x:is>
      </x:c>
      <x:c r="F111" t="n">
        <x:v>2</x:v>
      </x:c>
      <x:c r="G111" t="n">
        <x:v>50</x:v>
      </x:c>
      <x:c r="H111" t="inlineStr">
        <x:is>
          <x:t xml:space="preserve">6-3, 6-3,</x:t>
        </x:is>
      </x:c>
      <x:c r="I111" t="n">
        <x:v>6</x:v>
      </x:c>
      <x:c r="J111" t="n">
        <x:v>3</x:v>
      </x:c>
      <x:c r="K111" t="n">
        <x:v>6</x:v>
      </x:c>
      <x:c r="L111" t="n">
        <x:v>3</x:v>
      </x:c>
      <x:c r="S111" t="inlineStr">
        <x:is>
          <x:t xml:space="preserve">E.F. Goolagong</x:t>
        </x:is>
      </x:c>
      <x:c r="T111" t="inlineStr">
        <x:is>
          <x:t xml:space="preserve">AUS</x:t>
        </x:is>
      </x:c>
      <x:c r="U111" t="inlineStr">
        <x:is>
          <x:t xml:space="preserve">Australia</x:t>
        </x:is>
      </x:c>
      <x:c r="V111" t="n">
        <x:v>1</x:v>
      </x:c>
      <x:c r="W111" t="n">
        <x:v>2</x:v>
      </x:c>
      <x:c r="X111" t="n">
        <x:v>18</x:v>
      </x:c>
      <x:c r="Y111" t="inlineStr">
        <x:is>
          <x:t xml:space="preserve">Completed</x:t>
        </x:is>
      </x:c>
      <x:c r="Z111" t="inlineStr">
        <x:is>
          <x:t xml:space="preserve">Recorded</x:t>
        </x:is>
      </x:c>
      <x:c r="AA111" t="n">
        <x:v>6</x:v>
      </x:c>
      <x:c r="AB111" t="inlineStr">
        <x:is>
          <x:t xml:space="preserve">Yes</x:t>
        </x:is>
      </x:c>
      <x:c r="AC111" t="inlineStr">
        <x:is>
          <x:t xml:space="preserve">1970s</x:t>
        </x:is>
      </x:c>
      <x:c r="AD111" t="inlineStr">
        <x:is>
          <x:t xml:space="preserve">Seeded</x:t>
        </x:is>
      </x:c>
      <x:c r="AE111" t="inlineStr">
        <x:is>
          <x:t xml:space="preserve">Seeded</x:t>
        </x:is>
      </x:c>
    </x:row>
    <x:row r="112">
      <x:c r="A112" t="n">
        <x:v>1972</x:v>
      </x:c>
      <x:c r="B112" t="inlineStr">
        <x:is>
          <x:t xml:space="preserve">Men's</x:t>
        </x:is>
      </x:c>
      <x:c r="C112" t="inlineStr">
        <x:is>
          <x:t xml:space="preserve">S.R. Smith</x:t>
        </x:is>
      </x:c>
      <x:c r="D112" t="inlineStr">
        <x:is>
          <x:t xml:space="preserve">USA</x:t>
        </x:is>
      </x:c>
      <x:c r="E112" t="inlineStr">
        <x:is>
          <x:t xml:space="preserve">United States</x:t>
        </x:is>
      </x:c>
      <x:c r="F112" t="n">
        <x:v>1</x:v>
      </x:c>
      <x:c r="G112" t="n">
        <x:v>161</x:v>
      </x:c>
      <x:c r="H112" t="inlineStr">
        <x:is>
          <x:t xml:space="preserve">4-6, 6-3, 6-3, 4-6, 7-5</x:t>
        </x:is>
      </x:c>
      <x:c r="I112" t="n">
        <x:v>4</x:v>
      </x:c>
      <x:c r="J112" t="n">
        <x:v>6</x:v>
      </x:c>
      <x:c r="K112" t="n">
        <x:v>6</x:v>
      </x:c>
      <x:c r="L112" t="n">
        <x:v>3</x:v>
      </x:c>
      <x:c r="M112" t="n">
        <x:v>6</x:v>
      </x:c>
      <x:c r="N112" t="n">
        <x:v>3</x:v>
      </x:c>
      <x:c r="O112" t="n">
        <x:v>4</x:v>
      </x:c>
      <x:c r="P112" t="n">
        <x:v>6</x:v>
      </x:c>
      <x:c r="Q112" t="n">
        <x:v>7</x:v>
      </x:c>
      <x:c r="R112" t="n">
        <x:v>5</x:v>
      </x:c>
      <x:c r="S112" t="inlineStr">
        <x:is>
          <x:t xml:space="preserve">I. Nastase</x:t>
        </x:is>
      </x:c>
      <x:c r="T112" t="inlineStr">
        <x:is>
          <x:t xml:space="preserve">ROM</x:t>
        </x:is>
      </x:c>
      <x:c r="U112" t="inlineStr">
        <x:is>
          <x:t xml:space="preserve">Romania</x:t>
        </x:is>
      </x:c>
      <x:c r="V112" t="n">
        <x:v>2</x:v>
      </x:c>
      <x:c r="W112" t="n">
        <x:v>5</x:v>
      </x:c>
      <x:c r="X112" t="n">
        <x:v>50</x:v>
      </x:c>
      <x:c r="Y112" t="inlineStr">
        <x:is>
          <x:t xml:space="preserve">Completed</x:t>
        </x:is>
      </x:c>
      <x:c r="Z112" t="inlineStr">
        <x:is>
          <x:t xml:space="preserve">Recorded</x:t>
        </x:is>
      </x:c>
      <x:c r="AA112" t="n">
        <x:v>1</x:v>
      </x:c>
      <x:c r="AB112" t="inlineStr">
        <x:is>
          <x:t xml:space="preserve">No</x:t>
        </x:is>
      </x:c>
      <x:c r="AC112" t="inlineStr">
        <x:is>
          <x:t xml:space="preserve">1970s</x:t>
        </x:is>
      </x:c>
      <x:c r="AD112" t="inlineStr">
        <x:is>
          <x:t xml:space="preserve">Seeded</x:t>
        </x:is>
      </x:c>
      <x:c r="AE112" t="inlineStr">
        <x:is>
          <x:t xml:space="preserve">Seeded</x:t>
        </x:is>
      </x:c>
    </x:row>
    <x:row r="113">
      <x:c r="A113" t="n">
        <x:v>1971</x:v>
      </x:c>
      <x:c r="B113" t="inlineStr">
        <x:is>
          <x:t xml:space="preserve">Women's</x:t>
        </x:is>
      </x:c>
      <x:c r="C113" t="inlineStr">
        <x:is>
          <x:t xml:space="preserve">E.F. Goolagong</x:t>
        </x:is>
      </x:c>
      <x:c r="D113" t="inlineStr">
        <x:is>
          <x:t xml:space="preserve">AUS</x:t>
        </x:is>
      </x:c>
      <x:c r="E113" t="inlineStr">
        <x:is>
          <x:t xml:space="preserve">Australia</x:t>
        </x:is>
      </x:c>
      <x:c r="F113" t="n">
        <x:v>3</x:v>
      </x:c>
      <x:c r="G113" t="n">
        <x:v>62</x:v>
      </x:c>
      <x:c r="H113" t="inlineStr">
        <x:is>
          <x:t xml:space="preserve">6-4, 6-1,</x:t>
        </x:is>
      </x:c>
      <x:c r="I113" t="n">
        <x:v>6</x:v>
      </x:c>
      <x:c r="J113" t="n">
        <x:v>4</x:v>
      </x:c>
      <x:c r="K113" t="n">
        <x:v>6</x:v>
      </x:c>
      <x:c r="L113" t="n">
        <x:v>1</x:v>
      </x:c>
      <x:c r="S113" t="inlineStr">
        <x:is>
          <x:t xml:space="preserve">B.M. Court</x:t>
        </x:is>
      </x:c>
      <x:c r="T113" t="inlineStr">
        <x:is>
          <x:t xml:space="preserve">AUS</x:t>
        </x:is>
      </x:c>
      <x:c r="U113" t="inlineStr">
        <x:is>
          <x:t xml:space="preserve">Australia</x:t>
        </x:is>
      </x:c>
      <x:c r="V113" t="n">
        <x:v>1</x:v>
      </x:c>
      <x:c r="W113" t="n">
        <x:v>2</x:v>
      </x:c>
      <x:c r="X113" t="n">
        <x:v>17</x:v>
      </x:c>
      <x:c r="Y113" t="inlineStr">
        <x:is>
          <x:t xml:space="preserve">Completed</x:t>
        </x:is>
      </x:c>
      <x:c r="Z113" t="inlineStr">
        <x:is>
          <x:t xml:space="preserve">Recorded</x:t>
        </x:is>
      </x:c>
      <x:c r="AA113" t="n">
        <x:v>1</x:v>
      </x:c>
      <x:c r="AB113" t="inlineStr">
        <x:is>
          <x:t xml:space="preserve">No</x:t>
        </x:is>
      </x:c>
      <x:c r="AC113" t="inlineStr">
        <x:is>
          <x:t xml:space="preserve">1970s</x:t>
        </x:is>
      </x:c>
      <x:c r="AD113" t="inlineStr">
        <x:is>
          <x:t xml:space="preserve">Seeded</x:t>
        </x:is>
      </x:c>
      <x:c r="AE113" t="inlineStr">
        <x:is>
          <x:t xml:space="preserve">Seeded</x:t>
        </x:is>
      </x:c>
    </x:row>
    <x:row r="114">
      <x:c r="A114" t="n">
        <x:v>1971</x:v>
      </x:c>
      <x:c r="B114" t="inlineStr">
        <x:is>
          <x:t xml:space="preserve">Men's</x:t>
        </x:is>
      </x:c>
      <x:c r="C114" t="inlineStr">
        <x:is>
          <x:t xml:space="preserve">J.D. Newcombe</x:t>
        </x:is>
      </x:c>
      <x:c r="D114" t="inlineStr">
        <x:is>
          <x:t xml:space="preserve">AUS</x:t>
        </x:is>
      </x:c>
      <x:c r="E114" t="inlineStr">
        <x:is>
          <x:t xml:space="preserve">Australia</x:t>
        </x:is>
      </x:c>
      <x:c r="F114" t="n">
        <x:v>2</x:v>
      </x:c>
      <x:c r="G114" t="n">
        <x:v>170</x:v>
      </x:c>
      <x:c r="H114" t="inlineStr">
        <x:is>
          <x:t xml:space="preserve">6-3, 5-7, 2-6, 6-4, 6-4</x:t>
        </x:is>
      </x:c>
      <x:c r="I114" t="n">
        <x:v>6</x:v>
      </x:c>
      <x:c r="J114" t="n">
        <x:v>3</x:v>
      </x:c>
      <x:c r="K114" t="n">
        <x:v>5</x:v>
      </x:c>
      <x:c r="L114" t="n">
        <x:v>7</x:v>
      </x:c>
      <x:c r="M114" t="n">
        <x:v>2</x:v>
      </x:c>
      <x:c r="N114" t="n">
        <x:v>6</x:v>
      </x:c>
      <x:c r="O114" t="n">
        <x:v>6</x:v>
      </x:c>
      <x:c r="P114" t="n">
        <x:v>4</x:v>
      </x:c>
      <x:c r="Q114" t="n">
        <x:v>6</x:v>
      </x:c>
      <x:c r="R114" t="n">
        <x:v>4</x:v>
      </x:c>
      <x:c r="S114" t="inlineStr">
        <x:is>
          <x:t xml:space="preserve">S.R. Smith</x:t>
        </x:is>
      </x:c>
      <x:c r="T114" t="inlineStr">
        <x:is>
          <x:t xml:space="preserve">USA</x:t>
        </x:is>
      </x:c>
      <x:c r="U114" t="inlineStr">
        <x:is>
          <x:t xml:space="preserve">United States</x:t>
        </x:is>
      </x:c>
      <x:c r="V114" t="n">
        <x:v>4</x:v>
      </x:c>
      <x:c r="W114" t="n">
        <x:v>5</x:v>
      </x:c>
      <x:c r="X114" t="n">
        <x:v>49</x:v>
      </x:c>
      <x:c r="Y114" t="inlineStr">
        <x:is>
          <x:t xml:space="preserve">Completed</x:t>
        </x:is>
      </x:c>
      <x:c r="Z114" t="inlineStr">
        <x:is>
          <x:t xml:space="preserve">Recorded</x:t>
        </x:is>
      </x:c>
      <x:c r="AA114" t="n">
        <x:v>3</x:v>
      </x:c>
      <x:c r="AB114" t="inlineStr">
        <x:is>
          <x:t xml:space="preserve">No</x:t>
        </x:is>
      </x:c>
      <x:c r="AC114" t="inlineStr">
        <x:is>
          <x:t xml:space="preserve">1970s</x:t>
        </x:is>
      </x:c>
      <x:c r="AD114" t="inlineStr">
        <x:is>
          <x:t xml:space="preserve">Seeded</x:t>
        </x:is>
      </x:c>
      <x:c r="AE114" t="inlineStr">
        <x:is>
          <x:t xml:space="preserve">Seeded</x:t>
        </x:is>
      </x:c>
    </x:row>
    <x:row r="115">
      <x:c r="A115" t="n">
        <x:v>1970</x:v>
      </x:c>
      <x:c r="B115" t="inlineStr">
        <x:is>
          <x:t xml:space="preserve">Women's</x:t>
        </x:is>
      </x:c>
      <x:c r="C115" t="inlineStr">
        <x:is>
          <x:t xml:space="preserve">B.M. Court</x:t>
        </x:is>
      </x:c>
      <x:c r="D115" t="inlineStr">
        <x:is>
          <x:t xml:space="preserve">AUS</x:t>
        </x:is>
      </x:c>
      <x:c r="E115" t="inlineStr">
        <x:is>
          <x:t xml:space="preserve">Australia</x:t>
        </x:is>
      </x:c>
      <x:c r="F115" t="n">
        <x:v>1</x:v>
      </x:c>
      <x:c r="G115" t="n">
        <x:v>148</x:v>
      </x:c>
      <x:c r="H115" t="inlineStr">
        <x:is>
          <x:t xml:space="preserve">14-12, 11-9,</x:t>
        </x:is>
      </x:c>
      <x:c r="I115" t="n">
        <x:v>14</x:v>
      </x:c>
      <x:c r="J115" t="n">
        <x:v>12</x:v>
      </x:c>
      <x:c r="K115" t="n">
        <x:v>11</x:v>
      </x:c>
      <x:c r="L115" t="n">
        <x:v>9</x:v>
      </x:c>
      <x:c r="S115" t="inlineStr">
        <x:is>
          <x:t xml:space="preserve">L.W. King</x:t>
        </x:is>
      </x:c>
      <x:c r="T115" t="inlineStr">
        <x:is>
          <x:t xml:space="preserve">USA</x:t>
        </x:is>
      </x:c>
      <x:c r="U115" t="inlineStr">
        <x:is>
          <x:t xml:space="preserve">United States</x:t>
        </x:is>
      </x:c>
      <x:c r="V115" t="n">
        <x:v>2</x:v>
      </x:c>
      <x:c r="W115" t="n">
        <x:v>2</x:v>
      </x:c>
      <x:c r="X115" t="n">
        <x:v>46</x:v>
      </x:c>
      <x:c r="Y115" t="inlineStr">
        <x:is>
          <x:t xml:space="preserve">Completed</x:t>
        </x:is>
      </x:c>
      <x:c r="Z115" t="inlineStr">
        <x:is>
          <x:t xml:space="preserve">Recorded</x:t>
        </x:is>
      </x:c>
      <x:c r="AA115" t="n">
        <x:v>3</x:v>
      </x:c>
      <x:c r="AB115" t="inlineStr">
        <x:is>
          <x:t xml:space="preserve">No</x:t>
        </x:is>
      </x:c>
      <x:c r="AC115" t="inlineStr">
        <x:is>
          <x:t xml:space="preserve">1970s</x:t>
        </x:is>
      </x:c>
      <x:c r="AD115" t="inlineStr">
        <x:is>
          <x:t xml:space="preserve">Seeded</x:t>
        </x:is>
      </x:c>
      <x:c r="AE115" t="inlineStr">
        <x:is>
          <x:t xml:space="preserve">Seeded</x:t>
        </x:is>
      </x:c>
    </x:row>
    <x:row r="116">
      <x:c r="A116" t="n">
        <x:v>1970</x:v>
      </x:c>
      <x:c r="B116" t="inlineStr">
        <x:is>
          <x:t xml:space="preserve">Men's</x:t>
        </x:is>
      </x:c>
      <x:c r="C116" t="inlineStr">
        <x:is>
          <x:t xml:space="preserve">J.D. Newcombe</x:t>
        </x:is>
      </x:c>
      <x:c r="D116" t="inlineStr">
        <x:is>
          <x:t xml:space="preserve">AUS</x:t>
        </x:is>
      </x:c>
      <x:c r="E116" t="inlineStr">
        <x:is>
          <x:t xml:space="preserve">Australia</x:t>
        </x:is>
      </x:c>
      <x:c r="F116" t="n">
        <x:v>2</x:v>
      </x:c>
      <x:c r="G116" t="n">
        <x:v>163</x:v>
      </x:c>
      <x:c r="H116" t="inlineStr">
        <x:is>
          <x:t xml:space="preserve">5-7, 6-3, 6-2, 3-6, 6-1</x:t>
        </x:is>
      </x:c>
      <x:c r="I116" t="n">
        <x:v>5</x:v>
      </x:c>
      <x:c r="J116" t="n">
        <x:v>7</x:v>
      </x:c>
      <x:c r="K116" t="n">
        <x:v>6</x:v>
      </x:c>
      <x:c r="L116" t="n">
        <x:v>3</x:v>
      </x:c>
      <x:c r="M116" t="n">
        <x:v>6</x:v>
      </x:c>
      <x:c r="N116" t="n">
        <x:v>2</x:v>
      </x:c>
      <x:c r="O116" t="n">
        <x:v>3</x:v>
      </x:c>
      <x:c r="P116" t="n">
        <x:v>6</x:v>
      </x:c>
      <x:c r="Q116" t="n">
        <x:v>6</x:v>
      </x:c>
      <x:c r="R116" t="n">
        <x:v>1</x:v>
      </x:c>
      <x:c r="S116" t="inlineStr">
        <x:is>
          <x:t xml:space="preserve">K.R. Rosewall</x:t>
        </x:is>
      </x:c>
      <x:c r="T116" t="inlineStr">
        <x:is>
          <x:t xml:space="preserve">AUS</x:t>
        </x:is>
      </x:c>
      <x:c r="U116" t="inlineStr">
        <x:is>
          <x:t xml:space="preserve">Australia</x:t>
        </x:is>
      </x:c>
      <x:c r="V116" t="n">
        <x:v>5</x:v>
      </x:c>
      <x:c r="W116" t="n">
        <x:v>5</x:v>
      </x:c>
      <x:c r="X116" t="n">
        <x:v>45</x:v>
      </x:c>
      <x:c r="Y116" t="inlineStr">
        <x:is>
          <x:t xml:space="preserve">Completed</x:t>
        </x:is>
      </x:c>
      <x:c r="Z116" t="inlineStr">
        <x:is>
          <x:t xml:space="preserve">Recorded</x:t>
        </x:is>
      </x:c>
      <x:c r="AA116" t="n">
        <x:v>3</x:v>
      </x:c>
      <x:c r="AB116" t="inlineStr">
        <x:is>
          <x:t xml:space="preserve">No</x:t>
        </x:is>
      </x:c>
      <x:c r="AC116" t="inlineStr">
        <x:is>
          <x:t xml:space="preserve">1970s</x:t>
        </x:is>
      </x:c>
      <x:c r="AD116" t="inlineStr">
        <x:is>
          <x:t xml:space="preserve">Seeded</x:t>
        </x:is>
      </x:c>
      <x:c r="AE116" t="inlineStr">
        <x:is>
          <x:t xml:space="preserve">Seeded</x:t>
        </x:is>
      </x:c>
    </x:row>
    <x:row r="117">
      <x:c r="A117" t="n">
        <x:v>1969</x:v>
      </x:c>
      <x:c r="B117" t="inlineStr">
        <x:is>
          <x:t xml:space="preserve">Women's</x:t>
        </x:is>
      </x:c>
      <x:c r="C117" t="inlineStr">
        <x:is>
          <x:t xml:space="preserve">P.F. Jones</x:t>
        </x:is>
      </x:c>
      <x:c r="D117" t="inlineStr">
        <x:is>
          <x:t xml:space="preserve">GBR</x:t>
        </x:is>
      </x:c>
      <x:c r="E117" t="inlineStr">
        <x:is>
          <x:t xml:space="preserve">United Kingdom</x:t>
        </x:is>
      </x:c>
      <x:c r="F117" t="n">
        <x:v>4</x:v>
      </x:c>
      <x:c r="G117" t="n">
        <x:v>71</x:v>
      </x:c>
      <x:c r="H117" t="inlineStr">
        <x:is>
          <x:t xml:space="preserve">3-6, 6-3, 6-2,</x:t>
        </x:is>
      </x:c>
      <x:c r="I117" t="n">
        <x:v>3</x:v>
      </x:c>
      <x:c r="J117" t="n">
        <x:v>6</x:v>
      </x:c>
      <x:c r="K117" t="n">
        <x:v>6</x:v>
      </x:c>
      <x:c r="L117" t="n">
        <x:v>3</x:v>
      </x:c>
      <x:c r="M117" t="n">
        <x:v>6</x:v>
      </x:c>
      <x:c r="N117" t="n">
        <x:v>2</x:v>
      </x:c>
      <x:c r="S117" t="inlineStr">
        <x:is>
          <x:t xml:space="preserve">L.W. King</x:t>
        </x:is>
      </x:c>
      <x:c r="T117" t="inlineStr">
        <x:is>
          <x:t xml:space="preserve">USA</x:t>
        </x:is>
      </x:c>
      <x:c r="U117" t="inlineStr">
        <x:is>
          <x:t xml:space="preserve">United States</x:t>
        </x:is>
      </x:c>
      <x:c r="V117" t="n">
        <x:v>2</x:v>
      </x:c>
      <x:c r="W117" t="n">
        <x:v>3</x:v>
      </x:c>
      <x:c r="X117" t="n">
        <x:v>26</x:v>
      </x:c>
      <x:c r="Y117" t="inlineStr">
        <x:is>
          <x:t xml:space="preserve">Completed</x:t>
        </x:is>
      </x:c>
      <x:c r="Z117" t="inlineStr">
        <x:is>
          <x:t xml:space="preserve">Recorded</x:t>
        </x:is>
      </x:c>
      <x:c r="AA117" t="n">
        <x:v>1</x:v>
      </x:c>
      <x:c r="AB117" t="inlineStr">
        <x:is>
          <x:t xml:space="preserve">No</x:t>
        </x:is>
      </x:c>
      <x:c r="AC117" t="inlineStr">
        <x:is>
          <x:t xml:space="preserve">1960s</x:t>
        </x:is>
      </x:c>
      <x:c r="AD117" t="inlineStr">
        <x:is>
          <x:t xml:space="preserve">Seeded</x:t>
        </x:is>
      </x:c>
      <x:c r="AE117" t="inlineStr">
        <x:is>
          <x:t xml:space="preserve">Seeded</x:t>
        </x:is>
      </x:c>
    </x:row>
    <x:row r="118">
      <x:c r="A118" t="n">
        <x:v>1969</x:v>
      </x:c>
      <x:c r="B118" t="inlineStr">
        <x:is>
          <x:t xml:space="preserve">Men's</x:t>
        </x:is>
      </x:c>
      <x:c r="C118" t="inlineStr">
        <x:is>
          <x:t xml:space="preserve">R.G. Laver</x:t>
        </x:is>
      </x:c>
      <x:c r="D118" t="inlineStr">
        <x:is>
          <x:t xml:space="preserve">AUS</x:t>
        </x:is>
      </x:c>
      <x:c r="E118" t="inlineStr">
        <x:is>
          <x:t xml:space="preserve">Australia</x:t>
        </x:is>
      </x:c>
      <x:c r="F118" t="n">
        <x:v>1</x:v>
      </x:c>
      <x:c r="G118" t="n">
        <x:v>136</x:v>
      </x:c>
      <x:c r="H118" t="inlineStr">
        <x:is>
          <x:t xml:space="preserve">6-4, 5-7, 6-4, 6-4</x:t>
        </x:is>
      </x:c>
      <x:c r="I118" t="n">
        <x:v>6</x:v>
      </x:c>
      <x:c r="J118" t="n">
        <x:v>4</x:v>
      </x:c>
      <x:c r="K118" t="n">
        <x:v>5</x:v>
      </x:c>
      <x:c r="L118" t="n">
        <x:v>7</x:v>
      </x:c>
      <x:c r="M118" t="n">
        <x:v>6</x:v>
      </x:c>
      <x:c r="N118" t="n">
        <x:v>4</x:v>
      </x:c>
      <x:c r="O118" t="n">
        <x:v>6</x:v>
      </x:c>
      <x:c r="P118" t="n">
        <x:v>4</x:v>
      </x:c>
      <x:c r="S118" t="inlineStr">
        <x:is>
          <x:t xml:space="preserve">J.D. Newcombe</x:t>
        </x:is>
      </x:c>
      <x:c r="T118" t="inlineStr">
        <x:is>
          <x:t xml:space="preserve">AUS</x:t>
        </x:is>
      </x:c>
      <x:c r="U118" t="inlineStr">
        <x:is>
          <x:t xml:space="preserve">Australia</x:t>
        </x:is>
      </x:c>
      <x:c r="V118" t="n">
        <x:v>6</x:v>
      </x:c>
      <x:c r="W118" t="n">
        <x:v>4</x:v>
      </x:c>
      <x:c r="X118" t="n">
        <x:v>42</x:v>
      </x:c>
      <x:c r="Y118" t="inlineStr">
        <x:is>
          <x:t xml:space="preserve">Completed</x:t>
        </x:is>
      </x:c>
      <x:c r="Z118" t="inlineStr">
        <x:is>
          <x:t xml:space="preserve">Recorded</x:t>
        </x:is>
      </x:c>
      <x:c r="AA118" t="n">
        <x:v>4</x:v>
      </x:c>
      <x:c r="AB118" t="inlineStr">
        <x:is>
          <x:t xml:space="preserve">No</x:t>
        </x:is>
      </x:c>
      <x:c r="AC118" t="inlineStr">
        <x:is>
          <x:t xml:space="preserve">1960s</x:t>
        </x:is>
      </x:c>
      <x:c r="AD118" t="inlineStr">
        <x:is>
          <x:t xml:space="preserve">Seeded</x:t>
        </x:is>
      </x:c>
      <x:c r="AE118" t="inlineStr">
        <x:is>
          <x:t xml:space="preserve">Seeded</x:t>
        </x:is>
      </x:c>
    </x:row>
    <x:row r="119">
      <x:c r="A119" t="n">
        <x:v>1968</x:v>
      </x:c>
      <x:c r="B119" t="inlineStr">
        <x:is>
          <x:t xml:space="preserve">Women's</x:t>
        </x:is>
      </x:c>
      <x:c r="C119" t="inlineStr">
        <x:is>
          <x:t xml:space="preserve">L.W. King</x:t>
        </x:is>
      </x:c>
      <x:c r="D119" t="inlineStr">
        <x:is>
          <x:t xml:space="preserve">USA</x:t>
        </x:is>
      </x:c>
      <x:c r="E119" t="inlineStr">
        <x:is>
          <x:t xml:space="preserve">United States</x:t>
        </x:is>
      </x:c>
      <x:c r="F119" t="n">
        <x:v>1</x:v>
      </x:c>
      <x:c r="G119" t="n">
        <x:v>69</x:v>
      </x:c>
      <x:c r="H119" t="inlineStr">
        <x:is>
          <x:t xml:space="preserve">9-7, 7-5,</x:t>
        </x:is>
      </x:c>
      <x:c r="I119" t="n">
        <x:v>9</x:v>
      </x:c>
      <x:c r="J119" t="n">
        <x:v>7</x:v>
      </x:c>
      <x:c r="K119" t="n">
        <x:v>7</x:v>
      </x:c>
      <x:c r="L119" t="n">
        <x:v>5</x:v>
      </x:c>
      <x:c r="S119" t="inlineStr">
        <x:is>
          <x:t xml:space="preserve">J.A.M. Tegart</x:t>
        </x:is>
      </x:c>
      <x:c r="T119" t="inlineStr">
        <x:is>
          <x:t xml:space="preserve">AUS</x:t>
        </x:is>
      </x:c>
      <x:c r="U119" t="inlineStr">
        <x:is>
          <x:t xml:space="preserve">Australia</x:t>
        </x:is>
      </x:c>
      <x:c r="V119" t="n">
        <x:v>7</x:v>
      </x:c>
      <x:c r="W119" t="n">
        <x:v>2</x:v>
      </x:c>
      <x:c r="X119" t="n">
        <x:v>28</x:v>
      </x:c>
      <x:c r="Y119" t="inlineStr">
        <x:is>
          <x:t xml:space="preserve">Completed</x:t>
        </x:is>
      </x:c>
      <x:c r="Z119" t="inlineStr">
        <x:is>
          <x:t xml:space="preserve">Recorded</x:t>
        </x:is>
      </x:c>
      <x:c r="AA119" t="n">
        <x:v>6</x:v>
      </x:c>
      <x:c r="AB119" t="inlineStr">
        <x:is>
          <x:t xml:space="preserve">Yes</x:t>
        </x:is>
      </x:c>
      <x:c r="AC119" t="inlineStr">
        <x:is>
          <x:t xml:space="preserve">1960s</x:t>
        </x:is>
      </x:c>
      <x:c r="AD119" t="inlineStr">
        <x:is>
          <x:t xml:space="preserve">Seeded</x:t>
        </x:is>
      </x:c>
      <x:c r="AE119" t="inlineStr">
        <x:is>
          <x:t xml:space="preserve">Seeded</x:t>
        </x:is>
      </x:c>
    </x:row>
    <x:row r="120">
      <x:c r="A120" t="n">
        <x:v>1968</x:v>
      </x:c>
      <x:c r="B120" t="inlineStr">
        <x:is>
          <x:t xml:space="preserve">Men's</x:t>
        </x:is>
      </x:c>
      <x:c r="C120" t="inlineStr">
        <x:is>
          <x:t xml:space="preserve">R.G. Laver</x:t>
        </x:is>
      </x:c>
      <x:c r="D120" t="inlineStr">
        <x:is>
          <x:t xml:space="preserve">AUS</x:t>
        </x:is>
      </x:c>
      <x:c r="E120" t="inlineStr">
        <x:is>
          <x:t xml:space="preserve">Australia</x:t>
        </x:is>
      </x:c>
      <x:c r="F120" t="n">
        <x:v>1</x:v>
      </x:c>
      <x:c r="G120" t="n">
        <x:v>60</x:v>
      </x:c>
      <x:c r="H120" t="inlineStr">
        <x:is>
          <x:t xml:space="preserve">6-3, 6-4, 6-2</x:t>
        </x:is>
      </x:c>
      <x:c r="I120" t="n">
        <x:v>6</x:v>
      </x:c>
      <x:c r="J120" t="n">
        <x:v>3</x:v>
      </x:c>
      <x:c r="K120" t="n">
        <x:v>6</x:v>
      </x:c>
      <x:c r="L120" t="n">
        <x:v>4</x:v>
      </x:c>
      <x:c r="M120" t="n">
        <x:v>6</x:v>
      </x:c>
      <x:c r="N120" t="n">
        <x:v>2</x:v>
      </x:c>
      <x:c r="S120" t="inlineStr">
        <x:is>
          <x:t xml:space="preserve">A.D. Roche</x:t>
        </x:is>
      </x:c>
      <x:c r="T120" t="inlineStr">
        <x:is>
          <x:t xml:space="preserve">AUS</x:t>
        </x:is>
      </x:c>
      <x:c r="U120" t="inlineStr">
        <x:is>
          <x:t xml:space="preserve">Australia</x:t>
        </x:is>
      </x:c>
      <x:c r="V120" t="n">
        <x:v>15</x:v>
      </x:c>
      <x:c r="W120" t="n">
        <x:v>3</x:v>
      </x:c>
      <x:c r="X120" t="n">
        <x:v>27</x:v>
      </x:c>
      <x:c r="Y120" t="inlineStr">
        <x:is>
          <x:t xml:space="preserve">Completed</x:t>
        </x:is>
      </x:c>
      <x:c r="Z120" t="inlineStr">
        <x:is>
          <x:t xml:space="preserve">Recorded</x:t>
        </x:is>
      </x:c>
      <x:c r="AA120" t="n">
        <x:v>4</x:v>
      </x:c>
      <x:c r="AB120" t="inlineStr">
        <x:is>
          <x:t xml:space="preserve">No</x:t>
        </x:is>
      </x:c>
      <x:c r="AC120" t="inlineStr">
        <x:is>
          <x:t xml:space="preserve">1960s</x:t>
        </x:is>
      </x:c>
      <x:c r="AD120" t="inlineStr">
        <x:is>
          <x:t xml:space="preserve">Seeded</x:t>
        </x:is>
      </x:c>
      <x:c r="AE120" t="inlineStr">
        <x:is>
          <x:t xml:space="preserve">Seeded</x:t>
        </x:is>
      </x:c>
    </x:row>
    <x:row r="121">
      <x:c r="A121" t="n">
        <x:v>1967</x:v>
      </x:c>
      <x:c r="B121" t="inlineStr">
        <x:is>
          <x:t xml:space="preserve">Women's</x:t>
        </x:is>
      </x:c>
      <x:c r="C121" t="inlineStr">
        <x:is>
          <x:t xml:space="preserve">L.W. King</x:t>
        </x:is>
      </x:c>
      <x:c r="D121" t="inlineStr">
        <x:is>
          <x:t xml:space="preserve">USA</x:t>
        </x:is>
      </x:c>
      <x:c r="E121" t="inlineStr">
        <x:is>
          <x:t xml:space="preserve">United States</x:t>
        </x:is>
      </x:c>
      <x:c r="F121" t="n">
        <x:v>1</x:v>
      </x:c>
      <x:c r="G121" t="n">
        <x:v>60</x:v>
      </x:c>
      <x:c r="H121" t="inlineStr">
        <x:is>
          <x:t xml:space="preserve">6-3, 6-4,</x:t>
        </x:is>
      </x:c>
      <x:c r="I121" t="n">
        <x:v>6</x:v>
      </x:c>
      <x:c r="J121" t="n">
        <x:v>3</x:v>
      </x:c>
      <x:c r="K121" t="n">
        <x:v>6</x:v>
      </x:c>
      <x:c r="L121" t="n">
        <x:v>4</x:v>
      </x:c>
      <x:c r="S121" t="inlineStr">
        <x:is>
          <x:t xml:space="preserve">P.F. Jones</x:t>
        </x:is>
      </x:c>
      <x:c r="T121" t="inlineStr">
        <x:is>
          <x:t xml:space="preserve">GBR</x:t>
        </x:is>
      </x:c>
      <x:c r="U121" t="inlineStr">
        <x:is>
          <x:t xml:space="preserve">United Kingdom</x:t>
        </x:is>
      </x:c>
      <x:c r="V121" t="n">
        <x:v>3</x:v>
      </x:c>
      <x:c r="W121" t="n">
        <x:v>2</x:v>
      </x:c>
      <x:c r="X121" t="n">
        <x:v>19</x:v>
      </x:c>
      <x:c r="Y121" t="inlineStr">
        <x:is>
          <x:t xml:space="preserve">Completed</x:t>
        </x:is>
      </x:c>
      <x:c r="Z121" t="inlineStr">
        <x:is>
          <x:t xml:space="preserve">Recorded</x:t>
        </x:is>
      </x:c>
      <x:c r="AA121" t="n">
        <x:v>6</x:v>
      </x:c>
      <x:c r="AB121" t="inlineStr">
        <x:is>
          <x:t xml:space="preserve">Yes</x:t>
        </x:is>
      </x:c>
      <x:c r="AC121" t="inlineStr">
        <x:is>
          <x:t xml:space="preserve">1960s</x:t>
        </x:is>
      </x:c>
      <x:c r="AD121" t="inlineStr">
        <x:is>
          <x:t xml:space="preserve">Seeded</x:t>
        </x:is>
      </x:c>
      <x:c r="AE121" t="inlineStr">
        <x:is>
          <x:t xml:space="preserve">Seeded</x:t>
        </x:is>
      </x:c>
    </x:row>
    <x:row r="122">
      <x:c r="A122" t="n">
        <x:v>1967</x:v>
      </x:c>
      <x:c r="B122" t="inlineStr">
        <x:is>
          <x:t xml:space="preserve">Men's</x:t>
        </x:is>
      </x:c>
      <x:c r="C122" t="inlineStr">
        <x:is>
          <x:t xml:space="preserve">J.D. Newcombe</x:t>
        </x:is>
      </x:c>
      <x:c r="D122" t="inlineStr">
        <x:is>
          <x:t xml:space="preserve">AUS</x:t>
        </x:is>
      </x:c>
      <x:c r="E122" t="inlineStr">
        <x:is>
          <x:t xml:space="preserve">Australia</x:t>
        </x:is>
      </x:c>
      <x:c r="F122" t="n">
        <x:v>3</x:v>
      </x:c>
      <x:c r="G122" t="n">
        <x:v>71</x:v>
      </x:c>
      <x:c r="H122" t="inlineStr">
        <x:is>
          <x:t xml:space="preserve">6-3, 6-1, 6-1</x:t>
        </x:is>
      </x:c>
      <x:c r="I122" t="n">
        <x:v>6</x:v>
      </x:c>
      <x:c r="J122" t="n">
        <x:v>3</x:v>
      </x:c>
      <x:c r="K122" t="n">
        <x:v>6</x:v>
      </x:c>
      <x:c r="L122" t="n">
        <x:v>1</x:v>
      </x:c>
      <x:c r="M122" t="n">
        <x:v>6</x:v>
      </x:c>
      <x:c r="N122" t="n">
        <x:v>1</x:v>
      </x:c>
      <x:c r="S122" t="inlineStr">
        <x:is>
          <x:t xml:space="preserve">W.P. Bungert</x:t>
        </x:is>
      </x:c>
      <x:c r="T122" t="inlineStr">
        <x:is>
          <x:t xml:space="preserve">GER</x:t>
        </x:is>
      </x:c>
      <x:c r="U122" t="inlineStr">
        <x:is>
          <x:t xml:space="preserve">Germany</x:t>
        </x:is>
      </x:c>
      <x:c r="V122" t="inlineStr">
        <x:is>
          <x:t xml:space="preserve">U</x:t>
        </x:is>
      </x:c>
      <x:c r="W122" t="n">
        <x:v>3</x:v>
      </x:c>
      <x:c r="X122" t="n">
        <x:v>23</x:v>
      </x:c>
      <x:c r="Y122" t="inlineStr">
        <x:is>
          <x:t xml:space="preserve">Completed</x:t>
        </x:is>
      </x:c>
      <x:c r="Z122" t="inlineStr">
        <x:is>
          <x:t xml:space="preserve">Recorded</x:t>
        </x:is>
      </x:c>
      <x:c r="AA122" t="n">
        <x:v>3</x:v>
      </x:c>
      <x:c r="AB122" t="inlineStr">
        <x:is>
          <x:t xml:space="preserve">No</x:t>
        </x:is>
      </x:c>
      <x:c r="AC122" t="inlineStr">
        <x:is>
          <x:t xml:space="preserve">1960s</x:t>
        </x:is>
      </x:c>
      <x:c r="AD122" t="inlineStr">
        <x:is>
          <x:t xml:space="preserve">Seeded</x:t>
        </x:is>
      </x:c>
      <x:c r="AE122" t="inlineStr">
        <x:is>
          <x:t xml:space="preserve">Unseeded/unknown</x:t>
        </x:is>
      </x:c>
    </x:row>
    <x:row r="123">
      <x:c r="A123" t="n">
        <x:v>1966</x:v>
      </x:c>
      <x:c r="B123" t="inlineStr">
        <x:is>
          <x:t xml:space="preserve">Women's</x:t>
        </x:is>
      </x:c>
      <x:c r="C123" t="inlineStr">
        <x:is>
          <x:t xml:space="preserve">L.W. King</x:t>
        </x:is>
      </x:c>
      <x:c r="D123" t="inlineStr">
        <x:is>
          <x:t xml:space="preserve">USA</x:t>
        </x:is>
      </x:c>
      <x:c r="E123" t="inlineStr">
        <x:is>
          <x:t xml:space="preserve">United States</x:t>
        </x:is>
      </x:c>
      <x:c r="F123" t="n">
        <x:v>4</x:v>
      </x:c>
      <x:c r="G123" t="n">
        <x:v>68</x:v>
      </x:c>
      <x:c r="H123" t="inlineStr">
        <x:is>
          <x:t xml:space="preserve">6-3, 3-6, 6-1,</x:t>
        </x:is>
      </x:c>
      <x:c r="I123" t="n">
        <x:v>6</x:v>
      </x:c>
      <x:c r="J123" t="n">
        <x:v>3</x:v>
      </x:c>
      <x:c r="K123" t="n">
        <x:v>3</x:v>
      </x:c>
      <x:c r="L123" t="n">
        <x:v>6</x:v>
      </x:c>
      <x:c r="M123" t="n">
        <x:v>6</x:v>
      </x:c>
      <x:c r="N123" t="n">
        <x:v>1</x:v>
      </x:c>
      <x:c r="S123" t="inlineStr">
        <x:is>
          <x:t xml:space="preserve">M.E.A. Bueno</x:t>
        </x:is>
      </x:c>
      <x:c r="T123" t="inlineStr">
        <x:is>
          <x:t xml:space="preserve">BRA</x:t>
        </x:is>
      </x:c>
      <x:c r="U123" t="inlineStr">
        <x:is>
          <x:t xml:space="preserve">Brazil</x:t>
        </x:is>
      </x:c>
      <x:c r="V123" t="n">
        <x:v>2</x:v>
      </x:c>
      <x:c r="W123" t="n">
        <x:v>3</x:v>
      </x:c>
      <x:c r="X123" t="n">
        <x:v>25</x:v>
      </x:c>
      <x:c r="Y123" t="inlineStr">
        <x:is>
          <x:t xml:space="preserve">Completed</x:t>
        </x:is>
      </x:c>
      <x:c r="Z123" t="inlineStr">
        <x:is>
          <x:t xml:space="preserve">Recorded</x:t>
        </x:is>
      </x:c>
      <x:c r="AA123" t="n">
        <x:v>6</x:v>
      </x:c>
      <x:c r="AB123" t="inlineStr">
        <x:is>
          <x:t xml:space="preserve">Yes</x:t>
        </x:is>
      </x:c>
      <x:c r="AC123" t="inlineStr">
        <x:is>
          <x:t xml:space="preserve">1960s</x:t>
        </x:is>
      </x:c>
      <x:c r="AD123" t="inlineStr">
        <x:is>
          <x:t xml:space="preserve">Seeded</x:t>
        </x:is>
      </x:c>
      <x:c r="AE123" t="inlineStr">
        <x:is>
          <x:t xml:space="preserve">Seeded</x:t>
        </x:is>
      </x:c>
    </x:row>
    <x:row r="124">
      <x:c r="A124" t="n">
        <x:v>1966</x:v>
      </x:c>
      <x:c r="B124" t="inlineStr">
        <x:is>
          <x:t xml:space="preserve">Men's</x:t>
        </x:is>
      </x:c>
      <x:c r="C124" t="inlineStr">
        <x:is>
          <x:t xml:space="preserve">M.M. Santana</x:t>
        </x:is>
      </x:c>
      <x:c r="D124" t="inlineStr">
        <x:is>
          <x:t xml:space="preserve">ESP</x:t>
        </x:is>
      </x:c>
      <x:c r="E124" t="inlineStr">
        <x:is>
          <x:t xml:space="preserve">Spain</x:t>
        </x:is>
      </x:c>
      <x:c r="F124" t="n">
        <x:v>4</x:v>
      </x:c>
      <x:c r="G124" t="n">
        <x:v>104</x:v>
      </x:c>
      <x:c r="H124" t="inlineStr">
        <x:is>
          <x:t xml:space="preserve">6-4, 11-9, 6-4</x:t>
        </x:is>
      </x:c>
      <x:c r="I124" t="n">
        <x:v>6</x:v>
      </x:c>
      <x:c r="J124" t="n">
        <x:v>4</x:v>
      </x:c>
      <x:c r="K124" t="n">
        <x:v>11</x:v>
      </x:c>
      <x:c r="L124" t="n">
        <x:v>9</x:v>
      </x:c>
      <x:c r="M124" t="n">
        <x:v>6</x:v>
      </x:c>
      <x:c r="N124" t="n">
        <x:v>4</x:v>
      </x:c>
      <x:c r="S124" t="inlineStr">
        <x:is>
          <x:t xml:space="preserve">R.D. Ralston</x:t>
        </x:is>
      </x:c>
      <x:c r="T124" t="inlineStr">
        <x:is>
          <x:t xml:space="preserve">USA</x:t>
        </x:is>
      </x:c>
      <x:c r="U124" t="inlineStr">
        <x:is>
          <x:t xml:space="preserve">United States</x:t>
        </x:is>
      </x:c>
      <x:c r="V124" t="n">
        <x:v>6</x:v>
      </x:c>
      <x:c r="W124" t="n">
        <x:v>3</x:v>
      </x:c>
      <x:c r="X124" t="n">
        <x:v>40</x:v>
      </x:c>
      <x:c r="Y124" t="inlineStr">
        <x:is>
          <x:t xml:space="preserve">Completed</x:t>
        </x:is>
      </x:c>
      <x:c r="Z124" t="inlineStr">
        <x:is>
          <x:t xml:space="preserve">Recorded</x:t>
        </x:is>
      </x:c>
      <x:c r="AA124" t="n">
        <x:v>1</x:v>
      </x:c>
      <x:c r="AB124" t="inlineStr">
        <x:is>
          <x:t xml:space="preserve">No</x:t>
        </x:is>
      </x:c>
      <x:c r="AC124" t="inlineStr">
        <x:is>
          <x:t xml:space="preserve">1960s</x:t>
        </x:is>
      </x:c>
      <x:c r="AD124" t="inlineStr">
        <x:is>
          <x:t xml:space="preserve">Seeded</x:t>
        </x:is>
      </x:c>
      <x:c r="AE124" t="inlineStr">
        <x:is>
          <x:t xml:space="preserve">Seeded</x:t>
        </x:is>
      </x:c>
    </x:row>
    <x:row r="125">
      <x:c r="A125" t="n">
        <x:v>1965</x:v>
      </x:c>
      <x:c r="B125" t="inlineStr">
        <x:is>
          <x:t xml:space="preserve">Women's</x:t>
        </x:is>
      </x:c>
      <x:c r="C125" t="inlineStr">
        <x:is>
          <x:t xml:space="preserve">B.M. Court</x:t>
        </x:is>
      </x:c>
      <x:c r="D125" t="inlineStr">
        <x:is>
          <x:t xml:space="preserve">AUS</x:t>
        </x:is>
      </x:c>
      <x:c r="E125" t="inlineStr">
        <x:is>
          <x:t xml:space="preserve">Australia</x:t>
        </x:is>
      </x:c>
      <x:c r="F125" t="n">
        <x:v>2</x:v>
      </x:c>
      <x:c r="G125" t="n">
        <x:v>56</x:v>
      </x:c>
      <x:c r="H125" t="inlineStr">
        <x:is>
          <x:t xml:space="preserve">6-4, 7-5,</x:t>
        </x:is>
      </x:c>
      <x:c r="I125" t="n">
        <x:v>6</x:v>
      </x:c>
      <x:c r="J125" t="n">
        <x:v>4</x:v>
      </x:c>
      <x:c r="K125" t="n">
        <x:v>7</x:v>
      </x:c>
      <x:c r="L125" t="n">
        <x:v>5</x:v>
      </x:c>
      <x:c r="S125" t="inlineStr">
        <x:is>
          <x:t xml:space="preserve">M.E.A. Bueno</x:t>
        </x:is>
      </x:c>
      <x:c r="T125" t="inlineStr">
        <x:is>
          <x:t xml:space="preserve">BRA</x:t>
        </x:is>
      </x:c>
      <x:c r="U125" t="inlineStr">
        <x:is>
          <x:t xml:space="preserve">Brazil</x:t>
        </x:is>
      </x:c>
      <x:c r="V125" t="n">
        <x:v>1</x:v>
      </x:c>
      <x:c r="W125" t="n">
        <x:v>2</x:v>
      </x:c>
      <x:c r="X125" t="n">
        <x:v>22</x:v>
      </x:c>
      <x:c r="Y125" t="inlineStr">
        <x:is>
          <x:t xml:space="preserve">Completed</x:t>
        </x:is>
      </x:c>
      <x:c r="Z125" t="inlineStr">
        <x:is>
          <x:t xml:space="preserve">Recorded</x:t>
        </x:is>
      </x:c>
      <x:c r="AA125" t="n">
        <x:v>3</x:v>
      </x:c>
      <x:c r="AB125" t="inlineStr">
        <x:is>
          <x:t xml:space="preserve">No</x:t>
        </x:is>
      </x:c>
      <x:c r="AC125" t="inlineStr">
        <x:is>
          <x:t xml:space="preserve">1960s</x:t>
        </x:is>
      </x:c>
      <x:c r="AD125" t="inlineStr">
        <x:is>
          <x:t xml:space="preserve">Seeded</x:t>
        </x:is>
      </x:c>
      <x:c r="AE125" t="inlineStr">
        <x:is>
          <x:t xml:space="preserve">Seeded</x:t>
        </x:is>
      </x:c>
    </x:row>
    <x:row r="126">
      <x:c r="A126" t="n">
        <x:v>1965</x:v>
      </x:c>
      <x:c r="B126" t="inlineStr">
        <x:is>
          <x:t xml:space="preserve">Men's</x:t>
        </x:is>
      </x:c>
      <x:c r="C126" t="inlineStr">
        <x:is>
          <x:t xml:space="preserve">R.S. Emerson</x:t>
        </x:is>
      </x:c>
      <x:c r="D126" t="inlineStr">
        <x:is>
          <x:t xml:space="preserve">AUS</x:t>
        </x:is>
      </x:c>
      <x:c r="E126" t="inlineStr">
        <x:is>
          <x:t xml:space="preserve">Australia</x:t>
        </x:is>
      </x:c>
      <x:c r="F126" t="n">
        <x:v>1</x:v>
      </x:c>
      <x:c r="G126" t="n">
        <x:v>67</x:v>
      </x:c>
      <x:c r="H126" t="inlineStr">
        <x:is>
          <x:t xml:space="preserve">6-2, 6-4, 6-4</x:t>
        </x:is>
      </x:c>
      <x:c r="I126" t="n">
        <x:v>6</x:v>
      </x:c>
      <x:c r="J126" t="n">
        <x:v>2</x:v>
      </x:c>
      <x:c r="K126" t="n">
        <x:v>6</x:v>
      </x:c>
      <x:c r="L126" t="n">
        <x:v>4</x:v>
      </x:c>
      <x:c r="M126" t="n">
        <x:v>6</x:v>
      </x:c>
      <x:c r="N126" t="n">
        <x:v>4</x:v>
      </x:c>
      <x:c r="S126" t="inlineStr">
        <x:is>
          <x:t xml:space="preserve">F.S. Stolle</x:t>
        </x:is>
      </x:c>
      <x:c r="T126" t="inlineStr">
        <x:is>
          <x:t xml:space="preserve">AUS</x:t>
        </x:is>
      </x:c>
      <x:c r="U126" t="inlineStr">
        <x:is>
          <x:t xml:space="preserve">Australia</x:t>
        </x:is>
      </x:c>
      <x:c r="V126" t="n">
        <x:v>2</x:v>
      </x:c>
      <x:c r="W126" t="n">
        <x:v>3</x:v>
      </x:c>
      <x:c r="X126" t="n">
        <x:v>28</x:v>
      </x:c>
      <x:c r="Y126" t="inlineStr">
        <x:is>
          <x:t xml:space="preserve">Completed</x:t>
        </x:is>
      </x:c>
      <x:c r="Z126" t="inlineStr">
        <x:is>
          <x:t xml:space="preserve">Recorded</x:t>
        </x:is>
      </x:c>
      <x:c r="AA126" t="n">
        <x:v>2</x:v>
      </x:c>
      <x:c r="AB126" t="inlineStr">
        <x:is>
          <x:t xml:space="preserve">No</x:t>
        </x:is>
      </x:c>
      <x:c r="AC126" t="inlineStr">
        <x:is>
          <x:t xml:space="preserve">1960s</x:t>
        </x:is>
      </x:c>
      <x:c r="AD126" t="inlineStr">
        <x:is>
          <x:t xml:space="preserve">Seeded</x:t>
        </x:is>
      </x:c>
      <x:c r="AE126" t="inlineStr">
        <x:is>
          <x:t xml:space="preserve">Seeded</x:t>
        </x:is>
      </x:c>
    </x:row>
    <x:row r="127">
      <x:c r="A127" t="n">
        <x:v>1964</x:v>
      </x:c>
      <x:c r="B127" t="inlineStr">
        <x:is>
          <x:t xml:space="preserve">Women's</x:t>
        </x:is>
      </x:c>
      <x:c r="C127" t="inlineStr">
        <x:is>
          <x:t xml:space="preserve">M.E.A. Bueno</x:t>
        </x:is>
      </x:c>
      <x:c r="D127" t="inlineStr">
        <x:is>
          <x:t xml:space="preserve">BRA</x:t>
        </x:is>
      </x:c>
      <x:c r="E127" t="inlineStr">
        <x:is>
          <x:t xml:space="preserve">Brazil</x:t>
        </x:is>
      </x:c>
      <x:c r="F127" t="n">
        <x:v>2</x:v>
      </x:c>
      <x:c r="G127" t="n">
        <x:v>90</x:v>
      </x:c>
      <x:c r="H127" t="inlineStr">
        <x:is>
          <x:t xml:space="preserve">6-4, 7-9, 6-3,</x:t>
        </x:is>
      </x:c>
      <x:c r="I127" t="n">
        <x:v>6</x:v>
      </x:c>
      <x:c r="J127" t="n">
        <x:v>4</x:v>
      </x:c>
      <x:c r="K127" t="n">
        <x:v>7</x:v>
      </x:c>
      <x:c r="L127" t="n">
        <x:v>9</x:v>
      </x:c>
      <x:c r="M127" t="n">
        <x:v>6</x:v>
      </x:c>
      <x:c r="N127" t="n">
        <x:v>3</x:v>
      </x:c>
      <x:c r="S127" t="inlineStr">
        <x:is>
          <x:t xml:space="preserve">B.M. Court</x:t>
        </x:is>
      </x:c>
      <x:c r="T127" t="inlineStr">
        <x:is>
          <x:t xml:space="preserve">AUS</x:t>
        </x:is>
      </x:c>
      <x:c r="U127" t="inlineStr">
        <x:is>
          <x:t xml:space="preserve">Australia</x:t>
        </x:is>
      </x:c>
      <x:c r="V127" t="n">
        <x:v>1</x:v>
      </x:c>
      <x:c r="W127" t="n">
        <x:v>3</x:v>
      </x:c>
      <x:c r="X127" t="n">
        <x:v>35</x:v>
      </x:c>
      <x:c r="Y127" t="inlineStr">
        <x:is>
          <x:t xml:space="preserve">Completed</x:t>
        </x:is>
      </x:c>
      <x:c r="Z127" t="inlineStr">
        <x:is>
          <x:t xml:space="preserve">Recorded</x:t>
        </x:is>
      </x:c>
      <x:c r="AA127" t="n">
        <x:v>3</x:v>
      </x:c>
      <x:c r="AB127" t="inlineStr">
        <x:is>
          <x:t xml:space="preserve">No</x:t>
        </x:is>
      </x:c>
      <x:c r="AC127" t="inlineStr">
        <x:is>
          <x:t xml:space="preserve">1960s</x:t>
        </x:is>
      </x:c>
      <x:c r="AD127" t="inlineStr">
        <x:is>
          <x:t xml:space="preserve">Seeded</x:t>
        </x:is>
      </x:c>
      <x:c r="AE127" t="inlineStr">
        <x:is>
          <x:t xml:space="preserve">Seeded</x:t>
        </x:is>
      </x:c>
    </x:row>
    <x:row r="128">
      <x:c r="A128" t="n">
        <x:v>1964</x:v>
      </x:c>
      <x:c r="B128" t="inlineStr">
        <x:is>
          <x:t xml:space="preserve">Men's</x:t>
        </x:is>
      </x:c>
      <x:c r="C128" t="inlineStr">
        <x:is>
          <x:t xml:space="preserve">R.S. Emerson</x:t>
        </x:is>
      </x:c>
      <x:c r="D128" t="inlineStr">
        <x:is>
          <x:t xml:space="preserve">AUS</x:t>
        </x:is>
      </x:c>
      <x:c r="E128" t="inlineStr">
        <x:is>
          <x:t xml:space="preserve">Australia</x:t>
        </x:is>
      </x:c>
      <x:c r="F128" t="n">
        <x:v>1</x:v>
      </x:c>
      <x:c r="G128" t="n">
        <x:v>127</x:v>
      </x:c>
      <x:c r="H128" t="inlineStr">
        <x:is>
          <x:t xml:space="preserve">6-4, 12-10, 4-6, 6-3</x:t>
        </x:is>
      </x:c>
      <x:c r="I128" t="n">
        <x:v>6</x:v>
      </x:c>
      <x:c r="J128" t="n">
        <x:v>4</x:v>
      </x:c>
      <x:c r="K128" t="n">
        <x:v>12</x:v>
      </x:c>
      <x:c r="L128" t="n">
        <x:v>10</x:v>
      </x:c>
      <x:c r="M128" t="n">
        <x:v>4</x:v>
      </x:c>
      <x:c r="N128" t="n">
        <x:v>6</x:v>
      </x:c>
      <x:c r="O128" t="n">
        <x:v>6</x:v>
      </x:c>
      <x:c r="P128" t="n">
        <x:v>3</x:v>
      </x:c>
      <x:c r="S128" t="inlineStr">
        <x:is>
          <x:t xml:space="preserve">F.S. Stolle</x:t>
        </x:is>
      </x:c>
      <x:c r="T128" t="inlineStr">
        <x:is>
          <x:t xml:space="preserve">AUS</x:t>
        </x:is>
      </x:c>
      <x:c r="U128" t="inlineStr">
        <x:is>
          <x:t xml:space="preserve">Australia</x:t>
        </x:is>
      </x:c>
      <x:c r="V128" t="n">
        <x:v>6</x:v>
      </x:c>
      <x:c r="W128" t="n">
        <x:v>4</x:v>
      </x:c>
      <x:c r="X128" t="n">
        <x:v>51</x:v>
      </x:c>
      <x:c r="Y128" t="inlineStr">
        <x:is>
          <x:t xml:space="preserve">Completed</x:t>
        </x:is>
      </x:c>
      <x:c r="Z128" t="inlineStr">
        <x:is>
          <x:t xml:space="preserve">Recorded</x:t>
        </x:is>
      </x:c>
      <x:c r="AA128" t="n">
        <x:v>2</x:v>
      </x:c>
      <x:c r="AB128" t="inlineStr">
        <x:is>
          <x:t xml:space="preserve">No</x:t>
        </x:is>
      </x:c>
      <x:c r="AC128" t="inlineStr">
        <x:is>
          <x:t xml:space="preserve">1960s</x:t>
        </x:is>
      </x:c>
      <x:c r="AD128" t="inlineStr">
        <x:is>
          <x:t xml:space="preserve">Seeded</x:t>
        </x:is>
      </x:c>
      <x:c r="AE128" t="inlineStr">
        <x:is>
          <x:t xml:space="preserve">Seeded</x:t>
        </x:is>
      </x:c>
    </x:row>
    <x:row r="129">
      <x:c r="A129" t="n">
        <x:v>1963</x:v>
      </x:c>
      <x:c r="B129" t="inlineStr">
        <x:is>
          <x:t xml:space="preserve">Women's</x:t>
        </x:is>
      </x:c>
      <x:c r="C129" t="inlineStr">
        <x:is>
          <x:t xml:space="preserve">B.M. Court</x:t>
        </x:is>
      </x:c>
      <x:c r="D129" t="inlineStr">
        <x:is>
          <x:t xml:space="preserve">AUS</x:t>
        </x:is>
      </x:c>
      <x:c r="E129" t="inlineStr">
        <x:is>
          <x:t xml:space="preserve">Australia</x:t>
        </x:is>
      </x:c>
      <x:c r="F129" t="n">
        <x:v>1</x:v>
      </x:c>
      <x:c r="G129" t="n">
        <x:v>51</x:v>
      </x:c>
      <x:c r="H129" t="inlineStr">
        <x:is>
          <x:t xml:space="preserve">6-3, 6-4,</x:t>
        </x:is>
      </x:c>
      <x:c r="I129" t="n">
        <x:v>6</x:v>
      </x:c>
      <x:c r="J129" t="n">
        <x:v>3</x:v>
      </x:c>
      <x:c r="K129" t="n">
        <x:v>6</x:v>
      </x:c>
      <x:c r="L129" t="n">
        <x:v>4</x:v>
      </x:c>
      <x:c r="S129" t="inlineStr">
        <x:is>
          <x:t xml:space="preserve">B.J. Moffitt</x:t>
        </x:is>
      </x:c>
      <x:c r="T129" t="inlineStr">
        <x:is>
          <x:t xml:space="preserve">USA</x:t>
        </x:is>
      </x:c>
      <x:c r="U129" t="inlineStr">
        <x:is>
          <x:t xml:space="preserve">United States</x:t>
        </x:is>
      </x:c>
      <x:c r="V129" t="inlineStr">
        <x:is>
          <x:t xml:space="preserve">U</x:t>
        </x:is>
      </x:c>
      <x:c r="W129" t="n">
        <x:v>2</x:v>
      </x:c>
      <x:c r="X129" t="n">
        <x:v>19</x:v>
      </x:c>
      <x:c r="Y129" t="inlineStr">
        <x:is>
          <x:t xml:space="preserve">Completed</x:t>
        </x:is>
      </x:c>
      <x:c r="Z129" t="inlineStr">
        <x:is>
          <x:t xml:space="preserve">Recorded</x:t>
        </x:is>
      </x:c>
      <x:c r="AA129" t="n">
        <x:v>3</x:v>
      </x:c>
      <x:c r="AB129" t="inlineStr">
        <x:is>
          <x:t xml:space="preserve">No</x:t>
        </x:is>
      </x:c>
      <x:c r="AC129" t="inlineStr">
        <x:is>
          <x:t xml:space="preserve">1960s</x:t>
        </x:is>
      </x:c>
      <x:c r="AD129" t="inlineStr">
        <x:is>
          <x:t xml:space="preserve">Seeded</x:t>
        </x:is>
      </x:c>
      <x:c r="AE129" t="inlineStr">
        <x:is>
          <x:t xml:space="preserve">Unseeded/unknown</x:t>
        </x:is>
      </x:c>
    </x:row>
    <x:row r="130">
      <x:c r="A130" t="n">
        <x:v>1963</x:v>
      </x:c>
      <x:c r="B130" t="inlineStr">
        <x:is>
          <x:t xml:space="preserve">Men's</x:t>
        </x:is>
      </x:c>
      <x:c r="C130" t="inlineStr">
        <x:is>
          <x:t xml:space="preserve">C.R. McKinley</x:t>
        </x:is>
      </x:c>
      <x:c r="D130" t="inlineStr">
        <x:is>
          <x:t xml:space="preserve">USA</x:t>
        </x:is>
      </x:c>
      <x:c r="E130" t="inlineStr">
        <x:is>
          <x:t xml:space="preserve">United States</x:t>
        </x:is>
      </x:c>
      <x:c r="F130" t="n">
        <x:v>4</x:v>
      </x:c>
      <x:c r="G130" t="n">
        <x:v>78</x:v>
      </x:c>
      <x:c r="H130" t="inlineStr">
        <x:is>
          <x:t xml:space="preserve">9-7, 6-1, 6-4</x:t>
        </x:is>
      </x:c>
      <x:c r="I130" t="n">
        <x:v>9</x:v>
      </x:c>
      <x:c r="J130" t="n">
        <x:v>7</x:v>
      </x:c>
      <x:c r="K130" t="n">
        <x:v>6</x:v>
      </x:c>
      <x:c r="L130" t="n">
        <x:v>1</x:v>
      </x:c>
      <x:c r="M130" t="n">
        <x:v>6</x:v>
      </x:c>
      <x:c r="N130" t="n">
        <x:v>4</x:v>
      </x:c>
      <x:c r="S130" t="inlineStr">
        <x:is>
          <x:t xml:space="preserve">F.S. Stolle</x:t>
        </x:is>
      </x:c>
      <x:c r="T130" t="inlineStr">
        <x:is>
          <x:t xml:space="preserve">AUS</x:t>
        </x:is>
      </x:c>
      <x:c r="U130" t="inlineStr">
        <x:is>
          <x:t xml:space="preserve">Australia</x:t>
        </x:is>
      </x:c>
      <x:c r="V130" t="inlineStr">
        <x:is>
          <x:t xml:space="preserve">U</x:t>
        </x:is>
      </x:c>
      <x:c r="W130" t="n">
        <x:v>3</x:v>
      </x:c>
      <x:c r="X130" t="n">
        <x:v>33</x:v>
      </x:c>
      <x:c r="Y130" t="inlineStr">
        <x:is>
          <x:t xml:space="preserve">Completed</x:t>
        </x:is>
      </x:c>
      <x:c r="Z130" t="inlineStr">
        <x:is>
          <x:t xml:space="preserve">Recorded</x:t>
        </x:is>
      </x:c>
      <x:c r="AA130" t="n">
        <x:v>1</x:v>
      </x:c>
      <x:c r="AB130" t="inlineStr">
        <x:is>
          <x:t xml:space="preserve">No</x:t>
        </x:is>
      </x:c>
      <x:c r="AC130" t="inlineStr">
        <x:is>
          <x:t xml:space="preserve">1960s</x:t>
        </x:is>
      </x:c>
      <x:c r="AD130" t="inlineStr">
        <x:is>
          <x:t xml:space="preserve">Seeded</x:t>
        </x:is>
      </x:c>
      <x:c r="AE130" t="inlineStr">
        <x:is>
          <x:t xml:space="preserve">Unseeded/unknown</x:t>
        </x:is>
      </x:c>
    </x:row>
    <x:row r="131">
      <x:c r="A131" t="n">
        <x:v>1962</x:v>
      </x:c>
      <x:c r="B131" t="inlineStr">
        <x:is>
          <x:t xml:space="preserve">Women's</x:t>
        </x:is>
      </x:c>
      <x:c r="C131" t="inlineStr">
        <x:is>
          <x:t xml:space="preserve">J.R. Susman</x:t>
        </x:is>
      </x:c>
      <x:c r="D131" t="inlineStr">
        <x:is>
          <x:t xml:space="preserve">USA</x:t>
        </x:is>
      </x:c>
      <x:c r="E131" t="inlineStr">
        <x:is>
          <x:t xml:space="preserve">United States</x:t>
        </x:is>
      </x:c>
      <x:c r="F131" t="n">
        <x:v>8</x:v>
      </x:c>
      <x:c r="G131" t="n">
        <x:v>57</x:v>
      </x:c>
      <x:c r="H131" t="inlineStr">
        <x:is>
          <x:t xml:space="preserve">6-4, 6-4,</x:t>
        </x:is>
      </x:c>
      <x:c r="I131" t="n">
        <x:v>6</x:v>
      </x:c>
      <x:c r="J131" t="n">
        <x:v>4</x:v>
      </x:c>
      <x:c r="K131" t="n">
        <x:v>6</x:v>
      </x:c>
      <x:c r="L131" t="n">
        <x:v>4</x:v>
      </x:c>
      <x:c r="S131" t="inlineStr">
        <x:is>
          <x:t xml:space="preserve">C. Sukova</x:t>
        </x:is>
      </x:c>
      <x:c r="T131" t="inlineStr">
        <x:is>
          <x:t xml:space="preserve">CZE</x:t>
        </x:is>
      </x:c>
      <x:c r="U131" t="inlineStr">
        <x:is>
          <x:t xml:space="preserve">Czechia</x:t>
        </x:is>
      </x:c>
      <x:c r="V131" t="inlineStr">
        <x:is>
          <x:t xml:space="preserve">U</x:t>
        </x:is>
      </x:c>
      <x:c r="W131" t="n">
        <x:v>2</x:v>
      </x:c>
      <x:c r="X131" t="n">
        <x:v>20</x:v>
      </x:c>
      <x:c r="Y131" t="inlineStr">
        <x:is>
          <x:t xml:space="preserve">Completed</x:t>
        </x:is>
      </x:c>
      <x:c r="Z131" t="inlineStr">
        <x:is>
          <x:t xml:space="preserve">Recorded</x:t>
        </x:is>
      </x:c>
      <x:c r="AA131" t="n">
        <x:v>1</x:v>
      </x:c>
      <x:c r="AB131" t="inlineStr">
        <x:is>
          <x:t xml:space="preserve">No</x:t>
        </x:is>
      </x:c>
      <x:c r="AC131" t="inlineStr">
        <x:is>
          <x:t xml:space="preserve">1960s</x:t>
        </x:is>
      </x:c>
      <x:c r="AD131" t="inlineStr">
        <x:is>
          <x:t xml:space="preserve">Seeded</x:t>
        </x:is>
      </x:c>
      <x:c r="AE131" t="inlineStr">
        <x:is>
          <x:t xml:space="preserve">Unseeded/unknown</x:t>
        </x:is>
      </x:c>
    </x:row>
    <x:row r="132">
      <x:c r="A132" t="n">
        <x:v>1962</x:v>
      </x:c>
      <x:c r="B132" t="inlineStr">
        <x:is>
          <x:t xml:space="preserve">Men's</x:t>
        </x:is>
      </x:c>
      <x:c r="C132" t="inlineStr">
        <x:is>
          <x:t xml:space="preserve">R.G. Laver</x:t>
        </x:is>
      </x:c>
      <x:c r="D132" t="inlineStr">
        <x:is>
          <x:t xml:space="preserve">AUS</x:t>
        </x:is>
      </x:c>
      <x:c r="E132" t="inlineStr">
        <x:is>
          <x:t xml:space="preserve">Australia</x:t>
        </x:is>
      </x:c>
      <x:c r="F132" t="n">
        <x:v>1</x:v>
      </x:c>
      <x:c r="G132" t="n">
        <x:v>51</x:v>
      </x:c>
      <x:c r="H132" t="inlineStr">
        <x:is>
          <x:t xml:space="preserve">6-2, 6-2, 6-1</x:t>
        </x:is>
      </x:c>
      <x:c r="I132" t="n">
        <x:v>6</x:v>
      </x:c>
      <x:c r="J132" t="n">
        <x:v>2</x:v>
      </x:c>
      <x:c r="K132" t="n">
        <x:v>6</x:v>
      </x:c>
      <x:c r="L132" t="n">
        <x:v>2</x:v>
      </x:c>
      <x:c r="M132" t="n">
        <x:v>6</x:v>
      </x:c>
      <x:c r="N132" t="n">
        <x:v>1</x:v>
      </x:c>
      <x:c r="S132" t="inlineStr">
        <x:is>
          <x:t xml:space="preserve">M.F. Mulligan</x:t>
        </x:is>
      </x:c>
      <x:c r="T132" t="inlineStr">
        <x:is>
          <x:t xml:space="preserve">AUS</x:t>
        </x:is>
      </x:c>
      <x:c r="U132" t="inlineStr">
        <x:is>
          <x:t xml:space="preserve">Australia</x:t>
        </x:is>
      </x:c>
      <x:c r="V132" t="inlineStr">
        <x:is>
          <x:t xml:space="preserve">U</x:t>
        </x:is>
      </x:c>
      <x:c r="W132" t="n">
        <x:v>3</x:v>
      </x:c>
      <x:c r="X132" t="n">
        <x:v>23</x:v>
      </x:c>
      <x:c r="Y132" t="inlineStr">
        <x:is>
          <x:t xml:space="preserve">Completed</x:t>
        </x:is>
      </x:c>
      <x:c r="Z132" t="inlineStr">
        <x:is>
          <x:t xml:space="preserve">Recorded</x:t>
        </x:is>
      </x:c>
      <x:c r="AA132" t="n">
        <x:v>4</x:v>
      </x:c>
      <x:c r="AB132" t="inlineStr">
        <x:is>
          <x:t xml:space="preserve">No</x:t>
        </x:is>
      </x:c>
      <x:c r="AC132" t="inlineStr">
        <x:is>
          <x:t xml:space="preserve">1960s</x:t>
        </x:is>
      </x:c>
      <x:c r="AD132" t="inlineStr">
        <x:is>
          <x:t xml:space="preserve">Seeded</x:t>
        </x:is>
      </x:c>
      <x:c r="AE132" t="inlineStr">
        <x:is>
          <x:t xml:space="preserve">Unseeded/unknown</x:t>
        </x:is>
      </x:c>
    </x:row>
    <x:row r="133">
      <x:c r="A133" t="n">
        <x:v>1961</x:v>
      </x:c>
      <x:c r="B133" t="inlineStr">
        <x:is>
          <x:t xml:space="preserve">Women's</x:t>
        </x:is>
      </x:c>
      <x:c r="C133" t="inlineStr">
        <x:is>
          <x:t xml:space="preserve">F.A.M. Mortimer</x:t>
        </x:is>
      </x:c>
      <x:c r="D133" t="inlineStr">
        <x:is>
          <x:t xml:space="preserve">GBR</x:t>
        </x:is>
      </x:c>
      <x:c r="E133" t="inlineStr">
        <x:is>
          <x:t xml:space="preserve">United Kingdom</x:t>
        </x:is>
      </x:c>
      <x:c r="F133" t="n">
        <x:v>7</x:v>
      </x:c>
      <x:c r="G133" t="n">
        <x:v>96</x:v>
      </x:c>
      <x:c r="H133" t="inlineStr">
        <x:is>
          <x:t xml:space="preserve">4-6, 6-4, 7-5,</x:t>
        </x:is>
      </x:c>
      <x:c r="I133" t="n">
        <x:v>4</x:v>
      </x:c>
      <x:c r="J133" t="n">
        <x:v>6</x:v>
      </x:c>
      <x:c r="K133" t="n">
        <x:v>6</x:v>
      </x:c>
      <x:c r="L133" t="n">
        <x:v>4</x:v>
      </x:c>
      <x:c r="M133" t="n">
        <x:v>7</x:v>
      </x:c>
      <x:c r="N133" t="n">
        <x:v>5</x:v>
      </x:c>
      <x:c r="S133" t="inlineStr">
        <x:is>
          <x:t xml:space="preserve">C.C. Truman</x:t>
        </x:is>
      </x:c>
      <x:c r="T133" t="inlineStr">
        <x:is>
          <x:t xml:space="preserve">GBR</x:t>
        </x:is>
      </x:c>
      <x:c r="U133" t="inlineStr">
        <x:is>
          <x:t xml:space="preserve">United Kingdom</x:t>
        </x:is>
      </x:c>
      <x:c r="V133" t="n">
        <x:v>6</x:v>
      </x:c>
      <x:c r="W133" t="n">
        <x:v>3</x:v>
      </x:c>
      <x:c r="X133" t="n">
        <x:v>32</x:v>
      </x:c>
      <x:c r="Y133" t="inlineStr">
        <x:is>
          <x:t xml:space="preserve">Completed</x:t>
        </x:is>
      </x:c>
      <x:c r="Z133" t="inlineStr">
        <x:is>
          <x:t xml:space="preserve">Recorded</x:t>
        </x:is>
      </x:c>
      <x:c r="AA133" t="n">
        <x:v>1</x:v>
      </x:c>
      <x:c r="AB133" t="inlineStr">
        <x:is>
          <x:t xml:space="preserve">No</x:t>
        </x:is>
      </x:c>
      <x:c r="AC133" t="inlineStr">
        <x:is>
          <x:t xml:space="preserve">1960s</x:t>
        </x:is>
      </x:c>
      <x:c r="AD133" t="inlineStr">
        <x:is>
          <x:t xml:space="preserve">Seeded</x:t>
        </x:is>
      </x:c>
      <x:c r="AE133" t="inlineStr">
        <x:is>
          <x:t xml:space="preserve">Seeded</x:t>
        </x:is>
      </x:c>
    </x:row>
    <x:row r="134">
      <x:c r="A134" t="n">
        <x:v>1961</x:v>
      </x:c>
      <x:c r="B134" t="inlineStr">
        <x:is>
          <x:t xml:space="preserve">Men's</x:t>
        </x:is>
      </x:c>
      <x:c r="C134" t="inlineStr">
        <x:is>
          <x:t xml:space="preserve">R.G. Laver</x:t>
        </x:is>
      </x:c>
      <x:c r="D134" t="inlineStr">
        <x:is>
          <x:t xml:space="preserve">AUS</x:t>
        </x:is>
      </x:c>
      <x:c r="E134" t="inlineStr">
        <x:is>
          <x:t xml:space="preserve">Australia</x:t>
        </x:is>
      </x:c>
      <x:c r="F134" t="n">
        <x:v>2</x:v>
      </x:c>
      <x:c r="G134" t="n">
        <x:v>55</x:v>
      </x:c>
      <x:c r="H134" t="inlineStr">
        <x:is>
          <x:t xml:space="preserve">6-3, 6-1, 6-4</x:t>
        </x:is>
      </x:c>
      <x:c r="I134" t="n">
        <x:v>6</x:v>
      </x:c>
      <x:c r="J134" t="n">
        <x:v>3</x:v>
      </x:c>
      <x:c r="K134" t="n">
        <x:v>6</x:v>
      </x:c>
      <x:c r="L134" t="n">
        <x:v>1</x:v>
      </x:c>
      <x:c r="M134" t="n">
        <x:v>6</x:v>
      </x:c>
      <x:c r="N134" t="n">
        <x:v>4</x:v>
      </x:c>
      <x:c r="S134" t="inlineStr">
        <x:is>
          <x:t xml:space="preserve">C.R. McKinley</x:t>
        </x:is>
      </x:c>
      <x:c r="T134" t="inlineStr">
        <x:is>
          <x:t xml:space="preserve">USA</x:t>
        </x:is>
      </x:c>
      <x:c r="U134" t="inlineStr">
        <x:is>
          <x:t xml:space="preserve">United States</x:t>
        </x:is>
      </x:c>
      <x:c r="V134" t="n">
        <x:v>8</x:v>
      </x:c>
      <x:c r="W134" t="n">
        <x:v>3</x:v>
      </x:c>
      <x:c r="X134" t="n">
        <x:v>26</x:v>
      </x:c>
      <x:c r="Y134" t="inlineStr">
        <x:is>
          <x:t xml:space="preserve">Completed</x:t>
        </x:is>
      </x:c>
      <x:c r="Z134" t="inlineStr">
        <x:is>
          <x:t xml:space="preserve">Recorded</x:t>
        </x:is>
      </x:c>
      <x:c r="AA134" t="n">
        <x:v>4</x:v>
      </x:c>
      <x:c r="AB134" t="inlineStr">
        <x:is>
          <x:t xml:space="preserve">No</x:t>
        </x:is>
      </x:c>
      <x:c r="AC134" t="inlineStr">
        <x:is>
          <x:t xml:space="preserve">1960s</x:t>
        </x:is>
      </x:c>
      <x:c r="AD134" t="inlineStr">
        <x:is>
          <x:t xml:space="preserve">Seeded</x:t>
        </x:is>
      </x:c>
      <x:c r="AE134" t="inlineStr">
        <x:is>
          <x:t xml:space="preserve">Seeded</x:t>
        </x:is>
      </x:c>
    </x:row>
    <x:row r="135">
      <x:c r="A135" t="n">
        <x:v>1960</x:v>
      </x:c>
      <x:c r="B135" t="inlineStr">
        <x:is>
          <x:t xml:space="preserve">Women's</x:t>
        </x:is>
      </x:c>
      <x:c r="C135" t="inlineStr">
        <x:is>
          <x:t xml:space="preserve">M.E.A. Bueno</x:t>
        </x:is>
      </x:c>
      <x:c r="D135" t="inlineStr">
        <x:is>
          <x:t xml:space="preserve">BRA</x:t>
        </x:is>
      </x:c>
      <x:c r="E135" t="inlineStr">
        <x:is>
          <x:t xml:space="preserve">Brazil</x:t>
        </x:is>
      </x:c>
      <x:c r="F135" t="n">
        <x:v>1</x:v>
      </x:c>
      <x:c r="G135" t="n">
        <x:v>59</x:v>
      </x:c>
      <x:c r="H135" t="inlineStr">
        <x:is>
          <x:t xml:space="preserve">8-6, 6-0</x:t>
        </x:is>
      </x:c>
      <x:c r="I135" t="n">
        <x:v>8</x:v>
      </x:c>
      <x:c r="J135" t="n">
        <x:v>6</x:v>
      </x:c>
      <x:c r="K135" t="n">
        <x:v>6</x:v>
      </x:c>
      <x:c r="L135" t="n">
        <x:v>0</x:v>
      </x:c>
      <x:c r="S135" t="inlineStr">
        <x:is>
          <x:t xml:space="preserve">S. Reynolds</x:t>
        </x:is>
      </x:c>
      <x:c r="T135" t="inlineStr">
        <x:is>
          <x:t xml:space="preserve">RSA</x:t>
        </x:is>
      </x:c>
      <x:c r="U135" t="inlineStr">
        <x:is>
          <x:t xml:space="preserve">South Africa</x:t>
        </x:is>
      </x:c>
      <x:c r="V135" t="n">
        <x:v>8</x:v>
      </x:c>
      <x:c r="W135" t="n">
        <x:v>2</x:v>
      </x:c>
      <x:c r="X135" t="n">
        <x:v>20</x:v>
      </x:c>
      <x:c r="Y135" t="inlineStr">
        <x:is>
          <x:t xml:space="preserve">Completed</x:t>
        </x:is>
      </x:c>
      <x:c r="Z135" t="inlineStr">
        <x:is>
          <x:t xml:space="preserve">Recorded</x:t>
        </x:is>
      </x:c>
      <x:c r="AA135" t="n">
        <x:v>3</x:v>
      </x:c>
      <x:c r="AB135" t="inlineStr">
        <x:is>
          <x:t xml:space="preserve">No</x:t>
        </x:is>
      </x:c>
      <x:c r="AC135" t="inlineStr">
        <x:is>
          <x:t xml:space="preserve">1960s</x:t>
        </x:is>
      </x:c>
      <x:c r="AD135" t="inlineStr">
        <x:is>
          <x:t xml:space="preserve">Seeded</x:t>
        </x:is>
      </x:c>
      <x:c r="AE135" t="inlineStr">
        <x:is>
          <x:t xml:space="preserve">Seeded</x:t>
        </x:is>
      </x:c>
    </x:row>
    <x:row r="136">
      <x:c r="A136" t="n">
        <x:v>1960</x:v>
      </x:c>
      <x:c r="B136" t="inlineStr">
        <x:is>
          <x:t xml:space="preserve">Men's</x:t>
        </x:is>
      </x:c>
      <x:c r="C136" t="inlineStr">
        <x:is>
          <x:t xml:space="preserve">N.A. Fraser</x:t>
        </x:is>
      </x:c>
      <x:c r="D136" t="inlineStr">
        <x:is>
          <x:t xml:space="preserve">AUS</x:t>
        </x:is>
      </x:c>
      <x:c r="E136" t="inlineStr">
        <x:is>
          <x:t xml:space="preserve">Australia</x:t>
        </x:is>
      </x:c>
      <x:c r="F136" t="n">
        <x:v>1</x:v>
      </x:c>
      <x:c r="G136" t="n">
        <x:v>130</x:v>
      </x:c>
      <x:c r="H136" t="inlineStr">
        <x:is>
          <x:t xml:space="preserve">6-4, 3-6, 9-7, 7-5</x:t>
        </x:is>
      </x:c>
      <x:c r="I136" t="n">
        <x:v>6</x:v>
      </x:c>
      <x:c r="J136" t="n">
        <x:v>4</x:v>
      </x:c>
      <x:c r="K136" t="n">
        <x:v>3</x:v>
      </x:c>
      <x:c r="L136" t="n">
        <x:v>6</x:v>
      </x:c>
      <x:c r="M136" t="n">
        <x:v>9</x:v>
      </x:c>
      <x:c r="N136" t="n">
        <x:v>7</x:v>
      </x:c>
      <x:c r="O136" t="n">
        <x:v>7</x:v>
      </x:c>
      <x:c r="P136" t="n">
        <x:v>5</x:v>
      </x:c>
      <x:c r="S136" t="inlineStr">
        <x:is>
          <x:t xml:space="preserve">R.G. Laver</x:t>
        </x:is>
      </x:c>
      <x:c r="T136" t="inlineStr">
        <x:is>
          <x:t xml:space="preserve">AUS</x:t>
        </x:is>
      </x:c>
      <x:c r="U136" t="inlineStr">
        <x:is>
          <x:t xml:space="preserve">Australia</x:t>
        </x:is>
      </x:c>
      <x:c r="V136" t="n">
        <x:v>3</x:v>
      </x:c>
      <x:c r="W136" t="n">
        <x:v>4</x:v>
      </x:c>
      <x:c r="X136" t="n">
        <x:v>47</x:v>
      </x:c>
      <x:c r="Y136" t="inlineStr">
        <x:is>
          <x:t xml:space="preserve">Completed</x:t>
        </x:is>
      </x:c>
      <x:c r="Z136" t="inlineStr">
        <x:is>
          <x:t xml:space="preserve">Recorded</x:t>
        </x:is>
      </x:c>
      <x:c r="AA136" t="n">
        <x:v>1</x:v>
      </x:c>
      <x:c r="AB136" t="inlineStr">
        <x:is>
          <x:t xml:space="preserve">No</x:t>
        </x:is>
      </x:c>
      <x:c r="AC136" t="inlineStr">
        <x:is>
          <x:t xml:space="preserve">1960s</x:t>
        </x:is>
      </x:c>
      <x:c r="AD136" t="inlineStr">
        <x:is>
          <x:t xml:space="preserve">Seeded</x:t>
        </x:is>
      </x:c>
      <x:c r="AE136" t="inlineStr">
        <x:is>
          <x:t xml:space="preserve">Seeded</x:t>
        </x:is>
      </x:c>
    </x:row>
    <x:row r="137">
      <x:c r="A137" t="n">
        <x:v>1959</x:v>
      </x:c>
      <x:c r="B137" t="inlineStr">
        <x:is>
          <x:t xml:space="preserve">Women's</x:t>
        </x:is>
      </x:c>
      <x:c r="C137" t="inlineStr">
        <x:is>
          <x:t xml:space="preserve">M.E.A. Bueno</x:t>
        </x:is>
      </x:c>
      <x:c r="D137" t="inlineStr">
        <x:is>
          <x:t xml:space="preserve">BRA</x:t>
        </x:is>
      </x:c>
      <x:c r="E137" t="inlineStr">
        <x:is>
          <x:t xml:space="preserve">Brazil</x:t>
        </x:is>
      </x:c>
      <x:c r="F137" t="n">
        <x:v>6</x:v>
      </x:c>
      <x:c r="G137" t="n">
        <x:v>43</x:v>
      </x:c>
      <x:c r="H137" t="inlineStr">
        <x:is>
          <x:t xml:space="preserve">6-4, 6-3,</x:t>
        </x:is>
      </x:c>
      <x:c r="I137" t="n">
        <x:v>6</x:v>
      </x:c>
      <x:c r="J137" t="n">
        <x:v>4</x:v>
      </x:c>
      <x:c r="K137" t="n">
        <x:v>6</x:v>
      </x:c>
      <x:c r="L137" t="n">
        <x:v>3</x:v>
      </x:c>
      <x:c r="S137" t="inlineStr">
        <x:is>
          <x:t xml:space="preserve">D.R. Hard</x:t>
        </x:is>
      </x:c>
      <x:c r="T137" t="inlineStr">
        <x:is>
          <x:t xml:space="preserve">USA</x:t>
        </x:is>
      </x:c>
      <x:c r="U137" t="inlineStr">
        <x:is>
          <x:t xml:space="preserve">United States</x:t>
        </x:is>
      </x:c>
      <x:c r="V137" t="n">
        <x:v>4</x:v>
      </x:c>
      <x:c r="W137" t="n">
        <x:v>2</x:v>
      </x:c>
      <x:c r="X137" t="n">
        <x:v>19</x:v>
      </x:c>
      <x:c r="Y137" t="inlineStr">
        <x:is>
          <x:t xml:space="preserve">Completed</x:t>
        </x:is>
      </x:c>
      <x:c r="Z137" t="inlineStr">
        <x:is>
          <x:t xml:space="preserve">Recorded</x:t>
        </x:is>
      </x:c>
      <x:c r="AA137" t="n">
        <x:v>3</x:v>
      </x:c>
      <x:c r="AB137" t="inlineStr">
        <x:is>
          <x:t xml:space="preserve">No</x:t>
        </x:is>
      </x:c>
      <x:c r="AC137" t="inlineStr">
        <x:is>
          <x:t xml:space="preserve">1950s</x:t>
        </x:is>
      </x:c>
      <x:c r="AD137" t="inlineStr">
        <x:is>
          <x:t xml:space="preserve">Seeded</x:t>
        </x:is>
      </x:c>
      <x:c r="AE137" t="inlineStr">
        <x:is>
          <x:t xml:space="preserve">Seeded</x:t>
        </x:is>
      </x:c>
    </x:row>
    <x:row r="138">
      <x:c r="A138" t="n">
        <x:v>1959</x:v>
      </x:c>
      <x:c r="B138" t="inlineStr">
        <x:is>
          <x:t xml:space="preserve">Men's</x:t>
        </x:is>
      </x:c>
      <x:c r="C138" t="inlineStr">
        <x:is>
          <x:t xml:space="preserve">A.R. Olmedo</x:t>
        </x:is>
      </x:c>
      <x:c r="D138" t="inlineStr">
        <x:is>
          <x:t xml:space="preserve">USA</x:t>
        </x:is>
      </x:c>
      <x:c r="E138" t="inlineStr">
        <x:is>
          <x:t xml:space="preserve">United States</x:t>
        </x:is>
      </x:c>
      <x:c r="F138" t="n">
        <x:v>1</x:v>
      </x:c>
      <x:c r="G138" t="n">
        <x:v>71</x:v>
      </x:c>
      <x:c r="H138" t="inlineStr">
        <x:is>
          <x:t xml:space="preserve">6-4, 6-3, 6-4</x:t>
        </x:is>
      </x:c>
      <x:c r="I138" t="n">
        <x:v>6</x:v>
      </x:c>
      <x:c r="J138" t="n">
        <x:v>4</x:v>
      </x:c>
      <x:c r="K138" t="n">
        <x:v>6</x:v>
      </x:c>
      <x:c r="L138" t="n">
        <x:v>3</x:v>
      </x:c>
      <x:c r="M138" t="n">
        <x:v>6</x:v>
      </x:c>
      <x:c r="N138" t="n">
        <x:v>4</x:v>
      </x:c>
      <x:c r="S138" t="inlineStr">
        <x:is>
          <x:t xml:space="preserve">R.G. Laver</x:t>
        </x:is>
      </x:c>
      <x:c r="T138" t="inlineStr">
        <x:is>
          <x:t xml:space="preserve">AUS</x:t>
        </x:is>
      </x:c>
      <x:c r="U138" t="inlineStr">
        <x:is>
          <x:t xml:space="preserve">Australia</x:t>
        </x:is>
      </x:c>
      <x:c r="V138" t="inlineStr">
        <x:is>
          <x:t xml:space="preserve">U</x:t>
        </x:is>
      </x:c>
      <x:c r="W138" t="n">
        <x:v>3</x:v>
      </x:c>
      <x:c r="X138" t="n">
        <x:v>29</x:v>
      </x:c>
      <x:c r="Y138" t="inlineStr">
        <x:is>
          <x:t xml:space="preserve">Completed</x:t>
        </x:is>
      </x:c>
      <x:c r="Z138" t="inlineStr">
        <x:is>
          <x:t xml:space="preserve">Recorded</x:t>
        </x:is>
      </x:c>
      <x:c r="AA138" t="n">
        <x:v>1</x:v>
      </x:c>
      <x:c r="AB138" t="inlineStr">
        <x:is>
          <x:t xml:space="preserve">No</x:t>
        </x:is>
      </x:c>
      <x:c r="AC138" t="inlineStr">
        <x:is>
          <x:t xml:space="preserve">1950s</x:t>
        </x:is>
      </x:c>
      <x:c r="AD138" t="inlineStr">
        <x:is>
          <x:t xml:space="preserve">Seeded</x:t>
        </x:is>
      </x:c>
      <x:c r="AE138" t="inlineStr">
        <x:is>
          <x:t xml:space="preserve">Unseeded/unknown</x:t>
        </x:is>
      </x:c>
    </x:row>
    <x:row r="139">
      <x:c r="A139" t="n">
        <x:v>1958</x:v>
      </x:c>
      <x:c r="B139" t="inlineStr">
        <x:is>
          <x:t xml:space="preserve">Women's</x:t>
        </x:is>
      </x:c>
      <x:c r="C139" t="inlineStr">
        <x:is>
          <x:t xml:space="preserve">A. Gibson</x:t>
        </x:is>
      </x:c>
      <x:c r="D139" t="inlineStr">
        <x:is>
          <x:t xml:space="preserve">USA</x:t>
        </x:is>
      </x:c>
      <x:c r="E139" t="inlineStr">
        <x:is>
          <x:t xml:space="preserve">United States</x:t>
        </x:is>
      </x:c>
      <x:c r="F139" t="n">
        <x:v>1</x:v>
      </x:c>
      <x:c r="G139" t="n">
        <x:v>62</x:v>
      </x:c>
      <x:c r="H139" t="inlineStr">
        <x:is>
          <x:t xml:space="preserve">8-6, 6-2,</x:t>
        </x:is>
      </x:c>
      <x:c r="I139" t="n">
        <x:v>8</x:v>
      </x:c>
      <x:c r="J139" t="n">
        <x:v>6</x:v>
      </x:c>
      <x:c r="K139" t="n">
        <x:v>6</x:v>
      </x:c>
      <x:c r="L139" t="n">
        <x:v>2</x:v>
      </x:c>
      <x:c r="S139" t="inlineStr">
        <x:is>
          <x:t xml:space="preserve">F.A.M. Mortimer</x:t>
        </x:is>
      </x:c>
      <x:c r="T139" t="inlineStr">
        <x:is>
          <x:t xml:space="preserve">GBR</x:t>
        </x:is>
      </x:c>
      <x:c r="U139" t="inlineStr">
        <x:is>
          <x:t xml:space="preserve">United Kingdom</x:t>
        </x:is>
      </x:c>
      <x:c r="V139" t="inlineStr">
        <x:is>
          <x:t xml:space="preserve">U</x:t>
        </x:is>
      </x:c>
      <x:c r="W139" t="n">
        <x:v>2</x:v>
      </x:c>
      <x:c r="X139" t="n">
        <x:v>22</x:v>
      </x:c>
      <x:c r="Y139" t="inlineStr">
        <x:is>
          <x:t xml:space="preserve">Completed</x:t>
        </x:is>
      </x:c>
      <x:c r="Z139" t="inlineStr">
        <x:is>
          <x:t xml:space="preserve">Recorded</x:t>
        </x:is>
      </x:c>
      <x:c r="AA139" t="n">
        <x:v>2</x:v>
      </x:c>
      <x:c r="AB139" t="inlineStr">
        <x:is>
          <x:t xml:space="preserve">No</x:t>
        </x:is>
      </x:c>
      <x:c r="AC139" t="inlineStr">
        <x:is>
          <x:t xml:space="preserve">1950s</x:t>
        </x:is>
      </x:c>
      <x:c r="AD139" t="inlineStr">
        <x:is>
          <x:t xml:space="preserve">Seeded</x:t>
        </x:is>
      </x:c>
      <x:c r="AE139" t="inlineStr">
        <x:is>
          <x:t xml:space="preserve">Unseeded/unknown</x:t>
        </x:is>
      </x:c>
    </x:row>
    <x:row r="140">
      <x:c r="A140" t="n">
        <x:v>1958</x:v>
      </x:c>
      <x:c r="B140" t="inlineStr">
        <x:is>
          <x:t xml:space="preserve">Men's</x:t>
        </x:is>
      </x:c>
      <x:c r="C140" t="inlineStr">
        <x:is>
          <x:t xml:space="preserve">A.J. Cooper</x:t>
        </x:is>
      </x:c>
      <x:c r="D140" t="inlineStr">
        <x:is>
          <x:t xml:space="preserve">AUS</x:t>
        </x:is>
      </x:c>
      <x:c r="E140" t="inlineStr">
        <x:is>
          <x:t xml:space="preserve">Australia</x:t>
        </x:is>
      </x:c>
      <x:c r="F140" t="n">
        <x:v>1</x:v>
      </x:c>
      <x:c r="G140" t="n">
        <x:v>130</x:v>
      </x:c>
      <x:c r="H140" t="inlineStr">
        <x:is>
          <x:t xml:space="preserve">3-6, 6-3, 6-4, 13-11</x:t>
        </x:is>
      </x:c>
      <x:c r="I140" t="n">
        <x:v>3</x:v>
      </x:c>
      <x:c r="J140" t="n">
        <x:v>6</x:v>
      </x:c>
      <x:c r="K140" t="n">
        <x:v>6</x:v>
      </x:c>
      <x:c r="L140" t="n">
        <x:v>3</x:v>
      </x:c>
      <x:c r="M140" t="n">
        <x:v>6</x:v>
      </x:c>
      <x:c r="N140" t="n">
        <x:v>4</x:v>
      </x:c>
      <x:c r="O140" t="n">
        <x:v>13</x:v>
      </x:c>
      <x:c r="P140" t="n">
        <x:v>11</x:v>
      </x:c>
      <x:c r="S140" t="inlineStr">
        <x:is>
          <x:t xml:space="preserve">N.A. Fraser</x:t>
        </x:is>
      </x:c>
      <x:c r="T140" t="inlineStr">
        <x:is>
          <x:t xml:space="preserve">AUS</x:t>
        </x:is>
      </x:c>
      <x:c r="U140" t="inlineStr">
        <x:is>
          <x:t xml:space="preserve">Australia</x:t>
        </x:is>
      </x:c>
      <x:c r="V140" t="n">
        <x:v>4</x:v>
      </x:c>
      <x:c r="W140" t="n">
        <x:v>4</x:v>
      </x:c>
      <x:c r="X140" t="n">
        <x:v>52</x:v>
      </x:c>
      <x:c r="Y140" t="inlineStr">
        <x:is>
          <x:t xml:space="preserve">Completed</x:t>
        </x:is>
      </x:c>
      <x:c r="Z140" t="inlineStr">
        <x:is>
          <x:t xml:space="preserve">Recorded</x:t>
        </x:is>
      </x:c>
      <x:c r="AA140" t="n">
        <x:v>1</x:v>
      </x:c>
      <x:c r="AB140" t="inlineStr">
        <x:is>
          <x:t xml:space="preserve">No</x:t>
        </x:is>
      </x:c>
      <x:c r="AC140" t="inlineStr">
        <x:is>
          <x:t xml:space="preserve">1950s</x:t>
        </x:is>
      </x:c>
      <x:c r="AD140" t="inlineStr">
        <x:is>
          <x:t xml:space="preserve">Seeded</x:t>
        </x:is>
      </x:c>
      <x:c r="AE140" t="inlineStr">
        <x:is>
          <x:t xml:space="preserve">Seeded</x:t>
        </x:is>
      </x:c>
    </x:row>
    <x:row r="141">
      <x:c r="A141" t="n">
        <x:v>1957</x:v>
      </x:c>
      <x:c r="B141" t="inlineStr">
        <x:is>
          <x:t xml:space="preserve">Women's</x:t>
        </x:is>
      </x:c>
      <x:c r="C141" t="inlineStr">
        <x:is>
          <x:t xml:space="preserve">A. Gibson</x:t>
        </x:is>
      </x:c>
      <x:c r="D141" t="inlineStr">
        <x:is>
          <x:t xml:space="preserve">USA</x:t>
        </x:is>
      </x:c>
      <x:c r="E141" t="inlineStr">
        <x:is>
          <x:t xml:space="preserve">United States</x:t>
        </x:is>
      </x:c>
      <x:c r="F141" t="n">
        <x:v>1</x:v>
      </x:c>
      <x:c r="G141" t="n">
        <x:v>50</x:v>
      </x:c>
      <x:c r="H141" t="inlineStr">
        <x:is>
          <x:t xml:space="preserve">6-3, 6-2,</x:t>
        </x:is>
      </x:c>
      <x:c r="I141" t="n">
        <x:v>6</x:v>
      </x:c>
      <x:c r="J141" t="n">
        <x:v>3</x:v>
      </x:c>
      <x:c r="K141" t="n">
        <x:v>6</x:v>
      </x:c>
      <x:c r="L141" t="n">
        <x:v>2</x:v>
      </x:c>
      <x:c r="S141" t="inlineStr">
        <x:is>
          <x:t xml:space="preserve">D.R. Hard</x:t>
        </x:is>
      </x:c>
      <x:c r="T141" t="inlineStr">
        <x:is>
          <x:t xml:space="preserve">USA</x:t>
        </x:is>
      </x:c>
      <x:c r="U141" t="inlineStr">
        <x:is>
          <x:t xml:space="preserve">United States</x:t>
        </x:is>
      </x:c>
      <x:c r="V141" t="n">
        <x:v>5</x:v>
      </x:c>
      <x:c r="W141" t="n">
        <x:v>2</x:v>
      </x:c>
      <x:c r="X141" t="n">
        <x:v>17</x:v>
      </x:c>
      <x:c r="Y141" t="inlineStr">
        <x:is>
          <x:t xml:space="preserve">Completed</x:t>
        </x:is>
      </x:c>
      <x:c r="Z141" t="inlineStr">
        <x:is>
          <x:t xml:space="preserve">Recorded</x:t>
        </x:is>
      </x:c>
      <x:c r="AA141" t="n">
        <x:v>2</x:v>
      </x:c>
      <x:c r="AB141" t="inlineStr">
        <x:is>
          <x:t xml:space="preserve">No</x:t>
        </x:is>
      </x:c>
      <x:c r="AC141" t="inlineStr">
        <x:is>
          <x:t xml:space="preserve">1950s</x:t>
        </x:is>
      </x:c>
      <x:c r="AD141" t="inlineStr">
        <x:is>
          <x:t xml:space="preserve">Seeded</x:t>
        </x:is>
      </x:c>
      <x:c r="AE141" t="inlineStr">
        <x:is>
          <x:t xml:space="preserve">Seeded</x:t>
        </x:is>
      </x:c>
    </x:row>
    <x:row r="142">
      <x:c r="A142" t="n">
        <x:v>1957</x:v>
      </x:c>
      <x:c r="B142" t="inlineStr">
        <x:is>
          <x:t xml:space="preserve">Men's</x:t>
        </x:is>
      </x:c>
      <x:c r="C142" t="inlineStr">
        <x:is>
          <x:t xml:space="preserve">L.A. Hoad</x:t>
        </x:is>
      </x:c>
      <x:c r="D142" t="inlineStr">
        <x:is>
          <x:t xml:space="preserve">AUS</x:t>
        </x:is>
      </x:c>
      <x:c r="E142" t="inlineStr">
        <x:is>
          <x:t xml:space="preserve">Australia</x:t>
        </x:is>
      </x:c>
      <x:c r="F142" t="n">
        <x:v>1</x:v>
      </x:c>
      <x:c r="G142" t="n">
        <x:v>57</x:v>
      </x:c>
      <x:c r="H142" t="inlineStr">
        <x:is>
          <x:t xml:space="preserve">6-2, 6-1, 6-2</x:t>
        </x:is>
      </x:c>
      <x:c r="I142" t="n">
        <x:v>6</x:v>
      </x:c>
      <x:c r="J142" t="n">
        <x:v>2</x:v>
      </x:c>
      <x:c r="K142" t="n">
        <x:v>6</x:v>
      </x:c>
      <x:c r="L142" t="n">
        <x:v>1</x:v>
      </x:c>
      <x:c r="M142" t="n">
        <x:v>6</x:v>
      </x:c>
      <x:c r="N142" t="n">
        <x:v>2</x:v>
      </x:c>
      <x:c r="S142" t="inlineStr">
        <x:is>
          <x:t xml:space="preserve">A.J. Cooper</x:t>
        </x:is>
      </x:c>
      <x:c r="T142" t="inlineStr">
        <x:is>
          <x:t xml:space="preserve">AUS</x:t>
        </x:is>
      </x:c>
      <x:c r="U142" t="inlineStr">
        <x:is>
          <x:t xml:space="preserve">Australia</x:t>
        </x:is>
      </x:c>
      <x:c r="V142" t="n">
        <x:v>2</x:v>
      </x:c>
      <x:c r="W142" t="n">
        <x:v>3</x:v>
      </x:c>
      <x:c r="X142" t="n">
        <x:v>23</x:v>
      </x:c>
      <x:c r="Y142" t="inlineStr">
        <x:is>
          <x:t xml:space="preserve">Completed</x:t>
        </x:is>
      </x:c>
      <x:c r="Z142" t="inlineStr">
        <x:is>
          <x:t xml:space="preserve">Recorded</x:t>
        </x:is>
      </x:c>
      <x:c r="AA142" t="n">
        <x:v>2</x:v>
      </x:c>
      <x:c r="AB142" t="inlineStr">
        <x:is>
          <x:t xml:space="preserve">No</x:t>
        </x:is>
      </x:c>
      <x:c r="AC142" t="inlineStr">
        <x:is>
          <x:t xml:space="preserve">1950s</x:t>
        </x:is>
      </x:c>
      <x:c r="AD142" t="inlineStr">
        <x:is>
          <x:t xml:space="preserve">Seeded</x:t>
        </x:is>
      </x:c>
      <x:c r="AE142" t="inlineStr">
        <x:is>
          <x:t xml:space="preserve">Seeded</x:t>
        </x:is>
      </x:c>
    </x:row>
    <x:row r="143">
      <x:c r="A143" t="n">
        <x:v>1956</x:v>
      </x:c>
      <x:c r="B143" t="inlineStr">
        <x:is>
          <x:t xml:space="preserve">Women's</x:t>
        </x:is>
      </x:c>
      <x:c r="C143" t="inlineStr">
        <x:is>
          <x:t xml:space="preserve">S.J. Fry</x:t>
        </x:is>
      </x:c>
      <x:c r="D143" t="inlineStr">
        <x:is>
          <x:t xml:space="preserve">USA</x:t>
        </x:is>
      </x:c>
      <x:c r="E143" t="inlineStr">
        <x:is>
          <x:t xml:space="preserve">United States</x:t>
        </x:is>
      </x:c>
      <x:c r="F143" t="n">
        <x:v>5</x:v>
      </x:c>
      <x:c r="G143" t="n">
        <x:v>50</x:v>
      </x:c>
      <x:c r="H143" t="inlineStr">
        <x:is>
          <x:t xml:space="preserve">6-3, 6-1,</x:t>
        </x:is>
      </x:c>
      <x:c r="I143" t="n">
        <x:v>6</x:v>
      </x:c>
      <x:c r="J143" t="n">
        <x:v>3</x:v>
      </x:c>
      <x:c r="K143" t="n">
        <x:v>6</x:v>
      </x:c>
      <x:c r="L143" t="n">
        <x:v>1</x:v>
      </x:c>
      <x:c r="S143" t="inlineStr">
        <x:is>
          <x:t xml:space="preserve">A. Buxton</x:t>
        </x:is>
      </x:c>
      <x:c r="T143" t="inlineStr">
        <x:is>
          <x:t xml:space="preserve">GBR</x:t>
        </x:is>
      </x:c>
      <x:c r="U143" t="inlineStr">
        <x:is>
          <x:t xml:space="preserve">United Kingdom</x:t>
        </x:is>
      </x:c>
      <x:c r="V143" t="n">
        <x:v>6</x:v>
      </x:c>
      <x:c r="W143" t="n">
        <x:v>2</x:v>
      </x:c>
      <x:c r="X143" t="n">
        <x:v>16</x:v>
      </x:c>
      <x:c r="Y143" t="inlineStr">
        <x:is>
          <x:t xml:space="preserve">Completed</x:t>
        </x:is>
      </x:c>
      <x:c r="Z143" t="inlineStr">
        <x:is>
          <x:t xml:space="preserve">Recorded</x:t>
        </x:is>
      </x:c>
      <x:c r="AA143" t="n">
        <x:v>1</x:v>
      </x:c>
      <x:c r="AB143" t="inlineStr">
        <x:is>
          <x:t xml:space="preserve">No</x:t>
        </x:is>
      </x:c>
      <x:c r="AC143" t="inlineStr">
        <x:is>
          <x:t xml:space="preserve">1950s</x:t>
        </x:is>
      </x:c>
      <x:c r="AD143" t="inlineStr">
        <x:is>
          <x:t xml:space="preserve">Seeded</x:t>
        </x:is>
      </x:c>
      <x:c r="AE143" t="inlineStr">
        <x:is>
          <x:t xml:space="preserve">Seeded</x:t>
        </x:is>
      </x:c>
    </x:row>
    <x:row r="144">
      <x:c r="A144" t="n">
        <x:v>1956</x:v>
      </x:c>
      <x:c r="B144" t="inlineStr">
        <x:is>
          <x:t xml:space="preserve">Men's</x:t>
        </x:is>
      </x:c>
      <x:c r="C144" t="inlineStr">
        <x:is>
          <x:t xml:space="preserve">L.A. Hoad</x:t>
        </x:is>
      </x:c>
      <x:c r="D144" t="inlineStr">
        <x:is>
          <x:t xml:space="preserve">AUS</x:t>
        </x:is>
      </x:c>
      <x:c r="E144" t="inlineStr">
        <x:is>
          <x:t xml:space="preserve">Australia</x:t>
        </x:is>
      </x:c>
      <x:c r="F144" t="n">
        <x:v>1</x:v>
      </x:c>
      <x:c r="G144" t="n">
        <x:v>117</x:v>
      </x:c>
      <x:c r="H144" t="inlineStr">
        <x:is>
          <x:t xml:space="preserve">6-2, 4-6, 7-5, 6-4</x:t>
        </x:is>
      </x:c>
      <x:c r="I144" t="n">
        <x:v>6</x:v>
      </x:c>
      <x:c r="J144" t="n">
        <x:v>2</x:v>
      </x:c>
      <x:c r="K144" t="n">
        <x:v>4</x:v>
      </x:c>
      <x:c r="L144" t="n">
        <x:v>6</x:v>
      </x:c>
      <x:c r="M144" t="n">
        <x:v>7</x:v>
      </x:c>
      <x:c r="N144" t="n">
        <x:v>5</x:v>
      </x:c>
      <x:c r="O144" t="n">
        <x:v>6</x:v>
      </x:c>
      <x:c r="P144" t="n">
        <x:v>4</x:v>
      </x:c>
      <x:c r="S144" t="inlineStr">
        <x:is>
          <x:t xml:space="preserve">K.R. Rosewall</x:t>
        </x:is>
      </x:c>
      <x:c r="T144" t="inlineStr">
        <x:is>
          <x:t xml:space="preserve">AUS</x:t>
        </x:is>
      </x:c>
      <x:c r="U144" t="inlineStr">
        <x:is>
          <x:t xml:space="preserve">Australia</x:t>
        </x:is>
      </x:c>
      <x:c r="V144" t="n">
        <x:v>2</x:v>
      </x:c>
      <x:c r="W144" t="n">
        <x:v>4</x:v>
      </x:c>
      <x:c r="X144" t="n">
        <x:v>40</x:v>
      </x:c>
      <x:c r="Y144" t="inlineStr">
        <x:is>
          <x:t xml:space="preserve">Completed</x:t>
        </x:is>
      </x:c>
      <x:c r="Z144" t="inlineStr">
        <x:is>
          <x:t xml:space="preserve">Recorded</x:t>
        </x:is>
      </x:c>
      <x:c r="AA144" t="n">
        <x:v>2</x:v>
      </x:c>
      <x:c r="AB144" t="inlineStr">
        <x:is>
          <x:t xml:space="preserve">No</x:t>
        </x:is>
      </x:c>
      <x:c r="AC144" t="inlineStr">
        <x:is>
          <x:t xml:space="preserve">1950s</x:t>
        </x:is>
      </x:c>
      <x:c r="AD144" t="inlineStr">
        <x:is>
          <x:t xml:space="preserve">Seeded</x:t>
        </x:is>
      </x:c>
      <x:c r="AE144" t="inlineStr">
        <x:is>
          <x:t xml:space="preserve">Seeded</x:t>
        </x:is>
      </x:c>
    </x:row>
    <x:row r="145">
      <x:c r="A145" t="n">
        <x:v>1955</x:v>
      </x:c>
      <x:c r="B145" t="inlineStr">
        <x:is>
          <x:t xml:space="preserve">Women's</x:t>
        </x:is>
      </x:c>
      <x:c r="C145" t="inlineStr">
        <x:is>
          <x:t xml:space="preserve">A.L. Brough</x:t>
        </x:is>
      </x:c>
      <x:c r="D145" t="inlineStr">
        <x:is>
          <x:t xml:space="preserve">USA</x:t>
        </x:is>
      </x:c>
      <x:c r="E145" t="inlineStr">
        <x:is>
          <x:t xml:space="preserve">United States</x:t>
        </x:is>
      </x:c>
      <x:c r="F145" t="n">
        <x:v>2</x:v>
      </x:c>
      <x:c r="G145" t="n">
        <x:v>90</x:v>
      </x:c>
      <x:c r="H145" t="inlineStr">
        <x:is>
          <x:t xml:space="preserve">7-5, 8-6,</x:t>
        </x:is>
      </x:c>
      <x:c r="I145" t="n">
        <x:v>7</x:v>
      </x:c>
      <x:c r="J145" t="n">
        <x:v>5</x:v>
      </x:c>
      <x:c r="K145" t="n">
        <x:v>8</x:v>
      </x:c>
      <x:c r="L145" t="n">
        <x:v>6</x:v>
      </x:c>
      <x:c r="S145" t="inlineStr">
        <x:is>
          <x:t xml:space="preserve">J.G. Fleitz</x:t>
        </x:is>
      </x:c>
      <x:c r="T145" t="inlineStr">
        <x:is>
          <x:t xml:space="preserve">USA</x:t>
        </x:is>
      </x:c>
      <x:c r="U145" t="inlineStr">
        <x:is>
          <x:t xml:space="preserve">United States</x:t>
        </x:is>
      </x:c>
      <x:c r="V145" t="n">
        <x:v>3</x:v>
      </x:c>
      <x:c r="W145" t="n">
        <x:v>2</x:v>
      </x:c>
      <x:c r="X145" t="n">
        <x:v>26</x:v>
      </x:c>
      <x:c r="Y145" t="inlineStr">
        <x:is>
          <x:t xml:space="preserve">Completed</x:t>
        </x:is>
      </x:c>
      <x:c r="Z145" t="inlineStr">
        <x:is>
          <x:t xml:space="preserve">Recorded</x:t>
        </x:is>
      </x:c>
      <x:c r="AA145" t="n">
        <x:v>4</x:v>
      </x:c>
      <x:c r="AB145" t="inlineStr">
        <x:is>
          <x:t xml:space="preserve">No</x:t>
        </x:is>
      </x:c>
      <x:c r="AC145" t="inlineStr">
        <x:is>
          <x:t xml:space="preserve">1950s</x:t>
        </x:is>
      </x:c>
      <x:c r="AD145" t="inlineStr">
        <x:is>
          <x:t xml:space="preserve">Seeded</x:t>
        </x:is>
      </x:c>
      <x:c r="AE145" t="inlineStr">
        <x:is>
          <x:t xml:space="preserve">Seeded</x:t>
        </x:is>
      </x:c>
    </x:row>
    <x:row r="146">
      <x:c r="A146" t="n">
        <x:v>1955</x:v>
      </x:c>
      <x:c r="B146" t="inlineStr">
        <x:is>
          <x:t xml:space="preserve">Men's</x:t>
        </x:is>
      </x:c>
      <x:c r="C146" t="inlineStr">
        <x:is>
          <x:t xml:space="preserve">M.A. Trabert</x:t>
        </x:is>
      </x:c>
      <x:c r="D146" t="inlineStr">
        <x:is>
          <x:t xml:space="preserve">USA</x:t>
        </x:is>
      </x:c>
      <x:c r="E146" t="inlineStr">
        <x:is>
          <x:t xml:space="preserve">United States</x:t>
        </x:is>
      </x:c>
      <x:c r="F146" t="n">
        <x:v>1</x:v>
      </x:c>
      <x:c r="G146" t="n">
        <x:v>73</x:v>
      </x:c>
      <x:c r="H146" t="inlineStr">
        <x:is>
          <x:t xml:space="preserve">6-3, 7-5, 6-1</x:t>
        </x:is>
      </x:c>
      <x:c r="I146" t="n">
        <x:v>6</x:v>
      </x:c>
      <x:c r="J146" t="n">
        <x:v>3</x:v>
      </x:c>
      <x:c r="K146" t="n">
        <x:v>7</x:v>
      </x:c>
      <x:c r="L146" t="n">
        <x:v>5</x:v>
      </x:c>
      <x:c r="M146" t="n">
        <x:v>6</x:v>
      </x:c>
      <x:c r="N146" t="n">
        <x:v>1</x:v>
      </x:c>
      <x:c r="S146" t="inlineStr">
        <x:is>
          <x:t xml:space="preserve">K. Nielsen</x:t>
        </x:is>
      </x:c>
      <x:c r="T146" t="inlineStr">
        <x:is>
          <x:t xml:space="preserve">DEN</x:t>
        </x:is>
      </x:c>
      <x:c r="U146" t="inlineStr">
        <x:is>
          <x:t xml:space="preserve">Denmark</x:t>
        </x:is>
      </x:c>
      <x:c r="V146" t="inlineStr">
        <x:is>
          <x:t xml:space="preserve">U</x:t>
        </x:is>
      </x:c>
      <x:c r="W146" t="n">
        <x:v>3</x:v>
      </x:c>
      <x:c r="X146" t="n">
        <x:v>28</x:v>
      </x:c>
      <x:c r="Y146" t="inlineStr">
        <x:is>
          <x:t xml:space="preserve">Completed</x:t>
        </x:is>
      </x:c>
      <x:c r="Z146" t="inlineStr">
        <x:is>
          <x:t xml:space="preserve">Recorded</x:t>
        </x:is>
      </x:c>
      <x:c r="AA146" t="n">
        <x:v>1</x:v>
      </x:c>
      <x:c r="AB146" t="inlineStr">
        <x:is>
          <x:t xml:space="preserve">No</x:t>
        </x:is>
      </x:c>
      <x:c r="AC146" t="inlineStr">
        <x:is>
          <x:t xml:space="preserve">1950s</x:t>
        </x:is>
      </x:c>
      <x:c r="AD146" t="inlineStr">
        <x:is>
          <x:t xml:space="preserve">Seeded</x:t>
        </x:is>
      </x:c>
      <x:c r="AE146" t="inlineStr">
        <x:is>
          <x:t xml:space="preserve">Unseeded/unknown</x:t>
        </x:is>
      </x:c>
    </x:row>
    <x:row r="147">
      <x:c r="A147" t="n">
        <x:v>1954</x:v>
      </x:c>
      <x:c r="B147" t="inlineStr">
        <x:is>
          <x:t xml:space="preserve">Women's</x:t>
        </x:is>
      </x:c>
      <x:c r="C147" t="inlineStr">
        <x:is>
          <x:t xml:space="preserve">M.C. Connolly</x:t>
        </x:is>
      </x:c>
      <x:c r="D147" t="inlineStr">
        <x:is>
          <x:t xml:space="preserve">USA</x:t>
        </x:is>
      </x:c>
      <x:c r="E147" t="inlineStr">
        <x:is>
          <x:t xml:space="preserve">United States</x:t>
        </x:is>
      </x:c>
      <x:c r="F147" t="n">
        <x:v>1</x:v>
      </x:c>
      <x:c r="G147" t="n">
        <x:v>50</x:v>
      </x:c>
      <x:c r="H147" t="inlineStr">
        <x:is>
          <x:t xml:space="preserve">6-2, 7-5,</x:t>
        </x:is>
      </x:c>
      <x:c r="I147" t="n">
        <x:v>6</x:v>
      </x:c>
      <x:c r="J147" t="n">
        <x:v>2</x:v>
      </x:c>
      <x:c r="K147" t="n">
        <x:v>7</x:v>
      </x:c>
      <x:c r="L147" t="n">
        <x:v>5</x:v>
      </x:c>
      <x:c r="S147" t="inlineStr">
        <x:is>
          <x:t xml:space="preserve">A.L. Brough</x:t>
        </x:is>
      </x:c>
      <x:c r="T147" t="inlineStr">
        <x:is>
          <x:t xml:space="preserve">USA</x:t>
        </x:is>
      </x:c>
      <x:c r="U147" t="inlineStr">
        <x:is>
          <x:t xml:space="preserve">United States</x:t>
        </x:is>
      </x:c>
      <x:c r="V147" t="n">
        <x:v>4</x:v>
      </x:c>
      <x:c r="W147" t="n">
        <x:v>2</x:v>
      </x:c>
      <x:c r="X147" t="n">
        <x:v>20</x:v>
      </x:c>
      <x:c r="Y147" t="inlineStr">
        <x:is>
          <x:t xml:space="preserve">Completed</x:t>
        </x:is>
      </x:c>
      <x:c r="Z147" t="inlineStr">
        <x:is>
          <x:t xml:space="preserve">Recorded</x:t>
        </x:is>
      </x:c>
      <x:c r="AA147" t="n">
        <x:v>3</x:v>
      </x:c>
      <x:c r="AB147" t="inlineStr">
        <x:is>
          <x:t xml:space="preserve">No</x:t>
        </x:is>
      </x:c>
      <x:c r="AC147" t="inlineStr">
        <x:is>
          <x:t xml:space="preserve">1950s</x:t>
        </x:is>
      </x:c>
      <x:c r="AD147" t="inlineStr">
        <x:is>
          <x:t xml:space="preserve">Seeded</x:t>
        </x:is>
      </x:c>
      <x:c r="AE147" t="inlineStr">
        <x:is>
          <x:t xml:space="preserve">Seeded</x:t>
        </x:is>
      </x:c>
    </x:row>
    <x:row r="148">
      <x:c r="A148" t="n">
        <x:v>1954</x:v>
      </x:c>
      <x:c r="B148" t="inlineStr">
        <x:is>
          <x:t xml:space="preserve">Men's</x:t>
        </x:is>
      </x:c>
      <x:c r="C148" t="inlineStr">
        <x:is>
          <x:t xml:space="preserve">J. Drobny</x:t>
        </x:is>
      </x:c>
      <x:c r="D148" t="inlineStr">
        <x:is>
          <x:t xml:space="preserve">CZE</x:t>
        </x:is>
      </x:c>
      <x:c r="E148" t="inlineStr">
        <x:is>
          <x:t xml:space="preserve">Czechia</x:t>
        </x:is>
      </x:c>
      <x:c r="F148" t="n">
        <x:v>11</x:v>
      </x:c>
      <x:c r="G148" t="n">
        <x:v>157</x:v>
      </x:c>
      <x:c r="H148" t="inlineStr">
        <x:is>
          <x:t xml:space="preserve">13-11, 4-6, 6-2, 9-7</x:t>
        </x:is>
      </x:c>
      <x:c r="I148" t="n">
        <x:v>13</x:v>
      </x:c>
      <x:c r="J148" t="n">
        <x:v>11</x:v>
      </x:c>
      <x:c r="K148" t="n">
        <x:v>4</x:v>
      </x:c>
      <x:c r="L148" t="n">
        <x:v>6</x:v>
      </x:c>
      <x:c r="M148" t="n">
        <x:v>6</x:v>
      </x:c>
      <x:c r="N148" t="n">
        <x:v>2</x:v>
      </x:c>
      <x:c r="O148" t="n">
        <x:v>9</x:v>
      </x:c>
      <x:c r="P148" t="n">
        <x:v>7</x:v>
      </x:c>
      <x:c r="S148" t="inlineStr">
        <x:is>
          <x:t xml:space="preserve">K.R. Rosewall</x:t>
        </x:is>
      </x:c>
      <x:c r="T148" t="inlineStr">
        <x:is>
          <x:t xml:space="preserve">AUS</x:t>
        </x:is>
      </x:c>
      <x:c r="U148" t="inlineStr">
        <x:is>
          <x:t xml:space="preserve">Australia</x:t>
        </x:is>
      </x:c>
      <x:c r="V148" t="n">
        <x:v>3</x:v>
      </x:c>
      <x:c r="W148" t="n">
        <x:v>4</x:v>
      </x:c>
      <x:c r="X148" t="n">
        <x:v>58</x:v>
      </x:c>
      <x:c r="Y148" t="inlineStr">
        <x:is>
          <x:t xml:space="preserve">Completed</x:t>
        </x:is>
      </x:c>
      <x:c r="Z148" t="inlineStr">
        <x:is>
          <x:t xml:space="preserve">Recorded</x:t>
        </x:is>
      </x:c>
      <x:c r="AA148" t="n">
        <x:v>1</x:v>
      </x:c>
      <x:c r="AB148" t="inlineStr">
        <x:is>
          <x:t xml:space="preserve">No</x:t>
        </x:is>
      </x:c>
      <x:c r="AC148" t="inlineStr">
        <x:is>
          <x:t xml:space="preserve">1950s</x:t>
        </x:is>
      </x:c>
      <x:c r="AD148" t="inlineStr">
        <x:is>
          <x:t xml:space="preserve">Seeded</x:t>
        </x:is>
      </x:c>
      <x:c r="AE148" t="inlineStr">
        <x:is>
          <x:t xml:space="preserve">Seeded</x:t>
        </x:is>
      </x:c>
    </x:row>
    <x:row r="149">
      <x:c r="A149" t="n">
        <x:v>1953</x:v>
      </x:c>
      <x:c r="B149" t="inlineStr">
        <x:is>
          <x:t xml:space="preserve">Women's</x:t>
        </x:is>
      </x:c>
      <x:c r="C149" t="inlineStr">
        <x:is>
          <x:t xml:space="preserve">M.C. Connolly</x:t>
        </x:is>
      </x:c>
      <x:c r="D149" t="inlineStr">
        <x:is>
          <x:t xml:space="preserve">USA</x:t>
        </x:is>
      </x:c>
      <x:c r="E149" t="inlineStr">
        <x:is>
          <x:t xml:space="preserve">United States</x:t>
        </x:is>
      </x:c>
      <x:c r="F149" t="n">
        <x:v>1</x:v>
      </x:c>
      <x:c r="G149" t="n">
        <x:v>67</x:v>
      </x:c>
      <x:c r="H149" t="inlineStr">
        <x:is>
          <x:t xml:space="preserve">8-6, 7-5,</x:t>
        </x:is>
      </x:c>
      <x:c r="I149" t="n">
        <x:v>8</x:v>
      </x:c>
      <x:c r="J149" t="n">
        <x:v>6</x:v>
      </x:c>
      <x:c r="K149" t="n">
        <x:v>7</x:v>
      </x:c>
      <x:c r="L149" t="n">
        <x:v>5</x:v>
      </x:c>
      <x:c r="S149" t="inlineStr">
        <x:is>
          <x:t xml:space="preserve">D.J. Hart</x:t>
        </x:is>
      </x:c>
      <x:c r="T149" t="inlineStr">
        <x:is>
          <x:t xml:space="preserve">USA</x:t>
        </x:is>
      </x:c>
      <x:c r="U149" t="inlineStr">
        <x:is>
          <x:t xml:space="preserve">United States</x:t>
        </x:is>
      </x:c>
      <x:c r="V149" t="n">
        <x:v>2</x:v>
      </x:c>
      <x:c r="W149" t="n">
        <x:v>2</x:v>
      </x:c>
      <x:c r="X149" t="n">
        <x:v>26</x:v>
      </x:c>
      <x:c r="Y149" t="inlineStr">
        <x:is>
          <x:t xml:space="preserve">Completed</x:t>
        </x:is>
      </x:c>
      <x:c r="Z149" t="inlineStr">
        <x:is>
          <x:t xml:space="preserve">Recorded</x:t>
        </x:is>
      </x:c>
      <x:c r="AA149" t="n">
        <x:v>3</x:v>
      </x:c>
      <x:c r="AB149" t="inlineStr">
        <x:is>
          <x:t xml:space="preserve">No</x:t>
        </x:is>
      </x:c>
      <x:c r="AC149" t="inlineStr">
        <x:is>
          <x:t xml:space="preserve">1950s</x:t>
        </x:is>
      </x:c>
      <x:c r="AD149" t="inlineStr">
        <x:is>
          <x:t xml:space="preserve">Seeded</x:t>
        </x:is>
      </x:c>
      <x:c r="AE149" t="inlineStr">
        <x:is>
          <x:t xml:space="preserve">Seeded</x:t>
        </x:is>
      </x:c>
    </x:row>
    <x:row r="150">
      <x:c r="A150" t="n">
        <x:v>1953</x:v>
      </x:c>
      <x:c r="B150" t="inlineStr">
        <x:is>
          <x:t xml:space="preserve">Men's</x:t>
        </x:is>
      </x:c>
      <x:c r="C150" t="inlineStr">
        <x:is>
          <x:t xml:space="preserve">E.V. Seixas</x:t>
        </x:is>
      </x:c>
      <x:c r="D150" t="inlineStr">
        <x:is>
          <x:t xml:space="preserve">USA</x:t>
        </x:is>
      </x:c>
      <x:c r="E150" t="inlineStr">
        <x:is>
          <x:t xml:space="preserve">United States</x:t>
        </x:is>
      </x:c>
      <x:c r="F150" t="n">
        <x:v>2</x:v>
      </x:c>
      <x:c r="G150" t="n">
        <x:v>80</x:v>
      </x:c>
      <x:c r="H150" t="inlineStr">
        <x:is>
          <x:t xml:space="preserve">9-7, 6-3, 6-4</x:t>
        </x:is>
      </x:c>
      <x:c r="I150" t="n">
        <x:v>9</x:v>
      </x:c>
      <x:c r="J150" t="n">
        <x:v>7</x:v>
      </x:c>
      <x:c r="K150" t="n">
        <x:v>6</x:v>
      </x:c>
      <x:c r="L150" t="n">
        <x:v>3</x:v>
      </x:c>
      <x:c r="M150" t="n">
        <x:v>6</x:v>
      </x:c>
      <x:c r="N150" t="n">
        <x:v>4</x:v>
      </x:c>
      <x:c r="S150" t="inlineStr">
        <x:is>
          <x:t xml:space="preserve">K. Nielsen</x:t>
        </x:is>
      </x:c>
      <x:c r="T150" t="inlineStr">
        <x:is>
          <x:t xml:space="preserve">DEN</x:t>
        </x:is>
      </x:c>
      <x:c r="U150" t="inlineStr">
        <x:is>
          <x:t xml:space="preserve">Denmark</x:t>
        </x:is>
      </x:c>
      <x:c r="V150" t="inlineStr">
        <x:is>
          <x:t xml:space="preserve">U</x:t>
        </x:is>
      </x:c>
      <x:c r="W150" t="n">
        <x:v>3</x:v>
      </x:c>
      <x:c r="X150" t="n">
        <x:v>35</x:v>
      </x:c>
      <x:c r="Y150" t="inlineStr">
        <x:is>
          <x:t xml:space="preserve">Completed</x:t>
        </x:is>
      </x:c>
      <x:c r="Z150" t="inlineStr">
        <x:is>
          <x:t xml:space="preserve">Recorded</x:t>
        </x:is>
      </x:c>
      <x:c r="AA150" t="n">
        <x:v>1</x:v>
      </x:c>
      <x:c r="AB150" t="inlineStr">
        <x:is>
          <x:t xml:space="preserve">No</x:t>
        </x:is>
      </x:c>
      <x:c r="AC150" t="inlineStr">
        <x:is>
          <x:t xml:space="preserve">1950s</x:t>
        </x:is>
      </x:c>
      <x:c r="AD150" t="inlineStr">
        <x:is>
          <x:t xml:space="preserve">Seeded</x:t>
        </x:is>
      </x:c>
      <x:c r="AE150" t="inlineStr">
        <x:is>
          <x:t xml:space="preserve">Unseeded/unknown</x:t>
        </x:is>
      </x:c>
    </x:row>
    <x:row r="151">
      <x:c r="A151" t="n">
        <x:v>1952</x:v>
      </x:c>
      <x:c r="B151" t="inlineStr">
        <x:is>
          <x:t xml:space="preserve">Women's</x:t>
        </x:is>
      </x:c>
      <x:c r="C151" t="inlineStr">
        <x:is>
          <x:t xml:space="preserve">M.C. Connolly</x:t>
        </x:is>
      </x:c>
      <x:c r="D151" t="inlineStr">
        <x:is>
          <x:t xml:space="preserve">USA</x:t>
        </x:is>
      </x:c>
      <x:c r="E151" t="inlineStr">
        <x:is>
          <x:t xml:space="preserve">United States</x:t>
        </x:is>
      </x:c>
      <x:c r="F151" t="n">
        <x:v>2</x:v>
      </x:c>
      <x:c r="G151" t="n">
        <x:v>65</x:v>
      </x:c>
      <x:c r="H151" t="inlineStr">
        <x:is>
          <x:t xml:space="preserve">7-5, 6-3,</x:t>
        </x:is>
      </x:c>
      <x:c r="I151" t="n">
        <x:v>7</x:v>
      </x:c>
      <x:c r="J151" t="n">
        <x:v>5</x:v>
      </x:c>
      <x:c r="K151" t="n">
        <x:v>6</x:v>
      </x:c>
      <x:c r="L151" t="n">
        <x:v>3</x:v>
      </x:c>
      <x:c r="S151" t="inlineStr">
        <x:is>
          <x:t xml:space="preserve">A.L. Brough</x:t>
        </x:is>
      </x:c>
      <x:c r="T151" t="inlineStr">
        <x:is>
          <x:t xml:space="preserve">USA</x:t>
        </x:is>
      </x:c>
      <x:c r="U151" t="inlineStr">
        <x:is>
          <x:t xml:space="preserve">United States</x:t>
        </x:is>
      </x:c>
      <x:c r="V151" t="n">
        <x:v>4</x:v>
      </x:c>
      <x:c r="W151" t="n">
        <x:v>2</x:v>
      </x:c>
      <x:c r="X151" t="n">
        <x:v>21</x:v>
      </x:c>
      <x:c r="Y151" t="inlineStr">
        <x:is>
          <x:t xml:space="preserve">Completed</x:t>
        </x:is>
      </x:c>
      <x:c r="Z151" t="inlineStr">
        <x:is>
          <x:t xml:space="preserve">Recorded</x:t>
        </x:is>
      </x:c>
      <x:c r="AA151" t="n">
        <x:v>3</x:v>
      </x:c>
      <x:c r="AB151" t="inlineStr">
        <x:is>
          <x:t xml:space="preserve">No</x:t>
        </x:is>
      </x:c>
      <x:c r="AC151" t="inlineStr">
        <x:is>
          <x:t xml:space="preserve">1950s</x:t>
        </x:is>
      </x:c>
      <x:c r="AD151" t="inlineStr">
        <x:is>
          <x:t xml:space="preserve">Seeded</x:t>
        </x:is>
      </x:c>
      <x:c r="AE151" t="inlineStr">
        <x:is>
          <x:t xml:space="preserve">Seeded</x:t>
        </x:is>
      </x:c>
    </x:row>
    <x:row r="152">
      <x:c r="A152" t="n">
        <x:v>1952</x:v>
      </x:c>
      <x:c r="B152" t="inlineStr">
        <x:is>
          <x:t xml:space="preserve">Men's</x:t>
        </x:is>
      </x:c>
      <x:c r="C152" t="inlineStr">
        <x:is>
          <x:t xml:space="preserve">F.A. Sedgman</x:t>
        </x:is>
      </x:c>
      <x:c r="D152" t="inlineStr">
        <x:is>
          <x:t xml:space="preserve">AUS</x:t>
        </x:is>
      </x:c>
      <x:c r="E152" t="inlineStr">
        <x:is>
          <x:t xml:space="preserve">Australia</x:t>
        </x:is>
      </x:c>
      <x:c r="F152" t="n">
        <x:v>1</x:v>
      </x:c>
      <x:c r="G152" t="n">
        <x:v>80</x:v>
      </x:c>
      <x:c r="H152" t="inlineStr">
        <x:is>
          <x:t xml:space="preserve">4-6, 6-2, 6-3, 6-2</x:t>
        </x:is>
      </x:c>
      <x:c r="I152" t="n">
        <x:v>4</x:v>
      </x:c>
      <x:c r="J152" t="n">
        <x:v>6</x:v>
      </x:c>
      <x:c r="K152" t="n">
        <x:v>6</x:v>
      </x:c>
      <x:c r="L152" t="n">
        <x:v>2</x:v>
      </x:c>
      <x:c r="M152" t="n">
        <x:v>6</x:v>
      </x:c>
      <x:c r="N152" t="n">
        <x:v>3</x:v>
      </x:c>
      <x:c r="O152" t="n">
        <x:v>6</x:v>
      </x:c>
      <x:c r="P152" t="n">
        <x:v>2</x:v>
      </x:c>
      <x:c r="S152" t="inlineStr">
        <x:is>
          <x:t xml:space="preserve">J. Drobny</x:t>
        </x:is>
      </x:c>
      <x:c r="T152" t="inlineStr">
        <x:is>
          <x:t xml:space="preserve">CZE</x:t>
        </x:is>
      </x:c>
      <x:c r="U152" t="inlineStr">
        <x:is>
          <x:t xml:space="preserve">Czechia</x:t>
        </x:is>
      </x:c>
      <x:c r="V152" t="n">
        <x:v>2</x:v>
      </x:c>
      <x:c r="W152" t="n">
        <x:v>4</x:v>
      </x:c>
      <x:c r="X152" t="n">
        <x:v>35</x:v>
      </x:c>
      <x:c r="Y152" t="inlineStr">
        <x:is>
          <x:t xml:space="preserve">Completed</x:t>
        </x:is>
      </x:c>
      <x:c r="Z152" t="inlineStr">
        <x:is>
          <x:t xml:space="preserve">Recorded</x:t>
        </x:is>
      </x:c>
      <x:c r="AA152" t="n">
        <x:v>1</x:v>
      </x:c>
      <x:c r="AB152" t="inlineStr">
        <x:is>
          <x:t xml:space="preserve">No</x:t>
        </x:is>
      </x:c>
      <x:c r="AC152" t="inlineStr">
        <x:is>
          <x:t xml:space="preserve">1950s</x:t>
        </x:is>
      </x:c>
      <x:c r="AD152" t="inlineStr">
        <x:is>
          <x:t xml:space="preserve">Seeded</x:t>
        </x:is>
      </x:c>
      <x:c r="AE152" t="inlineStr">
        <x:is>
          <x:t xml:space="preserve">Seeded</x:t>
        </x:is>
      </x:c>
    </x:row>
    <x:row r="153">
      <x:c r="A153" t="n">
        <x:v>1951</x:v>
      </x:c>
      <x:c r="B153" t="inlineStr">
        <x:is>
          <x:t xml:space="preserve">Women's</x:t>
        </x:is>
      </x:c>
      <x:c r="C153" t="inlineStr">
        <x:is>
          <x:t xml:space="preserve">D.J. Hart</x:t>
        </x:is>
      </x:c>
      <x:c r="D153" t="inlineStr">
        <x:is>
          <x:t xml:space="preserve">USA</x:t>
        </x:is>
      </x:c>
      <x:c r="E153" t="inlineStr">
        <x:is>
          <x:t xml:space="preserve">United States</x:t>
        </x:is>
      </x:c>
      <x:c r="F153" t="n">
        <x:v>3</x:v>
      </x:c>
      <x:c r="G153" t="n">
        <x:v>35</x:v>
      </x:c>
      <x:c r="H153" t="inlineStr">
        <x:is>
          <x:t xml:space="preserve">6-1, 6-0</x:t>
        </x:is>
      </x:c>
      <x:c r="I153" t="n">
        <x:v>6</x:v>
      </x:c>
      <x:c r="J153" t="n">
        <x:v>1</x:v>
      </x:c>
      <x:c r="K153" t="n">
        <x:v>6</x:v>
      </x:c>
      <x:c r="L153" t="n">
        <x:v>0</x:v>
      </x:c>
      <x:c r="S153" t="inlineStr">
        <x:is>
          <x:t xml:space="preserve">S.J. Fry</x:t>
        </x:is>
      </x:c>
      <x:c r="T153" t="inlineStr">
        <x:is>
          <x:t xml:space="preserve">USA</x:t>
        </x:is>
      </x:c>
      <x:c r="U153" t="inlineStr">
        <x:is>
          <x:t xml:space="preserve">United States</x:t>
        </x:is>
      </x:c>
      <x:c r="V153" t="n">
        <x:v>4</x:v>
      </x:c>
      <x:c r="W153" t="n">
        <x:v>2</x:v>
      </x:c>
      <x:c r="X153" t="n">
        <x:v>13</x:v>
      </x:c>
      <x:c r="Y153" t="inlineStr">
        <x:is>
          <x:t xml:space="preserve">Completed</x:t>
        </x:is>
      </x:c>
      <x:c r="Z153" t="inlineStr">
        <x:is>
          <x:t xml:space="preserve">Recorded</x:t>
        </x:is>
      </x:c>
      <x:c r="AA153" t="n">
        <x:v>1</x:v>
      </x:c>
      <x:c r="AB153" t="inlineStr">
        <x:is>
          <x:t xml:space="preserve">No</x:t>
        </x:is>
      </x:c>
      <x:c r="AC153" t="inlineStr">
        <x:is>
          <x:t xml:space="preserve">1950s</x:t>
        </x:is>
      </x:c>
      <x:c r="AD153" t="inlineStr">
        <x:is>
          <x:t xml:space="preserve">Seeded</x:t>
        </x:is>
      </x:c>
      <x:c r="AE153" t="inlineStr">
        <x:is>
          <x:t xml:space="preserve">Seeded</x:t>
        </x:is>
      </x:c>
    </x:row>
    <x:row r="154">
      <x:c r="A154" t="n">
        <x:v>1951</x:v>
      </x:c>
      <x:c r="B154" t="inlineStr">
        <x:is>
          <x:t xml:space="preserve">Men's</x:t>
        </x:is>
      </x:c>
      <x:c r="C154" t="inlineStr">
        <x:is>
          <x:t xml:space="preserve">R. Savitt</x:t>
        </x:is>
      </x:c>
      <x:c r="D154" t="inlineStr">
        <x:is>
          <x:t xml:space="preserve">USA</x:t>
        </x:is>
      </x:c>
      <x:c r="E154" t="inlineStr">
        <x:is>
          <x:t xml:space="preserve">United States</x:t>
        </x:is>
      </x:c>
      <x:c r="F154" t="n">
        <x:v>6</x:v>
      </x:c>
      <x:c r="G154" t="n">
        <x:v>62</x:v>
      </x:c>
      <x:c r="H154" t="inlineStr">
        <x:is>
          <x:t xml:space="preserve">6-4, 6-4, 6-4</x:t>
        </x:is>
      </x:c>
      <x:c r="I154" t="n">
        <x:v>6</x:v>
      </x:c>
      <x:c r="J154" t="n">
        <x:v>4</x:v>
      </x:c>
      <x:c r="K154" t="n">
        <x:v>6</x:v>
      </x:c>
      <x:c r="L154" t="n">
        <x:v>4</x:v>
      </x:c>
      <x:c r="M154" t="n">
        <x:v>6</x:v>
      </x:c>
      <x:c r="N154" t="n">
        <x:v>4</x:v>
      </x:c>
      <x:c r="S154" t="inlineStr">
        <x:is>
          <x:t xml:space="preserve">K.B. McGregor</x:t>
        </x:is>
      </x:c>
      <x:c r="T154" t="inlineStr">
        <x:is>
          <x:t xml:space="preserve">AUS</x:t>
        </x:is>
      </x:c>
      <x:c r="U154" t="inlineStr">
        <x:is>
          <x:t xml:space="preserve">Australia</x:t>
        </x:is>
      </x:c>
      <x:c r="V154" t="n">
        <x:v>7</x:v>
      </x:c>
      <x:c r="W154" t="n">
        <x:v>3</x:v>
      </x:c>
      <x:c r="X154" t="n">
        <x:v>30</x:v>
      </x:c>
      <x:c r="Y154" t="inlineStr">
        <x:is>
          <x:t xml:space="preserve">Completed</x:t>
        </x:is>
      </x:c>
      <x:c r="Z154" t="inlineStr">
        <x:is>
          <x:t xml:space="preserve">Recorded</x:t>
        </x:is>
      </x:c>
      <x:c r="AA154" t="n">
        <x:v>1</x:v>
      </x:c>
      <x:c r="AB154" t="inlineStr">
        <x:is>
          <x:t xml:space="preserve">No</x:t>
        </x:is>
      </x:c>
      <x:c r="AC154" t="inlineStr">
        <x:is>
          <x:t xml:space="preserve">1950s</x:t>
        </x:is>
      </x:c>
      <x:c r="AD154" t="inlineStr">
        <x:is>
          <x:t xml:space="preserve">Seeded</x:t>
        </x:is>
      </x:c>
      <x:c r="AE154" t="inlineStr">
        <x:is>
          <x:t xml:space="preserve">Seeded</x:t>
        </x:is>
      </x:c>
    </x:row>
    <x:row r="155">
      <x:c r="A155" t="n">
        <x:v>1950</x:v>
      </x:c>
      <x:c r="B155" t="inlineStr">
        <x:is>
          <x:t xml:space="preserve">Women's</x:t>
        </x:is>
      </x:c>
      <x:c r="C155" t="inlineStr">
        <x:is>
          <x:t xml:space="preserve">A.L. Brough</x:t>
        </x:is>
      </x:c>
      <x:c r="D155" t="inlineStr">
        <x:is>
          <x:t xml:space="preserve">USA</x:t>
        </x:is>
      </x:c>
      <x:c r="E155" t="inlineStr">
        <x:is>
          <x:t xml:space="preserve">United States</x:t>
        </x:is>
      </x:c>
      <x:c r="F155" t="n">
        <x:v>1</x:v>
      </x:c>
      <x:c r="G155" t="n">
        <x:v>62</x:v>
      </x:c>
      <x:c r="H155" t="inlineStr">
        <x:is>
          <x:t xml:space="preserve">6-1, 3-6, 6-1,</x:t>
        </x:is>
      </x:c>
      <x:c r="I155" t="n">
        <x:v>6</x:v>
      </x:c>
      <x:c r="J155" t="n">
        <x:v>1</x:v>
      </x:c>
      <x:c r="K155" t="n">
        <x:v>3</x:v>
      </x:c>
      <x:c r="L155" t="n">
        <x:v>6</x:v>
      </x:c>
      <x:c r="M155" t="n">
        <x:v>6</x:v>
      </x:c>
      <x:c r="N155" t="n">
        <x:v>1</x:v>
      </x:c>
      <x:c r="S155" t="inlineStr">
        <x:is>
          <x:t xml:space="preserve">M. duPont</x:t>
        </x:is>
      </x:c>
      <x:c r="T155" t="inlineStr">
        <x:is>
          <x:t xml:space="preserve">USA</x:t>
        </x:is>
      </x:c>
      <x:c r="U155" t="inlineStr">
        <x:is>
          <x:t xml:space="preserve">United States</x:t>
        </x:is>
      </x:c>
      <x:c r="V155" t="n">
        <x:v>2</x:v>
      </x:c>
      <x:c r="W155" t="n">
        <x:v>3</x:v>
      </x:c>
      <x:c r="X155" t="n">
        <x:v>23</x:v>
      </x:c>
      <x:c r="Y155" t="inlineStr">
        <x:is>
          <x:t xml:space="preserve">Completed</x:t>
        </x:is>
      </x:c>
      <x:c r="Z155" t="inlineStr">
        <x:is>
          <x:t xml:space="preserve">Recorded</x:t>
        </x:is>
      </x:c>
      <x:c r="AA155" t="n">
        <x:v>4</x:v>
      </x:c>
      <x:c r="AB155" t="inlineStr">
        <x:is>
          <x:t xml:space="preserve">No</x:t>
        </x:is>
      </x:c>
      <x:c r="AC155" t="inlineStr">
        <x:is>
          <x:t xml:space="preserve">1950s</x:t>
        </x:is>
      </x:c>
      <x:c r="AD155" t="inlineStr">
        <x:is>
          <x:t xml:space="preserve">Seeded</x:t>
        </x:is>
      </x:c>
      <x:c r="AE155" t="inlineStr">
        <x:is>
          <x:t xml:space="preserve">Seeded</x:t>
        </x:is>
      </x:c>
    </x:row>
    <x:row r="156">
      <x:c r="A156" t="n">
        <x:v>1950</x:v>
      </x:c>
      <x:c r="B156" t="inlineStr">
        <x:is>
          <x:t xml:space="preserve">Men's</x:t>
        </x:is>
      </x:c>
      <x:c r="C156" t="inlineStr">
        <x:is>
          <x:t xml:space="preserve">J.E. Patty</x:t>
        </x:is>
      </x:c>
      <x:c r="D156" t="inlineStr">
        <x:is>
          <x:t xml:space="preserve">USA</x:t>
        </x:is>
      </x:c>
      <x:c r="E156" t="inlineStr">
        <x:is>
          <x:t xml:space="preserve">United States</x:t>
        </x:is>
      </x:c>
      <x:c r="F156" t="n">
        <x:v>5</x:v>
      </x:c>
      <x:c r="G156" t="n">
        <x:v>120</x:v>
      </x:c>
      <x:c r="H156" t="inlineStr">
        <x:is>
          <x:t xml:space="preserve">6-1, 8-10, 6-2, 6-3</x:t>
        </x:is>
      </x:c>
      <x:c r="I156" t="n">
        <x:v>6</x:v>
      </x:c>
      <x:c r="J156" t="n">
        <x:v>1</x:v>
      </x:c>
      <x:c r="K156" t="n">
        <x:v>8</x:v>
      </x:c>
      <x:c r="L156" t="n">
        <x:v>10</x:v>
      </x:c>
      <x:c r="M156" t="n">
        <x:v>6</x:v>
      </x:c>
      <x:c r="N156" t="n">
        <x:v>2</x:v>
      </x:c>
      <x:c r="O156" t="n">
        <x:v>6</x:v>
      </x:c>
      <x:c r="P156" t="n">
        <x:v>3</x:v>
      </x:c>
      <x:c r="S156" t="inlineStr">
        <x:is>
          <x:t xml:space="preserve">F.A. Sedgman</x:t>
        </x:is>
      </x:c>
      <x:c r="T156" t="inlineStr">
        <x:is>
          <x:t xml:space="preserve">AUS</x:t>
        </x:is>
      </x:c>
      <x:c r="U156" t="inlineStr">
        <x:is>
          <x:t xml:space="preserve">Australia</x:t>
        </x:is>
      </x:c>
      <x:c r="V156" t="n">
        <x:v>1</x:v>
      </x:c>
      <x:c r="W156" t="n">
        <x:v>4</x:v>
      </x:c>
      <x:c r="X156" t="n">
        <x:v>42</x:v>
      </x:c>
      <x:c r="Y156" t="inlineStr">
        <x:is>
          <x:t xml:space="preserve">Completed</x:t>
        </x:is>
      </x:c>
      <x:c r="Z156" t="inlineStr">
        <x:is>
          <x:t xml:space="preserve">Recorded</x:t>
        </x:is>
      </x:c>
      <x:c r="AA156" t="n">
        <x:v>1</x:v>
      </x:c>
      <x:c r="AB156" t="inlineStr">
        <x:is>
          <x:t xml:space="preserve">No</x:t>
        </x:is>
      </x:c>
      <x:c r="AC156" t="inlineStr">
        <x:is>
          <x:t xml:space="preserve">1950s</x:t>
        </x:is>
      </x:c>
      <x:c r="AD156" t="inlineStr">
        <x:is>
          <x:t xml:space="preserve">Seeded</x:t>
        </x:is>
      </x:c>
      <x:c r="AE156" t="inlineStr">
        <x:is>
          <x:t xml:space="preserve">Seeded</x:t>
        </x:is>
      </x:c>
    </x:row>
    <x:row r="157">
      <x:c r="A157" t="n">
        <x:v>1949</x:v>
      </x:c>
      <x:c r="B157" t="inlineStr">
        <x:is>
          <x:t xml:space="preserve">Women's</x:t>
        </x:is>
      </x:c>
      <x:c r="C157" t="inlineStr">
        <x:is>
          <x:t xml:space="preserve">A.L. Brough</x:t>
        </x:is>
      </x:c>
      <x:c r="D157" t="inlineStr">
        <x:is>
          <x:t xml:space="preserve">USA</x:t>
        </x:is>
      </x:c>
      <x:c r="E157" t="inlineStr">
        <x:is>
          <x:t xml:space="preserve">United States</x:t>
        </x:is>
      </x:c>
      <x:c r="F157" t="n">
        <x:v>1</x:v>
      </x:c>
      <x:c r="G157" t="n">
        <x:v>120</x:v>
      </x:c>
      <x:c r="H157" t="inlineStr">
        <x:is>
          <x:t xml:space="preserve">10-8, 1-6, 10-8,</x:t>
        </x:is>
      </x:c>
      <x:c r="I157" t="n">
        <x:v>10</x:v>
      </x:c>
      <x:c r="J157" t="n">
        <x:v>8</x:v>
      </x:c>
      <x:c r="K157" t="n">
        <x:v>1</x:v>
      </x:c>
      <x:c r="L157" t="n">
        <x:v>6</x:v>
      </x:c>
      <x:c r="M157" t="n">
        <x:v>10</x:v>
      </x:c>
      <x:c r="N157" t="n">
        <x:v>8</x:v>
      </x:c>
      <x:c r="S157" t="inlineStr">
        <x:is>
          <x:t xml:space="preserve">M. duPont</x:t>
        </x:is>
      </x:c>
      <x:c r="T157" t="inlineStr">
        <x:is>
          <x:t xml:space="preserve">USA</x:t>
        </x:is>
      </x:c>
      <x:c r="U157" t="inlineStr">
        <x:is>
          <x:t xml:space="preserve">United States</x:t>
        </x:is>
      </x:c>
      <x:c r="V157" t="n">
        <x:v>2</x:v>
      </x:c>
      <x:c r="W157" t="n">
        <x:v>3</x:v>
      </x:c>
      <x:c r="X157" t="n">
        <x:v>43</x:v>
      </x:c>
      <x:c r="Y157" t="inlineStr">
        <x:is>
          <x:t xml:space="preserve">Completed</x:t>
        </x:is>
      </x:c>
      <x:c r="Z157" t="inlineStr">
        <x:is>
          <x:t xml:space="preserve">Recorded</x:t>
        </x:is>
      </x:c>
      <x:c r="AA157" t="n">
        <x:v>4</x:v>
      </x:c>
      <x:c r="AB157" t="inlineStr">
        <x:is>
          <x:t xml:space="preserve">No</x:t>
        </x:is>
      </x:c>
      <x:c r="AC157" t="inlineStr">
        <x:is>
          <x:t xml:space="preserve">1940s</x:t>
        </x:is>
      </x:c>
      <x:c r="AD157" t="inlineStr">
        <x:is>
          <x:t xml:space="preserve">Seeded</x:t>
        </x:is>
      </x:c>
      <x:c r="AE157" t="inlineStr">
        <x:is>
          <x:t xml:space="preserve">Seeded</x:t>
        </x:is>
      </x:c>
    </x:row>
    <x:row r="158">
      <x:c r="A158" t="n">
        <x:v>1949</x:v>
      </x:c>
      <x:c r="B158" t="inlineStr">
        <x:is>
          <x:t xml:space="preserve">Men's</x:t>
        </x:is>
      </x:c>
      <x:c r="C158" t="inlineStr">
        <x:is>
          <x:t xml:space="preserve">F.R. Schroeder</x:t>
        </x:is>
      </x:c>
      <x:c r="D158" t="inlineStr">
        <x:is>
          <x:t xml:space="preserve">USA</x:t>
        </x:is>
      </x:c>
      <x:c r="E158" t="inlineStr">
        <x:is>
          <x:t xml:space="preserve">United States</x:t>
        </x:is>
      </x:c>
      <x:c r="F158" t="n">
        <x:v>1</x:v>
      </x:c>
      <x:c r="G158" t="n">
        <x:v>100</x:v>
      </x:c>
      <x:c r="H158" t="inlineStr">
        <x:is>
          <x:t xml:space="preserve">3-6, 6-0, 6-3, 4-6, 6-4</x:t>
        </x:is>
      </x:c>
      <x:c r="I158" t="n">
        <x:v>3</x:v>
      </x:c>
      <x:c r="J158" t="n">
        <x:v>6</x:v>
      </x:c>
      <x:c r="K158" t="n">
        <x:v>6</x:v>
      </x:c>
      <x:c r="L158" t="n">
        <x:v>0</x:v>
      </x:c>
      <x:c r="M158" t="n">
        <x:v>6</x:v>
      </x:c>
      <x:c r="N158" t="n">
        <x:v>3</x:v>
      </x:c>
      <x:c r="O158" t="n">
        <x:v>4</x:v>
      </x:c>
      <x:c r="P158" t="n">
        <x:v>6</x:v>
      </x:c>
      <x:c r="Q158" t="n">
        <x:v>6</x:v>
      </x:c>
      <x:c r="R158" t="n">
        <x:v>4</x:v>
      </x:c>
      <x:c r="S158" t="inlineStr">
        <x:is>
          <x:t xml:space="preserve">J. Drobny</x:t>
        </x:is>
      </x:c>
      <x:c r="T158" t="inlineStr">
        <x:is>
          <x:t xml:space="preserve">CZE</x:t>
        </x:is>
      </x:c>
      <x:c r="U158" t="inlineStr">
        <x:is>
          <x:t xml:space="preserve">Czechia</x:t>
        </x:is>
      </x:c>
      <x:c r="V158" t="n">
        <x:v>6</x:v>
      </x:c>
      <x:c r="W158" t="n">
        <x:v>5</x:v>
      </x:c>
      <x:c r="X158" t="n">
        <x:v>44</x:v>
      </x:c>
      <x:c r="Y158" t="inlineStr">
        <x:is>
          <x:t xml:space="preserve">Completed</x:t>
        </x:is>
      </x:c>
      <x:c r="Z158" t="inlineStr">
        <x:is>
          <x:t xml:space="preserve">Recorded</x:t>
        </x:is>
      </x:c>
      <x:c r="AA158" t="n">
        <x:v>1</x:v>
      </x:c>
      <x:c r="AB158" t="inlineStr">
        <x:is>
          <x:t xml:space="preserve">No</x:t>
        </x:is>
      </x:c>
      <x:c r="AC158" t="inlineStr">
        <x:is>
          <x:t xml:space="preserve">1940s</x:t>
        </x:is>
      </x:c>
      <x:c r="AD158" t="inlineStr">
        <x:is>
          <x:t xml:space="preserve">Seeded</x:t>
        </x:is>
      </x:c>
      <x:c r="AE158" t="inlineStr">
        <x:is>
          <x:t xml:space="preserve">Seeded</x:t>
        </x:is>
      </x:c>
    </x:row>
    <x:row r="159">
      <x:c r="A159" t="n">
        <x:v>1948</x:v>
      </x:c>
      <x:c r="B159" t="inlineStr">
        <x:is>
          <x:t xml:space="preserve">Women's</x:t>
        </x:is>
      </x:c>
      <x:c r="C159" t="inlineStr">
        <x:is>
          <x:t xml:space="preserve">A.L. Brough</x:t>
        </x:is>
      </x:c>
      <x:c r="D159" t="inlineStr">
        <x:is>
          <x:t xml:space="preserve">USA</x:t>
        </x:is>
      </x:c>
      <x:c r="E159" t="inlineStr">
        <x:is>
          <x:t xml:space="preserve">United States</x:t>
        </x:is>
      </x:c>
      <x:c r="F159" t="n">
        <x:v>2</x:v>
      </x:c>
      <x:c r="G159" t="n">
        <x:v>76</x:v>
      </x:c>
      <x:c r="H159" t="inlineStr">
        <x:is>
          <x:t xml:space="preserve">6-3, 8-6,</x:t>
        </x:is>
      </x:c>
      <x:c r="I159" t="n">
        <x:v>6</x:v>
      </x:c>
      <x:c r="J159" t="n">
        <x:v>3</x:v>
      </x:c>
      <x:c r="K159" t="n">
        <x:v>8</x:v>
      </x:c>
      <x:c r="L159" t="n">
        <x:v>6</x:v>
      </x:c>
      <x:c r="S159" t="inlineStr">
        <x:is>
          <x:t xml:space="preserve">D.J. Hart</x:t>
        </x:is>
      </x:c>
      <x:c r="T159" t="inlineStr">
        <x:is>
          <x:t xml:space="preserve">USA</x:t>
        </x:is>
      </x:c>
      <x:c r="U159" t="inlineStr">
        <x:is>
          <x:t xml:space="preserve">United States</x:t>
        </x:is>
      </x:c>
      <x:c r="V159" t="n">
        <x:v>4</x:v>
      </x:c>
      <x:c r="W159" t="n">
        <x:v>2</x:v>
      </x:c>
      <x:c r="X159" t="n">
        <x:v>23</x:v>
      </x:c>
      <x:c r="Y159" t="inlineStr">
        <x:is>
          <x:t xml:space="preserve">Completed</x:t>
        </x:is>
      </x:c>
      <x:c r="Z159" t="inlineStr">
        <x:is>
          <x:t xml:space="preserve">Recorded</x:t>
        </x:is>
      </x:c>
      <x:c r="AA159" t="n">
        <x:v>4</x:v>
      </x:c>
      <x:c r="AB159" t="inlineStr">
        <x:is>
          <x:t xml:space="preserve">No</x:t>
        </x:is>
      </x:c>
      <x:c r="AC159" t="inlineStr">
        <x:is>
          <x:t xml:space="preserve">1940s</x:t>
        </x:is>
      </x:c>
      <x:c r="AD159" t="inlineStr">
        <x:is>
          <x:t xml:space="preserve">Seeded</x:t>
        </x:is>
      </x:c>
      <x:c r="AE159" t="inlineStr">
        <x:is>
          <x:t xml:space="preserve">Seeded</x:t>
        </x:is>
      </x:c>
    </x:row>
    <x:row r="160">
      <x:c r="A160" t="n">
        <x:v>1948</x:v>
      </x:c>
      <x:c r="B160" t="inlineStr">
        <x:is>
          <x:t xml:space="preserve">Men's</x:t>
        </x:is>
      </x:c>
      <x:c r="C160" t="inlineStr">
        <x:is>
          <x:t xml:space="preserve">R. Falkenburg</x:t>
        </x:is>
      </x:c>
      <x:c r="D160" t="inlineStr">
        <x:is>
          <x:t xml:space="preserve">USA</x:t>
        </x:is>
      </x:c>
      <x:c r="E160" t="inlineStr">
        <x:is>
          <x:t xml:space="preserve">United States</x:t>
        </x:is>
      </x:c>
      <x:c r="F160" t="n">
        <x:v>7</x:v>
      </x:c>
      <x:c r="G160" t="n">
        <x:v>125</x:v>
      </x:c>
      <x:c r="H160" t="inlineStr">
        <x:is>
          <x:t xml:space="preserve">7-5, 0-6, 6-2, 3-6, 7-5</x:t>
        </x:is>
      </x:c>
      <x:c r="I160" t="n">
        <x:v>7</x:v>
      </x:c>
      <x:c r="J160" t="n">
        <x:v>5</x:v>
      </x:c>
      <x:c r="K160" t="n">
        <x:v>0</x:v>
      </x:c>
      <x:c r="L160" t="n">
        <x:v>6</x:v>
      </x:c>
      <x:c r="M160" t="n">
        <x:v>6</x:v>
      </x:c>
      <x:c r="N160" t="n">
        <x:v>2</x:v>
      </x:c>
      <x:c r="O160" t="n">
        <x:v>3</x:v>
      </x:c>
      <x:c r="P160" t="n">
        <x:v>6</x:v>
      </x:c>
      <x:c r="Q160" t="n">
        <x:v>7</x:v>
      </x:c>
      <x:c r="R160" t="n">
        <x:v>5</x:v>
      </x:c>
      <x:c r="S160" t="inlineStr">
        <x:is>
          <x:t xml:space="preserve">J.E. Bromwich</x:t>
        </x:is>
      </x:c>
      <x:c r="T160" t="inlineStr">
        <x:is>
          <x:t xml:space="preserve">AUS</x:t>
        </x:is>
      </x:c>
      <x:c r="U160" t="inlineStr">
        <x:is>
          <x:t xml:space="preserve">Australia</x:t>
        </x:is>
      </x:c>
      <x:c r="V160" t="n">
        <x:v>2</x:v>
      </x:c>
      <x:c r="W160" t="n">
        <x:v>5</x:v>
      </x:c>
      <x:c r="X160" t="n">
        <x:v>47</x:v>
      </x:c>
      <x:c r="Y160" t="inlineStr">
        <x:is>
          <x:t xml:space="preserve">Completed</x:t>
        </x:is>
      </x:c>
      <x:c r="Z160" t="inlineStr">
        <x:is>
          <x:t xml:space="preserve">Recorded</x:t>
        </x:is>
      </x:c>
      <x:c r="AA160" t="n">
        <x:v>1</x:v>
      </x:c>
      <x:c r="AB160" t="inlineStr">
        <x:is>
          <x:t xml:space="preserve">No</x:t>
        </x:is>
      </x:c>
      <x:c r="AC160" t="inlineStr">
        <x:is>
          <x:t xml:space="preserve">1940s</x:t>
        </x:is>
      </x:c>
      <x:c r="AD160" t="inlineStr">
        <x:is>
          <x:t xml:space="preserve">Seeded</x:t>
        </x:is>
      </x:c>
      <x:c r="AE160" t="inlineStr">
        <x:is>
          <x:t xml:space="preserve">Seeded</x:t>
        </x:is>
      </x:c>
    </x:row>
    <x:row r="161">
      <x:c r="A161" t="n">
        <x:v>1947</x:v>
      </x:c>
      <x:c r="B161" t="inlineStr">
        <x:is>
          <x:t xml:space="preserve">Women's</x:t>
        </x:is>
      </x:c>
      <x:c r="C161" t="inlineStr">
        <x:is>
          <x:t xml:space="preserve">M.E. Osborne</x:t>
        </x:is>
      </x:c>
      <x:c r="D161" t="inlineStr">
        <x:is>
          <x:t xml:space="preserve">USA</x:t>
        </x:is>
      </x:c>
      <x:c r="E161" t="inlineStr">
        <x:is>
          <x:t xml:space="preserve">United States</x:t>
        </x:is>
      </x:c>
      <x:c r="F161" t="n">
        <x:v>1</x:v>
      </x:c>
      <x:c r="G161" s="35" t="n"/>
      <x:c r="H161" t="inlineStr">
        <x:is>
          <x:t xml:space="preserve">6-2, 6-4,</x:t>
        </x:is>
      </x:c>
      <x:c r="I161" t="n">
        <x:v>6</x:v>
      </x:c>
      <x:c r="J161" t="n">
        <x:v>2</x:v>
      </x:c>
      <x:c r="K161" t="n">
        <x:v>6</x:v>
      </x:c>
      <x:c r="L161" t="n">
        <x:v>4</x:v>
      </x:c>
      <x:c r="S161" t="inlineStr">
        <x:is>
          <x:t xml:space="preserve">D.J. Hart</x:t>
        </x:is>
      </x:c>
      <x:c r="T161" t="inlineStr">
        <x:is>
          <x:t xml:space="preserve">USA</x:t>
        </x:is>
      </x:c>
      <x:c r="U161" t="inlineStr">
        <x:is>
          <x:t xml:space="preserve">United States</x:t>
        </x:is>
      </x:c>
      <x:c r="V161" t="n">
        <x:v>3</x:v>
      </x:c>
      <x:c r="W161" t="n">
        <x:v>2</x:v>
      </x:c>
      <x:c r="X161" t="n">
        <x:v>18</x:v>
      </x:c>
      <x:c r="Y161" t="inlineStr">
        <x:is>
          <x:t xml:space="preserve">Completed</x:t>
        </x:is>
      </x:c>
      <x:c r="Z161" t="inlineStr">
        <x:is>
          <x:t xml:space="preserve">Unavailable (not imputed)</x:t>
        </x:is>
      </x:c>
      <x:c r="AA161" t="n">
        <x:v>1</x:v>
      </x:c>
      <x:c r="AB161" t="inlineStr">
        <x:is>
          <x:t xml:space="preserve">No</x:t>
        </x:is>
      </x:c>
      <x:c r="AC161" t="inlineStr">
        <x:is>
          <x:t xml:space="preserve">1940s</x:t>
        </x:is>
      </x:c>
      <x:c r="AD161" t="inlineStr">
        <x:is>
          <x:t xml:space="preserve">Seeded</x:t>
        </x:is>
      </x:c>
      <x:c r="AE161" t="inlineStr">
        <x:is>
          <x:t xml:space="preserve">Seeded</x:t>
        </x:is>
      </x:c>
    </x:row>
    <x:row r="162">
      <x:c r="A162" t="n">
        <x:v>1947</x:v>
      </x:c>
      <x:c r="B162" t="inlineStr">
        <x:is>
          <x:t xml:space="preserve">Men's</x:t>
        </x:is>
      </x:c>
      <x:c r="C162" t="inlineStr">
        <x:is>
          <x:t xml:space="preserve">J.A. Kramer</x:t>
        </x:is>
      </x:c>
      <x:c r="D162" t="inlineStr">
        <x:is>
          <x:t xml:space="preserve">USA</x:t>
        </x:is>
      </x:c>
      <x:c r="E162" t="inlineStr">
        <x:is>
          <x:t xml:space="preserve">United States</x:t>
        </x:is>
      </x:c>
      <x:c r="F162" t="n">
        <x:v>1</x:v>
      </x:c>
      <x:c r="G162" t="n">
        <x:v>45</x:v>
      </x:c>
      <x:c r="H162" t="inlineStr">
        <x:is>
          <x:t xml:space="preserve">6-1, 6-3, 6-2</x:t>
        </x:is>
      </x:c>
      <x:c r="I162" t="n">
        <x:v>6</x:v>
      </x:c>
      <x:c r="J162" t="n">
        <x:v>1</x:v>
      </x:c>
      <x:c r="K162" t="n">
        <x:v>6</x:v>
      </x:c>
      <x:c r="L162" t="n">
        <x:v>3</x:v>
      </x:c>
      <x:c r="M162" t="n">
        <x:v>6</x:v>
      </x:c>
      <x:c r="N162" t="n">
        <x:v>2</x:v>
      </x:c>
      <x:c r="S162" t="inlineStr">
        <x:is>
          <x:t xml:space="preserve">T.P. Brown</x:t>
        </x:is>
      </x:c>
      <x:c r="T162" t="inlineStr">
        <x:is>
          <x:t xml:space="preserve">USA</x:t>
        </x:is>
      </x:c>
      <x:c r="U162" t="inlineStr">
        <x:is>
          <x:t xml:space="preserve">United States</x:t>
        </x:is>
      </x:c>
      <x:c r="V162" t="n">
        <x:v>3</x:v>
      </x:c>
      <x:c r="W162" t="n">
        <x:v>3</x:v>
      </x:c>
      <x:c r="X162" t="n">
        <x:v>24</x:v>
      </x:c>
      <x:c r="Y162" t="inlineStr">
        <x:is>
          <x:t xml:space="preserve">Completed</x:t>
        </x:is>
      </x:c>
      <x:c r="Z162" t="inlineStr">
        <x:is>
          <x:t xml:space="preserve">Recorded</x:t>
        </x:is>
      </x:c>
      <x:c r="AA162" t="n">
        <x:v>1</x:v>
      </x:c>
      <x:c r="AB162" t="inlineStr">
        <x:is>
          <x:t xml:space="preserve">No</x:t>
        </x:is>
      </x:c>
      <x:c r="AC162" t="inlineStr">
        <x:is>
          <x:t xml:space="preserve">1940s</x:t>
        </x:is>
      </x:c>
      <x:c r="AD162" t="inlineStr">
        <x:is>
          <x:t xml:space="preserve">Seeded</x:t>
        </x:is>
      </x:c>
      <x:c r="AE162" t="inlineStr">
        <x:is>
          <x:t xml:space="preserve">Seeded</x:t>
        </x:is>
      </x:c>
    </x:row>
    <x:row r="163">
      <x:c r="A163" t="n">
        <x:v>1946</x:v>
      </x:c>
      <x:c r="B163" t="inlineStr">
        <x:is>
          <x:t xml:space="preserve">Women's</x:t>
        </x:is>
      </x:c>
      <x:c r="C163" t="inlineStr">
        <x:is>
          <x:t xml:space="preserve">P.M. Betz</x:t>
        </x:is>
      </x:c>
      <x:c r="D163" t="inlineStr">
        <x:is>
          <x:t xml:space="preserve">USA</x:t>
        </x:is>
      </x:c>
      <x:c r="E163" t="inlineStr">
        <x:is>
          <x:t xml:space="preserve">United States</x:t>
        </x:is>
      </x:c>
      <x:c r="F163" t="n">
        <x:v>1</x:v>
      </x:c>
      <x:c r="G163" s="35" t="n"/>
      <x:c r="H163" t="inlineStr">
        <x:is>
          <x:t xml:space="preserve">6-2, 6-4,</x:t>
        </x:is>
      </x:c>
      <x:c r="I163" t="n">
        <x:v>6</x:v>
      </x:c>
      <x:c r="J163" t="n">
        <x:v>2</x:v>
      </x:c>
      <x:c r="K163" t="n">
        <x:v>6</x:v>
      </x:c>
      <x:c r="L163" t="n">
        <x:v>4</x:v>
      </x:c>
      <x:c r="S163" t="inlineStr">
        <x:is>
          <x:t xml:space="preserve">A.L. Brough</x:t>
        </x:is>
      </x:c>
      <x:c r="T163" t="inlineStr">
        <x:is>
          <x:t xml:space="preserve">USA</x:t>
        </x:is>
      </x:c>
      <x:c r="U163" t="inlineStr">
        <x:is>
          <x:t xml:space="preserve">United States</x:t>
        </x:is>
      </x:c>
      <x:c r="V163" t="n">
        <x:v>3</x:v>
      </x:c>
      <x:c r="W163" t="n">
        <x:v>2</x:v>
      </x:c>
      <x:c r="X163" t="n">
        <x:v>18</x:v>
      </x:c>
      <x:c r="Y163" t="inlineStr">
        <x:is>
          <x:t xml:space="preserve">Completed</x:t>
        </x:is>
      </x:c>
      <x:c r="Z163" t="inlineStr">
        <x:is>
          <x:t xml:space="preserve">Unavailable (not imputed)</x:t>
        </x:is>
      </x:c>
      <x:c r="AA163" t="n">
        <x:v>1</x:v>
      </x:c>
      <x:c r="AB163" t="inlineStr">
        <x:is>
          <x:t xml:space="preserve">No</x:t>
        </x:is>
      </x:c>
      <x:c r="AC163" t="inlineStr">
        <x:is>
          <x:t xml:space="preserve">1940s</x:t>
        </x:is>
      </x:c>
      <x:c r="AD163" t="inlineStr">
        <x:is>
          <x:t xml:space="preserve">Seeded</x:t>
        </x:is>
      </x:c>
      <x:c r="AE163" t="inlineStr">
        <x:is>
          <x:t xml:space="preserve">Seeded</x:t>
        </x:is>
      </x:c>
    </x:row>
    <x:row r="164">
      <x:c r="A164" t="n">
        <x:v>1946</x:v>
      </x:c>
      <x:c r="B164" t="inlineStr">
        <x:is>
          <x:t xml:space="preserve">Men's</x:t>
        </x:is>
      </x:c>
      <x:c r="C164" t="inlineStr">
        <x:is>
          <x:t xml:space="preserve">Y.F.M. Petra</x:t>
        </x:is>
      </x:c>
      <x:c r="D164" t="inlineStr">
        <x:is>
          <x:t xml:space="preserve">FRA</x:t>
        </x:is>
      </x:c>
      <x:c r="E164" t="inlineStr">
        <x:is>
          <x:t xml:space="preserve">France</x:t>
        </x:is>
      </x:c>
      <x:c r="F164" t="n">
        <x:v>5</x:v>
      </x:c>
      <x:c r="G164" s="35" t="n"/>
      <x:c r="H164" t="inlineStr">
        <x:is>
          <x:t xml:space="preserve">6-2, 6-4, 7-9, 5-7, 6-4</x:t>
        </x:is>
      </x:c>
      <x:c r="I164" t="n">
        <x:v>6</x:v>
      </x:c>
      <x:c r="J164" t="n">
        <x:v>2</x:v>
      </x:c>
      <x:c r="K164" t="n">
        <x:v>6</x:v>
      </x:c>
      <x:c r="L164" t="n">
        <x:v>4</x:v>
      </x:c>
      <x:c r="M164" t="n">
        <x:v>7</x:v>
      </x:c>
      <x:c r="N164" t="n">
        <x:v>9</x:v>
      </x:c>
      <x:c r="O164" t="n">
        <x:v>5</x:v>
      </x:c>
      <x:c r="P164" t="n">
        <x:v>7</x:v>
      </x:c>
      <x:c r="Q164" t="n">
        <x:v>6</x:v>
      </x:c>
      <x:c r="R164" t="n">
        <x:v>4</x:v>
      </x:c>
      <x:c r="S164" t="inlineStr">
        <x:is>
          <x:t xml:space="preserve">G.E. Brown</x:t>
        </x:is>
      </x:c>
      <x:c r="T164" t="inlineStr">
        <x:is>
          <x:t xml:space="preserve">AUS</x:t>
        </x:is>
      </x:c>
      <x:c r="U164" t="inlineStr">
        <x:is>
          <x:t xml:space="preserve">Australia</x:t>
        </x:is>
      </x:c>
      <x:c r="V164" t="n">
        <x:v>3</x:v>
      </x:c>
      <x:c r="W164" t="n">
        <x:v>5</x:v>
      </x:c>
      <x:c r="X164" t="n">
        <x:v>56</x:v>
      </x:c>
      <x:c r="Y164" t="inlineStr">
        <x:is>
          <x:t xml:space="preserve">Completed</x:t>
        </x:is>
      </x:c>
      <x:c r="Z164" t="inlineStr">
        <x:is>
          <x:t xml:space="preserve">Unavailable (not imputed)</x:t>
        </x:is>
      </x:c>
      <x:c r="AA164" t="n">
        <x:v>1</x:v>
      </x:c>
      <x:c r="AB164" t="inlineStr">
        <x:is>
          <x:t xml:space="preserve">No</x:t>
        </x:is>
      </x:c>
      <x:c r="AC164" t="inlineStr">
        <x:is>
          <x:t xml:space="preserve">1940s</x:t>
        </x:is>
      </x:c>
      <x:c r="AD164" t="inlineStr">
        <x:is>
          <x:t xml:space="preserve">Seeded</x:t>
        </x:is>
      </x:c>
      <x:c r="AE164" t="inlineStr">
        <x:is>
          <x:t xml:space="preserve">Seeded</x:t>
        </x:is>
      </x:c>
    </x:row>
    <x:row r="165">
      <x:c r="A165" t="n">
        <x:v>1939</x:v>
      </x:c>
      <x:c r="B165" t="inlineStr">
        <x:is>
          <x:t xml:space="preserve">Women's</x:t>
        </x:is>
      </x:c>
      <x:c r="C165" t="inlineStr">
        <x:is>
          <x:t xml:space="preserve">A. Marble</x:t>
        </x:is>
      </x:c>
      <x:c r="D165" t="inlineStr">
        <x:is>
          <x:t xml:space="preserve">USA</x:t>
        </x:is>
      </x:c>
      <x:c r="E165" t="inlineStr">
        <x:is>
          <x:t xml:space="preserve">United States</x:t>
        </x:is>
      </x:c>
      <x:c r="F165" t="n">
        <x:v>1</x:v>
      </x:c>
      <x:c r="G165" t="n">
        <x:v>30</x:v>
      </x:c>
      <x:c r="H165" t="inlineStr">
        <x:is>
          <x:t xml:space="preserve">6-2, 6-0</x:t>
        </x:is>
      </x:c>
      <x:c r="I165" t="n">
        <x:v>6</x:v>
      </x:c>
      <x:c r="J165" t="n">
        <x:v>2</x:v>
      </x:c>
      <x:c r="K165" t="n">
        <x:v>6</x:v>
      </x:c>
      <x:c r="L165" t="n">
        <x:v>0</x:v>
      </x:c>
      <x:c r="S165" t="inlineStr">
        <x:is>
          <x:t xml:space="preserve">K.E. Stammers</x:t>
        </x:is>
      </x:c>
      <x:c r="T165" t="inlineStr">
        <x:is>
          <x:t xml:space="preserve">GBR</x:t>
        </x:is>
      </x:c>
      <x:c r="U165" t="inlineStr">
        <x:is>
          <x:t xml:space="preserve">United Kingdom</x:t>
        </x:is>
      </x:c>
      <x:c r="V165" t="n">
        <x:v>6</x:v>
      </x:c>
      <x:c r="W165" t="n">
        <x:v>2</x:v>
      </x:c>
      <x:c r="X165" t="n">
        <x:v>14</x:v>
      </x:c>
      <x:c r="Y165" t="inlineStr">
        <x:is>
          <x:t xml:space="preserve">Completed</x:t>
        </x:is>
      </x:c>
      <x:c r="Z165" t="inlineStr">
        <x:is>
          <x:t xml:space="preserve">Recorded</x:t>
        </x:is>
      </x:c>
      <x:c r="AA165" t="n">
        <x:v>1</x:v>
      </x:c>
      <x:c r="AB165" t="inlineStr">
        <x:is>
          <x:t xml:space="preserve">No</x:t>
        </x:is>
      </x:c>
      <x:c r="AC165" t="inlineStr">
        <x:is>
          <x:t xml:space="preserve">1930s</x:t>
        </x:is>
      </x:c>
      <x:c r="AD165" t="inlineStr">
        <x:is>
          <x:t xml:space="preserve">Seeded</x:t>
        </x:is>
      </x:c>
      <x:c r="AE165" t="inlineStr">
        <x:is>
          <x:t xml:space="preserve">Seeded</x:t>
        </x:is>
      </x:c>
    </x:row>
    <x:row r="166">
      <x:c r="A166" t="n">
        <x:v>1939</x:v>
      </x:c>
      <x:c r="B166" t="inlineStr">
        <x:is>
          <x:t xml:space="preserve">Men's</x:t>
        </x:is>
      </x:c>
      <x:c r="C166" t="inlineStr">
        <x:is>
          <x:t xml:space="preserve">R.L. Riggs</x:t>
        </x:is>
      </x:c>
      <x:c r="D166" t="inlineStr">
        <x:is>
          <x:t xml:space="preserve">USA</x:t>
        </x:is>
      </x:c>
      <x:c r="E166" t="inlineStr">
        <x:is>
          <x:t xml:space="preserve">United States</x:t>
        </x:is>
      </x:c>
      <x:c r="F166" t="n">
        <x:v>2</x:v>
      </x:c>
      <x:c r="G166" t="n">
        <x:v>135</x:v>
      </x:c>
      <x:c r="H166" t="inlineStr">
        <x:is>
          <x:t xml:space="preserve">2-6, 8-6, 3-6, 6-3, 6-2</x:t>
        </x:is>
      </x:c>
      <x:c r="I166" t="n">
        <x:v>2</x:v>
      </x:c>
      <x:c r="J166" t="n">
        <x:v>6</x:v>
      </x:c>
      <x:c r="K166" t="n">
        <x:v>8</x:v>
      </x:c>
      <x:c r="L166" t="n">
        <x:v>6</x:v>
      </x:c>
      <x:c r="M166" t="n">
        <x:v>3</x:v>
      </x:c>
      <x:c r="N166" t="n">
        <x:v>6</x:v>
      </x:c>
      <x:c r="O166" t="n">
        <x:v>6</x:v>
      </x:c>
      <x:c r="P166" t="n">
        <x:v>3</x:v>
      </x:c>
      <x:c r="Q166" t="n">
        <x:v>6</x:v>
      </x:c>
      <x:c r="R166" t="n">
        <x:v>2</x:v>
      </x:c>
      <x:c r="S166" t="inlineStr">
        <x:is>
          <x:t xml:space="preserve">E.T. Cooke</x:t>
        </x:is>
      </x:c>
      <x:c r="T166" t="inlineStr">
        <x:is>
          <x:t xml:space="preserve">USA</x:t>
        </x:is>
      </x:c>
      <x:c r="U166" t="inlineStr">
        <x:is>
          <x:t xml:space="preserve">United States</x:t>
        </x:is>
      </x:c>
      <x:c r="V166" t="n">
        <x:v>6</x:v>
      </x:c>
      <x:c r="W166" t="n">
        <x:v>5</x:v>
      </x:c>
      <x:c r="X166" t="n">
        <x:v>48</x:v>
      </x:c>
      <x:c r="Y166" t="inlineStr">
        <x:is>
          <x:t xml:space="preserve">Completed</x:t>
        </x:is>
      </x:c>
      <x:c r="Z166" t="inlineStr">
        <x:is>
          <x:t xml:space="preserve">Recorded</x:t>
        </x:is>
      </x:c>
      <x:c r="AA166" t="n">
        <x:v>1</x:v>
      </x:c>
      <x:c r="AB166" t="inlineStr">
        <x:is>
          <x:t xml:space="preserve">No</x:t>
        </x:is>
      </x:c>
      <x:c r="AC166" t="inlineStr">
        <x:is>
          <x:t xml:space="preserve">1930s</x:t>
        </x:is>
      </x:c>
      <x:c r="AD166" t="inlineStr">
        <x:is>
          <x:t xml:space="preserve">Seeded</x:t>
        </x:is>
      </x:c>
      <x:c r="AE166" t="inlineStr">
        <x:is>
          <x:t xml:space="preserve">Seeded</x:t>
        </x:is>
      </x:c>
    </x:row>
    <x:row r="167">
      <x:c r="A167" t="n">
        <x:v>1938</x:v>
      </x:c>
      <x:c r="B167" t="inlineStr">
        <x:is>
          <x:t xml:space="preserve">Women's</x:t>
        </x:is>
      </x:c>
      <x:c r="C167" t="inlineStr">
        <x:is>
          <x:t xml:space="preserve">H.W. Moody</x:t>
        </x:is>
      </x:c>
      <x:c r="D167" t="inlineStr">
        <x:is>
          <x:t xml:space="preserve">USA</x:t>
        </x:is>
      </x:c>
      <x:c r="E167" t="inlineStr">
        <x:is>
          <x:t xml:space="preserve">United States</x:t>
        </x:is>
      </x:c>
      <x:c r="F167" t="n">
        <x:v>1</x:v>
      </x:c>
      <x:c r="G167" s="35" t="n"/>
      <x:c r="H167" t="inlineStr">
        <x:is>
          <x:t xml:space="preserve">6-4, 6-0</x:t>
        </x:is>
      </x:c>
      <x:c r="I167" t="n">
        <x:v>6</x:v>
      </x:c>
      <x:c r="J167" t="n">
        <x:v>4</x:v>
      </x:c>
      <x:c r="K167" t="n">
        <x:v>6</x:v>
      </x:c>
      <x:c r="L167" t="n">
        <x:v>0</x:v>
      </x:c>
      <x:c r="S167" t="inlineStr">
        <x:is>
          <x:t xml:space="preserve">H.H. Jacobs</x:t>
        </x:is>
      </x:c>
      <x:c r="T167" t="inlineStr">
        <x:is>
          <x:t xml:space="preserve">USA</x:t>
        </x:is>
      </x:c>
      <x:c r="U167" t="inlineStr">
        <x:is>
          <x:t xml:space="preserve">United States</x:t>
        </x:is>
      </x:c>
      <x:c r="V167" t="inlineStr">
        <x:is>
          <x:t xml:space="preserve">U</x:t>
        </x:is>
      </x:c>
      <x:c r="W167" t="n">
        <x:v>2</x:v>
      </x:c>
      <x:c r="X167" t="n">
        <x:v>16</x:v>
      </x:c>
      <x:c r="Y167" t="inlineStr">
        <x:is>
          <x:t xml:space="preserve">Completed</x:t>
        </x:is>
      </x:c>
      <x:c r="Z167" t="inlineStr">
        <x:is>
          <x:t xml:space="preserve">Unavailable (not imputed)</x:t>
        </x:is>
      </x:c>
      <x:c r="AA167" t="n">
        <x:v>8</x:v>
      </x:c>
      <x:c r="AB167" t="inlineStr">
        <x:is>
          <x:t xml:space="preserve">Yes</x:t>
        </x:is>
      </x:c>
      <x:c r="AC167" t="inlineStr">
        <x:is>
          <x:t xml:space="preserve">1930s</x:t>
        </x:is>
      </x:c>
      <x:c r="AD167" t="inlineStr">
        <x:is>
          <x:t xml:space="preserve">Seeded</x:t>
        </x:is>
      </x:c>
      <x:c r="AE167" t="inlineStr">
        <x:is>
          <x:t xml:space="preserve">Unseeded/unknown</x:t>
        </x:is>
      </x:c>
    </x:row>
    <x:row r="168">
      <x:c r="A168" t="n">
        <x:v>1938</x:v>
      </x:c>
      <x:c r="B168" t="inlineStr">
        <x:is>
          <x:t xml:space="preserve">Men's</x:t>
        </x:is>
      </x:c>
      <x:c r="C168" t="inlineStr">
        <x:is>
          <x:t xml:space="preserve">J.D. Budge</x:t>
        </x:is>
      </x:c>
      <x:c r="D168" t="inlineStr">
        <x:is>
          <x:t xml:space="preserve">USA</x:t>
        </x:is>
      </x:c>
      <x:c r="E168" t="inlineStr">
        <x:is>
          <x:t xml:space="preserve">United States</x:t>
        </x:is>
      </x:c>
      <x:c r="F168" t="n">
        <x:v>1</x:v>
      </x:c>
      <x:c r="G168" t="n">
        <x:v>59</x:v>
      </x:c>
      <x:c r="H168" t="inlineStr">
        <x:is>
          <x:t xml:space="preserve">6-1, 6-0, 6-3</x:t>
        </x:is>
      </x:c>
      <x:c r="I168" t="n">
        <x:v>6</x:v>
      </x:c>
      <x:c r="J168" t="n">
        <x:v>1</x:v>
      </x:c>
      <x:c r="K168" t="n">
        <x:v>6</x:v>
      </x:c>
      <x:c r="L168" t="n">
        <x:v>0</x:v>
      </x:c>
      <x:c r="M168" t="n">
        <x:v>6</x:v>
      </x:c>
      <x:c r="N168" t="n">
        <x:v>3</x:v>
      </x:c>
      <x:c r="S168" t="inlineStr">
        <x:is>
          <x:t xml:space="preserve">H.W. Austin</x:t>
        </x:is>
      </x:c>
      <x:c r="T168" t="inlineStr">
        <x:is>
          <x:t xml:space="preserve">GBR</x:t>
        </x:is>
      </x:c>
      <x:c r="U168" t="inlineStr">
        <x:is>
          <x:t xml:space="preserve">United Kingdom</x:t>
        </x:is>
      </x:c>
      <x:c r="V168" t="n">
        <x:v>2</x:v>
      </x:c>
      <x:c r="W168" t="n">
        <x:v>3</x:v>
      </x:c>
      <x:c r="X168" t="n">
        <x:v>22</x:v>
      </x:c>
      <x:c r="Y168" t="inlineStr">
        <x:is>
          <x:t xml:space="preserve">Completed</x:t>
        </x:is>
      </x:c>
      <x:c r="Z168" t="inlineStr">
        <x:is>
          <x:t xml:space="preserve">Recorded</x:t>
        </x:is>
      </x:c>
      <x:c r="AA168" t="n">
        <x:v>2</x:v>
      </x:c>
      <x:c r="AB168" t="inlineStr">
        <x:is>
          <x:t xml:space="preserve">No</x:t>
        </x:is>
      </x:c>
      <x:c r="AC168" t="inlineStr">
        <x:is>
          <x:t xml:space="preserve">1930s</x:t>
        </x:is>
      </x:c>
      <x:c r="AD168" t="inlineStr">
        <x:is>
          <x:t xml:space="preserve">Seeded</x:t>
        </x:is>
      </x:c>
      <x:c r="AE168" t="inlineStr">
        <x:is>
          <x:t xml:space="preserve">Seeded</x:t>
        </x:is>
      </x:c>
    </x:row>
    <x:row r="169">
      <x:c r="A169" t="n">
        <x:v>1937</x:v>
      </x:c>
      <x:c r="B169" t="inlineStr">
        <x:is>
          <x:t xml:space="preserve">Women's</x:t>
        </x:is>
      </x:c>
      <x:c r="C169" t="inlineStr">
        <x:is>
          <x:t xml:space="preserve">D.E. Round</x:t>
        </x:is>
      </x:c>
      <x:c r="D169" t="inlineStr">
        <x:is>
          <x:t xml:space="preserve">GBR</x:t>
        </x:is>
      </x:c>
      <x:c r="E169" t="inlineStr">
        <x:is>
          <x:t xml:space="preserve">United Kingdom</x:t>
        </x:is>
      </x:c>
      <x:c r="F169" t="n">
        <x:v>7</x:v>
      </x:c>
      <x:c r="G169" t="n">
        <x:v>60</x:v>
      </x:c>
      <x:c r="H169" t="inlineStr">
        <x:is>
          <x:t xml:space="preserve">6-2, 2-6, 7-5</x:t>
        </x:is>
      </x:c>
      <x:c r="I169" t="n">
        <x:v>6</x:v>
      </x:c>
      <x:c r="J169" t="n">
        <x:v>2</x:v>
      </x:c>
      <x:c r="K169" t="n">
        <x:v>2</x:v>
      </x:c>
      <x:c r="L169" t="n">
        <x:v>6</x:v>
      </x:c>
      <x:c r="M169" t="n">
        <x:v>7</x:v>
      </x:c>
      <x:c r="N169" t="n">
        <x:v>5</x:v>
      </x:c>
      <x:c r="S169" t="inlineStr">
        <x:is>
          <x:t xml:space="preserve">J. Jedrzejowska</x:t>
        </x:is>
      </x:c>
      <x:c r="T169" t="inlineStr">
        <x:is>
          <x:t xml:space="preserve">POL</x:t>
        </x:is>
      </x:c>
      <x:c r="U169" t="inlineStr">
        <x:is>
          <x:t xml:space="preserve">Poland</x:t>
        </x:is>
      </x:c>
      <x:c r="V169" t="n">
        <x:v>4</x:v>
      </x:c>
      <x:c r="W169" t="n">
        <x:v>3</x:v>
      </x:c>
      <x:c r="X169" t="n">
        <x:v>28</x:v>
      </x:c>
      <x:c r="Y169" t="inlineStr">
        <x:is>
          <x:t xml:space="preserve">Completed</x:t>
        </x:is>
      </x:c>
      <x:c r="Z169" t="inlineStr">
        <x:is>
          <x:t xml:space="preserve">Recorded</x:t>
        </x:is>
      </x:c>
      <x:c r="AA169" t="n">
        <x:v>2</x:v>
      </x:c>
      <x:c r="AB169" t="inlineStr">
        <x:is>
          <x:t xml:space="preserve">No</x:t>
        </x:is>
      </x:c>
      <x:c r="AC169" t="inlineStr">
        <x:is>
          <x:t xml:space="preserve">1930s</x:t>
        </x:is>
      </x:c>
      <x:c r="AD169" t="inlineStr">
        <x:is>
          <x:t xml:space="preserve">Seeded</x:t>
        </x:is>
      </x:c>
      <x:c r="AE169" t="inlineStr">
        <x:is>
          <x:t xml:space="preserve">Seeded</x:t>
        </x:is>
      </x:c>
    </x:row>
    <x:row r="170">
      <x:c r="A170" t="n">
        <x:v>1937</x:v>
      </x:c>
      <x:c r="B170" t="inlineStr">
        <x:is>
          <x:t xml:space="preserve">Men's</x:t>
        </x:is>
      </x:c>
      <x:c r="C170" t="inlineStr">
        <x:is>
          <x:t xml:space="preserve">J.D. Budge</x:t>
        </x:is>
      </x:c>
      <x:c r="D170" t="inlineStr">
        <x:is>
          <x:t xml:space="preserve">USA</x:t>
        </x:is>
      </x:c>
      <x:c r="E170" t="inlineStr">
        <x:is>
          <x:t xml:space="preserve">United States</x:t>
        </x:is>
      </x:c>
      <x:c r="F170" t="n">
        <x:v>1</x:v>
      </x:c>
      <x:c r="G170" t="n">
        <x:v>65</x:v>
      </x:c>
      <x:c r="H170" t="inlineStr">
        <x:is>
          <x:t xml:space="preserve">6-3, 6-4, 6-2</x:t>
        </x:is>
      </x:c>
      <x:c r="I170" t="n">
        <x:v>6</x:v>
      </x:c>
      <x:c r="J170" t="n">
        <x:v>3</x:v>
      </x:c>
      <x:c r="K170" t="n">
        <x:v>6</x:v>
      </x:c>
      <x:c r="L170" t="n">
        <x:v>4</x:v>
      </x:c>
      <x:c r="M170" t="n">
        <x:v>6</x:v>
      </x:c>
      <x:c r="N170" t="n">
        <x:v>2</x:v>
      </x:c>
      <x:c r="S170" t="inlineStr">
        <x:is>
          <x:t xml:space="preserve">G. von Cramm</x:t>
        </x:is>
      </x:c>
      <x:c r="T170" t="inlineStr">
        <x:is>
          <x:t xml:space="preserve">GER</x:t>
        </x:is>
      </x:c>
      <x:c r="U170" t="inlineStr">
        <x:is>
          <x:t xml:space="preserve">Germany</x:t>
        </x:is>
      </x:c>
      <x:c r="V170" t="n">
        <x:v>2</x:v>
      </x:c>
      <x:c r="W170" t="n">
        <x:v>3</x:v>
      </x:c>
      <x:c r="X170" t="n">
        <x:v>27</x:v>
      </x:c>
      <x:c r="Y170" t="inlineStr">
        <x:is>
          <x:t xml:space="preserve">Completed</x:t>
        </x:is>
      </x:c>
      <x:c r="Z170" t="inlineStr">
        <x:is>
          <x:t xml:space="preserve">Recorded</x:t>
        </x:is>
      </x:c>
      <x:c r="AA170" t="n">
        <x:v>2</x:v>
      </x:c>
      <x:c r="AB170" t="inlineStr">
        <x:is>
          <x:t xml:space="preserve">No</x:t>
        </x:is>
      </x:c>
      <x:c r="AC170" t="inlineStr">
        <x:is>
          <x:t xml:space="preserve">1930s</x:t>
        </x:is>
      </x:c>
      <x:c r="AD170" t="inlineStr">
        <x:is>
          <x:t xml:space="preserve">Seeded</x:t>
        </x:is>
      </x:c>
      <x:c r="AE170" t="inlineStr">
        <x:is>
          <x:t xml:space="preserve">Seeded</x:t>
        </x:is>
      </x:c>
    </x:row>
    <x:row r="171">
      <x:c r="A171" t="n">
        <x:v>1936</x:v>
      </x:c>
      <x:c r="B171" t="inlineStr">
        <x:is>
          <x:t xml:space="preserve">Women's</x:t>
        </x:is>
      </x:c>
      <x:c r="C171" t="inlineStr">
        <x:is>
          <x:t xml:space="preserve">H.H. Jacobs</x:t>
        </x:is>
      </x:c>
      <x:c r="D171" t="inlineStr">
        <x:is>
          <x:t xml:space="preserve">USA</x:t>
        </x:is>
      </x:c>
      <x:c r="E171" t="inlineStr">
        <x:is>
          <x:t xml:space="preserve">United States</x:t>
        </x:is>
      </x:c>
      <x:c r="F171" t="n">
        <x:v>2</x:v>
      </x:c>
      <x:c r="G171" t="n">
        <x:v>101</x:v>
      </x:c>
      <x:c r="H171" t="inlineStr">
        <x:is>
          <x:t xml:space="preserve">6-2, 4-6, 7-5</x:t>
        </x:is>
      </x:c>
      <x:c r="I171" t="n">
        <x:v>6</x:v>
      </x:c>
      <x:c r="J171" t="n">
        <x:v>2</x:v>
      </x:c>
      <x:c r="K171" t="n">
        <x:v>4</x:v>
      </x:c>
      <x:c r="L171" t="n">
        <x:v>6</x:v>
      </x:c>
      <x:c r="M171" t="n">
        <x:v>7</x:v>
      </x:c>
      <x:c r="N171" t="n">
        <x:v>5</x:v>
      </x:c>
      <x:c r="S171" t="inlineStr">
        <x:is>
          <x:t xml:space="preserve">S. Sperling</x:t>
        </x:is>
      </x:c>
      <x:c r="T171" t="inlineStr">
        <x:is>
          <x:t xml:space="preserve">GER</x:t>
        </x:is>
      </x:c>
      <x:c r="U171" t="inlineStr">
        <x:is>
          <x:t xml:space="preserve">Germany</x:t>
        </x:is>
      </x:c>
      <x:c r="V171" t="n">
        <x:v>5</x:v>
      </x:c>
      <x:c r="W171" t="n">
        <x:v>3</x:v>
      </x:c>
      <x:c r="X171" t="n">
        <x:v>30</x:v>
      </x:c>
      <x:c r="Y171" t="inlineStr">
        <x:is>
          <x:t xml:space="preserve">Completed</x:t>
        </x:is>
      </x:c>
      <x:c r="Z171" t="inlineStr">
        <x:is>
          <x:t xml:space="preserve">Recorded</x:t>
        </x:is>
      </x:c>
      <x:c r="AA171" t="n">
        <x:v>1</x:v>
      </x:c>
      <x:c r="AB171" t="inlineStr">
        <x:is>
          <x:t xml:space="preserve">No</x:t>
        </x:is>
      </x:c>
      <x:c r="AC171" t="inlineStr">
        <x:is>
          <x:t xml:space="preserve">1930s</x:t>
        </x:is>
      </x:c>
      <x:c r="AD171" t="inlineStr">
        <x:is>
          <x:t xml:space="preserve">Seeded</x:t>
        </x:is>
      </x:c>
      <x:c r="AE171" t="inlineStr">
        <x:is>
          <x:t xml:space="preserve">Seeded</x:t>
        </x:is>
      </x:c>
    </x:row>
    <x:row r="172">
      <x:c r="A172" t="n">
        <x:v>1936</x:v>
      </x:c>
      <x:c r="B172" t="inlineStr">
        <x:is>
          <x:t xml:space="preserve">Men's</x:t>
        </x:is>
      </x:c>
      <x:c r="C172" t="inlineStr">
        <x:is>
          <x:t xml:space="preserve">F.J. Perry</x:t>
        </x:is>
      </x:c>
      <x:c r="D172" t="inlineStr">
        <x:is>
          <x:t xml:space="preserve">GBR</x:t>
        </x:is>
      </x:c>
      <x:c r="E172" t="inlineStr">
        <x:is>
          <x:t xml:space="preserve">United Kingdom</x:t>
        </x:is>
      </x:c>
      <x:c r="F172" t="n">
        <x:v>1</x:v>
      </x:c>
      <x:c r="G172" t="n">
        <x:v>40</x:v>
      </x:c>
      <x:c r="H172" t="inlineStr">
        <x:is>
          <x:t xml:space="preserve">6-1, 6-1, 6-0</x:t>
        </x:is>
      </x:c>
      <x:c r="I172" t="n">
        <x:v>6</x:v>
      </x:c>
      <x:c r="J172" t="n">
        <x:v>1</x:v>
      </x:c>
      <x:c r="K172" t="n">
        <x:v>6</x:v>
      </x:c>
      <x:c r="L172" t="n">
        <x:v>1</x:v>
      </x:c>
      <x:c r="M172" t="n">
        <x:v>6</x:v>
      </x:c>
      <x:c r="N172" t="n">
        <x:v>0</x:v>
      </x:c>
      <x:c r="S172" t="inlineStr">
        <x:is>
          <x:t xml:space="preserve">G. von Cramm</x:t>
        </x:is>
      </x:c>
      <x:c r="T172" t="inlineStr">
        <x:is>
          <x:t xml:space="preserve">GER</x:t>
        </x:is>
      </x:c>
      <x:c r="U172" t="inlineStr">
        <x:is>
          <x:t xml:space="preserve">Germany</x:t>
        </x:is>
      </x:c>
      <x:c r="V172" t="n">
        <x:v>2</x:v>
      </x:c>
      <x:c r="W172" t="n">
        <x:v>3</x:v>
      </x:c>
      <x:c r="X172" t="n">
        <x:v>20</x:v>
      </x:c>
      <x:c r="Y172" t="inlineStr">
        <x:is>
          <x:t xml:space="preserve">Completed</x:t>
        </x:is>
      </x:c>
      <x:c r="Z172" t="inlineStr">
        <x:is>
          <x:t xml:space="preserve">Recorded</x:t>
        </x:is>
      </x:c>
      <x:c r="AA172" t="n">
        <x:v>3</x:v>
      </x:c>
      <x:c r="AB172" t="inlineStr">
        <x:is>
          <x:t xml:space="preserve">No</x:t>
        </x:is>
      </x:c>
      <x:c r="AC172" t="inlineStr">
        <x:is>
          <x:t xml:space="preserve">1930s</x:t>
        </x:is>
      </x:c>
      <x:c r="AD172" t="inlineStr">
        <x:is>
          <x:t xml:space="preserve">Seeded</x:t>
        </x:is>
      </x:c>
      <x:c r="AE172" t="inlineStr">
        <x:is>
          <x:t xml:space="preserve">Seeded</x:t>
        </x:is>
      </x:c>
    </x:row>
    <x:row r="173">
      <x:c r="A173" t="n">
        <x:v>1935</x:v>
      </x:c>
      <x:c r="B173" t="inlineStr">
        <x:is>
          <x:t xml:space="preserve">Women's</x:t>
        </x:is>
      </x:c>
      <x:c r="C173" t="inlineStr">
        <x:is>
          <x:t xml:space="preserve">H.W. Moody</x:t>
        </x:is>
      </x:c>
      <x:c r="D173" t="inlineStr">
        <x:is>
          <x:t xml:space="preserve">USA</x:t>
        </x:is>
      </x:c>
      <x:c r="E173" t="inlineStr">
        <x:is>
          <x:t xml:space="preserve">United States</x:t>
        </x:is>
      </x:c>
      <x:c r="F173" t="n">
        <x:v>4</x:v>
      </x:c>
      <x:c r="G173" t="n">
        <x:v>100</x:v>
      </x:c>
      <x:c r="H173" t="inlineStr">
        <x:is>
          <x:t xml:space="preserve">6-3, 3-6, 7-5</x:t>
        </x:is>
      </x:c>
      <x:c r="I173" t="n">
        <x:v>6</x:v>
      </x:c>
      <x:c r="J173" t="n">
        <x:v>3</x:v>
      </x:c>
      <x:c r="K173" t="n">
        <x:v>3</x:v>
      </x:c>
      <x:c r="L173" t="n">
        <x:v>6</x:v>
      </x:c>
      <x:c r="M173" t="n">
        <x:v>7</x:v>
      </x:c>
      <x:c r="N173" t="n">
        <x:v>5</x:v>
      </x:c>
      <x:c r="S173" t="inlineStr">
        <x:is>
          <x:t xml:space="preserve">H.H. Jacobs</x:t>
        </x:is>
      </x:c>
      <x:c r="T173" t="inlineStr">
        <x:is>
          <x:t xml:space="preserve">USA</x:t>
        </x:is>
      </x:c>
      <x:c r="U173" t="inlineStr">
        <x:is>
          <x:t xml:space="preserve">United States</x:t>
        </x:is>
      </x:c>
      <x:c r="V173" t="n">
        <x:v>3</x:v>
      </x:c>
      <x:c r="W173" t="n">
        <x:v>3</x:v>
      </x:c>
      <x:c r="X173" t="n">
        <x:v>30</x:v>
      </x:c>
      <x:c r="Y173" t="inlineStr">
        <x:is>
          <x:t xml:space="preserve">Completed</x:t>
        </x:is>
      </x:c>
      <x:c r="Z173" t="inlineStr">
        <x:is>
          <x:t xml:space="preserve">Recorded</x:t>
        </x:is>
      </x:c>
      <x:c r="AA173" t="n">
        <x:v>8</x:v>
      </x:c>
      <x:c r="AB173" t="inlineStr">
        <x:is>
          <x:t xml:space="preserve">Yes</x:t>
        </x:is>
      </x:c>
      <x:c r="AC173" t="inlineStr">
        <x:is>
          <x:t xml:space="preserve">1930s</x:t>
        </x:is>
      </x:c>
      <x:c r="AD173" t="inlineStr">
        <x:is>
          <x:t xml:space="preserve">Seeded</x:t>
        </x:is>
      </x:c>
      <x:c r="AE173" t="inlineStr">
        <x:is>
          <x:t xml:space="preserve">Seeded</x:t>
        </x:is>
      </x:c>
    </x:row>
    <x:row r="174">
      <x:c r="A174" t="n">
        <x:v>1935</x:v>
      </x:c>
      <x:c r="B174" t="inlineStr">
        <x:is>
          <x:t xml:space="preserve">Men's</x:t>
        </x:is>
      </x:c>
      <x:c r="C174" t="inlineStr">
        <x:is>
          <x:t xml:space="preserve">F.J. Perry</x:t>
        </x:is>
      </x:c>
      <x:c r="D174" t="inlineStr">
        <x:is>
          <x:t xml:space="preserve">GBR</x:t>
        </x:is>
      </x:c>
      <x:c r="E174" t="inlineStr">
        <x:is>
          <x:t xml:space="preserve">United Kingdom</x:t>
        </x:is>
      </x:c>
      <x:c r="F174" t="n">
        <x:v>1</x:v>
      </x:c>
      <x:c r="G174" t="n">
        <x:v>80</x:v>
      </x:c>
      <x:c r="H174" t="inlineStr">
        <x:is>
          <x:t xml:space="preserve">6-2, 6-4, 6-4</x:t>
        </x:is>
      </x:c>
      <x:c r="I174" t="n">
        <x:v>6</x:v>
      </x:c>
      <x:c r="J174" t="n">
        <x:v>2</x:v>
      </x:c>
      <x:c r="K174" t="n">
        <x:v>6</x:v>
      </x:c>
      <x:c r="L174" t="n">
        <x:v>4</x:v>
      </x:c>
      <x:c r="M174" t="n">
        <x:v>6</x:v>
      </x:c>
      <x:c r="N174" t="n">
        <x:v>4</x:v>
      </x:c>
      <x:c r="S174" t="inlineStr">
        <x:is>
          <x:t xml:space="preserve">G. von Cramm</x:t>
        </x:is>
      </x:c>
      <x:c r="T174" t="inlineStr">
        <x:is>
          <x:t xml:space="preserve">GER</x:t>
        </x:is>
      </x:c>
      <x:c r="U174" t="inlineStr">
        <x:is>
          <x:t xml:space="preserve">Germany</x:t>
        </x:is>
      </x:c>
      <x:c r="V174" t="n">
        <x:v>2</x:v>
      </x:c>
      <x:c r="W174" t="n">
        <x:v>3</x:v>
      </x:c>
      <x:c r="X174" t="n">
        <x:v>28</x:v>
      </x:c>
      <x:c r="Y174" t="inlineStr">
        <x:is>
          <x:t xml:space="preserve">Completed</x:t>
        </x:is>
      </x:c>
      <x:c r="Z174" t="inlineStr">
        <x:is>
          <x:t xml:space="preserve">Recorded</x:t>
        </x:is>
      </x:c>
      <x:c r="AA174" t="n">
        <x:v>3</x:v>
      </x:c>
      <x:c r="AB174" t="inlineStr">
        <x:is>
          <x:t xml:space="preserve">No</x:t>
        </x:is>
      </x:c>
      <x:c r="AC174" t="inlineStr">
        <x:is>
          <x:t xml:space="preserve">1930s</x:t>
        </x:is>
      </x:c>
      <x:c r="AD174" t="inlineStr">
        <x:is>
          <x:t xml:space="preserve">Seeded</x:t>
        </x:is>
      </x:c>
      <x:c r="AE174" t="inlineStr">
        <x:is>
          <x:t xml:space="preserve">Seeded</x:t>
        </x:is>
      </x:c>
    </x:row>
    <x:row r="175">
      <x:c r="A175" t="n">
        <x:v>1934</x:v>
      </x:c>
      <x:c r="B175" t="inlineStr">
        <x:is>
          <x:t xml:space="preserve">Women's</x:t>
        </x:is>
      </x:c>
      <x:c r="C175" t="inlineStr">
        <x:is>
          <x:t xml:space="preserve">D.E. Round</x:t>
        </x:is>
      </x:c>
      <x:c r="D175" t="inlineStr">
        <x:is>
          <x:t xml:space="preserve">GBR</x:t>
        </x:is>
      </x:c>
      <x:c r="E175" t="inlineStr">
        <x:is>
          <x:t xml:space="preserve">United Kingdom</x:t>
        </x:is>
      </x:c>
      <x:c r="F175" t="n">
        <x:v>2</x:v>
      </x:c>
      <x:c r="G175" s="35" t="n"/>
      <x:c r="H175" t="inlineStr">
        <x:is>
          <x:t xml:space="preserve">6-2, 5-7, 6-3</x:t>
        </x:is>
      </x:c>
      <x:c r="I175" t="n">
        <x:v>6</x:v>
      </x:c>
      <x:c r="J175" t="n">
        <x:v>2</x:v>
      </x:c>
      <x:c r="K175" t="n">
        <x:v>5</x:v>
      </x:c>
      <x:c r="L175" t="n">
        <x:v>7</x:v>
      </x:c>
      <x:c r="M175" t="n">
        <x:v>6</x:v>
      </x:c>
      <x:c r="N175" t="n">
        <x:v>3</x:v>
      </x:c>
      <x:c r="S175" t="inlineStr">
        <x:is>
          <x:t xml:space="preserve">H.H. Jacobs</x:t>
        </x:is>
      </x:c>
      <x:c r="T175" t="inlineStr">
        <x:is>
          <x:t xml:space="preserve">USA</x:t>
        </x:is>
      </x:c>
      <x:c r="U175" t="inlineStr">
        <x:is>
          <x:t xml:space="preserve">United States</x:t>
        </x:is>
      </x:c>
      <x:c r="V175" t="n">
        <x:v>1</x:v>
      </x:c>
      <x:c r="W175" t="n">
        <x:v>3</x:v>
      </x:c>
      <x:c r="X175" t="n">
        <x:v>29</x:v>
      </x:c>
      <x:c r="Y175" t="inlineStr">
        <x:is>
          <x:t xml:space="preserve">Completed</x:t>
        </x:is>
      </x:c>
      <x:c r="Z175" t="inlineStr">
        <x:is>
          <x:t xml:space="preserve">Unavailable (not imputed)</x:t>
        </x:is>
      </x:c>
      <x:c r="AA175" t="n">
        <x:v>2</x:v>
      </x:c>
      <x:c r="AB175" t="inlineStr">
        <x:is>
          <x:t xml:space="preserve">No</x:t>
        </x:is>
      </x:c>
      <x:c r="AC175" t="inlineStr">
        <x:is>
          <x:t xml:space="preserve">1930s</x:t>
        </x:is>
      </x:c>
      <x:c r="AD175" t="inlineStr">
        <x:is>
          <x:t xml:space="preserve">Seeded</x:t>
        </x:is>
      </x:c>
      <x:c r="AE175" t="inlineStr">
        <x:is>
          <x:t xml:space="preserve">Seeded</x:t>
        </x:is>
      </x:c>
    </x:row>
    <x:row r="176">
      <x:c r="A176" t="n">
        <x:v>1934</x:v>
      </x:c>
      <x:c r="B176" t="inlineStr">
        <x:is>
          <x:t xml:space="preserve">Men's</x:t>
        </x:is>
      </x:c>
      <x:c r="C176" t="inlineStr">
        <x:is>
          <x:t xml:space="preserve">F.J. Perry</x:t>
        </x:is>
      </x:c>
      <x:c r="D176" t="inlineStr">
        <x:is>
          <x:t xml:space="preserve">GBR</x:t>
        </x:is>
      </x:c>
      <x:c r="E176" t="inlineStr">
        <x:is>
          <x:t xml:space="preserve">United Kingdom</x:t>
        </x:is>
      </x:c>
      <x:c r="F176" t="n">
        <x:v>2</x:v>
      </x:c>
      <x:c r="G176" t="n">
        <x:v>72</x:v>
      </x:c>
      <x:c r="H176" t="inlineStr">
        <x:is>
          <x:t xml:space="preserve">6-3, 6-0, 7-5</x:t>
        </x:is>
      </x:c>
      <x:c r="I176" t="n">
        <x:v>6</x:v>
      </x:c>
      <x:c r="J176" t="n">
        <x:v>3</x:v>
      </x:c>
      <x:c r="K176" t="n">
        <x:v>6</x:v>
      </x:c>
      <x:c r="L176" t="n">
        <x:v>0</x:v>
      </x:c>
      <x:c r="M176" t="n">
        <x:v>7</x:v>
      </x:c>
      <x:c r="N176" t="n">
        <x:v>5</x:v>
      </x:c>
      <x:c r="S176" t="inlineStr">
        <x:is>
          <x:t xml:space="preserve">J.H. Crawford</x:t>
        </x:is>
      </x:c>
      <x:c r="T176" t="inlineStr">
        <x:is>
          <x:t xml:space="preserve">AUS</x:t>
        </x:is>
      </x:c>
      <x:c r="U176" t="inlineStr">
        <x:is>
          <x:t xml:space="preserve">Australia</x:t>
        </x:is>
      </x:c>
      <x:c r="V176" t="n">
        <x:v>1</x:v>
      </x:c>
      <x:c r="W176" t="n">
        <x:v>3</x:v>
      </x:c>
      <x:c r="X176" t="n">
        <x:v>27</x:v>
      </x:c>
      <x:c r="Y176" t="inlineStr">
        <x:is>
          <x:t xml:space="preserve">Completed</x:t>
        </x:is>
      </x:c>
      <x:c r="Z176" t="inlineStr">
        <x:is>
          <x:t xml:space="preserve">Recorded</x:t>
        </x:is>
      </x:c>
      <x:c r="AA176" t="n">
        <x:v>3</x:v>
      </x:c>
      <x:c r="AB176" t="inlineStr">
        <x:is>
          <x:t xml:space="preserve">No</x:t>
        </x:is>
      </x:c>
      <x:c r="AC176" t="inlineStr">
        <x:is>
          <x:t xml:space="preserve">1930s</x:t>
        </x:is>
      </x:c>
      <x:c r="AD176" t="inlineStr">
        <x:is>
          <x:t xml:space="preserve">Seeded</x:t>
        </x:is>
      </x:c>
      <x:c r="AE176" t="inlineStr">
        <x:is>
          <x:t xml:space="preserve">Seeded</x:t>
        </x:is>
      </x:c>
    </x:row>
    <x:row r="177">
      <x:c r="A177" t="n">
        <x:v>1933</x:v>
      </x:c>
      <x:c r="B177" t="inlineStr">
        <x:is>
          <x:t xml:space="preserve">Women's</x:t>
        </x:is>
      </x:c>
      <x:c r="C177" t="inlineStr">
        <x:is>
          <x:t xml:space="preserve">H.W. Moody</x:t>
        </x:is>
      </x:c>
      <x:c r="D177" t="inlineStr">
        <x:is>
          <x:t xml:space="preserve">USA</x:t>
        </x:is>
      </x:c>
      <x:c r="E177" t="inlineStr">
        <x:is>
          <x:t xml:space="preserve">United States</x:t>
        </x:is>
      </x:c>
      <x:c r="F177" t="n">
        <x:v>1</x:v>
      </x:c>
      <x:c r="G177" t="n">
        <x:v>120</x:v>
      </x:c>
      <x:c r="H177" t="inlineStr">
        <x:is>
          <x:t xml:space="preserve">6-4, 6-8, 6-3</x:t>
        </x:is>
      </x:c>
      <x:c r="I177" t="n">
        <x:v>6</x:v>
      </x:c>
      <x:c r="J177" t="n">
        <x:v>4</x:v>
      </x:c>
      <x:c r="K177" t="n">
        <x:v>6</x:v>
      </x:c>
      <x:c r="L177" t="n">
        <x:v>8</x:v>
      </x:c>
      <x:c r="M177" t="n">
        <x:v>6</x:v>
      </x:c>
      <x:c r="N177" t="n">
        <x:v>3</x:v>
      </x:c>
      <x:c r="S177" t="inlineStr">
        <x:is>
          <x:t xml:space="preserve">D.E. Round</x:t>
        </x:is>
      </x:c>
      <x:c r="T177" t="inlineStr">
        <x:is>
          <x:t xml:space="preserve">GBR</x:t>
        </x:is>
      </x:c>
      <x:c r="U177" t="inlineStr">
        <x:is>
          <x:t xml:space="preserve">United Kingdom</x:t>
        </x:is>
      </x:c>
      <x:c r="V177" t="n">
        <x:v>2</x:v>
      </x:c>
      <x:c r="W177" t="n">
        <x:v>3</x:v>
      </x:c>
      <x:c r="X177" t="n">
        <x:v>33</x:v>
      </x:c>
      <x:c r="Y177" t="inlineStr">
        <x:is>
          <x:t xml:space="preserve">Completed</x:t>
        </x:is>
      </x:c>
      <x:c r="Z177" t="inlineStr">
        <x:is>
          <x:t xml:space="preserve">Recorded</x:t>
        </x:is>
      </x:c>
      <x:c r="AA177" t="n">
        <x:v>8</x:v>
      </x:c>
      <x:c r="AB177" t="inlineStr">
        <x:is>
          <x:t xml:space="preserve">Yes</x:t>
        </x:is>
      </x:c>
      <x:c r="AC177" t="inlineStr">
        <x:is>
          <x:t xml:space="preserve">1930s</x:t>
        </x:is>
      </x:c>
      <x:c r="AD177" t="inlineStr">
        <x:is>
          <x:t xml:space="preserve">Seeded</x:t>
        </x:is>
      </x:c>
      <x:c r="AE177" t="inlineStr">
        <x:is>
          <x:t xml:space="preserve">Seeded</x:t>
        </x:is>
      </x:c>
    </x:row>
    <x:row r="178">
      <x:c r="A178" t="n">
        <x:v>1933</x:v>
      </x:c>
      <x:c r="B178" t="inlineStr">
        <x:is>
          <x:t xml:space="preserve">Men's</x:t>
        </x:is>
      </x:c>
      <x:c r="C178" t="inlineStr">
        <x:is>
          <x:t xml:space="preserve">J.H. Crawford</x:t>
        </x:is>
      </x:c>
      <x:c r="D178" t="inlineStr">
        <x:is>
          <x:t xml:space="preserve">AUS</x:t>
        </x:is>
      </x:c>
      <x:c r="E178" t="inlineStr">
        <x:is>
          <x:t xml:space="preserve">Australia</x:t>
        </x:is>
      </x:c>
      <x:c r="F178" t="n">
        <x:v>2</x:v>
      </x:c>
      <x:c r="G178" t="n">
        <x:v>120</x:v>
      </x:c>
      <x:c r="H178" t="inlineStr">
        <x:is>
          <x:t xml:space="preserve">4-6, 11-9, 6-2, 2-6, 6-4</x:t>
        </x:is>
      </x:c>
      <x:c r="I178" t="n">
        <x:v>4</x:v>
      </x:c>
      <x:c r="J178" t="n">
        <x:v>6</x:v>
      </x:c>
      <x:c r="K178" t="n">
        <x:v>11</x:v>
      </x:c>
      <x:c r="L178" t="n">
        <x:v>9</x:v>
      </x:c>
      <x:c r="M178" t="n">
        <x:v>6</x:v>
      </x:c>
      <x:c r="N178" t="n">
        <x:v>2</x:v>
      </x:c>
      <x:c r="O178" t="n">
        <x:v>2</x:v>
      </x:c>
      <x:c r="P178" t="n">
        <x:v>6</x:v>
      </x:c>
      <x:c r="Q178" t="n">
        <x:v>6</x:v>
      </x:c>
      <x:c r="R178" t="n">
        <x:v>4</x:v>
      </x:c>
      <x:c r="S178" t="inlineStr">
        <x:is>
          <x:t xml:space="preserve">H.E. Vines</x:t>
        </x:is>
      </x:c>
      <x:c r="T178" t="inlineStr">
        <x:is>
          <x:t xml:space="preserve">USA</x:t>
        </x:is>
      </x:c>
      <x:c r="U178" t="inlineStr">
        <x:is>
          <x:t xml:space="preserve">United States</x:t>
        </x:is>
      </x:c>
      <x:c r="V178" t="n">
        <x:v>1</x:v>
      </x:c>
      <x:c r="W178" t="n">
        <x:v>5</x:v>
      </x:c>
      <x:c r="X178" t="n">
        <x:v>56</x:v>
      </x:c>
      <x:c r="Y178" t="inlineStr">
        <x:is>
          <x:t xml:space="preserve">Completed</x:t>
        </x:is>
      </x:c>
      <x:c r="Z178" t="inlineStr">
        <x:is>
          <x:t xml:space="preserve">Recorded</x:t>
        </x:is>
      </x:c>
      <x:c r="AA178" t="n">
        <x:v>1</x:v>
      </x:c>
      <x:c r="AB178" t="inlineStr">
        <x:is>
          <x:t xml:space="preserve">No</x:t>
        </x:is>
      </x:c>
      <x:c r="AC178" t="inlineStr">
        <x:is>
          <x:t xml:space="preserve">1930s</x:t>
        </x:is>
      </x:c>
      <x:c r="AD178" t="inlineStr">
        <x:is>
          <x:t xml:space="preserve">Seeded</x:t>
        </x:is>
      </x:c>
      <x:c r="AE178" t="inlineStr">
        <x:is>
          <x:t xml:space="preserve">Seeded</x:t>
        </x:is>
      </x:c>
    </x:row>
    <x:row r="179">
      <x:c r="A179" t="n">
        <x:v>1932</x:v>
      </x:c>
      <x:c r="B179" t="inlineStr">
        <x:is>
          <x:t xml:space="preserve">Women's</x:t>
        </x:is>
      </x:c>
      <x:c r="C179" t="inlineStr">
        <x:is>
          <x:t xml:space="preserve">H.W. Moody</x:t>
        </x:is>
      </x:c>
      <x:c r="D179" t="inlineStr">
        <x:is>
          <x:t xml:space="preserve">USA</x:t>
        </x:is>
      </x:c>
      <x:c r="E179" t="inlineStr">
        <x:is>
          <x:t xml:space="preserve">United States</x:t>
        </x:is>
      </x:c>
      <x:c r="F179" t="n">
        <x:v>1</x:v>
      </x:c>
      <x:c r="G179" t="n">
        <x:v>50</x:v>
      </x:c>
      <x:c r="H179" t="inlineStr">
        <x:is>
          <x:t xml:space="preserve">6-3, 6-1</x:t>
        </x:is>
      </x:c>
      <x:c r="I179" t="n">
        <x:v>6</x:v>
      </x:c>
      <x:c r="J179" t="n">
        <x:v>3</x:v>
      </x:c>
      <x:c r="K179" t="n">
        <x:v>6</x:v>
      </x:c>
      <x:c r="L179" t="n">
        <x:v>1</x:v>
      </x:c>
      <x:c r="S179" t="inlineStr">
        <x:is>
          <x:t xml:space="preserve">H.H. Jacobs</x:t>
        </x:is>
      </x:c>
      <x:c r="T179" t="inlineStr">
        <x:is>
          <x:t xml:space="preserve">USA</x:t>
        </x:is>
      </x:c>
      <x:c r="U179" t="inlineStr">
        <x:is>
          <x:t xml:space="preserve">United States</x:t>
        </x:is>
      </x:c>
      <x:c r="V179" t="n">
        <x:v>5</x:v>
      </x:c>
      <x:c r="W179" t="n">
        <x:v>2</x:v>
      </x:c>
      <x:c r="X179" t="n">
        <x:v>16</x:v>
      </x:c>
      <x:c r="Y179" t="inlineStr">
        <x:is>
          <x:t xml:space="preserve">Completed</x:t>
        </x:is>
      </x:c>
      <x:c r="Z179" t="inlineStr">
        <x:is>
          <x:t xml:space="preserve">Recorded</x:t>
        </x:is>
      </x:c>
      <x:c r="AA179" t="n">
        <x:v>8</x:v>
      </x:c>
      <x:c r="AB179" t="inlineStr">
        <x:is>
          <x:t xml:space="preserve">Yes</x:t>
        </x:is>
      </x:c>
      <x:c r="AC179" t="inlineStr">
        <x:is>
          <x:t xml:space="preserve">1930s</x:t>
        </x:is>
      </x:c>
      <x:c r="AD179" t="inlineStr">
        <x:is>
          <x:t xml:space="preserve">Seeded</x:t>
        </x:is>
      </x:c>
      <x:c r="AE179" t="inlineStr">
        <x:is>
          <x:t xml:space="preserve">Seeded</x:t>
        </x:is>
      </x:c>
    </x:row>
    <x:row r="180">
      <x:c r="A180" t="n">
        <x:v>1932</x:v>
      </x:c>
      <x:c r="B180" t="inlineStr">
        <x:is>
          <x:t xml:space="preserve">Men's</x:t>
        </x:is>
      </x:c>
      <x:c r="C180" t="inlineStr">
        <x:is>
          <x:t xml:space="preserve">H.E. Vines</x:t>
        </x:is>
      </x:c>
      <x:c r="D180" t="inlineStr">
        <x:is>
          <x:t xml:space="preserve">USA</x:t>
        </x:is>
      </x:c>
      <x:c r="E180" t="inlineStr">
        <x:is>
          <x:t xml:space="preserve">United States</x:t>
        </x:is>
      </x:c>
      <x:c r="F180" t="n">
        <x:v>2</x:v>
      </x:c>
      <x:c r="G180" t="n">
        <x:v>50</x:v>
      </x:c>
      <x:c r="H180" t="inlineStr">
        <x:is>
          <x:t xml:space="preserve">6-2, 6-2, 6-0</x:t>
        </x:is>
      </x:c>
      <x:c r="I180" t="n">
        <x:v>6</x:v>
      </x:c>
      <x:c r="J180" t="n">
        <x:v>2</x:v>
      </x:c>
      <x:c r="K180" t="n">
        <x:v>6</x:v>
      </x:c>
      <x:c r="L180" t="n">
        <x:v>2</x:v>
      </x:c>
      <x:c r="M180" t="n">
        <x:v>6</x:v>
      </x:c>
      <x:c r="N180" t="n">
        <x:v>0</x:v>
      </x:c>
      <x:c r="S180" t="inlineStr">
        <x:is>
          <x:t xml:space="preserve">H.W. Austin</x:t>
        </x:is>
      </x:c>
      <x:c r="T180" t="inlineStr">
        <x:is>
          <x:t xml:space="preserve">GBR</x:t>
        </x:is>
      </x:c>
      <x:c r="U180" t="inlineStr">
        <x:is>
          <x:t xml:space="preserve">United Kingdom</x:t>
        </x:is>
      </x:c>
      <x:c r="V180" t="n">
        <x:v>6</x:v>
      </x:c>
      <x:c r="W180" t="n">
        <x:v>3</x:v>
      </x:c>
      <x:c r="X180" t="n">
        <x:v>22</x:v>
      </x:c>
      <x:c r="Y180" t="inlineStr">
        <x:is>
          <x:t xml:space="preserve">Completed</x:t>
        </x:is>
      </x:c>
      <x:c r="Z180" t="inlineStr">
        <x:is>
          <x:t xml:space="preserve">Recorded</x:t>
        </x:is>
      </x:c>
      <x:c r="AA180" t="n">
        <x:v>1</x:v>
      </x:c>
      <x:c r="AB180" t="inlineStr">
        <x:is>
          <x:t xml:space="preserve">No</x:t>
        </x:is>
      </x:c>
      <x:c r="AC180" t="inlineStr">
        <x:is>
          <x:t xml:space="preserve">1930s</x:t>
        </x:is>
      </x:c>
      <x:c r="AD180" t="inlineStr">
        <x:is>
          <x:t xml:space="preserve">Seeded</x:t>
        </x:is>
      </x:c>
      <x:c r="AE180" t="inlineStr">
        <x:is>
          <x:t xml:space="preserve">Seeded</x:t>
        </x:is>
      </x:c>
    </x:row>
    <x:row r="181">
      <x:c r="A181" t="n">
        <x:v>1931</x:v>
      </x:c>
      <x:c r="B181" t="inlineStr">
        <x:is>
          <x:t xml:space="preserve">Women's</x:t>
        </x:is>
      </x:c>
      <x:c r="C181" t="inlineStr">
        <x:is>
          <x:t xml:space="preserve">C. Aussem</x:t>
        </x:is>
      </x:c>
      <x:c r="D181" t="inlineStr">
        <x:is>
          <x:t xml:space="preserve">GER</x:t>
        </x:is>
      </x:c>
      <x:c r="E181" t="inlineStr">
        <x:is>
          <x:t xml:space="preserve">Germany</x:t>
        </x:is>
      </x:c>
      <x:c r="F181" t="n">
        <x:v>1</x:v>
      </x:c>
      <x:c r="G181" s="35" t="n"/>
      <x:c r="H181" t="inlineStr">
        <x:is>
          <x:t xml:space="preserve">6-2, 7-5</x:t>
        </x:is>
      </x:c>
      <x:c r="I181" t="n">
        <x:v>6</x:v>
      </x:c>
      <x:c r="J181" t="n">
        <x:v>2</x:v>
      </x:c>
      <x:c r="K181" t="n">
        <x:v>7</x:v>
      </x:c>
      <x:c r="L181" t="n">
        <x:v>5</x:v>
      </x:c>
      <x:c r="S181" t="inlineStr">
        <x:is>
          <x:t xml:space="preserve">H. Krahwinkel</x:t>
        </x:is>
      </x:c>
      <x:c r="T181" t="inlineStr">
        <x:is>
          <x:t xml:space="preserve">GER</x:t>
        </x:is>
      </x:c>
      <x:c r="U181" t="inlineStr">
        <x:is>
          <x:t xml:space="preserve">Germany</x:t>
        </x:is>
      </x:c>
      <x:c r="V181" t="n">
        <x:v>4</x:v>
      </x:c>
      <x:c r="W181" t="n">
        <x:v>2</x:v>
      </x:c>
      <x:c r="X181" t="n">
        <x:v>20</x:v>
      </x:c>
      <x:c r="Y181" t="inlineStr">
        <x:is>
          <x:t xml:space="preserve">Completed</x:t>
        </x:is>
      </x:c>
      <x:c r="Z181" t="inlineStr">
        <x:is>
          <x:t xml:space="preserve">Unavailable (not imputed)</x:t>
        </x:is>
      </x:c>
      <x:c r="AA181" t="n">
        <x:v>1</x:v>
      </x:c>
      <x:c r="AB181" t="inlineStr">
        <x:is>
          <x:t xml:space="preserve">No</x:t>
        </x:is>
      </x:c>
      <x:c r="AC181" t="inlineStr">
        <x:is>
          <x:t xml:space="preserve">1930s</x:t>
        </x:is>
      </x:c>
      <x:c r="AD181" t="inlineStr">
        <x:is>
          <x:t xml:space="preserve">Seeded</x:t>
        </x:is>
      </x:c>
      <x:c r="AE181" t="inlineStr">
        <x:is>
          <x:t xml:space="preserve">Seeded</x:t>
        </x:is>
      </x:c>
    </x:row>
    <x:row r="182">
      <x:c r="A182" t="n">
        <x:v>1931</x:v>
      </x:c>
      <x:c r="B182" t="inlineStr">
        <x:is>
          <x:t xml:space="preserve">Men's</x:t>
        </x:is>
      </x:c>
      <x:c r="C182" t="inlineStr">
        <x:is>
          <x:t xml:space="preserve">S.B.B. Wood</x:t>
        </x:is>
      </x:c>
      <x:c r="D182" t="inlineStr">
        <x:is>
          <x:t xml:space="preserve">USA</x:t>
        </x:is>
      </x:c>
      <x:c r="E182" t="inlineStr">
        <x:is>
          <x:t xml:space="preserve">United States</x:t>
        </x:is>
      </x:c>
      <x:c r="F182" t="n">
        <x:v>7</x:v>
      </x:c>
      <x:c r="G182" s="35" t="n"/>
      <x:c r="H182" t="inlineStr">
        <x:is>
          <x:t xml:space="preserve">walk over</x:t>
        </x:is>
      </x:c>
      <x:c r="I182" t="inlineStr">
        <x:is>
          <x:t xml:space="preserve">walkover</x:t>
        </x:is>
      </x:c>
      <x:c r="S182" t="inlineStr">
        <x:is>
          <x:t xml:space="preserve">F.X. Shields</x:t>
        </x:is>
      </x:c>
      <x:c r="T182" t="inlineStr">
        <x:is>
          <x:t xml:space="preserve">USA</x:t>
        </x:is>
      </x:c>
      <x:c r="U182" t="inlineStr">
        <x:is>
          <x:t xml:space="preserve">United States</x:t>
        </x:is>
      </x:c>
      <x:c r="V182" t="n">
        <x:v>3</x:v>
      </x:c>
      <x:c r="W182" t="n">
        <x:v>0</x:v>
      </x:c>
      <x:c r="Y182" t="inlineStr">
        <x:is>
          <x:t xml:space="preserve">Walkover</x:t>
        </x:is>
      </x:c>
      <x:c r="Z182" t="inlineStr">
        <x:is>
          <x:t xml:space="preserve">Unavailable (not imputed)</x:t>
        </x:is>
      </x:c>
      <x:c r="AA182" t="n">
        <x:v>1</x:v>
      </x:c>
      <x:c r="AB182" t="inlineStr">
        <x:is>
          <x:t xml:space="preserve">No</x:t>
        </x:is>
      </x:c>
      <x:c r="AC182" t="inlineStr">
        <x:is>
          <x:t xml:space="preserve">1930s</x:t>
        </x:is>
      </x:c>
      <x:c r="AD182" t="inlineStr">
        <x:is>
          <x:t xml:space="preserve">Seeded</x:t>
        </x:is>
      </x:c>
      <x:c r="AE182" t="inlineStr">
        <x:is>
          <x:t xml:space="preserve">Seeded</x:t>
        </x:is>
      </x:c>
    </x:row>
    <x:row r="183">
      <x:c r="A183" t="n">
        <x:v>1930</x:v>
      </x:c>
      <x:c r="B183" t="inlineStr">
        <x:is>
          <x:t xml:space="preserve">Women's</x:t>
        </x:is>
      </x:c>
      <x:c r="C183" t="inlineStr">
        <x:is>
          <x:t xml:space="preserve">H.W. Moody</x:t>
        </x:is>
      </x:c>
      <x:c r="D183" t="inlineStr">
        <x:is>
          <x:t xml:space="preserve">USA</x:t>
        </x:is>
      </x:c>
      <x:c r="E183" t="inlineStr">
        <x:is>
          <x:t xml:space="preserve">United States</x:t>
        </x:is>
      </x:c>
      <x:c r="F183" t="n">
        <x:v>1</x:v>
      </x:c>
      <x:c r="G183" s="35" t="n"/>
      <x:c r="H183" t="inlineStr">
        <x:is>
          <x:t xml:space="preserve">6-2, 6-2</x:t>
        </x:is>
      </x:c>
      <x:c r="I183" t="n">
        <x:v>6</x:v>
      </x:c>
      <x:c r="J183" t="n">
        <x:v>2</x:v>
      </x:c>
      <x:c r="K183" t="n">
        <x:v>6</x:v>
      </x:c>
      <x:c r="L183" t="n">
        <x:v>2</x:v>
      </x:c>
      <x:c r="S183" t="inlineStr">
        <x:is>
          <x:t xml:space="preserve">E.M. Ryan</x:t>
        </x:is>
      </x:c>
      <x:c r="T183" t="inlineStr">
        <x:is>
          <x:t xml:space="preserve">USA</x:t>
        </x:is>
      </x:c>
      <x:c r="U183" t="inlineStr">
        <x:is>
          <x:t xml:space="preserve">United States</x:t>
        </x:is>
      </x:c>
      <x:c r="V183" t="n">
        <x:v>8</x:v>
      </x:c>
      <x:c r="W183" t="n">
        <x:v>2</x:v>
      </x:c>
      <x:c r="X183" t="n">
        <x:v>16</x:v>
      </x:c>
      <x:c r="Y183" t="inlineStr">
        <x:is>
          <x:t xml:space="preserve">Completed</x:t>
        </x:is>
      </x:c>
      <x:c r="Z183" t="inlineStr">
        <x:is>
          <x:t xml:space="preserve">Unavailable (not imputed)</x:t>
        </x:is>
      </x:c>
      <x:c r="AA183" t="n">
        <x:v>8</x:v>
      </x:c>
      <x:c r="AB183" t="inlineStr">
        <x:is>
          <x:t xml:space="preserve">Yes</x:t>
        </x:is>
      </x:c>
      <x:c r="AC183" t="inlineStr">
        <x:is>
          <x:t xml:space="preserve">1930s</x:t>
        </x:is>
      </x:c>
      <x:c r="AD183" t="inlineStr">
        <x:is>
          <x:t xml:space="preserve">Seeded</x:t>
        </x:is>
      </x:c>
      <x:c r="AE183" t="inlineStr">
        <x:is>
          <x:t xml:space="preserve">Seeded</x:t>
        </x:is>
      </x:c>
    </x:row>
    <x:row r="184">
      <x:c r="A184" t="n">
        <x:v>1930</x:v>
      </x:c>
      <x:c r="B184" t="inlineStr">
        <x:is>
          <x:t xml:space="preserve">Men's</x:t>
        </x:is>
      </x:c>
      <x:c r="C184" t="inlineStr">
        <x:is>
          <x:t xml:space="preserve">W.T. Tilden</x:t>
        </x:is>
      </x:c>
      <x:c r="D184" t="inlineStr">
        <x:is>
          <x:t xml:space="preserve">USA</x:t>
        </x:is>
      </x:c>
      <x:c r="E184" t="inlineStr">
        <x:is>
          <x:t xml:space="preserve">United States</x:t>
        </x:is>
      </x:c>
      <x:c r="F184" t="n">
        <x:v>2</x:v>
      </x:c>
      <x:c r="G184" t="n">
        <x:v>70</x:v>
      </x:c>
      <x:c r="H184" t="inlineStr">
        <x:is>
          <x:t xml:space="preserve">6-3, 9-7, 6-4</x:t>
        </x:is>
      </x:c>
      <x:c r="I184" t="n">
        <x:v>6</x:v>
      </x:c>
      <x:c r="J184" t="n">
        <x:v>3</x:v>
      </x:c>
      <x:c r="K184" t="n">
        <x:v>9</x:v>
      </x:c>
      <x:c r="L184" t="n">
        <x:v>7</x:v>
      </x:c>
      <x:c r="M184" t="n">
        <x:v>6</x:v>
      </x:c>
      <x:c r="N184" t="n">
        <x:v>4</x:v>
      </x:c>
      <x:c r="S184" t="inlineStr">
        <x:is>
          <x:t xml:space="preserve">W.L. Allison</x:t>
        </x:is>
      </x:c>
      <x:c r="T184" t="inlineStr">
        <x:is>
          <x:t xml:space="preserve">USA</x:t>
        </x:is>
      </x:c>
      <x:c r="U184" t="inlineStr">
        <x:is>
          <x:t xml:space="preserve">United States</x:t>
        </x:is>
      </x:c>
      <x:c r="V184" t="inlineStr">
        <x:is>
          <x:t xml:space="preserve">U</x:t>
        </x:is>
      </x:c>
      <x:c r="W184" t="n">
        <x:v>3</x:v>
      </x:c>
      <x:c r="X184" t="n">
        <x:v>35</x:v>
      </x:c>
      <x:c r="Y184" t="inlineStr">
        <x:is>
          <x:t xml:space="preserve">Completed</x:t>
        </x:is>
      </x:c>
      <x:c r="Z184" t="inlineStr">
        <x:is>
          <x:t xml:space="preserve">Recorded</x:t>
        </x:is>
      </x:c>
      <x:c r="AA184" t="n">
        <x:v>3</x:v>
      </x:c>
      <x:c r="AB184" t="inlineStr">
        <x:is>
          <x:t xml:space="preserve">No</x:t>
        </x:is>
      </x:c>
      <x:c r="AC184" t="inlineStr">
        <x:is>
          <x:t xml:space="preserve">1930s</x:t>
        </x:is>
      </x:c>
      <x:c r="AD184" t="inlineStr">
        <x:is>
          <x:t xml:space="preserve">Seeded</x:t>
        </x:is>
      </x:c>
      <x:c r="AE184" t="inlineStr">
        <x:is>
          <x:t xml:space="preserve">Unseeded/unknown</x:t>
        </x:is>
      </x:c>
    </x:row>
    <x:row r="185">
      <x:c r="A185" t="n">
        <x:v>1929</x:v>
      </x:c>
      <x:c r="B185" t="inlineStr">
        <x:is>
          <x:t xml:space="preserve">Women's</x:t>
        </x:is>
      </x:c>
      <x:c r="C185" t="inlineStr">
        <x:is>
          <x:t xml:space="preserve">H.W. Moody</x:t>
        </x:is>
      </x:c>
      <x:c r="D185" t="inlineStr">
        <x:is>
          <x:t xml:space="preserve">USA</x:t>
        </x:is>
      </x:c>
      <x:c r="E185" t="inlineStr">
        <x:is>
          <x:t xml:space="preserve">United States</x:t>
        </x:is>
      </x:c>
      <x:c r="F185" t="n">
        <x:v>1</x:v>
      </x:c>
      <x:c r="G185" s="35" t="n"/>
      <x:c r="H185" t="inlineStr">
        <x:is>
          <x:t xml:space="preserve">6-1, 6-2</x:t>
        </x:is>
      </x:c>
      <x:c r="I185" t="n">
        <x:v>6</x:v>
      </x:c>
      <x:c r="J185" t="n">
        <x:v>1</x:v>
      </x:c>
      <x:c r="K185" t="n">
        <x:v>6</x:v>
      </x:c>
      <x:c r="L185" t="n">
        <x:v>2</x:v>
      </x:c>
      <x:c r="S185" t="inlineStr">
        <x:is>
          <x:t xml:space="preserve">H.H. Jacobs</x:t>
        </x:is>
      </x:c>
      <x:c r="T185" t="inlineStr">
        <x:is>
          <x:t xml:space="preserve">USA</x:t>
        </x:is>
      </x:c>
      <x:c r="U185" t="inlineStr">
        <x:is>
          <x:t xml:space="preserve">United States</x:t>
        </x:is>
      </x:c>
      <x:c r="V185" t="n">
        <x:v>5</x:v>
      </x:c>
      <x:c r="W185" t="n">
        <x:v>2</x:v>
      </x:c>
      <x:c r="X185" t="n">
        <x:v>15</x:v>
      </x:c>
      <x:c r="Y185" t="inlineStr">
        <x:is>
          <x:t xml:space="preserve">Completed</x:t>
        </x:is>
      </x:c>
      <x:c r="Z185" t="inlineStr">
        <x:is>
          <x:t xml:space="preserve">Unavailable (not imputed)</x:t>
        </x:is>
      </x:c>
      <x:c r="AA185" t="n">
        <x:v>8</x:v>
      </x:c>
      <x:c r="AB185" t="inlineStr">
        <x:is>
          <x:t xml:space="preserve">Yes</x:t>
        </x:is>
      </x:c>
      <x:c r="AC185" t="inlineStr">
        <x:is>
          <x:t xml:space="preserve">1920s</x:t>
        </x:is>
      </x:c>
      <x:c r="AD185" t="inlineStr">
        <x:is>
          <x:t xml:space="preserve">Seeded</x:t>
        </x:is>
      </x:c>
      <x:c r="AE185" t="inlineStr">
        <x:is>
          <x:t xml:space="preserve">Seeded</x:t>
        </x:is>
      </x:c>
    </x:row>
    <x:row r="186">
      <x:c r="A186" t="n">
        <x:v>1929</x:v>
      </x:c>
      <x:c r="B186" t="inlineStr">
        <x:is>
          <x:t xml:space="preserve">Men's</x:t>
        </x:is>
      </x:c>
      <x:c r="C186" t="inlineStr">
        <x:is>
          <x:t xml:space="preserve">H.J. Cochet</x:t>
        </x:is>
      </x:c>
      <x:c r="D186" t="inlineStr">
        <x:is>
          <x:t xml:space="preserve">FRA</x:t>
        </x:is>
      </x:c>
      <x:c r="E186" t="inlineStr">
        <x:is>
          <x:t xml:space="preserve">France</x:t>
        </x:is>
      </x:c>
      <x:c r="F186" t="n">
        <x:v>1</x:v>
      </x:c>
      <x:c r="G186" t="n">
        <x:v>60</x:v>
      </x:c>
      <x:c r="H186" t="inlineStr">
        <x:is>
          <x:t xml:space="preserve">6-4, 6-3, 6-4</x:t>
        </x:is>
      </x:c>
      <x:c r="I186" t="n">
        <x:v>6</x:v>
      </x:c>
      <x:c r="J186" t="n">
        <x:v>4</x:v>
      </x:c>
      <x:c r="K186" t="n">
        <x:v>6</x:v>
      </x:c>
      <x:c r="L186" t="n">
        <x:v>3</x:v>
      </x:c>
      <x:c r="M186" t="n">
        <x:v>6</x:v>
      </x:c>
      <x:c r="N186" t="n">
        <x:v>4</x:v>
      </x:c>
      <x:c r="S186" t="inlineStr">
        <x:is>
          <x:t xml:space="preserve">J.R. Borotra</x:t>
        </x:is>
      </x:c>
      <x:c r="T186" t="inlineStr">
        <x:is>
          <x:t xml:space="preserve">FRA</x:t>
        </x:is>
      </x:c>
      <x:c r="U186" t="inlineStr">
        <x:is>
          <x:t xml:space="preserve">France</x:t>
        </x:is>
      </x:c>
      <x:c r="V186" t="n">
        <x:v>2</x:v>
      </x:c>
      <x:c r="W186" t="n">
        <x:v>3</x:v>
      </x:c>
      <x:c r="X186" t="n">
        <x:v>29</x:v>
      </x:c>
      <x:c r="Y186" t="inlineStr">
        <x:is>
          <x:t xml:space="preserve">Completed</x:t>
        </x:is>
      </x:c>
      <x:c r="Z186" t="inlineStr">
        <x:is>
          <x:t xml:space="preserve">Recorded</x:t>
        </x:is>
      </x:c>
      <x:c r="AA186" t="n">
        <x:v>2</x:v>
      </x:c>
      <x:c r="AB186" t="inlineStr">
        <x:is>
          <x:t xml:space="preserve">No</x:t>
        </x:is>
      </x:c>
      <x:c r="AC186" t="inlineStr">
        <x:is>
          <x:t xml:space="preserve">1920s</x:t>
        </x:is>
      </x:c>
      <x:c r="AD186" t="inlineStr">
        <x:is>
          <x:t xml:space="preserve">Seeded</x:t>
        </x:is>
      </x:c>
      <x:c r="AE186" t="inlineStr">
        <x:is>
          <x:t xml:space="preserve">Seeded</x:t>
        </x:is>
      </x:c>
    </x:row>
    <x:row r="187">
      <x:c r="A187" t="n">
        <x:v>1928</x:v>
      </x:c>
      <x:c r="B187" t="inlineStr">
        <x:is>
          <x:t xml:space="preserve">Women's</x:t>
        </x:is>
      </x:c>
      <x:c r="C187" t="inlineStr">
        <x:is>
          <x:t xml:space="preserve">H.W. Moody</x:t>
        </x:is>
      </x:c>
      <x:c r="D187" t="inlineStr">
        <x:is>
          <x:t xml:space="preserve">USA</x:t>
        </x:is>
      </x:c>
      <x:c r="E187" t="inlineStr">
        <x:is>
          <x:t xml:space="preserve">United States</x:t>
        </x:is>
      </x:c>
      <x:c r="F187" t="n">
        <x:v>1</x:v>
      </x:c>
      <x:c r="G187" s="35" t="n"/>
      <x:c r="H187" t="inlineStr">
        <x:is>
          <x:t xml:space="preserve">6-2, 6-3</x:t>
        </x:is>
      </x:c>
      <x:c r="I187" t="n">
        <x:v>6</x:v>
      </x:c>
      <x:c r="J187" t="n">
        <x:v>2</x:v>
      </x:c>
      <x:c r="K187" t="n">
        <x:v>6</x:v>
      </x:c>
      <x:c r="L187" t="n">
        <x:v>3</x:v>
      </x:c>
      <x:c r="S187" t="inlineStr">
        <x:is>
          <x:t xml:space="preserve">E.M. de Alvarez</x:t>
        </x:is>
      </x:c>
      <x:c r="T187" t="inlineStr">
        <x:is>
          <x:t xml:space="preserve">ESP</x:t>
        </x:is>
      </x:c>
      <x:c r="U187" t="inlineStr">
        <x:is>
          <x:t xml:space="preserve">Spain</x:t>
        </x:is>
      </x:c>
      <x:c r="V187" t="n">
        <x:v>2</x:v>
      </x:c>
      <x:c r="W187" t="n">
        <x:v>2</x:v>
      </x:c>
      <x:c r="X187" t="n">
        <x:v>17</x:v>
      </x:c>
      <x:c r="Y187" t="inlineStr">
        <x:is>
          <x:t xml:space="preserve">Completed</x:t>
        </x:is>
      </x:c>
      <x:c r="Z187" t="inlineStr">
        <x:is>
          <x:t xml:space="preserve">Unavailable (not imputed)</x:t>
        </x:is>
      </x:c>
      <x:c r="AA187" t="n">
        <x:v>8</x:v>
      </x:c>
      <x:c r="AB187" t="inlineStr">
        <x:is>
          <x:t xml:space="preserve">Yes</x:t>
        </x:is>
      </x:c>
      <x:c r="AC187" t="inlineStr">
        <x:is>
          <x:t xml:space="preserve">1920s</x:t>
        </x:is>
      </x:c>
      <x:c r="AD187" t="inlineStr">
        <x:is>
          <x:t xml:space="preserve">Seeded</x:t>
        </x:is>
      </x:c>
      <x:c r="AE187" t="inlineStr">
        <x:is>
          <x:t xml:space="preserve">Seeded</x:t>
        </x:is>
      </x:c>
    </x:row>
    <x:row r="188">
      <x:c r="A188" t="n">
        <x:v>1928</x:v>
      </x:c>
      <x:c r="B188" t="inlineStr">
        <x:is>
          <x:t xml:space="preserve">Men's</x:t>
        </x:is>
      </x:c>
      <x:c r="C188" t="inlineStr">
        <x:is>
          <x:t xml:space="preserve">J.R. Lacoste</x:t>
        </x:is>
      </x:c>
      <x:c r="D188" t="inlineStr">
        <x:is>
          <x:t xml:space="preserve">FRA</x:t>
        </x:is>
      </x:c>
      <x:c r="E188" t="inlineStr">
        <x:is>
          <x:t xml:space="preserve">France</x:t>
        </x:is>
      </x:c>
      <x:c r="F188" t="n">
        <x:v>2</x:v>
      </x:c>
      <x:c r="G188" s="35" t="n"/>
      <x:c r="H188" t="inlineStr">
        <x:is>
          <x:t xml:space="preserve">6-1, 4-6, 6-4, 6-2</x:t>
        </x:is>
      </x:c>
      <x:c r="I188" t="n">
        <x:v>6</x:v>
      </x:c>
      <x:c r="J188" t="n">
        <x:v>1</x:v>
      </x:c>
      <x:c r="K188" t="n">
        <x:v>4</x:v>
      </x:c>
      <x:c r="L188" t="n">
        <x:v>6</x:v>
      </x:c>
      <x:c r="M188" t="n">
        <x:v>6</x:v>
      </x:c>
      <x:c r="N188" t="n">
        <x:v>4</x:v>
      </x:c>
      <x:c r="O188" t="n">
        <x:v>6</x:v>
      </x:c>
      <x:c r="P188" t="n">
        <x:v>2</x:v>
      </x:c>
      <x:c r="S188" t="inlineStr">
        <x:is>
          <x:t xml:space="preserve">H.J. Cochet</x:t>
        </x:is>
      </x:c>
      <x:c r="T188" t="inlineStr">
        <x:is>
          <x:t xml:space="preserve">FRA</x:t>
        </x:is>
      </x:c>
      <x:c r="U188" t="inlineStr">
        <x:is>
          <x:t xml:space="preserve">France</x:t>
        </x:is>
      </x:c>
      <x:c r="V188" t="n">
        <x:v>1</x:v>
      </x:c>
      <x:c r="W188" t="n">
        <x:v>4</x:v>
      </x:c>
      <x:c r="X188" t="n">
        <x:v>35</x:v>
      </x:c>
      <x:c r="Y188" t="inlineStr">
        <x:is>
          <x:t xml:space="preserve">Completed</x:t>
        </x:is>
      </x:c>
      <x:c r="Z188" t="inlineStr">
        <x:is>
          <x:t xml:space="preserve">Unavailable (not imputed)</x:t>
        </x:is>
      </x:c>
      <x:c r="AA188" t="n">
        <x:v>2</x:v>
      </x:c>
      <x:c r="AB188" t="inlineStr">
        <x:is>
          <x:t xml:space="preserve">No</x:t>
        </x:is>
      </x:c>
      <x:c r="AC188" t="inlineStr">
        <x:is>
          <x:t xml:space="preserve">1920s</x:t>
        </x:is>
      </x:c>
      <x:c r="AD188" t="inlineStr">
        <x:is>
          <x:t xml:space="preserve">Seeded</x:t>
        </x:is>
      </x:c>
      <x:c r="AE188" t="inlineStr">
        <x:is>
          <x:t xml:space="preserve">Seeded</x:t>
        </x:is>
      </x:c>
    </x:row>
    <x:row r="189">
      <x:c r="A189" t="n">
        <x:v>1927</x:v>
      </x:c>
      <x:c r="B189" t="inlineStr">
        <x:is>
          <x:t xml:space="preserve">Women's</x:t>
        </x:is>
      </x:c>
      <x:c r="C189" t="inlineStr">
        <x:is>
          <x:t xml:space="preserve">H.W. Moody</x:t>
        </x:is>
      </x:c>
      <x:c r="D189" t="inlineStr">
        <x:is>
          <x:t xml:space="preserve">USA</x:t>
        </x:is>
      </x:c>
      <x:c r="E189" t="inlineStr">
        <x:is>
          <x:t xml:space="preserve">United States</x:t>
        </x:is>
      </x:c>
      <x:c r="F189" t="n">
        <x:v>1</x:v>
      </x:c>
      <x:c r="G189" s="35" t="n"/>
      <x:c r="H189" t="inlineStr">
        <x:is>
          <x:t xml:space="preserve">6-2, 6-4</x:t>
        </x:is>
      </x:c>
      <x:c r="I189" t="n">
        <x:v>6</x:v>
      </x:c>
      <x:c r="J189" t="n">
        <x:v>2</x:v>
      </x:c>
      <x:c r="K189" t="n">
        <x:v>6</x:v>
      </x:c>
      <x:c r="L189" t="n">
        <x:v>4</x:v>
      </x:c>
      <x:c r="S189" t="inlineStr">
        <x:is>
          <x:t xml:space="preserve">E.M. de Alvarez</x:t>
        </x:is>
      </x:c>
      <x:c r="T189" t="inlineStr">
        <x:is>
          <x:t xml:space="preserve">ESP</x:t>
        </x:is>
      </x:c>
      <x:c r="U189" t="inlineStr">
        <x:is>
          <x:t xml:space="preserve">Spain</x:t>
        </x:is>
      </x:c>
      <x:c r="V189" t="n">
        <x:v>4</x:v>
      </x:c>
      <x:c r="W189" t="n">
        <x:v>2</x:v>
      </x:c>
      <x:c r="X189" t="n">
        <x:v>18</x:v>
      </x:c>
      <x:c r="Y189" t="inlineStr">
        <x:is>
          <x:t xml:space="preserve">Completed</x:t>
        </x:is>
      </x:c>
      <x:c r="Z189" t="inlineStr">
        <x:is>
          <x:t xml:space="preserve">Unavailable (not imputed)</x:t>
        </x:is>
      </x:c>
      <x:c r="AA189" t="n">
        <x:v>8</x:v>
      </x:c>
      <x:c r="AB189" t="inlineStr">
        <x:is>
          <x:t xml:space="preserve">Yes</x:t>
        </x:is>
      </x:c>
      <x:c r="AC189" t="inlineStr">
        <x:is>
          <x:t xml:space="preserve">1920s</x:t>
        </x:is>
      </x:c>
      <x:c r="AD189" t="inlineStr">
        <x:is>
          <x:t xml:space="preserve">Seeded</x:t>
        </x:is>
      </x:c>
      <x:c r="AE189" t="inlineStr">
        <x:is>
          <x:t xml:space="preserve">Seeded</x:t>
        </x:is>
      </x:c>
    </x:row>
    <x:row r="190">
      <x:c r="A190" t="n">
        <x:v>1927</x:v>
      </x:c>
      <x:c r="B190" t="inlineStr">
        <x:is>
          <x:t xml:space="preserve">Men's</x:t>
        </x:is>
      </x:c>
      <x:c r="C190" t="inlineStr">
        <x:is>
          <x:t xml:space="preserve">H.J. Cochet</x:t>
        </x:is>
      </x:c>
      <x:c r="D190" t="inlineStr">
        <x:is>
          <x:t xml:space="preserve">FRA</x:t>
        </x:is>
      </x:c>
      <x:c r="E190" t="inlineStr">
        <x:is>
          <x:t xml:space="preserve">France</x:t>
        </x:is>
      </x:c>
      <x:c r="F190" t="n">
        <x:v>4</x:v>
      </x:c>
      <x:c r="G190" s="35" t="n"/>
      <x:c r="H190" t="inlineStr">
        <x:is>
          <x:t xml:space="preserve">4-6, 4-6, 6-3, 6-4, 7-5</x:t>
        </x:is>
      </x:c>
      <x:c r="I190" t="n">
        <x:v>4</x:v>
      </x:c>
      <x:c r="J190" t="n">
        <x:v>6</x:v>
      </x:c>
      <x:c r="K190" t="n">
        <x:v>4</x:v>
      </x:c>
      <x:c r="L190" t="n">
        <x:v>6</x:v>
      </x:c>
      <x:c r="M190" t="n">
        <x:v>6</x:v>
      </x:c>
      <x:c r="N190" t="n">
        <x:v>3</x:v>
      </x:c>
      <x:c r="O190" t="n">
        <x:v>6</x:v>
      </x:c>
      <x:c r="P190" t="n">
        <x:v>4</x:v>
      </x:c>
      <x:c r="Q190" t="n">
        <x:v>7</x:v>
      </x:c>
      <x:c r="R190" t="n">
        <x:v>5</x:v>
      </x:c>
      <x:c r="S190" t="inlineStr">
        <x:is>
          <x:t xml:space="preserve">J.R. Borotra</x:t>
        </x:is>
      </x:c>
      <x:c r="T190" t="inlineStr">
        <x:is>
          <x:t xml:space="preserve">FRA</x:t>
        </x:is>
      </x:c>
      <x:c r="U190" t="inlineStr">
        <x:is>
          <x:t xml:space="preserve">France</x:t>
        </x:is>
      </x:c>
      <x:c r="V190" t="n">
        <x:v>3</x:v>
      </x:c>
      <x:c r="W190" t="n">
        <x:v>5</x:v>
      </x:c>
      <x:c r="X190" t="n">
        <x:v>51</x:v>
      </x:c>
      <x:c r="Y190" t="inlineStr">
        <x:is>
          <x:t xml:space="preserve">Completed</x:t>
        </x:is>
      </x:c>
      <x:c r="Z190" t="inlineStr">
        <x:is>
          <x:t xml:space="preserve">Unavailable (not imputed)</x:t>
        </x:is>
      </x:c>
      <x:c r="AA190" t="n">
        <x:v>2</x:v>
      </x:c>
      <x:c r="AB190" t="inlineStr">
        <x:is>
          <x:t xml:space="preserve">No</x:t>
        </x:is>
      </x:c>
      <x:c r="AC190" t="inlineStr">
        <x:is>
          <x:t xml:space="preserve">1920s</x:t>
        </x:is>
      </x:c>
      <x:c r="AD190" t="inlineStr">
        <x:is>
          <x:t xml:space="preserve">Seeded</x:t>
        </x:is>
      </x:c>
      <x:c r="AE190" t="inlineStr">
        <x:is>
          <x:t xml:space="preserve">Seeded</x:t>
        </x:is>
      </x:c>
    </x:row>
    <x:row r="191">
      <x:c r="A191" t="n">
        <x:v>1926</x:v>
      </x:c>
      <x:c r="B191" t="inlineStr">
        <x:is>
          <x:t xml:space="preserve">Women's</x:t>
        </x:is>
      </x:c>
      <x:c r="C191" t="inlineStr">
        <x:is>
          <x:t xml:space="preserve">L.A. Godfree</x:t>
        </x:is>
      </x:c>
      <x:c r="D191" t="inlineStr">
        <x:is>
          <x:t xml:space="preserve">GBR</x:t>
        </x:is>
      </x:c>
      <x:c r="E191" t="inlineStr">
        <x:is>
          <x:t xml:space="preserve">United Kingdom</x:t>
        </x:is>
      </x:c>
      <x:c r="G191" t="n">
        <x:v>60</x:v>
      </x:c>
      <x:c r="H191" t="inlineStr">
        <x:is>
          <x:t xml:space="preserve">6-2, 4-6, 6-3</x:t>
        </x:is>
      </x:c>
      <x:c r="I191" t="n">
        <x:v>6</x:v>
      </x:c>
      <x:c r="J191" t="n">
        <x:v>2</x:v>
      </x:c>
      <x:c r="K191" t="n">
        <x:v>4</x:v>
      </x:c>
      <x:c r="L191" t="n">
        <x:v>6</x:v>
      </x:c>
      <x:c r="M191" t="n">
        <x:v>6</x:v>
      </x:c>
      <x:c r="N191" t="n">
        <x:v>3</x:v>
      </x:c>
      <x:c r="S191" t="inlineStr">
        <x:is>
          <x:t xml:space="preserve">E.M. de Alvarez</x:t>
        </x:is>
      </x:c>
      <x:c r="T191" t="inlineStr">
        <x:is>
          <x:t xml:space="preserve">ESP</x:t>
        </x:is>
      </x:c>
      <x:c r="U191" t="inlineStr">
        <x:is>
          <x:t xml:space="preserve">Spain</x:t>
        </x:is>
      </x:c>
      <x:c r="W191" t="n">
        <x:v>3</x:v>
      </x:c>
      <x:c r="X191" t="n">
        <x:v>27</x:v>
      </x:c>
      <x:c r="Y191" t="inlineStr">
        <x:is>
          <x:t xml:space="preserve">Completed</x:t>
        </x:is>
      </x:c>
      <x:c r="Z191" t="inlineStr">
        <x:is>
          <x:t xml:space="preserve">Recorded</x:t>
        </x:is>
      </x:c>
      <x:c r="AA191" t="n">
        <x:v>1</x:v>
      </x:c>
      <x:c r="AB191" t="inlineStr">
        <x:is>
          <x:t xml:space="preserve">No</x:t>
        </x:is>
      </x:c>
      <x:c r="AC191" t="inlineStr">
        <x:is>
          <x:t xml:space="preserve">1920s</x:t>
        </x:is>
      </x:c>
      <x:c r="AD191" t="inlineStr">
        <x:is>
          <x:t xml:space="preserve">Unseeded/unknown</x:t>
        </x:is>
      </x:c>
      <x:c r="AE191" t="inlineStr">
        <x:is>
          <x:t xml:space="preserve">Unseeded/unknown</x:t>
        </x:is>
      </x:c>
    </x:row>
    <x:row r="192">
      <x:c r="A192" t="n">
        <x:v>1926</x:v>
      </x:c>
      <x:c r="B192" t="inlineStr">
        <x:is>
          <x:t xml:space="preserve">Men's</x:t>
        </x:is>
      </x:c>
      <x:c r="C192" t="inlineStr">
        <x:is>
          <x:t xml:space="preserve">J.R. Borotra</x:t>
        </x:is>
      </x:c>
      <x:c r="D192" t="inlineStr">
        <x:is>
          <x:t xml:space="preserve">FRA</x:t>
        </x:is>
      </x:c>
      <x:c r="E192" t="inlineStr">
        <x:is>
          <x:t xml:space="preserve">France</x:t>
        </x:is>
      </x:c>
      <x:c r="G192" t="n">
        <x:v>65</x:v>
      </x:c>
      <x:c r="H192" t="inlineStr">
        <x:is>
          <x:t xml:space="preserve">8-6, 6-1, 6-3</x:t>
        </x:is>
      </x:c>
      <x:c r="I192" t="n">
        <x:v>8</x:v>
      </x:c>
      <x:c r="J192" t="n">
        <x:v>6</x:v>
      </x:c>
      <x:c r="K192" t="n">
        <x:v>6</x:v>
      </x:c>
      <x:c r="L192" t="n">
        <x:v>1</x:v>
      </x:c>
      <x:c r="M192" t="n">
        <x:v>6</x:v>
      </x:c>
      <x:c r="N192" t="n">
        <x:v>3</x:v>
      </x:c>
      <x:c r="S192" t="inlineStr">
        <x:is>
          <x:t xml:space="preserve">H.O. Kinsey</x:t>
        </x:is>
      </x:c>
      <x:c r="T192" t="inlineStr">
        <x:is>
          <x:t xml:space="preserve">USA</x:t>
        </x:is>
      </x:c>
      <x:c r="U192" t="inlineStr">
        <x:is>
          <x:t xml:space="preserve">United States</x:t>
        </x:is>
      </x:c>
      <x:c r="W192" t="n">
        <x:v>3</x:v>
      </x:c>
      <x:c r="X192" t="n">
        <x:v>30</x:v>
      </x:c>
      <x:c r="Y192" t="inlineStr">
        <x:is>
          <x:t xml:space="preserve">Completed</x:t>
        </x:is>
      </x:c>
      <x:c r="Z192" t="inlineStr">
        <x:is>
          <x:t xml:space="preserve">Recorded</x:t>
        </x:is>
      </x:c>
      <x:c r="AA192" t="n">
        <x:v>2</x:v>
      </x:c>
      <x:c r="AB192" t="inlineStr">
        <x:is>
          <x:t xml:space="preserve">No</x:t>
        </x:is>
      </x:c>
      <x:c r="AC192" t="inlineStr">
        <x:is>
          <x:t xml:space="preserve">1920s</x:t>
        </x:is>
      </x:c>
      <x:c r="AD192" t="inlineStr">
        <x:is>
          <x:t xml:space="preserve">Unseeded/unknown</x:t>
        </x:is>
      </x:c>
      <x:c r="AE192" t="inlineStr">
        <x:is>
          <x:t xml:space="preserve">Unseeded/unknown</x:t>
        </x:is>
      </x:c>
    </x:row>
    <x:row r="193">
      <x:c r="A193" t="n">
        <x:v>1925</x:v>
      </x:c>
      <x:c r="B193" t="inlineStr">
        <x:is>
          <x:t xml:space="preserve">Women's</x:t>
        </x:is>
      </x:c>
      <x:c r="C193" t="inlineStr">
        <x:is>
          <x:t xml:space="preserve">S.R.F. Lenglen</x:t>
        </x:is>
      </x:c>
      <x:c r="D193" t="inlineStr">
        <x:is>
          <x:t xml:space="preserve">FRA</x:t>
        </x:is>
      </x:c>
      <x:c r="E193" t="inlineStr">
        <x:is>
          <x:t xml:space="preserve">France</x:t>
        </x:is>
      </x:c>
      <x:c r="G193" t="n">
        <x:v>25</x:v>
      </x:c>
      <x:c r="H193" t="inlineStr">
        <x:is>
          <x:t xml:space="preserve">6-2, 6-0</x:t>
        </x:is>
      </x:c>
      <x:c r="I193" t="n">
        <x:v>6</x:v>
      </x:c>
      <x:c r="J193" t="n">
        <x:v>2</x:v>
      </x:c>
      <x:c r="K193" t="n">
        <x:v>6</x:v>
      </x:c>
      <x:c r="L193" t="n">
        <x:v>0</x:v>
      </x:c>
      <x:c r="S193" t="inlineStr">
        <x:is>
          <x:t xml:space="preserve">J.C. Fry</x:t>
        </x:is>
      </x:c>
      <x:c r="T193" t="inlineStr">
        <x:is>
          <x:t xml:space="preserve">GBR</x:t>
        </x:is>
      </x:c>
      <x:c r="U193" t="inlineStr">
        <x:is>
          <x:t xml:space="preserve">United Kingdom</x:t>
        </x:is>
      </x:c>
      <x:c r="W193" t="n">
        <x:v>2</x:v>
      </x:c>
      <x:c r="X193" t="n">
        <x:v>14</x:v>
      </x:c>
      <x:c r="Y193" t="inlineStr">
        <x:is>
          <x:t xml:space="preserve">Completed</x:t>
        </x:is>
      </x:c>
      <x:c r="Z193" t="inlineStr">
        <x:is>
          <x:t xml:space="preserve">Recorded</x:t>
        </x:is>
      </x:c>
      <x:c r="AA193" t="n">
        <x:v>6</x:v>
      </x:c>
      <x:c r="AB193" t="inlineStr">
        <x:is>
          <x:t xml:space="preserve">Yes</x:t>
        </x:is>
      </x:c>
      <x:c r="AC193" t="inlineStr">
        <x:is>
          <x:t xml:space="preserve">1920s</x:t>
        </x:is>
      </x:c>
      <x:c r="AD193" t="inlineStr">
        <x:is>
          <x:t xml:space="preserve">Unseeded/unknown</x:t>
        </x:is>
      </x:c>
      <x:c r="AE193" t="inlineStr">
        <x:is>
          <x:t xml:space="preserve">Unseeded/unknown</x:t>
        </x:is>
      </x:c>
    </x:row>
    <x:row r="194">
      <x:c r="A194" t="n">
        <x:v>1925</x:v>
      </x:c>
      <x:c r="B194" t="inlineStr">
        <x:is>
          <x:t xml:space="preserve">Men's</x:t>
        </x:is>
      </x:c>
      <x:c r="C194" t="inlineStr">
        <x:is>
          <x:t xml:space="preserve">J.R. Lacoste</x:t>
        </x:is>
      </x:c>
      <x:c r="D194" t="inlineStr">
        <x:is>
          <x:t xml:space="preserve">FRA</x:t>
        </x:is>
      </x:c>
      <x:c r="E194" t="inlineStr">
        <x:is>
          <x:t xml:space="preserve">France</x:t>
        </x:is>
      </x:c>
      <x:c r="G194" s="35" t="n"/>
      <x:c r="H194" t="inlineStr">
        <x:is>
          <x:t xml:space="preserve">6-3, 6-3, 4-6, 8-6</x:t>
        </x:is>
      </x:c>
      <x:c r="I194" t="n">
        <x:v>6</x:v>
      </x:c>
      <x:c r="J194" t="n">
        <x:v>3</x:v>
      </x:c>
      <x:c r="K194" t="n">
        <x:v>6</x:v>
      </x:c>
      <x:c r="L194" t="n">
        <x:v>3</x:v>
      </x:c>
      <x:c r="M194" t="n">
        <x:v>4</x:v>
      </x:c>
      <x:c r="N194" t="n">
        <x:v>6</x:v>
      </x:c>
      <x:c r="O194" t="n">
        <x:v>8</x:v>
      </x:c>
      <x:c r="P194" t="n">
        <x:v>6</x:v>
      </x:c>
      <x:c r="S194" t="inlineStr">
        <x:is>
          <x:t xml:space="preserve">J.R. Borotra</x:t>
        </x:is>
      </x:c>
      <x:c r="T194" t="inlineStr">
        <x:is>
          <x:t xml:space="preserve">FRA</x:t>
        </x:is>
      </x:c>
      <x:c r="U194" t="inlineStr">
        <x:is>
          <x:t xml:space="preserve">France</x:t>
        </x:is>
      </x:c>
      <x:c r="W194" t="n">
        <x:v>4</x:v>
      </x:c>
      <x:c r="X194" t="n">
        <x:v>42</x:v>
      </x:c>
      <x:c r="Y194" t="inlineStr">
        <x:is>
          <x:t xml:space="preserve">Completed</x:t>
        </x:is>
      </x:c>
      <x:c r="Z194" t="inlineStr">
        <x:is>
          <x:t xml:space="preserve">Unavailable (not imputed)</x:t>
        </x:is>
      </x:c>
      <x:c r="AA194" t="n">
        <x:v>2</x:v>
      </x:c>
      <x:c r="AB194" t="inlineStr">
        <x:is>
          <x:t xml:space="preserve">No</x:t>
        </x:is>
      </x:c>
      <x:c r="AC194" t="inlineStr">
        <x:is>
          <x:t xml:space="preserve">1920s</x:t>
        </x:is>
      </x:c>
      <x:c r="AD194" t="inlineStr">
        <x:is>
          <x:t xml:space="preserve">Unseeded/unknown</x:t>
        </x:is>
      </x:c>
      <x:c r="AE194" t="inlineStr">
        <x:is>
          <x:t xml:space="preserve">Unseeded/unknown</x:t>
        </x:is>
      </x:c>
    </x:row>
    <x:row r="195">
      <x:c r="A195" t="n">
        <x:v>1924</x:v>
      </x:c>
      <x:c r="B195" t="inlineStr">
        <x:is>
          <x:t xml:space="preserve">Women's</x:t>
        </x:is>
      </x:c>
      <x:c r="C195" t="inlineStr">
        <x:is>
          <x:t xml:space="preserve">K. McKane</x:t>
        </x:is>
      </x:c>
      <x:c r="D195" t="inlineStr">
        <x:is>
          <x:t xml:space="preserve">GBR</x:t>
        </x:is>
      </x:c>
      <x:c r="E195" t="inlineStr">
        <x:is>
          <x:t xml:space="preserve">United Kingdom</x:t>
        </x:is>
      </x:c>
      <x:c r="G195" t="n">
        <x:v>75</x:v>
      </x:c>
      <x:c r="H195" t="inlineStr">
        <x:is>
          <x:t xml:space="preserve">4-6, 6-4, 6-4</x:t>
        </x:is>
      </x:c>
      <x:c r="I195" t="n">
        <x:v>4</x:v>
      </x:c>
      <x:c r="J195" t="n">
        <x:v>6</x:v>
      </x:c>
      <x:c r="K195" t="n">
        <x:v>6</x:v>
      </x:c>
      <x:c r="L195" t="n">
        <x:v>4</x:v>
      </x:c>
      <x:c r="M195" t="n">
        <x:v>6</x:v>
      </x:c>
      <x:c r="N195" t="n">
        <x:v>4</x:v>
      </x:c>
      <x:c r="S195" t="inlineStr">
        <x:is>
          <x:t xml:space="preserve">H.W. Moody</x:t>
        </x:is>
      </x:c>
      <x:c r="T195" t="inlineStr">
        <x:is>
          <x:t xml:space="preserve">USA</x:t>
        </x:is>
      </x:c>
      <x:c r="U195" t="inlineStr">
        <x:is>
          <x:t xml:space="preserve">United States</x:t>
        </x:is>
      </x:c>
      <x:c r="W195" t="n">
        <x:v>3</x:v>
      </x:c>
      <x:c r="X195" t="n">
        <x:v>30</x:v>
      </x:c>
      <x:c r="Y195" t="inlineStr">
        <x:is>
          <x:t xml:space="preserve">Completed</x:t>
        </x:is>
      </x:c>
      <x:c r="Z195" t="inlineStr">
        <x:is>
          <x:t xml:space="preserve">Recorded</x:t>
        </x:is>
      </x:c>
      <x:c r="AA195" t="n">
        <x:v>1</x:v>
      </x:c>
      <x:c r="AB195" t="inlineStr">
        <x:is>
          <x:t xml:space="preserve">No</x:t>
        </x:is>
      </x:c>
      <x:c r="AC195" t="inlineStr">
        <x:is>
          <x:t xml:space="preserve">1920s</x:t>
        </x:is>
      </x:c>
      <x:c r="AD195" t="inlineStr">
        <x:is>
          <x:t xml:space="preserve">Unseeded/unknown</x:t>
        </x:is>
      </x:c>
      <x:c r="AE195" t="inlineStr">
        <x:is>
          <x:t xml:space="preserve">Unseeded/unknown</x:t>
        </x:is>
      </x:c>
    </x:row>
    <x:row r="196">
      <x:c r="A196" t="n">
        <x:v>1924</x:v>
      </x:c>
      <x:c r="B196" t="inlineStr">
        <x:is>
          <x:t xml:space="preserve">Men's</x:t>
        </x:is>
      </x:c>
      <x:c r="C196" t="inlineStr">
        <x:is>
          <x:t xml:space="preserve">J.R. Borotra</x:t>
        </x:is>
      </x:c>
      <x:c r="D196" t="inlineStr">
        <x:is>
          <x:t xml:space="preserve">FRA</x:t>
        </x:is>
      </x:c>
      <x:c r="E196" t="inlineStr">
        <x:is>
          <x:t xml:space="preserve">France</x:t>
        </x:is>
      </x:c>
      <x:c r="G196" t="n">
        <x:v>80</x:v>
      </x:c>
      <x:c r="H196" t="inlineStr">
        <x:is>
          <x:t xml:space="preserve">6-1, 3-6, 6-1, 3-6, 6-4</x:t>
        </x:is>
      </x:c>
      <x:c r="I196" t="n">
        <x:v>6</x:v>
      </x:c>
      <x:c r="J196" t="n">
        <x:v>1</x:v>
      </x:c>
      <x:c r="K196" t="n">
        <x:v>3</x:v>
      </x:c>
      <x:c r="L196" t="n">
        <x:v>6</x:v>
      </x:c>
      <x:c r="M196" t="n">
        <x:v>6</x:v>
      </x:c>
      <x:c r="N196" t="n">
        <x:v>1</x:v>
      </x:c>
      <x:c r="O196" t="n">
        <x:v>3</x:v>
      </x:c>
      <x:c r="P196" t="n">
        <x:v>6</x:v>
      </x:c>
      <x:c r="Q196" t="n">
        <x:v>6</x:v>
      </x:c>
      <x:c r="R196" t="n">
        <x:v>4</x:v>
      </x:c>
      <x:c r="S196" t="inlineStr">
        <x:is>
          <x:t xml:space="preserve">J.R. Lacoste</x:t>
        </x:is>
      </x:c>
      <x:c r="T196" t="inlineStr">
        <x:is>
          <x:t xml:space="preserve">FRA</x:t>
        </x:is>
      </x:c>
      <x:c r="U196" t="inlineStr">
        <x:is>
          <x:t xml:space="preserve">France</x:t>
        </x:is>
      </x:c>
      <x:c r="W196" t="n">
        <x:v>5</x:v>
      </x:c>
      <x:c r="X196" t="n">
        <x:v>42</x:v>
      </x:c>
      <x:c r="Y196" t="inlineStr">
        <x:is>
          <x:t xml:space="preserve">Completed</x:t>
        </x:is>
      </x:c>
      <x:c r="Z196" t="inlineStr">
        <x:is>
          <x:t xml:space="preserve">Recorded</x:t>
        </x:is>
      </x:c>
      <x:c r="AA196" t="n">
        <x:v>2</x:v>
      </x:c>
      <x:c r="AB196" t="inlineStr">
        <x:is>
          <x:t xml:space="preserve">No</x:t>
        </x:is>
      </x:c>
      <x:c r="AC196" t="inlineStr">
        <x:is>
          <x:t xml:space="preserve">1920s</x:t>
        </x:is>
      </x:c>
      <x:c r="AD196" t="inlineStr">
        <x:is>
          <x:t xml:space="preserve">Unseeded/unknown</x:t>
        </x:is>
      </x:c>
      <x:c r="AE196" t="inlineStr">
        <x:is>
          <x:t xml:space="preserve">Unseeded/unknown</x:t>
        </x:is>
      </x:c>
    </x:row>
    <x:row r="197">
      <x:c r="A197" t="n">
        <x:v>1923</x:v>
      </x:c>
      <x:c r="B197" t="inlineStr">
        <x:is>
          <x:t xml:space="preserve">Women's</x:t>
        </x:is>
      </x:c>
      <x:c r="C197" t="inlineStr">
        <x:is>
          <x:t xml:space="preserve">S.R.F. Lenglen</x:t>
        </x:is>
      </x:c>
      <x:c r="D197" t="inlineStr">
        <x:is>
          <x:t xml:space="preserve">FRA</x:t>
        </x:is>
      </x:c>
      <x:c r="E197" t="inlineStr">
        <x:is>
          <x:t xml:space="preserve">France</x:t>
        </x:is>
      </x:c>
      <x:c r="G197" s="35" t="n"/>
      <x:c r="H197" t="inlineStr">
        <x:is>
          <x:t xml:space="preserve">6-2, 6-2</x:t>
        </x:is>
      </x:c>
      <x:c r="I197" t="n">
        <x:v>6</x:v>
      </x:c>
      <x:c r="J197" t="n">
        <x:v>2</x:v>
      </x:c>
      <x:c r="K197" t="n">
        <x:v>6</x:v>
      </x:c>
      <x:c r="L197" t="n">
        <x:v>2</x:v>
      </x:c>
      <x:c r="S197" t="inlineStr">
        <x:is>
          <x:t xml:space="preserve">K. McKane</x:t>
        </x:is>
      </x:c>
      <x:c r="T197" t="inlineStr">
        <x:is>
          <x:t xml:space="preserve">GBR</x:t>
        </x:is>
      </x:c>
      <x:c r="U197" t="inlineStr">
        <x:is>
          <x:t xml:space="preserve">United Kingdom</x:t>
        </x:is>
      </x:c>
      <x:c r="W197" t="n">
        <x:v>2</x:v>
      </x:c>
      <x:c r="X197" t="n">
        <x:v>16</x:v>
      </x:c>
      <x:c r="Y197" t="inlineStr">
        <x:is>
          <x:t xml:space="preserve">Completed</x:t>
        </x:is>
      </x:c>
      <x:c r="Z197" t="inlineStr">
        <x:is>
          <x:t xml:space="preserve">Unavailable (not imputed)</x:t>
        </x:is>
      </x:c>
      <x:c r="AA197" t="n">
        <x:v>6</x:v>
      </x:c>
      <x:c r="AB197" t="inlineStr">
        <x:is>
          <x:t xml:space="preserve">Yes</x:t>
        </x:is>
      </x:c>
      <x:c r="AC197" t="inlineStr">
        <x:is>
          <x:t xml:space="preserve">1920s</x:t>
        </x:is>
      </x:c>
      <x:c r="AD197" t="inlineStr">
        <x:is>
          <x:t xml:space="preserve">Unseeded/unknown</x:t>
        </x:is>
      </x:c>
      <x:c r="AE197" t="inlineStr">
        <x:is>
          <x:t xml:space="preserve">Unseeded/unknown</x:t>
        </x:is>
      </x:c>
    </x:row>
    <x:row r="198">
      <x:c r="A198" t="n">
        <x:v>1923</x:v>
      </x:c>
      <x:c r="B198" t="inlineStr">
        <x:is>
          <x:t xml:space="preserve">Men's</x:t>
        </x:is>
      </x:c>
      <x:c r="C198" t="inlineStr">
        <x:is>
          <x:t xml:space="preserve">W. M. Johnston</x:t>
        </x:is>
      </x:c>
      <x:c r="D198" t="inlineStr">
        <x:is>
          <x:t xml:space="preserve">USA</x:t>
        </x:is>
      </x:c>
      <x:c r="E198" t="inlineStr">
        <x:is>
          <x:t xml:space="preserve">United States</x:t>
        </x:is>
      </x:c>
      <x:c r="G198" t="n">
        <x:v>46</x:v>
      </x:c>
      <x:c r="H198" t="inlineStr">
        <x:is>
          <x:t xml:space="preserve">6-0, 6-3, 6-1</x:t>
        </x:is>
      </x:c>
      <x:c r="I198" t="n">
        <x:v>6</x:v>
      </x:c>
      <x:c r="J198" t="n">
        <x:v>0</x:v>
      </x:c>
      <x:c r="K198" t="n">
        <x:v>6</x:v>
      </x:c>
      <x:c r="L198" t="n">
        <x:v>3</x:v>
      </x:c>
      <x:c r="M198" t="n">
        <x:v>6</x:v>
      </x:c>
      <x:c r="N198" t="n">
        <x:v>1</x:v>
      </x:c>
      <x:c r="S198" t="inlineStr">
        <x:is>
          <x:t xml:space="preserve">F.T. Hunter</x:t>
        </x:is>
      </x:c>
      <x:c r="T198" t="inlineStr">
        <x:is>
          <x:t xml:space="preserve">USA</x:t>
        </x:is>
      </x:c>
      <x:c r="U198" t="inlineStr">
        <x:is>
          <x:t xml:space="preserve">United States</x:t>
        </x:is>
      </x:c>
      <x:c r="W198" t="n">
        <x:v>3</x:v>
      </x:c>
      <x:c r="X198" t="n">
        <x:v>22</x:v>
      </x:c>
      <x:c r="Y198" t="inlineStr">
        <x:is>
          <x:t xml:space="preserve">Completed</x:t>
        </x:is>
      </x:c>
      <x:c r="Z198" t="inlineStr">
        <x:is>
          <x:t xml:space="preserve">Recorded</x:t>
        </x:is>
      </x:c>
      <x:c r="AA198" t="n">
        <x:v>1</x:v>
      </x:c>
      <x:c r="AB198" t="inlineStr">
        <x:is>
          <x:t xml:space="preserve">No</x:t>
        </x:is>
      </x:c>
      <x:c r="AC198" t="inlineStr">
        <x:is>
          <x:t xml:space="preserve">1920s</x:t>
        </x:is>
      </x:c>
      <x:c r="AD198" t="inlineStr">
        <x:is>
          <x:t xml:space="preserve">Unseeded/unknown</x:t>
        </x:is>
      </x:c>
      <x:c r="AE198" t="inlineStr">
        <x:is>
          <x:t xml:space="preserve">Unseeded/unknown</x:t>
        </x:is>
      </x:c>
    </x:row>
    <x:row r="199">
      <x:c r="A199" t="n">
        <x:v>1922</x:v>
      </x:c>
      <x:c r="B199" t="inlineStr">
        <x:is>
          <x:t xml:space="preserve">Women's</x:t>
        </x:is>
      </x:c>
      <x:c r="C199" t="inlineStr">
        <x:is>
          <x:t xml:space="preserve">S.R.F. Lenglen</x:t>
        </x:is>
      </x:c>
      <x:c r="D199" t="inlineStr">
        <x:is>
          <x:t xml:space="preserve">FRA</x:t>
        </x:is>
      </x:c>
      <x:c r="E199" t="inlineStr">
        <x:is>
          <x:t xml:space="preserve">France</x:t>
        </x:is>
      </x:c>
      <x:c r="G199" t="n">
        <x:v>23</x:v>
      </x:c>
      <x:c r="H199" t="inlineStr">
        <x:is>
          <x:t xml:space="preserve">6-2, 6-0</x:t>
        </x:is>
      </x:c>
      <x:c r="I199" t="n">
        <x:v>6</x:v>
      </x:c>
      <x:c r="J199" t="n">
        <x:v>2</x:v>
      </x:c>
      <x:c r="K199" t="n">
        <x:v>6</x:v>
      </x:c>
      <x:c r="L199" t="n">
        <x:v>0</x:v>
      </x:c>
      <x:c r="S199" t="inlineStr">
        <x:is>
          <x:t xml:space="preserve">F.I. Mallory</x:t>
        </x:is>
      </x:c>
      <x:c r="T199" t="inlineStr">
        <x:is>
          <x:t xml:space="preserve">USA</x:t>
        </x:is>
      </x:c>
      <x:c r="U199" t="inlineStr">
        <x:is>
          <x:t xml:space="preserve">United States</x:t>
        </x:is>
      </x:c>
      <x:c r="W199" t="n">
        <x:v>2</x:v>
      </x:c>
      <x:c r="X199" t="n">
        <x:v>14</x:v>
      </x:c>
      <x:c r="Y199" t="inlineStr">
        <x:is>
          <x:t xml:space="preserve">Completed</x:t>
        </x:is>
      </x:c>
      <x:c r="Z199" t="inlineStr">
        <x:is>
          <x:t xml:space="preserve">Recorded</x:t>
        </x:is>
      </x:c>
      <x:c r="AA199" t="n">
        <x:v>6</x:v>
      </x:c>
      <x:c r="AB199" t="inlineStr">
        <x:is>
          <x:t xml:space="preserve">Yes</x:t>
        </x:is>
      </x:c>
      <x:c r="AC199" t="inlineStr">
        <x:is>
          <x:t xml:space="preserve">1920s</x:t>
        </x:is>
      </x:c>
      <x:c r="AD199" t="inlineStr">
        <x:is>
          <x:t xml:space="preserve">Unseeded/unknown</x:t>
        </x:is>
      </x:c>
      <x:c r="AE199" t="inlineStr">
        <x:is>
          <x:t xml:space="preserve">Unseeded/unknown</x:t>
        </x:is>
      </x:c>
    </x:row>
    <x:row r="200">
      <x:c r="A200" t="n">
        <x:v>1922</x:v>
      </x:c>
      <x:c r="B200" t="inlineStr">
        <x:is>
          <x:t xml:space="preserve">Men's</x:t>
        </x:is>
      </x:c>
      <x:c r="C200" t="inlineStr">
        <x:is>
          <x:t xml:space="preserve">G.L. Patterson</x:t>
        </x:is>
      </x:c>
      <x:c r="D200" t="inlineStr">
        <x:is>
          <x:t xml:space="preserve">AUS</x:t>
        </x:is>
      </x:c>
      <x:c r="E200" t="inlineStr">
        <x:is>
          <x:t xml:space="preserve">Australia</x:t>
        </x:is>
      </x:c>
      <x:c r="G200" s="35" t="n"/>
      <x:c r="H200" t="inlineStr">
        <x:is>
          <x:t xml:space="preserve">6-3, 6-4, 6-2</x:t>
        </x:is>
      </x:c>
      <x:c r="I200" t="n">
        <x:v>6</x:v>
      </x:c>
      <x:c r="J200" t="n">
        <x:v>3</x:v>
      </x:c>
      <x:c r="K200" t="n">
        <x:v>6</x:v>
      </x:c>
      <x:c r="L200" t="n">
        <x:v>4</x:v>
      </x:c>
      <x:c r="M200" t="n">
        <x:v>6</x:v>
      </x:c>
      <x:c r="N200" t="n">
        <x:v>2</x:v>
      </x:c>
      <x:c r="S200" t="inlineStr">
        <x:is>
          <x:t xml:space="preserve">R. Lycett</x:t>
        </x:is>
      </x:c>
      <x:c r="T200" t="inlineStr">
        <x:is>
          <x:t xml:space="preserve">GBR</x:t>
        </x:is>
      </x:c>
      <x:c r="U200" t="inlineStr">
        <x:is>
          <x:t xml:space="preserve">United Kingdom</x:t>
        </x:is>
      </x:c>
      <x:c r="W200" t="n">
        <x:v>3</x:v>
      </x:c>
      <x:c r="X200" t="n">
        <x:v>27</x:v>
      </x:c>
      <x:c r="Y200" t="inlineStr">
        <x:is>
          <x:t xml:space="preserve">Completed</x:t>
        </x:is>
      </x:c>
      <x:c r="Z200" t="inlineStr">
        <x:is>
          <x:t xml:space="preserve">Unavailable (not imputed)</x:t>
        </x:is>
      </x:c>
      <x:c r="AA200" t="n">
        <x:v>2</x:v>
      </x:c>
      <x:c r="AB200" t="inlineStr">
        <x:is>
          <x:t xml:space="preserve">No</x:t>
        </x:is>
      </x:c>
      <x:c r="AC200" t="inlineStr">
        <x:is>
          <x:t xml:space="preserve">1920s</x:t>
        </x:is>
      </x:c>
      <x:c r="AD200" t="inlineStr">
        <x:is>
          <x:t xml:space="preserve">Unseeded/unknown</x:t>
        </x:is>
      </x:c>
      <x:c r="AE200" t="inlineStr">
        <x:is>
          <x:t xml:space="preserve">Unseeded/unknown</x:t>
        </x:is>
      </x:c>
    </x:row>
    <x:row r="201">
      <x:c r="A201" t="n">
        <x:v>1921</x:v>
      </x:c>
      <x:c r="B201" t="inlineStr">
        <x:is>
          <x:t xml:space="preserve">Women's</x:t>
        </x:is>
      </x:c>
      <x:c r="C201" t="inlineStr">
        <x:is>
          <x:t xml:space="preserve">S.R.F. Lenglen</x:t>
        </x:is>
      </x:c>
      <x:c r="D201" t="inlineStr">
        <x:is>
          <x:t xml:space="preserve">FRA</x:t>
        </x:is>
      </x:c>
      <x:c r="E201" t="inlineStr">
        <x:is>
          <x:t xml:space="preserve">France</x:t>
        </x:is>
      </x:c>
      <x:c r="G201" s="35" t="n"/>
      <x:c r="H201" t="inlineStr">
        <x:is>
          <x:t xml:space="preserve">6-2, 6-0</x:t>
        </x:is>
      </x:c>
      <x:c r="I201" t="n">
        <x:v>6</x:v>
      </x:c>
      <x:c r="J201" t="n">
        <x:v>2</x:v>
      </x:c>
      <x:c r="K201" t="n">
        <x:v>6</x:v>
      </x:c>
      <x:c r="L201" t="n">
        <x:v>0</x:v>
      </x:c>
      <x:c r="S201" t="inlineStr">
        <x:is>
          <x:t xml:space="preserve">E.M. Ryan</x:t>
        </x:is>
      </x:c>
      <x:c r="T201" t="inlineStr">
        <x:is>
          <x:t xml:space="preserve">USA</x:t>
        </x:is>
      </x:c>
      <x:c r="U201" t="inlineStr">
        <x:is>
          <x:t xml:space="preserve">United States</x:t>
        </x:is>
      </x:c>
      <x:c r="W201" t="n">
        <x:v>2</x:v>
      </x:c>
      <x:c r="X201" t="n">
        <x:v>14</x:v>
      </x:c>
      <x:c r="Y201" t="inlineStr">
        <x:is>
          <x:t xml:space="preserve">Completed</x:t>
        </x:is>
      </x:c>
      <x:c r="Z201" t="inlineStr">
        <x:is>
          <x:t xml:space="preserve">Unavailable (not imputed)</x:t>
        </x:is>
      </x:c>
      <x:c r="AA201" t="n">
        <x:v>6</x:v>
      </x:c>
      <x:c r="AB201" t="inlineStr">
        <x:is>
          <x:t xml:space="preserve">Yes</x:t>
        </x:is>
      </x:c>
      <x:c r="AC201" t="inlineStr">
        <x:is>
          <x:t xml:space="preserve">1920s</x:t>
        </x:is>
      </x:c>
      <x:c r="AD201" t="inlineStr">
        <x:is>
          <x:t xml:space="preserve">Unseeded/unknown</x:t>
        </x:is>
      </x:c>
      <x:c r="AE201" t="inlineStr">
        <x:is>
          <x:t xml:space="preserve">Unseeded/unknown</x:t>
        </x:is>
      </x:c>
    </x:row>
    <x:row r="202">
      <x:c r="A202" t="n">
        <x:v>1921</x:v>
      </x:c>
      <x:c r="B202" t="inlineStr">
        <x:is>
          <x:t xml:space="preserve">Men's</x:t>
        </x:is>
      </x:c>
      <x:c r="C202" t="inlineStr">
        <x:is>
          <x:t xml:space="preserve">W.T. Tilden</x:t>
        </x:is>
      </x:c>
      <x:c r="D202" t="inlineStr">
        <x:is>
          <x:t xml:space="preserve">USA</x:t>
        </x:is>
      </x:c>
      <x:c r="E202" t="inlineStr">
        <x:is>
          <x:t xml:space="preserve">United States</x:t>
        </x:is>
      </x:c>
      <x:c r="G202" s="35" t="n"/>
      <x:c r="H202" t="inlineStr">
        <x:is>
          <x:t xml:space="preserve">4-6, 2-6, 6-1, 6-0, 7-5</x:t>
        </x:is>
      </x:c>
      <x:c r="I202" t="n">
        <x:v>4</x:v>
      </x:c>
      <x:c r="J202" t="n">
        <x:v>6</x:v>
      </x:c>
      <x:c r="K202" t="n">
        <x:v>2</x:v>
      </x:c>
      <x:c r="L202" t="n">
        <x:v>6</x:v>
      </x:c>
      <x:c r="M202" t="n">
        <x:v>6</x:v>
      </x:c>
      <x:c r="N202" t="n">
        <x:v>1</x:v>
      </x:c>
      <x:c r="O202" t="n">
        <x:v>6</x:v>
      </x:c>
      <x:c r="P202" t="n">
        <x:v>0</x:v>
      </x:c>
      <x:c r="Q202" t="n">
        <x:v>7</x:v>
      </x:c>
      <x:c r="R202" t="n">
        <x:v>5</x:v>
      </x:c>
      <x:c r="S202" t="inlineStr">
        <x:is>
          <x:t xml:space="preserve">B.I.C. Norton</x:t>
        </x:is>
      </x:c>
      <x:c r="T202" t="inlineStr">
        <x:is>
          <x:t xml:space="preserve">RSA</x:t>
        </x:is>
      </x:c>
      <x:c r="U202" t="inlineStr">
        <x:is>
          <x:t xml:space="preserve">South Africa</x:t>
        </x:is>
      </x:c>
      <x:c r="W202" t="n">
        <x:v>5</x:v>
      </x:c>
      <x:c r="X202" t="n">
        <x:v>43</x:v>
      </x:c>
      <x:c r="Y202" t="inlineStr">
        <x:is>
          <x:t xml:space="preserve">Completed</x:t>
        </x:is>
      </x:c>
      <x:c r="Z202" t="inlineStr">
        <x:is>
          <x:t xml:space="preserve">Unavailable (not imputed)</x:t>
        </x:is>
      </x:c>
      <x:c r="AA202" t="n">
        <x:v>3</x:v>
      </x:c>
      <x:c r="AB202" t="inlineStr">
        <x:is>
          <x:t xml:space="preserve">No</x:t>
        </x:is>
      </x:c>
      <x:c r="AC202" t="inlineStr">
        <x:is>
          <x:t xml:space="preserve">1920s</x:t>
        </x:is>
      </x:c>
      <x:c r="AD202" t="inlineStr">
        <x:is>
          <x:t xml:space="preserve">Unseeded/unknown</x:t>
        </x:is>
      </x:c>
      <x:c r="AE202" t="inlineStr">
        <x:is>
          <x:t xml:space="preserve">Unseeded/unknown</x:t>
        </x:is>
      </x:c>
    </x:row>
    <x:row r="203">
      <x:c r="A203" t="n">
        <x:v>1920</x:v>
      </x:c>
      <x:c r="B203" t="inlineStr">
        <x:is>
          <x:t xml:space="preserve">Women's</x:t>
        </x:is>
      </x:c>
      <x:c r="C203" t="inlineStr">
        <x:is>
          <x:t xml:space="preserve">S.R.F. Lenglen</x:t>
        </x:is>
      </x:c>
      <x:c r="D203" t="inlineStr">
        <x:is>
          <x:t xml:space="preserve">FRA</x:t>
        </x:is>
      </x:c>
      <x:c r="E203" t="inlineStr">
        <x:is>
          <x:t xml:space="preserve">France</x:t>
        </x:is>
      </x:c>
      <x:c r="G203" s="35" t="n"/>
      <x:c r="H203" t="inlineStr">
        <x:is>
          <x:t xml:space="preserve">6-3, 6-0</x:t>
        </x:is>
      </x:c>
      <x:c r="I203" t="n">
        <x:v>6</x:v>
      </x:c>
      <x:c r="J203" t="n">
        <x:v>3</x:v>
      </x:c>
      <x:c r="K203" t="n">
        <x:v>6</x:v>
      </x:c>
      <x:c r="L203" t="n">
        <x:v>0</x:v>
      </x:c>
      <x:c r="S203" t="inlineStr">
        <x:is>
          <x:t xml:space="preserve">D.L. Chambers</x:t>
        </x:is>
      </x:c>
      <x:c r="T203" t="inlineStr">
        <x:is>
          <x:t xml:space="preserve">GBR</x:t>
        </x:is>
      </x:c>
      <x:c r="U203" t="inlineStr">
        <x:is>
          <x:t xml:space="preserve">United Kingdom</x:t>
        </x:is>
      </x:c>
      <x:c r="W203" t="n">
        <x:v>2</x:v>
      </x:c>
      <x:c r="X203" t="n">
        <x:v>15</x:v>
      </x:c>
      <x:c r="Y203" t="inlineStr">
        <x:is>
          <x:t xml:space="preserve">Completed</x:t>
        </x:is>
      </x:c>
      <x:c r="Z203" t="inlineStr">
        <x:is>
          <x:t xml:space="preserve">Unavailable (not imputed)</x:t>
        </x:is>
      </x:c>
      <x:c r="AA203" t="n">
        <x:v>6</x:v>
      </x:c>
      <x:c r="AB203" t="inlineStr">
        <x:is>
          <x:t xml:space="preserve">Yes</x:t>
        </x:is>
      </x:c>
      <x:c r="AC203" t="inlineStr">
        <x:is>
          <x:t xml:space="preserve">1920s</x:t>
        </x:is>
      </x:c>
      <x:c r="AD203" t="inlineStr">
        <x:is>
          <x:t xml:space="preserve">Unseeded/unknown</x:t>
        </x:is>
      </x:c>
      <x:c r="AE203" t="inlineStr">
        <x:is>
          <x:t xml:space="preserve">Unseeded/unknown</x:t>
        </x:is>
      </x:c>
    </x:row>
    <x:row r="204">
      <x:c r="A204" t="n">
        <x:v>1920</x:v>
      </x:c>
      <x:c r="B204" t="inlineStr">
        <x:is>
          <x:t xml:space="preserve">Men's</x:t>
        </x:is>
      </x:c>
      <x:c r="C204" t="inlineStr">
        <x:is>
          <x:t xml:space="preserve">W.T. Tilden</x:t>
        </x:is>
      </x:c>
      <x:c r="D204" t="inlineStr">
        <x:is>
          <x:t xml:space="preserve">USA</x:t>
        </x:is>
      </x:c>
      <x:c r="E204" t="inlineStr">
        <x:is>
          <x:t xml:space="preserve">United States</x:t>
        </x:is>
      </x:c>
      <x:c r="G204" s="35" t="n"/>
      <x:c r="H204" t="inlineStr">
        <x:is>
          <x:t xml:space="preserve">2-6, 6-3, 6-2, 6-4</x:t>
        </x:is>
      </x:c>
      <x:c r="I204" t="n">
        <x:v>2</x:v>
      </x:c>
      <x:c r="J204" t="n">
        <x:v>6</x:v>
      </x:c>
      <x:c r="K204" t="n">
        <x:v>6</x:v>
      </x:c>
      <x:c r="L204" t="n">
        <x:v>3</x:v>
      </x:c>
      <x:c r="M204" t="n">
        <x:v>6</x:v>
      </x:c>
      <x:c r="N204" t="n">
        <x:v>2</x:v>
      </x:c>
      <x:c r="O204" t="n">
        <x:v>6</x:v>
      </x:c>
      <x:c r="P204" t="n">
        <x:v>4</x:v>
      </x:c>
      <x:c r="S204" t="inlineStr">
        <x:is>
          <x:t xml:space="preserve">G.L. Patterson</x:t>
        </x:is>
      </x:c>
      <x:c r="T204" t="inlineStr">
        <x:is>
          <x:t xml:space="preserve">AUS</x:t>
        </x:is>
      </x:c>
      <x:c r="U204" t="inlineStr">
        <x:is>
          <x:t xml:space="preserve">Australia</x:t>
        </x:is>
      </x:c>
      <x:c r="W204" t="n">
        <x:v>4</x:v>
      </x:c>
      <x:c r="X204" t="n">
        <x:v>35</x:v>
      </x:c>
      <x:c r="Y204" t="inlineStr">
        <x:is>
          <x:t xml:space="preserve">Completed</x:t>
        </x:is>
      </x:c>
      <x:c r="Z204" t="inlineStr">
        <x:is>
          <x:t xml:space="preserve">Unavailable (not imputed)</x:t>
        </x:is>
      </x:c>
      <x:c r="AA204" t="n">
        <x:v>3</x:v>
      </x:c>
      <x:c r="AB204" t="inlineStr">
        <x:is>
          <x:t xml:space="preserve">No</x:t>
        </x:is>
      </x:c>
      <x:c r="AC204" t="inlineStr">
        <x:is>
          <x:t xml:space="preserve">1920s</x:t>
        </x:is>
      </x:c>
      <x:c r="AD204" t="inlineStr">
        <x:is>
          <x:t xml:space="preserve">Unseeded/unknown</x:t>
        </x:is>
      </x:c>
      <x:c r="AE204" t="inlineStr">
        <x:is>
          <x:t xml:space="preserve">Unseeded/unknown</x:t>
        </x:is>
      </x:c>
    </x:row>
    <x:row r="205">
      <x:c r="A205" t="n">
        <x:v>1919</x:v>
      </x:c>
      <x:c r="B205" t="inlineStr">
        <x:is>
          <x:t xml:space="preserve">Women's</x:t>
        </x:is>
      </x:c>
      <x:c r="C205" t="inlineStr">
        <x:is>
          <x:t xml:space="preserve">S.R.F. Lenglen</x:t>
        </x:is>
      </x:c>
      <x:c r="D205" t="inlineStr">
        <x:is>
          <x:t xml:space="preserve">FRA</x:t>
        </x:is>
      </x:c>
      <x:c r="E205" t="inlineStr">
        <x:is>
          <x:t xml:space="preserve">France</x:t>
        </x:is>
      </x:c>
      <x:c r="G205" t="n">
        <x:v>125</x:v>
      </x:c>
      <x:c r="H205" t="inlineStr">
        <x:is>
          <x:t xml:space="preserve">10-8, 4-6, 9-7</x:t>
        </x:is>
      </x:c>
      <x:c r="I205" t="n">
        <x:v>10</x:v>
      </x:c>
      <x:c r="J205" t="n">
        <x:v>8</x:v>
      </x:c>
      <x:c r="K205" t="n">
        <x:v>4</x:v>
      </x:c>
      <x:c r="L205" t="n">
        <x:v>6</x:v>
      </x:c>
      <x:c r="M205" t="n">
        <x:v>9</x:v>
      </x:c>
      <x:c r="N205" t="n">
        <x:v>7</x:v>
      </x:c>
      <x:c r="S205" t="inlineStr">
        <x:is>
          <x:t xml:space="preserve">D.L. Chambers</x:t>
        </x:is>
      </x:c>
      <x:c r="T205" t="inlineStr">
        <x:is>
          <x:t xml:space="preserve">GBR</x:t>
        </x:is>
      </x:c>
      <x:c r="U205" t="inlineStr">
        <x:is>
          <x:t xml:space="preserve">United Kingdom</x:t>
        </x:is>
      </x:c>
      <x:c r="W205" t="n">
        <x:v>3</x:v>
      </x:c>
      <x:c r="X205" t="n">
        <x:v>44</x:v>
      </x:c>
      <x:c r="Y205" t="inlineStr">
        <x:is>
          <x:t xml:space="preserve">Completed</x:t>
        </x:is>
      </x:c>
      <x:c r="Z205" t="inlineStr">
        <x:is>
          <x:t xml:space="preserve">Recorded</x:t>
        </x:is>
      </x:c>
      <x:c r="AA205" t="n">
        <x:v>6</x:v>
      </x:c>
      <x:c r="AB205" t="inlineStr">
        <x:is>
          <x:t xml:space="preserve">Yes</x:t>
        </x:is>
      </x:c>
      <x:c r="AC205" t="inlineStr">
        <x:is>
          <x:t xml:space="preserve">1910s</x:t>
        </x:is>
      </x:c>
      <x:c r="AD205" t="inlineStr">
        <x:is>
          <x:t xml:space="preserve">Unseeded/unknown</x:t>
        </x:is>
      </x:c>
      <x:c r="AE205" t="inlineStr">
        <x:is>
          <x:t xml:space="preserve">Unseeded/unknown</x:t>
        </x:is>
      </x:c>
    </x:row>
    <x:row r="206">
      <x:c r="A206" t="n">
        <x:v>1919</x:v>
      </x:c>
      <x:c r="B206" t="inlineStr">
        <x:is>
          <x:t xml:space="preserve">Men's</x:t>
        </x:is>
      </x:c>
      <x:c r="C206" t="inlineStr">
        <x:is>
          <x:t xml:space="preserve">G.L. Patterson</x:t>
        </x:is>
      </x:c>
      <x:c r="D206" t="inlineStr">
        <x:is>
          <x:t xml:space="preserve">AUS</x:t>
        </x:is>
      </x:c>
      <x:c r="E206" t="inlineStr">
        <x:is>
          <x:t xml:space="preserve">Australia</x:t>
        </x:is>
      </x:c>
      <x:c r="G206" s="35" t="n"/>
      <x:c r="H206" t="inlineStr">
        <x:is>
          <x:t xml:space="preserve">6-3, 7-5, 6-2</x:t>
        </x:is>
      </x:c>
      <x:c r="I206" t="n">
        <x:v>6</x:v>
      </x:c>
      <x:c r="J206" t="n">
        <x:v>3</x:v>
      </x:c>
      <x:c r="K206" t="n">
        <x:v>7</x:v>
      </x:c>
      <x:c r="L206" t="n">
        <x:v>5</x:v>
      </x:c>
      <x:c r="M206" t="n">
        <x:v>6</x:v>
      </x:c>
      <x:c r="N206" t="n">
        <x:v>2</x:v>
      </x:c>
      <x:c r="S206" t="inlineStr">
        <x:is>
          <x:t xml:space="preserve">N.E. Brookes</x:t>
        </x:is>
      </x:c>
      <x:c r="T206" t="inlineStr">
        <x:is>
          <x:t xml:space="preserve">AUS</x:t>
        </x:is>
      </x:c>
      <x:c r="U206" t="inlineStr">
        <x:is>
          <x:t xml:space="preserve">Australia</x:t>
        </x:is>
      </x:c>
      <x:c r="W206" t="n">
        <x:v>3</x:v>
      </x:c>
      <x:c r="X206" t="n">
        <x:v>29</x:v>
      </x:c>
      <x:c r="Y206" t="inlineStr">
        <x:is>
          <x:t xml:space="preserve">Completed</x:t>
        </x:is>
      </x:c>
      <x:c r="Z206" t="inlineStr">
        <x:is>
          <x:t xml:space="preserve">Unavailable (not imputed)</x:t>
        </x:is>
      </x:c>
      <x:c r="AA206" t="n">
        <x:v>2</x:v>
      </x:c>
      <x:c r="AB206" t="inlineStr">
        <x:is>
          <x:t xml:space="preserve">No</x:t>
        </x:is>
      </x:c>
      <x:c r="AC206" t="inlineStr">
        <x:is>
          <x:t xml:space="preserve">1910s</x:t>
        </x:is>
      </x:c>
      <x:c r="AD206" t="inlineStr">
        <x:is>
          <x:t xml:space="preserve">Unseeded/unknown</x:t>
        </x:is>
      </x:c>
      <x:c r="AE206" t="inlineStr">
        <x:is>
          <x:t xml:space="preserve">Unseeded/unknown</x:t>
        </x:is>
      </x:c>
    </x:row>
    <x:row r="207">
      <x:c r="A207" t="n">
        <x:v>1914</x:v>
      </x:c>
      <x:c r="B207" t="inlineStr">
        <x:is>
          <x:t xml:space="preserve">Women's</x:t>
        </x:is>
      </x:c>
      <x:c r="C207" t="inlineStr">
        <x:is>
          <x:t xml:space="preserve">D.L. Chambers</x:t>
        </x:is>
      </x:c>
      <x:c r="D207" t="inlineStr">
        <x:is>
          <x:t xml:space="preserve">GBR</x:t>
        </x:is>
      </x:c>
      <x:c r="E207" t="inlineStr">
        <x:is>
          <x:t xml:space="preserve">United Kingdom</x:t>
        </x:is>
      </x:c>
      <x:c r="G207" s="35" t="n"/>
      <x:c r="H207" t="inlineStr">
        <x:is>
          <x:t xml:space="preserve">7-5, 6-4</x:t>
        </x:is>
      </x:c>
      <x:c r="I207" t="n">
        <x:v>7</x:v>
      </x:c>
      <x:c r="J207" t="n">
        <x:v>5</x:v>
      </x:c>
      <x:c r="K207" t="n">
        <x:v>6</x:v>
      </x:c>
      <x:c r="L207" t="n">
        <x:v>4</x:v>
      </x:c>
      <x:c r="S207" t="inlineStr">
        <x:is>
          <x:t xml:space="preserve">D.T.R. Larcombe</x:t>
        </x:is>
      </x:c>
      <x:c r="T207" t="inlineStr">
        <x:is>
          <x:t xml:space="preserve">GBR</x:t>
        </x:is>
      </x:c>
      <x:c r="U207" t="inlineStr">
        <x:is>
          <x:t xml:space="preserve">United Kingdom</x:t>
        </x:is>
      </x:c>
      <x:c r="W207" t="n">
        <x:v>2</x:v>
      </x:c>
      <x:c r="X207" t="n">
        <x:v>22</x:v>
      </x:c>
      <x:c r="Y207" t="inlineStr">
        <x:is>
          <x:t xml:space="preserve">Completed</x:t>
        </x:is>
      </x:c>
      <x:c r="Z207" t="inlineStr">
        <x:is>
          <x:t xml:space="preserve">Unavailable (not imputed)</x:t>
        </x:is>
      </x:c>
      <x:c r="AA207" t="n">
        <x:v>7</x:v>
      </x:c>
      <x:c r="AB207" t="inlineStr">
        <x:is>
          <x:t xml:space="preserve">Yes</x:t>
        </x:is>
      </x:c>
      <x:c r="AC207" t="inlineStr">
        <x:is>
          <x:t xml:space="preserve">1910s</x:t>
        </x:is>
      </x:c>
      <x:c r="AD207" t="inlineStr">
        <x:is>
          <x:t xml:space="preserve">Unseeded/unknown</x:t>
        </x:is>
      </x:c>
      <x:c r="AE207" t="inlineStr">
        <x:is>
          <x:t xml:space="preserve">Unseeded/unknown</x:t>
        </x:is>
      </x:c>
    </x:row>
    <x:row r="208">
      <x:c r="A208" t="n">
        <x:v>1914</x:v>
      </x:c>
      <x:c r="B208" t="inlineStr">
        <x:is>
          <x:t xml:space="preserve">Men's</x:t>
        </x:is>
      </x:c>
      <x:c r="C208" t="inlineStr">
        <x:is>
          <x:t xml:space="preserve">N.E. Brookes</x:t>
        </x:is>
      </x:c>
      <x:c r="D208" t="inlineStr">
        <x:is>
          <x:t xml:space="preserve">AUS</x:t>
        </x:is>
      </x:c>
      <x:c r="E208" t="inlineStr">
        <x:is>
          <x:t xml:space="preserve">Australia</x:t>
        </x:is>
      </x:c>
      <x:c r="G208" s="35" t="n"/>
      <x:c r="H208" t="inlineStr">
        <x:is>
          <x:t xml:space="preserve">6-4, 6-4, 7-5</x:t>
        </x:is>
      </x:c>
      <x:c r="I208" t="n">
        <x:v>6</x:v>
      </x:c>
      <x:c r="J208" t="n">
        <x:v>4</x:v>
      </x:c>
      <x:c r="K208" t="n">
        <x:v>6</x:v>
      </x:c>
      <x:c r="L208" t="n">
        <x:v>4</x:v>
      </x:c>
      <x:c r="M208" t="n">
        <x:v>7</x:v>
      </x:c>
      <x:c r="N208" t="n">
        <x:v>5</x:v>
      </x:c>
      <x:c r="S208" t="inlineStr">
        <x:is>
          <x:t xml:space="preserve">A.F. Wilding</x:t>
        </x:is>
      </x:c>
      <x:c r="T208" t="inlineStr">
        <x:is>
          <x:t xml:space="preserve">NZL</x:t>
        </x:is>
      </x:c>
      <x:c r="U208" t="inlineStr">
        <x:is>
          <x:t xml:space="preserve">New Zealand</x:t>
        </x:is>
      </x:c>
      <x:c r="W208" t="n">
        <x:v>3</x:v>
      </x:c>
      <x:c r="X208" t="n">
        <x:v>32</x:v>
      </x:c>
      <x:c r="Y208" t="inlineStr">
        <x:is>
          <x:t xml:space="preserve">Completed</x:t>
        </x:is>
      </x:c>
      <x:c r="Z208" t="inlineStr">
        <x:is>
          <x:t xml:space="preserve">Unavailable (not imputed)</x:t>
        </x:is>
      </x:c>
      <x:c r="AA208" t="n">
        <x:v>2</x:v>
      </x:c>
      <x:c r="AB208" t="inlineStr">
        <x:is>
          <x:t xml:space="preserve">No</x:t>
        </x:is>
      </x:c>
      <x:c r="AC208" t="inlineStr">
        <x:is>
          <x:t xml:space="preserve">1910s</x:t>
        </x:is>
      </x:c>
      <x:c r="AD208" t="inlineStr">
        <x:is>
          <x:t xml:space="preserve">Unseeded/unknown</x:t>
        </x:is>
      </x:c>
      <x:c r="AE208" t="inlineStr">
        <x:is>
          <x:t xml:space="preserve">Unseeded/unknown</x:t>
        </x:is>
      </x:c>
    </x:row>
    <x:row r="209">
      <x:c r="A209" t="n">
        <x:v>1913</x:v>
      </x:c>
      <x:c r="B209" t="inlineStr">
        <x:is>
          <x:t xml:space="preserve">Women's</x:t>
        </x:is>
      </x:c>
      <x:c r="C209" t="inlineStr">
        <x:is>
          <x:t xml:space="preserve">D.L. Chambers</x:t>
        </x:is>
      </x:c>
      <x:c r="D209" t="inlineStr">
        <x:is>
          <x:t xml:space="preserve">GBR</x:t>
        </x:is>
      </x:c>
      <x:c r="E209" t="inlineStr">
        <x:is>
          <x:t xml:space="preserve">United Kingdom</x:t>
        </x:is>
      </x:c>
      <x:c r="G209" s="35" t="n"/>
      <x:c r="H209" t="inlineStr">
        <x:is>
          <x:t xml:space="preserve">6-0, 6-4</x:t>
        </x:is>
      </x:c>
      <x:c r="I209" t="n">
        <x:v>6</x:v>
      </x:c>
      <x:c r="J209" t="n">
        <x:v>0</x:v>
      </x:c>
      <x:c r="K209" t="n">
        <x:v>6</x:v>
      </x:c>
      <x:c r="L209" t="n">
        <x:v>4</x:v>
      </x:c>
      <x:c r="S209" t="inlineStr">
        <x:is>
          <x:t xml:space="preserve">R.J. McNair</x:t>
        </x:is>
      </x:c>
      <x:c r="T209" t="inlineStr">
        <x:is>
          <x:t xml:space="preserve">GBR</x:t>
        </x:is>
      </x:c>
      <x:c r="U209" t="inlineStr">
        <x:is>
          <x:t xml:space="preserve">United Kingdom</x:t>
        </x:is>
      </x:c>
      <x:c r="W209" t="n">
        <x:v>2</x:v>
      </x:c>
      <x:c r="X209" t="n">
        <x:v>16</x:v>
      </x:c>
      <x:c r="Y209" t="inlineStr">
        <x:is>
          <x:t xml:space="preserve">Completed</x:t>
        </x:is>
      </x:c>
      <x:c r="Z209" t="inlineStr">
        <x:is>
          <x:t xml:space="preserve">Unavailable (not imputed)</x:t>
        </x:is>
      </x:c>
      <x:c r="AA209" t="n">
        <x:v>7</x:v>
      </x:c>
      <x:c r="AB209" t="inlineStr">
        <x:is>
          <x:t xml:space="preserve">Yes</x:t>
        </x:is>
      </x:c>
      <x:c r="AC209" t="inlineStr">
        <x:is>
          <x:t xml:space="preserve">1910s</x:t>
        </x:is>
      </x:c>
      <x:c r="AD209" t="inlineStr">
        <x:is>
          <x:t xml:space="preserve">Unseeded/unknown</x:t>
        </x:is>
      </x:c>
      <x:c r="AE209" t="inlineStr">
        <x:is>
          <x:t xml:space="preserve">Unseeded/unknown</x:t>
        </x:is>
      </x:c>
    </x:row>
    <x:row r="210">
      <x:c r="A210" t="n">
        <x:v>1913</x:v>
      </x:c>
      <x:c r="B210" t="inlineStr">
        <x:is>
          <x:t xml:space="preserve">Men's</x:t>
        </x:is>
      </x:c>
      <x:c r="C210" t="inlineStr">
        <x:is>
          <x:t xml:space="preserve">A.F. Wilding</x:t>
        </x:is>
      </x:c>
      <x:c r="D210" t="inlineStr">
        <x:is>
          <x:t xml:space="preserve">NZL</x:t>
        </x:is>
      </x:c>
      <x:c r="E210" t="inlineStr">
        <x:is>
          <x:t xml:space="preserve">New Zealand</x:t>
        </x:is>
      </x:c>
      <x:c r="G210" s="35" t="n"/>
      <x:c r="H210" t="inlineStr">
        <x:is>
          <x:t xml:space="preserve">8-6, 6-3, 10-8</x:t>
        </x:is>
      </x:c>
      <x:c r="I210" t="n">
        <x:v>8</x:v>
      </x:c>
      <x:c r="J210" t="n">
        <x:v>6</x:v>
      </x:c>
      <x:c r="K210" t="n">
        <x:v>6</x:v>
      </x:c>
      <x:c r="L210" t="n">
        <x:v>3</x:v>
      </x:c>
      <x:c r="M210" t="n">
        <x:v>10</x:v>
      </x:c>
      <x:c r="N210" t="n">
        <x:v>8</x:v>
      </x:c>
      <x:c r="S210" t="inlineStr">
        <x:is>
          <x:t xml:space="preserve">M.E. McLoughlin</x:t>
        </x:is>
      </x:c>
      <x:c r="T210" t="inlineStr">
        <x:is>
          <x:t xml:space="preserve">USA</x:t>
        </x:is>
      </x:c>
      <x:c r="U210" t="inlineStr">
        <x:is>
          <x:t xml:space="preserve">United States</x:t>
        </x:is>
      </x:c>
      <x:c r="W210" t="n">
        <x:v>3</x:v>
      </x:c>
      <x:c r="X210" t="n">
        <x:v>41</x:v>
      </x:c>
      <x:c r="Y210" t="inlineStr">
        <x:is>
          <x:t xml:space="preserve">Completed</x:t>
        </x:is>
      </x:c>
      <x:c r="Z210" t="inlineStr">
        <x:is>
          <x:t xml:space="preserve">Unavailable (not imputed)</x:t>
        </x:is>
      </x:c>
      <x:c r="AA210" t="n">
        <x:v>4</x:v>
      </x:c>
      <x:c r="AB210" t="inlineStr">
        <x:is>
          <x:t xml:space="preserve">No</x:t>
        </x:is>
      </x:c>
      <x:c r="AC210" t="inlineStr">
        <x:is>
          <x:t xml:space="preserve">1910s</x:t>
        </x:is>
      </x:c>
      <x:c r="AD210" t="inlineStr">
        <x:is>
          <x:t xml:space="preserve">Unseeded/unknown</x:t>
        </x:is>
      </x:c>
      <x:c r="AE210" t="inlineStr">
        <x:is>
          <x:t xml:space="preserve">Unseeded/unknown</x:t>
        </x:is>
      </x:c>
    </x:row>
    <x:row r="211">
      <x:c r="A211" t="n">
        <x:v>1912</x:v>
      </x:c>
      <x:c r="B211" t="inlineStr">
        <x:is>
          <x:t xml:space="preserve">Women's</x:t>
        </x:is>
      </x:c>
      <x:c r="C211" t="inlineStr">
        <x:is>
          <x:t xml:space="preserve">D.T.R. Larcombe</x:t>
        </x:is>
      </x:c>
      <x:c r="D211" t="inlineStr">
        <x:is>
          <x:t xml:space="preserve">GBR</x:t>
        </x:is>
      </x:c>
      <x:c r="E211" t="inlineStr">
        <x:is>
          <x:t xml:space="preserve">United Kingdom</x:t>
        </x:is>
      </x:c>
      <x:c r="G211" s="35" t="n"/>
      <x:c r="H211" t="inlineStr">
        <x:is>
          <x:t xml:space="preserve">6-3, 6-1</x:t>
        </x:is>
      </x:c>
      <x:c r="I211" t="n">
        <x:v>6</x:v>
      </x:c>
      <x:c r="J211" t="n">
        <x:v>3</x:v>
      </x:c>
      <x:c r="K211" t="n">
        <x:v>6</x:v>
      </x:c>
      <x:c r="L211" t="n">
        <x:v>1</x:v>
      </x:c>
      <x:c r="S211" t="inlineStr">
        <x:is>
          <x:t xml:space="preserve">C.R. Cooper</x:t>
        </x:is>
      </x:c>
      <x:c r="T211" t="inlineStr">
        <x:is>
          <x:t xml:space="preserve">GBR</x:t>
        </x:is>
      </x:c>
      <x:c r="U211" t="inlineStr">
        <x:is>
          <x:t xml:space="preserve">United Kingdom</x:t>
        </x:is>
      </x:c>
      <x:c r="W211" t="n">
        <x:v>2</x:v>
      </x:c>
      <x:c r="X211" t="n">
        <x:v>16</x:v>
      </x:c>
      <x:c r="Y211" t="inlineStr">
        <x:is>
          <x:t xml:space="preserve">Completed</x:t>
        </x:is>
      </x:c>
      <x:c r="Z211" t="inlineStr">
        <x:is>
          <x:t xml:space="preserve">Unavailable (not imputed)</x:t>
        </x:is>
      </x:c>
      <x:c r="AA211" t="n">
        <x:v>1</x:v>
      </x:c>
      <x:c r="AB211" t="inlineStr">
        <x:is>
          <x:t xml:space="preserve">No</x:t>
        </x:is>
      </x:c>
      <x:c r="AC211" t="inlineStr">
        <x:is>
          <x:t xml:space="preserve">1910s</x:t>
        </x:is>
      </x:c>
      <x:c r="AD211" t="inlineStr">
        <x:is>
          <x:t xml:space="preserve">Unseeded/unknown</x:t>
        </x:is>
      </x:c>
      <x:c r="AE211" t="inlineStr">
        <x:is>
          <x:t xml:space="preserve">Unseeded/unknown</x:t>
        </x:is>
      </x:c>
    </x:row>
    <x:row r="212">
      <x:c r="A212" t="n">
        <x:v>1912</x:v>
      </x:c>
      <x:c r="B212" t="inlineStr">
        <x:is>
          <x:t xml:space="preserve">Men's</x:t>
        </x:is>
      </x:c>
      <x:c r="C212" t="inlineStr">
        <x:is>
          <x:t xml:space="preserve">A.F. Wilding</x:t>
        </x:is>
      </x:c>
      <x:c r="D212" t="inlineStr">
        <x:is>
          <x:t xml:space="preserve">NZL</x:t>
        </x:is>
      </x:c>
      <x:c r="E212" t="inlineStr">
        <x:is>
          <x:t xml:space="preserve">New Zealand</x:t>
        </x:is>
      </x:c>
      <x:c r="G212" s="35" t="n"/>
      <x:c r="H212" t="inlineStr">
        <x:is>
          <x:t xml:space="preserve">6-4, 6-4, 4-6, 6-4</x:t>
        </x:is>
      </x:c>
      <x:c r="I212" t="n">
        <x:v>6</x:v>
      </x:c>
      <x:c r="J212" t="n">
        <x:v>4</x:v>
      </x:c>
      <x:c r="K212" t="n">
        <x:v>6</x:v>
      </x:c>
      <x:c r="L212" t="n">
        <x:v>4</x:v>
      </x:c>
      <x:c r="M212" t="n">
        <x:v>4</x:v>
      </x:c>
      <x:c r="N212" t="n">
        <x:v>6</x:v>
      </x:c>
      <x:c r="O212" t="n">
        <x:v>6</x:v>
      </x:c>
      <x:c r="P212" t="n">
        <x:v>4</x:v>
      </x:c>
      <x:c r="S212" t="inlineStr">
        <x:is>
          <x:t xml:space="preserve">A.W. Gore</x:t>
        </x:is>
      </x:c>
      <x:c r="T212" t="inlineStr">
        <x:is>
          <x:t xml:space="preserve">GBR</x:t>
        </x:is>
      </x:c>
      <x:c r="U212" t="inlineStr">
        <x:is>
          <x:t xml:space="preserve">United Kingdom</x:t>
        </x:is>
      </x:c>
      <x:c r="W212" t="n">
        <x:v>4</x:v>
      </x:c>
      <x:c r="X212" t="n">
        <x:v>40</x:v>
      </x:c>
      <x:c r="Y212" t="inlineStr">
        <x:is>
          <x:t xml:space="preserve">Completed</x:t>
        </x:is>
      </x:c>
      <x:c r="Z212" t="inlineStr">
        <x:is>
          <x:t xml:space="preserve">Unavailable (not imputed)</x:t>
        </x:is>
      </x:c>
      <x:c r="AA212" t="n">
        <x:v>4</x:v>
      </x:c>
      <x:c r="AB212" t="inlineStr">
        <x:is>
          <x:t xml:space="preserve">No</x:t>
        </x:is>
      </x:c>
      <x:c r="AC212" t="inlineStr">
        <x:is>
          <x:t xml:space="preserve">1910s</x:t>
        </x:is>
      </x:c>
      <x:c r="AD212" t="inlineStr">
        <x:is>
          <x:t xml:space="preserve">Unseeded/unknown</x:t>
        </x:is>
      </x:c>
      <x:c r="AE212" t="inlineStr">
        <x:is>
          <x:t xml:space="preserve">Unseeded/unknown</x:t>
        </x:is>
      </x:c>
    </x:row>
    <x:row r="213">
      <x:c r="A213" t="n">
        <x:v>1911</x:v>
      </x:c>
      <x:c r="B213" t="inlineStr">
        <x:is>
          <x:t xml:space="preserve">Women's</x:t>
        </x:is>
      </x:c>
      <x:c r="C213" t="inlineStr">
        <x:is>
          <x:t xml:space="preserve">D.L. Chambers</x:t>
        </x:is>
      </x:c>
      <x:c r="D213" t="inlineStr">
        <x:is>
          <x:t xml:space="preserve">GBR</x:t>
        </x:is>
      </x:c>
      <x:c r="E213" t="inlineStr">
        <x:is>
          <x:t xml:space="preserve">United Kingdom</x:t>
        </x:is>
      </x:c>
      <x:c r="G213" t="n">
        <x:v>25</x:v>
      </x:c>
      <x:c r="H213" t="inlineStr">
        <x:is>
          <x:t xml:space="preserve">6-0, 6-0</x:t>
        </x:is>
      </x:c>
      <x:c r="I213" t="n">
        <x:v>6</x:v>
      </x:c>
      <x:c r="J213" t="n">
        <x:v>0</x:v>
      </x:c>
      <x:c r="K213" t="n">
        <x:v>6</x:v>
      </x:c>
      <x:c r="L213" t="n">
        <x:v>0</x:v>
      </x:c>
      <x:c r="S213" t="inlineStr">
        <x:is>
          <x:t xml:space="preserve">P.D.H. Boothby</x:t>
        </x:is>
      </x:c>
      <x:c r="T213" t="inlineStr">
        <x:is>
          <x:t xml:space="preserve">GBR</x:t>
        </x:is>
      </x:c>
      <x:c r="U213" t="inlineStr">
        <x:is>
          <x:t xml:space="preserve">United Kingdom</x:t>
        </x:is>
      </x:c>
      <x:c r="W213" t="n">
        <x:v>2</x:v>
      </x:c>
      <x:c r="X213" t="n">
        <x:v>12</x:v>
      </x:c>
      <x:c r="Y213" t="inlineStr">
        <x:is>
          <x:t xml:space="preserve">Completed</x:t>
        </x:is>
      </x:c>
      <x:c r="Z213" t="inlineStr">
        <x:is>
          <x:t xml:space="preserve">Recorded</x:t>
        </x:is>
      </x:c>
      <x:c r="AA213" t="n">
        <x:v>7</x:v>
      </x:c>
      <x:c r="AB213" t="inlineStr">
        <x:is>
          <x:t xml:space="preserve">Yes</x:t>
        </x:is>
      </x:c>
      <x:c r="AC213" t="inlineStr">
        <x:is>
          <x:t xml:space="preserve">1910s</x:t>
        </x:is>
      </x:c>
      <x:c r="AD213" t="inlineStr">
        <x:is>
          <x:t xml:space="preserve">Unseeded/unknown</x:t>
        </x:is>
      </x:c>
      <x:c r="AE213" t="inlineStr">
        <x:is>
          <x:t xml:space="preserve">Unseeded/unknown</x:t>
        </x:is>
      </x:c>
    </x:row>
    <x:row r="214">
      <x:c r="A214" t="n">
        <x:v>1911</x:v>
      </x:c>
      <x:c r="B214" t="inlineStr">
        <x:is>
          <x:t xml:space="preserve">Men's</x:t>
        </x:is>
      </x:c>
      <x:c r="C214" t="inlineStr">
        <x:is>
          <x:t xml:space="preserve">A.F. Wilding</x:t>
        </x:is>
      </x:c>
      <x:c r="D214" t="inlineStr">
        <x:is>
          <x:t xml:space="preserve">NZL</x:t>
        </x:is>
      </x:c>
      <x:c r="E214" t="inlineStr">
        <x:is>
          <x:t xml:space="preserve">New Zealand</x:t>
        </x:is>
      </x:c>
      <x:c r="G214" s="35" t="n"/>
      <x:c r="H214" t="inlineStr">
        <x:is>
          <x:t xml:space="preserve">6-4, 4-6, 2-6, 6-2, retd</x:t>
        </x:is>
      </x:c>
      <x:c r="I214" t="n">
        <x:v>6</x:v>
      </x:c>
      <x:c r="J214" t="n">
        <x:v>4</x:v>
      </x:c>
      <x:c r="K214" t="n">
        <x:v>4</x:v>
      </x:c>
      <x:c r="L214" t="n">
        <x:v>6</x:v>
      </x:c>
      <x:c r="M214" t="n">
        <x:v>2</x:v>
      </x:c>
      <x:c r="N214" t="n">
        <x:v>6</x:v>
      </x:c>
      <x:c r="O214" t="n">
        <x:v>6</x:v>
      </x:c>
      <x:c r="P214" t="n">
        <x:v>2</x:v>
      </x:c>
      <x:c r="Q214" t="inlineStr">
        <x:is>
          <x:t xml:space="preserve">retd</x:t>
        </x:is>
      </x:c>
      <x:c r="S214" t="inlineStr">
        <x:is>
          <x:t xml:space="preserve">H.R. Barrett</x:t>
        </x:is>
      </x:c>
      <x:c r="T214" t="inlineStr">
        <x:is>
          <x:t xml:space="preserve">GBR</x:t>
        </x:is>
      </x:c>
      <x:c r="U214" t="inlineStr">
        <x:is>
          <x:t xml:space="preserve">United Kingdom</x:t>
        </x:is>
      </x:c>
      <x:c r="W214" t="n">
        <x:v>4</x:v>
      </x:c>
      <x:c r="X214" t="n">
        <x:v>36</x:v>
      </x:c>
      <x:c r="Y214" t="inlineStr">
        <x:is>
          <x:t xml:space="preserve">Retired</x:t>
        </x:is>
      </x:c>
      <x:c r="Z214" t="inlineStr">
        <x:is>
          <x:t xml:space="preserve">Unavailable (not imputed)</x:t>
        </x:is>
      </x:c>
      <x:c r="AA214" t="n">
        <x:v>4</x:v>
      </x:c>
      <x:c r="AB214" t="inlineStr">
        <x:is>
          <x:t xml:space="preserve">No</x:t>
        </x:is>
      </x:c>
      <x:c r="AC214" t="inlineStr">
        <x:is>
          <x:t xml:space="preserve">1910s</x:t>
        </x:is>
      </x:c>
      <x:c r="AD214" t="inlineStr">
        <x:is>
          <x:t xml:space="preserve">Unseeded/unknown</x:t>
        </x:is>
      </x:c>
      <x:c r="AE214" t="inlineStr">
        <x:is>
          <x:t xml:space="preserve">Unseeded/unknown</x:t>
        </x:is>
      </x:c>
    </x:row>
    <x:row r="215">
      <x:c r="A215" t="n">
        <x:v>1910</x:v>
      </x:c>
      <x:c r="B215" t="inlineStr">
        <x:is>
          <x:t xml:space="preserve">Women's</x:t>
        </x:is>
      </x:c>
      <x:c r="C215" t="inlineStr">
        <x:is>
          <x:t xml:space="preserve">D.L. Chambers</x:t>
        </x:is>
      </x:c>
      <x:c r="D215" t="inlineStr">
        <x:is>
          <x:t xml:space="preserve">GBR</x:t>
        </x:is>
      </x:c>
      <x:c r="E215" t="inlineStr">
        <x:is>
          <x:t xml:space="preserve">United Kingdom</x:t>
        </x:is>
      </x:c>
      <x:c r="G215" s="35" t="n"/>
      <x:c r="H215" t="inlineStr">
        <x:is>
          <x:t xml:space="preserve">6-2, 6-2</x:t>
        </x:is>
      </x:c>
      <x:c r="I215" t="n">
        <x:v>6</x:v>
      </x:c>
      <x:c r="J215" t="n">
        <x:v>2</x:v>
      </x:c>
      <x:c r="K215" t="n">
        <x:v>6</x:v>
      </x:c>
      <x:c r="L215" t="n">
        <x:v>2</x:v>
      </x:c>
      <x:c r="S215" t="inlineStr">
        <x:is>
          <x:t xml:space="preserve">P.D.H. Boothby</x:t>
        </x:is>
      </x:c>
      <x:c r="T215" t="inlineStr">
        <x:is>
          <x:t xml:space="preserve">GBR</x:t>
        </x:is>
      </x:c>
      <x:c r="U215" t="inlineStr">
        <x:is>
          <x:t xml:space="preserve">United Kingdom</x:t>
        </x:is>
      </x:c>
      <x:c r="W215" t="n">
        <x:v>2</x:v>
      </x:c>
      <x:c r="X215" t="n">
        <x:v>16</x:v>
      </x:c>
      <x:c r="Y215" t="inlineStr">
        <x:is>
          <x:t xml:space="preserve">Completed</x:t>
        </x:is>
      </x:c>
      <x:c r="Z215" t="inlineStr">
        <x:is>
          <x:t xml:space="preserve">Unavailable (not imputed)</x:t>
        </x:is>
      </x:c>
      <x:c r="AA215" t="n">
        <x:v>7</x:v>
      </x:c>
      <x:c r="AB215" t="inlineStr">
        <x:is>
          <x:t xml:space="preserve">Yes</x:t>
        </x:is>
      </x:c>
      <x:c r="AC215" t="inlineStr">
        <x:is>
          <x:t xml:space="preserve">1910s</x:t>
        </x:is>
      </x:c>
      <x:c r="AD215" t="inlineStr">
        <x:is>
          <x:t xml:space="preserve">Unseeded/unknown</x:t>
        </x:is>
      </x:c>
      <x:c r="AE215" t="inlineStr">
        <x:is>
          <x:t xml:space="preserve">Unseeded/unknown</x:t>
        </x:is>
      </x:c>
    </x:row>
    <x:row r="216">
      <x:c r="A216" t="n">
        <x:v>1910</x:v>
      </x:c>
      <x:c r="B216" t="inlineStr">
        <x:is>
          <x:t xml:space="preserve">Men's</x:t>
        </x:is>
      </x:c>
      <x:c r="C216" t="inlineStr">
        <x:is>
          <x:t xml:space="preserve">A.F. Wilding</x:t>
        </x:is>
      </x:c>
      <x:c r="D216" t="inlineStr">
        <x:is>
          <x:t xml:space="preserve">NZL</x:t>
        </x:is>
      </x:c>
      <x:c r="E216" t="inlineStr">
        <x:is>
          <x:t xml:space="preserve">New Zealand</x:t>
        </x:is>
      </x:c>
      <x:c r="G216" s="35" t="n"/>
      <x:c r="H216" t="inlineStr">
        <x:is>
          <x:t xml:space="preserve">6-4, 7-5, 4-6, 6-2</x:t>
        </x:is>
      </x:c>
      <x:c r="I216" t="n">
        <x:v>6</x:v>
      </x:c>
      <x:c r="J216" t="n">
        <x:v>4</x:v>
      </x:c>
      <x:c r="K216" t="n">
        <x:v>7</x:v>
      </x:c>
      <x:c r="L216" t="n">
        <x:v>5</x:v>
      </x:c>
      <x:c r="M216" t="n">
        <x:v>4</x:v>
      </x:c>
      <x:c r="N216" t="n">
        <x:v>6</x:v>
      </x:c>
      <x:c r="O216" t="n">
        <x:v>6</x:v>
      </x:c>
      <x:c r="P216" t="n">
        <x:v>2</x:v>
      </x:c>
      <x:c r="S216" t="inlineStr">
        <x:is>
          <x:t xml:space="preserve">A.W. Gore</x:t>
        </x:is>
      </x:c>
      <x:c r="T216" t="inlineStr">
        <x:is>
          <x:t xml:space="preserve">GBR</x:t>
        </x:is>
      </x:c>
      <x:c r="U216" t="inlineStr">
        <x:is>
          <x:t xml:space="preserve">United Kingdom</x:t>
        </x:is>
      </x:c>
      <x:c r="W216" t="n">
        <x:v>4</x:v>
      </x:c>
      <x:c r="X216" t="n">
        <x:v>40</x:v>
      </x:c>
      <x:c r="Y216" t="inlineStr">
        <x:is>
          <x:t xml:space="preserve">Completed</x:t>
        </x:is>
      </x:c>
      <x:c r="Z216" t="inlineStr">
        <x:is>
          <x:t xml:space="preserve">Unavailable (not imputed)</x:t>
        </x:is>
      </x:c>
      <x:c r="AA216" t="n">
        <x:v>4</x:v>
      </x:c>
      <x:c r="AB216" t="inlineStr">
        <x:is>
          <x:t xml:space="preserve">No</x:t>
        </x:is>
      </x:c>
      <x:c r="AC216" t="inlineStr">
        <x:is>
          <x:t xml:space="preserve">1910s</x:t>
        </x:is>
      </x:c>
      <x:c r="AD216" t="inlineStr">
        <x:is>
          <x:t xml:space="preserve">Unseeded/unknown</x:t>
        </x:is>
      </x:c>
      <x:c r="AE216" t="inlineStr">
        <x:is>
          <x:t xml:space="preserve">Unseeded/unknown</x:t>
        </x:is>
      </x:c>
    </x:row>
    <x:row r="217">
      <x:c r="A217" t="n">
        <x:v>1909</x:v>
      </x:c>
      <x:c r="B217" t="inlineStr">
        <x:is>
          <x:t xml:space="preserve">Women's</x:t>
        </x:is>
      </x:c>
      <x:c r="C217" t="inlineStr">
        <x:is>
          <x:t xml:space="preserve">P.D.H. Boothby</x:t>
        </x:is>
      </x:c>
      <x:c r="D217" t="inlineStr">
        <x:is>
          <x:t xml:space="preserve">GBR</x:t>
        </x:is>
      </x:c>
      <x:c r="E217" t="inlineStr">
        <x:is>
          <x:t xml:space="preserve">United Kingdom</x:t>
        </x:is>
      </x:c>
      <x:c r="G217" s="35" t="n"/>
      <x:c r="H217" t="inlineStr">
        <x:is>
          <x:t xml:space="preserve">6-4, 4-6, 8-6</x:t>
        </x:is>
      </x:c>
      <x:c r="I217" t="n">
        <x:v>6</x:v>
      </x:c>
      <x:c r="J217" t="n">
        <x:v>4</x:v>
      </x:c>
      <x:c r="K217" t="n">
        <x:v>4</x:v>
      </x:c>
      <x:c r="L217" t="n">
        <x:v>6</x:v>
      </x:c>
      <x:c r="M217" t="n">
        <x:v>8</x:v>
      </x:c>
      <x:c r="N217" t="n">
        <x:v>6</x:v>
      </x:c>
      <x:c r="S217" t="inlineStr">
        <x:is>
          <x:t xml:space="preserve">A.M. Morton</x:t>
        </x:is>
      </x:c>
      <x:c r="T217" t="inlineStr">
        <x:is>
          <x:t xml:space="preserve">GBR</x:t>
        </x:is>
      </x:c>
      <x:c r="U217" t="inlineStr">
        <x:is>
          <x:t xml:space="preserve">United Kingdom</x:t>
        </x:is>
      </x:c>
      <x:c r="W217" t="n">
        <x:v>3</x:v>
      </x:c>
      <x:c r="X217" t="n">
        <x:v>34</x:v>
      </x:c>
      <x:c r="Y217" t="inlineStr">
        <x:is>
          <x:t xml:space="preserve">Completed</x:t>
        </x:is>
      </x:c>
      <x:c r="Z217" t="inlineStr">
        <x:is>
          <x:t xml:space="preserve">Unavailable (not imputed)</x:t>
        </x:is>
      </x:c>
      <x:c r="AA217" t="n">
        <x:v>1</x:v>
      </x:c>
      <x:c r="AB217" t="inlineStr">
        <x:is>
          <x:t xml:space="preserve">No</x:t>
        </x:is>
      </x:c>
      <x:c r="AC217" t="inlineStr">
        <x:is>
          <x:t xml:space="preserve">1900s</x:t>
        </x:is>
      </x:c>
      <x:c r="AD217" t="inlineStr">
        <x:is>
          <x:t xml:space="preserve">Unseeded/unknown</x:t>
        </x:is>
      </x:c>
      <x:c r="AE217" t="inlineStr">
        <x:is>
          <x:t xml:space="preserve">Unseeded/unknown</x:t>
        </x:is>
      </x:c>
    </x:row>
    <x:row r="218">
      <x:c r="A218" t="n">
        <x:v>1909</x:v>
      </x:c>
      <x:c r="B218" t="inlineStr">
        <x:is>
          <x:t xml:space="preserve">Men's</x:t>
        </x:is>
      </x:c>
      <x:c r="C218" t="inlineStr">
        <x:is>
          <x:t xml:space="preserve">A.W. Gore</x:t>
        </x:is>
      </x:c>
      <x:c r="D218" t="inlineStr">
        <x:is>
          <x:t xml:space="preserve">GBR</x:t>
        </x:is>
      </x:c>
      <x:c r="E218" t="inlineStr">
        <x:is>
          <x:t xml:space="preserve">United Kingdom</x:t>
        </x:is>
      </x:c>
      <x:c r="G218" t="n">
        <x:v>95</x:v>
      </x:c>
      <x:c r="H218" t="inlineStr">
        <x:is>
          <x:t xml:space="preserve">6-8, 1-6, 6-2, 6-2, 6-2</x:t>
        </x:is>
      </x:c>
      <x:c r="I218" t="n">
        <x:v>6</x:v>
      </x:c>
      <x:c r="J218" t="n">
        <x:v>8</x:v>
      </x:c>
      <x:c r="K218" t="n">
        <x:v>1</x:v>
      </x:c>
      <x:c r="L218" t="n">
        <x:v>6</x:v>
      </x:c>
      <x:c r="M218" t="n">
        <x:v>6</x:v>
      </x:c>
      <x:c r="N218" t="n">
        <x:v>2</x:v>
      </x:c>
      <x:c r="O218" t="n">
        <x:v>6</x:v>
      </x:c>
      <x:c r="P218" t="n">
        <x:v>2</x:v>
      </x:c>
      <x:c r="Q218" t="n">
        <x:v>6</x:v>
      </x:c>
      <x:c r="R218" t="n">
        <x:v>2</x:v>
      </x:c>
      <x:c r="S218" t="inlineStr">
        <x:is>
          <x:t xml:space="preserve">M.J.G. Ritchie</x:t>
        </x:is>
      </x:c>
      <x:c r="T218" t="inlineStr">
        <x:is>
          <x:t xml:space="preserve">GBR</x:t>
        </x:is>
      </x:c>
      <x:c r="U218" t="inlineStr">
        <x:is>
          <x:t xml:space="preserve">United Kingdom</x:t>
        </x:is>
      </x:c>
      <x:c r="W218" t="n">
        <x:v>5</x:v>
      </x:c>
      <x:c r="X218" t="n">
        <x:v>45</x:v>
      </x:c>
      <x:c r="Y218" t="inlineStr">
        <x:is>
          <x:t xml:space="preserve">Completed</x:t>
        </x:is>
      </x:c>
      <x:c r="Z218" t="inlineStr">
        <x:is>
          <x:t xml:space="preserve">Recorded</x:t>
        </x:is>
      </x:c>
      <x:c r="AA218" t="n">
        <x:v>3</x:v>
      </x:c>
      <x:c r="AB218" t="inlineStr">
        <x:is>
          <x:t xml:space="preserve">No</x:t>
        </x:is>
      </x:c>
      <x:c r="AC218" t="inlineStr">
        <x:is>
          <x:t xml:space="preserve">1900s</x:t>
        </x:is>
      </x:c>
      <x:c r="AD218" t="inlineStr">
        <x:is>
          <x:t xml:space="preserve">Unseeded/unknown</x:t>
        </x:is>
      </x:c>
      <x:c r="AE218" t="inlineStr">
        <x:is>
          <x:t xml:space="preserve">Unseeded/unknown</x:t>
        </x:is>
      </x:c>
    </x:row>
    <x:row r="219">
      <x:c r="A219" t="n">
        <x:v>1908</x:v>
      </x:c>
      <x:c r="B219" t="inlineStr">
        <x:is>
          <x:t xml:space="preserve">Women's</x:t>
        </x:is>
      </x:c>
      <x:c r="C219" t="inlineStr">
        <x:is>
          <x:t xml:space="preserve">C.R. Cooper</x:t>
        </x:is>
      </x:c>
      <x:c r="D219" t="inlineStr">
        <x:is>
          <x:t xml:space="preserve">GBR</x:t>
        </x:is>
      </x:c>
      <x:c r="E219" t="inlineStr">
        <x:is>
          <x:t xml:space="preserve">United Kingdom</x:t>
        </x:is>
      </x:c>
      <x:c r="G219" s="35" t="n"/>
      <x:c r="H219" t="inlineStr">
        <x:is>
          <x:t xml:space="preserve">6-4, 6-4</x:t>
        </x:is>
      </x:c>
      <x:c r="I219" t="n">
        <x:v>6</x:v>
      </x:c>
      <x:c r="J219" t="n">
        <x:v>4</x:v>
      </x:c>
      <x:c r="K219" t="n">
        <x:v>6</x:v>
      </x:c>
      <x:c r="L219" t="n">
        <x:v>4</x:v>
      </x:c>
      <x:c r="S219" t="inlineStr">
        <x:is>
          <x:t xml:space="preserve">A.M. Morton</x:t>
        </x:is>
      </x:c>
      <x:c r="T219" t="inlineStr">
        <x:is>
          <x:t xml:space="preserve">GBR</x:t>
        </x:is>
      </x:c>
      <x:c r="U219" t="inlineStr">
        <x:is>
          <x:t xml:space="preserve">United Kingdom</x:t>
        </x:is>
      </x:c>
      <x:c r="W219" t="n">
        <x:v>2</x:v>
      </x:c>
      <x:c r="X219" t="n">
        <x:v>20</x:v>
      </x:c>
      <x:c r="Y219" t="inlineStr">
        <x:is>
          <x:t xml:space="preserve">Completed</x:t>
        </x:is>
      </x:c>
      <x:c r="Z219" t="inlineStr">
        <x:is>
          <x:t xml:space="preserve">Unavailable (not imputed)</x:t>
        </x:is>
      </x:c>
      <x:c r="AA219" t="n">
        <x:v>5</x:v>
      </x:c>
      <x:c r="AB219" t="inlineStr">
        <x:is>
          <x:t xml:space="preserve">Yes</x:t>
        </x:is>
      </x:c>
      <x:c r="AC219" t="inlineStr">
        <x:is>
          <x:t xml:space="preserve">1900s</x:t>
        </x:is>
      </x:c>
      <x:c r="AD219" t="inlineStr">
        <x:is>
          <x:t xml:space="preserve">Unseeded/unknown</x:t>
        </x:is>
      </x:c>
      <x:c r="AE219" t="inlineStr">
        <x:is>
          <x:t xml:space="preserve">Unseeded/unknown</x:t>
        </x:is>
      </x:c>
    </x:row>
    <x:row r="220">
      <x:c r="A220" t="n">
        <x:v>1908</x:v>
      </x:c>
      <x:c r="B220" t="inlineStr">
        <x:is>
          <x:t xml:space="preserve">Men's</x:t>
        </x:is>
      </x:c>
      <x:c r="C220" t="inlineStr">
        <x:is>
          <x:t xml:space="preserve">A.W. Gore</x:t>
        </x:is>
      </x:c>
      <x:c r="D220" t="inlineStr">
        <x:is>
          <x:t xml:space="preserve">GBR</x:t>
        </x:is>
      </x:c>
      <x:c r="E220" t="inlineStr">
        <x:is>
          <x:t xml:space="preserve">United Kingdom</x:t>
        </x:is>
      </x:c>
      <x:c r="G220" s="35" t="n"/>
      <x:c r="H220" t="inlineStr">
        <x:is>
          <x:t xml:space="preserve">6-3, 6-2, 4-6, 3-6, 6-4</x:t>
        </x:is>
      </x:c>
      <x:c r="I220" t="n">
        <x:v>6</x:v>
      </x:c>
      <x:c r="J220" t="n">
        <x:v>3</x:v>
      </x:c>
      <x:c r="K220" t="n">
        <x:v>6</x:v>
      </x:c>
      <x:c r="L220" t="n">
        <x:v>2</x:v>
      </x:c>
      <x:c r="M220" t="n">
        <x:v>4</x:v>
      </x:c>
      <x:c r="N220" t="n">
        <x:v>6</x:v>
      </x:c>
      <x:c r="O220" t="n">
        <x:v>3</x:v>
      </x:c>
      <x:c r="P220" t="n">
        <x:v>6</x:v>
      </x:c>
      <x:c r="Q220" t="n">
        <x:v>6</x:v>
      </x:c>
      <x:c r="R220" t="n">
        <x:v>4</x:v>
      </x:c>
      <x:c r="S220" t="inlineStr">
        <x:is>
          <x:t xml:space="preserve">H.R. Barrett</x:t>
        </x:is>
      </x:c>
      <x:c r="T220" t="inlineStr">
        <x:is>
          <x:t xml:space="preserve">GBR</x:t>
        </x:is>
      </x:c>
      <x:c r="U220" t="inlineStr">
        <x:is>
          <x:t xml:space="preserve">United Kingdom</x:t>
        </x:is>
      </x:c>
      <x:c r="W220" t="n">
        <x:v>5</x:v>
      </x:c>
      <x:c r="X220" t="n">
        <x:v>46</x:v>
      </x:c>
      <x:c r="Y220" t="inlineStr">
        <x:is>
          <x:t xml:space="preserve">Completed</x:t>
        </x:is>
      </x:c>
      <x:c r="Z220" t="inlineStr">
        <x:is>
          <x:t xml:space="preserve">Unavailable (not imputed)</x:t>
        </x:is>
      </x:c>
      <x:c r="AA220" t="n">
        <x:v>3</x:v>
      </x:c>
      <x:c r="AB220" t="inlineStr">
        <x:is>
          <x:t xml:space="preserve">No</x:t>
        </x:is>
      </x:c>
      <x:c r="AC220" t="inlineStr">
        <x:is>
          <x:t xml:space="preserve">1900s</x:t>
        </x:is>
      </x:c>
      <x:c r="AD220" t="inlineStr">
        <x:is>
          <x:t xml:space="preserve">Unseeded/unknown</x:t>
        </x:is>
      </x:c>
      <x:c r="AE220" t="inlineStr">
        <x:is>
          <x:t xml:space="preserve">Unseeded/unknown</x:t>
        </x:is>
      </x:c>
    </x:row>
    <x:row r="221">
      <x:c r="A221" t="n">
        <x:v>1907</x:v>
      </x:c>
      <x:c r="B221" t="inlineStr">
        <x:is>
          <x:t xml:space="preserve">Women's</x:t>
        </x:is>
      </x:c>
      <x:c r="C221" t="inlineStr">
        <x:is>
          <x:t xml:space="preserve">M.G. Sutton</x:t>
        </x:is>
      </x:c>
      <x:c r="D221" t="inlineStr">
        <x:is>
          <x:t xml:space="preserve">USA</x:t>
        </x:is>
      </x:c>
      <x:c r="E221" t="inlineStr">
        <x:is>
          <x:t xml:space="preserve">United States</x:t>
        </x:is>
      </x:c>
      <x:c r="G221" s="35" t="n"/>
      <x:c r="H221" t="inlineStr">
        <x:is>
          <x:t xml:space="preserve">6-1, 6-4</x:t>
        </x:is>
      </x:c>
      <x:c r="I221" t="n">
        <x:v>6</x:v>
      </x:c>
      <x:c r="J221" t="n">
        <x:v>1</x:v>
      </x:c>
      <x:c r="K221" t="n">
        <x:v>6</x:v>
      </x:c>
      <x:c r="L221" t="n">
        <x:v>4</x:v>
      </x:c>
      <x:c r="S221" t="inlineStr">
        <x:is>
          <x:t xml:space="preserve">D.L. Chambers</x:t>
        </x:is>
      </x:c>
      <x:c r="T221" t="inlineStr">
        <x:is>
          <x:t xml:space="preserve">GBR</x:t>
        </x:is>
      </x:c>
      <x:c r="U221" t="inlineStr">
        <x:is>
          <x:t xml:space="preserve">United Kingdom</x:t>
        </x:is>
      </x:c>
      <x:c r="W221" t="n">
        <x:v>2</x:v>
      </x:c>
      <x:c r="X221" t="n">
        <x:v>17</x:v>
      </x:c>
      <x:c r="Y221" t="inlineStr">
        <x:is>
          <x:t xml:space="preserve">Completed</x:t>
        </x:is>
      </x:c>
      <x:c r="Z221" t="inlineStr">
        <x:is>
          <x:t xml:space="preserve">Unavailable (not imputed)</x:t>
        </x:is>
      </x:c>
      <x:c r="AA221" t="n">
        <x:v>2</x:v>
      </x:c>
      <x:c r="AB221" t="inlineStr">
        <x:is>
          <x:t xml:space="preserve">No</x:t>
        </x:is>
      </x:c>
      <x:c r="AC221" t="inlineStr">
        <x:is>
          <x:t xml:space="preserve">1900s</x:t>
        </x:is>
      </x:c>
      <x:c r="AD221" t="inlineStr">
        <x:is>
          <x:t xml:space="preserve">Unseeded/unknown</x:t>
        </x:is>
      </x:c>
      <x:c r="AE221" t="inlineStr">
        <x:is>
          <x:t xml:space="preserve">Unseeded/unknown</x:t>
        </x:is>
      </x:c>
    </x:row>
    <x:row r="222">
      <x:c r="A222" t="n">
        <x:v>1907</x:v>
      </x:c>
      <x:c r="B222" t="inlineStr">
        <x:is>
          <x:t xml:space="preserve">Men's</x:t>
        </x:is>
      </x:c>
      <x:c r="C222" t="inlineStr">
        <x:is>
          <x:t xml:space="preserve">N.E. Brookes</x:t>
        </x:is>
      </x:c>
      <x:c r="D222" t="inlineStr">
        <x:is>
          <x:t xml:space="preserve">AUS</x:t>
        </x:is>
      </x:c>
      <x:c r="E222" t="inlineStr">
        <x:is>
          <x:t xml:space="preserve">Australia</x:t>
        </x:is>
      </x:c>
      <x:c r="G222" s="35" t="n"/>
      <x:c r="H222" t="inlineStr">
        <x:is>
          <x:t xml:space="preserve">6-4, 6-2, 6-2</x:t>
        </x:is>
      </x:c>
      <x:c r="I222" t="n">
        <x:v>6</x:v>
      </x:c>
      <x:c r="J222" t="n">
        <x:v>4</x:v>
      </x:c>
      <x:c r="K222" t="n">
        <x:v>6</x:v>
      </x:c>
      <x:c r="L222" t="n">
        <x:v>2</x:v>
      </x:c>
      <x:c r="M222" t="n">
        <x:v>6</x:v>
      </x:c>
      <x:c r="N222" t="n">
        <x:v>2</x:v>
      </x:c>
      <x:c r="S222" t="inlineStr">
        <x:is>
          <x:t xml:space="preserve">A.W. Gore</x:t>
        </x:is>
      </x:c>
      <x:c r="T222" t="inlineStr">
        <x:is>
          <x:t xml:space="preserve">GBR</x:t>
        </x:is>
      </x:c>
      <x:c r="U222" t="inlineStr">
        <x:is>
          <x:t xml:space="preserve">United Kingdom</x:t>
        </x:is>
      </x:c>
      <x:c r="W222" t="n">
        <x:v>3</x:v>
      </x:c>
      <x:c r="X222" t="n">
        <x:v>26</x:v>
      </x:c>
      <x:c r="Y222" t="inlineStr">
        <x:is>
          <x:t xml:space="preserve">Completed</x:t>
        </x:is>
      </x:c>
      <x:c r="Z222" t="inlineStr">
        <x:is>
          <x:t xml:space="preserve">Unavailable (not imputed)</x:t>
        </x:is>
      </x:c>
      <x:c r="AA222" t="n">
        <x:v>2</x:v>
      </x:c>
      <x:c r="AB222" t="inlineStr">
        <x:is>
          <x:t xml:space="preserve">No</x:t>
        </x:is>
      </x:c>
      <x:c r="AC222" t="inlineStr">
        <x:is>
          <x:t xml:space="preserve">1900s</x:t>
        </x:is>
      </x:c>
      <x:c r="AD222" t="inlineStr">
        <x:is>
          <x:t xml:space="preserve">Unseeded/unknown</x:t>
        </x:is>
      </x:c>
      <x:c r="AE222" t="inlineStr">
        <x:is>
          <x:t xml:space="preserve">Unseeded/unknown</x:t>
        </x:is>
      </x:c>
    </x:row>
    <x:row r="223">
      <x:c r="A223" t="n">
        <x:v>1906</x:v>
      </x:c>
      <x:c r="B223" t="inlineStr">
        <x:is>
          <x:t xml:space="preserve">Women's</x:t>
        </x:is>
      </x:c>
      <x:c r="C223" t="inlineStr">
        <x:is>
          <x:t xml:space="preserve">D.L. Chambers</x:t>
        </x:is>
      </x:c>
      <x:c r="D223" t="inlineStr">
        <x:is>
          <x:t xml:space="preserve">GBR</x:t>
        </x:is>
      </x:c>
      <x:c r="E223" t="inlineStr">
        <x:is>
          <x:t xml:space="preserve">United Kingdom</x:t>
        </x:is>
      </x:c>
      <x:c r="G223" t="n">
        <x:v>57</x:v>
      </x:c>
      <x:c r="H223" t="inlineStr">
        <x:is>
          <x:t xml:space="preserve">6-3, 9-7</x:t>
        </x:is>
      </x:c>
      <x:c r="I223" t="n">
        <x:v>6</x:v>
      </x:c>
      <x:c r="J223" t="n">
        <x:v>3</x:v>
      </x:c>
      <x:c r="K223" t="n">
        <x:v>9</x:v>
      </x:c>
      <x:c r="L223" t="n">
        <x:v>7</x:v>
      </x:c>
      <x:c r="S223" t="inlineStr">
        <x:is>
          <x:t xml:space="preserve">M.G. Sutton</x:t>
        </x:is>
      </x:c>
      <x:c r="T223" t="inlineStr">
        <x:is>
          <x:t xml:space="preserve">USA</x:t>
        </x:is>
      </x:c>
      <x:c r="U223" t="inlineStr">
        <x:is>
          <x:t xml:space="preserve">United States</x:t>
        </x:is>
      </x:c>
      <x:c r="W223" t="n">
        <x:v>2</x:v>
      </x:c>
      <x:c r="X223" t="n">
        <x:v>25</x:v>
      </x:c>
      <x:c r="Y223" t="inlineStr">
        <x:is>
          <x:t xml:space="preserve">Completed</x:t>
        </x:is>
      </x:c>
      <x:c r="Z223" t="inlineStr">
        <x:is>
          <x:t xml:space="preserve">Recorded</x:t>
        </x:is>
      </x:c>
      <x:c r="AA223" t="n">
        <x:v>7</x:v>
      </x:c>
      <x:c r="AB223" t="inlineStr">
        <x:is>
          <x:t xml:space="preserve">Yes</x:t>
        </x:is>
      </x:c>
      <x:c r="AC223" t="inlineStr">
        <x:is>
          <x:t xml:space="preserve">1900s</x:t>
        </x:is>
      </x:c>
      <x:c r="AD223" t="inlineStr">
        <x:is>
          <x:t xml:space="preserve">Unseeded/unknown</x:t>
        </x:is>
      </x:c>
      <x:c r="AE223" t="inlineStr">
        <x:is>
          <x:t xml:space="preserve">Unseeded/unknown</x:t>
        </x:is>
      </x:c>
    </x:row>
    <x:row r="224">
      <x:c r="A224" t="n">
        <x:v>1906</x:v>
      </x:c>
      <x:c r="B224" t="inlineStr">
        <x:is>
          <x:t xml:space="preserve">Men's</x:t>
        </x:is>
      </x:c>
      <x:c r="C224" t="inlineStr">
        <x:is>
          <x:t xml:space="preserve">H.L. Doherty</x:t>
        </x:is>
      </x:c>
      <x:c r="D224" t="inlineStr">
        <x:is>
          <x:t xml:space="preserve">GBR</x:t>
        </x:is>
      </x:c>
      <x:c r="E224" t="inlineStr">
        <x:is>
          <x:t xml:space="preserve">United Kingdom</x:t>
        </x:is>
      </x:c>
      <x:c r="G224" t="n">
        <x:v>74</x:v>
      </x:c>
      <x:c r="H224" t="inlineStr">
        <x:is>
          <x:t xml:space="preserve">6-4, 4-6, 6-2, 6-3</x:t>
        </x:is>
      </x:c>
      <x:c r="I224" t="n">
        <x:v>6</x:v>
      </x:c>
      <x:c r="J224" t="n">
        <x:v>4</x:v>
      </x:c>
      <x:c r="K224" t="n">
        <x:v>4</x:v>
      </x:c>
      <x:c r="L224" t="n">
        <x:v>6</x:v>
      </x:c>
      <x:c r="M224" t="n">
        <x:v>6</x:v>
      </x:c>
      <x:c r="N224" t="n">
        <x:v>2</x:v>
      </x:c>
      <x:c r="O224" t="n">
        <x:v>6</x:v>
      </x:c>
      <x:c r="P224" t="n">
        <x:v>3</x:v>
      </x:c>
      <x:c r="S224" t="inlineStr">
        <x:is>
          <x:t xml:space="preserve">F.L. Riseley</x:t>
        </x:is>
      </x:c>
      <x:c r="T224" t="inlineStr">
        <x:is>
          <x:t xml:space="preserve">GBR</x:t>
        </x:is>
      </x:c>
      <x:c r="U224" t="inlineStr">
        <x:is>
          <x:t xml:space="preserve">United Kingdom</x:t>
        </x:is>
      </x:c>
      <x:c r="W224" t="n">
        <x:v>4</x:v>
      </x:c>
      <x:c r="X224" t="n">
        <x:v>37</x:v>
      </x:c>
      <x:c r="Y224" t="inlineStr">
        <x:is>
          <x:t xml:space="preserve">Completed</x:t>
        </x:is>
      </x:c>
      <x:c r="Z224" t="inlineStr">
        <x:is>
          <x:t xml:space="preserve">Recorded</x:t>
        </x:is>
      </x:c>
      <x:c r="AA224" t="n">
        <x:v>5</x:v>
      </x:c>
      <x:c r="AB224" t="inlineStr">
        <x:is>
          <x:t xml:space="preserve">Yes</x:t>
        </x:is>
      </x:c>
      <x:c r="AC224" t="inlineStr">
        <x:is>
          <x:t xml:space="preserve">1900s</x:t>
        </x:is>
      </x:c>
      <x:c r="AD224" t="inlineStr">
        <x:is>
          <x:t xml:space="preserve">Unseeded/unknown</x:t>
        </x:is>
      </x:c>
      <x:c r="AE224" t="inlineStr">
        <x:is>
          <x:t xml:space="preserve">Unseeded/unknown</x:t>
        </x:is>
      </x:c>
    </x:row>
    <x:row r="225">
      <x:c r="A225" t="n">
        <x:v>1905</x:v>
      </x:c>
      <x:c r="B225" t="inlineStr">
        <x:is>
          <x:t xml:space="preserve">Women's</x:t>
        </x:is>
      </x:c>
      <x:c r="C225" t="inlineStr">
        <x:is>
          <x:t xml:space="preserve">M.G. Sutton</x:t>
        </x:is>
      </x:c>
      <x:c r="D225" t="inlineStr">
        <x:is>
          <x:t xml:space="preserve">USA</x:t>
        </x:is>
      </x:c>
      <x:c r="E225" t="inlineStr">
        <x:is>
          <x:t xml:space="preserve">United States</x:t>
        </x:is>
      </x:c>
      <x:c r="G225" s="35" t="n"/>
      <x:c r="H225" t="inlineStr">
        <x:is>
          <x:t xml:space="preserve">6-3, 6-4</x:t>
        </x:is>
      </x:c>
      <x:c r="I225" t="n">
        <x:v>6</x:v>
      </x:c>
      <x:c r="J225" t="n">
        <x:v>3</x:v>
      </x:c>
      <x:c r="K225" t="n">
        <x:v>6</x:v>
      </x:c>
      <x:c r="L225" t="n">
        <x:v>4</x:v>
      </x:c>
      <x:c r="S225" t="inlineStr">
        <x:is>
          <x:t xml:space="preserve">D.L. Chambers</x:t>
        </x:is>
      </x:c>
      <x:c r="T225" t="inlineStr">
        <x:is>
          <x:t xml:space="preserve">GBR</x:t>
        </x:is>
      </x:c>
      <x:c r="U225" t="inlineStr">
        <x:is>
          <x:t xml:space="preserve">United Kingdom</x:t>
        </x:is>
      </x:c>
      <x:c r="W225" t="n">
        <x:v>2</x:v>
      </x:c>
      <x:c r="X225" t="n">
        <x:v>19</x:v>
      </x:c>
      <x:c r="Y225" t="inlineStr">
        <x:is>
          <x:t xml:space="preserve">Completed</x:t>
        </x:is>
      </x:c>
      <x:c r="Z225" t="inlineStr">
        <x:is>
          <x:t xml:space="preserve">Unavailable (not imputed)</x:t>
        </x:is>
      </x:c>
      <x:c r="AA225" t="n">
        <x:v>2</x:v>
      </x:c>
      <x:c r="AB225" t="inlineStr">
        <x:is>
          <x:t xml:space="preserve">No</x:t>
        </x:is>
      </x:c>
      <x:c r="AC225" t="inlineStr">
        <x:is>
          <x:t xml:space="preserve">1900s</x:t>
        </x:is>
      </x:c>
      <x:c r="AD225" t="inlineStr">
        <x:is>
          <x:t xml:space="preserve">Unseeded/unknown</x:t>
        </x:is>
      </x:c>
      <x:c r="AE225" t="inlineStr">
        <x:is>
          <x:t xml:space="preserve">Unseeded/unknown</x:t>
        </x:is>
      </x:c>
    </x:row>
    <x:row r="226">
      <x:c r="A226" t="n">
        <x:v>1905</x:v>
      </x:c>
      <x:c r="B226" t="inlineStr">
        <x:is>
          <x:t xml:space="preserve">Men's</x:t>
        </x:is>
      </x:c>
      <x:c r="C226" t="inlineStr">
        <x:is>
          <x:t xml:space="preserve">H.L. Doherty</x:t>
        </x:is>
      </x:c>
      <x:c r="D226" t="inlineStr">
        <x:is>
          <x:t xml:space="preserve">GBR</x:t>
        </x:is>
      </x:c>
      <x:c r="E226" t="inlineStr">
        <x:is>
          <x:t xml:space="preserve">United Kingdom</x:t>
        </x:is>
      </x:c>
      <x:c r="G226" t="n">
        <x:v>65</x:v>
      </x:c>
      <x:c r="H226" t="inlineStr">
        <x:is>
          <x:t xml:space="preserve">8-6, 6-2, 6-4</x:t>
        </x:is>
      </x:c>
      <x:c r="I226" t="n">
        <x:v>8</x:v>
      </x:c>
      <x:c r="J226" t="n">
        <x:v>6</x:v>
      </x:c>
      <x:c r="K226" t="n">
        <x:v>6</x:v>
      </x:c>
      <x:c r="L226" t="n">
        <x:v>2</x:v>
      </x:c>
      <x:c r="M226" t="n">
        <x:v>6</x:v>
      </x:c>
      <x:c r="N226" t="n">
        <x:v>4</x:v>
      </x:c>
      <x:c r="S226" t="inlineStr">
        <x:is>
          <x:t xml:space="preserve">N.E. Brookes</x:t>
        </x:is>
      </x:c>
      <x:c r="T226" t="inlineStr">
        <x:is>
          <x:t xml:space="preserve">AUS</x:t>
        </x:is>
      </x:c>
      <x:c r="U226" t="inlineStr">
        <x:is>
          <x:t xml:space="preserve">Australia</x:t>
        </x:is>
      </x:c>
      <x:c r="W226" t="n">
        <x:v>3</x:v>
      </x:c>
      <x:c r="X226" t="n">
        <x:v>32</x:v>
      </x:c>
      <x:c r="Y226" t="inlineStr">
        <x:is>
          <x:t xml:space="preserve">Completed</x:t>
        </x:is>
      </x:c>
      <x:c r="Z226" t="inlineStr">
        <x:is>
          <x:t xml:space="preserve">Recorded</x:t>
        </x:is>
      </x:c>
      <x:c r="AA226" t="n">
        <x:v>5</x:v>
      </x:c>
      <x:c r="AB226" t="inlineStr">
        <x:is>
          <x:t xml:space="preserve">Yes</x:t>
        </x:is>
      </x:c>
      <x:c r="AC226" t="inlineStr">
        <x:is>
          <x:t xml:space="preserve">1900s</x:t>
        </x:is>
      </x:c>
      <x:c r="AD226" t="inlineStr">
        <x:is>
          <x:t xml:space="preserve">Unseeded/unknown</x:t>
        </x:is>
      </x:c>
      <x:c r="AE226" t="inlineStr">
        <x:is>
          <x:t xml:space="preserve">Unseeded/unknown</x:t>
        </x:is>
      </x:c>
    </x:row>
    <x:row r="227">
      <x:c r="A227" t="n">
        <x:v>1904</x:v>
      </x:c>
      <x:c r="B227" t="inlineStr">
        <x:is>
          <x:t xml:space="preserve">Women's</x:t>
        </x:is>
      </x:c>
      <x:c r="C227" t="inlineStr">
        <x:is>
          <x:t xml:space="preserve">D.L. Chambers</x:t>
        </x:is>
      </x:c>
      <x:c r="D227" t="inlineStr">
        <x:is>
          <x:t xml:space="preserve">GBR</x:t>
        </x:is>
      </x:c>
      <x:c r="E227" t="inlineStr">
        <x:is>
          <x:t xml:space="preserve">United Kingdom</x:t>
        </x:is>
      </x:c>
      <x:c r="G227" s="35" t="n"/>
      <x:c r="H227" t="inlineStr">
        <x:is>
          <x:t xml:space="preserve">6-0, 6-3</x:t>
        </x:is>
      </x:c>
      <x:c r="I227" t="n">
        <x:v>6</x:v>
      </x:c>
      <x:c r="J227" t="n">
        <x:v>0</x:v>
      </x:c>
      <x:c r="K227" t="n">
        <x:v>6</x:v>
      </x:c>
      <x:c r="L227" t="n">
        <x:v>3</x:v>
      </x:c>
      <x:c r="S227" t="inlineStr">
        <x:is>
          <x:t xml:space="preserve">C.R. Cooper</x:t>
        </x:is>
      </x:c>
      <x:c r="T227" t="inlineStr">
        <x:is>
          <x:t xml:space="preserve">GBR</x:t>
        </x:is>
      </x:c>
      <x:c r="U227" t="inlineStr">
        <x:is>
          <x:t xml:space="preserve">United Kingdom</x:t>
        </x:is>
      </x:c>
      <x:c r="W227" t="n">
        <x:v>2</x:v>
      </x:c>
      <x:c r="X227" t="n">
        <x:v>15</x:v>
      </x:c>
      <x:c r="Y227" t="inlineStr">
        <x:is>
          <x:t xml:space="preserve">Completed</x:t>
        </x:is>
      </x:c>
      <x:c r="Z227" t="inlineStr">
        <x:is>
          <x:t xml:space="preserve">Unavailable (not imputed)</x:t>
        </x:is>
      </x:c>
      <x:c r="AA227" t="n">
        <x:v>7</x:v>
      </x:c>
      <x:c r="AB227" t="inlineStr">
        <x:is>
          <x:t xml:space="preserve">Yes</x:t>
        </x:is>
      </x:c>
      <x:c r="AC227" t="inlineStr">
        <x:is>
          <x:t xml:space="preserve">1900s</x:t>
        </x:is>
      </x:c>
      <x:c r="AD227" t="inlineStr">
        <x:is>
          <x:t xml:space="preserve">Unseeded/unknown</x:t>
        </x:is>
      </x:c>
      <x:c r="AE227" t="inlineStr">
        <x:is>
          <x:t xml:space="preserve">Unseeded/unknown</x:t>
        </x:is>
      </x:c>
    </x:row>
    <x:row r="228">
      <x:c r="A228" t="n">
        <x:v>1904</x:v>
      </x:c>
      <x:c r="B228" t="inlineStr">
        <x:is>
          <x:t xml:space="preserve">Men's</x:t>
        </x:is>
      </x:c>
      <x:c r="C228" t="inlineStr">
        <x:is>
          <x:t xml:space="preserve">H.L. Doherty</x:t>
        </x:is>
      </x:c>
      <x:c r="D228" t="inlineStr">
        <x:is>
          <x:t xml:space="preserve">GBR</x:t>
        </x:is>
      </x:c>
      <x:c r="E228" t="inlineStr">
        <x:is>
          <x:t xml:space="preserve">United Kingdom</x:t>
        </x:is>
      </x:c>
      <x:c r="G228" s="35" t="n"/>
      <x:c r="H228" t="inlineStr">
        <x:is>
          <x:t xml:space="preserve">6-1, 7-5, 8-6</x:t>
        </x:is>
      </x:c>
      <x:c r="I228" t="n">
        <x:v>6</x:v>
      </x:c>
      <x:c r="J228" t="n">
        <x:v>1</x:v>
      </x:c>
      <x:c r="K228" t="n">
        <x:v>7</x:v>
      </x:c>
      <x:c r="L228" t="n">
        <x:v>5</x:v>
      </x:c>
      <x:c r="M228" t="n">
        <x:v>8</x:v>
      </x:c>
      <x:c r="N228" t="n">
        <x:v>6</x:v>
      </x:c>
      <x:c r="S228" t="inlineStr">
        <x:is>
          <x:t xml:space="preserve">F.L. Riseley</x:t>
        </x:is>
      </x:c>
      <x:c r="T228" t="inlineStr">
        <x:is>
          <x:t xml:space="preserve">GBR</x:t>
        </x:is>
      </x:c>
      <x:c r="U228" t="inlineStr">
        <x:is>
          <x:t xml:space="preserve">United Kingdom</x:t>
        </x:is>
      </x:c>
      <x:c r="W228" t="n">
        <x:v>3</x:v>
      </x:c>
      <x:c r="X228" t="n">
        <x:v>33</x:v>
      </x:c>
      <x:c r="Y228" t="inlineStr">
        <x:is>
          <x:t xml:space="preserve">Completed</x:t>
        </x:is>
      </x:c>
      <x:c r="Z228" t="inlineStr">
        <x:is>
          <x:t xml:space="preserve">Unavailable (not imputed)</x:t>
        </x:is>
      </x:c>
      <x:c r="AA228" t="n">
        <x:v>5</x:v>
      </x:c>
      <x:c r="AB228" t="inlineStr">
        <x:is>
          <x:t xml:space="preserve">Yes</x:t>
        </x:is>
      </x:c>
      <x:c r="AC228" t="inlineStr">
        <x:is>
          <x:t xml:space="preserve">1900s</x:t>
        </x:is>
      </x:c>
      <x:c r="AD228" t="inlineStr">
        <x:is>
          <x:t xml:space="preserve">Unseeded/unknown</x:t>
        </x:is>
      </x:c>
      <x:c r="AE228" t="inlineStr">
        <x:is>
          <x:t xml:space="preserve">Unseeded/unknown</x:t>
        </x:is>
      </x:c>
    </x:row>
    <x:row r="229">
      <x:c r="A229" t="n">
        <x:v>1903</x:v>
      </x:c>
      <x:c r="B229" t="inlineStr">
        <x:is>
          <x:t xml:space="preserve">Women's</x:t>
        </x:is>
      </x:c>
      <x:c r="C229" t="inlineStr">
        <x:is>
          <x:t xml:space="preserve">D.L. Chambers</x:t>
        </x:is>
      </x:c>
      <x:c r="D229" t="inlineStr">
        <x:is>
          <x:t xml:space="preserve">GBR</x:t>
        </x:is>
      </x:c>
      <x:c r="E229" t="inlineStr">
        <x:is>
          <x:t xml:space="preserve">United Kingdom</x:t>
        </x:is>
      </x:c>
      <x:c r="G229" s="35" t="n"/>
      <x:c r="H229" t="inlineStr">
        <x:is>
          <x:t xml:space="preserve">4-6, 6-4, 6-2</x:t>
        </x:is>
      </x:c>
      <x:c r="I229" t="n">
        <x:v>4</x:v>
      </x:c>
      <x:c r="J229" t="n">
        <x:v>6</x:v>
      </x:c>
      <x:c r="K229" t="n">
        <x:v>6</x:v>
      </x:c>
      <x:c r="L229" t="n">
        <x:v>4</x:v>
      </x:c>
      <x:c r="M229" t="n">
        <x:v>6</x:v>
      </x:c>
      <x:c r="N229" t="n">
        <x:v>2</x:v>
      </x:c>
      <x:c r="S229" t="inlineStr">
        <x:is>
          <x:t xml:space="preserve">E.W. Thomson</x:t>
        </x:is>
      </x:c>
      <x:c r="T229" t="inlineStr">
        <x:is>
          <x:t xml:space="preserve">GBR</x:t>
        </x:is>
      </x:c>
      <x:c r="U229" t="inlineStr">
        <x:is>
          <x:t xml:space="preserve">United Kingdom</x:t>
        </x:is>
      </x:c>
      <x:c r="W229" t="n">
        <x:v>3</x:v>
      </x:c>
      <x:c r="X229" t="n">
        <x:v>28</x:v>
      </x:c>
      <x:c r="Y229" t="inlineStr">
        <x:is>
          <x:t xml:space="preserve">Completed</x:t>
        </x:is>
      </x:c>
      <x:c r="Z229" t="inlineStr">
        <x:is>
          <x:t xml:space="preserve">Unavailable (not imputed)</x:t>
        </x:is>
      </x:c>
      <x:c r="AA229" t="n">
        <x:v>7</x:v>
      </x:c>
      <x:c r="AB229" t="inlineStr">
        <x:is>
          <x:t xml:space="preserve">Yes</x:t>
        </x:is>
      </x:c>
      <x:c r="AC229" t="inlineStr">
        <x:is>
          <x:t xml:space="preserve">1900s</x:t>
        </x:is>
      </x:c>
      <x:c r="AD229" t="inlineStr">
        <x:is>
          <x:t xml:space="preserve">Unseeded/unknown</x:t>
        </x:is>
      </x:c>
      <x:c r="AE229" t="inlineStr">
        <x:is>
          <x:t xml:space="preserve">Unseeded/unknown</x:t>
        </x:is>
      </x:c>
    </x:row>
    <x:row r="230">
      <x:c r="A230" t="n">
        <x:v>1903</x:v>
      </x:c>
      <x:c r="B230" t="inlineStr">
        <x:is>
          <x:t xml:space="preserve">Men's</x:t>
        </x:is>
      </x:c>
      <x:c r="C230" t="inlineStr">
        <x:is>
          <x:t xml:space="preserve">H.L. Doherty</x:t>
        </x:is>
      </x:c>
      <x:c r="D230" t="inlineStr">
        <x:is>
          <x:t xml:space="preserve">GBR</x:t>
        </x:is>
      </x:c>
      <x:c r="E230" t="inlineStr">
        <x:is>
          <x:t xml:space="preserve">United Kingdom</x:t>
        </x:is>
      </x:c>
      <x:c r="G230" s="35" t="n"/>
      <x:c r="H230" t="inlineStr">
        <x:is>
          <x:t xml:space="preserve">7-5, 6-3, 6-0</x:t>
        </x:is>
      </x:c>
      <x:c r="I230" t="n">
        <x:v>7</x:v>
      </x:c>
      <x:c r="J230" t="n">
        <x:v>5</x:v>
      </x:c>
      <x:c r="K230" t="n">
        <x:v>6</x:v>
      </x:c>
      <x:c r="L230" t="n">
        <x:v>3</x:v>
      </x:c>
      <x:c r="M230" t="n">
        <x:v>6</x:v>
      </x:c>
      <x:c r="N230" t="n">
        <x:v>0</x:v>
      </x:c>
      <x:c r="S230" t="inlineStr">
        <x:is>
          <x:t xml:space="preserve">F.L. Riseley</x:t>
        </x:is>
      </x:c>
      <x:c r="T230" t="inlineStr">
        <x:is>
          <x:t xml:space="preserve">GBR</x:t>
        </x:is>
      </x:c>
      <x:c r="U230" t="inlineStr">
        <x:is>
          <x:t xml:space="preserve">United Kingdom</x:t>
        </x:is>
      </x:c>
      <x:c r="W230" t="n">
        <x:v>3</x:v>
      </x:c>
      <x:c r="X230" t="n">
        <x:v>27</x:v>
      </x:c>
      <x:c r="Y230" t="inlineStr">
        <x:is>
          <x:t xml:space="preserve">Completed</x:t>
        </x:is>
      </x:c>
      <x:c r="Z230" t="inlineStr">
        <x:is>
          <x:t xml:space="preserve">Unavailable (not imputed)</x:t>
        </x:is>
      </x:c>
      <x:c r="AA230" t="n">
        <x:v>5</x:v>
      </x:c>
      <x:c r="AB230" t="inlineStr">
        <x:is>
          <x:t xml:space="preserve">Yes</x:t>
        </x:is>
      </x:c>
      <x:c r="AC230" t="inlineStr">
        <x:is>
          <x:t xml:space="preserve">1900s</x:t>
        </x:is>
      </x:c>
      <x:c r="AD230" t="inlineStr">
        <x:is>
          <x:t xml:space="preserve">Unseeded/unknown</x:t>
        </x:is>
      </x:c>
      <x:c r="AE230" t="inlineStr">
        <x:is>
          <x:t xml:space="preserve">Unseeded/unknown</x:t>
        </x:is>
      </x:c>
    </x:row>
    <x:row r="231">
      <x:c r="A231" t="n">
        <x:v>1902</x:v>
      </x:c>
      <x:c r="B231" t="inlineStr">
        <x:is>
          <x:t xml:space="preserve">Women's</x:t>
        </x:is>
      </x:c>
      <x:c r="C231" t="inlineStr">
        <x:is>
          <x:t xml:space="preserve">M.E. Robb</x:t>
        </x:is>
      </x:c>
      <x:c r="D231" t="inlineStr">
        <x:is>
          <x:t xml:space="preserve">GBR</x:t>
        </x:is>
      </x:c>
      <x:c r="E231" t="inlineStr">
        <x:is>
          <x:t xml:space="preserve">United Kingdom</x:t>
        </x:is>
      </x:c>
      <x:c r="G231" s="35" t="n"/>
      <x:c r="H231" t="inlineStr">
        <x:is>
          <x:t xml:space="preserve">7-5, 6-1</x:t>
        </x:is>
      </x:c>
      <x:c r="I231" t="n">
        <x:v>7</x:v>
      </x:c>
      <x:c r="J231" t="n">
        <x:v>5</x:v>
      </x:c>
      <x:c r="K231" t="n">
        <x:v>6</x:v>
      </x:c>
      <x:c r="L231" t="n">
        <x:v>1</x:v>
      </x:c>
      <x:c r="S231" t="inlineStr">
        <x:is>
          <x:t xml:space="preserve">C.R. Cooper</x:t>
        </x:is>
      </x:c>
      <x:c r="T231" t="inlineStr">
        <x:is>
          <x:t xml:space="preserve">GBR</x:t>
        </x:is>
      </x:c>
      <x:c r="U231" t="inlineStr">
        <x:is>
          <x:t xml:space="preserve">United Kingdom</x:t>
        </x:is>
      </x:c>
      <x:c r="W231" t="n">
        <x:v>2</x:v>
      </x:c>
      <x:c r="X231" t="n">
        <x:v>19</x:v>
      </x:c>
      <x:c r="Y231" t="inlineStr">
        <x:is>
          <x:t xml:space="preserve">Completed</x:t>
        </x:is>
      </x:c>
      <x:c r="Z231" t="inlineStr">
        <x:is>
          <x:t xml:space="preserve">Unavailable (not imputed)</x:t>
        </x:is>
      </x:c>
      <x:c r="AA231" t="n">
        <x:v>1</x:v>
      </x:c>
      <x:c r="AB231" t="inlineStr">
        <x:is>
          <x:t xml:space="preserve">No</x:t>
        </x:is>
      </x:c>
      <x:c r="AC231" t="inlineStr">
        <x:is>
          <x:t xml:space="preserve">1900s</x:t>
        </x:is>
      </x:c>
      <x:c r="AD231" t="inlineStr">
        <x:is>
          <x:t xml:space="preserve">Unseeded/unknown</x:t>
        </x:is>
      </x:c>
      <x:c r="AE231" t="inlineStr">
        <x:is>
          <x:t xml:space="preserve">Unseeded/unknown</x:t>
        </x:is>
      </x:c>
    </x:row>
    <x:row r="232">
      <x:c r="A232" t="n">
        <x:v>1902</x:v>
      </x:c>
      <x:c r="B232" t="inlineStr">
        <x:is>
          <x:t xml:space="preserve">Men's</x:t>
        </x:is>
      </x:c>
      <x:c r="C232" t="inlineStr">
        <x:is>
          <x:t xml:space="preserve">H.L. Doherty</x:t>
        </x:is>
      </x:c>
      <x:c r="D232" t="inlineStr">
        <x:is>
          <x:t xml:space="preserve">GBR</x:t>
        </x:is>
      </x:c>
      <x:c r="E232" t="inlineStr">
        <x:is>
          <x:t xml:space="preserve">United Kingdom</x:t>
        </x:is>
      </x:c>
      <x:c r="G232" t="n">
        <x:v>84</x:v>
      </x:c>
      <x:c r="H232" t="inlineStr">
        <x:is>
          <x:t xml:space="preserve">6-4, 6-3, 3-6, 6-0</x:t>
        </x:is>
      </x:c>
      <x:c r="I232" t="n">
        <x:v>6</x:v>
      </x:c>
      <x:c r="J232" t="n">
        <x:v>4</x:v>
      </x:c>
      <x:c r="K232" t="n">
        <x:v>6</x:v>
      </x:c>
      <x:c r="L232" t="n">
        <x:v>3</x:v>
      </x:c>
      <x:c r="M232" t="n">
        <x:v>3</x:v>
      </x:c>
      <x:c r="N232" t="n">
        <x:v>6</x:v>
      </x:c>
      <x:c r="O232" t="n">
        <x:v>6</x:v>
      </x:c>
      <x:c r="P232" t="n">
        <x:v>0</x:v>
      </x:c>
      <x:c r="S232" t="inlineStr">
        <x:is>
          <x:t xml:space="preserve">A.W. Gore</x:t>
        </x:is>
      </x:c>
      <x:c r="T232" t="inlineStr">
        <x:is>
          <x:t xml:space="preserve">GBR</x:t>
        </x:is>
      </x:c>
      <x:c r="U232" t="inlineStr">
        <x:is>
          <x:t xml:space="preserve">United Kingdom</x:t>
        </x:is>
      </x:c>
      <x:c r="W232" t="n">
        <x:v>4</x:v>
      </x:c>
      <x:c r="X232" t="n">
        <x:v>34</x:v>
      </x:c>
      <x:c r="Y232" t="inlineStr">
        <x:is>
          <x:t xml:space="preserve">Completed</x:t>
        </x:is>
      </x:c>
      <x:c r="Z232" t="inlineStr">
        <x:is>
          <x:t xml:space="preserve">Recorded</x:t>
        </x:is>
      </x:c>
      <x:c r="AA232" t="n">
        <x:v>5</x:v>
      </x:c>
      <x:c r="AB232" t="inlineStr">
        <x:is>
          <x:t xml:space="preserve">Yes</x:t>
        </x:is>
      </x:c>
      <x:c r="AC232" t="inlineStr">
        <x:is>
          <x:t xml:space="preserve">1900s</x:t>
        </x:is>
      </x:c>
      <x:c r="AD232" t="inlineStr">
        <x:is>
          <x:t xml:space="preserve">Unseeded/unknown</x:t>
        </x:is>
      </x:c>
      <x:c r="AE232" t="inlineStr">
        <x:is>
          <x:t xml:space="preserve">Unseeded/unknown</x:t>
        </x:is>
      </x:c>
    </x:row>
    <x:row r="233">
      <x:c r="A233" t="n">
        <x:v>1901</x:v>
      </x:c>
      <x:c r="B233" t="inlineStr">
        <x:is>
          <x:t xml:space="preserve">Women's</x:t>
        </x:is>
      </x:c>
      <x:c r="C233" t="inlineStr">
        <x:is>
          <x:t xml:space="preserve">C.R. Cooper</x:t>
        </x:is>
      </x:c>
      <x:c r="D233" t="inlineStr">
        <x:is>
          <x:t xml:space="preserve">GBR</x:t>
        </x:is>
      </x:c>
      <x:c r="E233" t="inlineStr">
        <x:is>
          <x:t xml:space="preserve">United Kingdom</x:t>
        </x:is>
      </x:c>
      <x:c r="G233" s="35" t="n"/>
      <x:c r="H233" t="inlineStr">
        <x:is>
          <x:t xml:space="preserve">6-2, 6-2</x:t>
        </x:is>
      </x:c>
      <x:c r="I233" t="n">
        <x:v>6</x:v>
      </x:c>
      <x:c r="J233" t="n">
        <x:v>2</x:v>
      </x:c>
      <x:c r="K233" t="n">
        <x:v>6</x:v>
      </x:c>
      <x:c r="L233" t="n">
        <x:v>2</x:v>
      </x:c>
      <x:c r="S233" t="inlineStr">
        <x:is>
          <x:t xml:space="preserve">G.W. Hillyard</x:t>
        </x:is>
      </x:c>
      <x:c r="T233" t="inlineStr">
        <x:is>
          <x:t xml:space="preserve">GBR</x:t>
        </x:is>
      </x:c>
      <x:c r="U233" t="inlineStr">
        <x:is>
          <x:t xml:space="preserve">United Kingdom</x:t>
        </x:is>
      </x:c>
      <x:c r="W233" t="n">
        <x:v>2</x:v>
      </x:c>
      <x:c r="X233" t="n">
        <x:v>16</x:v>
      </x:c>
      <x:c r="Y233" t="inlineStr">
        <x:is>
          <x:t xml:space="preserve">Completed</x:t>
        </x:is>
      </x:c>
      <x:c r="Z233" t="inlineStr">
        <x:is>
          <x:t xml:space="preserve">Unavailable (not imputed)</x:t>
        </x:is>
      </x:c>
      <x:c r="AA233" t="n">
        <x:v>5</x:v>
      </x:c>
      <x:c r="AB233" t="inlineStr">
        <x:is>
          <x:t xml:space="preserve">Yes</x:t>
        </x:is>
      </x:c>
      <x:c r="AC233" t="inlineStr">
        <x:is>
          <x:t xml:space="preserve">1900s</x:t>
        </x:is>
      </x:c>
      <x:c r="AD233" t="inlineStr">
        <x:is>
          <x:t xml:space="preserve">Unseeded/unknown</x:t>
        </x:is>
      </x:c>
      <x:c r="AE233" t="inlineStr">
        <x:is>
          <x:t xml:space="preserve">Unseeded/unknown</x:t>
        </x:is>
      </x:c>
    </x:row>
    <x:row r="234">
      <x:c r="A234" t="n">
        <x:v>1901</x:v>
      </x:c>
      <x:c r="B234" t="inlineStr">
        <x:is>
          <x:t xml:space="preserve">Men's</x:t>
        </x:is>
      </x:c>
      <x:c r="C234" t="inlineStr">
        <x:is>
          <x:t xml:space="preserve">A.W. Gore</x:t>
        </x:is>
      </x:c>
      <x:c r="D234" t="inlineStr">
        <x:is>
          <x:t xml:space="preserve">GBR</x:t>
        </x:is>
      </x:c>
      <x:c r="E234" t="inlineStr">
        <x:is>
          <x:t xml:space="preserve">United Kingdom</x:t>
        </x:is>
      </x:c>
      <x:c r="G234" t="n">
        <x:v>95</x:v>
      </x:c>
      <x:c r="H234" t="inlineStr">
        <x:is>
          <x:t xml:space="preserve">4-6, 7-5, 6-4, 6-4</x:t>
        </x:is>
      </x:c>
      <x:c r="I234" t="n">
        <x:v>4</x:v>
      </x:c>
      <x:c r="J234" t="n">
        <x:v>6</x:v>
      </x:c>
      <x:c r="K234" t="n">
        <x:v>7</x:v>
      </x:c>
      <x:c r="L234" t="n">
        <x:v>5</x:v>
      </x:c>
      <x:c r="M234" t="n">
        <x:v>6</x:v>
      </x:c>
      <x:c r="N234" t="n">
        <x:v>4</x:v>
      </x:c>
      <x:c r="O234" t="n">
        <x:v>6</x:v>
      </x:c>
      <x:c r="P234" t="n">
        <x:v>4</x:v>
      </x:c>
      <x:c r="S234" t="inlineStr">
        <x:is>
          <x:t xml:space="preserve">R.F. Doherty</x:t>
        </x:is>
      </x:c>
      <x:c r="T234" t="inlineStr">
        <x:is>
          <x:t xml:space="preserve">GBR</x:t>
        </x:is>
      </x:c>
      <x:c r="U234" t="inlineStr">
        <x:is>
          <x:t xml:space="preserve">United Kingdom</x:t>
        </x:is>
      </x:c>
      <x:c r="W234" t="n">
        <x:v>4</x:v>
      </x:c>
      <x:c r="X234" t="n">
        <x:v>42</x:v>
      </x:c>
      <x:c r="Y234" t="inlineStr">
        <x:is>
          <x:t xml:space="preserve">Completed</x:t>
        </x:is>
      </x:c>
      <x:c r="Z234" t="inlineStr">
        <x:is>
          <x:t xml:space="preserve">Recorded</x:t>
        </x:is>
      </x:c>
      <x:c r="AA234" t="n">
        <x:v>3</x:v>
      </x:c>
      <x:c r="AB234" t="inlineStr">
        <x:is>
          <x:t xml:space="preserve">No</x:t>
        </x:is>
      </x:c>
      <x:c r="AC234" t="inlineStr">
        <x:is>
          <x:t xml:space="preserve">1900s</x:t>
        </x:is>
      </x:c>
      <x:c r="AD234" t="inlineStr">
        <x:is>
          <x:t xml:space="preserve">Unseeded/unknown</x:t>
        </x:is>
      </x:c>
      <x:c r="AE234" t="inlineStr">
        <x:is>
          <x:t xml:space="preserve">Unseeded/unknown</x:t>
        </x:is>
      </x:c>
    </x:row>
    <x:row r="235">
      <x:c r="A235" t="n">
        <x:v>1900</x:v>
      </x:c>
      <x:c r="B235" t="inlineStr">
        <x:is>
          <x:t xml:space="preserve">Women's</x:t>
        </x:is>
      </x:c>
      <x:c r="C235" t="inlineStr">
        <x:is>
          <x:t xml:space="preserve">G.W. Hillyard</x:t>
        </x:is>
      </x:c>
      <x:c r="D235" t="inlineStr">
        <x:is>
          <x:t xml:space="preserve">GBR</x:t>
        </x:is>
      </x:c>
      <x:c r="E235" t="inlineStr">
        <x:is>
          <x:t xml:space="preserve">United Kingdom</x:t>
        </x:is>
      </x:c>
      <x:c r="G235" s="35" t="n"/>
      <x:c r="H235" t="inlineStr">
        <x:is>
          <x:t xml:space="preserve">4-6, 6-4, 6-4</x:t>
        </x:is>
      </x:c>
      <x:c r="I235" t="n">
        <x:v>4</x:v>
      </x:c>
      <x:c r="J235" t="n">
        <x:v>6</x:v>
      </x:c>
      <x:c r="K235" t="n">
        <x:v>6</x:v>
      </x:c>
      <x:c r="L235" t="n">
        <x:v>4</x:v>
      </x:c>
      <x:c r="M235" t="n">
        <x:v>6</x:v>
      </x:c>
      <x:c r="N235" t="n">
        <x:v>4</x:v>
      </x:c>
      <x:c r="S235" t="inlineStr">
        <x:is>
          <x:t xml:space="preserve">C.R. Cooper</x:t>
        </x:is>
      </x:c>
      <x:c r="T235" t="inlineStr">
        <x:is>
          <x:t xml:space="preserve">GBR</x:t>
        </x:is>
      </x:c>
      <x:c r="U235" t="inlineStr">
        <x:is>
          <x:t xml:space="preserve">United Kingdom</x:t>
        </x:is>
      </x:c>
      <x:c r="W235" t="n">
        <x:v>3</x:v>
      </x:c>
      <x:c r="X235" t="n">
        <x:v>30</x:v>
      </x:c>
      <x:c r="Y235" t="inlineStr">
        <x:is>
          <x:t xml:space="preserve">Completed</x:t>
        </x:is>
      </x:c>
      <x:c r="Z235" t="inlineStr">
        <x:is>
          <x:t xml:space="preserve">Unavailable (not imputed)</x:t>
        </x:is>
      </x:c>
      <x:c r="AA235" t="n">
        <x:v>6</x:v>
      </x:c>
      <x:c r="AB235" t="inlineStr">
        <x:is>
          <x:t xml:space="preserve">Yes</x:t>
        </x:is>
      </x:c>
      <x:c r="AC235" t="inlineStr">
        <x:is>
          <x:t xml:space="preserve">1900s</x:t>
        </x:is>
      </x:c>
      <x:c r="AD235" t="inlineStr">
        <x:is>
          <x:t xml:space="preserve">Unseeded/unknown</x:t>
        </x:is>
      </x:c>
      <x:c r="AE235" t="inlineStr">
        <x:is>
          <x:t xml:space="preserve">Unseeded/unknown</x:t>
        </x:is>
      </x:c>
    </x:row>
    <x:row r="236">
      <x:c r="A236" t="n">
        <x:v>1900</x:v>
      </x:c>
      <x:c r="B236" t="inlineStr">
        <x:is>
          <x:t xml:space="preserve">Men's</x:t>
        </x:is>
      </x:c>
      <x:c r="C236" t="inlineStr">
        <x:is>
          <x:t xml:space="preserve">R.F. Doherty</x:t>
        </x:is>
      </x:c>
      <x:c r="D236" t="inlineStr">
        <x:is>
          <x:t xml:space="preserve">GBR</x:t>
        </x:is>
      </x:c>
      <x:c r="E236" t="inlineStr">
        <x:is>
          <x:t xml:space="preserve">United Kingdom</x:t>
        </x:is>
      </x:c>
      <x:c r="G236" s="35" t="n"/>
      <x:c r="H236" t="inlineStr">
        <x:is>
          <x:t xml:space="preserve">6-8, 6-3, 6-1, 6-2</x:t>
        </x:is>
      </x:c>
      <x:c r="I236" t="n">
        <x:v>6</x:v>
      </x:c>
      <x:c r="J236" t="n">
        <x:v>8</x:v>
      </x:c>
      <x:c r="K236" t="n">
        <x:v>6</x:v>
      </x:c>
      <x:c r="L236" t="n">
        <x:v>3</x:v>
      </x:c>
      <x:c r="M236" t="n">
        <x:v>6</x:v>
      </x:c>
      <x:c r="N236" t="n">
        <x:v>1</x:v>
      </x:c>
      <x:c r="O236" t="n">
        <x:v>6</x:v>
      </x:c>
      <x:c r="P236" t="n">
        <x:v>2</x:v>
      </x:c>
      <x:c r="S236" t="inlineStr">
        <x:is>
          <x:t xml:space="preserve">S.H. Smith</x:t>
        </x:is>
      </x:c>
      <x:c r="T236" t="inlineStr">
        <x:is>
          <x:t xml:space="preserve">GBR</x:t>
        </x:is>
      </x:c>
      <x:c r="U236" t="inlineStr">
        <x:is>
          <x:t xml:space="preserve">United Kingdom</x:t>
        </x:is>
      </x:c>
      <x:c r="W236" t="n">
        <x:v>4</x:v>
      </x:c>
      <x:c r="X236" t="n">
        <x:v>38</x:v>
      </x:c>
      <x:c r="Y236" t="inlineStr">
        <x:is>
          <x:t xml:space="preserve">Completed</x:t>
        </x:is>
      </x:c>
      <x:c r="Z236" t="inlineStr">
        <x:is>
          <x:t xml:space="preserve">Unavailable (not imputed)</x:t>
        </x:is>
      </x:c>
      <x:c r="AA236" t="n">
        <x:v>4</x:v>
      </x:c>
      <x:c r="AB236" t="inlineStr">
        <x:is>
          <x:t xml:space="preserve">No</x:t>
        </x:is>
      </x:c>
      <x:c r="AC236" t="inlineStr">
        <x:is>
          <x:t xml:space="preserve">1900s</x:t>
        </x:is>
      </x:c>
      <x:c r="AD236" t="inlineStr">
        <x:is>
          <x:t xml:space="preserve">Unseeded/unknown</x:t>
        </x:is>
      </x:c>
      <x:c r="AE236" t="inlineStr">
        <x:is>
          <x:t xml:space="preserve">Unseeded/unknown</x:t>
        </x:is>
      </x:c>
    </x:row>
    <x:row r="237">
      <x:c r="A237" t="n">
        <x:v>1899</x:v>
      </x:c>
      <x:c r="B237" t="inlineStr">
        <x:is>
          <x:t xml:space="preserve">Women's</x:t>
        </x:is>
      </x:c>
      <x:c r="C237" t="inlineStr">
        <x:is>
          <x:t xml:space="preserve">G.W. Hillyard</x:t>
        </x:is>
      </x:c>
      <x:c r="D237" t="inlineStr">
        <x:is>
          <x:t xml:space="preserve">GBR</x:t>
        </x:is>
      </x:c>
      <x:c r="E237" t="inlineStr">
        <x:is>
          <x:t xml:space="preserve">United Kingdom</x:t>
        </x:is>
      </x:c>
      <x:c r="G237" s="35" t="n"/>
      <x:c r="H237" t="inlineStr">
        <x:is>
          <x:t xml:space="preserve">6-2, 6-3</x:t>
        </x:is>
      </x:c>
      <x:c r="I237" t="n">
        <x:v>6</x:v>
      </x:c>
      <x:c r="J237" t="n">
        <x:v>2</x:v>
      </x:c>
      <x:c r="K237" t="n">
        <x:v>6</x:v>
      </x:c>
      <x:c r="L237" t="n">
        <x:v>3</x:v>
      </x:c>
      <x:c r="S237" t="inlineStr">
        <x:is>
          <x:t xml:space="preserve">C.R. Cooper</x:t>
        </x:is>
      </x:c>
      <x:c r="T237" t="inlineStr">
        <x:is>
          <x:t xml:space="preserve">GBR</x:t>
        </x:is>
      </x:c>
      <x:c r="U237" t="inlineStr">
        <x:is>
          <x:t xml:space="preserve">United Kingdom</x:t>
        </x:is>
      </x:c>
      <x:c r="W237" t="n">
        <x:v>2</x:v>
      </x:c>
      <x:c r="X237" t="n">
        <x:v>17</x:v>
      </x:c>
      <x:c r="Y237" t="inlineStr">
        <x:is>
          <x:t xml:space="preserve">Completed</x:t>
        </x:is>
      </x:c>
      <x:c r="Z237" t="inlineStr">
        <x:is>
          <x:t xml:space="preserve">Unavailable (not imputed)</x:t>
        </x:is>
      </x:c>
      <x:c r="AA237" t="n">
        <x:v>6</x:v>
      </x:c>
      <x:c r="AB237" t="inlineStr">
        <x:is>
          <x:t xml:space="preserve">Yes</x:t>
        </x:is>
      </x:c>
      <x:c r="AC237" t="inlineStr">
        <x:is>
          <x:t xml:space="preserve">1890s</x:t>
        </x:is>
      </x:c>
      <x:c r="AD237" t="inlineStr">
        <x:is>
          <x:t xml:space="preserve">Unseeded/unknown</x:t>
        </x:is>
      </x:c>
      <x:c r="AE237" t="inlineStr">
        <x:is>
          <x:t xml:space="preserve">Unseeded/unknown</x:t>
        </x:is>
      </x:c>
    </x:row>
    <x:row r="238">
      <x:c r="A238" t="n">
        <x:v>1899</x:v>
      </x:c>
      <x:c r="B238" t="inlineStr">
        <x:is>
          <x:t xml:space="preserve">Men's</x:t>
        </x:is>
      </x:c>
      <x:c r="C238" t="inlineStr">
        <x:is>
          <x:t xml:space="preserve">R.F. Doherty</x:t>
        </x:is>
      </x:c>
      <x:c r="D238" t="inlineStr">
        <x:is>
          <x:t xml:space="preserve">GBR</x:t>
        </x:is>
      </x:c>
      <x:c r="E238" t="inlineStr">
        <x:is>
          <x:t xml:space="preserve">United Kingdom</x:t>
        </x:is>
      </x:c>
      <x:c r="G238" s="35" t="n"/>
      <x:c r="H238" t="inlineStr">
        <x:is>
          <x:t xml:space="preserve">1-6, 4-6, 6-3, 6-3, 6-3</x:t>
        </x:is>
      </x:c>
      <x:c r="I238" t="n">
        <x:v>1</x:v>
      </x:c>
      <x:c r="J238" t="n">
        <x:v>6</x:v>
      </x:c>
      <x:c r="K238" t="n">
        <x:v>4</x:v>
      </x:c>
      <x:c r="L238" t="n">
        <x:v>6</x:v>
      </x:c>
      <x:c r="M238" t="n">
        <x:v>6</x:v>
      </x:c>
      <x:c r="N238" t="n">
        <x:v>3</x:v>
      </x:c>
      <x:c r="O238" t="n">
        <x:v>6</x:v>
      </x:c>
      <x:c r="P238" t="n">
        <x:v>3</x:v>
      </x:c>
      <x:c r="Q238" t="n">
        <x:v>6</x:v>
      </x:c>
      <x:c r="R238" t="n">
        <x:v>3</x:v>
      </x:c>
      <x:c r="S238" t="inlineStr">
        <x:is>
          <x:t xml:space="preserve">A.W. Gore</x:t>
        </x:is>
      </x:c>
      <x:c r="T238" t="inlineStr">
        <x:is>
          <x:t xml:space="preserve">GBR</x:t>
        </x:is>
      </x:c>
      <x:c r="U238" t="inlineStr">
        <x:is>
          <x:t xml:space="preserve">United Kingdom</x:t>
        </x:is>
      </x:c>
      <x:c r="W238" t="n">
        <x:v>5</x:v>
      </x:c>
      <x:c r="X238" t="n">
        <x:v>44</x:v>
      </x:c>
      <x:c r="Y238" t="inlineStr">
        <x:is>
          <x:t xml:space="preserve">Completed</x:t>
        </x:is>
      </x:c>
      <x:c r="Z238" t="inlineStr">
        <x:is>
          <x:t xml:space="preserve">Unavailable (not imputed)</x:t>
        </x:is>
      </x:c>
      <x:c r="AA238" t="n">
        <x:v>4</x:v>
      </x:c>
      <x:c r="AB238" t="inlineStr">
        <x:is>
          <x:t xml:space="preserve">No</x:t>
        </x:is>
      </x:c>
      <x:c r="AC238" t="inlineStr">
        <x:is>
          <x:t xml:space="preserve">1890s</x:t>
        </x:is>
      </x:c>
      <x:c r="AD238" t="inlineStr">
        <x:is>
          <x:t xml:space="preserve">Unseeded/unknown</x:t>
        </x:is>
      </x:c>
      <x:c r="AE238" t="inlineStr">
        <x:is>
          <x:t xml:space="preserve">Unseeded/unknown</x:t>
        </x:is>
      </x:c>
    </x:row>
    <x:row r="239">
      <x:c r="A239" t="n">
        <x:v>1898</x:v>
      </x:c>
      <x:c r="B239" t="inlineStr">
        <x:is>
          <x:t xml:space="preserve">Women's</x:t>
        </x:is>
      </x:c>
      <x:c r="C239" t="inlineStr">
        <x:is>
          <x:t xml:space="preserve">C.R. Cooper</x:t>
        </x:is>
      </x:c>
      <x:c r="D239" t="inlineStr">
        <x:is>
          <x:t xml:space="preserve">GBR</x:t>
        </x:is>
      </x:c>
      <x:c r="E239" t="inlineStr">
        <x:is>
          <x:t xml:space="preserve">United Kingdom</x:t>
        </x:is>
      </x:c>
      <x:c r="G239" s="35" t="n"/>
      <x:c r="H239" t="inlineStr">
        <x:is>
          <x:t xml:space="preserve">6-4, 6-4</x:t>
        </x:is>
      </x:c>
      <x:c r="I239" t="n">
        <x:v>6</x:v>
      </x:c>
      <x:c r="J239" t="n">
        <x:v>4</x:v>
      </x:c>
      <x:c r="K239" t="n">
        <x:v>6</x:v>
      </x:c>
      <x:c r="L239" t="n">
        <x:v>4</x:v>
      </x:c>
      <x:c r="S239" t="inlineStr">
        <x:is>
          <x:t xml:space="preserve">M.L.Martin</x:t>
        </x:is>
      </x:c>
      <x:c r="T239" t="inlineStr">
        <x:is>
          <x:t xml:space="preserve">GBR</x:t>
        </x:is>
      </x:c>
      <x:c r="U239" t="inlineStr">
        <x:is>
          <x:t xml:space="preserve">United Kingdom</x:t>
        </x:is>
      </x:c>
      <x:c r="W239" t="n">
        <x:v>2</x:v>
      </x:c>
      <x:c r="X239" t="n">
        <x:v>20</x:v>
      </x:c>
      <x:c r="Y239" t="inlineStr">
        <x:is>
          <x:t xml:space="preserve">Completed</x:t>
        </x:is>
      </x:c>
      <x:c r="Z239" t="inlineStr">
        <x:is>
          <x:t xml:space="preserve">Unavailable (not imputed)</x:t>
        </x:is>
      </x:c>
      <x:c r="AA239" t="n">
        <x:v>5</x:v>
      </x:c>
      <x:c r="AB239" t="inlineStr">
        <x:is>
          <x:t xml:space="preserve">Yes</x:t>
        </x:is>
      </x:c>
      <x:c r="AC239" t="inlineStr">
        <x:is>
          <x:t xml:space="preserve">1890s</x:t>
        </x:is>
      </x:c>
      <x:c r="AD239" t="inlineStr">
        <x:is>
          <x:t xml:space="preserve">Unseeded/unknown</x:t>
        </x:is>
      </x:c>
      <x:c r="AE239" t="inlineStr">
        <x:is>
          <x:t xml:space="preserve">Unseeded/unknown</x:t>
        </x:is>
      </x:c>
    </x:row>
    <x:row r="240">
      <x:c r="A240" t="n">
        <x:v>1898</x:v>
      </x:c>
      <x:c r="B240" t="inlineStr">
        <x:is>
          <x:t xml:space="preserve">Men's</x:t>
        </x:is>
      </x:c>
      <x:c r="C240" t="inlineStr">
        <x:is>
          <x:t xml:space="preserve">R.F. Doherty</x:t>
        </x:is>
      </x:c>
      <x:c r="D240" t="inlineStr">
        <x:is>
          <x:t xml:space="preserve">GBR</x:t>
        </x:is>
      </x:c>
      <x:c r="E240" t="inlineStr">
        <x:is>
          <x:t xml:space="preserve">United Kingdom</x:t>
        </x:is>
      </x:c>
      <x:c r="G240" t="n">
        <x:v>55</x:v>
      </x:c>
      <x:c r="H240" t="inlineStr">
        <x:is>
          <x:t xml:space="preserve">6-3, 6-3, 2-6, 5-7, 6-1</x:t>
        </x:is>
      </x:c>
      <x:c r="I240" t="n">
        <x:v>6</x:v>
      </x:c>
      <x:c r="J240" t="n">
        <x:v>3</x:v>
      </x:c>
      <x:c r="K240" t="n">
        <x:v>6</x:v>
      </x:c>
      <x:c r="L240" t="n">
        <x:v>3</x:v>
      </x:c>
      <x:c r="M240" t="n">
        <x:v>2</x:v>
      </x:c>
      <x:c r="N240" t="n">
        <x:v>6</x:v>
      </x:c>
      <x:c r="O240" t="n">
        <x:v>5</x:v>
      </x:c>
      <x:c r="P240" t="n">
        <x:v>7</x:v>
      </x:c>
      <x:c r="Q240" t="n">
        <x:v>6</x:v>
      </x:c>
      <x:c r="R240" t="n">
        <x:v>1</x:v>
      </x:c>
      <x:c r="S240" t="inlineStr">
        <x:is>
          <x:t xml:space="preserve">H.L. Doherty</x:t>
        </x:is>
      </x:c>
      <x:c r="T240" t="inlineStr">
        <x:is>
          <x:t xml:space="preserve">GBR</x:t>
        </x:is>
      </x:c>
      <x:c r="U240" t="inlineStr">
        <x:is>
          <x:t xml:space="preserve">United Kingdom</x:t>
        </x:is>
      </x:c>
      <x:c r="W240" t="n">
        <x:v>5</x:v>
      </x:c>
      <x:c r="X240" t="n">
        <x:v>45</x:v>
      </x:c>
      <x:c r="Y240" t="inlineStr">
        <x:is>
          <x:t xml:space="preserve">Completed</x:t>
        </x:is>
      </x:c>
      <x:c r="Z240" t="inlineStr">
        <x:is>
          <x:t xml:space="preserve">Recorded</x:t>
        </x:is>
      </x:c>
      <x:c r="AA240" t="n">
        <x:v>4</x:v>
      </x:c>
      <x:c r="AB240" t="inlineStr">
        <x:is>
          <x:t xml:space="preserve">No</x:t>
        </x:is>
      </x:c>
      <x:c r="AC240" t="inlineStr">
        <x:is>
          <x:t xml:space="preserve">1890s</x:t>
        </x:is>
      </x:c>
      <x:c r="AD240" t="inlineStr">
        <x:is>
          <x:t xml:space="preserve">Unseeded/unknown</x:t>
        </x:is>
      </x:c>
      <x:c r="AE240" t="inlineStr">
        <x:is>
          <x:t xml:space="preserve">Unseeded/unknown</x:t>
        </x:is>
      </x:c>
    </x:row>
    <x:row r="241">
      <x:c r="A241" t="n">
        <x:v>1897</x:v>
      </x:c>
      <x:c r="B241" t="inlineStr">
        <x:is>
          <x:t xml:space="preserve">Women's</x:t>
        </x:is>
      </x:c>
      <x:c r="C241" t="inlineStr">
        <x:is>
          <x:t xml:space="preserve">G.W. Hillyard</x:t>
        </x:is>
      </x:c>
      <x:c r="D241" t="inlineStr">
        <x:is>
          <x:t xml:space="preserve">GBR</x:t>
        </x:is>
      </x:c>
      <x:c r="E241" t="inlineStr">
        <x:is>
          <x:t xml:space="preserve">United Kingdom</x:t>
        </x:is>
      </x:c>
      <x:c r="G241" s="35" t="n"/>
      <x:c r="H241" t="inlineStr">
        <x:is>
          <x:t xml:space="preserve">5-7, 7-5, 6-2</x:t>
        </x:is>
      </x:c>
      <x:c r="I241" t="n">
        <x:v>5</x:v>
      </x:c>
      <x:c r="J241" t="n">
        <x:v>7</x:v>
      </x:c>
      <x:c r="K241" t="n">
        <x:v>7</x:v>
      </x:c>
      <x:c r="L241" t="n">
        <x:v>5</x:v>
      </x:c>
      <x:c r="M241" t="n">
        <x:v>6</x:v>
      </x:c>
      <x:c r="N241" t="n">
        <x:v>2</x:v>
      </x:c>
      <x:c r="S241" t="inlineStr">
        <x:is>
          <x:t xml:space="preserve">C.R. Cooper</x:t>
        </x:is>
      </x:c>
      <x:c r="T241" t="inlineStr">
        <x:is>
          <x:t xml:space="preserve">GBR</x:t>
        </x:is>
      </x:c>
      <x:c r="U241" t="inlineStr">
        <x:is>
          <x:t xml:space="preserve">United Kingdom</x:t>
        </x:is>
      </x:c>
      <x:c r="W241" t="n">
        <x:v>3</x:v>
      </x:c>
      <x:c r="X241" t="n">
        <x:v>32</x:v>
      </x:c>
      <x:c r="Y241" t="inlineStr">
        <x:is>
          <x:t xml:space="preserve">Completed</x:t>
        </x:is>
      </x:c>
      <x:c r="Z241" t="inlineStr">
        <x:is>
          <x:t xml:space="preserve">Unavailable (not imputed)</x:t>
        </x:is>
      </x:c>
      <x:c r="AA241" t="n">
        <x:v>6</x:v>
      </x:c>
      <x:c r="AB241" t="inlineStr">
        <x:is>
          <x:t xml:space="preserve">Yes</x:t>
        </x:is>
      </x:c>
      <x:c r="AC241" t="inlineStr">
        <x:is>
          <x:t xml:space="preserve">1890s</x:t>
        </x:is>
      </x:c>
      <x:c r="AD241" t="inlineStr">
        <x:is>
          <x:t xml:space="preserve">Unseeded/unknown</x:t>
        </x:is>
      </x:c>
      <x:c r="AE241" t="inlineStr">
        <x:is>
          <x:t xml:space="preserve">Unseeded/unknown</x:t>
        </x:is>
      </x:c>
    </x:row>
    <x:row r="242">
      <x:c r="A242" t="n">
        <x:v>1897</x:v>
      </x:c>
      <x:c r="B242" t="inlineStr">
        <x:is>
          <x:t xml:space="preserve">Men's</x:t>
        </x:is>
      </x:c>
      <x:c r="C242" t="inlineStr">
        <x:is>
          <x:t xml:space="preserve">R.F. Doherty</x:t>
        </x:is>
      </x:c>
      <x:c r="D242" t="inlineStr">
        <x:is>
          <x:t xml:space="preserve">GBR</x:t>
        </x:is>
      </x:c>
      <x:c r="E242" t="inlineStr">
        <x:is>
          <x:t xml:space="preserve">United Kingdom</x:t>
        </x:is>
      </x:c>
      <x:c r="G242" t="n">
        <x:v>67</x:v>
      </x:c>
      <x:c r="H242" t="inlineStr">
        <x:is>
          <x:t xml:space="preserve">6-4, 6-4, 6-3</x:t>
        </x:is>
      </x:c>
      <x:c r="I242" t="n">
        <x:v>6</x:v>
      </x:c>
      <x:c r="J242" t="n">
        <x:v>4</x:v>
      </x:c>
      <x:c r="K242" t="n">
        <x:v>6</x:v>
      </x:c>
      <x:c r="L242" t="n">
        <x:v>4</x:v>
      </x:c>
      <x:c r="M242" t="n">
        <x:v>6</x:v>
      </x:c>
      <x:c r="N242" t="n">
        <x:v>3</x:v>
      </x:c>
      <x:c r="S242" t="inlineStr">
        <x:is>
          <x:t xml:space="preserve">H.S. Mahony</x:t>
        </x:is>
      </x:c>
      <x:c r="T242" t="inlineStr">
        <x:is>
          <x:t xml:space="preserve">GBR</x:t>
        </x:is>
      </x:c>
      <x:c r="U242" t="inlineStr">
        <x:is>
          <x:t xml:space="preserve">United Kingdom</x:t>
        </x:is>
      </x:c>
      <x:c r="W242" t="n">
        <x:v>3</x:v>
      </x:c>
      <x:c r="X242" t="n">
        <x:v>29</x:v>
      </x:c>
      <x:c r="Y242" t="inlineStr">
        <x:is>
          <x:t xml:space="preserve">Completed</x:t>
        </x:is>
      </x:c>
      <x:c r="Z242" t="inlineStr">
        <x:is>
          <x:t xml:space="preserve">Recorded</x:t>
        </x:is>
      </x:c>
      <x:c r="AA242" t="n">
        <x:v>4</x:v>
      </x:c>
      <x:c r="AB242" t="inlineStr">
        <x:is>
          <x:t xml:space="preserve">No</x:t>
        </x:is>
      </x:c>
      <x:c r="AC242" t="inlineStr">
        <x:is>
          <x:t xml:space="preserve">1890s</x:t>
        </x:is>
      </x:c>
      <x:c r="AD242" t="inlineStr">
        <x:is>
          <x:t xml:space="preserve">Unseeded/unknown</x:t>
        </x:is>
      </x:c>
      <x:c r="AE242" t="inlineStr">
        <x:is>
          <x:t xml:space="preserve">Unseeded/unknown</x:t>
        </x:is>
      </x:c>
    </x:row>
    <x:row r="243">
      <x:c r="A243" t="n">
        <x:v>1896</x:v>
      </x:c>
      <x:c r="B243" t="inlineStr">
        <x:is>
          <x:t xml:space="preserve">Women's</x:t>
        </x:is>
      </x:c>
      <x:c r="C243" t="inlineStr">
        <x:is>
          <x:t xml:space="preserve">C.R. Cooper</x:t>
        </x:is>
      </x:c>
      <x:c r="D243" t="inlineStr">
        <x:is>
          <x:t xml:space="preserve">GBR</x:t>
        </x:is>
      </x:c>
      <x:c r="E243" t="inlineStr">
        <x:is>
          <x:t xml:space="preserve">United Kingdom</x:t>
        </x:is>
      </x:c>
      <x:c r="G243" s="35" t="n"/>
      <x:c r="H243" t="inlineStr">
        <x:is>
          <x:t xml:space="preserve">6-2, 6-3</x:t>
        </x:is>
      </x:c>
      <x:c r="I243" t="n">
        <x:v>6</x:v>
      </x:c>
      <x:c r="J243" t="n">
        <x:v>2</x:v>
      </x:c>
      <x:c r="K243" t="n">
        <x:v>6</x:v>
      </x:c>
      <x:c r="L243" t="n">
        <x:v>3</x:v>
      </x:c>
      <x:c r="S243" t="inlineStr">
        <x:is>
          <x:t xml:space="preserve">W.H. Pickering</x:t>
        </x:is>
      </x:c>
      <x:c r="T243" t="inlineStr">
        <x:is>
          <x:t xml:space="preserve">GBR</x:t>
        </x:is>
      </x:c>
      <x:c r="U243" t="inlineStr">
        <x:is>
          <x:t xml:space="preserve">United Kingdom</x:t>
        </x:is>
      </x:c>
      <x:c r="W243" t="n">
        <x:v>2</x:v>
      </x:c>
      <x:c r="X243" t="n">
        <x:v>17</x:v>
      </x:c>
      <x:c r="Y243" t="inlineStr">
        <x:is>
          <x:t xml:space="preserve">Completed</x:t>
        </x:is>
      </x:c>
      <x:c r="Z243" t="inlineStr">
        <x:is>
          <x:t xml:space="preserve">Unavailable (not imputed)</x:t>
        </x:is>
      </x:c>
      <x:c r="AA243" t="n">
        <x:v>5</x:v>
      </x:c>
      <x:c r="AB243" t="inlineStr">
        <x:is>
          <x:t xml:space="preserve">Yes</x:t>
        </x:is>
      </x:c>
      <x:c r="AC243" t="inlineStr">
        <x:is>
          <x:t xml:space="preserve">1890s</x:t>
        </x:is>
      </x:c>
      <x:c r="AD243" t="inlineStr">
        <x:is>
          <x:t xml:space="preserve">Unseeded/unknown</x:t>
        </x:is>
      </x:c>
      <x:c r="AE243" t="inlineStr">
        <x:is>
          <x:t xml:space="preserve">Unseeded/unknown</x:t>
        </x:is>
      </x:c>
    </x:row>
    <x:row r="244">
      <x:c r="A244" t="n">
        <x:v>1896</x:v>
      </x:c>
      <x:c r="B244" t="inlineStr">
        <x:is>
          <x:t xml:space="preserve">Men's</x:t>
        </x:is>
      </x:c>
      <x:c r="C244" t="inlineStr">
        <x:is>
          <x:t xml:space="preserve">H.S. Mahony</x:t>
        </x:is>
      </x:c>
      <x:c r="D244" t="inlineStr">
        <x:is>
          <x:t xml:space="preserve">GBR</x:t>
        </x:is>
      </x:c>
      <x:c r="E244" t="inlineStr">
        <x:is>
          <x:t xml:space="preserve">United Kingdom</x:t>
        </x:is>
      </x:c>
      <x:c r="G244" t="n">
        <x:v>120</x:v>
      </x:c>
      <x:c r="H244" t="inlineStr">
        <x:is>
          <x:t xml:space="preserve">6-2, 6-8, 5-7, 8-6, 6-3</x:t>
        </x:is>
      </x:c>
      <x:c r="I244" t="n">
        <x:v>6</x:v>
      </x:c>
      <x:c r="J244" t="n">
        <x:v>2</x:v>
      </x:c>
      <x:c r="K244" t="n">
        <x:v>6</x:v>
      </x:c>
      <x:c r="L244" t="n">
        <x:v>8</x:v>
      </x:c>
      <x:c r="M244" t="n">
        <x:v>5</x:v>
      </x:c>
      <x:c r="N244" t="n">
        <x:v>7</x:v>
      </x:c>
      <x:c r="O244" t="n">
        <x:v>8</x:v>
      </x:c>
      <x:c r="P244" t="n">
        <x:v>6</x:v>
      </x:c>
      <x:c r="Q244" t="n">
        <x:v>6</x:v>
      </x:c>
      <x:c r="R244" t="n">
        <x:v>3</x:v>
      </x:c>
      <x:c r="S244" t="inlineStr">
        <x:is>
          <x:t xml:space="preserve">W. Baddeley</x:t>
        </x:is>
      </x:c>
      <x:c r="T244" t="inlineStr">
        <x:is>
          <x:t xml:space="preserve">GBR</x:t>
        </x:is>
      </x:c>
      <x:c r="U244" t="inlineStr">
        <x:is>
          <x:t xml:space="preserve">United Kingdom</x:t>
        </x:is>
      </x:c>
      <x:c r="W244" t="n">
        <x:v>5</x:v>
      </x:c>
      <x:c r="X244" t="n">
        <x:v>57</x:v>
      </x:c>
      <x:c r="Y244" t="inlineStr">
        <x:is>
          <x:t xml:space="preserve">Completed</x:t>
        </x:is>
      </x:c>
      <x:c r="Z244" t="inlineStr">
        <x:is>
          <x:t xml:space="preserve">Recorded</x:t>
        </x:is>
      </x:c>
      <x:c r="AA244" t="n">
        <x:v>1</x:v>
      </x:c>
      <x:c r="AB244" t="inlineStr">
        <x:is>
          <x:t xml:space="preserve">No</x:t>
        </x:is>
      </x:c>
      <x:c r="AC244" t="inlineStr">
        <x:is>
          <x:t xml:space="preserve">1890s</x:t>
        </x:is>
      </x:c>
      <x:c r="AD244" t="inlineStr">
        <x:is>
          <x:t xml:space="preserve">Unseeded/unknown</x:t>
        </x:is>
      </x:c>
      <x:c r="AE244" t="inlineStr">
        <x:is>
          <x:t xml:space="preserve">Unseeded/unknown</x:t>
        </x:is>
      </x:c>
    </x:row>
    <x:row r="245">
      <x:c r="A245" t="n">
        <x:v>1895</x:v>
      </x:c>
      <x:c r="B245" t="inlineStr">
        <x:is>
          <x:t xml:space="preserve">Women's</x:t>
        </x:is>
      </x:c>
      <x:c r="C245" t="inlineStr">
        <x:is>
          <x:t xml:space="preserve">C.R. Cooper</x:t>
        </x:is>
      </x:c>
      <x:c r="D245" t="inlineStr">
        <x:is>
          <x:t xml:space="preserve">GBR</x:t>
        </x:is>
      </x:c>
      <x:c r="E245" t="inlineStr">
        <x:is>
          <x:t xml:space="preserve">United Kingdom</x:t>
        </x:is>
      </x:c>
      <x:c r="G245" s="35" t="n"/>
      <x:c r="H245" t="inlineStr">
        <x:is>
          <x:t xml:space="preserve">7-5, 8-6</x:t>
        </x:is>
      </x:c>
      <x:c r="I245" t="n">
        <x:v>7</x:v>
      </x:c>
      <x:c r="J245" t="n">
        <x:v>5</x:v>
      </x:c>
      <x:c r="K245" t="n">
        <x:v>8</x:v>
      </x:c>
      <x:c r="L245" t="n">
        <x:v>6</x:v>
      </x:c>
      <x:c r="S245" t="inlineStr">
        <x:is>
          <x:t xml:space="preserve">H. Jackson</x:t>
        </x:is>
      </x:c>
      <x:c r="T245" t="inlineStr">
        <x:is>
          <x:t xml:space="preserve">GBR</x:t>
        </x:is>
      </x:c>
      <x:c r="U245" t="inlineStr">
        <x:is>
          <x:t xml:space="preserve">United Kingdom</x:t>
        </x:is>
      </x:c>
      <x:c r="W245" t="n">
        <x:v>2</x:v>
      </x:c>
      <x:c r="X245" t="n">
        <x:v>26</x:v>
      </x:c>
      <x:c r="Y245" t="inlineStr">
        <x:is>
          <x:t xml:space="preserve">Completed</x:t>
        </x:is>
      </x:c>
      <x:c r="Z245" t="inlineStr">
        <x:is>
          <x:t xml:space="preserve">Unavailable (not imputed)</x:t>
        </x:is>
      </x:c>
      <x:c r="AA245" t="n">
        <x:v>5</x:v>
      </x:c>
      <x:c r="AB245" t="inlineStr">
        <x:is>
          <x:t xml:space="preserve">Yes</x:t>
        </x:is>
      </x:c>
      <x:c r="AC245" t="inlineStr">
        <x:is>
          <x:t xml:space="preserve">1890s</x:t>
        </x:is>
      </x:c>
      <x:c r="AD245" t="inlineStr">
        <x:is>
          <x:t xml:space="preserve">Unseeded/unknown</x:t>
        </x:is>
      </x:c>
      <x:c r="AE245" t="inlineStr">
        <x:is>
          <x:t xml:space="preserve">Unseeded/unknown</x:t>
        </x:is>
      </x:c>
    </x:row>
    <x:row r="246">
      <x:c r="A246" t="n">
        <x:v>1895</x:v>
      </x:c>
      <x:c r="B246" t="inlineStr">
        <x:is>
          <x:t xml:space="preserve">Men's</x:t>
        </x:is>
      </x:c>
      <x:c r="C246" t="inlineStr">
        <x:is>
          <x:t xml:space="preserve">W. Baddeley</x:t>
        </x:is>
      </x:c>
      <x:c r="D246" t="inlineStr">
        <x:is>
          <x:t xml:space="preserve">GBR</x:t>
        </x:is>
      </x:c>
      <x:c r="E246" t="inlineStr">
        <x:is>
          <x:t xml:space="preserve">United Kingdom</x:t>
        </x:is>
      </x:c>
      <x:c r="G246" t="n">
        <x:v>95</x:v>
      </x:c>
      <x:c r="H246" t="inlineStr">
        <x:is>
          <x:t xml:space="preserve">4-6, 2-6, 8-6, 6-2, 6-3</x:t>
        </x:is>
      </x:c>
      <x:c r="I246" t="n">
        <x:v>4</x:v>
      </x:c>
      <x:c r="J246" t="n">
        <x:v>6</x:v>
      </x:c>
      <x:c r="K246" t="n">
        <x:v>2</x:v>
      </x:c>
      <x:c r="L246" t="n">
        <x:v>6</x:v>
      </x:c>
      <x:c r="M246" t="n">
        <x:v>8</x:v>
      </x:c>
      <x:c r="N246" t="n">
        <x:v>6</x:v>
      </x:c>
      <x:c r="O246" t="n">
        <x:v>6</x:v>
      </x:c>
      <x:c r="P246" t="n">
        <x:v>2</x:v>
      </x:c>
      <x:c r="Q246" t="n">
        <x:v>6</x:v>
      </x:c>
      <x:c r="R246" t="n">
        <x:v>3</x:v>
      </x:c>
      <x:c r="S246" t="inlineStr">
        <x:is>
          <x:t xml:space="preserve">W.V. Eaves</x:t>
        </x:is>
      </x:c>
      <x:c r="T246" t="inlineStr">
        <x:is>
          <x:t xml:space="preserve">GBR</x:t>
        </x:is>
      </x:c>
      <x:c r="U246" t="inlineStr">
        <x:is>
          <x:t xml:space="preserve">United Kingdom</x:t>
        </x:is>
      </x:c>
      <x:c r="W246" t="n">
        <x:v>5</x:v>
      </x:c>
      <x:c r="X246" t="n">
        <x:v>49</x:v>
      </x:c>
      <x:c r="Y246" t="inlineStr">
        <x:is>
          <x:t xml:space="preserve">Completed</x:t>
        </x:is>
      </x:c>
      <x:c r="Z246" t="inlineStr">
        <x:is>
          <x:t xml:space="preserve">Recorded</x:t>
        </x:is>
      </x:c>
      <x:c r="AA246" t="n">
        <x:v>3</x:v>
      </x:c>
      <x:c r="AB246" t="inlineStr">
        <x:is>
          <x:t xml:space="preserve">No</x:t>
        </x:is>
      </x:c>
      <x:c r="AC246" t="inlineStr">
        <x:is>
          <x:t xml:space="preserve">1890s</x:t>
        </x:is>
      </x:c>
      <x:c r="AD246" t="inlineStr">
        <x:is>
          <x:t xml:space="preserve">Unseeded/unknown</x:t>
        </x:is>
      </x:c>
      <x:c r="AE246" t="inlineStr">
        <x:is>
          <x:t xml:space="preserve">Unseeded/unknown</x:t>
        </x:is>
      </x:c>
    </x:row>
    <x:row r="247">
      <x:c r="A247" t="n">
        <x:v>1894</x:v>
      </x:c>
      <x:c r="B247" t="inlineStr">
        <x:is>
          <x:t xml:space="preserve">Women's</x:t>
        </x:is>
      </x:c>
      <x:c r="C247" t="inlineStr">
        <x:is>
          <x:t xml:space="preserve">G.W. Hillyard</x:t>
        </x:is>
      </x:c>
      <x:c r="D247" t="inlineStr">
        <x:is>
          <x:t xml:space="preserve">GBR</x:t>
        </x:is>
      </x:c>
      <x:c r="E247" t="inlineStr">
        <x:is>
          <x:t xml:space="preserve">United Kingdom</x:t>
        </x:is>
      </x:c>
      <x:c r="G247" s="35" t="n"/>
      <x:c r="H247" t="inlineStr">
        <x:is>
          <x:t xml:space="preserve">6-1, 6-1</x:t>
        </x:is>
      </x:c>
      <x:c r="I247" t="n">
        <x:v>6</x:v>
      </x:c>
      <x:c r="J247" t="n">
        <x:v>1</x:v>
      </x:c>
      <x:c r="K247" t="n">
        <x:v>6</x:v>
      </x:c>
      <x:c r="L247" t="n">
        <x:v>1</x:v>
      </x:c>
      <x:c r="S247" t="inlineStr">
        <x:is>
          <x:t xml:space="preserve">E.L. Austin</x:t>
        </x:is>
      </x:c>
      <x:c r="T247" t="inlineStr">
        <x:is>
          <x:t xml:space="preserve">GBR</x:t>
        </x:is>
      </x:c>
      <x:c r="U247" t="inlineStr">
        <x:is>
          <x:t xml:space="preserve">United Kingdom</x:t>
        </x:is>
      </x:c>
      <x:c r="W247" t="n">
        <x:v>2</x:v>
      </x:c>
      <x:c r="X247" t="n">
        <x:v>14</x:v>
      </x:c>
      <x:c r="Y247" t="inlineStr">
        <x:is>
          <x:t xml:space="preserve">Completed</x:t>
        </x:is>
      </x:c>
      <x:c r="Z247" t="inlineStr">
        <x:is>
          <x:t xml:space="preserve">Unavailable (not imputed)</x:t>
        </x:is>
      </x:c>
      <x:c r="AA247" t="n">
        <x:v>6</x:v>
      </x:c>
      <x:c r="AB247" t="inlineStr">
        <x:is>
          <x:t xml:space="preserve">Yes</x:t>
        </x:is>
      </x:c>
      <x:c r="AC247" t="inlineStr">
        <x:is>
          <x:t xml:space="preserve">1890s</x:t>
        </x:is>
      </x:c>
      <x:c r="AD247" t="inlineStr">
        <x:is>
          <x:t xml:space="preserve">Unseeded/unknown</x:t>
        </x:is>
      </x:c>
      <x:c r="AE247" t="inlineStr">
        <x:is>
          <x:t xml:space="preserve">Unseeded/unknown</x:t>
        </x:is>
      </x:c>
    </x:row>
    <x:row r="248">
      <x:c r="A248" t="n">
        <x:v>1894</x:v>
      </x:c>
      <x:c r="B248" t="inlineStr">
        <x:is>
          <x:t xml:space="preserve">Men's</x:t>
        </x:is>
      </x:c>
      <x:c r="C248" t="inlineStr">
        <x:is>
          <x:t xml:space="preserve">J. Pim</x:t>
        </x:is>
      </x:c>
      <x:c r="D248" t="inlineStr">
        <x:is>
          <x:t xml:space="preserve">GBR</x:t>
        </x:is>
      </x:c>
      <x:c r="E248" t="inlineStr">
        <x:is>
          <x:t xml:space="preserve">United Kingdom</x:t>
        </x:is>
      </x:c>
      <x:c r="G248" t="n">
        <x:v>117</x:v>
      </x:c>
      <x:c r="H248" t="inlineStr">
        <x:is>
          <x:t xml:space="preserve">10-8, 6-2, 8-6</x:t>
        </x:is>
      </x:c>
      <x:c r="I248" t="n">
        <x:v>10</x:v>
      </x:c>
      <x:c r="J248" t="n">
        <x:v>8</x:v>
      </x:c>
      <x:c r="K248" t="n">
        <x:v>6</x:v>
      </x:c>
      <x:c r="L248" t="n">
        <x:v>2</x:v>
      </x:c>
      <x:c r="M248" t="n">
        <x:v>8</x:v>
      </x:c>
      <x:c r="N248" t="n">
        <x:v>6</x:v>
      </x:c>
      <x:c r="S248" t="inlineStr">
        <x:is>
          <x:t xml:space="preserve">W. Baddeley</x:t>
        </x:is>
      </x:c>
      <x:c r="T248" t="inlineStr">
        <x:is>
          <x:t xml:space="preserve">GBR</x:t>
        </x:is>
      </x:c>
      <x:c r="U248" t="inlineStr">
        <x:is>
          <x:t xml:space="preserve">United Kingdom</x:t>
        </x:is>
      </x:c>
      <x:c r="W248" t="n">
        <x:v>3</x:v>
      </x:c>
      <x:c r="X248" t="n">
        <x:v>40</x:v>
      </x:c>
      <x:c r="Y248" t="inlineStr">
        <x:is>
          <x:t xml:space="preserve">Completed</x:t>
        </x:is>
      </x:c>
      <x:c r="Z248" t="inlineStr">
        <x:is>
          <x:t xml:space="preserve">Recorded</x:t>
        </x:is>
      </x:c>
      <x:c r="AA248" t="n">
        <x:v>2</x:v>
      </x:c>
      <x:c r="AB248" t="inlineStr">
        <x:is>
          <x:t xml:space="preserve">No</x:t>
        </x:is>
      </x:c>
      <x:c r="AC248" t="inlineStr">
        <x:is>
          <x:t xml:space="preserve">1890s</x:t>
        </x:is>
      </x:c>
      <x:c r="AD248" t="inlineStr">
        <x:is>
          <x:t xml:space="preserve">Unseeded/unknown</x:t>
        </x:is>
      </x:c>
      <x:c r="AE248" t="inlineStr">
        <x:is>
          <x:t xml:space="preserve">Unseeded/unknown</x:t>
        </x:is>
      </x:c>
    </x:row>
    <x:row r="249">
      <x:c r="A249" t="n">
        <x:v>1893</x:v>
      </x:c>
      <x:c r="B249" t="inlineStr">
        <x:is>
          <x:t xml:space="preserve">Women's</x:t>
        </x:is>
      </x:c>
      <x:c r="C249" t="inlineStr">
        <x:is>
          <x:t xml:space="preserve">C. Dod</x:t>
        </x:is>
      </x:c>
      <x:c r="D249" t="inlineStr">
        <x:is>
          <x:t xml:space="preserve">GBR</x:t>
        </x:is>
      </x:c>
      <x:c r="E249" t="inlineStr">
        <x:is>
          <x:t xml:space="preserve">United Kingdom</x:t>
        </x:is>
      </x:c>
      <x:c r="G249" s="35" t="n"/>
      <x:c r="H249" t="inlineStr">
        <x:is>
          <x:t xml:space="preserve">6-8, 6-1, 6-4</x:t>
        </x:is>
      </x:c>
      <x:c r="I249" t="n">
        <x:v>6</x:v>
      </x:c>
      <x:c r="J249" t="n">
        <x:v>8</x:v>
      </x:c>
      <x:c r="K249" t="n">
        <x:v>6</x:v>
      </x:c>
      <x:c r="L249" t="n">
        <x:v>1</x:v>
      </x:c>
      <x:c r="M249" t="n">
        <x:v>6</x:v>
      </x:c>
      <x:c r="N249" t="n">
        <x:v>4</x:v>
      </x:c>
      <x:c r="S249" t="inlineStr">
        <x:is>
          <x:t xml:space="preserve">G.W. Hillyard</x:t>
        </x:is>
      </x:c>
      <x:c r="T249" t="inlineStr">
        <x:is>
          <x:t xml:space="preserve">GBR</x:t>
        </x:is>
      </x:c>
      <x:c r="U249" t="inlineStr">
        <x:is>
          <x:t xml:space="preserve">United Kingdom</x:t>
        </x:is>
      </x:c>
      <x:c r="W249" t="n">
        <x:v>3</x:v>
      </x:c>
      <x:c r="X249" t="n">
        <x:v>31</x:v>
      </x:c>
      <x:c r="Y249" t="inlineStr">
        <x:is>
          <x:t xml:space="preserve">Completed</x:t>
        </x:is>
      </x:c>
      <x:c r="Z249" t="inlineStr">
        <x:is>
          <x:t xml:space="preserve">Unavailable (not imputed)</x:t>
        </x:is>
      </x:c>
      <x:c r="AA249" t="n">
        <x:v>5</x:v>
      </x:c>
      <x:c r="AB249" t="inlineStr">
        <x:is>
          <x:t xml:space="preserve">Yes</x:t>
        </x:is>
      </x:c>
      <x:c r="AC249" t="inlineStr">
        <x:is>
          <x:t xml:space="preserve">1890s</x:t>
        </x:is>
      </x:c>
      <x:c r="AD249" t="inlineStr">
        <x:is>
          <x:t xml:space="preserve">Unseeded/unknown</x:t>
        </x:is>
      </x:c>
      <x:c r="AE249" t="inlineStr">
        <x:is>
          <x:t xml:space="preserve">Unseeded/unknown</x:t>
        </x:is>
      </x:c>
    </x:row>
    <x:row r="250">
      <x:c r="A250" t="n">
        <x:v>1893</x:v>
      </x:c>
      <x:c r="B250" t="inlineStr">
        <x:is>
          <x:t xml:space="preserve">Men's</x:t>
        </x:is>
      </x:c>
      <x:c r="C250" t="inlineStr">
        <x:is>
          <x:t xml:space="preserve">J. Pim</x:t>
        </x:is>
      </x:c>
      <x:c r="D250" t="inlineStr">
        <x:is>
          <x:t xml:space="preserve">GBR</x:t>
        </x:is>
      </x:c>
      <x:c r="E250" t="inlineStr">
        <x:is>
          <x:t xml:space="preserve">United Kingdom</x:t>
        </x:is>
      </x:c>
      <x:c r="G250" t="n">
        <x:v>65</x:v>
      </x:c>
      <x:c r="H250" t="inlineStr">
        <x:is>
          <x:t xml:space="preserve">3-6, 6-1, 6-3, 6-2</x:t>
        </x:is>
      </x:c>
      <x:c r="I250" t="n">
        <x:v>3</x:v>
      </x:c>
      <x:c r="J250" t="n">
        <x:v>6</x:v>
      </x:c>
      <x:c r="K250" t="n">
        <x:v>6</x:v>
      </x:c>
      <x:c r="L250" t="n">
        <x:v>1</x:v>
      </x:c>
      <x:c r="M250" t="n">
        <x:v>6</x:v>
      </x:c>
      <x:c r="N250" t="n">
        <x:v>3</x:v>
      </x:c>
      <x:c r="O250" t="n">
        <x:v>6</x:v>
      </x:c>
      <x:c r="P250" t="n">
        <x:v>2</x:v>
      </x:c>
      <x:c r="S250" t="inlineStr">
        <x:is>
          <x:t xml:space="preserve">W. Baddeley</x:t>
        </x:is>
      </x:c>
      <x:c r="T250" t="inlineStr">
        <x:is>
          <x:t xml:space="preserve">GBR</x:t>
        </x:is>
      </x:c>
      <x:c r="U250" t="inlineStr">
        <x:is>
          <x:t xml:space="preserve">United Kingdom</x:t>
        </x:is>
      </x:c>
      <x:c r="W250" t="n">
        <x:v>4</x:v>
      </x:c>
      <x:c r="X250" t="n">
        <x:v>33</x:v>
      </x:c>
      <x:c r="Y250" t="inlineStr">
        <x:is>
          <x:t xml:space="preserve">Completed</x:t>
        </x:is>
      </x:c>
      <x:c r="Z250" t="inlineStr">
        <x:is>
          <x:t xml:space="preserve">Recorded</x:t>
        </x:is>
      </x:c>
      <x:c r="AA250" t="n">
        <x:v>2</x:v>
      </x:c>
      <x:c r="AB250" t="inlineStr">
        <x:is>
          <x:t xml:space="preserve">No</x:t>
        </x:is>
      </x:c>
      <x:c r="AC250" t="inlineStr">
        <x:is>
          <x:t xml:space="preserve">1890s</x:t>
        </x:is>
      </x:c>
      <x:c r="AD250" t="inlineStr">
        <x:is>
          <x:t xml:space="preserve">Unseeded/unknown</x:t>
        </x:is>
      </x:c>
      <x:c r="AE250" t="inlineStr">
        <x:is>
          <x:t xml:space="preserve">Unseeded/unknown</x:t>
        </x:is>
      </x:c>
    </x:row>
    <x:row r="251">
      <x:c r="A251" t="n">
        <x:v>1892</x:v>
      </x:c>
      <x:c r="B251" t="inlineStr">
        <x:is>
          <x:t xml:space="preserve">Women's</x:t>
        </x:is>
      </x:c>
      <x:c r="C251" t="inlineStr">
        <x:is>
          <x:t xml:space="preserve">C. Dod</x:t>
        </x:is>
      </x:c>
      <x:c r="D251" t="inlineStr">
        <x:is>
          <x:t xml:space="preserve">GBR</x:t>
        </x:is>
      </x:c>
      <x:c r="E251" t="inlineStr">
        <x:is>
          <x:t xml:space="preserve">United Kingdom</x:t>
        </x:is>
      </x:c>
      <x:c r="G251" s="35" t="n"/>
      <x:c r="H251" t="inlineStr">
        <x:is>
          <x:t xml:space="preserve">6-1, 6-1</x:t>
        </x:is>
      </x:c>
      <x:c r="I251" t="n">
        <x:v>6</x:v>
      </x:c>
      <x:c r="J251" t="n">
        <x:v>1</x:v>
      </x:c>
      <x:c r="K251" t="n">
        <x:v>6</x:v>
      </x:c>
      <x:c r="L251" t="n">
        <x:v>1</x:v>
      </x:c>
      <x:c r="S251" t="inlineStr">
        <x:is>
          <x:t xml:space="preserve">G.W. Hillyard</x:t>
        </x:is>
      </x:c>
      <x:c r="T251" t="inlineStr">
        <x:is>
          <x:t xml:space="preserve">GBR</x:t>
        </x:is>
      </x:c>
      <x:c r="U251" t="inlineStr">
        <x:is>
          <x:t xml:space="preserve">United Kingdom</x:t>
        </x:is>
      </x:c>
      <x:c r="W251" t="n">
        <x:v>2</x:v>
      </x:c>
      <x:c r="X251" t="n">
        <x:v>14</x:v>
      </x:c>
      <x:c r="Y251" t="inlineStr">
        <x:is>
          <x:t xml:space="preserve">Completed</x:t>
        </x:is>
      </x:c>
      <x:c r="Z251" t="inlineStr">
        <x:is>
          <x:t xml:space="preserve">Unavailable (not imputed)</x:t>
        </x:is>
      </x:c>
      <x:c r="AA251" t="n">
        <x:v>5</x:v>
      </x:c>
      <x:c r="AB251" t="inlineStr">
        <x:is>
          <x:t xml:space="preserve">Yes</x:t>
        </x:is>
      </x:c>
      <x:c r="AC251" t="inlineStr">
        <x:is>
          <x:t xml:space="preserve">1890s</x:t>
        </x:is>
      </x:c>
      <x:c r="AD251" t="inlineStr">
        <x:is>
          <x:t xml:space="preserve">Unseeded/unknown</x:t>
        </x:is>
      </x:c>
      <x:c r="AE251" t="inlineStr">
        <x:is>
          <x:t xml:space="preserve">Unseeded/unknown</x:t>
        </x:is>
      </x:c>
    </x:row>
    <x:row r="252">
      <x:c r="A252" t="n">
        <x:v>1892</x:v>
      </x:c>
      <x:c r="B252" t="inlineStr">
        <x:is>
          <x:t xml:space="preserve">Men's</x:t>
        </x:is>
      </x:c>
      <x:c r="C252" t="inlineStr">
        <x:is>
          <x:t xml:space="preserve">W. Baddeley</x:t>
        </x:is>
      </x:c>
      <x:c r="D252" t="inlineStr">
        <x:is>
          <x:t xml:space="preserve">GBR</x:t>
        </x:is>
      </x:c>
      <x:c r="E252" t="inlineStr">
        <x:is>
          <x:t xml:space="preserve">United Kingdom</x:t>
        </x:is>
      </x:c>
      <x:c r="G252" t="n">
        <x:v>75</x:v>
      </x:c>
      <x:c r="H252" t="inlineStr">
        <x:is>
          <x:t xml:space="preserve">4-6, 6-3, 6-3, 6-2</x:t>
        </x:is>
      </x:c>
      <x:c r="I252" t="n">
        <x:v>4</x:v>
      </x:c>
      <x:c r="J252" t="n">
        <x:v>6</x:v>
      </x:c>
      <x:c r="K252" t="n">
        <x:v>6</x:v>
      </x:c>
      <x:c r="L252" t="n">
        <x:v>3</x:v>
      </x:c>
      <x:c r="M252" t="n">
        <x:v>6</x:v>
      </x:c>
      <x:c r="N252" t="n">
        <x:v>3</x:v>
      </x:c>
      <x:c r="O252" t="n">
        <x:v>6</x:v>
      </x:c>
      <x:c r="P252" t="n">
        <x:v>2</x:v>
      </x:c>
      <x:c r="S252" t="inlineStr">
        <x:is>
          <x:t xml:space="preserve">J. Pim</x:t>
        </x:is>
      </x:c>
      <x:c r="T252" t="inlineStr">
        <x:is>
          <x:t xml:space="preserve">GBR</x:t>
        </x:is>
      </x:c>
      <x:c r="U252" t="inlineStr">
        <x:is>
          <x:t xml:space="preserve">United Kingdom</x:t>
        </x:is>
      </x:c>
      <x:c r="W252" t="n">
        <x:v>4</x:v>
      </x:c>
      <x:c r="X252" t="n">
        <x:v>36</x:v>
      </x:c>
      <x:c r="Y252" t="inlineStr">
        <x:is>
          <x:t xml:space="preserve">Completed</x:t>
        </x:is>
      </x:c>
      <x:c r="Z252" t="inlineStr">
        <x:is>
          <x:t xml:space="preserve">Recorded</x:t>
        </x:is>
      </x:c>
      <x:c r="AA252" t="n">
        <x:v>3</x:v>
      </x:c>
      <x:c r="AB252" t="inlineStr">
        <x:is>
          <x:t xml:space="preserve">No</x:t>
        </x:is>
      </x:c>
      <x:c r="AC252" t="inlineStr">
        <x:is>
          <x:t xml:space="preserve">1890s</x:t>
        </x:is>
      </x:c>
      <x:c r="AD252" t="inlineStr">
        <x:is>
          <x:t xml:space="preserve">Unseeded/unknown</x:t>
        </x:is>
      </x:c>
      <x:c r="AE252" t="inlineStr">
        <x:is>
          <x:t xml:space="preserve">Unseeded/unknown</x:t>
        </x:is>
      </x:c>
    </x:row>
    <x:row r="253">
      <x:c r="A253" t="n">
        <x:v>1891</x:v>
      </x:c>
      <x:c r="B253" t="inlineStr">
        <x:is>
          <x:t xml:space="preserve">Women's</x:t>
        </x:is>
      </x:c>
      <x:c r="C253" t="inlineStr">
        <x:is>
          <x:t xml:space="preserve">C. Dod</x:t>
        </x:is>
      </x:c>
      <x:c r="D253" t="inlineStr">
        <x:is>
          <x:t xml:space="preserve">GBR</x:t>
        </x:is>
      </x:c>
      <x:c r="E253" t="inlineStr">
        <x:is>
          <x:t xml:space="preserve">United Kingdom</x:t>
        </x:is>
      </x:c>
      <x:c r="G253" s="35" t="n"/>
      <x:c r="H253" t="inlineStr">
        <x:is>
          <x:t xml:space="preserve">6-2, 6-1</x:t>
        </x:is>
      </x:c>
      <x:c r="I253" t="n">
        <x:v>6</x:v>
      </x:c>
      <x:c r="J253" t="n">
        <x:v>2</x:v>
      </x:c>
      <x:c r="K253" t="n">
        <x:v>6</x:v>
      </x:c>
      <x:c r="L253" t="n">
        <x:v>1</x:v>
      </x:c>
      <x:c r="S253" t="inlineStr">
        <x:is>
          <x:t xml:space="preserve">G.W. Hillyard</x:t>
        </x:is>
      </x:c>
      <x:c r="T253" t="inlineStr">
        <x:is>
          <x:t xml:space="preserve">GBR</x:t>
        </x:is>
      </x:c>
      <x:c r="U253" t="inlineStr">
        <x:is>
          <x:t xml:space="preserve">United Kingdom</x:t>
        </x:is>
      </x:c>
      <x:c r="W253" t="n">
        <x:v>2</x:v>
      </x:c>
      <x:c r="X253" t="n">
        <x:v>15</x:v>
      </x:c>
      <x:c r="Y253" t="inlineStr">
        <x:is>
          <x:t xml:space="preserve">Completed</x:t>
        </x:is>
      </x:c>
      <x:c r="Z253" t="inlineStr">
        <x:is>
          <x:t xml:space="preserve">Unavailable (not imputed)</x:t>
        </x:is>
      </x:c>
      <x:c r="AA253" t="n">
        <x:v>5</x:v>
      </x:c>
      <x:c r="AB253" t="inlineStr">
        <x:is>
          <x:t xml:space="preserve">Yes</x:t>
        </x:is>
      </x:c>
      <x:c r="AC253" t="inlineStr">
        <x:is>
          <x:t xml:space="preserve">1890s</x:t>
        </x:is>
      </x:c>
      <x:c r="AD253" t="inlineStr">
        <x:is>
          <x:t xml:space="preserve">Unseeded/unknown</x:t>
        </x:is>
      </x:c>
      <x:c r="AE253" t="inlineStr">
        <x:is>
          <x:t xml:space="preserve">Unseeded/unknown</x:t>
        </x:is>
      </x:c>
    </x:row>
    <x:row r="254">
      <x:c r="A254" t="n">
        <x:v>1891</x:v>
      </x:c>
      <x:c r="B254" t="inlineStr">
        <x:is>
          <x:t xml:space="preserve">Men's</x:t>
        </x:is>
      </x:c>
      <x:c r="C254" t="inlineStr">
        <x:is>
          <x:t xml:space="preserve">W. Baddeley</x:t>
        </x:is>
      </x:c>
      <x:c r="D254" t="inlineStr">
        <x:is>
          <x:t xml:space="preserve">GBR</x:t>
        </x:is>
      </x:c>
      <x:c r="E254" t="inlineStr">
        <x:is>
          <x:t xml:space="preserve">United Kingdom</x:t>
        </x:is>
      </x:c>
      <x:c r="G254" s="35" t="n"/>
      <x:c r="H254" t="inlineStr">
        <x:is>
          <x:t xml:space="preserve">6-4, 1-6, 7-5, 6-0</x:t>
        </x:is>
      </x:c>
      <x:c r="I254" t="n">
        <x:v>6</x:v>
      </x:c>
      <x:c r="J254" t="n">
        <x:v>4</x:v>
      </x:c>
      <x:c r="K254" t="n">
        <x:v>1</x:v>
      </x:c>
      <x:c r="L254" t="n">
        <x:v>6</x:v>
      </x:c>
      <x:c r="M254" t="n">
        <x:v>7</x:v>
      </x:c>
      <x:c r="N254" t="n">
        <x:v>5</x:v>
      </x:c>
      <x:c r="O254" t="n">
        <x:v>6</x:v>
      </x:c>
      <x:c r="P254" t="n">
        <x:v>0</x:v>
      </x:c>
      <x:c r="S254" t="inlineStr">
        <x:is>
          <x:t xml:space="preserve">J. Pim</x:t>
        </x:is>
      </x:c>
      <x:c r="T254" t="inlineStr">
        <x:is>
          <x:t xml:space="preserve">GBR</x:t>
        </x:is>
      </x:c>
      <x:c r="U254" t="inlineStr">
        <x:is>
          <x:t xml:space="preserve">United Kingdom</x:t>
        </x:is>
      </x:c>
      <x:c r="W254" t="n">
        <x:v>4</x:v>
      </x:c>
      <x:c r="X254" t="n">
        <x:v>35</x:v>
      </x:c>
      <x:c r="Y254" t="inlineStr">
        <x:is>
          <x:t xml:space="preserve">Completed</x:t>
        </x:is>
      </x:c>
      <x:c r="Z254" t="inlineStr">
        <x:is>
          <x:t xml:space="preserve">Unavailable (not imputed)</x:t>
        </x:is>
      </x:c>
      <x:c r="AA254" t="n">
        <x:v>3</x:v>
      </x:c>
      <x:c r="AB254" t="inlineStr">
        <x:is>
          <x:t xml:space="preserve">No</x:t>
        </x:is>
      </x:c>
      <x:c r="AC254" t="inlineStr">
        <x:is>
          <x:t xml:space="preserve">1890s</x:t>
        </x:is>
      </x:c>
      <x:c r="AD254" t="inlineStr">
        <x:is>
          <x:t xml:space="preserve">Unseeded/unknown</x:t>
        </x:is>
      </x:c>
      <x:c r="AE254" t="inlineStr">
        <x:is>
          <x:t xml:space="preserve">Unseeded/unknown</x:t>
        </x:is>
      </x:c>
    </x:row>
    <x:row r="255">
      <x:c r="A255" t="n">
        <x:v>1890</x:v>
      </x:c>
      <x:c r="B255" t="inlineStr">
        <x:is>
          <x:t xml:space="preserve">Women's</x:t>
        </x:is>
      </x:c>
      <x:c r="C255" t="inlineStr">
        <x:is>
          <x:t xml:space="preserve">H.G.B. Rice</x:t>
        </x:is>
      </x:c>
      <x:c r="D255" t="inlineStr">
        <x:is>
          <x:t xml:space="preserve">GBR</x:t>
        </x:is>
      </x:c>
      <x:c r="E255" t="inlineStr">
        <x:is>
          <x:t xml:space="preserve">United Kingdom</x:t>
        </x:is>
      </x:c>
      <x:c r="G255" s="35" t="n"/>
      <x:c r="H255" t="inlineStr">
        <x:is>
          <x:t xml:space="preserve">6-4, 6-1</x:t>
        </x:is>
      </x:c>
      <x:c r="I255" t="n">
        <x:v>6</x:v>
      </x:c>
      <x:c r="J255" t="n">
        <x:v>4</x:v>
      </x:c>
      <x:c r="K255" t="n">
        <x:v>6</x:v>
      </x:c>
      <x:c r="L255" t="n">
        <x:v>1</x:v>
      </x:c>
      <x:c r="S255" t="inlineStr">
        <x:is>
          <x:t xml:space="preserve">M. Jacks</x:t>
        </x:is>
      </x:c>
      <x:c r="T255" t="inlineStr">
        <x:is>
          <x:t xml:space="preserve">GBR</x:t>
        </x:is>
      </x:c>
      <x:c r="U255" t="inlineStr">
        <x:is>
          <x:t xml:space="preserve">United Kingdom</x:t>
        </x:is>
      </x:c>
      <x:c r="W255" t="n">
        <x:v>2</x:v>
      </x:c>
      <x:c r="X255" t="n">
        <x:v>17</x:v>
      </x:c>
      <x:c r="Y255" t="inlineStr">
        <x:is>
          <x:t xml:space="preserve">Completed</x:t>
        </x:is>
      </x:c>
      <x:c r="Z255" t="inlineStr">
        <x:is>
          <x:t xml:space="preserve">Unavailable (not imputed)</x:t>
        </x:is>
      </x:c>
      <x:c r="AA255" t="n">
        <x:v>1</x:v>
      </x:c>
      <x:c r="AB255" t="inlineStr">
        <x:is>
          <x:t xml:space="preserve">No</x:t>
        </x:is>
      </x:c>
      <x:c r="AC255" t="inlineStr">
        <x:is>
          <x:t xml:space="preserve">1890s</x:t>
        </x:is>
      </x:c>
      <x:c r="AD255" t="inlineStr">
        <x:is>
          <x:t xml:space="preserve">Unseeded/unknown</x:t>
        </x:is>
      </x:c>
      <x:c r="AE255" t="inlineStr">
        <x:is>
          <x:t xml:space="preserve">Unseeded/unknown</x:t>
        </x:is>
      </x:c>
    </x:row>
    <x:row r="256">
      <x:c r="A256" t="n">
        <x:v>1890</x:v>
      </x:c>
      <x:c r="B256" t="inlineStr">
        <x:is>
          <x:t xml:space="preserve">Men's</x:t>
        </x:is>
      </x:c>
      <x:c r="C256" t="inlineStr">
        <x:is>
          <x:t xml:space="preserve">W.J. Hamilton</x:t>
        </x:is>
      </x:c>
      <x:c r="D256" t="inlineStr">
        <x:is>
          <x:t xml:space="preserve">GBR</x:t>
        </x:is>
      </x:c>
      <x:c r="E256" t="inlineStr">
        <x:is>
          <x:t xml:space="preserve">United Kingdom</x:t>
        </x:is>
      </x:c>
      <x:c r="G256" t="n">
        <x:v>96</x:v>
      </x:c>
      <x:c r="H256" t="inlineStr">
        <x:is>
          <x:t xml:space="preserve">6-8, 6-2, 3-6, 6-1, 6-1</x:t>
        </x:is>
      </x:c>
      <x:c r="I256" t="n">
        <x:v>6</x:v>
      </x:c>
      <x:c r="J256" t="n">
        <x:v>8</x:v>
      </x:c>
      <x:c r="K256" t="n">
        <x:v>6</x:v>
      </x:c>
      <x:c r="L256" t="n">
        <x:v>2</x:v>
      </x:c>
      <x:c r="M256" t="n">
        <x:v>3</x:v>
      </x:c>
      <x:c r="N256" t="n">
        <x:v>6</x:v>
      </x:c>
      <x:c r="O256" t="n">
        <x:v>6</x:v>
      </x:c>
      <x:c r="P256" t="n">
        <x:v>1</x:v>
      </x:c>
      <x:c r="Q256" t="n">
        <x:v>6</x:v>
      </x:c>
      <x:c r="R256" t="n">
        <x:v>1</x:v>
      </x:c>
      <x:c r="S256" t="inlineStr">
        <x:is>
          <x:t xml:space="preserve">W.C. Renshaw</x:t>
        </x:is>
      </x:c>
      <x:c r="T256" t="inlineStr">
        <x:is>
          <x:t xml:space="preserve">GBR</x:t>
        </x:is>
      </x:c>
      <x:c r="U256" t="inlineStr">
        <x:is>
          <x:t xml:space="preserve">United Kingdom</x:t>
        </x:is>
      </x:c>
      <x:c r="W256" t="n">
        <x:v>5</x:v>
      </x:c>
      <x:c r="X256" t="n">
        <x:v>45</x:v>
      </x:c>
      <x:c r="Y256" t="inlineStr">
        <x:is>
          <x:t xml:space="preserve">Completed</x:t>
        </x:is>
      </x:c>
      <x:c r="Z256" t="inlineStr">
        <x:is>
          <x:t xml:space="preserve">Recorded</x:t>
        </x:is>
      </x:c>
      <x:c r="AA256" t="n">
        <x:v>1</x:v>
      </x:c>
      <x:c r="AB256" t="inlineStr">
        <x:is>
          <x:t xml:space="preserve">No</x:t>
        </x:is>
      </x:c>
      <x:c r="AC256" t="inlineStr">
        <x:is>
          <x:t xml:space="preserve">1890s</x:t>
        </x:is>
      </x:c>
      <x:c r="AD256" t="inlineStr">
        <x:is>
          <x:t xml:space="preserve">Unseeded/unknown</x:t>
        </x:is>
      </x:c>
      <x:c r="AE256" t="inlineStr">
        <x:is>
          <x:t xml:space="preserve">Unseeded/unknown</x:t>
        </x:is>
      </x:c>
    </x:row>
    <x:row r="257">
      <x:c r="A257" t="n">
        <x:v>1889</x:v>
      </x:c>
      <x:c r="B257" t="inlineStr">
        <x:is>
          <x:t xml:space="preserve">Women's</x:t>
        </x:is>
      </x:c>
      <x:c r="C257" t="inlineStr">
        <x:is>
          <x:t xml:space="preserve">G.W. Hillyard</x:t>
        </x:is>
      </x:c>
      <x:c r="D257" t="inlineStr">
        <x:is>
          <x:t xml:space="preserve">GBR</x:t>
        </x:is>
      </x:c>
      <x:c r="E257" t="inlineStr">
        <x:is>
          <x:t xml:space="preserve">United Kingdom</x:t>
        </x:is>
      </x:c>
      <x:c r="G257" s="35" t="n"/>
      <x:c r="H257" t="inlineStr">
        <x:is>
          <x:t xml:space="preserve">4-6, 8-6, 6-4</x:t>
        </x:is>
      </x:c>
      <x:c r="I257" t="n">
        <x:v>4</x:v>
      </x:c>
      <x:c r="J257" t="n">
        <x:v>6</x:v>
      </x:c>
      <x:c r="K257" t="n">
        <x:v>8</x:v>
      </x:c>
      <x:c r="L257" t="n">
        <x:v>6</x:v>
      </x:c>
      <x:c r="M257" t="n">
        <x:v>6</x:v>
      </x:c>
      <x:c r="N257" t="n">
        <x:v>4</x:v>
      </x:c>
      <x:c r="S257" t="inlineStr">
        <x:is>
          <x:t xml:space="preserve">H.G.B. Rice</x:t>
        </x:is>
      </x:c>
      <x:c r="T257" t="inlineStr">
        <x:is>
          <x:t xml:space="preserve">GBR</x:t>
        </x:is>
      </x:c>
      <x:c r="U257" t="inlineStr">
        <x:is>
          <x:t xml:space="preserve">United Kingdom</x:t>
        </x:is>
      </x:c>
      <x:c r="W257" t="n">
        <x:v>3</x:v>
      </x:c>
      <x:c r="X257" t="n">
        <x:v>34</x:v>
      </x:c>
      <x:c r="Y257" t="inlineStr">
        <x:is>
          <x:t xml:space="preserve">Completed</x:t>
        </x:is>
      </x:c>
      <x:c r="Z257" t="inlineStr">
        <x:is>
          <x:t xml:space="preserve">Unavailable (not imputed)</x:t>
        </x:is>
      </x:c>
      <x:c r="AA257" t="n">
        <x:v>6</x:v>
      </x:c>
      <x:c r="AB257" t="inlineStr">
        <x:is>
          <x:t xml:space="preserve">Yes</x:t>
        </x:is>
      </x:c>
      <x:c r="AC257" t="inlineStr">
        <x:is>
          <x:t xml:space="preserve">1880s</x:t>
        </x:is>
      </x:c>
      <x:c r="AD257" t="inlineStr">
        <x:is>
          <x:t xml:space="preserve">Unseeded/unknown</x:t>
        </x:is>
      </x:c>
      <x:c r="AE257" t="inlineStr">
        <x:is>
          <x:t xml:space="preserve">Unseeded/unknown</x:t>
        </x:is>
      </x:c>
    </x:row>
    <x:row r="258">
      <x:c r="A258" t="n">
        <x:v>1889</x:v>
      </x:c>
      <x:c r="B258" t="inlineStr">
        <x:is>
          <x:t xml:space="preserve">Men's</x:t>
        </x:is>
      </x:c>
      <x:c r="C258" t="inlineStr">
        <x:is>
          <x:t xml:space="preserve">W.C. Renshaw</x:t>
        </x:is>
      </x:c>
      <x:c r="D258" t="inlineStr">
        <x:is>
          <x:t xml:space="preserve">GBR</x:t>
        </x:is>
      </x:c>
      <x:c r="E258" t="inlineStr">
        <x:is>
          <x:t xml:space="preserve">United Kingdom</x:t>
        </x:is>
      </x:c>
      <x:c r="G258" t="n">
        <x:v>63</x:v>
      </x:c>
      <x:c r="H258" t="inlineStr">
        <x:is>
          <x:t xml:space="preserve">6-4, 6-1, 3-6, 6-0</x:t>
        </x:is>
      </x:c>
      <x:c r="I258" t="n">
        <x:v>6</x:v>
      </x:c>
      <x:c r="J258" t="n">
        <x:v>4</x:v>
      </x:c>
      <x:c r="K258" t="n">
        <x:v>6</x:v>
      </x:c>
      <x:c r="L258" t="n">
        <x:v>1</x:v>
      </x:c>
      <x:c r="M258" t="n">
        <x:v>3</x:v>
      </x:c>
      <x:c r="N258" t="n">
        <x:v>6</x:v>
      </x:c>
      <x:c r="O258" t="n">
        <x:v>6</x:v>
      </x:c>
      <x:c r="P258" t="n">
        <x:v>0</x:v>
      </x:c>
      <x:c r="S258" t="inlineStr">
        <x:is>
          <x:t xml:space="preserve">J.E. Renshaw</x:t>
        </x:is>
      </x:c>
      <x:c r="T258" t="inlineStr">
        <x:is>
          <x:t xml:space="preserve">GBR</x:t>
        </x:is>
      </x:c>
      <x:c r="U258" t="inlineStr">
        <x:is>
          <x:t xml:space="preserve">United Kingdom</x:t>
        </x:is>
      </x:c>
      <x:c r="W258" t="n">
        <x:v>4</x:v>
      </x:c>
      <x:c r="X258" t="n">
        <x:v>32</x:v>
      </x:c>
      <x:c r="Y258" t="inlineStr">
        <x:is>
          <x:t xml:space="preserve">Completed</x:t>
        </x:is>
      </x:c>
      <x:c r="Z258" t="inlineStr">
        <x:is>
          <x:t xml:space="preserve">Recorded</x:t>
        </x:is>
      </x:c>
      <x:c r="AA258" t="n">
        <x:v>7</x:v>
      </x:c>
      <x:c r="AB258" t="inlineStr">
        <x:is>
          <x:t xml:space="preserve">Yes</x:t>
        </x:is>
      </x:c>
      <x:c r="AC258" t="inlineStr">
        <x:is>
          <x:t xml:space="preserve">1880s</x:t>
        </x:is>
      </x:c>
      <x:c r="AD258" t="inlineStr">
        <x:is>
          <x:t xml:space="preserve">Unseeded/unknown</x:t>
        </x:is>
      </x:c>
      <x:c r="AE258" t="inlineStr">
        <x:is>
          <x:t xml:space="preserve">Unseeded/unknown</x:t>
        </x:is>
      </x:c>
    </x:row>
    <x:row r="259">
      <x:c r="A259" t="n">
        <x:v>1888</x:v>
      </x:c>
      <x:c r="B259" t="inlineStr">
        <x:is>
          <x:t xml:space="preserve">Women's</x:t>
        </x:is>
      </x:c>
      <x:c r="C259" t="inlineStr">
        <x:is>
          <x:t xml:space="preserve">C. Dod</x:t>
        </x:is>
      </x:c>
      <x:c r="D259" t="inlineStr">
        <x:is>
          <x:t xml:space="preserve">GBR</x:t>
        </x:is>
      </x:c>
      <x:c r="E259" t="inlineStr">
        <x:is>
          <x:t xml:space="preserve">United Kingdom</x:t>
        </x:is>
      </x:c>
      <x:c r="G259" s="35" t="n"/>
      <x:c r="H259" t="inlineStr">
        <x:is>
          <x:t xml:space="preserve">6-3, 6-3</x:t>
        </x:is>
      </x:c>
      <x:c r="I259" t="n">
        <x:v>6</x:v>
      </x:c>
      <x:c r="J259" t="n">
        <x:v>3</x:v>
      </x:c>
      <x:c r="K259" t="n">
        <x:v>6</x:v>
      </x:c>
      <x:c r="L259" t="n">
        <x:v>3</x:v>
      </x:c>
      <x:c r="S259" t="inlineStr">
        <x:is>
          <x:t xml:space="preserve">G.W. Hillyard</x:t>
        </x:is>
      </x:c>
      <x:c r="T259" t="inlineStr">
        <x:is>
          <x:t xml:space="preserve">GBR</x:t>
        </x:is>
      </x:c>
      <x:c r="U259" t="inlineStr">
        <x:is>
          <x:t xml:space="preserve">United Kingdom</x:t>
        </x:is>
      </x:c>
      <x:c r="W259" t="n">
        <x:v>2</x:v>
      </x:c>
      <x:c r="X259" t="n">
        <x:v>18</x:v>
      </x:c>
      <x:c r="Y259" t="inlineStr">
        <x:is>
          <x:t xml:space="preserve">Completed</x:t>
        </x:is>
      </x:c>
      <x:c r="Z259" t="inlineStr">
        <x:is>
          <x:t xml:space="preserve">Unavailable (not imputed)</x:t>
        </x:is>
      </x:c>
      <x:c r="AA259" t="n">
        <x:v>5</x:v>
      </x:c>
      <x:c r="AB259" t="inlineStr">
        <x:is>
          <x:t xml:space="preserve">Yes</x:t>
        </x:is>
      </x:c>
      <x:c r="AC259" t="inlineStr">
        <x:is>
          <x:t xml:space="preserve">1880s</x:t>
        </x:is>
      </x:c>
      <x:c r="AD259" t="inlineStr">
        <x:is>
          <x:t xml:space="preserve">Unseeded/unknown</x:t>
        </x:is>
      </x:c>
      <x:c r="AE259" t="inlineStr">
        <x:is>
          <x:t xml:space="preserve">Unseeded/unknown</x:t>
        </x:is>
      </x:c>
    </x:row>
    <x:row r="260">
      <x:c r="A260" t="n">
        <x:v>1888</x:v>
      </x:c>
      <x:c r="B260" t="inlineStr">
        <x:is>
          <x:t xml:space="preserve">Men's</x:t>
        </x:is>
      </x:c>
      <x:c r="C260" t="inlineStr">
        <x:is>
          <x:t xml:space="preserve">J.E. Renshaw</x:t>
        </x:is>
      </x:c>
      <x:c r="D260" t="inlineStr">
        <x:is>
          <x:t xml:space="preserve">GBR</x:t>
        </x:is>
      </x:c>
      <x:c r="E260" t="inlineStr">
        <x:is>
          <x:t xml:space="preserve">United Kingdom</x:t>
        </x:is>
      </x:c>
      <x:c r="G260" t="n">
        <x:v>51</x:v>
      </x:c>
      <x:c r="H260" t="inlineStr">
        <x:is>
          <x:t xml:space="preserve">6-3, 7-5, 6-0</x:t>
        </x:is>
      </x:c>
      <x:c r="I260" t="n">
        <x:v>6</x:v>
      </x:c>
      <x:c r="J260" t="n">
        <x:v>3</x:v>
      </x:c>
      <x:c r="K260" t="n">
        <x:v>7</x:v>
      </x:c>
      <x:c r="L260" t="n">
        <x:v>5</x:v>
      </x:c>
      <x:c r="M260" t="n">
        <x:v>6</x:v>
      </x:c>
      <x:c r="N260" t="n">
        <x:v>0</x:v>
      </x:c>
      <x:c r="S260" t="inlineStr">
        <x:is>
          <x:t xml:space="preserve">H.F. Lawford</x:t>
        </x:is>
      </x:c>
      <x:c r="T260" t="inlineStr">
        <x:is>
          <x:t xml:space="preserve">GBR</x:t>
        </x:is>
      </x:c>
      <x:c r="U260" t="inlineStr">
        <x:is>
          <x:t xml:space="preserve">United Kingdom</x:t>
        </x:is>
      </x:c>
      <x:c r="W260" t="n">
        <x:v>3</x:v>
      </x:c>
      <x:c r="X260" t="n">
        <x:v>27</x:v>
      </x:c>
      <x:c r="Y260" t="inlineStr">
        <x:is>
          <x:t xml:space="preserve">Completed</x:t>
        </x:is>
      </x:c>
      <x:c r="Z260" t="inlineStr">
        <x:is>
          <x:t xml:space="preserve">Recorded</x:t>
        </x:is>
      </x:c>
      <x:c r="AA260" t="n">
        <x:v>1</x:v>
      </x:c>
      <x:c r="AB260" t="inlineStr">
        <x:is>
          <x:t xml:space="preserve">No</x:t>
        </x:is>
      </x:c>
      <x:c r="AC260" t="inlineStr">
        <x:is>
          <x:t xml:space="preserve">1880s</x:t>
        </x:is>
      </x:c>
      <x:c r="AD260" t="inlineStr">
        <x:is>
          <x:t xml:space="preserve">Unseeded/unknown</x:t>
        </x:is>
      </x:c>
      <x:c r="AE260" t="inlineStr">
        <x:is>
          <x:t xml:space="preserve">Unseeded/unknown</x:t>
        </x:is>
      </x:c>
    </x:row>
    <x:row r="261">
      <x:c r="A261" t="n">
        <x:v>1887</x:v>
      </x:c>
      <x:c r="B261" t="inlineStr">
        <x:is>
          <x:t xml:space="preserve">Women's</x:t>
        </x:is>
      </x:c>
      <x:c r="C261" t="inlineStr">
        <x:is>
          <x:t xml:space="preserve">C. Dod</x:t>
        </x:is>
      </x:c>
      <x:c r="D261" t="inlineStr">
        <x:is>
          <x:t xml:space="preserve">GBR</x:t>
        </x:is>
      </x:c>
      <x:c r="E261" t="inlineStr">
        <x:is>
          <x:t xml:space="preserve">United Kingdom</x:t>
        </x:is>
      </x:c>
      <x:c r="G261" s="35" t="n"/>
      <x:c r="H261" t="inlineStr">
        <x:is>
          <x:t xml:space="preserve">6-2, 6-0</x:t>
        </x:is>
      </x:c>
      <x:c r="I261" t="n">
        <x:v>6</x:v>
      </x:c>
      <x:c r="J261" t="n">
        <x:v>2</x:v>
      </x:c>
      <x:c r="K261" t="n">
        <x:v>6</x:v>
      </x:c>
      <x:c r="L261" t="n">
        <x:v>0</x:v>
      </x:c>
      <x:c r="S261" t="inlineStr">
        <x:is>
          <x:t xml:space="preserve">G.W. Hillyard</x:t>
        </x:is>
      </x:c>
      <x:c r="T261" t="inlineStr">
        <x:is>
          <x:t xml:space="preserve">GBR</x:t>
        </x:is>
      </x:c>
      <x:c r="U261" t="inlineStr">
        <x:is>
          <x:t xml:space="preserve">United Kingdom</x:t>
        </x:is>
      </x:c>
      <x:c r="W261" t="n">
        <x:v>2</x:v>
      </x:c>
      <x:c r="X261" t="n">
        <x:v>14</x:v>
      </x:c>
      <x:c r="Y261" t="inlineStr">
        <x:is>
          <x:t xml:space="preserve">Completed</x:t>
        </x:is>
      </x:c>
      <x:c r="Z261" t="inlineStr">
        <x:is>
          <x:t xml:space="preserve">Unavailable (not imputed)</x:t>
        </x:is>
      </x:c>
      <x:c r="AA261" t="n">
        <x:v>5</x:v>
      </x:c>
      <x:c r="AB261" t="inlineStr">
        <x:is>
          <x:t xml:space="preserve">Yes</x:t>
        </x:is>
      </x:c>
      <x:c r="AC261" t="inlineStr">
        <x:is>
          <x:t xml:space="preserve">1880s</x:t>
        </x:is>
      </x:c>
      <x:c r="AD261" t="inlineStr">
        <x:is>
          <x:t xml:space="preserve">Unseeded/unknown</x:t>
        </x:is>
      </x:c>
      <x:c r="AE261" t="inlineStr">
        <x:is>
          <x:t xml:space="preserve">Unseeded/unknown</x:t>
        </x:is>
      </x:c>
    </x:row>
    <x:row r="262">
      <x:c r="A262" t="n">
        <x:v>1887</x:v>
      </x:c>
      <x:c r="B262" t="inlineStr">
        <x:is>
          <x:t xml:space="preserve">Men's</x:t>
        </x:is>
      </x:c>
      <x:c r="C262" t="inlineStr">
        <x:is>
          <x:t xml:space="preserve">H.F. Lawford</x:t>
        </x:is>
      </x:c>
      <x:c r="D262" t="inlineStr">
        <x:is>
          <x:t xml:space="preserve">GBR</x:t>
        </x:is>
      </x:c>
      <x:c r="E262" t="inlineStr">
        <x:is>
          <x:t xml:space="preserve">United Kingdom</x:t>
        </x:is>
      </x:c>
      <x:c r="G262" t="n">
        <x:v>120</x:v>
      </x:c>
      <x:c r="H262" t="inlineStr">
        <x:is>
          <x:t xml:space="preserve">1-6, 6-3, 3-6, 6-4, 6-4</x:t>
        </x:is>
      </x:c>
      <x:c r="I262" t="n">
        <x:v>1</x:v>
      </x:c>
      <x:c r="J262" t="n">
        <x:v>6</x:v>
      </x:c>
      <x:c r="K262" t="n">
        <x:v>6</x:v>
      </x:c>
      <x:c r="L262" t="n">
        <x:v>3</x:v>
      </x:c>
      <x:c r="M262" t="n">
        <x:v>3</x:v>
      </x:c>
      <x:c r="N262" t="n">
        <x:v>6</x:v>
      </x:c>
      <x:c r="O262" t="n">
        <x:v>6</x:v>
      </x:c>
      <x:c r="P262" t="n">
        <x:v>4</x:v>
      </x:c>
      <x:c r="Q262" t="n">
        <x:v>6</x:v>
      </x:c>
      <x:c r="R262" t="n">
        <x:v>4</x:v>
      </x:c>
      <x:c r="S262" t="inlineStr">
        <x:is>
          <x:t xml:space="preserve">J.E. Renshaw</x:t>
        </x:is>
      </x:c>
      <x:c r="T262" t="inlineStr">
        <x:is>
          <x:t xml:space="preserve">GBR</x:t>
        </x:is>
      </x:c>
      <x:c r="U262" t="inlineStr">
        <x:is>
          <x:t xml:space="preserve">United Kingdom</x:t>
        </x:is>
      </x:c>
      <x:c r="W262" t="n">
        <x:v>5</x:v>
      </x:c>
      <x:c r="X262" t="n">
        <x:v>45</x:v>
      </x:c>
      <x:c r="Y262" t="inlineStr">
        <x:is>
          <x:t xml:space="preserve">Completed</x:t>
        </x:is>
      </x:c>
      <x:c r="Z262" t="inlineStr">
        <x:is>
          <x:t xml:space="preserve">Recorded</x:t>
        </x:is>
      </x:c>
      <x:c r="AA262" t="n">
        <x:v>1</x:v>
      </x:c>
      <x:c r="AB262" t="inlineStr">
        <x:is>
          <x:t xml:space="preserve">No</x:t>
        </x:is>
      </x:c>
      <x:c r="AC262" t="inlineStr">
        <x:is>
          <x:t xml:space="preserve">1880s</x:t>
        </x:is>
      </x:c>
      <x:c r="AD262" t="inlineStr">
        <x:is>
          <x:t xml:space="preserve">Unseeded/unknown</x:t>
        </x:is>
      </x:c>
      <x:c r="AE262" t="inlineStr">
        <x:is>
          <x:t xml:space="preserve">Unseeded/unknown</x:t>
        </x:is>
      </x:c>
    </x:row>
    <x:row r="263">
      <x:c r="A263" t="n">
        <x:v>1886</x:v>
      </x:c>
      <x:c r="B263" t="inlineStr">
        <x:is>
          <x:t xml:space="preserve">Women's</x:t>
        </x:is>
      </x:c>
      <x:c r="C263" t="inlineStr">
        <x:is>
          <x:t xml:space="preserve">G.W. Hillyard</x:t>
        </x:is>
      </x:c>
      <x:c r="D263" t="inlineStr">
        <x:is>
          <x:t xml:space="preserve">GBR</x:t>
        </x:is>
      </x:c>
      <x:c r="E263" t="inlineStr">
        <x:is>
          <x:t xml:space="preserve">United Kingdom</x:t>
        </x:is>
      </x:c>
      <x:c r="G263" s="35" t="n"/>
      <x:c r="H263" t="inlineStr">
        <x:is>
          <x:t xml:space="preserve">6-3, 6-3</x:t>
        </x:is>
      </x:c>
      <x:c r="I263" t="n">
        <x:v>6</x:v>
      </x:c>
      <x:c r="J263" t="n">
        <x:v>3</x:v>
      </x:c>
      <x:c r="K263" t="n">
        <x:v>6</x:v>
      </x:c>
      <x:c r="L263" t="n">
        <x:v>3</x:v>
      </x:c>
      <x:c r="S263" t="inlineStr">
        <x:is>
          <x:t xml:space="preserve">M.E.E. Watson</x:t>
        </x:is>
      </x:c>
      <x:c r="T263" t="inlineStr">
        <x:is>
          <x:t xml:space="preserve">GBR</x:t>
        </x:is>
      </x:c>
      <x:c r="U263" t="inlineStr">
        <x:is>
          <x:t xml:space="preserve">United Kingdom</x:t>
        </x:is>
      </x:c>
      <x:c r="W263" t="n">
        <x:v>2</x:v>
      </x:c>
      <x:c r="X263" t="n">
        <x:v>18</x:v>
      </x:c>
      <x:c r="Y263" t="inlineStr">
        <x:is>
          <x:t xml:space="preserve">Completed</x:t>
        </x:is>
      </x:c>
      <x:c r="Z263" t="inlineStr">
        <x:is>
          <x:t xml:space="preserve">Unavailable (not imputed)</x:t>
        </x:is>
      </x:c>
      <x:c r="AA263" t="n">
        <x:v>6</x:v>
      </x:c>
      <x:c r="AB263" t="inlineStr">
        <x:is>
          <x:t xml:space="preserve">Yes</x:t>
        </x:is>
      </x:c>
      <x:c r="AC263" t="inlineStr">
        <x:is>
          <x:t xml:space="preserve">1880s</x:t>
        </x:is>
      </x:c>
      <x:c r="AD263" t="inlineStr">
        <x:is>
          <x:t xml:space="preserve">Unseeded/unknown</x:t>
        </x:is>
      </x:c>
      <x:c r="AE263" t="inlineStr">
        <x:is>
          <x:t xml:space="preserve">Unseeded/unknown</x:t>
        </x:is>
      </x:c>
    </x:row>
    <x:row r="264">
      <x:c r="A264" t="n">
        <x:v>1886</x:v>
      </x:c>
      <x:c r="B264" t="inlineStr">
        <x:is>
          <x:t xml:space="preserve">Men's</x:t>
        </x:is>
      </x:c>
      <x:c r="C264" t="inlineStr">
        <x:is>
          <x:t xml:space="preserve">W.C. Renshaw</x:t>
        </x:is>
      </x:c>
      <x:c r="D264" t="inlineStr">
        <x:is>
          <x:t xml:space="preserve">GBR</x:t>
        </x:is>
      </x:c>
      <x:c r="E264" t="inlineStr">
        <x:is>
          <x:t xml:space="preserve">United Kingdom</x:t>
        </x:is>
      </x:c>
      <x:c r="G264" t="n">
        <x:v>96</x:v>
      </x:c>
      <x:c r="H264" t="inlineStr">
        <x:is>
          <x:t xml:space="preserve">6-0, 5-7, 6-3, 6-4</x:t>
        </x:is>
      </x:c>
      <x:c r="I264" t="n">
        <x:v>6</x:v>
      </x:c>
      <x:c r="J264" t="n">
        <x:v>0</x:v>
      </x:c>
      <x:c r="K264" t="n">
        <x:v>5</x:v>
      </x:c>
      <x:c r="L264" t="n">
        <x:v>7</x:v>
      </x:c>
      <x:c r="M264" t="n">
        <x:v>6</x:v>
      </x:c>
      <x:c r="N264" t="n">
        <x:v>3</x:v>
      </x:c>
      <x:c r="O264" t="n">
        <x:v>6</x:v>
      </x:c>
      <x:c r="P264" t="n">
        <x:v>4</x:v>
      </x:c>
      <x:c r="S264" t="inlineStr">
        <x:is>
          <x:t xml:space="preserve">H.F. Lawford</x:t>
        </x:is>
      </x:c>
      <x:c r="T264" t="inlineStr">
        <x:is>
          <x:t xml:space="preserve">GBR</x:t>
        </x:is>
      </x:c>
      <x:c r="U264" t="inlineStr">
        <x:is>
          <x:t xml:space="preserve">United Kingdom</x:t>
        </x:is>
      </x:c>
      <x:c r="W264" t="n">
        <x:v>4</x:v>
      </x:c>
      <x:c r="X264" t="n">
        <x:v>37</x:v>
      </x:c>
      <x:c r="Y264" t="inlineStr">
        <x:is>
          <x:t xml:space="preserve">Completed</x:t>
        </x:is>
      </x:c>
      <x:c r="Z264" t="inlineStr">
        <x:is>
          <x:t xml:space="preserve">Recorded</x:t>
        </x:is>
      </x:c>
      <x:c r="AA264" t="n">
        <x:v>7</x:v>
      </x:c>
      <x:c r="AB264" t="inlineStr">
        <x:is>
          <x:t xml:space="preserve">Yes</x:t>
        </x:is>
      </x:c>
      <x:c r="AC264" t="inlineStr">
        <x:is>
          <x:t xml:space="preserve">1880s</x:t>
        </x:is>
      </x:c>
      <x:c r="AD264" t="inlineStr">
        <x:is>
          <x:t xml:space="preserve">Unseeded/unknown</x:t>
        </x:is>
      </x:c>
      <x:c r="AE264" t="inlineStr">
        <x:is>
          <x:t xml:space="preserve">Unseeded/unknown</x:t>
        </x:is>
      </x:c>
    </x:row>
    <x:row r="265">
      <x:c r="A265" t="n">
        <x:v>1885</x:v>
      </x:c>
      <x:c r="B265" t="inlineStr">
        <x:is>
          <x:t xml:space="preserve">Women's</x:t>
        </x:is>
      </x:c>
      <x:c r="C265" t="inlineStr">
        <x:is>
          <x:t xml:space="preserve">M.E.E. Watson</x:t>
        </x:is>
      </x:c>
      <x:c r="D265" t="inlineStr">
        <x:is>
          <x:t xml:space="preserve">GBR</x:t>
        </x:is>
      </x:c>
      <x:c r="E265" t="inlineStr">
        <x:is>
          <x:t xml:space="preserve">United Kingdom</x:t>
        </x:is>
      </x:c>
      <x:c r="G265" s="35" t="n"/>
      <x:c r="H265" t="inlineStr">
        <x:is>
          <x:t xml:space="preserve">6-1, 7-5</x:t>
        </x:is>
      </x:c>
      <x:c r="I265" t="n">
        <x:v>6</x:v>
      </x:c>
      <x:c r="J265" t="n">
        <x:v>1</x:v>
      </x:c>
      <x:c r="K265" t="n">
        <x:v>7</x:v>
      </x:c>
      <x:c r="L265" t="n">
        <x:v>5</x:v>
      </x:c>
      <x:c r="S265" t="inlineStr">
        <x:is>
          <x:t xml:space="preserve">G.W. Hillyard</x:t>
        </x:is>
      </x:c>
      <x:c r="T265" t="inlineStr">
        <x:is>
          <x:t xml:space="preserve">GBR</x:t>
        </x:is>
      </x:c>
      <x:c r="U265" t="inlineStr">
        <x:is>
          <x:t xml:space="preserve">United Kingdom</x:t>
        </x:is>
      </x:c>
      <x:c r="W265" t="n">
        <x:v>2</x:v>
      </x:c>
      <x:c r="X265" t="n">
        <x:v>19</x:v>
      </x:c>
      <x:c r="Y265" t="inlineStr">
        <x:is>
          <x:t xml:space="preserve">Completed</x:t>
        </x:is>
      </x:c>
      <x:c r="Z265" t="inlineStr">
        <x:is>
          <x:t xml:space="preserve">Unavailable (not imputed)</x:t>
        </x:is>
      </x:c>
      <x:c r="AA265" t="n">
        <x:v>2</x:v>
      </x:c>
      <x:c r="AB265" t="inlineStr">
        <x:is>
          <x:t xml:space="preserve">No</x:t>
        </x:is>
      </x:c>
      <x:c r="AC265" t="inlineStr">
        <x:is>
          <x:t xml:space="preserve">1880s</x:t>
        </x:is>
      </x:c>
      <x:c r="AD265" t="inlineStr">
        <x:is>
          <x:t xml:space="preserve">Unseeded/unknown</x:t>
        </x:is>
      </x:c>
      <x:c r="AE265" t="inlineStr">
        <x:is>
          <x:t xml:space="preserve">Unseeded/unknown</x:t>
        </x:is>
      </x:c>
    </x:row>
    <x:row r="266">
      <x:c r="A266" t="n">
        <x:v>1885</x:v>
      </x:c>
      <x:c r="B266" t="inlineStr">
        <x:is>
          <x:t xml:space="preserve">Men's</x:t>
        </x:is>
      </x:c>
      <x:c r="C266" t="inlineStr">
        <x:is>
          <x:t xml:space="preserve">W.C. Renshaw</x:t>
        </x:is>
      </x:c>
      <x:c r="D266" t="inlineStr">
        <x:is>
          <x:t xml:space="preserve">GBR</x:t>
        </x:is>
      </x:c>
      <x:c r="E266" t="inlineStr">
        <x:is>
          <x:t xml:space="preserve">United Kingdom</x:t>
        </x:is>
      </x:c>
      <x:c r="G266" t="n">
        <x:v>122</x:v>
      </x:c>
      <x:c r="H266" t="inlineStr">
        <x:is>
          <x:t xml:space="preserve">7-5, 6-2, 4-6, 7-5</x:t>
        </x:is>
      </x:c>
      <x:c r="I266" t="n">
        <x:v>7</x:v>
      </x:c>
      <x:c r="J266" t="n">
        <x:v>5</x:v>
      </x:c>
      <x:c r="K266" t="n">
        <x:v>6</x:v>
      </x:c>
      <x:c r="L266" t="n">
        <x:v>2</x:v>
      </x:c>
      <x:c r="M266" t="n">
        <x:v>4</x:v>
      </x:c>
      <x:c r="N266" t="n">
        <x:v>6</x:v>
      </x:c>
      <x:c r="O266" t="n">
        <x:v>7</x:v>
      </x:c>
      <x:c r="P266" t="n">
        <x:v>5</x:v>
      </x:c>
      <x:c r="S266" t="inlineStr">
        <x:is>
          <x:t xml:space="preserve">H.F. Lawford</x:t>
        </x:is>
      </x:c>
      <x:c r="T266" t="inlineStr">
        <x:is>
          <x:t xml:space="preserve">GBR</x:t>
        </x:is>
      </x:c>
      <x:c r="U266" t="inlineStr">
        <x:is>
          <x:t xml:space="preserve">United Kingdom</x:t>
        </x:is>
      </x:c>
      <x:c r="W266" t="n">
        <x:v>4</x:v>
      </x:c>
      <x:c r="X266" t="n">
        <x:v>42</x:v>
      </x:c>
      <x:c r="Y266" t="inlineStr">
        <x:is>
          <x:t xml:space="preserve">Completed</x:t>
        </x:is>
      </x:c>
      <x:c r="Z266" t="inlineStr">
        <x:is>
          <x:t xml:space="preserve">Recorded</x:t>
        </x:is>
      </x:c>
      <x:c r="AA266" t="n">
        <x:v>7</x:v>
      </x:c>
      <x:c r="AB266" t="inlineStr">
        <x:is>
          <x:t xml:space="preserve">Yes</x:t>
        </x:is>
      </x:c>
      <x:c r="AC266" t="inlineStr">
        <x:is>
          <x:t xml:space="preserve">1880s</x:t>
        </x:is>
      </x:c>
      <x:c r="AD266" t="inlineStr">
        <x:is>
          <x:t xml:space="preserve">Unseeded/unknown</x:t>
        </x:is>
      </x:c>
      <x:c r="AE266" t="inlineStr">
        <x:is>
          <x:t xml:space="preserve">Unseeded/unknown</x:t>
        </x:is>
      </x:c>
    </x:row>
    <x:row r="267">
      <x:c r="A267" t="n">
        <x:v>1884</x:v>
      </x:c>
      <x:c r="B267" t="inlineStr">
        <x:is>
          <x:t xml:space="preserve">Women's</x:t>
        </x:is>
      </x:c>
      <x:c r="C267" t="inlineStr">
        <x:is>
          <x:t xml:space="preserve">M.E.E. Watson</x:t>
        </x:is>
      </x:c>
      <x:c r="D267" t="inlineStr">
        <x:is>
          <x:t xml:space="preserve">GBR</x:t>
        </x:is>
      </x:c>
      <x:c r="E267" t="inlineStr">
        <x:is>
          <x:t xml:space="preserve">United Kingdom</x:t>
        </x:is>
      </x:c>
      <x:c r="G267" s="35" t="n"/>
      <x:c r="H267" t="inlineStr">
        <x:is>
          <x:t xml:space="preserve">6-8, 6-3, 6-3</x:t>
        </x:is>
      </x:c>
      <x:c r="I267" t="n">
        <x:v>6</x:v>
      </x:c>
      <x:c r="J267" t="n">
        <x:v>8</x:v>
      </x:c>
      <x:c r="K267" t="n">
        <x:v>6</x:v>
      </x:c>
      <x:c r="L267" t="n">
        <x:v>3</x:v>
      </x:c>
      <x:c r="M267" t="n">
        <x:v>6</x:v>
      </x:c>
      <x:c r="N267" t="n">
        <x:v>3</x:v>
      </x:c>
      <x:c r="S267" t="inlineStr">
        <x:is>
          <x:t xml:space="preserve">L.M. Watson</x:t>
        </x:is>
      </x:c>
      <x:c r="T267" t="inlineStr">
        <x:is>
          <x:t xml:space="preserve">GBR</x:t>
        </x:is>
      </x:c>
      <x:c r="U267" t="inlineStr">
        <x:is>
          <x:t xml:space="preserve">United Kingdom</x:t>
        </x:is>
      </x:c>
      <x:c r="W267" t="n">
        <x:v>3</x:v>
      </x:c>
      <x:c r="X267" t="n">
        <x:v>32</x:v>
      </x:c>
      <x:c r="Y267" t="inlineStr">
        <x:is>
          <x:t xml:space="preserve">Completed</x:t>
        </x:is>
      </x:c>
      <x:c r="Z267" t="inlineStr">
        <x:is>
          <x:t xml:space="preserve">Unavailable (not imputed)</x:t>
        </x:is>
      </x:c>
      <x:c r="AA267" t="n">
        <x:v>2</x:v>
      </x:c>
      <x:c r="AB267" t="inlineStr">
        <x:is>
          <x:t xml:space="preserve">No</x:t>
        </x:is>
      </x:c>
      <x:c r="AC267" t="inlineStr">
        <x:is>
          <x:t xml:space="preserve">1880s</x:t>
        </x:is>
      </x:c>
      <x:c r="AD267" t="inlineStr">
        <x:is>
          <x:t xml:space="preserve">Unseeded/unknown</x:t>
        </x:is>
      </x:c>
      <x:c r="AE267" t="inlineStr">
        <x:is>
          <x:t xml:space="preserve">Unseeded/unknown</x:t>
        </x:is>
      </x:c>
    </x:row>
    <x:row r="268">
      <x:c r="A268" t="n">
        <x:v>1884</x:v>
      </x:c>
      <x:c r="B268" t="inlineStr">
        <x:is>
          <x:t xml:space="preserve">Men's</x:t>
        </x:is>
      </x:c>
      <x:c r="C268" t="inlineStr">
        <x:is>
          <x:t xml:space="preserve">W.C. Renshaw</x:t>
        </x:is>
      </x:c>
      <x:c r="D268" t="inlineStr">
        <x:is>
          <x:t xml:space="preserve">GBR</x:t>
        </x:is>
      </x:c>
      <x:c r="E268" t="inlineStr">
        <x:is>
          <x:t xml:space="preserve">United Kingdom</x:t>
        </x:is>
      </x:c>
      <x:c r="G268" t="n">
        <x:v>69</x:v>
      </x:c>
      <x:c r="H268" t="inlineStr">
        <x:is>
          <x:t xml:space="preserve">6-0, 6-4, 9-7</x:t>
        </x:is>
      </x:c>
      <x:c r="I268" t="n">
        <x:v>6</x:v>
      </x:c>
      <x:c r="J268" t="n">
        <x:v>0</x:v>
      </x:c>
      <x:c r="K268" t="n">
        <x:v>6</x:v>
      </x:c>
      <x:c r="L268" t="n">
        <x:v>4</x:v>
      </x:c>
      <x:c r="M268" t="n">
        <x:v>9</x:v>
      </x:c>
      <x:c r="N268" t="n">
        <x:v>7</x:v>
      </x:c>
      <x:c r="S268" t="inlineStr">
        <x:is>
          <x:t xml:space="preserve">H.F. Lawford</x:t>
        </x:is>
      </x:c>
      <x:c r="T268" t="inlineStr">
        <x:is>
          <x:t xml:space="preserve">GBR</x:t>
        </x:is>
      </x:c>
      <x:c r="U268" t="inlineStr">
        <x:is>
          <x:t xml:space="preserve">United Kingdom</x:t>
        </x:is>
      </x:c>
      <x:c r="W268" t="n">
        <x:v>3</x:v>
      </x:c>
      <x:c r="X268" t="n">
        <x:v>32</x:v>
      </x:c>
      <x:c r="Y268" t="inlineStr">
        <x:is>
          <x:t xml:space="preserve">Completed</x:t>
        </x:is>
      </x:c>
      <x:c r="Z268" t="inlineStr">
        <x:is>
          <x:t xml:space="preserve">Recorded</x:t>
        </x:is>
      </x:c>
      <x:c r="AA268" t="n">
        <x:v>7</x:v>
      </x:c>
      <x:c r="AB268" t="inlineStr">
        <x:is>
          <x:t xml:space="preserve">Yes</x:t>
        </x:is>
      </x:c>
      <x:c r="AC268" t="inlineStr">
        <x:is>
          <x:t xml:space="preserve">1880s</x:t>
        </x:is>
      </x:c>
      <x:c r="AD268" t="inlineStr">
        <x:is>
          <x:t xml:space="preserve">Unseeded/unknown</x:t>
        </x:is>
      </x:c>
      <x:c r="AE268" t="inlineStr">
        <x:is>
          <x:t xml:space="preserve">Unseeded/unknown</x:t>
        </x:is>
      </x:c>
    </x:row>
    <x:row r="269">
      <x:c r="A269" t="n">
        <x:v>1883</x:v>
      </x:c>
      <x:c r="B269" t="inlineStr">
        <x:is>
          <x:t xml:space="preserve">Men's</x:t>
        </x:is>
      </x:c>
      <x:c r="C269" t="inlineStr">
        <x:is>
          <x:t xml:space="preserve">W.C. Renshaw</x:t>
        </x:is>
      </x:c>
      <x:c r="D269" t="inlineStr">
        <x:is>
          <x:t xml:space="preserve">GBR</x:t>
        </x:is>
      </x:c>
      <x:c r="E269" t="inlineStr">
        <x:is>
          <x:t xml:space="preserve">United Kingdom</x:t>
        </x:is>
      </x:c>
      <x:c r="G269" t="n">
        <x:v>89</x:v>
      </x:c>
      <x:c r="H269" t="inlineStr">
        <x:is>
          <x:t xml:space="preserve">2-6, 6-3, 6-3, 4-6, 6-3</x:t>
        </x:is>
      </x:c>
      <x:c r="I269" t="n">
        <x:v>2</x:v>
      </x:c>
      <x:c r="J269" t="n">
        <x:v>6</x:v>
      </x:c>
      <x:c r="K269" t="n">
        <x:v>6</x:v>
      </x:c>
      <x:c r="L269" t="n">
        <x:v>3</x:v>
      </x:c>
      <x:c r="M269" t="n">
        <x:v>6</x:v>
      </x:c>
      <x:c r="N269" t="n">
        <x:v>3</x:v>
      </x:c>
      <x:c r="O269" t="n">
        <x:v>4</x:v>
      </x:c>
      <x:c r="P269" t="n">
        <x:v>6</x:v>
      </x:c>
      <x:c r="Q269" t="n">
        <x:v>6</x:v>
      </x:c>
      <x:c r="R269" t="n">
        <x:v>3</x:v>
      </x:c>
      <x:c r="S269" t="inlineStr">
        <x:is>
          <x:t xml:space="preserve">J.E. Renshaw</x:t>
        </x:is>
      </x:c>
      <x:c r="T269" t="inlineStr">
        <x:is>
          <x:t xml:space="preserve">GBR</x:t>
        </x:is>
      </x:c>
      <x:c r="U269" t="inlineStr">
        <x:is>
          <x:t xml:space="preserve">United Kingdom</x:t>
        </x:is>
      </x:c>
      <x:c r="W269" t="n">
        <x:v>5</x:v>
      </x:c>
      <x:c r="X269" t="n">
        <x:v>45</x:v>
      </x:c>
      <x:c r="Y269" t="inlineStr">
        <x:is>
          <x:t xml:space="preserve">Completed</x:t>
        </x:is>
      </x:c>
      <x:c r="Z269" t="inlineStr">
        <x:is>
          <x:t xml:space="preserve">Recorded</x:t>
        </x:is>
      </x:c>
      <x:c r="AA269" t="n">
        <x:v>7</x:v>
      </x:c>
      <x:c r="AB269" t="inlineStr">
        <x:is>
          <x:t xml:space="preserve">Yes</x:t>
        </x:is>
      </x:c>
      <x:c r="AC269" t="inlineStr">
        <x:is>
          <x:t xml:space="preserve">1880s</x:t>
        </x:is>
      </x:c>
      <x:c r="AD269" t="inlineStr">
        <x:is>
          <x:t xml:space="preserve">Unseeded/unknown</x:t>
        </x:is>
      </x:c>
      <x:c r="AE269" t="inlineStr">
        <x:is>
          <x:t xml:space="preserve">Unseeded/unknown</x:t>
        </x:is>
      </x:c>
    </x:row>
    <x:row r="270">
      <x:c r="A270" t="n">
        <x:v>1882</x:v>
      </x:c>
      <x:c r="B270" t="inlineStr">
        <x:is>
          <x:t xml:space="preserve">Men's</x:t>
        </x:is>
      </x:c>
      <x:c r="C270" t="inlineStr">
        <x:is>
          <x:t xml:space="preserve">W.C. Renshaw</x:t>
        </x:is>
      </x:c>
      <x:c r="D270" t="inlineStr">
        <x:is>
          <x:t xml:space="preserve">GBR</x:t>
        </x:is>
      </x:c>
      <x:c r="E270" t="inlineStr">
        <x:is>
          <x:t xml:space="preserve">United Kingdom</x:t>
        </x:is>
      </x:c>
      <x:c r="G270" t="n">
        <x:v>85</x:v>
      </x:c>
      <x:c r="H270" t="inlineStr">
        <x:is>
          <x:t xml:space="preserve">6-1, 2-6, 4-6, 6-2, 6-2</x:t>
        </x:is>
      </x:c>
      <x:c r="I270" t="n">
        <x:v>6</x:v>
      </x:c>
      <x:c r="J270" t="n">
        <x:v>1</x:v>
      </x:c>
      <x:c r="K270" t="n">
        <x:v>2</x:v>
      </x:c>
      <x:c r="L270" t="n">
        <x:v>6</x:v>
      </x:c>
      <x:c r="M270" t="n">
        <x:v>4</x:v>
      </x:c>
      <x:c r="N270" t="n">
        <x:v>6</x:v>
      </x:c>
      <x:c r="O270" t="n">
        <x:v>6</x:v>
      </x:c>
      <x:c r="P270" t="n">
        <x:v>2</x:v>
      </x:c>
      <x:c r="Q270" t="n">
        <x:v>6</x:v>
      </x:c>
      <x:c r="R270" t="n">
        <x:v>2</x:v>
      </x:c>
      <x:c r="S270" t="inlineStr">
        <x:is>
          <x:t xml:space="preserve">J.E. Renshaw</x:t>
        </x:is>
      </x:c>
      <x:c r="T270" t="inlineStr">
        <x:is>
          <x:t xml:space="preserve">GBR</x:t>
        </x:is>
      </x:c>
      <x:c r="U270" t="inlineStr">
        <x:is>
          <x:t xml:space="preserve">United Kingdom</x:t>
        </x:is>
      </x:c>
      <x:c r="W270" t="n">
        <x:v>5</x:v>
      </x:c>
      <x:c r="X270" t="n">
        <x:v>41</x:v>
      </x:c>
      <x:c r="Y270" t="inlineStr">
        <x:is>
          <x:t xml:space="preserve">Completed</x:t>
        </x:is>
      </x:c>
      <x:c r="Z270" t="inlineStr">
        <x:is>
          <x:t xml:space="preserve">Recorded</x:t>
        </x:is>
      </x:c>
      <x:c r="AA270" t="n">
        <x:v>7</x:v>
      </x:c>
      <x:c r="AB270" t="inlineStr">
        <x:is>
          <x:t xml:space="preserve">Yes</x:t>
        </x:is>
      </x:c>
      <x:c r="AC270" t="inlineStr">
        <x:is>
          <x:t xml:space="preserve">1880s</x:t>
        </x:is>
      </x:c>
      <x:c r="AD270" t="inlineStr">
        <x:is>
          <x:t xml:space="preserve">Unseeded/unknown</x:t>
        </x:is>
      </x:c>
      <x:c r="AE270" t="inlineStr">
        <x:is>
          <x:t xml:space="preserve">Unseeded/unknown</x:t>
        </x:is>
      </x:c>
    </x:row>
    <x:row r="271">
      <x:c r="A271" t="n">
        <x:v>1881</x:v>
      </x:c>
      <x:c r="B271" t="inlineStr">
        <x:is>
          <x:t xml:space="preserve">Men's</x:t>
        </x:is>
      </x:c>
      <x:c r="C271" t="inlineStr">
        <x:is>
          <x:t xml:space="preserve">W.C. Renshaw</x:t>
        </x:is>
      </x:c>
      <x:c r="D271" t="inlineStr">
        <x:is>
          <x:t xml:space="preserve">GBR</x:t>
        </x:is>
      </x:c>
      <x:c r="E271" t="inlineStr">
        <x:is>
          <x:t xml:space="preserve">United Kingdom</x:t>
        </x:is>
      </x:c>
      <x:c r="G271" t="n">
        <x:v>37</x:v>
      </x:c>
      <x:c r="H271" t="inlineStr">
        <x:is>
          <x:t xml:space="preserve">6-0, 6-1, 6-1</x:t>
        </x:is>
      </x:c>
      <x:c r="I271" t="n">
        <x:v>6</x:v>
      </x:c>
      <x:c r="J271" t="n">
        <x:v>0</x:v>
      </x:c>
      <x:c r="K271" t="n">
        <x:v>6</x:v>
      </x:c>
      <x:c r="L271" t="n">
        <x:v>1</x:v>
      </x:c>
      <x:c r="M271" t="n">
        <x:v>6</x:v>
      </x:c>
      <x:c r="N271" t="n">
        <x:v>1</x:v>
      </x:c>
      <x:c r="S271" t="inlineStr">
        <x:is>
          <x:t xml:space="preserve">J.T. Hartley</x:t>
        </x:is>
      </x:c>
      <x:c r="T271" t="inlineStr">
        <x:is>
          <x:t xml:space="preserve">GBR</x:t>
        </x:is>
      </x:c>
      <x:c r="U271" t="inlineStr">
        <x:is>
          <x:t xml:space="preserve">United Kingdom</x:t>
        </x:is>
      </x:c>
      <x:c r="W271" t="n">
        <x:v>3</x:v>
      </x:c>
      <x:c r="X271" t="n">
        <x:v>20</x:v>
      </x:c>
      <x:c r="Y271" t="inlineStr">
        <x:is>
          <x:t xml:space="preserve">Completed</x:t>
        </x:is>
      </x:c>
      <x:c r="Z271" t="inlineStr">
        <x:is>
          <x:t xml:space="preserve">Recorded</x:t>
        </x:is>
      </x:c>
      <x:c r="AA271" t="n">
        <x:v>7</x:v>
      </x:c>
      <x:c r="AB271" t="inlineStr">
        <x:is>
          <x:t xml:space="preserve">Yes</x:t>
        </x:is>
      </x:c>
      <x:c r="AC271" t="inlineStr">
        <x:is>
          <x:t xml:space="preserve">1880s</x:t>
        </x:is>
      </x:c>
      <x:c r="AD271" t="inlineStr">
        <x:is>
          <x:t xml:space="preserve">Unseeded/unknown</x:t>
        </x:is>
      </x:c>
      <x:c r="AE271" t="inlineStr">
        <x:is>
          <x:t xml:space="preserve">Unseeded/unknown</x:t>
        </x:is>
      </x:c>
    </x:row>
    <x:row r="272">
      <x:c r="A272" t="n">
        <x:v>1880</x:v>
      </x:c>
      <x:c r="B272" t="inlineStr">
        <x:is>
          <x:t xml:space="preserve">Men's</x:t>
        </x:is>
      </x:c>
      <x:c r="C272" t="inlineStr">
        <x:is>
          <x:t xml:space="preserve">J.T. Hartley</x:t>
        </x:is>
      </x:c>
      <x:c r="D272" t="inlineStr">
        <x:is>
          <x:t xml:space="preserve">GBR</x:t>
        </x:is>
      </x:c>
      <x:c r="E272" t="inlineStr">
        <x:is>
          <x:t xml:space="preserve">United Kingdom</x:t>
        </x:is>
      </x:c>
      <x:c r="G272" s="35" t="n"/>
      <x:c r="H272" t="inlineStr">
        <x:is>
          <x:t xml:space="preserve">6-3, 6-2, 2-6, 6-3</x:t>
        </x:is>
      </x:c>
      <x:c r="I272" t="n">
        <x:v>6</x:v>
      </x:c>
      <x:c r="J272" t="n">
        <x:v>3</x:v>
      </x:c>
      <x:c r="K272" t="n">
        <x:v>6</x:v>
      </x:c>
      <x:c r="L272" t="n">
        <x:v>2</x:v>
      </x:c>
      <x:c r="M272" t="n">
        <x:v>2</x:v>
      </x:c>
      <x:c r="N272" t="n">
        <x:v>6</x:v>
      </x:c>
      <x:c r="O272" t="n">
        <x:v>6</x:v>
      </x:c>
      <x:c r="P272" t="n">
        <x:v>3</x:v>
      </x:c>
      <x:c r="S272" t="inlineStr">
        <x:is>
          <x:t xml:space="preserve">H.F. Lawford</x:t>
        </x:is>
      </x:c>
      <x:c r="T272" t="inlineStr">
        <x:is>
          <x:t xml:space="preserve">GBR</x:t>
        </x:is>
      </x:c>
      <x:c r="U272" t="inlineStr">
        <x:is>
          <x:t xml:space="preserve">United Kingdom</x:t>
        </x:is>
      </x:c>
      <x:c r="W272" t="n">
        <x:v>4</x:v>
      </x:c>
      <x:c r="X272" t="n">
        <x:v>34</x:v>
      </x:c>
      <x:c r="Y272" t="inlineStr">
        <x:is>
          <x:t xml:space="preserve">Completed</x:t>
        </x:is>
      </x:c>
      <x:c r="Z272" t="inlineStr">
        <x:is>
          <x:t xml:space="preserve">Unavailable (not imputed)</x:t>
        </x:is>
      </x:c>
      <x:c r="AA272" t="n">
        <x:v>2</x:v>
      </x:c>
      <x:c r="AB272" t="inlineStr">
        <x:is>
          <x:t xml:space="preserve">No</x:t>
        </x:is>
      </x:c>
      <x:c r="AC272" t="inlineStr">
        <x:is>
          <x:t xml:space="preserve">1880s</x:t>
        </x:is>
      </x:c>
      <x:c r="AD272" t="inlineStr">
        <x:is>
          <x:t xml:space="preserve">Unseeded/unknown</x:t>
        </x:is>
      </x:c>
      <x:c r="AE272" t="inlineStr">
        <x:is>
          <x:t xml:space="preserve">Unseeded/unknown</x:t>
        </x:is>
      </x:c>
    </x:row>
    <x:row r="273">
      <x:c r="A273" t="n">
        <x:v>1879</x:v>
      </x:c>
      <x:c r="B273" t="inlineStr">
        <x:is>
          <x:t xml:space="preserve">Men's</x:t>
        </x:is>
      </x:c>
      <x:c r="C273" t="inlineStr">
        <x:is>
          <x:t xml:space="preserve">J.T. Hartley</x:t>
        </x:is>
      </x:c>
      <x:c r="D273" t="inlineStr">
        <x:is>
          <x:t xml:space="preserve">GBR</x:t>
        </x:is>
      </x:c>
      <x:c r="E273" t="inlineStr">
        <x:is>
          <x:t xml:space="preserve">United Kingdom</x:t>
        </x:is>
      </x:c>
      <x:c r="G273" s="35" t="n"/>
      <x:c r="H273" t="inlineStr">
        <x:is>
          <x:t xml:space="preserve">6-2, 6-4, 6-2</x:t>
        </x:is>
      </x:c>
      <x:c r="I273" t="n">
        <x:v>6</x:v>
      </x:c>
      <x:c r="J273" t="n">
        <x:v>2</x:v>
      </x:c>
      <x:c r="K273" t="n">
        <x:v>6</x:v>
      </x:c>
      <x:c r="L273" t="n">
        <x:v>4</x:v>
      </x:c>
      <x:c r="M273" t="n">
        <x:v>6</x:v>
      </x:c>
      <x:c r="N273" t="n">
        <x:v>2</x:v>
      </x:c>
      <x:c r="S273" t="inlineStr">
        <x:is>
          <x:t xml:space="preserve">V.T.St.L. Goold</x:t>
        </x:is>
      </x:c>
      <x:c r="T273" t="inlineStr">
        <x:is>
          <x:t xml:space="preserve">GBR</x:t>
        </x:is>
      </x:c>
      <x:c r="U273" t="inlineStr">
        <x:is>
          <x:t xml:space="preserve">United Kingdom</x:t>
        </x:is>
      </x:c>
      <x:c r="W273" t="n">
        <x:v>3</x:v>
      </x:c>
      <x:c r="X273" t="n">
        <x:v>26</x:v>
      </x:c>
      <x:c r="Y273" t="inlineStr">
        <x:is>
          <x:t xml:space="preserve">Completed</x:t>
        </x:is>
      </x:c>
      <x:c r="Z273" t="inlineStr">
        <x:is>
          <x:t xml:space="preserve">Unavailable (not imputed)</x:t>
        </x:is>
      </x:c>
      <x:c r="AA273" t="n">
        <x:v>2</x:v>
      </x:c>
      <x:c r="AB273" t="inlineStr">
        <x:is>
          <x:t xml:space="preserve">No</x:t>
        </x:is>
      </x:c>
      <x:c r="AC273" t="inlineStr">
        <x:is>
          <x:t xml:space="preserve">1870s</x:t>
        </x:is>
      </x:c>
      <x:c r="AD273" t="inlineStr">
        <x:is>
          <x:t xml:space="preserve">Unseeded/unknown</x:t>
        </x:is>
      </x:c>
      <x:c r="AE273" t="inlineStr">
        <x:is>
          <x:t xml:space="preserve">Unseeded/unknown</x:t>
        </x:is>
      </x:c>
    </x:row>
    <x:row r="274">
      <x:c r="A274" t="n">
        <x:v>1878</x:v>
      </x:c>
      <x:c r="B274" t="inlineStr">
        <x:is>
          <x:t xml:space="preserve">Men's</x:t>
        </x:is>
      </x:c>
      <x:c r="C274" t="inlineStr">
        <x:is>
          <x:t xml:space="preserve">P.F. Hadow</x:t>
        </x:is>
      </x:c>
      <x:c r="D274" t="inlineStr">
        <x:is>
          <x:t xml:space="preserve">GBR</x:t>
        </x:is>
      </x:c>
      <x:c r="E274" t="inlineStr">
        <x:is>
          <x:t xml:space="preserve">United Kingdom</x:t>
        </x:is>
      </x:c>
      <x:c r="G274" s="35" t="n"/>
      <x:c r="H274" t="inlineStr">
        <x:is>
          <x:t xml:space="preserve">7-5, 6-1, 9-7</x:t>
        </x:is>
      </x:c>
      <x:c r="I274" t="n">
        <x:v>7</x:v>
      </x:c>
      <x:c r="J274" t="n">
        <x:v>5</x:v>
      </x:c>
      <x:c r="K274" t="n">
        <x:v>6</x:v>
      </x:c>
      <x:c r="L274" t="n">
        <x:v>1</x:v>
      </x:c>
      <x:c r="M274" t="n">
        <x:v>9</x:v>
      </x:c>
      <x:c r="N274" t="n">
        <x:v>7</x:v>
      </x:c>
      <x:c r="S274" t="inlineStr">
        <x:is>
          <x:t xml:space="preserve">S.W. Gore</x:t>
        </x:is>
      </x:c>
      <x:c r="T274" t="inlineStr">
        <x:is>
          <x:t xml:space="preserve">GBR</x:t>
        </x:is>
      </x:c>
      <x:c r="U274" t="inlineStr">
        <x:is>
          <x:t xml:space="preserve">United Kingdom</x:t>
        </x:is>
      </x:c>
      <x:c r="W274" t="n">
        <x:v>3</x:v>
      </x:c>
      <x:c r="X274" t="n">
        <x:v>35</x:v>
      </x:c>
      <x:c r="Y274" t="inlineStr">
        <x:is>
          <x:t xml:space="preserve">Completed</x:t>
        </x:is>
      </x:c>
      <x:c r="Z274" t="inlineStr">
        <x:is>
          <x:t xml:space="preserve">Unavailable (not imputed)</x:t>
        </x:is>
      </x:c>
      <x:c r="AA274" t="n">
        <x:v>1</x:v>
      </x:c>
      <x:c r="AB274" t="inlineStr">
        <x:is>
          <x:t xml:space="preserve">No</x:t>
        </x:is>
      </x:c>
      <x:c r="AC274" t="inlineStr">
        <x:is>
          <x:t xml:space="preserve">1870s</x:t>
        </x:is>
      </x:c>
      <x:c r="AD274" t="inlineStr">
        <x:is>
          <x:t xml:space="preserve">Unseeded/unknown</x:t>
        </x:is>
      </x:c>
      <x:c r="AE274" t="inlineStr">
        <x:is>
          <x:t xml:space="preserve">Unseeded/unknown</x:t>
        </x:is>
      </x:c>
    </x:row>
    <x:row r="275">
      <x:c r="A275" t="n">
        <x:v>1877</x:v>
      </x:c>
      <x:c r="B275" t="inlineStr">
        <x:is>
          <x:t xml:space="preserve">Men's</x:t>
        </x:is>
      </x:c>
      <x:c r="C275" t="inlineStr">
        <x:is>
          <x:t xml:space="preserve">S.W. Gore</x:t>
        </x:is>
      </x:c>
      <x:c r="D275" t="inlineStr">
        <x:is>
          <x:t xml:space="preserve">GBR</x:t>
        </x:is>
      </x:c>
      <x:c r="E275" t="inlineStr">
        <x:is>
          <x:t xml:space="preserve">United Kingdom</x:t>
        </x:is>
      </x:c>
      <x:c r="G275" t="n">
        <x:v>48</x:v>
      </x:c>
      <x:c r="H275" t="inlineStr">
        <x:is>
          <x:t xml:space="preserve">6-1, 6-2, 6-4</x:t>
        </x:is>
      </x:c>
      <x:c r="I275" t="n">
        <x:v>6</x:v>
      </x:c>
      <x:c r="J275" t="n">
        <x:v>1</x:v>
      </x:c>
      <x:c r="K275" t="n">
        <x:v>6</x:v>
      </x:c>
      <x:c r="L275" t="n">
        <x:v>2</x:v>
      </x:c>
      <x:c r="M275" t="n">
        <x:v>6</x:v>
      </x:c>
      <x:c r="N275" t="n">
        <x:v>4</x:v>
      </x:c>
      <x:c r="S275" t="inlineStr">
        <x:is>
          <x:t xml:space="preserve">W.C. Marshall</x:t>
        </x:is>
      </x:c>
      <x:c r="T275" t="inlineStr">
        <x:is>
          <x:t xml:space="preserve">GBR</x:t>
        </x:is>
      </x:c>
      <x:c r="U275" t="inlineStr">
        <x:is>
          <x:t xml:space="preserve">United Kingdom</x:t>
        </x:is>
      </x:c>
      <x:c r="W275" t="n">
        <x:v>3</x:v>
      </x:c>
      <x:c r="X275" t="n">
        <x:v>25</x:v>
      </x:c>
      <x:c r="Y275" t="inlineStr">
        <x:is>
          <x:t xml:space="preserve">Completed</x:t>
        </x:is>
      </x:c>
      <x:c r="Z275" t="inlineStr">
        <x:is>
          <x:t xml:space="preserve">Recorded</x:t>
        </x:is>
      </x:c>
      <x:c r="AA275" t="n">
        <x:v>1</x:v>
      </x:c>
      <x:c r="AB275" t="inlineStr">
        <x:is>
          <x:t xml:space="preserve">No</x:t>
        </x:is>
      </x:c>
      <x:c r="AC275" t="inlineStr">
        <x:is>
          <x:t xml:space="preserve">1870s</x:t>
        </x:is>
      </x:c>
      <x:c r="AD275" t="inlineStr">
        <x:is>
          <x:t xml:space="preserve">Unseeded/unknown</x:t>
        </x:is>
      </x:c>
      <x:c r="AE275" t="inlineStr">
        <x:is>
          <x:t xml:space="preserve">Unseeded/unknown</x:t>
        </x:is>
      </x:c>
    </x:row>
  </x:sheetData>
  <x:mergeCells>
    <x:mergeCell ref="A1:AE1"/>
    <x:mergeCell ref="A2:AE2"/>
  </x:mergeCells>
  <x:pageMargins left="0.7" right="0.7" top="0.75" bottom="0.75" header="0.3" footer="0.3"/>
  <x:tableParts count="1">
    <x:tablePart xmlns:r="http://schemas.openxmlformats.org/officeDocument/2006/relationships" r:id="R3cb5b193844948b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0" customWidth="1"/>
    <x:col min="2" max="2" width="12" customWidth="1"/>
    <x:col min="3" max="3" width="23" customWidth="1"/>
    <x:col min="4" max="4" width="23" customWidth="1"/>
    <x:col min="5" max="5" width="30" customWidth="1"/>
    <x:col min="6" max="6" width="16" customWidth="1"/>
    <x:col min="7" max="7" width="12" customWidth="1"/>
    <x:col min="8" max="8" width="12" customWidth="1"/>
    <x:col min="9" max="9" width="35" customWidth="1"/>
    <x:col min="10" max="10" width="62" customWidth="1"/>
    <x:col min="11" max="11" width="54" customWidth="1"/>
  </x:cols>
  <x:sheetData>
    <x:row r="1" ht="28" customHeight="1">
      <x:c r="A1" s="32" t="inlineStr">
        <x:is>
          <x:t xml:space="preserve">Missing Match Duration Research Log</x:t>
        </x:is>
      </x:c>
    </x:row>
    <x:row r="2" ht="32" customHeight="1">
      <x:c r="A2" s="33" t="inlineStr">
        <x:is>
          <x:t xml:space="preserve">Only an exact, full-match duration from a credible source may be entered. The rows below remain blank because no verified complete duration was available in the reviewed historical material; no score-based estimate was used.</x:t>
        </x:is>
      </x:c>
    </x:row>
    <x:row r="4">
      <x:c r="A4" s="34" t="inlineStr">
        <x:is>
          <x:t xml:space="preserve">Year</x:t>
        </x:is>
      </x:c>
      <x:c r="B4" s="34" t="inlineStr">
        <x:is>
          <x:t xml:space="preserve">Gender</x:t>
        </x:is>
      </x:c>
      <x:c r="C4" s="34" t="inlineStr">
        <x:is>
          <x:t xml:space="preserve">Champion</x:t>
        </x:is>
      </x:c>
      <x:c r="D4" s="34" t="inlineStr">
        <x:is>
          <x:t xml:space="preserve">Runner-up</x:t>
        </x:is>
      </x:c>
      <x:c r="E4" s="34" t="inlineStr">
        <x:is>
          <x:t xml:space="preserve">Score</x:t>
        </x:is>
      </x:c>
      <x:c r="F4" s="34" t="inlineStr">
        <x:is>
          <x:t xml:space="preserve">Match Status</x:t>
        </x:is>
      </x:c>
      <x:c r="G4" s="34" t="inlineStr">
        <x:is>
          <x:t xml:space="preserve">Mins Before</x:t>
        </x:is>
      </x:c>
      <x:c r="H4" s="34" t="inlineStr">
        <x:is>
          <x:t xml:space="preserve">Mins After</x:t>
        </x:is>
      </x:c>
      <x:c r="I4" s="34" t="inlineStr">
        <x:is>
          <x:t xml:space="preserve">Outcome</x:t>
        </x:is>
      </x:c>
      <x:c r="J4" s="34" t="inlineStr">
        <x:is>
          <x:t xml:space="preserve">Research Note</x:t>
        </x:is>
      </x:c>
      <x:c r="K4" s="34" t="inlineStr">
        <x:is>
          <x:t xml:space="preserve">Source Reviewed</x:t>
        </x:is>
      </x:c>
    </x:row>
    <x:row r="5">
      <x:c r="A5" t="n">
        <x:v>1947</x:v>
      </x:c>
      <x:c r="B5" t="inlineStr">
        <x:is>
          <x:t xml:space="preserve">Women's</x:t>
        </x:is>
      </x:c>
      <x:c r="C5" t="inlineStr">
        <x:is>
          <x:t xml:space="preserve">M.E. Osborne</x:t>
        </x:is>
      </x:c>
      <x:c r="D5" t="inlineStr">
        <x:is>
          <x:t xml:space="preserve">D.J. Hart</x:t>
        </x:is>
      </x:c>
      <x:c r="E5" t="inlineStr">
        <x:is>
          <x:t xml:space="preserve">6-2, 6-4,</x:t>
        </x:is>
      </x:c>
      <x:c r="F5" t="inlineStr">
        <x:is>
          <x:t xml:space="preserve">Completed</x:t>
        </x:is>
      </x:c>
      <x:c r="I5" s="35" t="inlineStr">
        <x:is>
          <x:t xml:space="preserve">Left blank - no verified full-match duration</x:t>
        </x:is>
      </x:c>
      <x:c r="J5" s="36" t="inlineStr">
        <x:is>
          <x:t xml:space="preserve">Historical result/score located, but not a verified total match duration. Partial-duration anecdotes are not used.</x:t>
        </x:is>
      </x:c>
      <x:c r="K5" t="inlineStr">
        <x:is>
          <x:t xml:space="preserve">https://www.wimbledon.com/pdf/Wimbledon_Compendium_2021v3.pdf</x:t>
        </x:is>
      </x:c>
    </x:row>
    <x:row r="6">
      <x:c r="A6" t="n">
        <x:v>1946</x:v>
      </x:c>
      <x:c r="B6" t="inlineStr">
        <x:is>
          <x:t xml:space="preserve">Women's</x:t>
        </x:is>
      </x:c>
      <x:c r="C6" t="inlineStr">
        <x:is>
          <x:t xml:space="preserve">P.M. Betz</x:t>
        </x:is>
      </x:c>
      <x:c r="D6" t="inlineStr">
        <x:is>
          <x:t xml:space="preserve">A.L. Brough</x:t>
        </x:is>
      </x:c>
      <x:c r="E6" t="inlineStr">
        <x:is>
          <x:t xml:space="preserve">6-2, 6-4,</x:t>
        </x:is>
      </x:c>
      <x:c r="F6" t="inlineStr">
        <x:is>
          <x:t xml:space="preserve">Completed</x:t>
        </x:is>
      </x:c>
      <x:c r="I6" s="35" t="inlineStr">
        <x:is>
          <x:t xml:space="preserve">Left blank - no verified full-match duration</x:t>
        </x:is>
      </x:c>
      <x:c r="J6" s="36" t="inlineStr">
        <x:is>
          <x:t xml:space="preserve">Historical result/score located, but not a verified total match duration. Partial-duration anecdotes are not used.</x:t>
        </x:is>
      </x:c>
      <x:c r="K6" t="inlineStr">
        <x:is>
          <x:t xml:space="preserve">https://www.wimbledon.com/pdf/Wimbledon_Compendium_2021v3.pdf</x:t>
        </x:is>
      </x:c>
    </x:row>
    <x:row r="7">
      <x:c r="A7" t="n">
        <x:v>1946</x:v>
      </x:c>
      <x:c r="B7" t="inlineStr">
        <x:is>
          <x:t xml:space="preserve">Men's</x:t>
        </x:is>
      </x:c>
      <x:c r="C7" t="inlineStr">
        <x:is>
          <x:t xml:space="preserve">Y.F.M. Petra</x:t>
        </x:is>
      </x:c>
      <x:c r="D7" t="inlineStr">
        <x:is>
          <x:t xml:space="preserve">G.E. Brown</x:t>
        </x:is>
      </x:c>
      <x:c r="E7" t="inlineStr">
        <x:is>
          <x:t xml:space="preserve">6-2, 6-4, 7-9, 5-7, 6-4</x:t>
        </x:is>
      </x:c>
      <x:c r="F7" t="inlineStr">
        <x:is>
          <x:t xml:space="preserve">Completed</x:t>
        </x:is>
      </x:c>
      <x:c r="I7" s="35" t="inlineStr">
        <x:is>
          <x:t xml:space="preserve">Left blank - no verified full-match duration</x:t>
        </x:is>
      </x:c>
      <x:c r="J7" s="36" t="inlineStr">
        <x:is>
          <x:t xml:space="preserve">Historical result/score located, but not a verified total match duration. Partial-duration anecdotes are not used.</x:t>
        </x:is>
      </x:c>
      <x:c r="K7" t="inlineStr">
        <x:is>
          <x:t xml:space="preserve">https://www.wimbledon.com/pdf/Wimbledon_Compendium_2021v3.pdf</x:t>
        </x:is>
      </x:c>
    </x:row>
    <x:row r="8">
      <x:c r="A8" t="n">
        <x:v>1938</x:v>
      </x:c>
      <x:c r="B8" t="inlineStr">
        <x:is>
          <x:t xml:space="preserve">Women's</x:t>
        </x:is>
      </x:c>
      <x:c r="C8" t="inlineStr">
        <x:is>
          <x:t xml:space="preserve">H.W. Moody</x:t>
        </x:is>
      </x:c>
      <x:c r="D8" t="inlineStr">
        <x:is>
          <x:t xml:space="preserve">H.H. Jacobs</x:t>
        </x:is>
      </x:c>
      <x:c r="E8" t="inlineStr">
        <x:is>
          <x:t xml:space="preserve">6-4, 6-0</x:t>
        </x:is>
      </x:c>
      <x:c r="F8" t="inlineStr">
        <x:is>
          <x:t xml:space="preserve">Completed</x:t>
        </x:is>
      </x:c>
      <x:c r="I8" s="35" t="inlineStr">
        <x:is>
          <x:t xml:space="preserve">Left blank - no verified full-match duration</x:t>
        </x:is>
      </x:c>
      <x:c r="J8" s="36" t="inlineStr">
        <x:is>
          <x:t xml:space="preserve">Historical result/score located, but not a verified total match duration. Partial-duration anecdotes are not used.</x:t>
        </x:is>
      </x:c>
      <x:c r="K8" t="inlineStr">
        <x:is>
          <x:t xml:space="preserve">https://www.wimbledon.com/pdf/Wimbledon_Compendium_2021v3.pdf</x:t>
        </x:is>
      </x:c>
    </x:row>
    <x:row r="9">
      <x:c r="A9" t="n">
        <x:v>1934</x:v>
      </x:c>
      <x:c r="B9" t="inlineStr">
        <x:is>
          <x:t xml:space="preserve">Women's</x:t>
        </x:is>
      </x:c>
      <x:c r="C9" t="inlineStr">
        <x:is>
          <x:t xml:space="preserve">D.E. Round</x:t>
        </x:is>
      </x:c>
      <x:c r="D9" t="inlineStr">
        <x:is>
          <x:t xml:space="preserve">H.H. Jacobs</x:t>
        </x:is>
      </x:c>
      <x:c r="E9" t="inlineStr">
        <x:is>
          <x:t xml:space="preserve">6-2, 5-7, 6-3</x:t>
        </x:is>
      </x:c>
      <x:c r="F9" t="inlineStr">
        <x:is>
          <x:t xml:space="preserve">Completed</x:t>
        </x:is>
      </x:c>
      <x:c r="I9" s="35" t="inlineStr">
        <x:is>
          <x:t xml:space="preserve">Left blank - no verified full-match duration</x:t>
        </x:is>
      </x:c>
      <x:c r="J9" s="36" t="inlineStr">
        <x:is>
          <x:t xml:space="preserve">Historical result/score located, but not a verified total match duration. Partial-duration anecdotes are not used.</x:t>
        </x:is>
      </x:c>
      <x:c r="K9" t="inlineStr">
        <x:is>
          <x:t xml:space="preserve">https://www.wimbledon.com/pdf/Wimbledon_Compendium_2021v3.pdf</x:t>
        </x:is>
      </x:c>
    </x:row>
    <x:row r="10">
      <x:c r="A10" t="n">
        <x:v>1931</x:v>
      </x:c>
      <x:c r="B10" t="inlineStr">
        <x:is>
          <x:t xml:space="preserve">Women's</x:t>
        </x:is>
      </x:c>
      <x:c r="C10" t="inlineStr">
        <x:is>
          <x:t xml:space="preserve">C. Aussem</x:t>
        </x:is>
      </x:c>
      <x:c r="D10" t="inlineStr">
        <x:is>
          <x:t xml:space="preserve">H. Krahwinkel</x:t>
        </x:is>
      </x:c>
      <x:c r="E10" t="inlineStr">
        <x:is>
          <x:t xml:space="preserve">6-2, 7-5</x:t>
        </x:is>
      </x:c>
      <x:c r="F10" t="inlineStr">
        <x:is>
          <x:t xml:space="preserve">Completed</x:t>
        </x:is>
      </x:c>
      <x:c r="I10" s="35" t="inlineStr">
        <x:is>
          <x:t xml:space="preserve">Left blank - no verified full-match duration</x:t>
        </x:is>
      </x:c>
      <x:c r="J10" s="36" t="inlineStr">
        <x:is>
          <x:t xml:space="preserve">Historical result/score located, but not a verified total match duration. Partial-duration anecdotes are not used.</x:t>
        </x:is>
      </x:c>
      <x:c r="K10" t="inlineStr">
        <x:is>
          <x:t xml:space="preserve">https://www.wimbledon.com/pdf/Wimbledon_Compendium_2021v3.pdf</x:t>
        </x:is>
      </x:c>
    </x:row>
    <x:row r="11">
      <x:c r="A11" t="n">
        <x:v>1931</x:v>
      </x:c>
      <x:c r="B11" t="inlineStr">
        <x:is>
          <x:t xml:space="preserve">Men's</x:t>
        </x:is>
      </x:c>
      <x:c r="C11" t="inlineStr">
        <x:is>
          <x:t xml:space="preserve">S.B.B. Wood</x:t>
        </x:is>
      </x:c>
      <x:c r="D11" t="inlineStr">
        <x:is>
          <x:t xml:space="preserve">F.X. Shields</x:t>
        </x:is>
      </x:c>
      <x:c r="E11" t="inlineStr">
        <x:is>
          <x:t xml:space="preserve">walk over</x:t>
        </x:is>
      </x:c>
      <x:c r="F11" t="inlineStr">
        <x:is>
          <x:t xml:space="preserve">Walkover</x:t>
        </x:is>
      </x:c>
      <x:c r="I11" s="35" t="inlineStr">
        <x:is>
          <x:t xml:space="preserve">Left blank - no verified full-match duration</x:t>
        </x:is>
      </x:c>
      <x:c r="J11" s="36" t="inlineStr">
        <x:is>
          <x:t xml:space="preserve">Historical result/score located, but not a verified total match duration. Partial-duration anecdotes are not used.</x:t>
        </x:is>
      </x:c>
      <x:c r="K11" t="inlineStr">
        <x:is>
          <x:t xml:space="preserve">https://www.wimbledon.com/pdf/Wimbledon_Compendium_2021v3.pdf</x:t>
        </x:is>
      </x:c>
    </x:row>
    <x:row r="12">
      <x:c r="A12" t="n">
        <x:v>1930</x:v>
      </x:c>
      <x:c r="B12" t="inlineStr">
        <x:is>
          <x:t xml:space="preserve">Women's</x:t>
        </x:is>
      </x:c>
      <x:c r="C12" t="inlineStr">
        <x:is>
          <x:t xml:space="preserve">H.W. Moody</x:t>
        </x:is>
      </x:c>
      <x:c r="D12" t="inlineStr">
        <x:is>
          <x:t xml:space="preserve">E.M. Ryan</x:t>
        </x:is>
      </x:c>
      <x:c r="E12" t="inlineStr">
        <x:is>
          <x:t xml:space="preserve">6-2, 6-2</x:t>
        </x:is>
      </x:c>
      <x:c r="F12" t="inlineStr">
        <x:is>
          <x:t xml:space="preserve">Completed</x:t>
        </x:is>
      </x:c>
      <x:c r="I12" s="35" t="inlineStr">
        <x:is>
          <x:t xml:space="preserve">Left blank - no verified full-match duration</x:t>
        </x:is>
      </x:c>
      <x:c r="J12" s="36" t="inlineStr">
        <x:is>
          <x:t xml:space="preserve">Historical result/score located, but not a verified total match duration. Partial-duration anecdotes are not used.</x:t>
        </x:is>
      </x:c>
      <x:c r="K12" t="inlineStr">
        <x:is>
          <x:t xml:space="preserve">https://www.wimbledon.com/pdf/Wimbledon_Compendium_2021v3.pdf</x:t>
        </x:is>
      </x:c>
    </x:row>
    <x:row r="13">
      <x:c r="A13" t="n">
        <x:v>1929</x:v>
      </x:c>
      <x:c r="B13" t="inlineStr">
        <x:is>
          <x:t xml:space="preserve">Women's</x:t>
        </x:is>
      </x:c>
      <x:c r="C13" t="inlineStr">
        <x:is>
          <x:t xml:space="preserve">H.W. Moody</x:t>
        </x:is>
      </x:c>
      <x:c r="D13" t="inlineStr">
        <x:is>
          <x:t xml:space="preserve">H.H. Jacobs</x:t>
        </x:is>
      </x:c>
      <x:c r="E13" t="inlineStr">
        <x:is>
          <x:t xml:space="preserve">6-1, 6-2</x:t>
        </x:is>
      </x:c>
      <x:c r="F13" t="inlineStr">
        <x:is>
          <x:t xml:space="preserve">Completed</x:t>
        </x:is>
      </x:c>
      <x:c r="I13" s="35" t="inlineStr">
        <x:is>
          <x:t xml:space="preserve">Left blank - no verified full-match duration</x:t>
        </x:is>
      </x:c>
      <x:c r="J13" s="36" t="inlineStr">
        <x:is>
          <x:t xml:space="preserve">Historical result/score located, but not a verified total match duration. Partial-duration anecdotes are not used.</x:t>
        </x:is>
      </x:c>
      <x:c r="K13" t="inlineStr">
        <x:is>
          <x:t xml:space="preserve">https://www.wimbledon.com/pdf/Wimbledon_Compendium_2021v3.pdf</x:t>
        </x:is>
      </x:c>
    </x:row>
    <x:row r="14">
      <x:c r="A14" t="n">
        <x:v>1928</x:v>
      </x:c>
      <x:c r="B14" t="inlineStr">
        <x:is>
          <x:t xml:space="preserve">Women's</x:t>
        </x:is>
      </x:c>
      <x:c r="C14" t="inlineStr">
        <x:is>
          <x:t xml:space="preserve">H.W. Moody</x:t>
        </x:is>
      </x:c>
      <x:c r="D14" t="inlineStr">
        <x:is>
          <x:t xml:space="preserve">E.M. de Alvarez</x:t>
        </x:is>
      </x:c>
      <x:c r="E14" t="inlineStr">
        <x:is>
          <x:t xml:space="preserve">6-2, 6-3</x:t>
        </x:is>
      </x:c>
      <x:c r="F14" t="inlineStr">
        <x:is>
          <x:t xml:space="preserve">Completed</x:t>
        </x:is>
      </x:c>
      <x:c r="I14" s="35" t="inlineStr">
        <x:is>
          <x:t xml:space="preserve">Left blank - no verified full-match duration</x:t>
        </x:is>
      </x:c>
      <x:c r="J14" s="36" t="inlineStr">
        <x:is>
          <x:t xml:space="preserve">Historical result/score located, but not a verified total match duration. Partial-duration anecdotes are not used.</x:t>
        </x:is>
      </x:c>
      <x:c r="K14" t="inlineStr">
        <x:is>
          <x:t xml:space="preserve">https://www.wimbledon.com/pdf/Wimbledon_Compendium_2021v3.pdf</x:t>
        </x:is>
      </x:c>
    </x:row>
    <x:row r="15">
      <x:c r="A15" t="n">
        <x:v>1928</x:v>
      </x:c>
      <x:c r="B15" t="inlineStr">
        <x:is>
          <x:t xml:space="preserve">Men's</x:t>
        </x:is>
      </x:c>
      <x:c r="C15" t="inlineStr">
        <x:is>
          <x:t xml:space="preserve">J.R. Lacoste</x:t>
        </x:is>
      </x:c>
      <x:c r="D15" t="inlineStr">
        <x:is>
          <x:t xml:space="preserve">H.J. Cochet</x:t>
        </x:is>
      </x:c>
      <x:c r="E15" t="inlineStr">
        <x:is>
          <x:t xml:space="preserve">6-1, 4-6, 6-4, 6-2</x:t>
        </x:is>
      </x:c>
      <x:c r="F15" t="inlineStr">
        <x:is>
          <x:t xml:space="preserve">Completed</x:t>
        </x:is>
      </x:c>
      <x:c r="I15" s="35" t="inlineStr">
        <x:is>
          <x:t xml:space="preserve">Left blank - no verified full-match duration</x:t>
        </x:is>
      </x:c>
      <x:c r="J15" s="36" t="inlineStr">
        <x:is>
          <x:t xml:space="preserve">Historical result/score located, but not a verified total match duration. Partial-duration anecdotes are not used.</x:t>
        </x:is>
      </x:c>
      <x:c r="K15" t="inlineStr">
        <x:is>
          <x:t xml:space="preserve">https://www.wimbledon.com/pdf/Wimbledon_Compendium_2021v3.pdf</x:t>
        </x:is>
      </x:c>
    </x:row>
    <x:row r="16">
      <x:c r="A16" t="n">
        <x:v>1927</x:v>
      </x:c>
      <x:c r="B16" t="inlineStr">
        <x:is>
          <x:t xml:space="preserve">Women's</x:t>
        </x:is>
      </x:c>
      <x:c r="C16" t="inlineStr">
        <x:is>
          <x:t xml:space="preserve">H.W. Moody</x:t>
        </x:is>
      </x:c>
      <x:c r="D16" t="inlineStr">
        <x:is>
          <x:t xml:space="preserve">E.M. de Alvarez</x:t>
        </x:is>
      </x:c>
      <x:c r="E16" t="inlineStr">
        <x:is>
          <x:t xml:space="preserve">6-2, 6-4</x:t>
        </x:is>
      </x:c>
      <x:c r="F16" t="inlineStr">
        <x:is>
          <x:t xml:space="preserve">Completed</x:t>
        </x:is>
      </x:c>
      <x:c r="I16" s="35" t="inlineStr">
        <x:is>
          <x:t xml:space="preserve">Left blank - no verified full-match duration</x:t>
        </x:is>
      </x:c>
      <x:c r="J16" s="36" t="inlineStr">
        <x:is>
          <x:t xml:space="preserve">Historical result/score located, but not a verified total match duration. Partial-duration anecdotes are not used.</x:t>
        </x:is>
      </x:c>
      <x:c r="K16" t="inlineStr">
        <x:is>
          <x:t xml:space="preserve">https://www.wimbledon.com/pdf/Wimbledon_Compendium_2021v3.pdf</x:t>
        </x:is>
      </x:c>
    </x:row>
    <x:row r="17">
      <x:c r="A17" t="n">
        <x:v>1927</x:v>
      </x:c>
      <x:c r="B17" t="inlineStr">
        <x:is>
          <x:t xml:space="preserve">Men's</x:t>
        </x:is>
      </x:c>
      <x:c r="C17" t="inlineStr">
        <x:is>
          <x:t xml:space="preserve">H.J. Cochet</x:t>
        </x:is>
      </x:c>
      <x:c r="D17" t="inlineStr">
        <x:is>
          <x:t xml:space="preserve">J.R. Borotra</x:t>
        </x:is>
      </x:c>
      <x:c r="E17" t="inlineStr">
        <x:is>
          <x:t xml:space="preserve">4-6, 4-6, 6-3, 6-4, 7-5</x:t>
        </x:is>
      </x:c>
      <x:c r="F17" t="inlineStr">
        <x:is>
          <x:t xml:space="preserve">Completed</x:t>
        </x:is>
      </x:c>
      <x:c r="I17" s="35" t="inlineStr">
        <x:is>
          <x:t xml:space="preserve">Left blank - no verified full-match duration</x:t>
        </x:is>
      </x:c>
      <x:c r="J17" s="36" t="inlineStr">
        <x:is>
          <x:t xml:space="preserve">Historical result/score located, but not a verified total match duration. Partial-duration anecdotes are not used.</x:t>
        </x:is>
      </x:c>
      <x:c r="K17" t="inlineStr">
        <x:is>
          <x:t xml:space="preserve">https://www.wimbledon.com/pdf/Wimbledon_Compendium_2021v3.pdf</x:t>
        </x:is>
      </x:c>
    </x:row>
    <x:row r="18">
      <x:c r="A18" t="n">
        <x:v>1925</x:v>
      </x:c>
      <x:c r="B18" t="inlineStr">
        <x:is>
          <x:t xml:space="preserve">Men's</x:t>
        </x:is>
      </x:c>
      <x:c r="C18" t="inlineStr">
        <x:is>
          <x:t xml:space="preserve">J.R. Lacoste</x:t>
        </x:is>
      </x:c>
      <x:c r="D18" t="inlineStr">
        <x:is>
          <x:t xml:space="preserve">J.R. Borotra</x:t>
        </x:is>
      </x:c>
      <x:c r="E18" t="inlineStr">
        <x:is>
          <x:t xml:space="preserve">6-3, 6-3, 4-6, 8-6</x:t>
        </x:is>
      </x:c>
      <x:c r="F18" t="inlineStr">
        <x:is>
          <x:t xml:space="preserve">Completed</x:t>
        </x:is>
      </x:c>
      <x:c r="I18" s="35" t="inlineStr">
        <x:is>
          <x:t xml:space="preserve">Left blank - no verified full-match duration</x:t>
        </x:is>
      </x:c>
      <x:c r="J18" s="36" t="inlineStr">
        <x:is>
          <x:t xml:space="preserve">Historical result/score located, but not a verified total match duration. Partial-duration anecdotes are not used.</x:t>
        </x:is>
      </x:c>
      <x:c r="K18" t="inlineStr">
        <x:is>
          <x:t xml:space="preserve">https://www.wimbledon.com/pdf/Wimbledon_Compendium_2021v3.pdf</x:t>
        </x:is>
      </x:c>
    </x:row>
    <x:row r="19">
      <x:c r="A19" t="n">
        <x:v>1923</x:v>
      </x:c>
      <x:c r="B19" t="inlineStr">
        <x:is>
          <x:t xml:space="preserve">Women's</x:t>
        </x:is>
      </x:c>
      <x:c r="C19" t="inlineStr">
        <x:is>
          <x:t xml:space="preserve">S.R.F. Lenglen</x:t>
        </x:is>
      </x:c>
      <x:c r="D19" t="inlineStr">
        <x:is>
          <x:t xml:space="preserve">K. McKane</x:t>
        </x:is>
      </x:c>
      <x:c r="E19" t="inlineStr">
        <x:is>
          <x:t xml:space="preserve">6-2, 6-2</x:t>
        </x:is>
      </x:c>
      <x:c r="F19" t="inlineStr">
        <x:is>
          <x:t xml:space="preserve">Completed</x:t>
        </x:is>
      </x:c>
      <x:c r="I19" s="35" t="inlineStr">
        <x:is>
          <x:t xml:space="preserve">Left blank - no verified full-match duration</x:t>
        </x:is>
      </x:c>
      <x:c r="J19" s="36" t="inlineStr">
        <x:is>
          <x:t xml:space="preserve">Historical result/score located, but not a verified total match duration. Partial-duration anecdotes are not used.</x:t>
        </x:is>
      </x:c>
      <x:c r="K19" t="inlineStr">
        <x:is>
          <x:t xml:space="preserve">https://www.wimbledon.com/pdf/Wimbledon_Compendium_2021v3.pdf</x:t>
        </x:is>
      </x:c>
    </x:row>
    <x:row r="20">
      <x:c r="A20" t="n">
        <x:v>1922</x:v>
      </x:c>
      <x:c r="B20" t="inlineStr">
        <x:is>
          <x:t xml:space="preserve">Men's</x:t>
        </x:is>
      </x:c>
      <x:c r="C20" t="inlineStr">
        <x:is>
          <x:t xml:space="preserve">G.L. Patterson</x:t>
        </x:is>
      </x:c>
      <x:c r="D20" t="inlineStr">
        <x:is>
          <x:t xml:space="preserve">R. Lycett</x:t>
        </x:is>
      </x:c>
      <x:c r="E20" t="inlineStr">
        <x:is>
          <x:t xml:space="preserve">6-3, 6-4, 6-2</x:t>
        </x:is>
      </x:c>
      <x:c r="F20" t="inlineStr">
        <x:is>
          <x:t xml:space="preserve">Completed</x:t>
        </x:is>
      </x:c>
      <x:c r="I20" s="35" t="inlineStr">
        <x:is>
          <x:t xml:space="preserve">Left blank - no verified full-match duration</x:t>
        </x:is>
      </x:c>
      <x:c r="J20" s="36" t="inlineStr">
        <x:is>
          <x:t xml:space="preserve">Historical result/score located, but not a verified total match duration. Partial-duration anecdotes are not used.</x:t>
        </x:is>
      </x:c>
      <x:c r="K20" t="inlineStr">
        <x:is>
          <x:t xml:space="preserve">https://www.wimbledon.com/pdf/Wimbledon_Compendium_2021v3.pdf</x:t>
        </x:is>
      </x:c>
    </x:row>
    <x:row r="21">
      <x:c r="A21" t="n">
        <x:v>1921</x:v>
      </x:c>
      <x:c r="B21" t="inlineStr">
        <x:is>
          <x:t xml:space="preserve">Women's</x:t>
        </x:is>
      </x:c>
      <x:c r="C21" t="inlineStr">
        <x:is>
          <x:t xml:space="preserve">S.R.F. Lenglen</x:t>
        </x:is>
      </x:c>
      <x:c r="D21" t="inlineStr">
        <x:is>
          <x:t xml:space="preserve">E.M. Ryan</x:t>
        </x:is>
      </x:c>
      <x:c r="E21" t="inlineStr">
        <x:is>
          <x:t xml:space="preserve">6-2, 6-0</x:t>
        </x:is>
      </x:c>
      <x:c r="F21" t="inlineStr">
        <x:is>
          <x:t xml:space="preserve">Completed</x:t>
        </x:is>
      </x:c>
      <x:c r="I21" s="35" t="inlineStr">
        <x:is>
          <x:t xml:space="preserve">Left blank - no verified full-match duration</x:t>
        </x:is>
      </x:c>
      <x:c r="J21" s="36" t="inlineStr">
        <x:is>
          <x:t xml:space="preserve">Historical result/score located, but not a verified total match duration. Partial-duration anecdotes are not used.</x:t>
        </x:is>
      </x:c>
      <x:c r="K21" t="inlineStr">
        <x:is>
          <x:t xml:space="preserve">https://www.wimbledon.com/pdf/Wimbledon_Compendium_2021v3.pdf</x:t>
        </x:is>
      </x:c>
    </x:row>
    <x:row r="22">
      <x:c r="A22" t="n">
        <x:v>1921</x:v>
      </x:c>
      <x:c r="B22" t="inlineStr">
        <x:is>
          <x:t xml:space="preserve">Men's</x:t>
        </x:is>
      </x:c>
      <x:c r="C22" t="inlineStr">
        <x:is>
          <x:t xml:space="preserve">W.T. Tilden</x:t>
        </x:is>
      </x:c>
      <x:c r="D22" t="inlineStr">
        <x:is>
          <x:t xml:space="preserve">B.I.C. Norton</x:t>
        </x:is>
      </x:c>
      <x:c r="E22" t="inlineStr">
        <x:is>
          <x:t xml:space="preserve">4-6, 2-6, 6-1, 6-0, 7-5</x:t>
        </x:is>
      </x:c>
      <x:c r="F22" t="inlineStr">
        <x:is>
          <x:t xml:space="preserve">Completed</x:t>
        </x:is>
      </x:c>
      <x:c r="I22" s="35" t="inlineStr">
        <x:is>
          <x:t xml:space="preserve">Left blank - no verified full-match duration</x:t>
        </x:is>
      </x:c>
      <x:c r="J22" s="36" t="inlineStr">
        <x:is>
          <x:t xml:space="preserve">Historical result/score located, but not a verified total match duration. Partial-duration anecdotes are not used.</x:t>
        </x:is>
      </x:c>
      <x:c r="K22" t="inlineStr">
        <x:is>
          <x:t xml:space="preserve">https://www.wimbledon.com/pdf/Wimbledon_Compendium_2021v3.pdf</x:t>
        </x:is>
      </x:c>
    </x:row>
    <x:row r="23">
      <x:c r="A23" t="n">
        <x:v>1920</x:v>
      </x:c>
      <x:c r="B23" t="inlineStr">
        <x:is>
          <x:t xml:space="preserve">Women's</x:t>
        </x:is>
      </x:c>
      <x:c r="C23" t="inlineStr">
        <x:is>
          <x:t xml:space="preserve">S.R.F. Lenglen</x:t>
        </x:is>
      </x:c>
      <x:c r="D23" t="inlineStr">
        <x:is>
          <x:t xml:space="preserve">D.L. Chambers</x:t>
        </x:is>
      </x:c>
      <x:c r="E23" t="inlineStr">
        <x:is>
          <x:t xml:space="preserve">6-3, 6-0</x:t>
        </x:is>
      </x:c>
      <x:c r="F23" t="inlineStr">
        <x:is>
          <x:t xml:space="preserve">Completed</x:t>
        </x:is>
      </x:c>
      <x:c r="I23" s="35" t="inlineStr">
        <x:is>
          <x:t xml:space="preserve">Left blank - no verified full-match duration</x:t>
        </x:is>
      </x:c>
      <x:c r="J23" s="36" t="inlineStr">
        <x:is>
          <x:t xml:space="preserve">Historical result/score located, but not a verified total match duration. Partial-duration anecdotes are not used.</x:t>
        </x:is>
      </x:c>
      <x:c r="K23" t="inlineStr">
        <x:is>
          <x:t xml:space="preserve">https://www.wimbledon.com/pdf/Wimbledon_Compendium_2021v3.pdf</x:t>
        </x:is>
      </x:c>
    </x:row>
    <x:row r="24">
      <x:c r="A24" t="n">
        <x:v>1920</x:v>
      </x:c>
      <x:c r="B24" t="inlineStr">
        <x:is>
          <x:t xml:space="preserve">Men's</x:t>
        </x:is>
      </x:c>
      <x:c r="C24" t="inlineStr">
        <x:is>
          <x:t xml:space="preserve">W.T. Tilden</x:t>
        </x:is>
      </x:c>
      <x:c r="D24" t="inlineStr">
        <x:is>
          <x:t xml:space="preserve">G.L. Patterson</x:t>
        </x:is>
      </x:c>
      <x:c r="E24" t="inlineStr">
        <x:is>
          <x:t xml:space="preserve">2-6, 6-3, 6-2, 6-4</x:t>
        </x:is>
      </x:c>
      <x:c r="F24" t="inlineStr">
        <x:is>
          <x:t xml:space="preserve">Completed</x:t>
        </x:is>
      </x:c>
      <x:c r="I24" s="35" t="inlineStr">
        <x:is>
          <x:t xml:space="preserve">Left blank - no verified full-match duration</x:t>
        </x:is>
      </x:c>
      <x:c r="J24" s="36" t="inlineStr">
        <x:is>
          <x:t xml:space="preserve">Historical result/score located, but not a verified total match duration. Partial-duration anecdotes are not used.</x:t>
        </x:is>
      </x:c>
      <x:c r="K24" t="inlineStr">
        <x:is>
          <x:t xml:space="preserve">https://www.wimbledon.com/pdf/Wimbledon_Compendium_2021v3.pdf</x:t>
        </x:is>
      </x:c>
    </x:row>
    <x:row r="25">
      <x:c r="A25" t="n">
        <x:v>1919</x:v>
      </x:c>
      <x:c r="B25" t="inlineStr">
        <x:is>
          <x:t xml:space="preserve">Men's</x:t>
        </x:is>
      </x:c>
      <x:c r="C25" t="inlineStr">
        <x:is>
          <x:t xml:space="preserve">G.L. Patterson</x:t>
        </x:is>
      </x:c>
      <x:c r="D25" t="inlineStr">
        <x:is>
          <x:t xml:space="preserve">N.E. Brookes</x:t>
        </x:is>
      </x:c>
      <x:c r="E25" t="inlineStr">
        <x:is>
          <x:t xml:space="preserve">6-3, 7-5, 6-2</x:t>
        </x:is>
      </x:c>
      <x:c r="F25" t="inlineStr">
        <x:is>
          <x:t xml:space="preserve">Completed</x:t>
        </x:is>
      </x:c>
      <x:c r="I25" s="35" t="inlineStr">
        <x:is>
          <x:t xml:space="preserve">Left blank - no verified full-match duration</x:t>
        </x:is>
      </x:c>
      <x:c r="J25" s="36" t="inlineStr">
        <x:is>
          <x:t xml:space="preserve">Historical result/score located, but not a verified total match duration. Partial-duration anecdotes are not used.</x:t>
        </x:is>
      </x:c>
      <x:c r="K25" t="inlineStr">
        <x:is>
          <x:t xml:space="preserve">https://www.wimbledon.com/pdf/Wimbledon_Compendium_2021v3.pdf</x:t>
        </x:is>
      </x:c>
    </x:row>
    <x:row r="26">
      <x:c r="A26" t="n">
        <x:v>1914</x:v>
      </x:c>
      <x:c r="B26" t="inlineStr">
        <x:is>
          <x:t xml:space="preserve">Women's</x:t>
        </x:is>
      </x:c>
      <x:c r="C26" t="inlineStr">
        <x:is>
          <x:t xml:space="preserve">D.L. Chambers</x:t>
        </x:is>
      </x:c>
      <x:c r="D26" t="inlineStr">
        <x:is>
          <x:t xml:space="preserve">D.T.R. Larcombe</x:t>
        </x:is>
      </x:c>
      <x:c r="E26" t="inlineStr">
        <x:is>
          <x:t xml:space="preserve">7-5, 6-4</x:t>
        </x:is>
      </x:c>
      <x:c r="F26" t="inlineStr">
        <x:is>
          <x:t xml:space="preserve">Completed</x:t>
        </x:is>
      </x:c>
      <x:c r="I26" s="35" t="inlineStr">
        <x:is>
          <x:t xml:space="preserve">Left blank - no verified full-match duration</x:t>
        </x:is>
      </x:c>
      <x:c r="J26" s="36" t="inlineStr">
        <x:is>
          <x:t xml:space="preserve">Historical result/score located, but not a verified total match duration. Partial-duration anecdotes are not used.</x:t>
        </x:is>
      </x:c>
      <x:c r="K26" t="inlineStr">
        <x:is>
          <x:t xml:space="preserve">https://www.wimbledon.com/pdf/Wimbledon_Compendium_2021v3.pdf</x:t>
        </x:is>
      </x:c>
    </x:row>
    <x:row r="27">
      <x:c r="A27" t="n">
        <x:v>1914</x:v>
      </x:c>
      <x:c r="B27" t="inlineStr">
        <x:is>
          <x:t xml:space="preserve">Men's</x:t>
        </x:is>
      </x:c>
      <x:c r="C27" t="inlineStr">
        <x:is>
          <x:t xml:space="preserve">N.E. Brookes</x:t>
        </x:is>
      </x:c>
      <x:c r="D27" t="inlineStr">
        <x:is>
          <x:t xml:space="preserve">A.F. Wilding</x:t>
        </x:is>
      </x:c>
      <x:c r="E27" t="inlineStr">
        <x:is>
          <x:t xml:space="preserve">6-4, 6-4, 7-5</x:t>
        </x:is>
      </x:c>
      <x:c r="F27" t="inlineStr">
        <x:is>
          <x:t xml:space="preserve">Completed</x:t>
        </x:is>
      </x:c>
      <x:c r="I27" s="35" t="inlineStr">
        <x:is>
          <x:t xml:space="preserve">Left blank - no verified full-match duration</x:t>
        </x:is>
      </x:c>
      <x:c r="J27" s="36" t="inlineStr">
        <x:is>
          <x:t xml:space="preserve">Historical result/score located, but not a verified total match duration. Partial-duration anecdotes are not used.</x:t>
        </x:is>
      </x:c>
      <x:c r="K27" t="inlineStr">
        <x:is>
          <x:t xml:space="preserve">https://www.wimbledon.com/pdf/Wimbledon_Compendium_2021v3.pdf</x:t>
        </x:is>
      </x:c>
    </x:row>
    <x:row r="28">
      <x:c r="A28" t="n">
        <x:v>1913</x:v>
      </x:c>
      <x:c r="B28" t="inlineStr">
        <x:is>
          <x:t xml:space="preserve">Women's</x:t>
        </x:is>
      </x:c>
      <x:c r="C28" t="inlineStr">
        <x:is>
          <x:t xml:space="preserve">D.L. Chambers</x:t>
        </x:is>
      </x:c>
      <x:c r="D28" t="inlineStr">
        <x:is>
          <x:t xml:space="preserve">R.J. McNair</x:t>
        </x:is>
      </x:c>
      <x:c r="E28" t="inlineStr">
        <x:is>
          <x:t xml:space="preserve">6-0, 6-4</x:t>
        </x:is>
      </x:c>
      <x:c r="F28" t="inlineStr">
        <x:is>
          <x:t xml:space="preserve">Completed</x:t>
        </x:is>
      </x:c>
      <x:c r="I28" s="35" t="inlineStr">
        <x:is>
          <x:t xml:space="preserve">Left blank - no verified full-match duration</x:t>
        </x:is>
      </x:c>
      <x:c r="J28" s="36" t="inlineStr">
        <x:is>
          <x:t xml:space="preserve">Historical result/score located, but not a verified total match duration. Partial-duration anecdotes are not used.</x:t>
        </x:is>
      </x:c>
      <x:c r="K28" t="inlineStr">
        <x:is>
          <x:t xml:space="preserve">https://www.wimbledon.com/pdf/Wimbledon_Compendium_2021v3.pdf</x:t>
        </x:is>
      </x:c>
    </x:row>
    <x:row r="29">
      <x:c r="A29" t="n">
        <x:v>1913</x:v>
      </x:c>
      <x:c r="B29" t="inlineStr">
        <x:is>
          <x:t xml:space="preserve">Men's</x:t>
        </x:is>
      </x:c>
      <x:c r="C29" t="inlineStr">
        <x:is>
          <x:t xml:space="preserve">A.F. Wilding</x:t>
        </x:is>
      </x:c>
      <x:c r="D29" t="inlineStr">
        <x:is>
          <x:t xml:space="preserve">M.E. McLoughlin</x:t>
        </x:is>
      </x:c>
      <x:c r="E29" t="inlineStr">
        <x:is>
          <x:t xml:space="preserve">8-6, 6-3, 10-8</x:t>
        </x:is>
      </x:c>
      <x:c r="F29" t="inlineStr">
        <x:is>
          <x:t xml:space="preserve">Completed</x:t>
        </x:is>
      </x:c>
      <x:c r="I29" s="35" t="inlineStr">
        <x:is>
          <x:t xml:space="preserve">Left blank - no verified full-match duration</x:t>
        </x:is>
      </x:c>
      <x:c r="J29" s="36" t="inlineStr">
        <x:is>
          <x:t xml:space="preserve">Historical result/score located, but not a verified total match duration. Partial-duration anecdotes are not used.</x:t>
        </x:is>
      </x:c>
      <x:c r="K29" t="inlineStr">
        <x:is>
          <x:t xml:space="preserve">https://www.wimbledon.com/pdf/Wimbledon_Compendium_2021v3.pdf</x:t>
        </x:is>
      </x:c>
    </x:row>
    <x:row r="30">
      <x:c r="A30" t="n">
        <x:v>1912</x:v>
      </x:c>
      <x:c r="B30" t="inlineStr">
        <x:is>
          <x:t xml:space="preserve">Women's</x:t>
        </x:is>
      </x:c>
      <x:c r="C30" t="inlineStr">
        <x:is>
          <x:t xml:space="preserve">D.T.R. Larcombe</x:t>
        </x:is>
      </x:c>
      <x:c r="D30" t="inlineStr">
        <x:is>
          <x:t xml:space="preserve">C.R. Cooper</x:t>
        </x:is>
      </x:c>
      <x:c r="E30" t="inlineStr">
        <x:is>
          <x:t xml:space="preserve">6-3, 6-1</x:t>
        </x:is>
      </x:c>
      <x:c r="F30" t="inlineStr">
        <x:is>
          <x:t xml:space="preserve">Completed</x:t>
        </x:is>
      </x:c>
      <x:c r="I30" s="35" t="inlineStr">
        <x:is>
          <x:t xml:space="preserve">Left blank - no verified full-match duration</x:t>
        </x:is>
      </x:c>
      <x:c r="J30" s="36" t="inlineStr">
        <x:is>
          <x:t xml:space="preserve">Historical result/score located, but not a verified total match duration. Partial-duration anecdotes are not used.</x:t>
        </x:is>
      </x:c>
      <x:c r="K30" t="inlineStr">
        <x:is>
          <x:t xml:space="preserve">https://www.wimbledon.com/pdf/Wimbledon_Compendium_2021v3.pdf</x:t>
        </x:is>
      </x:c>
    </x:row>
    <x:row r="31">
      <x:c r="A31" t="n">
        <x:v>1912</x:v>
      </x:c>
      <x:c r="B31" t="inlineStr">
        <x:is>
          <x:t xml:space="preserve">Men's</x:t>
        </x:is>
      </x:c>
      <x:c r="C31" t="inlineStr">
        <x:is>
          <x:t xml:space="preserve">A.F. Wilding</x:t>
        </x:is>
      </x:c>
      <x:c r="D31" t="inlineStr">
        <x:is>
          <x:t xml:space="preserve">A.W. Gore</x:t>
        </x:is>
      </x:c>
      <x:c r="E31" t="inlineStr">
        <x:is>
          <x:t xml:space="preserve">6-4, 6-4, 4-6, 6-4</x:t>
        </x:is>
      </x:c>
      <x:c r="F31" t="inlineStr">
        <x:is>
          <x:t xml:space="preserve">Completed</x:t>
        </x:is>
      </x:c>
      <x:c r="I31" s="35" t="inlineStr">
        <x:is>
          <x:t xml:space="preserve">Left blank - no verified full-match duration</x:t>
        </x:is>
      </x:c>
      <x:c r="J31" s="36" t="inlineStr">
        <x:is>
          <x:t xml:space="preserve">Historical result/score located, but not a verified total match duration. Partial-duration anecdotes are not used.</x:t>
        </x:is>
      </x:c>
      <x:c r="K31" t="inlineStr">
        <x:is>
          <x:t xml:space="preserve">https://www.wimbledon.com/pdf/Wimbledon_Compendium_2021v3.pdf</x:t>
        </x:is>
      </x:c>
    </x:row>
    <x:row r="32">
      <x:c r="A32" t="n">
        <x:v>1911</x:v>
      </x:c>
      <x:c r="B32" t="inlineStr">
        <x:is>
          <x:t xml:space="preserve">Men's</x:t>
        </x:is>
      </x:c>
      <x:c r="C32" t="inlineStr">
        <x:is>
          <x:t xml:space="preserve">A.F. Wilding</x:t>
        </x:is>
      </x:c>
      <x:c r="D32" t="inlineStr">
        <x:is>
          <x:t xml:space="preserve">H.R. Barrett</x:t>
        </x:is>
      </x:c>
      <x:c r="E32" t="inlineStr">
        <x:is>
          <x:t xml:space="preserve">6-4, 4-6, 2-6, 6-2, retd</x:t>
        </x:is>
      </x:c>
      <x:c r="F32" t="inlineStr">
        <x:is>
          <x:t xml:space="preserve">Retired</x:t>
        </x:is>
      </x:c>
      <x:c r="I32" s="35" t="inlineStr">
        <x:is>
          <x:t xml:space="preserve">Left blank - no verified full-match duration</x:t>
        </x:is>
      </x:c>
      <x:c r="J32" s="36" t="inlineStr">
        <x:is>
          <x:t xml:space="preserve">Historical result/score located, but not a verified total match duration. Partial-duration anecdotes are not used.</x:t>
        </x:is>
      </x:c>
      <x:c r="K32" t="inlineStr">
        <x:is>
          <x:t xml:space="preserve">https://www.wimbledon.com/pdf/Wimbledon_Compendium_2021v3.pdf</x:t>
        </x:is>
      </x:c>
    </x:row>
    <x:row r="33">
      <x:c r="A33" t="n">
        <x:v>1910</x:v>
      </x:c>
      <x:c r="B33" t="inlineStr">
        <x:is>
          <x:t xml:space="preserve">Women's</x:t>
        </x:is>
      </x:c>
      <x:c r="C33" t="inlineStr">
        <x:is>
          <x:t xml:space="preserve">D.L. Chambers</x:t>
        </x:is>
      </x:c>
      <x:c r="D33" t="inlineStr">
        <x:is>
          <x:t xml:space="preserve">P.D.H. Boothby</x:t>
        </x:is>
      </x:c>
      <x:c r="E33" t="inlineStr">
        <x:is>
          <x:t xml:space="preserve">6-2, 6-2</x:t>
        </x:is>
      </x:c>
      <x:c r="F33" t="inlineStr">
        <x:is>
          <x:t xml:space="preserve">Completed</x:t>
        </x:is>
      </x:c>
      <x:c r="I33" s="35" t="inlineStr">
        <x:is>
          <x:t xml:space="preserve">Left blank - no verified full-match duration</x:t>
        </x:is>
      </x:c>
      <x:c r="J33" s="36" t="inlineStr">
        <x:is>
          <x:t xml:space="preserve">Historical result/score located, but not a verified total match duration. Partial-duration anecdotes are not used.</x:t>
        </x:is>
      </x:c>
      <x:c r="K33" t="inlineStr">
        <x:is>
          <x:t xml:space="preserve">https://www.wimbledon.com/pdf/Wimbledon_Compendium_2021v3.pdf</x:t>
        </x:is>
      </x:c>
    </x:row>
    <x:row r="34">
      <x:c r="A34" t="n">
        <x:v>1910</x:v>
      </x:c>
      <x:c r="B34" t="inlineStr">
        <x:is>
          <x:t xml:space="preserve">Men's</x:t>
        </x:is>
      </x:c>
      <x:c r="C34" t="inlineStr">
        <x:is>
          <x:t xml:space="preserve">A.F. Wilding</x:t>
        </x:is>
      </x:c>
      <x:c r="D34" t="inlineStr">
        <x:is>
          <x:t xml:space="preserve">A.W. Gore</x:t>
        </x:is>
      </x:c>
      <x:c r="E34" t="inlineStr">
        <x:is>
          <x:t xml:space="preserve">6-4, 7-5, 4-6, 6-2</x:t>
        </x:is>
      </x:c>
      <x:c r="F34" t="inlineStr">
        <x:is>
          <x:t xml:space="preserve">Completed</x:t>
        </x:is>
      </x:c>
      <x:c r="I34" s="35" t="inlineStr">
        <x:is>
          <x:t xml:space="preserve">Left blank - no verified full-match duration</x:t>
        </x:is>
      </x:c>
      <x:c r="J34" s="36" t="inlineStr">
        <x:is>
          <x:t xml:space="preserve">Historical result/score located, but not a verified total match duration. Partial-duration anecdotes are not used.</x:t>
        </x:is>
      </x:c>
      <x:c r="K34" t="inlineStr">
        <x:is>
          <x:t xml:space="preserve">https://www.wimbledon.com/pdf/Wimbledon_Compendium_2021v3.pdf</x:t>
        </x:is>
      </x:c>
    </x:row>
    <x:row r="35">
      <x:c r="A35" t="n">
        <x:v>1909</x:v>
      </x:c>
      <x:c r="B35" t="inlineStr">
        <x:is>
          <x:t xml:space="preserve">Women's</x:t>
        </x:is>
      </x:c>
      <x:c r="C35" t="inlineStr">
        <x:is>
          <x:t xml:space="preserve">P.D.H. Boothby</x:t>
        </x:is>
      </x:c>
      <x:c r="D35" t="inlineStr">
        <x:is>
          <x:t xml:space="preserve">A.M. Morton</x:t>
        </x:is>
      </x:c>
      <x:c r="E35" t="inlineStr">
        <x:is>
          <x:t xml:space="preserve">6-4, 4-6, 8-6</x:t>
        </x:is>
      </x:c>
      <x:c r="F35" t="inlineStr">
        <x:is>
          <x:t xml:space="preserve">Completed</x:t>
        </x:is>
      </x:c>
      <x:c r="I35" s="35" t="inlineStr">
        <x:is>
          <x:t xml:space="preserve">Left blank - no verified full-match duration</x:t>
        </x:is>
      </x:c>
      <x:c r="J35" s="36" t="inlineStr">
        <x:is>
          <x:t xml:space="preserve">Historical result/score located, but not a verified total match duration. Partial-duration anecdotes are not used.</x:t>
        </x:is>
      </x:c>
      <x:c r="K35" t="inlineStr">
        <x:is>
          <x:t xml:space="preserve">https://www.wimbledon.com/pdf/Wimbledon_Compendium_2021v3.pdf</x:t>
        </x:is>
      </x:c>
    </x:row>
    <x:row r="36">
      <x:c r="A36" t="n">
        <x:v>1908</x:v>
      </x:c>
      <x:c r="B36" t="inlineStr">
        <x:is>
          <x:t xml:space="preserve">Women's</x:t>
        </x:is>
      </x:c>
      <x:c r="C36" t="inlineStr">
        <x:is>
          <x:t xml:space="preserve">C.R. Cooper</x:t>
        </x:is>
      </x:c>
      <x:c r="D36" t="inlineStr">
        <x:is>
          <x:t xml:space="preserve">A.M. Morton</x:t>
        </x:is>
      </x:c>
      <x:c r="E36" t="inlineStr">
        <x:is>
          <x:t xml:space="preserve">6-4, 6-4</x:t>
        </x:is>
      </x:c>
      <x:c r="F36" t="inlineStr">
        <x:is>
          <x:t xml:space="preserve">Completed</x:t>
        </x:is>
      </x:c>
      <x:c r="I36" s="35" t="inlineStr">
        <x:is>
          <x:t xml:space="preserve">Left blank - no verified full-match duration</x:t>
        </x:is>
      </x:c>
      <x:c r="J36" s="36" t="inlineStr">
        <x:is>
          <x:t xml:space="preserve">Historical result/score located, but not a verified total match duration. Partial-duration anecdotes are not used.</x:t>
        </x:is>
      </x:c>
      <x:c r="K36" t="inlineStr">
        <x:is>
          <x:t xml:space="preserve">https://www.wimbledon.com/pdf/Wimbledon_Compendium_2021v3.pdf</x:t>
        </x:is>
      </x:c>
    </x:row>
    <x:row r="37">
      <x:c r="A37" t="n">
        <x:v>1908</x:v>
      </x:c>
      <x:c r="B37" t="inlineStr">
        <x:is>
          <x:t xml:space="preserve">Men's</x:t>
        </x:is>
      </x:c>
      <x:c r="C37" t="inlineStr">
        <x:is>
          <x:t xml:space="preserve">A.W. Gore</x:t>
        </x:is>
      </x:c>
      <x:c r="D37" t="inlineStr">
        <x:is>
          <x:t xml:space="preserve">H.R. Barrett</x:t>
        </x:is>
      </x:c>
      <x:c r="E37" t="inlineStr">
        <x:is>
          <x:t xml:space="preserve">6-3, 6-2, 4-6, 3-6, 6-4</x:t>
        </x:is>
      </x:c>
      <x:c r="F37" t="inlineStr">
        <x:is>
          <x:t xml:space="preserve">Completed</x:t>
        </x:is>
      </x:c>
      <x:c r="I37" s="35" t="inlineStr">
        <x:is>
          <x:t xml:space="preserve">Left blank - no verified full-match duration</x:t>
        </x:is>
      </x:c>
      <x:c r="J37" s="36" t="inlineStr">
        <x:is>
          <x:t xml:space="preserve">Historical result/score located, but not a verified total match duration. Partial-duration anecdotes are not used.</x:t>
        </x:is>
      </x:c>
      <x:c r="K37" t="inlineStr">
        <x:is>
          <x:t xml:space="preserve">https://www.wimbledon.com/pdf/Wimbledon_Compendium_2021v3.pdf</x:t>
        </x:is>
      </x:c>
    </x:row>
    <x:row r="38">
      <x:c r="A38" t="n">
        <x:v>1907</x:v>
      </x:c>
      <x:c r="B38" t="inlineStr">
        <x:is>
          <x:t xml:space="preserve">Women's</x:t>
        </x:is>
      </x:c>
      <x:c r="C38" t="inlineStr">
        <x:is>
          <x:t xml:space="preserve">M.G. Sutton</x:t>
        </x:is>
      </x:c>
      <x:c r="D38" t="inlineStr">
        <x:is>
          <x:t xml:space="preserve">D.L. Chambers</x:t>
        </x:is>
      </x:c>
      <x:c r="E38" t="inlineStr">
        <x:is>
          <x:t xml:space="preserve">6-1, 6-4</x:t>
        </x:is>
      </x:c>
      <x:c r="F38" t="inlineStr">
        <x:is>
          <x:t xml:space="preserve">Completed</x:t>
        </x:is>
      </x:c>
      <x:c r="I38" s="35" t="inlineStr">
        <x:is>
          <x:t xml:space="preserve">Left blank - no verified full-match duration</x:t>
        </x:is>
      </x:c>
      <x:c r="J38" s="36" t="inlineStr">
        <x:is>
          <x:t xml:space="preserve">Historical result/score located, but not a verified total match duration. Partial-duration anecdotes are not used.</x:t>
        </x:is>
      </x:c>
      <x:c r="K38" t="inlineStr">
        <x:is>
          <x:t xml:space="preserve">https://www.wimbledon.com/pdf/Wimbledon_Compendium_2021v3.pdf</x:t>
        </x:is>
      </x:c>
    </x:row>
    <x:row r="39">
      <x:c r="A39" t="n">
        <x:v>1907</x:v>
      </x:c>
      <x:c r="B39" t="inlineStr">
        <x:is>
          <x:t xml:space="preserve">Men's</x:t>
        </x:is>
      </x:c>
      <x:c r="C39" t="inlineStr">
        <x:is>
          <x:t xml:space="preserve">N.E. Brookes</x:t>
        </x:is>
      </x:c>
      <x:c r="D39" t="inlineStr">
        <x:is>
          <x:t xml:space="preserve">A.W. Gore</x:t>
        </x:is>
      </x:c>
      <x:c r="E39" t="inlineStr">
        <x:is>
          <x:t xml:space="preserve">6-4, 6-2, 6-2</x:t>
        </x:is>
      </x:c>
      <x:c r="F39" t="inlineStr">
        <x:is>
          <x:t xml:space="preserve">Completed</x:t>
        </x:is>
      </x:c>
      <x:c r="I39" s="35" t="inlineStr">
        <x:is>
          <x:t xml:space="preserve">Left blank - no verified full-match duration</x:t>
        </x:is>
      </x:c>
      <x:c r="J39" s="36" t="inlineStr">
        <x:is>
          <x:t xml:space="preserve">Historical result/score located, but not a verified total match duration. Partial-duration anecdotes are not used.</x:t>
        </x:is>
      </x:c>
      <x:c r="K39" t="inlineStr">
        <x:is>
          <x:t xml:space="preserve">https://www.wimbledon.com/pdf/Wimbledon_Compendium_2021v3.pdf</x:t>
        </x:is>
      </x:c>
    </x:row>
    <x:row r="40">
      <x:c r="A40" t="n">
        <x:v>1905</x:v>
      </x:c>
      <x:c r="B40" t="inlineStr">
        <x:is>
          <x:t xml:space="preserve">Women's</x:t>
        </x:is>
      </x:c>
      <x:c r="C40" t="inlineStr">
        <x:is>
          <x:t xml:space="preserve">M.G. Sutton</x:t>
        </x:is>
      </x:c>
      <x:c r="D40" t="inlineStr">
        <x:is>
          <x:t xml:space="preserve">D.L. Chambers</x:t>
        </x:is>
      </x:c>
      <x:c r="E40" t="inlineStr">
        <x:is>
          <x:t xml:space="preserve">6-3, 6-4</x:t>
        </x:is>
      </x:c>
      <x:c r="F40" t="inlineStr">
        <x:is>
          <x:t xml:space="preserve">Completed</x:t>
        </x:is>
      </x:c>
      <x:c r="I40" s="35" t="inlineStr">
        <x:is>
          <x:t xml:space="preserve">Left blank - no verified full-match duration</x:t>
        </x:is>
      </x:c>
      <x:c r="J40" s="36" t="inlineStr">
        <x:is>
          <x:t xml:space="preserve">Historical result/score located, but not a verified total match duration. Partial-duration anecdotes are not used.</x:t>
        </x:is>
      </x:c>
      <x:c r="K40" t="inlineStr">
        <x:is>
          <x:t xml:space="preserve">https://www.wimbledon.com/pdf/Wimbledon_Compendium_2021v3.pdf</x:t>
        </x:is>
      </x:c>
    </x:row>
    <x:row r="41">
      <x:c r="A41" t="n">
        <x:v>1904</x:v>
      </x:c>
      <x:c r="B41" t="inlineStr">
        <x:is>
          <x:t xml:space="preserve">Women's</x:t>
        </x:is>
      </x:c>
      <x:c r="C41" t="inlineStr">
        <x:is>
          <x:t xml:space="preserve">D.L. Chambers</x:t>
        </x:is>
      </x:c>
      <x:c r="D41" t="inlineStr">
        <x:is>
          <x:t xml:space="preserve">C.R. Cooper</x:t>
        </x:is>
      </x:c>
      <x:c r="E41" t="inlineStr">
        <x:is>
          <x:t xml:space="preserve">6-0, 6-3</x:t>
        </x:is>
      </x:c>
      <x:c r="F41" t="inlineStr">
        <x:is>
          <x:t xml:space="preserve">Completed</x:t>
        </x:is>
      </x:c>
      <x:c r="I41" s="35" t="inlineStr">
        <x:is>
          <x:t xml:space="preserve">Left blank - no verified full-match duration</x:t>
        </x:is>
      </x:c>
      <x:c r="J41" s="36" t="inlineStr">
        <x:is>
          <x:t xml:space="preserve">Historical result/score located, but not a verified total match duration. Partial-duration anecdotes are not used.</x:t>
        </x:is>
      </x:c>
      <x:c r="K41" t="inlineStr">
        <x:is>
          <x:t xml:space="preserve">https://www.wimbledon.com/pdf/Wimbledon_Compendium_2021v3.pdf</x:t>
        </x:is>
      </x:c>
    </x:row>
    <x:row r="42">
      <x:c r="A42" t="n">
        <x:v>1904</x:v>
      </x:c>
      <x:c r="B42" t="inlineStr">
        <x:is>
          <x:t xml:space="preserve">Men's</x:t>
        </x:is>
      </x:c>
      <x:c r="C42" t="inlineStr">
        <x:is>
          <x:t xml:space="preserve">H.L. Doherty</x:t>
        </x:is>
      </x:c>
      <x:c r="D42" t="inlineStr">
        <x:is>
          <x:t xml:space="preserve">F.L. Riseley</x:t>
        </x:is>
      </x:c>
      <x:c r="E42" t="inlineStr">
        <x:is>
          <x:t xml:space="preserve">6-1, 7-5, 8-6</x:t>
        </x:is>
      </x:c>
      <x:c r="F42" t="inlineStr">
        <x:is>
          <x:t xml:space="preserve">Completed</x:t>
        </x:is>
      </x:c>
      <x:c r="I42" s="35" t="inlineStr">
        <x:is>
          <x:t xml:space="preserve">Left blank - no verified full-match duration</x:t>
        </x:is>
      </x:c>
      <x:c r="J42" s="36" t="inlineStr">
        <x:is>
          <x:t xml:space="preserve">Historical result/score located, but not a verified total match duration. Partial-duration anecdotes are not used.</x:t>
        </x:is>
      </x:c>
      <x:c r="K42" t="inlineStr">
        <x:is>
          <x:t xml:space="preserve">https://www.wimbledon.com/pdf/Wimbledon_Compendium_2021v3.pdf</x:t>
        </x:is>
      </x:c>
    </x:row>
    <x:row r="43">
      <x:c r="A43" t="n">
        <x:v>1903</x:v>
      </x:c>
      <x:c r="B43" t="inlineStr">
        <x:is>
          <x:t xml:space="preserve">Women's</x:t>
        </x:is>
      </x:c>
      <x:c r="C43" t="inlineStr">
        <x:is>
          <x:t xml:space="preserve">D.L. Chambers</x:t>
        </x:is>
      </x:c>
      <x:c r="D43" t="inlineStr">
        <x:is>
          <x:t xml:space="preserve">E.W. Thomson</x:t>
        </x:is>
      </x:c>
      <x:c r="E43" t="inlineStr">
        <x:is>
          <x:t xml:space="preserve">4-6, 6-4, 6-2</x:t>
        </x:is>
      </x:c>
      <x:c r="F43" t="inlineStr">
        <x:is>
          <x:t xml:space="preserve">Completed</x:t>
        </x:is>
      </x:c>
      <x:c r="I43" s="35" t="inlineStr">
        <x:is>
          <x:t xml:space="preserve">Left blank - no verified full-match duration</x:t>
        </x:is>
      </x:c>
      <x:c r="J43" s="36" t="inlineStr">
        <x:is>
          <x:t xml:space="preserve">Historical result/score located, but not a verified total match duration. Partial-duration anecdotes are not used.</x:t>
        </x:is>
      </x:c>
      <x:c r="K43" t="inlineStr">
        <x:is>
          <x:t xml:space="preserve">https://www.wimbledon.com/pdf/Wimbledon_Compendium_2021v3.pdf</x:t>
        </x:is>
      </x:c>
    </x:row>
    <x:row r="44">
      <x:c r="A44" t="n">
        <x:v>1903</x:v>
      </x:c>
      <x:c r="B44" t="inlineStr">
        <x:is>
          <x:t xml:space="preserve">Men's</x:t>
        </x:is>
      </x:c>
      <x:c r="C44" t="inlineStr">
        <x:is>
          <x:t xml:space="preserve">H.L. Doherty</x:t>
        </x:is>
      </x:c>
      <x:c r="D44" t="inlineStr">
        <x:is>
          <x:t xml:space="preserve">F.L. Riseley</x:t>
        </x:is>
      </x:c>
      <x:c r="E44" t="inlineStr">
        <x:is>
          <x:t xml:space="preserve">7-5, 6-3, 6-0</x:t>
        </x:is>
      </x:c>
      <x:c r="F44" t="inlineStr">
        <x:is>
          <x:t xml:space="preserve">Completed</x:t>
        </x:is>
      </x:c>
      <x:c r="I44" s="35" t="inlineStr">
        <x:is>
          <x:t xml:space="preserve">Left blank - no verified full-match duration</x:t>
        </x:is>
      </x:c>
      <x:c r="J44" s="36" t="inlineStr">
        <x:is>
          <x:t xml:space="preserve">Historical result/score located, but not a verified total match duration. Partial-duration anecdotes are not used.</x:t>
        </x:is>
      </x:c>
      <x:c r="K44" t="inlineStr">
        <x:is>
          <x:t xml:space="preserve">https://www.wimbledon.com/pdf/Wimbledon_Compendium_2021v3.pdf</x:t>
        </x:is>
      </x:c>
    </x:row>
    <x:row r="45">
      <x:c r="A45" t="n">
        <x:v>1902</x:v>
      </x:c>
      <x:c r="B45" t="inlineStr">
        <x:is>
          <x:t xml:space="preserve">Women's</x:t>
        </x:is>
      </x:c>
      <x:c r="C45" t="inlineStr">
        <x:is>
          <x:t xml:space="preserve">M.E. Robb</x:t>
        </x:is>
      </x:c>
      <x:c r="D45" t="inlineStr">
        <x:is>
          <x:t xml:space="preserve">C.R. Cooper</x:t>
        </x:is>
      </x:c>
      <x:c r="E45" t="inlineStr">
        <x:is>
          <x:t xml:space="preserve">7-5, 6-1</x:t>
        </x:is>
      </x:c>
      <x:c r="F45" t="inlineStr">
        <x:is>
          <x:t xml:space="preserve">Completed</x:t>
        </x:is>
      </x:c>
      <x:c r="I45" s="35" t="inlineStr">
        <x:is>
          <x:t xml:space="preserve">Left blank - no verified full-match duration</x:t>
        </x:is>
      </x:c>
      <x:c r="J45" s="36" t="inlineStr">
        <x:is>
          <x:t xml:space="preserve">Historical result/score located, but not a verified total match duration. Partial-duration anecdotes are not used.</x:t>
        </x:is>
      </x:c>
      <x:c r="K45" t="inlineStr">
        <x:is>
          <x:t xml:space="preserve">https://www.wimbledon.com/pdf/Wimbledon_Compendium_2021v3.pdf</x:t>
        </x:is>
      </x:c>
    </x:row>
    <x:row r="46">
      <x:c r="A46" t="n">
        <x:v>1901</x:v>
      </x:c>
      <x:c r="B46" t="inlineStr">
        <x:is>
          <x:t xml:space="preserve">Women's</x:t>
        </x:is>
      </x:c>
      <x:c r="C46" t="inlineStr">
        <x:is>
          <x:t xml:space="preserve">C.R. Cooper</x:t>
        </x:is>
      </x:c>
      <x:c r="D46" t="inlineStr">
        <x:is>
          <x:t xml:space="preserve">G.W. Hillyard</x:t>
        </x:is>
      </x:c>
      <x:c r="E46" t="inlineStr">
        <x:is>
          <x:t xml:space="preserve">6-2, 6-2</x:t>
        </x:is>
      </x:c>
      <x:c r="F46" t="inlineStr">
        <x:is>
          <x:t xml:space="preserve">Completed</x:t>
        </x:is>
      </x:c>
      <x:c r="I46" s="35" t="inlineStr">
        <x:is>
          <x:t xml:space="preserve">Left blank - no verified full-match duration</x:t>
        </x:is>
      </x:c>
      <x:c r="J46" s="36" t="inlineStr">
        <x:is>
          <x:t xml:space="preserve">Historical result/score located, but not a verified total match duration. Partial-duration anecdotes are not used.</x:t>
        </x:is>
      </x:c>
      <x:c r="K46" t="inlineStr">
        <x:is>
          <x:t xml:space="preserve">https://www.wimbledon.com/pdf/Wimbledon_Compendium_2021v3.pdf</x:t>
        </x:is>
      </x:c>
    </x:row>
    <x:row r="47">
      <x:c r="A47" t="n">
        <x:v>1900</x:v>
      </x:c>
      <x:c r="B47" t="inlineStr">
        <x:is>
          <x:t xml:space="preserve">Women's</x:t>
        </x:is>
      </x:c>
      <x:c r="C47" t="inlineStr">
        <x:is>
          <x:t xml:space="preserve">G.W. Hillyard</x:t>
        </x:is>
      </x:c>
      <x:c r="D47" t="inlineStr">
        <x:is>
          <x:t xml:space="preserve">C.R. Cooper</x:t>
        </x:is>
      </x:c>
      <x:c r="E47" t="inlineStr">
        <x:is>
          <x:t xml:space="preserve">4-6, 6-4, 6-4</x:t>
        </x:is>
      </x:c>
      <x:c r="F47" t="inlineStr">
        <x:is>
          <x:t xml:space="preserve">Completed</x:t>
        </x:is>
      </x:c>
      <x:c r="I47" s="35" t="inlineStr">
        <x:is>
          <x:t xml:space="preserve">Left blank - no verified full-match duration</x:t>
        </x:is>
      </x:c>
      <x:c r="J47" s="36" t="inlineStr">
        <x:is>
          <x:t xml:space="preserve">Historical result/score located, but not a verified total match duration. Partial-duration anecdotes are not used.</x:t>
        </x:is>
      </x:c>
      <x:c r="K47" t="inlineStr">
        <x:is>
          <x:t xml:space="preserve">https://www.wimbledon.com/pdf/Wimbledon_Compendium_2021v3.pdf</x:t>
        </x:is>
      </x:c>
    </x:row>
    <x:row r="48">
      <x:c r="A48" t="n">
        <x:v>1900</x:v>
      </x:c>
      <x:c r="B48" t="inlineStr">
        <x:is>
          <x:t xml:space="preserve">Men's</x:t>
        </x:is>
      </x:c>
      <x:c r="C48" t="inlineStr">
        <x:is>
          <x:t xml:space="preserve">R.F. Doherty</x:t>
        </x:is>
      </x:c>
      <x:c r="D48" t="inlineStr">
        <x:is>
          <x:t xml:space="preserve">S.H. Smith</x:t>
        </x:is>
      </x:c>
      <x:c r="E48" t="inlineStr">
        <x:is>
          <x:t xml:space="preserve">6-8, 6-3, 6-1, 6-2</x:t>
        </x:is>
      </x:c>
      <x:c r="F48" t="inlineStr">
        <x:is>
          <x:t xml:space="preserve">Completed</x:t>
        </x:is>
      </x:c>
      <x:c r="I48" s="35" t="inlineStr">
        <x:is>
          <x:t xml:space="preserve">Left blank - no verified full-match duration</x:t>
        </x:is>
      </x:c>
      <x:c r="J48" s="36" t="inlineStr">
        <x:is>
          <x:t xml:space="preserve">Historical result/score located, but not a verified total match duration. Partial-duration anecdotes are not used.</x:t>
        </x:is>
      </x:c>
      <x:c r="K48" t="inlineStr">
        <x:is>
          <x:t xml:space="preserve">https://www.wimbledon.com/pdf/Wimbledon_Compendium_2021v3.pdf</x:t>
        </x:is>
      </x:c>
    </x:row>
    <x:row r="49">
      <x:c r="A49" t="n">
        <x:v>1899</x:v>
      </x:c>
      <x:c r="B49" t="inlineStr">
        <x:is>
          <x:t xml:space="preserve">Women's</x:t>
        </x:is>
      </x:c>
      <x:c r="C49" t="inlineStr">
        <x:is>
          <x:t xml:space="preserve">G.W. Hillyard</x:t>
        </x:is>
      </x:c>
      <x:c r="D49" t="inlineStr">
        <x:is>
          <x:t xml:space="preserve">C.R. Cooper</x:t>
        </x:is>
      </x:c>
      <x:c r="E49" t="inlineStr">
        <x:is>
          <x:t xml:space="preserve">6-2, 6-3</x:t>
        </x:is>
      </x:c>
      <x:c r="F49" t="inlineStr">
        <x:is>
          <x:t xml:space="preserve">Completed</x:t>
        </x:is>
      </x:c>
      <x:c r="I49" s="35" t="inlineStr">
        <x:is>
          <x:t xml:space="preserve">Left blank - no verified full-match duration</x:t>
        </x:is>
      </x:c>
      <x:c r="J49" s="36" t="inlineStr">
        <x:is>
          <x:t xml:space="preserve">Historical result/score located, but not a verified total match duration. Partial-duration anecdotes are not used.</x:t>
        </x:is>
      </x:c>
      <x:c r="K49" t="inlineStr">
        <x:is>
          <x:t xml:space="preserve">https://www.wimbledon.com/pdf/Wimbledon_Compendium_2021v3.pdf</x:t>
        </x:is>
      </x:c>
    </x:row>
    <x:row r="50">
      <x:c r="A50" t="n">
        <x:v>1899</x:v>
      </x:c>
      <x:c r="B50" t="inlineStr">
        <x:is>
          <x:t xml:space="preserve">Men's</x:t>
        </x:is>
      </x:c>
      <x:c r="C50" t="inlineStr">
        <x:is>
          <x:t xml:space="preserve">R.F. Doherty</x:t>
        </x:is>
      </x:c>
      <x:c r="D50" t="inlineStr">
        <x:is>
          <x:t xml:space="preserve">A.W. Gore</x:t>
        </x:is>
      </x:c>
      <x:c r="E50" t="inlineStr">
        <x:is>
          <x:t xml:space="preserve">1-6, 4-6, 6-3, 6-3, 6-3</x:t>
        </x:is>
      </x:c>
      <x:c r="F50" t="inlineStr">
        <x:is>
          <x:t xml:space="preserve">Completed</x:t>
        </x:is>
      </x:c>
      <x:c r="I50" s="35" t="inlineStr">
        <x:is>
          <x:t xml:space="preserve">Left blank - no verified full-match duration</x:t>
        </x:is>
      </x:c>
      <x:c r="J50" s="36" t="inlineStr">
        <x:is>
          <x:t xml:space="preserve">Historical result/score located, but not a verified total match duration. Partial-duration anecdotes are not used.</x:t>
        </x:is>
      </x:c>
      <x:c r="K50" t="inlineStr">
        <x:is>
          <x:t xml:space="preserve">https://www.wimbledon.com/pdf/Wimbledon_Compendium_2021v3.pdf</x:t>
        </x:is>
      </x:c>
    </x:row>
    <x:row r="51">
      <x:c r="A51" t="n">
        <x:v>1898</x:v>
      </x:c>
      <x:c r="B51" t="inlineStr">
        <x:is>
          <x:t xml:space="preserve">Women's</x:t>
        </x:is>
      </x:c>
      <x:c r="C51" t="inlineStr">
        <x:is>
          <x:t xml:space="preserve">C.R. Cooper</x:t>
        </x:is>
      </x:c>
      <x:c r="D51" t="inlineStr">
        <x:is>
          <x:t xml:space="preserve">M.L.Martin</x:t>
        </x:is>
      </x:c>
      <x:c r="E51" t="inlineStr">
        <x:is>
          <x:t xml:space="preserve">6-4, 6-4</x:t>
        </x:is>
      </x:c>
      <x:c r="F51" t="inlineStr">
        <x:is>
          <x:t xml:space="preserve">Completed</x:t>
        </x:is>
      </x:c>
      <x:c r="I51" s="35" t="inlineStr">
        <x:is>
          <x:t xml:space="preserve">Left blank - no verified full-match duration</x:t>
        </x:is>
      </x:c>
      <x:c r="J51" s="36" t="inlineStr">
        <x:is>
          <x:t xml:space="preserve">Historical result/score located, but not a verified total match duration. Partial-duration anecdotes are not used.</x:t>
        </x:is>
      </x:c>
      <x:c r="K51" t="inlineStr">
        <x:is>
          <x:t xml:space="preserve">https://www.wimbledon.com/pdf/Wimbledon_Compendium_2021v3.pdf</x:t>
        </x:is>
      </x:c>
    </x:row>
    <x:row r="52">
      <x:c r="A52" t="n">
        <x:v>1897</x:v>
      </x:c>
      <x:c r="B52" t="inlineStr">
        <x:is>
          <x:t xml:space="preserve">Women's</x:t>
        </x:is>
      </x:c>
      <x:c r="C52" t="inlineStr">
        <x:is>
          <x:t xml:space="preserve">G.W. Hillyard</x:t>
        </x:is>
      </x:c>
      <x:c r="D52" t="inlineStr">
        <x:is>
          <x:t xml:space="preserve">C.R. Cooper</x:t>
        </x:is>
      </x:c>
      <x:c r="E52" t="inlineStr">
        <x:is>
          <x:t xml:space="preserve">5-7, 7-5, 6-2</x:t>
        </x:is>
      </x:c>
      <x:c r="F52" t="inlineStr">
        <x:is>
          <x:t xml:space="preserve">Completed</x:t>
        </x:is>
      </x:c>
      <x:c r="I52" s="35" t="inlineStr">
        <x:is>
          <x:t xml:space="preserve">Left blank - no verified full-match duration</x:t>
        </x:is>
      </x:c>
      <x:c r="J52" s="36" t="inlineStr">
        <x:is>
          <x:t xml:space="preserve">Historical result/score located, but not a verified total match duration. Partial-duration anecdotes are not used.</x:t>
        </x:is>
      </x:c>
      <x:c r="K52" t="inlineStr">
        <x:is>
          <x:t xml:space="preserve">https://www.wimbledon.com/pdf/Wimbledon_Compendium_2021v3.pdf</x:t>
        </x:is>
      </x:c>
    </x:row>
    <x:row r="53">
      <x:c r="A53" t="n">
        <x:v>1896</x:v>
      </x:c>
      <x:c r="B53" t="inlineStr">
        <x:is>
          <x:t xml:space="preserve">Women's</x:t>
        </x:is>
      </x:c>
      <x:c r="C53" t="inlineStr">
        <x:is>
          <x:t xml:space="preserve">C.R. Cooper</x:t>
        </x:is>
      </x:c>
      <x:c r="D53" t="inlineStr">
        <x:is>
          <x:t xml:space="preserve">W.H. Pickering</x:t>
        </x:is>
      </x:c>
      <x:c r="E53" t="inlineStr">
        <x:is>
          <x:t xml:space="preserve">6-2, 6-3</x:t>
        </x:is>
      </x:c>
      <x:c r="F53" t="inlineStr">
        <x:is>
          <x:t xml:space="preserve">Completed</x:t>
        </x:is>
      </x:c>
      <x:c r="I53" s="35" t="inlineStr">
        <x:is>
          <x:t xml:space="preserve">Left blank - no verified full-match duration</x:t>
        </x:is>
      </x:c>
      <x:c r="J53" s="36" t="inlineStr">
        <x:is>
          <x:t xml:space="preserve">Historical result/score located, but not a verified total match duration. Partial-duration anecdotes are not used.</x:t>
        </x:is>
      </x:c>
      <x:c r="K53" t="inlineStr">
        <x:is>
          <x:t xml:space="preserve">https://www.wimbledon.com/pdf/Wimbledon_Compendium_2021v3.pdf</x:t>
        </x:is>
      </x:c>
    </x:row>
    <x:row r="54">
      <x:c r="A54" t="n">
        <x:v>1895</x:v>
      </x:c>
      <x:c r="B54" t="inlineStr">
        <x:is>
          <x:t xml:space="preserve">Women's</x:t>
        </x:is>
      </x:c>
      <x:c r="C54" t="inlineStr">
        <x:is>
          <x:t xml:space="preserve">C.R. Cooper</x:t>
        </x:is>
      </x:c>
      <x:c r="D54" t="inlineStr">
        <x:is>
          <x:t xml:space="preserve">H. Jackson</x:t>
        </x:is>
      </x:c>
      <x:c r="E54" t="inlineStr">
        <x:is>
          <x:t xml:space="preserve">7-5, 8-6</x:t>
        </x:is>
      </x:c>
      <x:c r="F54" t="inlineStr">
        <x:is>
          <x:t xml:space="preserve">Completed</x:t>
        </x:is>
      </x:c>
      <x:c r="I54" s="35" t="inlineStr">
        <x:is>
          <x:t xml:space="preserve">Left blank - no verified full-match duration</x:t>
        </x:is>
      </x:c>
      <x:c r="J54" s="36" t="inlineStr">
        <x:is>
          <x:t xml:space="preserve">Historical result/score located, but not a verified total match duration. Partial-duration anecdotes are not used.</x:t>
        </x:is>
      </x:c>
      <x:c r="K54" t="inlineStr">
        <x:is>
          <x:t xml:space="preserve">https://www.wimbledon.com/pdf/Wimbledon_Compendium_2021v3.pdf</x:t>
        </x:is>
      </x:c>
    </x:row>
    <x:row r="55">
      <x:c r="A55" t="n">
        <x:v>1894</x:v>
      </x:c>
      <x:c r="B55" t="inlineStr">
        <x:is>
          <x:t xml:space="preserve">Women's</x:t>
        </x:is>
      </x:c>
      <x:c r="C55" t="inlineStr">
        <x:is>
          <x:t xml:space="preserve">G.W. Hillyard</x:t>
        </x:is>
      </x:c>
      <x:c r="D55" t="inlineStr">
        <x:is>
          <x:t xml:space="preserve">E.L. Austin</x:t>
        </x:is>
      </x:c>
      <x:c r="E55" t="inlineStr">
        <x:is>
          <x:t xml:space="preserve">6-1, 6-1</x:t>
        </x:is>
      </x:c>
      <x:c r="F55" t="inlineStr">
        <x:is>
          <x:t xml:space="preserve">Completed</x:t>
        </x:is>
      </x:c>
      <x:c r="I55" s="35" t="inlineStr">
        <x:is>
          <x:t xml:space="preserve">Left blank - no verified full-match duration</x:t>
        </x:is>
      </x:c>
      <x:c r="J55" s="36" t="inlineStr">
        <x:is>
          <x:t xml:space="preserve">Historical result/score located, but not a verified total match duration. Partial-duration anecdotes are not used.</x:t>
        </x:is>
      </x:c>
      <x:c r="K55" t="inlineStr">
        <x:is>
          <x:t xml:space="preserve">https://www.wimbledon.com/pdf/Wimbledon_Compendium_2021v3.pdf</x:t>
        </x:is>
      </x:c>
    </x:row>
    <x:row r="56">
      <x:c r="A56" t="n">
        <x:v>1893</x:v>
      </x:c>
      <x:c r="B56" t="inlineStr">
        <x:is>
          <x:t xml:space="preserve">Women's</x:t>
        </x:is>
      </x:c>
      <x:c r="C56" t="inlineStr">
        <x:is>
          <x:t xml:space="preserve">C. Dod</x:t>
        </x:is>
      </x:c>
      <x:c r="D56" t="inlineStr">
        <x:is>
          <x:t xml:space="preserve">G.W. Hillyard</x:t>
        </x:is>
      </x:c>
      <x:c r="E56" t="inlineStr">
        <x:is>
          <x:t xml:space="preserve">6-8, 6-1, 6-4</x:t>
        </x:is>
      </x:c>
      <x:c r="F56" t="inlineStr">
        <x:is>
          <x:t xml:space="preserve">Completed</x:t>
        </x:is>
      </x:c>
      <x:c r="I56" s="35" t="inlineStr">
        <x:is>
          <x:t xml:space="preserve">Left blank - no verified full-match duration</x:t>
        </x:is>
      </x:c>
      <x:c r="J56" s="36" t="inlineStr">
        <x:is>
          <x:t xml:space="preserve">Historical result/score located, but not a verified total match duration. Partial-duration anecdotes are not used.</x:t>
        </x:is>
      </x:c>
      <x:c r="K56" t="inlineStr">
        <x:is>
          <x:t xml:space="preserve">https://www.wimbledon.com/pdf/Wimbledon_Compendium_2021v3.pdf</x:t>
        </x:is>
      </x:c>
    </x:row>
    <x:row r="57">
      <x:c r="A57" t="n">
        <x:v>1892</x:v>
      </x:c>
      <x:c r="B57" t="inlineStr">
        <x:is>
          <x:t xml:space="preserve">Women's</x:t>
        </x:is>
      </x:c>
      <x:c r="C57" t="inlineStr">
        <x:is>
          <x:t xml:space="preserve">C. Dod</x:t>
        </x:is>
      </x:c>
      <x:c r="D57" t="inlineStr">
        <x:is>
          <x:t xml:space="preserve">G.W. Hillyard</x:t>
        </x:is>
      </x:c>
      <x:c r="E57" t="inlineStr">
        <x:is>
          <x:t xml:space="preserve">6-1, 6-1</x:t>
        </x:is>
      </x:c>
      <x:c r="F57" t="inlineStr">
        <x:is>
          <x:t xml:space="preserve">Completed</x:t>
        </x:is>
      </x:c>
      <x:c r="I57" s="35" t="inlineStr">
        <x:is>
          <x:t xml:space="preserve">Left blank - no verified full-match duration</x:t>
        </x:is>
      </x:c>
      <x:c r="J57" s="36" t="inlineStr">
        <x:is>
          <x:t xml:space="preserve">Historical result/score located, but not a verified total match duration. Partial-duration anecdotes are not used.</x:t>
        </x:is>
      </x:c>
      <x:c r="K57" t="inlineStr">
        <x:is>
          <x:t xml:space="preserve">https://www.wimbledon.com/pdf/Wimbledon_Compendium_2021v3.pdf</x:t>
        </x:is>
      </x:c>
    </x:row>
    <x:row r="58">
      <x:c r="A58" t="n">
        <x:v>1891</x:v>
      </x:c>
      <x:c r="B58" t="inlineStr">
        <x:is>
          <x:t xml:space="preserve">Women's</x:t>
        </x:is>
      </x:c>
      <x:c r="C58" t="inlineStr">
        <x:is>
          <x:t xml:space="preserve">C. Dod</x:t>
        </x:is>
      </x:c>
      <x:c r="D58" t="inlineStr">
        <x:is>
          <x:t xml:space="preserve">G.W. Hillyard</x:t>
        </x:is>
      </x:c>
      <x:c r="E58" t="inlineStr">
        <x:is>
          <x:t xml:space="preserve">6-2, 6-1</x:t>
        </x:is>
      </x:c>
      <x:c r="F58" t="inlineStr">
        <x:is>
          <x:t xml:space="preserve">Completed</x:t>
        </x:is>
      </x:c>
      <x:c r="I58" s="35" t="inlineStr">
        <x:is>
          <x:t xml:space="preserve">Left blank - no verified full-match duration</x:t>
        </x:is>
      </x:c>
      <x:c r="J58" s="36" t="inlineStr">
        <x:is>
          <x:t xml:space="preserve">Historical result/score located, but not a verified total match duration. Partial-duration anecdotes are not used.</x:t>
        </x:is>
      </x:c>
      <x:c r="K58" t="inlineStr">
        <x:is>
          <x:t xml:space="preserve">https://www.wimbledon.com/pdf/Wimbledon_Compendium_2021v3.pdf</x:t>
        </x:is>
      </x:c>
    </x:row>
    <x:row r="59">
      <x:c r="A59" t="n">
        <x:v>1891</x:v>
      </x:c>
      <x:c r="B59" t="inlineStr">
        <x:is>
          <x:t xml:space="preserve">Men's</x:t>
        </x:is>
      </x:c>
      <x:c r="C59" t="inlineStr">
        <x:is>
          <x:t xml:space="preserve">W. Baddeley</x:t>
        </x:is>
      </x:c>
      <x:c r="D59" t="inlineStr">
        <x:is>
          <x:t xml:space="preserve">J. Pim</x:t>
        </x:is>
      </x:c>
      <x:c r="E59" t="inlineStr">
        <x:is>
          <x:t xml:space="preserve">6-4, 1-6, 7-5, 6-0</x:t>
        </x:is>
      </x:c>
      <x:c r="F59" t="inlineStr">
        <x:is>
          <x:t xml:space="preserve">Completed</x:t>
        </x:is>
      </x:c>
      <x:c r="I59" s="35" t="inlineStr">
        <x:is>
          <x:t xml:space="preserve">Left blank - no verified full-match duration</x:t>
        </x:is>
      </x:c>
      <x:c r="J59" s="36" t="inlineStr">
        <x:is>
          <x:t xml:space="preserve">Historical result/score located, but not a verified total match duration. Partial-duration anecdotes are not used.</x:t>
        </x:is>
      </x:c>
      <x:c r="K59" t="inlineStr">
        <x:is>
          <x:t xml:space="preserve">https://www.wimbledon.com/pdf/Wimbledon_Compendium_2021v3.pdf</x:t>
        </x:is>
      </x:c>
    </x:row>
    <x:row r="60">
      <x:c r="A60" t="n">
        <x:v>1890</x:v>
      </x:c>
      <x:c r="B60" t="inlineStr">
        <x:is>
          <x:t xml:space="preserve">Women's</x:t>
        </x:is>
      </x:c>
      <x:c r="C60" t="inlineStr">
        <x:is>
          <x:t xml:space="preserve">H.G.B. Rice</x:t>
        </x:is>
      </x:c>
      <x:c r="D60" t="inlineStr">
        <x:is>
          <x:t xml:space="preserve">M. Jacks</x:t>
        </x:is>
      </x:c>
      <x:c r="E60" t="inlineStr">
        <x:is>
          <x:t xml:space="preserve">6-4, 6-1</x:t>
        </x:is>
      </x:c>
      <x:c r="F60" t="inlineStr">
        <x:is>
          <x:t xml:space="preserve">Completed</x:t>
        </x:is>
      </x:c>
      <x:c r="I60" s="35" t="inlineStr">
        <x:is>
          <x:t xml:space="preserve">Left blank - no verified full-match duration</x:t>
        </x:is>
      </x:c>
      <x:c r="J60" s="36" t="inlineStr">
        <x:is>
          <x:t xml:space="preserve">Historical result/score located, but not a verified total match duration. Partial-duration anecdotes are not used.</x:t>
        </x:is>
      </x:c>
      <x:c r="K60" t="inlineStr">
        <x:is>
          <x:t xml:space="preserve">https://www.wimbledon.com/pdf/Wimbledon_Compendium_2021v3.pdf</x:t>
        </x:is>
      </x:c>
    </x:row>
    <x:row r="61">
      <x:c r="A61" t="n">
        <x:v>1889</x:v>
      </x:c>
      <x:c r="B61" t="inlineStr">
        <x:is>
          <x:t xml:space="preserve">Women's</x:t>
        </x:is>
      </x:c>
      <x:c r="C61" t="inlineStr">
        <x:is>
          <x:t xml:space="preserve">G.W. Hillyard</x:t>
        </x:is>
      </x:c>
      <x:c r="D61" t="inlineStr">
        <x:is>
          <x:t xml:space="preserve">H.G.B. Rice</x:t>
        </x:is>
      </x:c>
      <x:c r="E61" t="inlineStr">
        <x:is>
          <x:t xml:space="preserve">4-6, 8-6, 6-4</x:t>
        </x:is>
      </x:c>
      <x:c r="F61" t="inlineStr">
        <x:is>
          <x:t xml:space="preserve">Completed</x:t>
        </x:is>
      </x:c>
      <x:c r="I61" s="35" t="inlineStr">
        <x:is>
          <x:t xml:space="preserve">Left blank - no verified full-match duration</x:t>
        </x:is>
      </x:c>
      <x:c r="J61" s="36" t="inlineStr">
        <x:is>
          <x:t xml:space="preserve">Historical result/score located, but not a verified total match duration. Partial-duration anecdotes are not used.</x:t>
        </x:is>
      </x:c>
      <x:c r="K61" t="inlineStr">
        <x:is>
          <x:t xml:space="preserve">https://www.wimbledon.com/pdf/Wimbledon_Compendium_2021v3.pdf</x:t>
        </x:is>
      </x:c>
    </x:row>
    <x:row r="62">
      <x:c r="A62" t="n">
        <x:v>1888</x:v>
      </x:c>
      <x:c r="B62" t="inlineStr">
        <x:is>
          <x:t xml:space="preserve">Women's</x:t>
        </x:is>
      </x:c>
      <x:c r="C62" t="inlineStr">
        <x:is>
          <x:t xml:space="preserve">C. Dod</x:t>
        </x:is>
      </x:c>
      <x:c r="D62" t="inlineStr">
        <x:is>
          <x:t xml:space="preserve">G.W. Hillyard</x:t>
        </x:is>
      </x:c>
      <x:c r="E62" t="inlineStr">
        <x:is>
          <x:t xml:space="preserve">6-3, 6-3</x:t>
        </x:is>
      </x:c>
      <x:c r="F62" t="inlineStr">
        <x:is>
          <x:t xml:space="preserve">Completed</x:t>
        </x:is>
      </x:c>
      <x:c r="I62" s="35" t="inlineStr">
        <x:is>
          <x:t xml:space="preserve">Left blank - no verified full-match duration</x:t>
        </x:is>
      </x:c>
      <x:c r="J62" s="36" t="inlineStr">
        <x:is>
          <x:t xml:space="preserve">Historical result/score located, but not a verified total match duration. Partial-duration anecdotes are not used.</x:t>
        </x:is>
      </x:c>
      <x:c r="K62" t="inlineStr">
        <x:is>
          <x:t xml:space="preserve">https://www.wimbledon.com/pdf/Wimbledon_Compendium_2021v3.pdf</x:t>
        </x:is>
      </x:c>
    </x:row>
    <x:row r="63">
      <x:c r="A63" t="n">
        <x:v>1887</x:v>
      </x:c>
      <x:c r="B63" t="inlineStr">
        <x:is>
          <x:t xml:space="preserve">Women's</x:t>
        </x:is>
      </x:c>
      <x:c r="C63" t="inlineStr">
        <x:is>
          <x:t xml:space="preserve">C. Dod</x:t>
        </x:is>
      </x:c>
      <x:c r="D63" t="inlineStr">
        <x:is>
          <x:t xml:space="preserve">G.W. Hillyard</x:t>
        </x:is>
      </x:c>
      <x:c r="E63" t="inlineStr">
        <x:is>
          <x:t xml:space="preserve">6-2, 6-0</x:t>
        </x:is>
      </x:c>
      <x:c r="F63" t="inlineStr">
        <x:is>
          <x:t xml:space="preserve">Completed</x:t>
        </x:is>
      </x:c>
      <x:c r="I63" s="35" t="inlineStr">
        <x:is>
          <x:t xml:space="preserve">Left blank - no verified full-match duration</x:t>
        </x:is>
      </x:c>
      <x:c r="J63" s="36" t="inlineStr">
        <x:is>
          <x:t xml:space="preserve">Historical result/score located, but not a verified total match duration. Partial-duration anecdotes are not used.</x:t>
        </x:is>
      </x:c>
      <x:c r="K63" t="inlineStr">
        <x:is>
          <x:t xml:space="preserve">https://www.wimbledon.com/pdf/Wimbledon_Compendium_2021v3.pdf</x:t>
        </x:is>
      </x:c>
    </x:row>
    <x:row r="64">
      <x:c r="A64" t="n">
        <x:v>1886</x:v>
      </x:c>
      <x:c r="B64" t="inlineStr">
        <x:is>
          <x:t xml:space="preserve">Women's</x:t>
        </x:is>
      </x:c>
      <x:c r="C64" t="inlineStr">
        <x:is>
          <x:t xml:space="preserve">G.W. Hillyard</x:t>
        </x:is>
      </x:c>
      <x:c r="D64" t="inlineStr">
        <x:is>
          <x:t xml:space="preserve">M.E.E. Watson</x:t>
        </x:is>
      </x:c>
      <x:c r="E64" t="inlineStr">
        <x:is>
          <x:t xml:space="preserve">6-3, 6-3</x:t>
        </x:is>
      </x:c>
      <x:c r="F64" t="inlineStr">
        <x:is>
          <x:t xml:space="preserve">Completed</x:t>
        </x:is>
      </x:c>
      <x:c r="I64" s="35" t="inlineStr">
        <x:is>
          <x:t xml:space="preserve">Left blank - no verified full-match duration</x:t>
        </x:is>
      </x:c>
      <x:c r="J64" s="36" t="inlineStr">
        <x:is>
          <x:t xml:space="preserve">Historical result/score located, but not a verified total match duration. Partial-duration anecdotes are not used.</x:t>
        </x:is>
      </x:c>
      <x:c r="K64" t="inlineStr">
        <x:is>
          <x:t xml:space="preserve">https://www.wimbledon.com/pdf/Wimbledon_Compendium_2021v3.pdf</x:t>
        </x:is>
      </x:c>
    </x:row>
    <x:row r="65">
      <x:c r="A65" t="n">
        <x:v>1885</x:v>
      </x:c>
      <x:c r="B65" t="inlineStr">
        <x:is>
          <x:t xml:space="preserve">Women's</x:t>
        </x:is>
      </x:c>
      <x:c r="C65" t="inlineStr">
        <x:is>
          <x:t xml:space="preserve">M.E.E. Watson</x:t>
        </x:is>
      </x:c>
      <x:c r="D65" t="inlineStr">
        <x:is>
          <x:t xml:space="preserve">G.W. Hillyard</x:t>
        </x:is>
      </x:c>
      <x:c r="E65" t="inlineStr">
        <x:is>
          <x:t xml:space="preserve">6-1, 7-5</x:t>
        </x:is>
      </x:c>
      <x:c r="F65" t="inlineStr">
        <x:is>
          <x:t xml:space="preserve">Completed</x:t>
        </x:is>
      </x:c>
      <x:c r="I65" s="35" t="inlineStr">
        <x:is>
          <x:t xml:space="preserve">Left blank - no verified full-match duration</x:t>
        </x:is>
      </x:c>
      <x:c r="J65" s="36" t="inlineStr">
        <x:is>
          <x:t xml:space="preserve">Historical result/score located, but not a verified total match duration. Partial-duration anecdotes are not used.</x:t>
        </x:is>
      </x:c>
      <x:c r="K65" t="inlineStr">
        <x:is>
          <x:t xml:space="preserve">https://www.wimbledon.com/pdf/Wimbledon_Compendium_2021v3.pdf</x:t>
        </x:is>
      </x:c>
    </x:row>
    <x:row r="66">
      <x:c r="A66" t="n">
        <x:v>1884</x:v>
      </x:c>
      <x:c r="B66" t="inlineStr">
        <x:is>
          <x:t xml:space="preserve">Women's</x:t>
        </x:is>
      </x:c>
      <x:c r="C66" t="inlineStr">
        <x:is>
          <x:t xml:space="preserve">M.E.E. Watson</x:t>
        </x:is>
      </x:c>
      <x:c r="D66" t="inlineStr">
        <x:is>
          <x:t xml:space="preserve">L.M. Watson</x:t>
        </x:is>
      </x:c>
      <x:c r="E66" t="inlineStr">
        <x:is>
          <x:t xml:space="preserve">6-8, 6-3, 6-3</x:t>
        </x:is>
      </x:c>
      <x:c r="F66" t="inlineStr">
        <x:is>
          <x:t xml:space="preserve">Completed</x:t>
        </x:is>
      </x:c>
      <x:c r="I66" s="35" t="inlineStr">
        <x:is>
          <x:t xml:space="preserve">Left blank - no verified full-match duration</x:t>
        </x:is>
      </x:c>
      <x:c r="J66" s="36" t="inlineStr">
        <x:is>
          <x:t xml:space="preserve">Historical result/score located, but not a verified total match duration. Partial-duration anecdotes are not used.</x:t>
        </x:is>
      </x:c>
      <x:c r="K66" t="inlineStr">
        <x:is>
          <x:t xml:space="preserve">https://www.wimbledon.com/pdf/Wimbledon_Compendium_2021v3.pdf</x:t>
        </x:is>
      </x:c>
    </x:row>
    <x:row r="67">
      <x:c r="A67" t="n">
        <x:v>1880</x:v>
      </x:c>
      <x:c r="B67" t="inlineStr">
        <x:is>
          <x:t xml:space="preserve">Men's</x:t>
        </x:is>
      </x:c>
      <x:c r="C67" t="inlineStr">
        <x:is>
          <x:t xml:space="preserve">J.T. Hartley</x:t>
        </x:is>
      </x:c>
      <x:c r="D67" t="inlineStr">
        <x:is>
          <x:t xml:space="preserve">H.F. Lawford</x:t>
        </x:is>
      </x:c>
      <x:c r="E67" t="inlineStr">
        <x:is>
          <x:t xml:space="preserve">6-3, 6-2, 2-6, 6-3</x:t>
        </x:is>
      </x:c>
      <x:c r="F67" t="inlineStr">
        <x:is>
          <x:t xml:space="preserve">Completed</x:t>
        </x:is>
      </x:c>
      <x:c r="I67" s="35" t="inlineStr">
        <x:is>
          <x:t xml:space="preserve">Left blank - no verified full-match duration</x:t>
        </x:is>
      </x:c>
      <x:c r="J67" s="36" t="inlineStr">
        <x:is>
          <x:t xml:space="preserve">Historical result/score located, but not a verified total match duration. Partial-duration anecdotes are not used.</x:t>
        </x:is>
      </x:c>
      <x:c r="K67" t="inlineStr">
        <x:is>
          <x:t xml:space="preserve">https://www.wimbledon.com/pdf/Wimbledon_Compendium_2021v3.pdf</x:t>
        </x:is>
      </x:c>
    </x:row>
    <x:row r="68">
      <x:c r="A68" t="n">
        <x:v>1879</x:v>
      </x:c>
      <x:c r="B68" t="inlineStr">
        <x:is>
          <x:t xml:space="preserve">Men's</x:t>
        </x:is>
      </x:c>
      <x:c r="C68" t="inlineStr">
        <x:is>
          <x:t xml:space="preserve">J.T. Hartley</x:t>
        </x:is>
      </x:c>
      <x:c r="D68" t="inlineStr">
        <x:is>
          <x:t xml:space="preserve">V.T.St.L. Goold</x:t>
        </x:is>
      </x:c>
      <x:c r="E68" t="inlineStr">
        <x:is>
          <x:t xml:space="preserve">6-2, 6-4, 6-2</x:t>
        </x:is>
      </x:c>
      <x:c r="F68" t="inlineStr">
        <x:is>
          <x:t xml:space="preserve">Completed</x:t>
        </x:is>
      </x:c>
      <x:c r="I68" s="35" t="inlineStr">
        <x:is>
          <x:t xml:space="preserve">Left blank - no verified full-match duration</x:t>
        </x:is>
      </x:c>
      <x:c r="J68" s="36" t="inlineStr">
        <x:is>
          <x:t xml:space="preserve">Historical result/score located, but not a verified total match duration. Partial-duration anecdotes are not used.</x:t>
        </x:is>
      </x:c>
      <x:c r="K68" t="inlineStr">
        <x:is>
          <x:t xml:space="preserve">https://www.wimbledon.com/pdf/Wimbledon_Compendium_2021v3.pdf</x:t>
        </x:is>
      </x:c>
    </x:row>
    <x:row r="69">
      <x:c r="A69" t="n">
        <x:v>1878</x:v>
      </x:c>
      <x:c r="B69" t="inlineStr">
        <x:is>
          <x:t xml:space="preserve">Men's</x:t>
        </x:is>
      </x:c>
      <x:c r="C69" t="inlineStr">
        <x:is>
          <x:t xml:space="preserve">P.F. Hadow</x:t>
        </x:is>
      </x:c>
      <x:c r="D69" t="inlineStr">
        <x:is>
          <x:t xml:space="preserve">S.W. Gore</x:t>
        </x:is>
      </x:c>
      <x:c r="E69" t="inlineStr">
        <x:is>
          <x:t xml:space="preserve">7-5, 6-1, 9-7</x:t>
        </x:is>
      </x:c>
      <x:c r="F69" t="inlineStr">
        <x:is>
          <x:t xml:space="preserve">Completed</x:t>
        </x:is>
      </x:c>
      <x:c r="I69" s="35" t="inlineStr">
        <x:is>
          <x:t xml:space="preserve">Left blank - no verified full-match duration</x:t>
        </x:is>
      </x:c>
      <x:c r="J69" s="36" t="inlineStr">
        <x:is>
          <x:t xml:space="preserve">Historical result/score located, but not a verified total match duration. Partial-duration anecdotes are not used.</x:t>
        </x:is>
      </x:c>
      <x:c r="K69" t="inlineStr">
        <x:is>
          <x:t xml:space="preserve">https://www.wimbledon.com/pdf/Wimbledon_Compendium_2021v3.pdf</x:t>
        </x:is>
      </x:c>
    </x:row>
  </x:sheetData>
  <x:mergeCells>
    <x:mergeCell ref="A2:K2"/>
    <x:mergeCell ref="A1:K1"/>
  </x:mergeCells>
  <x:pageMargins left="0.7" right="0.7" top="0.75" bottom="0.75" header="0.3" footer="0.3"/>
  <x:tableParts count="1">
    <x:tablePart xmlns:r="http://schemas.openxmlformats.org/officeDocument/2006/relationships" r:id="R5bc6f438b32e442c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4" customWidth="1"/>
    <x:col min="2" max="2" width="12" customWidth="1"/>
    <x:col min="3" max="3" width="12" customWidth="1"/>
    <x:col min="4" max="4" width="17" customWidth="1"/>
    <x:col min="5" max="5" width="22" customWidth="1"/>
    <x:col min="6" max="6" width="17" customWidth="1"/>
    <x:col min="7" max="7" width="15" customWidth="1"/>
    <x:col min="8" max="8" width="22" customWidth="1"/>
    <x:col min="9" max="9" width="21" customWidth="1"/>
    <x:col min="10" max="10" width="19" customWidth="1"/>
    <x:col min="11" max="11" width="16" customWidth="1"/>
    <x:col min="12" max="12" width="16" customWidth="1"/>
    <x:col min="13" max="13" width="16" customWidth="1"/>
  </x:cols>
  <x:sheetData>
    <x:row r="1" ht="28" customHeight="1">
      <x:c r="A1" s="32" t="inlineStr">
        <x:is>
          <x:t xml:space="preserve">Top Wimbledon Players: Five or More Singles Titles</x:t>
        </x:is>
      </x:c>
    </x:row>
    <x:row r="2" ht="32" customHeight="1">
      <x:c r="A2" s="33" t="inlineStr">
        <x:is>
          <x:t xml:space="preserve">Final Win Rate = Wimbledon Titles / (Wimbledon Titles + Runner-up Appearances). Duration averages use recorded durations only.</x:t>
        </x:is>
      </x:c>
    </x:row>
    <x:row r="4">
      <x:c r="A4" s="34" t="inlineStr">
        <x:is>
          <x:t xml:space="preserve">Player</x:t>
        </x:is>
      </x:c>
      <x:c r="B4" s="34" t="inlineStr">
        <x:is>
          <x:t xml:space="preserve">Gender</x:t>
        </x:is>
      </x:c>
      <x:c r="C4" s="34" t="inlineStr">
        <x:is>
          <x:t xml:space="preserve">Country</x:t>
        </x:is>
      </x:c>
      <x:c r="D4" s="34" t="inlineStr">
        <x:is>
          <x:t xml:space="preserve">Wimbledon Titles</x:t>
        </x:is>
      </x:c>
      <x:c r="E4" s="34" t="inlineStr">
        <x:is>
          <x:t xml:space="preserve">Runner-up Appearances</x:t>
        </x:is>
      </x:c>
      <x:c r="F4" s="34" t="inlineStr">
        <x:is>
          <x:t xml:space="preserve">Final Appearances</x:t>
        </x:is>
      </x:c>
      <x:c r="G4" s="34" t="inlineStr">
        <x:is>
          <x:t xml:space="preserve">Final Win Rate</x:t>
        </x:is>
      </x:c>
      <x:c r="H4" s="34" t="inlineStr">
        <x:is>
          <x:t xml:space="preserve">Average Champion Seed</x:t>
        </x:is>
      </x:c>
      <x:c r="I4" s="34" t="inlineStr">
        <x:is>
          <x:t xml:space="preserve">Average Mins (known)</x:t>
        </x:is>
      </x:c>
      <x:c r="J4" s="34" t="inlineStr">
        <x:is>
          <x:t xml:space="preserve">Matches with Mins</x:t>
        </x:is>
      </x:c>
      <x:c r="K4" s="34" t="inlineStr">
        <x:is>
          <x:t xml:space="preserve">Average Games</x:t>
        </x:is>
      </x:c>
      <x:c r="L4" s="34" t="inlineStr">
        <x:is>
          <x:t xml:space="preserve">First Title Year</x:t>
        </x:is>
      </x:c>
      <x:c r="M4" s="34" t="inlineStr">
        <x:is>
          <x:t xml:space="preserve">Last Title Year</x:t>
        </x:is>
      </x:c>
    </x:row>
    <x:row r="5">
      <x:c r="A5" t="inlineStr">
        <x:is>
          <x:t xml:space="preserve">M. Navratilova</x:t>
        </x:is>
      </x:c>
      <x:c r="B5" t="inlineStr">
        <x:is>
          <x:t xml:space="preserve">Women's</x:t>
        </x:is>
      </x:c>
      <x:c r="C5" t="inlineStr">
        <x:is>
          <x:t xml:space="preserve">United States</x:t>
        </x:is>
      </x:c>
      <x:c r="D5" t="n">
        <x:v>9</x:v>
      </x:c>
      <x:c r="E5" t="n">
        <x:v>3</x:v>
      </x:c>
      <x:c r="F5" t="n">
        <x:v>12</x:v>
      </x:c>
      <x:c r="G5" s="37" t="n">
        <x:v>0.75</x:v>
      </x:c>
      <x:c r="H5" s="38" t="n">
        <x:v>1.222222222222222</x:v>
      </x:c>
      <x:c r="I5" s="38" t="n">
        <x:v>78.88888888888889</x:v>
      </x:c>
      <x:c r="J5" t="n">
        <x:v>9</x:v>
      </x:c>
      <x:c r="K5" s="38" t="n">
        <x:v>21.88888888888889</x:v>
      </x:c>
      <x:c r="L5" t="n">
        <x:v>1978</x:v>
      </x:c>
      <x:c r="M5" t="n">
        <x:v>1990</x:v>
      </x:c>
    </x:row>
    <x:row r="6">
      <x:c r="A6" t="inlineStr">
        <x:is>
          <x:t xml:space="preserve">H.W. Moody</x:t>
        </x:is>
      </x:c>
      <x:c r="B6" t="inlineStr">
        <x:is>
          <x:t xml:space="preserve">Women's</x:t>
        </x:is>
      </x:c>
      <x:c r="C6" t="inlineStr">
        <x:is>
          <x:t xml:space="preserve">United States</x:t>
        </x:is>
      </x:c>
      <x:c r="D6" t="n">
        <x:v>8</x:v>
      </x:c>
      <x:c r="E6" t="n">
        <x:v>1</x:v>
      </x:c>
      <x:c r="F6" t="n">
        <x:v>9</x:v>
      </x:c>
      <x:c r="G6" s="37" t="n">
        <x:v>0.8888888888888888</x:v>
      </x:c>
      <x:c r="H6" s="38" t="n">
        <x:v>1.375</x:v>
      </x:c>
      <x:c r="I6" s="38" t="n">
        <x:v>90</x:v>
      </x:c>
      <x:c r="J6" t="n">
        <x:v>3</x:v>
      </x:c>
      <x:c r="K6" s="38" t="n">
        <x:v>20.125</x:v>
      </x:c>
      <x:c r="L6" t="n">
        <x:v>1927</x:v>
      </x:c>
      <x:c r="M6" t="n">
        <x:v>1938</x:v>
      </x:c>
    </x:row>
    <x:row r="7">
      <x:c r="A7" t="inlineStr">
        <x:is>
          <x:t xml:space="preserve">R. Federer</x:t>
        </x:is>
      </x:c>
      <x:c r="B7" t="inlineStr">
        <x:is>
          <x:t xml:space="preserve">Men's</x:t>
        </x:is>
      </x:c>
      <x:c r="C7" t="inlineStr">
        <x:is>
          <x:t xml:space="preserve">Switzerland</x:t>
        </x:is>
      </x:c>
      <x:c r="D7" t="n">
        <x:v>8</x:v>
      </x:c>
      <x:c r="E7" t="n">
        <x:v>4</x:v>
      </x:c>
      <x:c r="F7" t="n">
        <x:v>12</x:v>
      </x:c>
      <x:c r="G7" s="37" t="n">
        <x:v>0.6666666666666666</x:v>
      </x:c>
      <x:c r="H7" s="38" t="n">
        <x:v>2</x:v>
      </x:c>
      <x:c r="I7" s="38" t="n">
        <x:v>165.875</x:v>
      </x:c>
      <x:c r="J7" t="n">
        <x:v>8</x:v>
      </x:c>
      <x:c r="K7" s="38" t="n">
        <x:v>43.375</x:v>
      </x:c>
      <x:c r="L7" t="n">
        <x:v>2003</x:v>
      </x:c>
      <x:c r="M7" t="n">
        <x:v>2017</x:v>
      </x:c>
    </x:row>
    <x:row r="8">
      <x:c r="A8" t="inlineStr">
        <x:is>
          <x:t xml:space="preserve">D.L. Chambers</x:t>
        </x:is>
      </x:c>
      <x:c r="B8" t="inlineStr">
        <x:is>
          <x:t xml:space="preserve">Women's</x:t>
        </x:is>
      </x:c>
      <x:c r="C8" t="inlineStr">
        <x:is>
          <x:t xml:space="preserve">United Kingdom</x:t>
        </x:is>
      </x:c>
      <x:c r="D8" t="n">
        <x:v>7</x:v>
      </x:c>
      <x:c r="E8" t="n">
        <x:v>4</x:v>
      </x:c>
      <x:c r="F8" t="n">
        <x:v>11</x:v>
      </x:c>
      <x:c r="G8" s="37" t="n">
        <x:v>0.6363636363636364</x:v>
      </x:c>
      <x:c r="H8" s="38" t="n"/>
      <x:c r="I8" s="38" t="n">
        <x:v>41</x:v>
      </x:c>
      <x:c r="J8" t="n">
        <x:v>2</x:v>
      </x:c>
      <x:c r="K8" s="38" t="n">
        <x:v>19.14285714285714</x:v>
      </x:c>
      <x:c r="L8" t="n">
        <x:v>1903</x:v>
      </x:c>
      <x:c r="M8" t="n">
        <x:v>1914</x:v>
      </x:c>
    </x:row>
    <x:row r="9">
      <x:c r="A9" t="inlineStr">
        <x:is>
          <x:t xml:space="preserve">N. Djokovic</x:t>
        </x:is>
      </x:c>
      <x:c r="B9" t="inlineStr">
        <x:is>
          <x:t xml:space="preserve">Men's</x:t>
        </x:is>
      </x:c>
      <x:c r="C9" t="inlineStr">
        <x:is>
          <x:t xml:space="preserve">Serbia</x:t>
        </x:is>
      </x:c>
      <x:c r="D9" t="n">
        <x:v>7</x:v>
      </x:c>
      <x:c r="E9" t="n">
        <x:v>2</x:v>
      </x:c>
      <x:c r="F9" t="n">
        <x:v>9</x:v>
      </x:c>
      <x:c r="G9" s="37" t="n">
        <x:v>0.7777777777777778</x:v>
      </x:c>
      <x:c r="H9" s="38" t="n">
        <x:v>2.714285714285714</x:v>
      </x:c>
      <x:c r="I9" s="38" t="n">
        <x:v>201.7142857142857</x:v>
      </x:c>
      <x:c r="J9" t="n">
        <x:v>7</x:v>
      </x:c>
      <x:c r="K9" s="38" t="n">
        <x:v>43.57142857142857</x:v>
      </x:c>
      <x:c r="L9" t="n">
        <x:v>2011</x:v>
      </x:c>
      <x:c r="M9" t="n">
        <x:v>2022</x:v>
      </x:c>
    </x:row>
    <x:row r="10">
      <x:c r="A10" t="inlineStr">
        <x:is>
          <x:t xml:space="preserve">P. Sampras</x:t>
        </x:is>
      </x:c>
      <x:c r="B10" t="inlineStr">
        <x:is>
          <x:t xml:space="preserve">Men's</x:t>
        </x:is>
      </x:c>
      <x:c r="C10" t="inlineStr">
        <x:is>
          <x:t xml:space="preserve">United States</x:t>
        </x:is>
      </x:c>
      <x:c r="D10" t="n">
        <x:v>7</x:v>
      </x:c>
      <x:c r="E10" t="n">
        <x:v>0</x:v>
      </x:c>
      <x:c r="F10" t="n">
        <x:v>7</x:v>
      </x:c>
      <x:c r="G10" s="37" t="n">
        <x:v>1</x:v>
      </x:c>
      <x:c r="H10" s="38" t="n">
        <x:v>1.142857142857143</x:v>
      </x:c>
      <x:c r="I10" s="38" t="n">
        <x:v>143.5714285714286</x:v>
      </x:c>
      <x:c r="J10" t="n">
        <x:v>7</x:v>
      </x:c>
      <x:c r="K10" s="38" t="n">
        <x:v>38.71428571428572</x:v>
      </x:c>
      <x:c r="L10" t="n">
        <x:v>1993</x:v>
      </x:c>
      <x:c r="M10" t="n">
        <x:v>2000</x:v>
      </x:c>
    </x:row>
    <x:row r="11">
      <x:c r="A11" t="inlineStr">
        <x:is>
          <x:t xml:space="preserve">S. Williams</x:t>
        </x:is>
      </x:c>
      <x:c r="B11" t="inlineStr">
        <x:is>
          <x:t xml:space="preserve">Women's</x:t>
        </x:is>
      </x:c>
      <x:c r="C11" t="inlineStr">
        <x:is>
          <x:t xml:space="preserve">United States</x:t>
        </x:is>
      </x:c>
      <x:c r="D11" t="n">
        <x:v>7</x:v>
      </x:c>
      <x:c r="E11" t="n">
        <x:v>4</x:v>
      </x:c>
      <x:c r="F11" t="n">
        <x:v>11</x:v>
      </x:c>
      <x:c r="G11" s="37" t="n">
        <x:v>0.6363636363636364</x:v>
      </x:c>
      <x:c r="H11" s="38" t="n">
        <x:v>2</x:v>
      </x:c>
      <x:c r="I11" s="38" t="n">
        <x:v>91.71428571428571</x:v>
      </x:c>
      <x:c r="J11" t="n">
        <x:v>7</x:v>
      </x:c>
      <x:c r="K11" s="38" t="n">
        <x:v>22.28571428571428</x:v>
      </x:c>
      <x:c r="L11" t="n">
        <x:v>2002</x:v>
      </x:c>
      <x:c r="M11" t="n">
        <x:v>2016</x:v>
      </x:c>
    </x:row>
    <x:row r="12">
      <x:c r="A12" t="inlineStr">
        <x:is>
          <x:t xml:space="preserve">S.M. Graf</x:t>
        </x:is>
      </x:c>
      <x:c r="B12" t="inlineStr">
        <x:is>
          <x:t xml:space="preserve">Women's</x:t>
        </x:is>
      </x:c>
      <x:c r="C12" t="inlineStr">
        <x:is>
          <x:t xml:space="preserve">Germany</x:t>
        </x:is>
      </x:c>
      <x:c r="D12" t="n">
        <x:v>7</x:v>
      </x:c>
      <x:c r="E12" t="n">
        <x:v>2</x:v>
      </x:c>
      <x:c r="F12" t="n">
        <x:v>9</x:v>
      </x:c>
      <x:c r="G12" s="37" t="n">
        <x:v>0.7777777777777778</x:v>
      </x:c>
      <x:c r="H12" s="38" t="n">
        <x:v>1.142857142857143</x:v>
      </x:c>
      <x:c r="I12" s="38" t="n">
        <x:v>102</x:v>
      </x:c>
      <x:c r="J12" t="n">
        <x:v>7</x:v>
      </x:c>
      <x:c r="K12" s="38" t="n">
        <x:v>26.14285714285714</x:v>
      </x:c>
      <x:c r="L12" t="n">
        <x:v>1988</x:v>
      </x:c>
      <x:c r="M12" t="n">
        <x:v>1996</x:v>
      </x:c>
    </x:row>
    <x:row r="13">
      <x:c r="A13" t="inlineStr">
        <x:is>
          <x:t xml:space="preserve">W.C. Renshaw</x:t>
        </x:is>
      </x:c>
      <x:c r="B13" t="inlineStr">
        <x:is>
          <x:t xml:space="preserve">Men's</x:t>
        </x:is>
      </x:c>
      <x:c r="C13" t="inlineStr">
        <x:is>
          <x:t xml:space="preserve">United Kingdom</x:t>
        </x:is>
      </x:c>
      <x:c r="D13" t="n">
        <x:v>7</x:v>
      </x:c>
      <x:c r="E13" t="n">
        <x:v>1</x:v>
      </x:c>
      <x:c r="F13" t="n">
        <x:v>8</x:v>
      </x:c>
      <x:c r="G13" s="37" t="n">
        <x:v>0.875</x:v>
      </x:c>
      <x:c r="H13" s="38" t="n"/>
      <x:c r="I13" s="38" t="n">
        <x:v>80.14285714285714</x:v>
      </x:c>
      <x:c r="J13" t="n">
        <x:v>7</x:v>
      </x:c>
      <x:c r="K13" s="38" t="n">
        <x:v>35.57142857142857</x:v>
      </x:c>
      <x:c r="L13" t="n">
        <x:v>1881</x:v>
      </x:c>
      <x:c r="M13" t="n">
        <x:v>1889</x:v>
      </x:c>
    </x:row>
    <x:row r="14">
      <x:c r="A14" t="inlineStr">
        <x:is>
          <x:t xml:space="preserve">G.W. Hillyard</x:t>
        </x:is>
      </x:c>
      <x:c r="B14" t="inlineStr">
        <x:is>
          <x:t xml:space="preserve">Women's</x:t>
        </x:is>
      </x:c>
      <x:c r="C14" t="inlineStr">
        <x:is>
          <x:t xml:space="preserve">United Kingdom</x:t>
        </x:is>
      </x:c>
      <x:c r="D14" t="n">
        <x:v>6</x:v>
      </x:c>
      <x:c r="E14" t="n">
        <x:v>7</x:v>
      </x:c>
      <x:c r="F14" t="n">
        <x:v>13</x:v>
      </x:c>
      <x:c r="G14" s="37" t="n">
        <x:v>0.4615384615384616</x:v>
      </x:c>
      <x:c r="H14" s="38" t="n"/>
      <x:c r="I14" s="38" t="n"/>
      <x:c r="J14" t="n">
        <x:v>0</x:v>
      </x:c>
      <x:c r="K14" s="38" t="n">
        <x:v>24.16666666666667</x:v>
      </x:c>
      <x:c r="L14" t="n">
        <x:v>1886</x:v>
      </x:c>
      <x:c r="M14" t="n">
        <x:v>1900</x:v>
      </x:c>
    </x:row>
    <x:row r="15">
      <x:c r="A15" t="inlineStr">
        <x:is>
          <x:t xml:space="preserve">L.W. King</x:t>
        </x:is>
      </x:c>
      <x:c r="B15" t="inlineStr">
        <x:is>
          <x:t xml:space="preserve">Women's</x:t>
        </x:is>
      </x:c>
      <x:c r="C15" t="inlineStr">
        <x:is>
          <x:t xml:space="preserve">United States</x:t>
        </x:is>
      </x:c>
      <x:c r="D15" t="n">
        <x:v>6</x:v>
      </x:c>
      <x:c r="E15" t="n">
        <x:v>2</x:v>
      </x:c>
      <x:c r="F15" t="n">
        <x:v>8</x:v>
      </x:c>
      <x:c r="G15" s="37" t="n">
        <x:v>0.75</x:v>
      </x:c>
      <x:c r="H15" s="38" t="n">
        <x:v>2.166666666666667</x:v>
      </x:c>
      <x:c r="I15" s="38" t="n">
        <x:v>56.33333333333334</x:v>
      </x:c>
      <x:c r="J15" t="n">
        <x:v>6</x:v>
      </x:c>
      <x:c r="K15" s="38" t="n">
        <x:v>20.16666666666667</x:v>
      </x:c>
      <x:c r="L15" t="n">
        <x:v>1966</x:v>
      </x:c>
      <x:c r="M15" t="n">
        <x:v>1975</x:v>
      </x:c>
    </x:row>
    <x:row r="16">
      <x:c r="A16" t="inlineStr">
        <x:is>
          <x:t xml:space="preserve">S.R.F. Lenglen</x:t>
        </x:is>
      </x:c>
      <x:c r="B16" t="inlineStr">
        <x:is>
          <x:t xml:space="preserve">Women's</x:t>
        </x:is>
      </x:c>
      <x:c r="C16" t="inlineStr">
        <x:is>
          <x:t xml:space="preserve">France</x:t>
        </x:is>
      </x:c>
      <x:c r="D16" t="n">
        <x:v>6</x:v>
      </x:c>
      <x:c r="E16" t="n">
        <x:v>0</x:v>
      </x:c>
      <x:c r="F16" t="n">
        <x:v>6</x:v>
      </x:c>
      <x:c r="G16" s="37" t="n">
        <x:v>1</x:v>
      </x:c>
      <x:c r="H16" s="38" t="n"/>
      <x:c r="I16" s="38" t="n">
        <x:v>57.66666666666666</x:v>
      </x:c>
      <x:c r="J16" t="n">
        <x:v>3</x:v>
      </x:c>
      <x:c r="K16" s="38" t="n">
        <x:v>19.5</x:v>
      </x:c>
      <x:c r="L16" t="n">
        <x:v>1919</x:v>
      </x:c>
      <x:c r="M16" t="n">
        <x:v>1925</x:v>
      </x:c>
    </x:row>
    <x:row r="17">
      <x:c r="A17" t="inlineStr">
        <x:is>
          <x:t xml:space="preserve">B.R. Borg</x:t>
        </x:is>
      </x:c>
      <x:c r="B17" t="inlineStr">
        <x:is>
          <x:t xml:space="preserve">Men's</x:t>
        </x:is>
      </x:c>
      <x:c r="C17" t="inlineStr">
        <x:is>
          <x:t xml:space="preserve">Sweden</x:t>
        </x:is>
      </x:c>
      <x:c r="D17" t="n">
        <x:v>5</x:v>
      </x:c>
      <x:c r="E17" t="n">
        <x:v>1</x:v>
      </x:c>
      <x:c r="F17" t="n">
        <x:v>6</x:v>
      </x:c>
      <x:c r="G17" s="37" t="n">
        <x:v>0.8333333333333334</x:v>
      </x:c>
      <x:c r="H17" s="38" t="n">
        <x:v>1.8</x:v>
      </x:c>
      <x:c r="I17" s="38" t="n">
        <x:v>162.8</x:v>
      </x:c>
      <x:c r="J17" t="n">
        <x:v>5</x:v>
      </x:c>
      <x:c r="K17" s="38" t="n">
        <x:v>41.6</x:v>
      </x:c>
      <x:c r="L17" t="n">
        <x:v>1976</x:v>
      </x:c>
      <x:c r="M17" t="n">
        <x:v>1980</x:v>
      </x:c>
    </x:row>
    <x:row r="18">
      <x:c r="A18" t="inlineStr">
        <x:is>
          <x:t xml:space="preserve">C. Dod</x:t>
        </x:is>
      </x:c>
      <x:c r="B18" t="inlineStr">
        <x:is>
          <x:t xml:space="preserve">Women's</x:t>
        </x:is>
      </x:c>
      <x:c r="C18" t="inlineStr">
        <x:is>
          <x:t xml:space="preserve">United Kingdom</x:t>
        </x:is>
      </x:c>
      <x:c r="D18" t="n">
        <x:v>5</x:v>
      </x:c>
      <x:c r="E18" t="n">
        <x:v>0</x:v>
      </x:c>
      <x:c r="F18" t="n">
        <x:v>5</x:v>
      </x:c>
      <x:c r="G18" s="37" t="n">
        <x:v>1</x:v>
      </x:c>
      <x:c r="H18" s="38" t="n"/>
      <x:c r="I18" s="38" t="n"/>
      <x:c r="J18" t="n">
        <x:v>0</x:v>
      </x:c>
      <x:c r="K18" s="38" t="n">
        <x:v>18.4</x:v>
      </x:c>
      <x:c r="L18" t="n">
        <x:v>1887</x:v>
      </x:c>
      <x:c r="M18" t="n">
        <x:v>1893</x:v>
      </x:c>
    </x:row>
    <x:row r="19">
      <x:c r="A19" t="inlineStr">
        <x:is>
          <x:t xml:space="preserve">C.R. Cooper</x:t>
        </x:is>
      </x:c>
      <x:c r="B19" t="inlineStr">
        <x:is>
          <x:t xml:space="preserve">Women's</x:t>
        </x:is>
      </x:c>
      <x:c r="C19" t="inlineStr">
        <x:is>
          <x:t xml:space="preserve">United Kingdom</x:t>
        </x:is>
      </x:c>
      <x:c r="D19" t="n">
        <x:v>5</x:v>
      </x:c>
      <x:c r="E19" t="n">
        <x:v>6</x:v>
      </x:c>
      <x:c r="F19" t="n">
        <x:v>11</x:v>
      </x:c>
      <x:c r="G19" s="37" t="n">
        <x:v>0.4545454545454545</x:v>
      </x:c>
      <x:c r="H19" s="38" t="n"/>
      <x:c r="I19" s="38" t="n"/>
      <x:c r="J19" t="n">
        <x:v>0</x:v>
      </x:c>
      <x:c r="K19" s="38" t="n">
        <x:v>19.8</x:v>
      </x:c>
      <x:c r="L19" t="n">
        <x:v>1895</x:v>
      </x:c>
      <x:c r="M19" t="n">
        <x:v>1908</x:v>
      </x:c>
    </x:row>
    <x:row r="20">
      <x:c r="A20" t="inlineStr">
        <x:is>
          <x:t xml:space="preserve">H.L. Doherty</x:t>
        </x:is>
      </x:c>
      <x:c r="B20" t="inlineStr">
        <x:is>
          <x:t xml:space="preserve">Men's</x:t>
        </x:is>
      </x:c>
      <x:c r="C20" t="inlineStr">
        <x:is>
          <x:t xml:space="preserve">United Kingdom</x:t>
        </x:is>
      </x:c>
      <x:c r="D20" t="n">
        <x:v>5</x:v>
      </x:c>
      <x:c r="E20" t="n">
        <x:v>1</x:v>
      </x:c>
      <x:c r="F20" t="n">
        <x:v>6</x:v>
      </x:c>
      <x:c r="G20" s="37" t="n">
        <x:v>0.8333333333333334</x:v>
      </x:c>
      <x:c r="H20" s="38" t="n"/>
      <x:c r="I20" s="38" t="n">
        <x:v>74.33333333333333</x:v>
      </x:c>
      <x:c r="J20" t="n">
        <x:v>3</x:v>
      </x:c>
      <x:c r="K20" s="38" t="n">
        <x:v>32.6</x:v>
      </x:c>
      <x:c r="L20" t="n">
        <x:v>1902</x:v>
      </x:c>
      <x:c r="M20" t="n">
        <x:v>1906</x:v>
      </x:c>
    </x:row>
    <x:row r="21">
      <x:c r="A21" t="inlineStr">
        <x:is>
          <x:t xml:space="preserve">V.E.S. Williams</x:t>
        </x:is>
      </x:c>
      <x:c r="B21" t="inlineStr">
        <x:is>
          <x:t xml:space="preserve">Women's</x:t>
        </x:is>
      </x:c>
      <x:c r="C21" t="inlineStr">
        <x:is>
          <x:t xml:space="preserve">United States</x:t>
        </x:is>
      </x:c>
      <x:c r="D21" t="n">
        <x:v>5</x:v>
      </x:c>
      <x:c r="E21" t="n">
        <x:v>4</x:v>
      </x:c>
      <x:c r="F21" t="n">
        <x:v>9</x:v>
      </x:c>
      <x:c r="G21" s="37" t="n">
        <x:v>0.5555555555555556</x:v>
      </x:c>
      <x:c r="H21" s="38" t="n">
        <x:v>10.2</x:v>
      </x:c>
      <x:c r="I21" s="38" t="n">
        <x:v>104</x:v>
      </x:c>
      <x:c r="J21" t="n">
        <x:v>5</x:v>
      </x:c>
      <x:c r="K21" s="38" t="n">
        <x:v>24.4</x:v>
      </x:c>
      <x:c r="L21" t="n">
        <x:v>2000</x:v>
      </x:c>
      <x:c r="M21" t="n">
        <x:v>2008</x:v>
      </x:c>
    </x:row>
  </x:sheetData>
  <x:mergeCells>
    <x:mergeCell ref="A2:M2"/>
    <x:mergeCell ref="A1:M1"/>
  </x:mergeCells>
  <x:pageMargins left="0.7" right="0.7" top="0.75" bottom="0.75" header="0.3" footer="0.3"/>
  <x:tableParts count="1">
    <x:tablePart xmlns:r="http://schemas.openxmlformats.org/officeDocument/2006/relationships" r:id="Re2b4fdaafd4e4970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2" customWidth="1"/>
    <x:col min="3" max="3" width="17" customWidth="1"/>
    <x:col min="4" max="4" width="22" customWidth="1"/>
    <x:col min="5" max="5" width="18" customWidth="1"/>
    <x:col min="6" max="6" width="23" customWidth="1"/>
  </x:cols>
  <x:sheetData>
    <x:row r="1" ht="28" customHeight="1">
      <x:c r="A1" s="32" t="inlineStr">
        <x:is>
          <x:t xml:space="preserve">Country and Gender Summary</x:t>
        </x:is>
      </x:c>
    </x:row>
    <x:row r="2" ht="32" customHeight="1">
      <x:c r="A2" s="33" t="inlineStr">
        <x:is>
          <x:t xml:space="preserve">Country codes are retained from the supplied dataset for Tableau geographic mapping.</x:t>
        </x:is>
      </x:c>
    </x:row>
    <x:row r="4">
      <x:c r="A4" s="34" t="inlineStr">
        <x:is>
          <x:t xml:space="preserve">Country</x:t>
        </x:is>
      </x:c>
      <x:c r="B4" s="34" t="inlineStr">
        <x:is>
          <x:t xml:space="preserve">Gender</x:t>
        </x:is>
      </x:c>
      <x:c r="C4" s="34" t="inlineStr">
        <x:is>
          <x:t xml:space="preserve">Championships</x:t>
        </x:is>
      </x:c>
      <x:c r="D4" s="34" t="inlineStr">
        <x:is>
          <x:t xml:space="preserve">Runner-up Appearances</x:t>
        </x:is>
      </x:c>
      <x:c r="E4" s="34" t="inlineStr">
        <x:is>
          <x:t xml:space="preserve">Final Appearances</x:t>
        </x:is>
      </x:c>
      <x:c r="F4" s="34" t="inlineStr">
        <x:is>
          <x:t xml:space="preserve">Final Conversion Rate</x:t>
        </x:is>
      </x:c>
    </x:row>
    <x:row r="5">
      <x:c r="A5" t="inlineStr">
        <x:is>
          <x:t xml:space="preserve">United States</x:t>
        </x:is>
      </x:c>
      <x:c r="B5" t="inlineStr">
        <x:is>
          <x:t xml:space="preserve">Women's</x:t>
        </x:is>
      </x:c>
      <x:c r="C5" t="n">
        <x:v>57</x:v>
      </x:c>
      <x:c r="D5" t="n">
        <x:v>48</x:v>
      </x:c>
      <x:c r="E5" t="n">
        <x:v>105</x:v>
      </x:c>
      <x:c r="F5" s="37" t="n">
        <x:v>0.5428571428571428</x:v>
      </x:c>
    </x:row>
    <x:row r="6">
      <x:c r="A6" t="inlineStr">
        <x:is>
          <x:t xml:space="preserve">United Kingdom</x:t>
        </x:is>
      </x:c>
      <x:c r="B6" t="inlineStr">
        <x:is>
          <x:t xml:space="preserve">Men's</x:t>
        </x:is>
      </x:c>
      <x:c r="C6" t="n">
        <x:v>37</x:v>
      </x:c>
      <x:c r="D6" t="n">
        <x:v>39</x:v>
      </x:c>
      <x:c r="E6" t="n">
        <x:v>76</x:v>
      </x:c>
      <x:c r="F6" s="37" t="n">
        <x:v>0.4868421052631579</x:v>
      </x:c>
    </x:row>
    <x:row r="7">
      <x:c r="A7" t="inlineStr">
        <x:is>
          <x:t xml:space="preserve">United Kingdom</x:t>
        </x:is>
      </x:c>
      <x:c r="B7" t="inlineStr">
        <x:is>
          <x:t xml:space="preserve">Women's</x:t>
        </x:is>
      </x:c>
      <x:c r="C7" t="n">
        <x:v>36</x:v>
      </x:c>
      <x:c r="D7" t="n">
        <x:v>40</x:v>
      </x:c>
      <x:c r="E7" t="n">
        <x:v>76</x:v>
      </x:c>
      <x:c r="F7" s="37" t="n">
        <x:v>0.4736842105263158</x:v>
      </x:c>
    </x:row>
    <x:row r="8">
      <x:c r="A8" t="inlineStr">
        <x:is>
          <x:t xml:space="preserve">United States</x:t>
        </x:is>
      </x:c>
      <x:c r="B8" t="inlineStr">
        <x:is>
          <x:t xml:space="preserve">Men's</x:t>
        </x:is>
      </x:c>
      <x:c r="C8" t="n">
        <x:v>33</x:v>
      </x:c>
      <x:c r="D8" t="n">
        <x:v>25</x:v>
      </x:c>
      <x:c r="E8" t="n">
        <x:v>58</x:v>
      </x:c>
      <x:c r="F8" s="37" t="n">
        <x:v>0.5689655172413793</x:v>
      </x:c>
    </x:row>
    <x:row r="9">
      <x:c r="A9" t="inlineStr">
        <x:is>
          <x:t xml:space="preserve">Australia</x:t>
        </x:is>
      </x:c>
      <x:c r="B9" t="inlineStr">
        <x:is>
          <x:t xml:space="preserve">Men's</x:t>
        </x:is>
      </x:c>
      <x:c r="C9" t="n">
        <x:v>21</x:v>
      </x:c>
      <x:c r="D9" t="n">
        <x:v>26</x:v>
      </x:c>
      <x:c r="E9" t="n">
        <x:v>47</x:v>
      </x:c>
      <x:c r="F9" s="37" t="n">
        <x:v>0.4468085106382979</x:v>
      </x:c>
    </x:row>
    <x:row r="10">
      <x:c r="A10" t="inlineStr">
        <x:is>
          <x:t xml:space="preserve">Germany</x:t>
        </x:is>
      </x:c>
      <x:c r="B10" t="inlineStr">
        <x:is>
          <x:t xml:space="preserve">Women's</x:t>
        </x:is>
      </x:c>
      <x:c r="C10" t="n">
        <x:v>9</x:v>
      </x:c>
      <x:c r="D10" t="n">
        <x:v>6</x:v>
      </x:c>
      <x:c r="E10" t="n">
        <x:v>15</x:v>
      </x:c>
      <x:c r="F10" s="37" t="n">
        <x:v>0.6</x:v>
      </x:c>
    </x:row>
    <x:row r="11">
      <x:c r="A11" t="inlineStr">
        <x:is>
          <x:t xml:space="preserve">France</x:t>
        </x:is>
      </x:c>
      <x:c r="B11" t="inlineStr">
        <x:is>
          <x:t xml:space="preserve">Women's</x:t>
        </x:is>
      </x:c>
      <x:c r="C11" t="n">
        <x:v>8</x:v>
      </x:c>
      <x:c r="D11" t="n">
        <x:v>2</x:v>
      </x:c>
      <x:c r="E11" t="n">
        <x:v>10</x:v>
      </x:c>
      <x:c r="F11" s="37" t="n">
        <x:v>0.8</x:v>
      </x:c>
    </x:row>
    <x:row r="12">
      <x:c r="A12" t="inlineStr">
        <x:is>
          <x:t xml:space="preserve">Switzerland</x:t>
        </x:is>
      </x:c>
      <x:c r="B12" t="inlineStr">
        <x:is>
          <x:t xml:space="preserve">Men's</x:t>
        </x:is>
      </x:c>
      <x:c r="C12" t="n">
        <x:v>8</x:v>
      </x:c>
      <x:c r="D12" t="n">
        <x:v>4</x:v>
      </x:c>
      <x:c r="E12" t="n">
        <x:v>12</x:v>
      </x:c>
      <x:c r="F12" s="37" t="n">
        <x:v>0.6666666666666666</x:v>
      </x:c>
    </x:row>
    <x:row r="13">
      <x:c r="A13" t="inlineStr">
        <x:is>
          <x:t xml:space="preserve">France</x:t>
        </x:is>
      </x:c>
      <x:c r="B13" t="inlineStr">
        <x:is>
          <x:t xml:space="preserve">Men's</x:t>
        </x:is>
      </x:c>
      <x:c r="C13" t="n">
        <x:v>7</x:v>
      </x:c>
      <x:c r="D13" t="n">
        <x:v>6</x:v>
      </x:c>
      <x:c r="E13" t="n">
        <x:v>13</x:v>
      </x:c>
      <x:c r="F13" s="37" t="n">
        <x:v>0.5384615384615384</x:v>
      </x:c>
    </x:row>
    <x:row r="14">
      <x:c r="A14" t="inlineStr">
        <x:is>
          <x:t xml:space="preserve">Serbia</x:t>
        </x:is>
      </x:c>
      <x:c r="B14" t="inlineStr">
        <x:is>
          <x:t xml:space="preserve">Men's</x:t>
        </x:is>
      </x:c>
      <x:c r="C14" t="n">
        <x:v>7</x:v>
      </x:c>
      <x:c r="D14" t="n">
        <x:v>3</x:v>
      </x:c>
      <x:c r="E14" t="n">
        <x:v>10</x:v>
      </x:c>
      <x:c r="F14" s="37" t="n">
        <x:v>0.7</x:v>
      </x:c>
    </x:row>
    <x:row r="15">
      <x:c r="A15" t="inlineStr">
        <x:is>
          <x:t xml:space="preserve">Sweden</x:t>
        </x:is>
      </x:c>
      <x:c r="B15" t="inlineStr">
        <x:is>
          <x:t xml:space="preserve">Men's</x:t>
        </x:is>
      </x:c>
      <x:c r="C15" t="n">
        <x:v>7</x:v>
      </x:c>
      <x:c r="D15" t="n">
        <x:v>2</x:v>
      </x:c>
      <x:c r="E15" t="n">
        <x:v>9</x:v>
      </x:c>
      <x:c r="F15" s="37" t="n">
        <x:v>0.7777777777777778</x:v>
      </x:c>
    </x:row>
    <x:row r="16">
      <x:c r="A16" t="inlineStr">
        <x:is>
          <x:t xml:space="preserve">Australia</x:t>
        </x:is>
      </x:c>
      <x:c r="B16" t="inlineStr">
        <x:is>
          <x:t xml:space="preserve">Women's</x:t>
        </x:is>
      </x:c>
      <x:c r="C16" t="n">
        <x:v>6</x:v>
      </x:c>
      <x:c r="D16" t="n">
        <x:v>6</x:v>
      </x:c>
      <x:c r="E16" t="n">
        <x:v>12</x:v>
      </x:c>
      <x:c r="F16" s="37" t="n">
        <x:v>0.5</x:v>
      </x:c>
    </x:row>
    <x:row r="17">
      <x:c r="A17" t="inlineStr">
        <x:is>
          <x:t xml:space="preserve">Czechia</x:t>
        </x:is>
      </x:c>
      <x:c r="B17" t="inlineStr">
        <x:is>
          <x:t xml:space="preserve">Women's</x:t>
        </x:is>
      </x:c>
      <x:c r="C17" t="n">
        <x:v>6</x:v>
      </x:c>
      <x:c r="D17" t="n">
        <x:v>7</x:v>
      </x:c>
      <x:c r="E17" t="n">
        <x:v>13</x:v>
      </x:c>
      <x:c r="F17" s="37" t="n">
        <x:v>0.4615384615384616</x:v>
      </x:c>
    </x:row>
    <x:row r="18">
      <x:c r="A18" t="inlineStr">
        <x:is>
          <x:t xml:space="preserve">Spain</x:t>
        </x:is>
      </x:c>
      <x:c r="B18" t="inlineStr">
        <x:is>
          <x:t xml:space="preserve">Men's</x:t>
        </x:is>
      </x:c>
      <x:c r="C18" t="n">
        <x:v>5</x:v>
      </x:c>
      <x:c r="D18" t="n">
        <x:v>4</x:v>
      </x:c>
      <x:c r="E18" t="n">
        <x:v>9</x:v>
      </x:c>
      <x:c r="F18" s="37" t="n">
        <x:v>0.5555555555555556</x:v>
      </x:c>
    </x:row>
    <x:row r="19">
      <x:c r="A19" t="inlineStr">
        <x:is>
          <x:t xml:space="preserve">Germany</x:t>
        </x:is>
      </x:c>
      <x:c r="B19" t="inlineStr">
        <x:is>
          <x:t xml:space="preserve">Men's</x:t>
        </x:is>
      </x:c>
      <x:c r="C19" t="n">
        <x:v>4</x:v>
      </x:c>
      <x:c r="D19" t="n">
        <x:v>9</x:v>
      </x:c>
      <x:c r="E19" t="n">
        <x:v>13</x:v>
      </x:c>
      <x:c r="F19" s="37" t="n">
        <x:v>0.3076923076923077</x:v>
      </x:c>
    </x:row>
    <x:row r="20">
      <x:c r="A20" t="inlineStr">
        <x:is>
          <x:t xml:space="preserve">New Zealand</x:t>
        </x:is>
      </x:c>
      <x:c r="B20" t="inlineStr">
        <x:is>
          <x:t xml:space="preserve">Men's</x:t>
        </x:is>
      </x:c>
      <x:c r="C20" t="n">
        <x:v>4</x:v>
      </x:c>
      <x:c r="D20" t="n">
        <x:v>2</x:v>
      </x:c>
      <x:c r="E20" t="n">
        <x:v>6</x:v>
      </x:c>
      <x:c r="F20" s="37" t="n">
        <x:v>0.6666666666666666</x:v>
      </x:c>
    </x:row>
    <x:row r="21">
      <x:c r="A21" t="inlineStr">
        <x:is>
          <x:t xml:space="preserve">Brazil</x:t>
        </x:is>
      </x:c>
      <x:c r="B21" t="inlineStr">
        <x:is>
          <x:t xml:space="preserve">Women's</x:t>
        </x:is>
      </x:c>
      <x:c r="C21" t="n">
        <x:v>3</x:v>
      </x:c>
      <x:c r="D21" t="n">
        <x:v>2</x:v>
      </x:c>
      <x:c r="E21" t="n">
        <x:v>5</x:v>
      </x:c>
      <x:c r="F21" s="37" t="n">
        <x:v>0.6</x:v>
      </x:c>
    </x:row>
    <x:row r="22">
      <x:c r="A22" t="inlineStr">
        <x:is>
          <x:t xml:space="preserve">Czechia</x:t>
        </x:is>
      </x:c>
      <x:c r="B22" t="inlineStr">
        <x:is>
          <x:t xml:space="preserve">Men's</x:t>
        </x:is>
      </x:c>
      <x:c r="C22" t="n">
        <x:v>2</x:v>
      </x:c>
      <x:c r="D22" t="n">
        <x:v>5</x:v>
      </x:c>
      <x:c r="E22" t="n">
        <x:v>7</x:v>
      </x:c>
      <x:c r="F22" s="37" t="n">
        <x:v>0.2857142857142857</x:v>
      </x:c>
    </x:row>
    <x:row r="23">
      <x:c r="A23" t="inlineStr">
        <x:is>
          <x:t xml:space="preserve">Italy</x:t>
        </x:is>
      </x:c>
      <x:c r="B23" t="inlineStr">
        <x:is>
          <x:t xml:space="preserve">Men's</x:t>
        </x:is>
      </x:c>
      <x:c r="C23" t="n">
        <x:v>2</x:v>
      </x:c>
      <x:c r="D23" t="n">
        <x:v>1</x:v>
      </x:c>
      <x:c r="E23" t="n">
        <x:v>3</x:v>
      </x:c>
      <x:c r="F23" s="37" t="n">
        <x:v>0.6666666666666666</x:v>
      </x:c>
    </x:row>
    <x:row r="24">
      <x:c r="A24" t="inlineStr">
        <x:is>
          <x:t xml:space="preserve">Spain</x:t>
        </x:is>
      </x:c>
      <x:c r="B24" t="inlineStr">
        <x:is>
          <x:t xml:space="preserve">Women's</x:t>
        </x:is>
      </x:c>
      <x:c r="C24" t="n">
        <x:v>2</x:v>
      </x:c>
      <x:c r="D24" t="n">
        <x:v>6</x:v>
      </x:c>
      <x:c r="E24" t="n">
        <x:v>8</x:v>
      </x:c>
      <x:c r="F24" s="37" t="n">
        <x:v>0.25</x:v>
      </x:c>
    </x:row>
    <x:row r="25">
      <x:c r="A25" t="inlineStr">
        <x:is>
          <x:t xml:space="preserve">Croatia</x:t>
        </x:is>
      </x:c>
      <x:c r="B25" t="inlineStr">
        <x:is>
          <x:t xml:space="preserve">Men's</x:t>
        </x:is>
      </x:c>
      <x:c r="C25" t="n">
        <x:v>1</x:v>
      </x:c>
      <x:c r="D25" t="n">
        <x:v>4</x:v>
      </x:c>
      <x:c r="E25" t="n">
        <x:v>5</x:v>
      </x:c>
      <x:c r="F25" s="37" t="n">
        <x:v>0.2</x:v>
      </x:c>
    </x:row>
    <x:row r="26">
      <x:c r="A26" t="inlineStr">
        <x:is>
          <x:t xml:space="preserve">Kazakhstan</x:t>
        </x:is>
      </x:c>
      <x:c r="B26" t="inlineStr">
        <x:is>
          <x:t xml:space="preserve">Women's</x:t>
        </x:is>
      </x:c>
      <x:c r="C26" t="n">
        <x:v>1</x:v>
      </x:c>
      <x:c r="D26" t="n">
        <x:v>0</x:v>
      </x:c>
      <x:c r="E26" t="n">
        <x:v>1</x:v>
      </x:c>
      <x:c r="F26" s="37" t="n">
        <x:v>1</x:v>
      </x:c>
    </x:row>
    <x:row r="27">
      <x:c r="A27" t="inlineStr">
        <x:is>
          <x:t xml:space="preserve">Netherlands</x:t>
        </x:is>
      </x:c>
      <x:c r="B27" t="inlineStr">
        <x:is>
          <x:t xml:space="preserve">Men's</x:t>
        </x:is>
      </x:c>
      <x:c r="C27" t="n">
        <x:v>1</x:v>
      </x:c>
      <x:c r="D27" t="n">
        <x:v>0</x:v>
      </x:c>
      <x:c r="E27" t="n">
        <x:v>1</x:v>
      </x:c>
      <x:c r="F27" s="37" t="n">
        <x:v>1</x:v>
      </x:c>
    </x:row>
    <x:row r="28">
      <x:c r="A28" t="inlineStr">
        <x:is>
          <x:t xml:space="preserve">Poland</x:t>
        </x:is>
      </x:c>
      <x:c r="B28" t="inlineStr">
        <x:is>
          <x:t xml:space="preserve">Women's</x:t>
        </x:is>
      </x:c>
      <x:c r="C28" t="n">
        <x:v>1</x:v>
      </x:c>
      <x:c r="D28" t="n">
        <x:v>2</x:v>
      </x:c>
      <x:c r="E28" t="n">
        <x:v>3</x:v>
      </x:c>
      <x:c r="F28" s="37" t="n">
        <x:v>0.3333333333333333</x:v>
      </x:c>
    </x:row>
    <x:row r="29">
      <x:c r="A29" t="inlineStr">
        <x:is>
          <x:t xml:space="preserve">Romania</x:t>
        </x:is>
      </x:c>
      <x:c r="B29" t="inlineStr">
        <x:is>
          <x:t xml:space="preserve">Women's</x:t>
        </x:is>
      </x:c>
      <x:c r="C29" t="n">
        <x:v>1</x:v>
      </x:c>
      <x:c r="D29" t="n">
        <x:v>0</x:v>
      </x:c>
      <x:c r="E29" t="n">
        <x:v>1</x:v>
      </x:c>
      <x:c r="F29" s="37" t="n">
        <x:v>1</x:v>
      </x:c>
    </x:row>
    <x:row r="30">
      <x:c r="A30" t="inlineStr">
        <x:is>
          <x:t xml:space="preserve">Russia</x:t>
        </x:is>
      </x:c>
      <x:c r="B30" t="inlineStr">
        <x:is>
          <x:t xml:space="preserve">Women's</x:t>
        </x:is>
      </x:c>
      <x:c r="C30" t="n">
        <x:v>1</x:v>
      </x:c>
      <x:c r="D30" t="n">
        <x:v>2</x:v>
      </x:c>
      <x:c r="E30" t="n">
        <x:v>3</x:v>
      </x:c>
      <x:c r="F30" s="37" t="n">
        <x:v>0.3333333333333333</x:v>
      </x:c>
    </x:row>
    <x:row r="31">
      <x:c r="A31" t="inlineStr">
        <x:is>
          <x:t xml:space="preserve">Switzerland</x:t>
        </x:is>
      </x:c>
      <x:c r="B31" t="inlineStr">
        <x:is>
          <x:t xml:space="preserve">Women's</x:t>
        </x:is>
      </x:c>
      <x:c r="C31" t="n">
        <x:v>1</x:v>
      </x:c>
      <x:c r="D31" t="n">
        <x:v>0</x:v>
      </x:c>
      <x:c r="E31" t="n">
        <x:v>1</x:v>
      </x:c>
      <x:c r="F31" s="37" t="n">
        <x:v>1</x:v>
      </x:c>
    </x:row>
    <x:row r="32">
      <x:c r="A32" t="inlineStr">
        <x:is>
          <x:t xml:space="preserve">Argentina</x:t>
        </x:is>
      </x:c>
      <x:c r="B32" t="inlineStr">
        <x:is>
          <x:t xml:space="preserve">Men's</x:t>
        </x:is>
      </x:c>
      <x:c r="C32" t="n">
        <x:v>0</x:v>
      </x:c>
      <x:c r="D32" t="n">
        <x:v>1</x:v>
      </x:c>
      <x:c r="E32" t="n">
        <x:v>1</x:v>
      </x:c>
      <x:c r="F32" s="37" t="n">
        <x:v>0</x:v>
      </x:c>
    </x:row>
    <x:row r="33">
      <x:c r="A33" t="inlineStr">
        <x:is>
          <x:t xml:space="preserve">Argentina</x:t>
        </x:is>
      </x:c>
      <x:c r="B33" t="inlineStr">
        <x:is>
          <x:t xml:space="preserve">Women's</x:t>
        </x:is>
      </x:c>
      <x:c r="C33" t="n">
        <x:v>0</x:v>
      </x:c>
      <x:c r="D33" t="n">
        <x:v>1</x:v>
      </x:c>
      <x:c r="E33" t="n">
        <x:v>1</x:v>
      </x:c>
      <x:c r="F33" s="37" t="n">
        <x:v>0</x:v>
      </x:c>
    </x:row>
    <x:row r="34">
      <x:c r="A34" t="inlineStr">
        <x:is>
          <x:t xml:space="preserve">Belgium</x:t>
        </x:is>
      </x:c>
      <x:c r="B34" t="inlineStr">
        <x:is>
          <x:t xml:space="preserve">Women's</x:t>
        </x:is>
      </x:c>
      <x:c r="C34" t="n">
        <x:v>0</x:v>
      </x:c>
      <x:c r="D34" t="n">
        <x:v>2</x:v>
      </x:c>
      <x:c r="E34" t="n">
        <x:v>2</x:v>
      </x:c>
      <x:c r="F34" s="37" t="n">
        <x:v>0</x:v>
      </x:c>
    </x:row>
    <x:row r="35">
      <x:c r="A35" t="inlineStr">
        <x:is>
          <x:t xml:space="preserve">Canada</x:t>
        </x:is>
      </x:c>
      <x:c r="B35" t="inlineStr">
        <x:is>
          <x:t xml:space="preserve">Men's</x:t>
        </x:is>
      </x:c>
      <x:c r="C35" t="n">
        <x:v>0</x:v>
      </x:c>
      <x:c r="D35" t="n">
        <x:v>1</x:v>
      </x:c>
      <x:c r="E35" t="n">
        <x:v>1</x:v>
      </x:c>
      <x:c r="F35" s="37" t="n">
        <x:v>0</x:v>
      </x:c>
    </x:row>
    <x:row r="36">
      <x:c r="A36" t="inlineStr">
        <x:is>
          <x:t xml:space="preserve">Canada</x:t>
        </x:is>
      </x:c>
      <x:c r="B36" t="inlineStr">
        <x:is>
          <x:t xml:space="preserve">Women's</x:t>
        </x:is>
      </x:c>
      <x:c r="C36" t="n">
        <x:v>0</x:v>
      </x:c>
      <x:c r="D36" t="n">
        <x:v>1</x:v>
      </x:c>
      <x:c r="E36" t="n">
        <x:v>1</x:v>
      </x:c>
      <x:c r="F36" s="37" t="n">
        <x:v>0</x:v>
      </x:c>
    </x:row>
    <x:row r="37">
      <x:c r="A37" t="inlineStr">
        <x:is>
          <x:t xml:space="preserve">Denmark</x:t>
        </x:is>
      </x:c>
      <x:c r="B37" t="inlineStr">
        <x:is>
          <x:t xml:space="preserve">Men's</x:t>
        </x:is>
      </x:c>
      <x:c r="C37" t="n">
        <x:v>0</x:v>
      </x:c>
      <x:c r="D37" t="n">
        <x:v>2</x:v>
      </x:c>
      <x:c r="E37" t="n">
        <x:v>2</x:v>
      </x:c>
      <x:c r="F37" s="37" t="n">
        <x:v>0</x:v>
      </x:c>
    </x:row>
    <x:row r="38">
      <x:c r="A38" t="inlineStr">
        <x:is>
          <x:t xml:space="preserve">Italy</x:t>
        </x:is>
      </x:c>
      <x:c r="B38" t="inlineStr">
        <x:is>
          <x:t xml:space="preserve">Women's</x:t>
        </x:is>
      </x:c>
      <x:c r="C38" t="n">
        <x:v>0</x:v>
      </x:c>
      <x:c r="D38" t="n">
        <x:v>1</x:v>
      </x:c>
      <x:c r="E38" t="n">
        <x:v>1</x:v>
      </x:c>
      <x:c r="F38" s="37" t="n">
        <x:v>0</x:v>
      </x:c>
    </x:row>
    <x:row r="39">
      <x:c r="A39" t="inlineStr">
        <x:is>
          <x:t xml:space="preserve">Netherlands</x:t>
        </x:is>
      </x:c>
      <x:c r="B39" t="inlineStr">
        <x:is>
          <x:t xml:space="preserve">Women's</x:t>
        </x:is>
      </x:c>
      <x:c r="C39" t="n">
        <x:v>0</x:v>
      </x:c>
      <x:c r="D39" t="n">
        <x:v>1</x:v>
      </x:c>
      <x:c r="E39" t="n">
        <x:v>1</x:v>
      </x:c>
      <x:c r="F39" s="37" t="n">
        <x:v>0</x:v>
      </x:c>
    </x:row>
    <x:row r="40">
      <x:c r="A40" t="inlineStr">
        <x:is>
          <x:t xml:space="preserve">Romania</x:t>
        </x:is>
      </x:c>
      <x:c r="B40" t="inlineStr">
        <x:is>
          <x:t xml:space="preserve">Men's</x:t>
        </x:is>
      </x:c>
      <x:c r="C40" t="n">
        <x:v>0</x:v>
      </x:c>
      <x:c r="D40" t="n">
        <x:v>2</x:v>
      </x:c>
      <x:c r="E40" t="n">
        <x:v>2</x:v>
      </x:c>
      <x:c r="F40" s="37" t="n">
        <x:v>0</x:v>
      </x:c>
    </x:row>
    <x:row r="41">
      <x:c r="A41" t="inlineStr">
        <x:is>
          <x:t xml:space="preserve">Serbia</x:t>
        </x:is>
      </x:c>
      <x:c r="B41" t="inlineStr">
        <x:is>
          <x:t xml:space="preserve">Women's</x:t>
        </x:is>
      </x:c>
      <x:c r="C41" t="n">
        <x:v>0</x:v>
      </x:c>
      <x:c r="D41" t="n">
        <x:v>1</x:v>
      </x:c>
      <x:c r="E41" t="n">
        <x:v>1</x:v>
      </x:c>
      <x:c r="F41" s="37" t="n">
        <x:v>0</x:v>
      </x:c>
    </x:row>
    <x:row r="42">
      <x:c r="A42" t="inlineStr">
        <x:is>
          <x:t xml:space="preserve">South Africa</x:t>
        </x:is>
      </x:c>
      <x:c r="B42" t="inlineStr">
        <x:is>
          <x:t xml:space="preserve">Men's</x:t>
        </x:is>
      </x:c>
      <x:c r="C42" t="n">
        <x:v>0</x:v>
      </x:c>
      <x:c r="D42" t="n">
        <x:v>2</x:v>
      </x:c>
      <x:c r="E42" t="n">
        <x:v>2</x:v>
      </x:c>
      <x:c r="F42" s="37" t="n">
        <x:v>0</x:v>
      </x:c>
    </x:row>
    <x:row r="43">
      <x:c r="A43" t="inlineStr">
        <x:is>
          <x:t xml:space="preserve">South Africa</x:t>
        </x:is>
      </x:c>
      <x:c r="B43" t="inlineStr">
        <x:is>
          <x:t xml:space="preserve">Women's</x:t>
        </x:is>
      </x:c>
      <x:c r="C43" t="n">
        <x:v>0</x:v>
      </x:c>
      <x:c r="D43" t="n">
        <x:v>1</x:v>
      </x:c>
      <x:c r="E43" t="n">
        <x:v>1</x:v>
      </x:c>
      <x:c r="F43" s="37" t="n">
        <x:v>0</x:v>
      </x:c>
    </x:row>
    <x:row r="44">
      <x:c r="A44" t="inlineStr">
        <x:is>
          <x:t xml:space="preserve">Soviet Union</x:t>
        </x:is>
      </x:c>
      <x:c r="B44" t="inlineStr">
        <x:is>
          <x:t xml:space="preserve">Men's</x:t>
        </x:is>
      </x:c>
      <x:c r="C44" t="n">
        <x:v>0</x:v>
      </x:c>
      <x:c r="D44" t="n">
        <x:v>1</x:v>
      </x:c>
      <x:c r="E44" t="n">
        <x:v>1</x:v>
      </x:c>
      <x:c r="F44" s="37" t="n">
        <x:v>0</x:v>
      </x:c>
    </x:row>
    <x:row r="45">
      <x:c r="A45" t="inlineStr">
        <x:is>
          <x:t xml:space="preserve">Soviet Union</x:t>
        </x:is>
      </x:c>
      <x:c r="B45" t="inlineStr">
        <x:is>
          <x:t xml:space="preserve">Women's</x:t>
        </x:is>
      </x:c>
      <x:c r="C45" t="n">
        <x:v>0</x:v>
      </x:c>
      <x:c r="D45" t="n">
        <x:v>1</x:v>
      </x:c>
      <x:c r="E45" t="n">
        <x:v>1</x:v>
      </x:c>
      <x:c r="F45" s="37" t="n">
        <x:v>0</x:v>
      </x:c>
    </x:row>
    <x:row r="46">
      <x:c r="A46" t="inlineStr">
        <x:is>
          <x:t xml:space="preserve">Tunisia</x:t>
        </x:is>
      </x:c>
      <x:c r="B46" t="inlineStr">
        <x:is>
          <x:t xml:space="preserve">Women's</x:t>
        </x:is>
      </x:c>
      <x:c r="C46" t="n">
        <x:v>0</x:v>
      </x:c>
      <x:c r="D46" t="n">
        <x:v>2</x:v>
      </x:c>
      <x:c r="E46" t="n">
        <x:v>2</x:v>
      </x:c>
      <x:c r="F46" s="37" t="n">
        <x:v>0</x:v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fe4128825f554c8a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0" customWidth="1"/>
    <x:col min="4" max="4" width="18" customWidth="1"/>
    <x:col min="5" max="5" width="20" customWidth="1"/>
    <x:col min="6" max="6" width="16" customWidth="1"/>
    <x:col min="7" max="7" width="15" customWidth="1"/>
    <x:col min="8" max="8" width="18" customWidth="1"/>
    <x:col min="9" max="9" width="15" customWidth="1"/>
  </x:cols>
  <x:sheetData>
    <x:row r="1" ht="28" customHeight="1">
      <x:c r="A1" s="32" t="inlineStr">
        <x:is>
          <x:t xml:space="preserve">Championship Finals by Decade and Gender</x:t>
        </x:is>
      </x:c>
    </x:row>
    <x:row r="2" ht="32" customHeight="1">
      <x:c r="A2" s="33" t="inlineStr">
        <x:is>
          <x:t xml:space="preserve">Average Mins uses only matches with a recorded duration; this prevents historic missing durations from being treated as zero.</x:t>
        </x:is>
      </x:c>
    </x:row>
    <x:row r="4">
      <x:c r="A4" s="34" t="inlineStr">
        <x:is>
          <x:t xml:space="preserve">Decade</x:t>
        </x:is>
      </x:c>
      <x:c r="B4" s="34" t="inlineStr">
        <x:is>
          <x:t xml:space="preserve">Gender</x:t>
        </x:is>
      </x:c>
      <x:c r="C4" s="34" t="inlineStr">
        <x:is>
          <x:t xml:space="preserve">Finals</x:t>
        </x:is>
      </x:c>
      <x:c r="D4" s="34" t="inlineStr">
        <x:is>
          <x:t xml:space="preserve">Finals with Mins</x:t>
        </x:is>
      </x:c>
      <x:c r="E4" s="34" t="inlineStr">
        <x:is>
          <x:t xml:space="preserve">Average Mins (known)</x:t>
        </x:is>
      </x:c>
      <x:c r="F4" s="34" t="inlineStr">
        <x:is>
          <x:t xml:space="preserve">Average Games</x:t>
        </x:is>
      </x:c>
      <x:c r="G4" s="34" t="inlineStr">
        <x:is>
          <x:t xml:space="preserve">Average Sets</x:t>
        </x:is>
      </x:c>
      <x:c r="H4" s="34" t="inlineStr">
        <x:is>
          <x:t xml:space="preserve">Seeded Champions</x:t>
        </x:is>
      </x:c>
      <x:c r="I4" s="34" t="inlineStr">
        <x:is>
          <x:t xml:space="preserve">Share Seeded</x:t>
        </x:is>
      </x:c>
    </x:row>
    <x:row r="5">
      <x:c r="A5" t="inlineStr">
        <x:is>
          <x:t xml:space="preserve">1870s</x:t>
        </x:is>
      </x:c>
      <x:c r="B5" t="inlineStr">
        <x:is>
          <x:t xml:space="preserve">Men's</x:t>
        </x:is>
      </x:c>
      <x:c r="C5" t="n">
        <x:v>3</x:v>
      </x:c>
      <x:c r="D5" t="n">
        <x:v>1</x:v>
      </x:c>
      <x:c r="E5" s="38" t="n">
        <x:v>48</x:v>
      </x:c>
      <x:c r="F5" s="38" t="n">
        <x:v>28.66666666666667</x:v>
      </x:c>
      <x:c r="G5" s="38" t="n">
        <x:v>3</x:v>
      </x:c>
      <x:c r="H5" t="n">
        <x:v>0</x:v>
      </x:c>
      <x:c r="I5" s="37" t="n">
        <x:v>0</x:v>
      </x:c>
    </x:row>
    <x:row r="6">
      <x:c r="A6" t="inlineStr">
        <x:is>
          <x:t xml:space="preserve">1880s</x:t>
        </x:is>
      </x:c>
      <x:c r="B6" t="inlineStr">
        <x:is>
          <x:t xml:space="preserve">Men's</x:t>
        </x:is>
      </x:c>
      <x:c r="C6" t="n">
        <x:v>10</x:v>
      </x:c>
      <x:c r="D6" t="n">
        <x:v>9</x:v>
      </x:c>
      <x:c r="E6" s="38" t="n">
        <x:v>81.33333333333333</x:v>
      </x:c>
      <x:c r="F6" s="38" t="n">
        <x:v>35.5</x:v>
      </x:c>
      <x:c r="G6" s="38" t="n">
        <x:v>4</x:v>
      </x:c>
      <x:c r="H6" t="n">
        <x:v>0</x:v>
      </x:c>
      <x:c r="I6" s="37" t="n">
        <x:v>0</x:v>
      </x:c>
    </x:row>
    <x:row r="7">
      <x:c r="A7" t="inlineStr">
        <x:is>
          <x:t xml:space="preserve">1880s</x:t>
        </x:is>
      </x:c>
      <x:c r="B7" t="inlineStr">
        <x:is>
          <x:t xml:space="preserve">Women's</x:t>
        </x:is>
      </x:c>
      <x:c r="C7" t="n">
        <x:v>6</x:v>
      </x:c>
      <x:c r="D7" t="n">
        <x:v>0</x:v>
      </x:c>
      <x:c r="E7" s="38" t="n"/>
      <x:c r="F7" s="38" t="n">
        <x:v>22.5</x:v>
      </x:c>
      <x:c r="G7" s="38" t="n">
        <x:v>2.333333333333333</x:v>
      </x:c>
      <x:c r="H7" t="n">
        <x:v>0</x:v>
      </x:c>
      <x:c r="I7" s="37" t="n">
        <x:v>0</x:v>
      </x:c>
    </x:row>
    <x:row r="8">
      <x:c r="A8" t="inlineStr">
        <x:is>
          <x:t xml:space="preserve">1890s</x:t>
        </x:is>
      </x:c>
      <x:c r="B8" t="inlineStr">
        <x:is>
          <x:t xml:space="preserve">Men's</x:t>
        </x:is>
      </x:c>
      <x:c r="C8" t="n">
        <x:v>10</x:v>
      </x:c>
      <x:c r="D8" t="n">
        <x:v>8</x:v>
      </x:c>
      <x:c r="E8" s="38" t="n">
        <x:v>86.25</x:v>
      </x:c>
      <x:c r="F8" s="38" t="n">
        <x:v>41.3</x:v>
      </x:c>
      <x:c r="G8" s="38" t="n">
        <x:v>4.3</x:v>
      </x:c>
      <x:c r="H8" t="n">
        <x:v>0</x:v>
      </x:c>
      <x:c r="I8" s="37" t="n">
        <x:v>0</x:v>
      </x:c>
    </x:row>
    <x:row r="9">
      <x:c r="A9" t="inlineStr">
        <x:is>
          <x:t xml:space="preserve">1890s</x:t>
        </x:is>
      </x:c>
      <x:c r="B9" t="inlineStr">
        <x:is>
          <x:t xml:space="preserve">Women's</x:t>
        </x:is>
      </x:c>
      <x:c r="C9" t="n">
        <x:v>10</x:v>
      </x:c>
      <x:c r="D9" t="n">
        <x:v>0</x:v>
      </x:c>
      <x:c r="E9" s="38" t="n"/>
      <x:c r="F9" s="38" t="n">
        <x:v>20.3</x:v>
      </x:c>
      <x:c r="G9" s="38" t="n">
        <x:v>2.2</x:v>
      </x:c>
      <x:c r="H9" t="n">
        <x:v>0</x:v>
      </x:c>
      <x:c r="I9" s="37" t="n">
        <x:v>0</x:v>
      </x:c>
    </x:row>
    <x:row r="10">
      <x:c r="A10" t="inlineStr">
        <x:is>
          <x:t xml:space="preserve">1900s</x:t>
        </x:is>
      </x:c>
      <x:c r="B10" t="inlineStr">
        <x:is>
          <x:t xml:space="preserve">Men's</x:t>
        </x:is>
      </x:c>
      <x:c r="C10" t="n">
        <x:v>10</x:v>
      </x:c>
      <x:c r="D10" t="n">
        <x:v>5</x:v>
      </x:c>
      <x:c r="E10" s="38" t="n">
        <x:v>82.59999999999999</x:v>
      </x:c>
      <x:c r="F10" s="38" t="n">
        <x:v>36</x:v>
      </x:c>
      <x:c r="G10" s="38" t="n">
        <x:v>3.8</x:v>
      </x:c>
      <x:c r="H10" t="n">
        <x:v>0</x:v>
      </x:c>
      <x:c r="I10" s="37" t="n">
        <x:v>0</x:v>
      </x:c>
    </x:row>
    <x:row r="11">
      <x:c r="A11" t="inlineStr">
        <x:is>
          <x:t xml:space="preserve">1900s</x:t>
        </x:is>
      </x:c>
      <x:c r="B11" t="inlineStr">
        <x:is>
          <x:t xml:space="preserve">Women's</x:t>
        </x:is>
      </x:c>
      <x:c r="C11" t="n">
        <x:v>10</x:v>
      </x:c>
      <x:c r="D11" t="n">
        <x:v>1</x:v>
      </x:c>
      <x:c r="E11" s="38" t="n">
        <x:v>57</x:v>
      </x:c>
      <x:c r="F11" s="38" t="n">
        <x:v>22.3</x:v>
      </x:c>
      <x:c r="G11" s="38" t="n">
        <x:v>2.3</x:v>
      </x:c>
      <x:c r="H11" t="n">
        <x:v>0</x:v>
      </x:c>
      <x:c r="I11" s="37" t="n">
        <x:v>0</x:v>
      </x:c>
    </x:row>
    <x:row r="12">
      <x:c r="A12" t="inlineStr">
        <x:is>
          <x:t xml:space="preserve">1910s</x:t>
        </x:is>
      </x:c>
      <x:c r="B12" t="inlineStr">
        <x:is>
          <x:t xml:space="preserve">Men's</x:t>
        </x:is>
      </x:c>
      <x:c r="C12" t="n">
        <x:v>6</x:v>
      </x:c>
      <x:c r="D12" t="n">
        <x:v>0</x:v>
      </x:c>
      <x:c r="E12" s="38" t="n"/>
      <x:c r="F12" s="38" t="n">
        <x:v>36.33333333333334</x:v>
      </x:c>
      <x:c r="G12" s="38" t="n">
        <x:v>3.5</x:v>
      </x:c>
      <x:c r="H12" t="n">
        <x:v>0</x:v>
      </x:c>
      <x:c r="I12" s="37" t="n">
        <x:v>0</x:v>
      </x:c>
    </x:row>
    <x:row r="13">
      <x:c r="A13" t="inlineStr">
        <x:is>
          <x:t xml:space="preserve">1910s</x:t>
        </x:is>
      </x:c>
      <x:c r="B13" t="inlineStr">
        <x:is>
          <x:t xml:space="preserve">Women's</x:t>
        </x:is>
      </x:c>
      <x:c r="C13" t="n">
        <x:v>6</x:v>
      </x:c>
      <x:c r="D13" t="n">
        <x:v>2</x:v>
      </x:c>
      <x:c r="E13" s="38" t="n">
        <x:v>75</x:v>
      </x:c>
      <x:c r="F13" s="38" t="n">
        <x:v>21</x:v>
      </x:c>
      <x:c r="G13" s="38" t="n">
        <x:v>2.166666666666667</x:v>
      </x:c>
      <x:c r="H13" t="n">
        <x:v>0</x:v>
      </x:c>
      <x:c r="I13" s="37" t="n">
        <x:v>0</x:v>
      </x:c>
    </x:row>
    <x:row r="14">
      <x:c r="A14" t="inlineStr">
        <x:is>
          <x:t xml:space="preserve">1920s</x:t>
        </x:is>
      </x:c>
      <x:c r="B14" t="inlineStr">
        <x:is>
          <x:t xml:space="preserve">Men's</x:t>
        </x:is>
      </x:c>
      <x:c r="C14" t="n">
        <x:v>10</x:v>
      </x:c>
      <x:c r="D14" t="n">
        <x:v>4</x:v>
      </x:c>
      <x:c r="E14" s="38" t="n">
        <x:v>62.75</x:v>
      </x:c>
      <x:c r="F14" s="38" t="n">
        <x:v>35.6</x:v>
      </x:c>
      <x:c r="G14" s="38" t="n">
        <x:v>3.9</x:v>
      </x:c>
      <x:c r="H14" t="n">
        <x:v>3</x:v>
      </x:c>
      <x:c r="I14" s="37" t="n">
        <x:v>0.3</x:v>
      </x:c>
    </x:row>
    <x:row r="15">
      <x:c r="A15" t="inlineStr">
        <x:is>
          <x:t xml:space="preserve">1920s</x:t>
        </x:is>
      </x:c>
      <x:c r="B15" t="inlineStr">
        <x:is>
          <x:t xml:space="preserve">Women's</x:t>
        </x:is>
      </x:c>
      <x:c r="C15" t="n">
        <x:v>10</x:v>
      </x:c>
      <x:c r="D15" t="n">
        <x:v>4</x:v>
      </x:c>
      <x:c r="E15" s="38" t="n">
        <x:v>45.75</x:v>
      </x:c>
      <x:c r="F15" s="38" t="n">
        <x:v>18</x:v>
      </x:c>
      <x:c r="G15" s="38" t="n">
        <x:v>2.2</x:v>
      </x:c>
      <x:c r="H15" t="n">
        <x:v>3</x:v>
      </x:c>
      <x:c r="I15" s="37" t="n">
        <x:v>0.3</x:v>
      </x:c>
    </x:row>
    <x:row r="16">
      <x:c r="A16" t="inlineStr">
        <x:is>
          <x:t xml:space="preserve">1930s</x:t>
        </x:is>
      </x:c>
      <x:c r="B16" t="inlineStr">
        <x:is>
          <x:t xml:space="preserve">Men's</x:t>
        </x:is>
      </x:c>
      <x:c r="C16" t="n">
        <x:v>10</x:v>
      </x:c>
      <x:c r="D16" t="n">
        <x:v>9</x:v>
      </x:c>
      <x:c r="E16" s="38" t="n">
        <x:v>76.77777777777777</x:v>
      </x:c>
      <x:c r="F16" s="38" t="n">
        <x:v>31.66666666666667</x:v>
      </x:c>
      <x:c r="G16" s="38" t="n">
        <x:v>3.1</x:v>
      </x:c>
      <x:c r="H16" t="n">
        <x:v>10</x:v>
      </x:c>
      <x:c r="I16" s="37" t="n">
        <x:v>1</x:v>
      </x:c>
    </x:row>
    <x:row r="17">
      <x:c r="A17" t="inlineStr">
        <x:is>
          <x:t xml:space="preserve">1930s</x:t>
        </x:is>
      </x:c>
      <x:c r="B17" t="inlineStr">
        <x:is>
          <x:t xml:space="preserve">Women's</x:t>
        </x:is>
      </x:c>
      <x:c r="C17" t="n">
        <x:v>10</x:v>
      </x:c>
      <x:c r="D17" t="n">
        <x:v>6</x:v>
      </x:c>
      <x:c r="E17" s="38" t="n">
        <x:v>76.83333333333333</x:v>
      </x:c>
      <x:c r="F17" s="38" t="n">
        <x:v>23.2</x:v>
      </x:c>
      <x:c r="G17" s="38" t="n">
        <x:v>2.5</x:v>
      </x:c>
      <x:c r="H17" t="n">
        <x:v>10</x:v>
      </x:c>
      <x:c r="I17" s="37" t="n">
        <x:v>1</x:v>
      </x:c>
    </x:row>
    <x:row r="18">
      <x:c r="A18" t="inlineStr">
        <x:is>
          <x:t xml:space="preserve">1940s</x:t>
        </x:is>
      </x:c>
      <x:c r="B18" t="inlineStr">
        <x:is>
          <x:t xml:space="preserve">Men's</x:t>
        </x:is>
      </x:c>
      <x:c r="C18" t="n">
        <x:v>4</x:v>
      </x:c>
      <x:c r="D18" t="n">
        <x:v>3</x:v>
      </x:c>
      <x:c r="E18" s="38" t="n">
        <x:v>90</x:v>
      </x:c>
      <x:c r="F18" s="38" t="n">
        <x:v>42.75</x:v>
      </x:c>
      <x:c r="G18" s="38" t="n">
        <x:v>4.5</x:v>
      </x:c>
      <x:c r="H18" t="n">
        <x:v>4</x:v>
      </x:c>
      <x:c r="I18" s="37" t="n">
        <x:v>1</x:v>
      </x:c>
    </x:row>
    <x:row r="19">
      <x:c r="A19" t="inlineStr">
        <x:is>
          <x:t xml:space="preserve">1940s</x:t>
        </x:is>
      </x:c>
      <x:c r="B19" t="inlineStr">
        <x:is>
          <x:t xml:space="preserve">Women's</x:t>
        </x:is>
      </x:c>
      <x:c r="C19" t="n">
        <x:v>4</x:v>
      </x:c>
      <x:c r="D19" t="n">
        <x:v>2</x:v>
      </x:c>
      <x:c r="E19" s="38" t="n">
        <x:v>98</x:v>
      </x:c>
      <x:c r="F19" s="38" t="n">
        <x:v>25.5</x:v>
      </x:c>
      <x:c r="G19" s="38" t="n">
        <x:v>2.25</x:v>
      </x:c>
      <x:c r="H19" t="n">
        <x:v>4</x:v>
      </x:c>
      <x:c r="I19" s="37" t="n">
        <x:v>1</x:v>
      </x:c>
    </x:row>
    <x:row r="20">
      <x:c r="A20" t="inlineStr">
        <x:is>
          <x:t xml:space="preserve">1950s</x:t>
        </x:is>
      </x:c>
      <x:c r="B20" t="inlineStr">
        <x:is>
          <x:t xml:space="preserve">Men's</x:t>
        </x:is>
      </x:c>
      <x:c r="C20" t="n">
        <x:v>10</x:v>
      </x:c>
      <x:c r="D20" t="n">
        <x:v>10</x:v>
      </x:c>
      <x:c r="E20" s="38" t="n">
        <x:v>94.7</x:v>
      </x:c>
      <x:c r="F20" s="38" t="n">
        <x:v>37.2</x:v>
      </x:c>
      <x:c r="G20" s="38" t="n">
        <x:v>3.5</x:v>
      </x:c>
      <x:c r="H20" t="n">
        <x:v>10</x:v>
      </x:c>
      <x:c r="I20" s="37" t="n">
        <x:v>1</x:v>
      </x:c>
    </x:row>
    <x:row r="21">
      <x:c r="A21" t="inlineStr">
        <x:is>
          <x:t xml:space="preserve">1950s</x:t>
        </x:is>
      </x:c>
      <x:c r="B21" t="inlineStr">
        <x:is>
          <x:t xml:space="preserve">Women's</x:t>
        </x:is>
      </x:c>
      <x:c r="C21" t="n">
        <x:v>10</x:v>
      </x:c>
      <x:c r="D21" t="n">
        <x:v>10</x:v>
      </x:c>
      <x:c r="E21" s="38" t="n">
        <x:v>57.4</x:v>
      </x:c>
      <x:c r="F21" s="38" t="n">
        <x:v>20.3</x:v>
      </x:c>
      <x:c r="G21" s="38" t="n">
        <x:v>2.1</x:v>
      </x:c>
      <x:c r="H21" t="n">
        <x:v>10</x:v>
      </x:c>
      <x:c r="I21" s="37" t="n">
        <x:v>1</x:v>
      </x:c>
    </x:row>
    <x:row r="22">
      <x:c r="A22" t="inlineStr">
        <x:is>
          <x:t xml:space="preserve">1960s</x:t>
        </x:is>
      </x:c>
      <x:c r="B22" t="inlineStr">
        <x:is>
          <x:t xml:space="preserve">Men's</x:t>
        </x:is>
      </x:c>
      <x:c r="C22" t="n">
        <x:v>10</x:v>
      </x:c>
      <x:c r="D22" t="n">
        <x:v>10</x:v>
      </x:c>
      <x:c r="E22" s="38" t="n">
        <x:v>87.90000000000001</x:v>
      </x:c>
      <x:c r="F22" s="38" t="n">
        <x:v>34</x:v>
      </x:c>
      <x:c r="G22" s="38" t="n">
        <x:v>3.3</x:v>
      </x:c>
      <x:c r="H22" t="n">
        <x:v>10</x:v>
      </x:c>
      <x:c r="I22" s="37" t="n">
        <x:v>1</x:v>
      </x:c>
    </x:row>
    <x:row r="23">
      <x:c r="A23" t="inlineStr">
        <x:is>
          <x:t xml:space="preserve">1960s</x:t>
        </x:is>
      </x:c>
      <x:c r="B23" t="inlineStr">
        <x:is>
          <x:t xml:space="preserve">Women's</x:t>
        </x:is>
      </x:c>
      <x:c r="C23" t="n">
        <x:v>10</x:v>
      </x:c>
      <x:c r="D23" t="n">
        <x:v>10</x:v>
      </x:c>
      <x:c r="E23" s="38" t="n">
        <x:v>67.7</x:v>
      </x:c>
      <x:c r="F23" s="38" t="n">
        <x:v>24.6</x:v>
      </x:c>
      <x:c r="G23" s="38" t="n">
        <x:v>2.4</x:v>
      </x:c>
      <x:c r="H23" t="n">
        <x:v>10</x:v>
      </x:c>
      <x:c r="I23" s="37" t="n">
        <x:v>1</x:v>
      </x:c>
    </x:row>
    <x:row r="24">
      <x:c r="A24" t="inlineStr">
        <x:is>
          <x:t xml:space="preserve">1970s</x:t>
        </x:is>
      </x:c>
      <x:c r="B24" t="inlineStr">
        <x:is>
          <x:t xml:space="preserve">Men's</x:t>
        </x:is>
      </x:c>
      <x:c r="C24" t="n">
        <x:v>10</x:v>
      </x:c>
      <x:c r="D24" t="n">
        <x:v>10</x:v>
      </x:c>
      <x:c r="E24" s="38" t="n">
        <x:v>140.3</x:v>
      </x:c>
      <x:c r="F24" s="38" t="n">
        <x:v>39</x:v>
      </x:c>
      <x:c r="G24" s="38" t="n">
        <x:v>4.1</x:v>
      </x:c>
      <x:c r="H24" t="n">
        <x:v>10</x:v>
      </x:c>
      <x:c r="I24" s="37" t="n">
        <x:v>1</x:v>
      </x:c>
    </x:row>
    <x:row r="25">
      <x:c r="A25" t="inlineStr">
        <x:is>
          <x:t xml:space="preserve">1970s</x:t>
        </x:is>
      </x:c>
      <x:c r="B25" t="inlineStr">
        <x:is>
          <x:t xml:space="preserve">Women's</x:t>
        </x:is>
      </x:c>
      <x:c r="C25" t="n">
        <x:v>10</x:v>
      </x:c>
      <x:c r="D25" t="n">
        <x:v>10</x:v>
      </x:c>
      <x:c r="E25" s="38" t="n">
        <x:v>79</x:v>
      </x:c>
      <x:c r="F25" s="38" t="n">
        <x:v>23.7</x:v>
      </x:c>
      <x:c r="G25" s="38" t="n">
        <x:v>2.3</x:v>
      </x:c>
      <x:c r="H25" t="n">
        <x:v>10</x:v>
      </x:c>
      <x:c r="I25" s="37" t="n">
        <x:v>1</x:v>
      </x:c>
    </x:row>
    <x:row r="26">
      <x:c r="A26" t="inlineStr">
        <x:is>
          <x:t xml:space="preserve">1980s</x:t>
        </x:is>
      </x:c>
      <x:c r="B26" t="inlineStr">
        <x:is>
          <x:t xml:space="preserve">Men's</x:t>
        </x:is>
      </x:c>
      <x:c r="C26" t="n">
        <x:v>10</x:v>
      </x:c>
      <x:c r="D26" t="n">
        <x:v>10</x:v>
      </x:c>
      <x:c r="E26" s="38" t="n">
        <x:v>164.3</x:v>
      </x:c>
      <x:c r="F26" s="38" t="n">
        <x:v>38</x:v>
      </x:c>
      <x:c r="G26" s="38" t="n">
        <x:v>3.7</x:v>
      </x:c>
      <x:c r="H26" t="n">
        <x:v>9</x:v>
      </x:c>
      <x:c r="I26" s="37" t="n">
        <x:v>0.9</x:v>
      </x:c>
    </x:row>
    <x:row r="27">
      <x:c r="A27" t="inlineStr">
        <x:is>
          <x:t xml:space="preserve">1980s</x:t>
        </x:is>
      </x:c>
      <x:c r="B27" t="inlineStr">
        <x:is>
          <x:t xml:space="preserve">Women's</x:t>
        </x:is>
      </x:c>
      <x:c r="C27" t="n">
        <x:v>10</x:v>
      </x:c>
      <x:c r="D27" t="n">
        <x:v>10</x:v>
      </x:c>
      <x:c r="E27" s="38" t="n">
        <x:v>81.09999999999999</x:v>
      </x:c>
      <x:c r="F27" s="38" t="n">
        <x:v>22.1</x:v>
      </x:c>
      <x:c r="G27" s="38" t="n">
        <x:v>2.4</x:v>
      </x:c>
      <x:c r="H27" t="n">
        <x:v>10</x:v>
      </x:c>
      <x:c r="I27" s="37" t="n">
        <x:v>1</x:v>
      </x:c>
    </x:row>
    <x:row r="28">
      <x:c r="A28" t="inlineStr">
        <x:is>
          <x:t xml:space="preserve">1990s</x:t>
        </x:is>
      </x:c>
      <x:c r="B28" t="inlineStr">
        <x:is>
          <x:t xml:space="preserve">Men's</x:t>
        </x:is>
      </x:c>
      <x:c r="C28" t="n">
        <x:v>10</x:v>
      </x:c>
      <x:c r="D28" t="n">
        <x:v>10</x:v>
      </x:c>
      <x:c r="E28" s="38" t="n">
        <x:v>141.8</x:v>
      </x:c>
      <x:c r="F28" s="38" t="n">
        <x:v>38.2</x:v>
      </x:c>
      <x:c r="G28" s="38" t="n">
        <x:v>3.8</x:v>
      </x:c>
      <x:c r="H28" t="n">
        <x:v>9</x:v>
      </x:c>
      <x:c r="I28" s="37" t="n">
        <x:v>0.9</x:v>
      </x:c>
    </x:row>
    <x:row r="29">
      <x:c r="A29" t="inlineStr">
        <x:is>
          <x:t xml:space="preserve">1990s</x:t>
        </x:is>
      </x:c>
      <x:c r="B29" t="inlineStr">
        <x:is>
          <x:t xml:space="preserve">Women's</x:t>
        </x:is>
      </x:c>
      <x:c r="C29" t="n">
        <x:v>10</x:v>
      </x:c>
      <x:c r="D29" t="n">
        <x:v>10</x:v>
      </x:c>
      <x:c r="E29" s="38" t="n">
        <x:v>100.2</x:v>
      </x:c>
      <x:c r="F29" s="38" t="n">
        <x:v>24.4</x:v>
      </x:c>
      <x:c r="G29" s="38" t="n">
        <x:v>2.5</x:v>
      </x:c>
      <x:c r="H29" t="n">
        <x:v>10</x:v>
      </x:c>
      <x:c r="I29" s="37" t="n">
        <x:v>1</x:v>
      </x:c>
    </x:row>
    <x:row r="30">
      <x:c r="A30" t="inlineStr">
        <x:is>
          <x:t xml:space="preserve">2000s</x:t>
        </x:is>
      </x:c>
      <x:c r="B30" t="inlineStr">
        <x:is>
          <x:t xml:space="preserve">Men's</x:t>
        </x:is>
      </x:c>
      <x:c r="C30" t="n">
        <x:v>10</x:v>
      </x:c>
      <x:c r="D30" t="n">
        <x:v>10</x:v>
      </x:c>
      <x:c r="E30" s="38" t="n">
        <x:v>179</x:v>
      </x:c>
      <x:c r="F30" s="38" t="n">
        <x:v>46.1</x:v>
      </x:c>
      <x:c r="G30" s="38" t="n">
        <x:v>4.1</x:v>
      </x:c>
      <x:c r="H30" t="n">
        <x:v>9</x:v>
      </x:c>
      <x:c r="I30" s="37" t="n">
        <x:v>0.9</x:v>
      </x:c>
    </x:row>
    <x:row r="31">
      <x:c r="A31" t="inlineStr">
        <x:is>
          <x:t xml:space="preserve">2000s</x:t>
        </x:is>
      </x:c>
      <x:c r="B31" t="inlineStr">
        <x:is>
          <x:t xml:space="preserve">Women's</x:t>
        </x:is>
      </x:c>
      <x:c r="C31" t="n">
        <x:v>10</x:v>
      </x:c>
      <x:c r="D31" t="n">
        <x:v>10</x:v>
      </x:c>
      <x:c r="E31" s="38" t="n">
        <x:v>100.4</x:v>
      </x:c>
      <x:c r="F31" s="38" t="n">
        <x:v>23.7</x:v>
      </x:c>
      <x:c r="G31" s="38" t="n">
        <x:v>2.4</x:v>
      </x:c>
      <x:c r="H31" t="n">
        <x:v>10</x:v>
      </x:c>
      <x:c r="I31" s="37" t="n">
        <x:v>1</x:v>
      </x:c>
    </x:row>
    <x:row r="32">
      <x:c r="A32" t="inlineStr">
        <x:is>
          <x:t xml:space="preserve">2010s</x:t>
        </x:is>
      </x:c>
      <x:c r="B32" t="inlineStr">
        <x:is>
          <x:t xml:space="preserve">Men's</x:t>
        </x:is>
      </x:c>
      <x:c r="C32" t="n">
        <x:v>10</x:v>
      </x:c>
      <x:c r="D32" t="n">
        <x:v>10</x:v>
      </x:c>
      <x:c r="E32" s="38" t="n">
        <x:v>176.9</x:v>
      </x:c>
      <x:c r="F32" s="38" t="n">
        <x:v>38.7</x:v>
      </x:c>
      <x:c r="G32" s="38" t="n">
        <x:v>3.7</x:v>
      </x:c>
      <x:c r="H32" t="n">
        <x:v>10</x:v>
      </x:c>
      <x:c r="I32" s="37" t="n">
        <x:v>1</x:v>
      </x:c>
    </x:row>
    <x:row r="33">
      <x:c r="A33" t="inlineStr">
        <x:is>
          <x:t xml:space="preserve">2010s</x:t>
        </x:is>
      </x:c>
      <x:c r="B33" t="inlineStr">
        <x:is>
          <x:t xml:space="preserve">Women's</x:t>
        </x:is>
      </x:c>
      <x:c r="C33" t="n">
        <x:v>10</x:v>
      </x:c>
      <x:c r="D33" t="n">
        <x:v>10</x:v>
      </x:c>
      <x:c r="E33" s="38" t="n">
        <x:v>77.3</x:v>
      </x:c>
      <x:c r="F33" s="38" t="n">
        <x:v>19.6</x:v>
      </x:c>
      <x:c r="G33" s="38" t="n">
        <x:v>2.2</x:v>
      </x:c>
      <x:c r="H33" t="n">
        <x:v>10</x:v>
      </x:c>
      <x:c r="I33" s="37" t="n">
        <x:v>1</x:v>
      </x:c>
    </x:row>
    <x:row r="34">
      <x:c r="A34" t="inlineStr">
        <x:is>
          <x:t xml:space="preserve">2020s</x:t>
        </x:is>
      </x:c>
      <x:c r="B34" t="inlineStr">
        <x:is>
          <x:t xml:space="preserve">Men's</x:t>
        </x:is>
      </x:c>
      <x:c r="C34" t="n">
        <x:v>6</x:v>
      </x:c>
      <x:c r="D34" t="n">
        <x:v>6</x:v>
      </x:c>
      <x:c r="E34" s="38" t="n">
        <x:v>192.1666666666667</x:v>
      </x:c>
      <x:c r="F34" s="38" t="n">
        <x:v>40.66666666666666</x:v>
      </x:c>
      <x:c r="G34" s="38" t="n">
        <x:v>4</x:v>
      </x:c>
      <x:c r="H34" t="n">
        <x:v>6</x:v>
      </x:c>
      <x:c r="I34" s="37" t="n">
        <x:v>1</x:v>
      </x:c>
    </x:row>
    <x:row r="35">
      <x:c r="A35" t="inlineStr">
        <x:is>
          <x:t xml:space="preserve">2020s</x:t>
        </x:is>
      </x:c>
      <x:c r="B35" t="inlineStr">
        <x:is>
          <x:t xml:space="preserve">Women's</x:t>
        </x:is>
      </x:c>
      <x:c r="C35" t="n">
        <x:v>6</x:v>
      </x:c>
      <x:c r="D35" t="n">
        <x:v>6</x:v>
      </x:c>
      <x:c r="E35" s="38" t="n">
        <x:v>104.1666666666667</x:v>
      </x:c>
      <x:c r="F35" s="38" t="n">
        <x:v>24.33333333333333</x:v>
      </x:c>
      <x:c r="G35" s="38" t="n">
        <x:v>2.666666666666667</x:v>
      </x:c>
      <x:c r="H35" t="n">
        <x:v>5</x:v>
      </x:c>
      <x:c r="I35" s="37" t="n">
        <x:v>0.8333333333333334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256709447e845d1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7" customWidth="1"/>
    <x:col min="2" max="2" width="20" customWidth="1"/>
    <x:col min="3" max="3" width="72" customWidth="1"/>
  </x:cols>
  <x:sheetData>
    <x:row r="1" ht="28" customHeight="1">
      <x:c r="A1" s="32" t="inlineStr">
        <x:is>
          <x:t xml:space="preserve">Data Quality and Transformation Audit</x:t>
        </x:is>
      </x:c>
    </x:row>
    <x:row r="2" ht="32" customHeight="1">
      <x:c r="A2" s="33" t="inlineStr">
        <x:is>
          <x:t xml:space="preserve">Counts are based on the 271 supplied championship-final records in the source sheet.</x:t>
        </x:is>
      </x:c>
    </x:row>
    <x:row r="4">
      <x:c r="A4" s="34" t="inlineStr">
        <x:is>
          <x:t xml:space="preserve">Measure</x:t>
        </x:is>
      </x:c>
      <x:c r="B4" s="34" t="inlineStr">
        <x:is>
          <x:t xml:space="preserve">Value</x:t>
        </x:is>
      </x:c>
      <x:c r="C4" s="34" t="inlineStr">
        <x:is>
          <x:t xml:space="preserve">Interpretation</x:t>
        </x:is>
      </x:c>
    </x:row>
    <x:row r="5">
      <x:c r="A5" t="inlineStr">
        <x:is>
          <x:t xml:space="preserve">Rows</x:t>
        </x:is>
      </x:c>
      <x:c r="B5" t="n">
        <x:v>271</x:v>
      </x:c>
      <x:c r="C5" s="36" t="inlineStr">
        <x:is>
          <x:t xml:space="preserve">One supplied Wimbledon singles final per row.</x:t>
        </x:is>
      </x:c>
    </x:row>
    <x:row r="6">
      <x:c r="A6" t="inlineStr">
        <x:is>
          <x:t xml:space="preserve">Year range</x:t>
        </x:is>
      </x:c>
      <x:c r="B6" t="inlineStr">
        <x:is>
          <x:t xml:space="preserve">1877 to 2026</x:t>
        </x:is>
      </x:c>
      <x:c r="C6" s="36" t="inlineStr">
        <x:is>
          <x:t xml:space="preserve">Calendar coverage has gaps where Wimbledon was not held.</x:t>
        </x:is>
      </x:c>
    </x:row>
    <x:row r="7">
      <x:c r="A7" t="inlineStr">
        <x:is>
          <x:t xml:space="preserve">Gender categories</x:t>
        </x:is>
      </x:c>
      <x:c r="B7" t="n">
        <x:v>2</x:v>
      </x:c>
      <x:c r="C7" s="36" t="inlineStr">
        <x:is>
          <x:t xml:space="preserve">Men's and Women's singles finals.</x:t>
        </x:is>
      </x:c>
    </x:row>
    <x:row r="8">
      <x:c r="A8" t="inlineStr">
        <x:is>
          <x:t xml:space="preserve">Distinct champions</x:t>
        </x:is>
      </x:c>
      <x:c r="B8" t="n">
        <x:v>126</x:v>
      </x:c>
      <x:c r="C8" s="36" t="inlineStr">
        <x:is>
          <x:t xml:space="preserve">Champion names as stored in the supplied workbook.</x:t>
        </x:is>
      </x:c>
    </x:row>
    <x:row r="9">
      <x:c r="A9" t="inlineStr">
        <x:is>
          <x:t xml:space="preserve">Missing Mins</x:t>
        </x:is>
      </x:c>
      <x:c r="B9" s="35" t="n">
        <x:v>65</x:v>
      </x:c>
      <x:c r="C9" s="36" t="inlineStr">
        <x:is>
          <x:t xml:space="preserve">Historical duration unavailable; retained blank rather than estimated.</x:t>
        </x:is>
      </x:c>
    </x:row>
    <x:row r="10">
      <x:c r="A10" t="inlineStr">
        <x:is>
          <x:t xml:space="preserve">Recorded Mins</x:t>
        </x:is>
      </x:c>
      <x:c r="B10" t="n">
        <x:v>206</x:v>
      </x:c>
      <x:c r="C10" s="36" t="inlineStr">
        <x:is>
          <x:t xml:space="preserve">Usable for duration analysis, subject to the recorded-history coverage.</x:t>
        </x:is>
      </x:c>
    </x:row>
    <x:row r="11">
      <x:c r="A11" t="inlineStr">
        <x:is>
          <x:t xml:space="preserve">Missing champion seed</x:t>
        </x:is>
      </x:c>
      <x:c r="B11" t="n">
        <x:v>89</x:v>
      </x:c>
      <x:c r="C11" s="36" t="inlineStr">
        <x:is>
          <x:t xml:space="preserve">Classified as Unseeded/unknown; not treated as seed zero.</x:t>
        </x:is>
      </x:c>
    </x:row>
    <x:row r="12">
      <x:c r="A12" t="inlineStr">
        <x:is>
          <x:t xml:space="preserve">Walkovers</x:t>
        </x:is>
      </x:c>
      <x:c r="B12" t="n">
        <x:v>1</x:v>
      </x:c>
      <x:c r="C12" s="36" t="inlineStr">
        <x:is>
          <x:t xml:space="preserve">Flagged separately in Match Completion Status.</x:t>
        </x:is>
      </x:c>
    </x:row>
    <x:row r="13">
      <x:c r="A13" t="inlineStr">
        <x:is>
          <x:t xml:space="preserve">Retirements</x:t>
        </x:is>
      </x:c>
      <x:c r="B13" t="n">
        <x:v>1</x:v>
      </x:c>
      <x:c r="C13" s="36" t="inlineStr">
        <x:is>
          <x:t xml:space="preserve">Flagged separately in Match Completion Status.</x:t>
        </x:is>
      </x:c>
    </x:row>
    <x:row r="14">
      <x:c r="A14" t="inlineStr">
        <x:is>
          <x:t xml:space="preserve">Top players (5+ titles)</x:t>
        </x:is>
      </x:c>
      <x:c r="B14" t="n">
        <x:v>17</x:v>
      </x:c>
      <x:c r="C14" s="36" t="inlineStr">
        <x:is>
          <x:t xml:space="preserve">Threshold defined in the assignment brief.</x:t>
        </x:is>
      </x:c>
    </x:row>
    <x:row r="15">
      <x:c r="A15" t="inlineStr">
        <x:is>
          <x:t xml:space="preserve">New fields</x:t>
        </x:is>
      </x:c>
      <x:c r="B15" t="n">
        <x:v>9</x:v>
      </x:c>
      <x:c r="C15" s="36" t="inlineStr">
        <x:is>
          <x:t xml:space="preserve">Derived only from supplied fields; see Tableau_Field_Guide.</x:t>
        </x:is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a3358c269b84d47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0" customWidth="1"/>
    <x:col min="2" max="2" width="70" customWidth="1"/>
    <x:col min="3" max="3" width="68" customWidth="1"/>
  </x:cols>
  <x:sheetData>
    <x:row r="1" ht="28" customHeight="1">
      <x:c r="A1" s="32" t="inlineStr">
        <x:is>
          <x:t xml:space="preserve">Tableau Handover Guide</x:t>
        </x:is>
      </x:c>
    </x:row>
    <x:row r="2" ht="32" customHeight="1">
      <x:c r="A2" s="33" t="inlineStr">
        <x:is>
          <x:t xml:space="preserve">Use Data_Analysis as the main fact table; the summary sheets are ready-made sources for specific visualisations.</x:t>
        </x:is>
      </x:c>
    </x:row>
    <x:row r="4">
      <x:c r="A4" s="34" t="inlineStr">
        <x:is>
          <x:t xml:space="preserve">Field / Table</x:t>
        </x:is>
      </x:c>
      <x:c r="B4" s="34" t="inlineStr">
        <x:is>
          <x:t xml:space="preserve">Definition / Calculation</x:t>
        </x:is>
      </x:c>
      <x:c r="C4" s="34" t="inlineStr">
        <x:is>
          <x:t xml:space="preserve">Recommended Tableau Use</x:t>
        </x:is>
      </x:c>
    </x:row>
    <x:row r="5">
      <x:c r="A5" s="36" t="inlineStr">
        <x:is>
          <x:t xml:space="preserve">Data_Analysis</x:t>
        </x:is>
      </x:c>
      <x:c r="B5" s="36" t="inlineStr">
        <x:is>
          <x:t xml:space="preserve">271 supplied final records plus nine derived fields.</x:t>
        </x:is>
      </x:c>
      <x:c r="C5" s="36" t="inlineStr">
        <x:is>
          <x:t xml:space="preserve">Primary source for filters, detail table, scatter plot and parallel coordinates.</x:t>
        </x:is>
      </x:c>
    </x:row>
    <x:row r="6">
      <x:c r="A6" s="36" t="inlineStr">
        <x:is>
          <x:t xml:space="preserve">Total Sets Played</x:t>
        </x:is>
      </x:c>
      <x:c r="B6" s="36" t="inlineStr">
        <x:is>
          <x:t xml:space="preserve">Count of complete score-pairs in 1st-won through 5th-loss.</x:t>
        </x:is>
      </x:c>
      <x:c r="C6" s="36" t="inlineStr">
        <x:is>
          <x:t xml:space="preserve">Scatter plot size/detail and match-intensity analysis.</x:t>
        </x:is>
      </x:c>
    </x:row>
    <x:row r="7">
      <x:c r="A7" s="36" t="inlineStr">
        <x:is>
          <x:t xml:space="preserve">Total Games Played</x:t>
        </x:is>
      </x:c>
      <x:c r="B7" s="36" t="inlineStr">
        <x:is>
          <x:t xml:space="preserve">Sum of winner and runner-up games from available completed set scores.</x:t>
        </x:is>
      </x:c>
      <x:c r="C7" s="36" t="inlineStr">
        <x:is>
          <x:t xml:space="preserve">Scatter chart against Mins; use Match Completion Status as a filter.</x:t>
        </x:is>
      </x:c>
    </x:row>
    <x:row r="8">
      <x:c r="A8" s="36" t="inlineStr">
        <x:is>
          <x:t xml:space="preserve">Duration Availability</x:t>
        </x:is>
      </x:c>
      <x:c r="B8" s="36" t="inlineStr">
        <x:is>
          <x:t xml:space="preserve">Recorded or Unavailable (not imputed).</x:t>
        </x:is>
      </x:c>
      <x:c r="C8" s="36" t="inlineStr">
        <x:is>
          <x:t xml:space="preserve">Filter duration visuals to Recorded; expose coverage limitation in the caption.</x:t>
        </x:is>
      </x:c>
    </x:row>
    <x:row r="9">
      <x:c r="A9" s="36" t="inlineStr">
        <x:is>
          <x:t xml:space="preserve">Champion Win Count / Top Player</x:t>
        </x:is>
      </x:c>
      <x:c r="B9" s="36" t="inlineStr">
        <x:is>
          <x:t xml:space="preserve">Championship count by player; Top Player = at least five titles.</x:t>
        </x:is>
      </x:c>
      <x:c r="C9" s="36" t="inlineStr">
        <x:is>
          <x:t xml:space="preserve">Parallel coordinates and player comparison dashboard.</x:t>
        </x:is>
      </x:c>
    </x:row>
    <x:row r="10">
      <x:c r="A10" s="36" t="inlineStr">
        <x:is>
          <x:t xml:space="preserve">Decade</x:t>
        </x:is>
      </x:c>
      <x:c r="B10" s="36" t="inlineStr">
        <x:is>
          <x:t xml:space="preserve">Floor(Year/10)*10, rendered as e.g. 1990s.</x:t>
        </x:is>
      </x:c>
      <x:c r="C10" s="36" t="inlineStr">
        <x:is>
          <x:t xml:space="preserve">Line charts for change over time.</x:t>
        </x:is>
      </x:c>
    </x:row>
    <x:row r="11">
      <x:c r="A11" s="36" t="inlineStr">
        <x:is>
          <x:t xml:space="preserve">Country_Gender_Summary</x:t>
        </x:is>
      </x:c>
      <x:c r="B11" s="36" t="inlineStr">
        <x:is>
          <x:t xml:space="preserve">Country x gender titles, runner-up appearances and final conversion rate.</x:t>
        </x:is>
      </x:c>
      <x:c r="C11" s="36" t="inlineStr">
        <x:is>
          <x:t xml:space="preserve">Geographic map and nationality comparison.</x:t>
        </x:is>
      </x:c>
    </x:row>
    <x:row r="12">
      <x:c r="A12" s="36" t="inlineStr">
        <x:is>
          <x:t xml:space="preserve">Top_Players_5Plus</x:t>
        </x:is>
      </x:c>
      <x:c r="B12" s="36" t="inlineStr">
        <x:is>
          <x:t xml:space="preserve">One row per player meeting the five-title threshold.</x:t>
        </x:is>
      </x:c>
      <x:c r="C12" s="36" t="inlineStr">
        <x:is>
          <x:t xml:space="preserve">Treemap and parallel coordinates.</x:t>
        </x:is>
      </x:c>
    </x:row>
    <x:row r="13">
      <x:c r="A13" s="36" t="inlineStr">
        <x:is>
          <x:t xml:space="preserve">Decade_Gender_Summary</x:t>
        </x:is>
      </x:c>
      <x:c r="B13" s="36" t="inlineStr">
        <x:is>
          <x:t xml:space="preserve">Decade x gender aggregates; Mins uses recorded values only.</x:t>
        </x:is>
      </x:c>
      <x:c r="C13" s="36" t="inlineStr">
        <x:is>
          <x:t xml:space="preserve">High-level trends by era and gender.</x:t>
        </x:is>
      </x:c>
    </x:row>
    <x:row r="14">
      <x:c r="A14" s="36" t="inlineStr">
        <x:is>
          <x:t xml:space="preserve">Mins_Research_Log</x:t>
        </x:is>
      </x:c>
      <x:c r="B14" s="36" t="inlineStr">
        <x:is>
          <x:t xml:space="preserve">All blank original durations and decision trail.</x:t>
        </x:is>
      </x:c>
      <x:c r="C14" s="36" t="inlineStr">
        <x:is>
          <x:t xml:space="preserve">Quality assurance only; do not use as a duration-value source.</x:t>
        </x:is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a97ff0d37c74842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.110000133514404" hidden="0" customWidth="1"/>
    <x:col min="2" max="2" width="7.21999979019165" hidden="0" customWidth="1"/>
    <x:col min="3" max="3" width="12.670000076293945" hidden="0" customWidth="1"/>
    <x:col min="4" max="4" width="17.219999313354492" hidden="0" customWidth="1"/>
    <x:col min="5" max="5" width="15.109999656677246" hidden="0" customWidth="1"/>
    <x:col min="6" max="6" width="12.779999732971191" hidden="0" customWidth="1"/>
    <x:col min="7" max="7" width="4.21999979019165" hidden="0" customWidth="1"/>
    <x:col min="8" max="8" width="26.219999313354492" hidden="0" customWidth="1"/>
    <x:col min="9" max="9" width="6.889999866485596" hidden="0" customWidth="1"/>
    <x:col min="10" max="10" width="6.670000076293945" hidden="0" customWidth="1"/>
    <x:col min="11" max="11" width="7.21999979019165" hidden="0" customWidth="1"/>
    <x:col min="12" max="12" width="7.21999979019165" hidden="0" customWidth="1"/>
    <x:col min="13" max="13" width="6.78000020980835" hidden="0" customWidth="1"/>
    <x:col min="14" max="14" width="6.889999866485596" hidden="0" customWidth="1"/>
    <x:col min="15" max="15" width="6.78000020980835" hidden="0" customWidth="1"/>
    <x:col min="16" max="16" width="6.78000020980835" hidden="0" customWidth="1"/>
    <x:col min="17" max="17" width="6.78000020980835" hidden="0" customWidth="1"/>
    <x:col min="18" max="18" width="6.78000020980835" hidden="0" customWidth="1"/>
    <x:col min="19" max="19" width="16.889999389648438" hidden="0" customWidth="1"/>
    <x:col min="20" max="20" width="17.559999465942383" hidden="0" customWidth="1"/>
    <x:col min="21" max="21" width="15.4399995803833" hidden="0" customWidth="1"/>
    <x:col min="22" max="22" width="13.109999656677246" hidden="0" customWidth="1"/>
    <x:col min="23" max="23" width="13.890000343322754" hidden="0" customWidth="1"/>
    <x:col min="24" max="24" width="15.890000343322754" hidden="0" customWidth="1"/>
    <x:col min="25" max="25" width="20" hidden="0" customWidth="1"/>
    <x:col min="26" max="26" width="19.110000610351562" hidden="0" customWidth="1"/>
    <x:col min="27" max="27" width="17" hidden="0" customWidth="1"/>
    <x:col min="28" max="28" width="16.329999923706055" hidden="0" customWidth="1"/>
    <x:col min="29" max="29" width="6.329999923706055" hidden="0" customWidth="1"/>
    <x:col min="30" max="30" width="18.219999313354492" hidden="0" customWidth="1"/>
    <x:col min="31" max="31" width="18.559999465942383" hidden="0" customWidth="1"/>
  </x:cols>
  <x:sheetData>
    <x:row r="1" ht="32" customHeight="1">
      <x:c r="A1" s="53" t="str">
        <x:v>Year</x:v>
      </x:c>
      <x:c r="B1" s="54" t="str">
        <x:v>Gender</x:v>
      </x:c>
      <x:c r="C1" s="54" t="str">
        <x:v>Champion</x:v>
      </x:c>
      <x:c r="D1" s="54" t="str">
        <x:v>Champion Nationality</x:v>
      </x:c>
      <x:c r="E1" s="54" t="str">
        <x:v>Champion Country</x:v>
      </x:c>
      <x:c r="F1" s="54" t="str">
        <x:v>Champion Seed</x:v>
      </x:c>
      <x:c r="G1" s="54" t="str">
        <x:v>Mins</x:v>
      </x:c>
      <x:c r="H1" s="54" t="str">
        <x:v>Score</x:v>
      </x:c>
      <x:c r="I1" s="54" t="str">
        <x:v>1st-won</x:v>
      </x:c>
      <x:c r="J1" s="54" t="str">
        <x:v>1st-loss</x:v>
      </x:c>
      <x:c r="K1" s="54" t="str">
        <x:v>2nd-won</x:v>
      </x:c>
      <x:c r="L1" s="54" t="str">
        <x:v>2nd-loss</x:v>
      </x:c>
      <x:c r="M1" s="54" t="str">
        <x:v>3rd-won</x:v>
      </x:c>
      <x:c r="N1" s="54" t="str">
        <x:v>3rd-loss</x:v>
      </x:c>
      <x:c r="O1" s="54" t="str">
        <x:v>4th-won</x:v>
      </x:c>
      <x:c r="P1" s="54" t="str">
        <x:v>4th-loss</x:v>
      </x:c>
      <x:c r="Q1" s="54" t="str">
        <x:v>5th-won</x:v>
      </x:c>
      <x:c r="R1" s="54" t="str">
        <x:v>5th-loss</x:v>
      </x:c>
      <x:c r="S1" s="54" t="str">
        <x:v>Runner-up</x:v>
      </x:c>
      <x:c r="T1" s="54" t="str">
        <x:v>Runner-up Nationality</x:v>
      </x:c>
      <x:c r="U1" s="54" t="str">
        <x:v>Runner-up Country</x:v>
      </x:c>
      <x:c r="V1" s="54" t="str">
        <x:v>Runner-up Seed</x:v>
      </x:c>
      <x:c r="W1" s="54" t="str">
        <x:v>Total Sets Played</x:v>
      </x:c>
      <x:c r="X1" s="54" t="str">
        <x:v>Total Games Played</x:v>
      </x:c>
      <x:c r="Y1" s="54" t="str">
        <x:v>Match Completion Status</x:v>
      </x:c>
      <x:c r="Z1" s="54" t="str">
        <x:v>Duration Availability</x:v>
      </x:c>
      <x:c r="AA1" s="54" t="str">
        <x:v>Champion Win Count</x:v>
      </x:c>
      <x:c r="AB1" s="54" t="str">
        <x:v>Top Player (5+ titles)</x:v>
      </x:c>
      <x:c r="AC1" s="54" t="str">
        <x:v>Decade</x:v>
      </x:c>
      <x:c r="AD1" s="54" t="str">
        <x:v>Champion Seed Status</x:v>
      </x:c>
      <x:c r="AE1" s="55" t="str">
        <x:v>Runner-up Seed Status</x:v>
      </x:c>
    </x:row>
    <x:row r="2">
      <x:c r="A2" s="56" t="n">
        <x:v>2026</x:v>
      </x:c>
      <x:c r="B2" s="57" t="str">
        <x:v>Women's</x:v>
      </x:c>
      <x:c r="C2" s="57" t="str">
        <x:v>L. Noskova</x:v>
      </x:c>
      <x:c r="D2" s="57" t="str">
        <x:v>CZE</x:v>
      </x:c>
      <x:c r="E2" s="57" t="str">
        <x:v>Czechia</x:v>
      </x:c>
      <x:c r="F2" s="57" t="n">
        <x:v>9</x:v>
      </x:c>
      <x:c r="G2" s="57" t="n">
        <x:v>148</x:v>
      </x:c>
      <x:c r="H2" s="57" t="str">
        <x:v>6-2,5-7,6-3</x:v>
      </x:c>
      <x:c r="I2" s="57" t="n">
        <x:v>6</x:v>
      </x:c>
      <x:c r="J2" s="57" t="n">
        <x:v>2</x:v>
      </x:c>
      <x:c r="K2" s="57" t="n">
        <x:v>5</x:v>
      </x:c>
      <x:c r="L2" s="57" t="n">
        <x:v>7</x:v>
      </x:c>
      <x:c r="M2" s="57" t="n">
        <x:v>6</x:v>
      </x:c>
      <x:c r="N2" s="57" t="n">
        <x:v>3</x:v>
      </x:c>
      <x:c r="O2" s="57"/>
      <x:c r="P2" s="57"/>
      <x:c r="Q2" s="57"/>
      <x:c r="R2" s="57"/>
      <x:c r="S2" s="57" t="str">
        <x:v>K.Muchova</x:v>
      </x:c>
      <x:c r="T2" s="57" t="str">
        <x:v>CZE</x:v>
      </x:c>
      <x:c r="U2" s="57" t="str">
        <x:v>Czechia</x:v>
      </x:c>
      <x:c r="V2" s="57" t="n">
        <x:v>10</x:v>
      </x:c>
      <x:c r="W2" s="57" t="n">
        <x:v>3</x:v>
      </x:c>
      <x:c r="X2" s="57" t="n">
        <x:v>29</x:v>
      </x:c>
      <x:c r="Y2" s="57" t="str">
        <x:v>Completed</x:v>
      </x:c>
      <x:c r="Z2" s="57" t="str">
        <x:v>Recorded</x:v>
      </x:c>
      <x:c r="AA2" s="57" t="n">
        <x:v>1</x:v>
      </x:c>
      <x:c r="AB2" s="57" t="str">
        <x:v>No</x:v>
      </x:c>
      <x:c r="AC2" s="57" t="str">
        <x:v>2020s</x:v>
      </x:c>
      <x:c r="AD2" s="57" t="str">
        <x:v>Seeded</x:v>
      </x:c>
      <x:c r="AE2" s="58" t="str">
        <x:v>Seeded</x:v>
      </x:c>
    </x:row>
    <x:row r="3">
      <x:c r="A3" s="56" t="n">
        <x:v>2026</x:v>
      </x:c>
      <x:c r="B3" s="57" t="str">
        <x:v>Men's</x:v>
      </x:c>
      <x:c r="C3" s="57" t="str">
        <x:v>J. Sinner</x:v>
      </x:c>
      <x:c r="D3" s="57" t="str">
        <x:v>ITA</x:v>
      </x:c>
      <x:c r="E3" s="57" t="str">
        <x:v>Italy</x:v>
      </x:c>
      <x:c r="F3" s="57" t="n">
        <x:v>1</x:v>
      </x:c>
      <x:c r="G3" s="57" t="n">
        <x:v>154</x:v>
      </x:c>
      <x:c r="H3" s="57" t="str">
        <x:v>6-7,7-6,6-3,6-4</x:v>
      </x:c>
      <x:c r="I3" s="57" t="n">
        <x:v>6</x:v>
      </x:c>
      <x:c r="J3" s="57" t="n">
        <x:v>7</x:v>
      </x:c>
      <x:c r="K3" s="57" t="n">
        <x:v>7</x:v>
      </x:c>
      <x:c r="L3" s="57" t="n">
        <x:v>6</x:v>
      </x:c>
      <x:c r="M3" s="57" t="n">
        <x:v>6</x:v>
      </x:c>
      <x:c r="N3" s="57" t="n">
        <x:v>3</x:v>
      </x:c>
      <x:c r="O3" s="57" t="n">
        <x:v>6</x:v>
      </x:c>
      <x:c r="P3" s="57" t="n">
        <x:v>4</x:v>
      </x:c>
      <x:c r="Q3" s="57"/>
      <x:c r="R3" s="57"/>
      <x:c r="S3" s="57" t="str">
        <x:v>A. Zverev</x:v>
      </x:c>
      <x:c r="T3" s="57" t="str">
        <x:v>GER</x:v>
      </x:c>
      <x:c r="U3" s="57" t="str">
        <x:v>Germany</x:v>
      </x:c>
      <x:c r="V3" s="57" t="n">
        <x:v>2</x:v>
      </x:c>
      <x:c r="W3" s="57" t="n">
        <x:v>4</x:v>
      </x:c>
      <x:c r="X3" s="57" t="n">
        <x:v>45</x:v>
      </x:c>
      <x:c r="Y3" s="57" t="str">
        <x:v>Completed</x:v>
      </x:c>
      <x:c r="Z3" s="57" t="str">
        <x:v>Recorded</x:v>
      </x:c>
      <x:c r="AA3" s="57" t="n">
        <x:v>2</x:v>
      </x:c>
      <x:c r="AB3" s="57" t="str">
        <x:v>No</x:v>
      </x:c>
      <x:c r="AC3" s="57" t="str">
        <x:v>2020s</x:v>
      </x:c>
      <x:c r="AD3" s="57" t="str">
        <x:v>Seeded</x:v>
      </x:c>
      <x:c r="AE3" s="58" t="str">
        <x:v>Seeded</x:v>
      </x:c>
    </x:row>
    <x:row r="4">
      <x:c r="A4" s="56" t="n">
        <x:v>2025</x:v>
      </x:c>
      <x:c r="B4" s="57" t="str">
        <x:v>Women's</x:v>
      </x:c>
      <x:c r="C4" s="57" t="str">
        <x:v>I. Świątek</x:v>
      </x:c>
      <x:c r="D4" s="57" t="str">
        <x:v>POL</x:v>
      </x:c>
      <x:c r="E4" s="57" t="str">
        <x:v>Poland</x:v>
      </x:c>
      <x:c r="F4" s="57" t="n">
        <x:v>8</x:v>
      </x:c>
      <x:c r="G4" s="57" t="n">
        <x:v>57</x:v>
      </x:c>
      <x:c r="H4" s="57" t="str">
        <x:v>6-0,6-0</x:v>
      </x:c>
      <x:c r="I4" s="57" t="n">
        <x:v>6</x:v>
      </x:c>
      <x:c r="J4" s="57" t="n">
        <x:v>0</x:v>
      </x:c>
      <x:c r="K4" s="57" t="n">
        <x:v>6</x:v>
      </x:c>
      <x:c r="L4" s="57" t="n">
        <x:v>0</x:v>
      </x:c>
      <x:c r="M4" s="57"/>
      <x:c r="N4" s="57"/>
      <x:c r="O4" s="57"/>
      <x:c r="P4" s="57"/>
      <x:c r="Q4" s="57"/>
      <x:c r="R4" s="57"/>
      <x:c r="S4" s="57" t="str">
        <x:v>A. Anisimova</x:v>
      </x:c>
      <x:c r="T4" s="57" t="str">
        <x:v>USA</x:v>
      </x:c>
      <x:c r="U4" s="57" t="str">
        <x:v>United States</x:v>
      </x:c>
      <x:c r="V4" s="57" t="n">
        <x:v>13</x:v>
      </x:c>
      <x:c r="W4" s="57" t="n">
        <x:v>2</x:v>
      </x:c>
      <x:c r="X4" s="57" t="n">
        <x:v>12</x:v>
      </x:c>
      <x:c r="Y4" s="57" t="str">
        <x:v>Completed</x:v>
      </x:c>
      <x:c r="Z4" s="57" t="str">
        <x:v>Recorded</x:v>
      </x:c>
      <x:c r="AA4" s="57" t="n">
        <x:v>1</x:v>
      </x:c>
      <x:c r="AB4" s="57" t="str">
        <x:v>No</x:v>
      </x:c>
      <x:c r="AC4" s="57" t="str">
        <x:v>2020s</x:v>
      </x:c>
      <x:c r="AD4" s="57" t="str">
        <x:v>Seeded</x:v>
      </x:c>
      <x:c r="AE4" s="58" t="str">
        <x:v>Seeded</x:v>
      </x:c>
    </x:row>
    <x:row r="5">
      <x:c r="A5" s="56" t="n">
        <x:v>2025</x:v>
      </x:c>
      <x:c r="B5" s="57" t="str">
        <x:v>Men's</x:v>
      </x:c>
      <x:c r="C5" s="57" t="str">
        <x:v>J. Sinner</x:v>
      </x:c>
      <x:c r="D5" s="57" t="str">
        <x:v>ITA</x:v>
      </x:c>
      <x:c r="E5" s="57" t="str">
        <x:v>Italy</x:v>
      </x:c>
      <x:c r="F5" s="57" t="n">
        <x:v>1</x:v>
      </x:c>
      <x:c r="G5" s="57" t="n">
        <x:v>184</x:v>
      </x:c>
      <x:c r="H5" s="57" t="str">
        <x:v>4-6,6-4,6-4,6-4</x:v>
      </x:c>
      <x:c r="I5" s="57" t="n">
        <x:v>4</x:v>
      </x:c>
      <x:c r="J5" s="57" t="n">
        <x:v>6</x:v>
      </x:c>
      <x:c r="K5" s="57" t="n">
        <x:v>6</x:v>
      </x:c>
      <x:c r="L5" s="57" t="n">
        <x:v>4</x:v>
      </x:c>
      <x:c r="M5" s="57" t="n">
        <x:v>6</x:v>
      </x:c>
      <x:c r="N5" s="57" t="n">
        <x:v>4</x:v>
      </x:c>
      <x:c r="O5" s="57" t="n">
        <x:v>6</x:v>
      </x:c>
      <x:c r="P5" s="57" t="n">
        <x:v>4</x:v>
      </x:c>
      <x:c r="Q5" s="57"/>
      <x:c r="R5" s="57"/>
      <x:c r="S5" s="57" t="str">
        <x:v>C. Alcaraz</x:v>
      </x:c>
      <x:c r="T5" s="57" t="str">
        <x:v>ESP</x:v>
      </x:c>
      <x:c r="U5" s="57" t="str">
        <x:v>Spain</x:v>
      </x:c>
      <x:c r="V5" s="57" t="n">
        <x:v>2</x:v>
      </x:c>
      <x:c r="W5" s="57" t="n">
        <x:v>4</x:v>
      </x:c>
      <x:c r="X5" s="57" t="n">
        <x:v>40</x:v>
      </x:c>
      <x:c r="Y5" s="57" t="str">
        <x:v>Completed</x:v>
      </x:c>
      <x:c r="Z5" s="57" t="str">
        <x:v>Recorded</x:v>
      </x:c>
      <x:c r="AA5" s="57" t="n">
        <x:v>2</x:v>
      </x:c>
      <x:c r="AB5" s="57" t="str">
        <x:v>No</x:v>
      </x:c>
      <x:c r="AC5" s="57" t="str">
        <x:v>2020s</x:v>
      </x:c>
      <x:c r="AD5" s="57" t="str">
        <x:v>Seeded</x:v>
      </x:c>
      <x:c r="AE5" s="58" t="str">
        <x:v>Seeded</x:v>
      </x:c>
    </x:row>
    <x:row r="6">
      <x:c r="A6" s="56" t="n">
        <x:v>2024</x:v>
      </x:c>
      <x:c r="B6" s="57" t="str">
        <x:v>Women's</x:v>
      </x:c>
      <x:c r="C6" s="57" t="str">
        <x:v>B. Krejčíková</x:v>
      </x:c>
      <x:c r="D6" s="57" t="str">
        <x:v>CZE</x:v>
      </x:c>
      <x:c r="E6" s="57" t="str">
        <x:v>Czechia</x:v>
      </x:c>
      <x:c r="F6" s="57" t="n">
        <x:v>31</x:v>
      </x:c>
      <x:c r="G6" s="57" t="n">
        <x:v>116</x:v>
      </x:c>
      <x:c r="H6" s="57" t="str">
        <x:v>6-2,2-6,6-4</x:v>
      </x:c>
      <x:c r="I6" s="57" t="n">
        <x:v>6</x:v>
      </x:c>
      <x:c r="J6" s="57" t="n">
        <x:v>2</x:v>
      </x:c>
      <x:c r="K6" s="57" t="n">
        <x:v>2</x:v>
      </x:c>
      <x:c r="L6" s="57" t="n">
        <x:v>6</x:v>
      </x:c>
      <x:c r="M6" s="57" t="n">
        <x:v>6</x:v>
      </x:c>
      <x:c r="N6" s="57" t="n">
        <x:v>4</x:v>
      </x:c>
      <x:c r="O6" s="57"/>
      <x:c r="P6" s="57"/>
      <x:c r="Q6" s="57"/>
      <x:c r="R6" s="57"/>
      <x:c r="S6" s="57" t="str">
        <x:v>J. Paolini</x:v>
      </x:c>
      <x:c r="T6" s="57" t="str">
        <x:v>ITA</x:v>
      </x:c>
      <x:c r="U6" s="57" t="str">
        <x:v>Italy</x:v>
      </x:c>
      <x:c r="V6" s="57" t="n">
        <x:v>7</x:v>
      </x:c>
      <x:c r="W6" s="57" t="n">
        <x:v>3</x:v>
      </x:c>
      <x:c r="X6" s="57" t="n">
        <x:v>26</x:v>
      </x:c>
      <x:c r="Y6" s="57" t="str">
        <x:v>Completed</x:v>
      </x:c>
      <x:c r="Z6" s="57" t="str">
        <x:v>Recorded</x:v>
      </x:c>
      <x:c r="AA6" s="57" t="n">
        <x:v>1</x:v>
      </x:c>
      <x:c r="AB6" s="57" t="str">
        <x:v>No</x:v>
      </x:c>
      <x:c r="AC6" s="57" t="str">
        <x:v>2020s</x:v>
      </x:c>
      <x:c r="AD6" s="57" t="str">
        <x:v>Seeded</x:v>
      </x:c>
      <x:c r="AE6" s="58" t="str">
        <x:v>Seeded</x:v>
      </x:c>
    </x:row>
    <x:row r="7">
      <x:c r="A7" s="56" t="n">
        <x:v>2024</x:v>
      </x:c>
      <x:c r="B7" s="57" t="str">
        <x:v>Men's</x:v>
      </x:c>
      <x:c r="C7" s="57" t="str">
        <x:v>C. Alcaraz</x:v>
      </x:c>
      <x:c r="D7" s="57" t="str">
        <x:v>ESP</x:v>
      </x:c>
      <x:c r="E7" s="57" t="str">
        <x:v>Spain</x:v>
      </x:c>
      <x:c r="F7" s="57" t="n">
        <x:v>3</x:v>
      </x:c>
      <x:c r="G7" s="57" t="n">
        <x:v>147</x:v>
      </x:c>
      <x:c r="H7" s="57" t="str">
        <x:v>6-2,6-2,7-6</x:v>
      </x:c>
      <x:c r="I7" s="57" t="n">
        <x:v>6</x:v>
      </x:c>
      <x:c r="J7" s="57" t="n">
        <x:v>2</x:v>
      </x:c>
      <x:c r="K7" s="57" t="n">
        <x:v>6</x:v>
      </x:c>
      <x:c r="L7" s="57" t="n">
        <x:v>2</x:v>
      </x:c>
      <x:c r="M7" s="57" t="n">
        <x:v>7</x:v>
      </x:c>
      <x:c r="N7" s="57" t="n">
        <x:v>6</x:v>
      </x:c>
      <x:c r="O7" s="57"/>
      <x:c r="P7" s="57"/>
      <x:c r="Q7" s="57"/>
      <x:c r="R7" s="57"/>
      <x:c r="S7" s="57" t="str">
        <x:v>N. Djokovic</x:v>
      </x:c>
      <x:c r="T7" s="57" t="str">
        <x:v>SRB</x:v>
      </x:c>
      <x:c r="U7" s="57" t="str">
        <x:v>Serbia</x:v>
      </x:c>
      <x:c r="V7" s="57" t="n">
        <x:v>2</x:v>
      </x:c>
      <x:c r="W7" s="57" t="n">
        <x:v>3</x:v>
      </x:c>
      <x:c r="X7" s="57" t="n">
        <x:v>29</x:v>
      </x:c>
      <x:c r="Y7" s="57" t="str">
        <x:v>Completed</x:v>
      </x:c>
      <x:c r="Z7" s="57" t="str">
        <x:v>Recorded</x:v>
      </x:c>
      <x:c r="AA7" s="57" t="n">
        <x:v>1</x:v>
      </x:c>
      <x:c r="AB7" s="57" t="str">
        <x:v>No</x:v>
      </x:c>
      <x:c r="AC7" s="57" t="str">
        <x:v>2020s</x:v>
      </x:c>
      <x:c r="AD7" s="57" t="str">
        <x:v>Seeded</x:v>
      </x:c>
      <x:c r="AE7" s="58" t="str">
        <x:v>Seeded</x:v>
      </x:c>
    </x:row>
    <x:row r="8">
      <x:c r="A8" s="56" t="n">
        <x:v>2023</x:v>
      </x:c>
      <x:c r="B8" s="57" t="str">
        <x:v>Women's</x:v>
      </x:c>
      <x:c r="C8" s="57" t="str">
        <x:v>M.Vondrousova</x:v>
      </x:c>
      <x:c r="D8" s="57" t="str">
        <x:v>CZE</x:v>
      </x:c>
      <x:c r="E8" s="57" t="str">
        <x:v>Czechia</x:v>
      </x:c>
      <x:c r="F8" s="57" t="str">
        <x:v>U</x:v>
      </x:c>
      <x:c r="G8" s="57" t="n">
        <x:v>80</x:v>
      </x:c>
      <x:c r="H8" s="57" t="str">
        <x:v>6-4, 6-4</x:v>
      </x:c>
      <x:c r="I8" s="57" t="n">
        <x:v>6</x:v>
      </x:c>
      <x:c r="J8" s="57" t="n">
        <x:v>4</x:v>
      </x:c>
      <x:c r="K8" s="57" t="n">
        <x:v>6</x:v>
      </x:c>
      <x:c r="L8" s="57" t="n">
        <x:v>4</x:v>
      </x:c>
      <x:c r="M8" s="57"/>
      <x:c r="N8" s="57"/>
      <x:c r="O8" s="57"/>
      <x:c r="P8" s="57"/>
      <x:c r="Q8" s="57"/>
      <x:c r="R8" s="57"/>
      <x:c r="S8" s="57" t="str">
        <x:v>O.Jabeur</x:v>
      </x:c>
      <x:c r="T8" s="57" t="str">
        <x:v>TUN</x:v>
      </x:c>
      <x:c r="U8" s="57" t="str">
        <x:v>Tunisia</x:v>
      </x:c>
      <x:c r="V8" s="57" t="n">
        <x:v>6</x:v>
      </x:c>
      <x:c r="W8" s="57" t="n">
        <x:v>2</x:v>
      </x:c>
      <x:c r="X8" s="57" t="n">
        <x:v>20</x:v>
      </x:c>
      <x:c r="Y8" s="57" t="str">
        <x:v>Completed</x:v>
      </x:c>
      <x:c r="Z8" s="57" t="str">
        <x:v>Recorded</x:v>
      </x:c>
      <x:c r="AA8" s="57" t="n">
        <x:v>1</x:v>
      </x:c>
      <x:c r="AB8" s="57" t="str">
        <x:v>No</x:v>
      </x:c>
      <x:c r="AC8" s="57" t="str">
        <x:v>2020s</x:v>
      </x:c>
      <x:c r="AD8" s="57" t="str">
        <x:v>Unseeded/unknown</x:v>
      </x:c>
      <x:c r="AE8" s="58" t="str">
        <x:v>Seeded</x:v>
      </x:c>
    </x:row>
    <x:row r="9">
      <x:c r="A9" s="56" t="n">
        <x:v>2023</x:v>
      </x:c>
      <x:c r="B9" s="57" t="str">
        <x:v>Men's</x:v>
      </x:c>
      <x:c r="C9" s="57" t="str">
        <x:v>C.Alcaraz</x:v>
      </x:c>
      <x:c r="D9" s="57" t="str">
        <x:v>ESP</x:v>
      </x:c>
      <x:c r="E9" s="57" t="str">
        <x:v>Spain</x:v>
      </x:c>
      <x:c r="F9" s="57" t="n">
        <x:v>1</x:v>
      </x:c>
      <x:c r="G9" s="57" t="n">
        <x:v>283</x:v>
      </x:c>
      <x:c r="H9" s="57" t="str">
        <x:v>1-6, 7-6, 6-1, 3-6, 6-4</x:v>
      </x:c>
      <x:c r="I9" s="57" t="n">
        <x:v>1</x:v>
      </x:c>
      <x:c r="J9" s="57" t="n">
        <x:v>6</x:v>
      </x:c>
      <x:c r="K9" s="57" t="n">
        <x:v>7</x:v>
      </x:c>
      <x:c r="L9" s="57" t="n">
        <x:v>6</x:v>
      </x:c>
      <x:c r="M9" s="57" t="n">
        <x:v>6</x:v>
      </x:c>
      <x:c r="N9" s="57" t="n">
        <x:v>1</x:v>
      </x:c>
      <x:c r="O9" s="57" t="n">
        <x:v>3</x:v>
      </x:c>
      <x:c r="P9" s="57" t="n">
        <x:v>6</x:v>
      </x:c>
      <x:c r="Q9" s="57" t="n">
        <x:v>6</x:v>
      </x:c>
      <x:c r="R9" s="57" t="n">
        <x:v>4</x:v>
      </x:c>
      <x:c r="S9" s="57" t="str">
        <x:v>N.Djokovic</x:v>
      </x:c>
      <x:c r="T9" s="57" t="str">
        <x:v>SRB</x:v>
      </x:c>
      <x:c r="U9" s="57" t="str">
        <x:v>Serbia</x:v>
      </x:c>
      <x:c r="V9" s="57" t="n">
        <x:v>2</x:v>
      </x:c>
      <x:c r="W9" s="57" t="n">
        <x:v>5</x:v>
      </x:c>
      <x:c r="X9" s="57" t="n">
        <x:v>46</x:v>
      </x:c>
      <x:c r="Y9" s="57" t="str">
        <x:v>Completed</x:v>
      </x:c>
      <x:c r="Z9" s="57" t="str">
        <x:v>Recorded</x:v>
      </x:c>
      <x:c r="AA9" s="57" t="n">
        <x:v>1</x:v>
      </x:c>
      <x:c r="AB9" s="57" t="str">
        <x:v>No</x:v>
      </x:c>
      <x:c r="AC9" s="57" t="str">
        <x:v>2020s</x:v>
      </x:c>
      <x:c r="AD9" s="57" t="str">
        <x:v>Seeded</x:v>
      </x:c>
      <x:c r="AE9" s="58" t="str">
        <x:v>Seeded</x:v>
      </x:c>
    </x:row>
    <x:row r="10">
      <x:c r="A10" s="56" t="n">
        <x:v>2022</x:v>
      </x:c>
      <x:c r="B10" s="57" t="str">
        <x:v>Women's</x:v>
      </x:c>
      <x:c r="C10" s="57" t="str">
        <x:v>E. Rybakina</x:v>
      </x:c>
      <x:c r="D10" s="57" t="str">
        <x:v>KAZ</x:v>
      </x:c>
      <x:c r="E10" s="57" t="str">
        <x:v>Kazakhstan</x:v>
      </x:c>
      <x:c r="F10" s="57" t="n">
        <x:v>17</x:v>
      </x:c>
      <x:c r="G10" s="57" t="n">
        <x:v>108</x:v>
      </x:c>
      <x:c r="H10" s="57" t="str">
        <x:v>3-6,6-2,6-2</x:v>
      </x:c>
      <x:c r="I10" s="57" t="n">
        <x:v>3</x:v>
      </x:c>
      <x:c r="J10" s="57" t="n">
        <x:v>6</x:v>
      </x:c>
      <x:c r="K10" s="57" t="n">
        <x:v>6</x:v>
      </x:c>
      <x:c r="L10" s="57" t="n">
        <x:v>5</x:v>
      </x:c>
      <x:c r="M10" s="57" t="n">
        <x:v>6</x:v>
      </x:c>
      <x:c r="N10" s="57" t="n">
        <x:v>2</x:v>
      </x:c>
      <x:c r="O10" s="57"/>
      <x:c r="P10" s="57"/>
      <x:c r="Q10" s="57"/>
      <x:c r="R10" s="57"/>
      <x:c r="S10" s="57" t="str">
        <x:v>O. Jabeur</x:v>
      </x:c>
      <x:c r="T10" s="57" t="str">
        <x:v>TUN</x:v>
      </x:c>
      <x:c r="U10" s="57" t="str">
        <x:v>Tunisia</x:v>
      </x:c>
      <x:c r="V10" s="57" t="n">
        <x:v>3</x:v>
      </x:c>
      <x:c r="W10" s="57" t="n">
        <x:v>3</x:v>
      </x:c>
      <x:c r="X10" s="57" t="n">
        <x:v>28</x:v>
      </x:c>
      <x:c r="Y10" s="57" t="str">
        <x:v>Completed</x:v>
      </x:c>
      <x:c r="Z10" s="57" t="str">
        <x:v>Recorded</x:v>
      </x:c>
      <x:c r="AA10" s="57" t="n">
        <x:v>1</x:v>
      </x:c>
      <x:c r="AB10" s="57" t="str">
        <x:v>No</x:v>
      </x:c>
      <x:c r="AC10" s="57" t="str">
        <x:v>2020s</x:v>
      </x:c>
      <x:c r="AD10" s="57" t="str">
        <x:v>Seeded</x:v>
      </x:c>
      <x:c r="AE10" s="58" t="str">
        <x:v>Seeded</x:v>
      </x:c>
    </x:row>
    <x:row r="11">
      <x:c r="A11" s="56" t="n">
        <x:v>2022</x:v>
      </x:c>
      <x:c r="B11" s="57" t="str">
        <x:v>Men's</x:v>
      </x:c>
      <x:c r="C11" s="57" t="str">
        <x:v>N. Djokovic</x:v>
      </x:c>
      <x:c r="D11" s="57" t="str">
        <x:v>SRB</x:v>
      </x:c>
      <x:c r="E11" s="57" t="str">
        <x:v>Serbia</x:v>
      </x:c>
      <x:c r="F11" s="57" t="n">
        <x:v>1</x:v>
      </x:c>
      <x:c r="G11" s="57" t="n">
        <x:v>181</x:v>
      </x:c>
      <x:c r="H11" s="57" t="str">
        <x:v>4-6,6-3,6-4,7-6(7-3)</x:v>
      </x:c>
      <x:c r="I11" s="57" t="n">
        <x:v>4</x:v>
      </x:c>
      <x:c r="J11" s="57" t="n">
        <x:v>6</x:v>
      </x:c>
      <x:c r="K11" s="57" t="n">
        <x:v>6</x:v>
      </x:c>
      <x:c r="L11" s="57" t="n">
        <x:v>3</x:v>
      </x:c>
      <x:c r="M11" s="57" t="n">
        <x:v>6</x:v>
      </x:c>
      <x:c r="N11" s="57" t="n">
        <x:v>4</x:v>
      </x:c>
      <x:c r="O11" s="57" t="n">
        <x:v>7</x:v>
      </x:c>
      <x:c r="P11" s="57" t="n">
        <x:v>6</x:v>
      </x:c>
      <x:c r="Q11" s="57"/>
      <x:c r="R11" s="57"/>
      <x:c r="S11" s="57" t="str">
        <x:v>N. Kyrgios</x:v>
      </x:c>
      <x:c r="T11" s="57" t="str">
        <x:v>Aus</x:v>
      </x:c>
      <x:c r="U11" s="57" t="str">
        <x:v>Australia</x:v>
      </x:c>
      <x:c r="V11" s="57" t="str">
        <x:v>U</x:v>
      </x:c>
      <x:c r="W11" s="57" t="n">
        <x:v>4</x:v>
      </x:c>
      <x:c r="X11" s="57" t="n">
        <x:v>42</x:v>
      </x:c>
      <x:c r="Y11" s="57" t="str">
        <x:v>Completed</x:v>
      </x:c>
      <x:c r="Z11" s="57" t="str">
        <x:v>Recorded</x:v>
      </x:c>
      <x:c r="AA11" s="57" t="n">
        <x:v>7</x:v>
      </x:c>
      <x:c r="AB11" s="57" t="str">
        <x:v>Yes</x:v>
      </x:c>
      <x:c r="AC11" s="57" t="str">
        <x:v>2020s</x:v>
      </x:c>
      <x:c r="AD11" s="57" t="str">
        <x:v>Seeded</x:v>
      </x:c>
      <x:c r="AE11" s="58" t="str">
        <x:v>Unseeded/unknown</x:v>
      </x:c>
    </x:row>
    <x:row r="12">
      <x:c r="A12" s="56" t="n">
        <x:v>2021</x:v>
      </x:c>
      <x:c r="B12" s="57" t="str">
        <x:v>Women's</x:v>
      </x:c>
      <x:c r="C12" s="57" t="str">
        <x:v>A. Barty</x:v>
      </x:c>
      <x:c r="D12" s="57" t="str">
        <x:v>AUS</x:v>
      </x:c>
      <x:c r="E12" s="57" t="str">
        <x:v>Australia</x:v>
      </x:c>
      <x:c r="F12" s="57" t="n">
        <x:v>1</x:v>
      </x:c>
      <x:c r="G12" s="57" t="n">
        <x:v>116</x:v>
      </x:c>
      <x:c r="H12" s="57" t="str">
        <x:v>6-3,6-7(4-7),6-3</x:v>
      </x:c>
      <x:c r="I12" s="57" t="n">
        <x:v>6</x:v>
      </x:c>
      <x:c r="J12" s="57" t="n">
        <x:v>3</x:v>
      </x:c>
      <x:c r="K12" s="57" t="n">
        <x:v>6</x:v>
      </x:c>
      <x:c r="L12" s="57" t="n">
        <x:v>7</x:v>
      </x:c>
      <x:c r="M12" s="57" t="n">
        <x:v>6</x:v>
      </x:c>
      <x:c r="N12" s="57" t="n">
        <x:v>3</x:v>
      </x:c>
      <x:c r="O12" s="57"/>
      <x:c r="P12" s="57"/>
      <x:c r="Q12" s="57"/>
      <x:c r="R12" s="57"/>
      <x:c r="S12" s="57" t="str">
        <x:v>k.Pliskova</x:v>
      </x:c>
      <x:c r="T12" s="57" t="str">
        <x:v>CZE</x:v>
      </x:c>
      <x:c r="U12" s="57" t="str">
        <x:v>Czechia</x:v>
      </x:c>
      <x:c r="V12" s="57" t="n">
        <x:v>8</x:v>
      </x:c>
      <x:c r="W12" s="57" t="n">
        <x:v>3</x:v>
      </x:c>
      <x:c r="X12" s="57" t="n">
        <x:v>31</x:v>
      </x:c>
      <x:c r="Y12" s="57" t="str">
        <x:v>Completed</x:v>
      </x:c>
      <x:c r="Z12" s="57" t="str">
        <x:v>Recorded</x:v>
      </x:c>
      <x:c r="AA12" s="57" t="n">
        <x:v>1</x:v>
      </x:c>
      <x:c r="AB12" s="57" t="str">
        <x:v>No</x:v>
      </x:c>
      <x:c r="AC12" s="57" t="str">
        <x:v>2020s</x:v>
      </x:c>
      <x:c r="AD12" s="57" t="str">
        <x:v>Seeded</x:v>
      </x:c>
      <x:c r="AE12" s="58" t="str">
        <x:v>Seeded</x:v>
      </x:c>
    </x:row>
    <x:row r="13">
      <x:c r="A13" s="56" t="n">
        <x:v>2021</x:v>
      </x:c>
      <x:c r="B13" s="57" t="str">
        <x:v>Men's</x:v>
      </x:c>
      <x:c r="C13" s="57" t="str">
        <x:v>N. Djokovic</x:v>
      </x:c>
      <x:c r="D13" s="57" t="str">
        <x:v>SRB</x:v>
      </x:c>
      <x:c r="E13" s="57" t="str">
        <x:v>Serbia</x:v>
      </x:c>
      <x:c r="F13" s="57" t="n">
        <x:v>1</x:v>
      </x:c>
      <x:c r="G13" s="57" t="n">
        <x:v>204</x:v>
      </x:c>
      <x:c r="H13" s="57" t="str">
        <x:v>6-7(4-7),6-4,6-4,6-3</x:v>
      </x:c>
      <x:c r="I13" s="57" t="n">
        <x:v>6</x:v>
      </x:c>
      <x:c r="J13" s="57" t="n">
        <x:v>7</x:v>
      </x:c>
      <x:c r="K13" s="57" t="n">
        <x:v>6</x:v>
      </x:c>
      <x:c r="L13" s="57" t="n">
        <x:v>4</x:v>
      </x:c>
      <x:c r="M13" s="57" t="n">
        <x:v>6</x:v>
      </x:c>
      <x:c r="N13" s="57" t="n">
        <x:v>4</x:v>
      </x:c>
      <x:c r="O13" s="57" t="n">
        <x:v>6</x:v>
      </x:c>
      <x:c r="P13" s="57" t="n">
        <x:v>3</x:v>
      </x:c>
      <x:c r="Q13" s="57"/>
      <x:c r="R13" s="57"/>
      <x:c r="S13" s="57" t="str">
        <x:v>M. Berrettini</x:v>
      </x:c>
      <x:c r="T13" s="57" t="str">
        <x:v>ITA</x:v>
      </x:c>
      <x:c r="U13" s="57" t="str">
        <x:v>Italy</x:v>
      </x:c>
      <x:c r="V13" s="57" t="n">
        <x:v>7</x:v>
      </x:c>
      <x:c r="W13" s="57" t="n">
        <x:v>4</x:v>
      </x:c>
      <x:c r="X13" s="57" t="n">
        <x:v>42</x:v>
      </x:c>
      <x:c r="Y13" s="57" t="str">
        <x:v>Completed</x:v>
      </x:c>
      <x:c r="Z13" s="57" t="str">
        <x:v>Recorded</x:v>
      </x:c>
      <x:c r="AA13" s="57" t="n">
        <x:v>7</x:v>
      </x:c>
      <x:c r="AB13" s="57" t="str">
        <x:v>Yes</x:v>
      </x:c>
      <x:c r="AC13" s="57" t="str">
        <x:v>2020s</x:v>
      </x:c>
      <x:c r="AD13" s="57" t="str">
        <x:v>Seeded</x:v>
      </x:c>
      <x:c r="AE13" s="58" t="str">
        <x:v>Seeded</x:v>
      </x:c>
    </x:row>
    <x:row r="14">
      <x:c r="A14" s="56" t="n">
        <x:v>2019</x:v>
      </x:c>
      <x:c r="B14" s="57" t="str">
        <x:v>Women's</x:v>
      </x:c>
      <x:c r="C14" s="57" t="str">
        <x:v>S.Halep</x:v>
      </x:c>
      <x:c r="D14" s="57" t="str">
        <x:v>ROU</x:v>
      </x:c>
      <x:c r="E14" s="57" t="str">
        <x:v>Romania</x:v>
      </x:c>
      <x:c r="F14" s="57" t="n">
        <x:v>7</x:v>
      </x:c>
      <x:c r="G14" s="57" t="n">
        <x:v>56</x:v>
      </x:c>
      <x:c r="H14" s="57" t="str">
        <x:v>6-2,6-2</x:v>
      </x:c>
      <x:c r="I14" s="57" t="n">
        <x:v>6</x:v>
      </x:c>
      <x:c r="J14" s="57" t="n">
        <x:v>2</x:v>
      </x:c>
      <x:c r="K14" s="57" t="n">
        <x:v>6</x:v>
      </x:c>
      <x:c r="L14" s="57" t="n">
        <x:v>2</x:v>
      </x:c>
      <x:c r="M14" s="57"/>
      <x:c r="N14" s="57"/>
      <x:c r="O14" s="57"/>
      <x:c r="P14" s="57"/>
      <x:c r="Q14" s="57"/>
      <x:c r="R14" s="57"/>
      <x:c r="S14" s="57" t="str">
        <x:v>S. Williams</x:v>
      </x:c>
      <x:c r="T14" s="57" t="str">
        <x:v>USA</x:v>
      </x:c>
      <x:c r="U14" s="57" t="str">
        <x:v>United States</x:v>
      </x:c>
      <x:c r="V14" s="57" t="n">
        <x:v>11</x:v>
      </x:c>
      <x:c r="W14" s="57" t="n">
        <x:v>2</x:v>
      </x:c>
      <x:c r="X14" s="57" t="n">
        <x:v>16</x:v>
      </x:c>
      <x:c r="Y14" s="57" t="str">
        <x:v>Completed</x:v>
      </x:c>
      <x:c r="Z14" s="57" t="str">
        <x:v>Recorded</x:v>
      </x:c>
      <x:c r="AA14" s="57" t="n">
        <x:v>1</x:v>
      </x:c>
      <x:c r="AB14" s="57" t="str">
        <x:v>No</x:v>
      </x:c>
      <x:c r="AC14" s="57" t="str">
        <x:v>2010s</x:v>
      </x:c>
      <x:c r="AD14" s="57" t="str">
        <x:v>Seeded</x:v>
      </x:c>
      <x:c r="AE14" s="58" t="str">
        <x:v>Seeded</x:v>
      </x:c>
    </x:row>
    <x:row r="15">
      <x:c r="A15" s="56" t="n">
        <x:v>2019</x:v>
      </x:c>
      <x:c r="B15" s="57" t="str">
        <x:v>Men's</x:v>
      </x:c>
      <x:c r="C15" s="57" t="str">
        <x:v>N. Djokovic</x:v>
      </x:c>
      <x:c r="D15" s="57" t="str">
        <x:v>SRB</x:v>
      </x:c>
      <x:c r="E15" s="57" t="str">
        <x:v>Serbia</x:v>
      </x:c>
      <x:c r="F15" s="57" t="n">
        <x:v>1</x:v>
      </x:c>
      <x:c r="G15" s="57" t="n">
        <x:v>297</x:v>
      </x:c>
      <x:c r="H15" s="57" t="str">
        <x:v>7-6(7-5),1-6,7-6(7-4),4-6,13-12(7-3)</x:v>
      </x:c>
      <x:c r="I15" s="57" t="n">
        <x:v>7</x:v>
      </x:c>
      <x:c r="J15" s="57" t="n">
        <x:v>6</x:v>
      </x:c>
      <x:c r="K15" s="57" t="n">
        <x:v>1</x:v>
      </x:c>
      <x:c r="L15" s="57" t="n">
        <x:v>6</x:v>
      </x:c>
      <x:c r="M15" s="57" t="n">
        <x:v>7</x:v>
      </x:c>
      <x:c r="N15" s="57" t="n">
        <x:v>6</x:v>
      </x:c>
      <x:c r="O15" s="57" t="n">
        <x:v>4</x:v>
      </x:c>
      <x:c r="P15" s="57" t="n">
        <x:v>6</x:v>
      </x:c>
      <x:c r="Q15" s="57" t="n">
        <x:v>7</x:v>
      </x:c>
      <x:c r="R15" s="57" t="n">
        <x:v>6</x:v>
      </x:c>
      <x:c r="S15" s="57" t="str">
        <x:v>R. Federer</x:v>
      </x:c>
      <x:c r="T15" s="57" t="str">
        <x:v>SUI</x:v>
      </x:c>
      <x:c r="U15" s="57" t="str">
        <x:v>Switzerland</x:v>
      </x:c>
      <x:c r="V15" s="57" t="n">
        <x:v>2</x:v>
      </x:c>
      <x:c r="W15" s="57" t="n">
        <x:v>5</x:v>
      </x:c>
      <x:c r="X15" s="57" t="n">
        <x:v>56</x:v>
      </x:c>
      <x:c r="Y15" s="57" t="str">
        <x:v>Completed</x:v>
      </x:c>
      <x:c r="Z15" s="57" t="str">
        <x:v>Recorded</x:v>
      </x:c>
      <x:c r="AA15" s="57" t="n">
        <x:v>7</x:v>
      </x:c>
      <x:c r="AB15" s="57" t="str">
        <x:v>Yes</x:v>
      </x:c>
      <x:c r="AC15" s="57" t="str">
        <x:v>2010s</x:v>
      </x:c>
      <x:c r="AD15" s="57" t="str">
        <x:v>Seeded</x:v>
      </x:c>
      <x:c r="AE15" s="58" t="str">
        <x:v>Seeded</x:v>
      </x:c>
    </x:row>
    <x:row r="16">
      <x:c r="A16" s="56" t="n">
        <x:v>2018</x:v>
      </x:c>
      <x:c r="B16" s="57" t="str">
        <x:v>Women's</x:v>
      </x:c>
      <x:c r="C16" s="57" t="str">
        <x:v>A. Kerber</x:v>
      </x:c>
      <x:c r="D16" s="57" t="str">
        <x:v>GER</x:v>
      </x:c>
      <x:c r="E16" s="57" t="str">
        <x:v>Germany</x:v>
      </x:c>
      <x:c r="F16" s="57" t="n">
        <x:v>11</x:v>
      </x:c>
      <x:c r="G16" s="57" t="n">
        <x:v>65</x:v>
      </x:c>
      <x:c r="H16" s="57" t="str">
        <x:v>6-3,6-3</x:v>
      </x:c>
      <x:c r="I16" s="57" t="n">
        <x:v>6</x:v>
      </x:c>
      <x:c r="J16" s="57" t="n">
        <x:v>3</x:v>
      </x:c>
      <x:c r="K16" s="57" t="n">
        <x:v>6</x:v>
      </x:c>
      <x:c r="L16" s="57" t="n">
        <x:v>3</x:v>
      </x:c>
      <x:c r="M16" s="57"/>
      <x:c r="N16" s="57"/>
      <x:c r="O16" s="57"/>
      <x:c r="P16" s="57"/>
      <x:c r="Q16" s="57"/>
      <x:c r="R16" s="57"/>
      <x:c r="S16" s="57" t="str">
        <x:v>S. Williams</x:v>
      </x:c>
      <x:c r="T16" s="57" t="str">
        <x:v>USA</x:v>
      </x:c>
      <x:c r="U16" s="57" t="str">
        <x:v>United States</x:v>
      </x:c>
      <x:c r="V16" s="57" t="n">
        <x:v>25</x:v>
      </x:c>
      <x:c r="W16" s="57" t="n">
        <x:v>2</x:v>
      </x:c>
      <x:c r="X16" s="57" t="n">
        <x:v>18</x:v>
      </x:c>
      <x:c r="Y16" s="57" t="str">
        <x:v>Completed</x:v>
      </x:c>
      <x:c r="Z16" s="57" t="str">
        <x:v>Recorded</x:v>
      </x:c>
      <x:c r="AA16" s="57" t="n">
        <x:v>1</x:v>
      </x:c>
      <x:c r="AB16" s="57" t="str">
        <x:v>No</x:v>
      </x:c>
      <x:c r="AC16" s="57" t="str">
        <x:v>2010s</x:v>
      </x:c>
      <x:c r="AD16" s="57" t="str">
        <x:v>Seeded</x:v>
      </x:c>
      <x:c r="AE16" s="58" t="str">
        <x:v>Seeded</x:v>
      </x:c>
    </x:row>
    <x:row r="17">
      <x:c r="A17" s="56" t="n">
        <x:v>2018</x:v>
      </x:c>
      <x:c r="B17" s="57" t="str">
        <x:v>Men's</x:v>
      </x:c>
      <x:c r="C17" s="57" t="str">
        <x:v>N. Djokovic</x:v>
      </x:c>
      <x:c r="D17" s="57" t="str">
        <x:v>SRB</x:v>
      </x:c>
      <x:c r="E17" s="57" t="str">
        <x:v>Serbia</x:v>
      </x:c>
      <x:c r="F17" s="57" t="n">
        <x:v>12</x:v>
      </x:c>
      <x:c r="G17" s="57" t="n">
        <x:v>170</x:v>
      </x:c>
      <x:c r="H17" s="57" t="str">
        <x:v>6-2,6-2,7-6(7-3)</x:v>
      </x:c>
      <x:c r="I17" s="57" t="n">
        <x:v>6</x:v>
      </x:c>
      <x:c r="J17" s="57" t="n">
        <x:v>2</x:v>
      </x:c>
      <x:c r="K17" s="57" t="n">
        <x:v>6</x:v>
      </x:c>
      <x:c r="L17" s="57" t="n">
        <x:v>2</x:v>
      </x:c>
      <x:c r="M17" s="57" t="n">
        <x:v>7</x:v>
      </x:c>
      <x:c r="N17" s="57" t="n">
        <x:v>6</x:v>
      </x:c>
      <x:c r="O17" s="57"/>
      <x:c r="P17" s="57"/>
      <x:c r="Q17" s="57"/>
      <x:c r="R17" s="57"/>
      <x:c r="S17" s="57" t="str">
        <x:v>K. Anderson</x:v>
      </x:c>
      <x:c r="T17" s="57" t="str">
        <x:v>RSA</x:v>
      </x:c>
      <x:c r="U17" s="57" t="str">
        <x:v>South Africa</x:v>
      </x:c>
      <x:c r="V17" s="57" t="n">
        <x:v>8</x:v>
      </x:c>
      <x:c r="W17" s="57" t="n">
        <x:v>3</x:v>
      </x:c>
      <x:c r="X17" s="57" t="n">
        <x:v>29</x:v>
      </x:c>
      <x:c r="Y17" s="57" t="str">
        <x:v>Completed</x:v>
      </x:c>
      <x:c r="Z17" s="57" t="str">
        <x:v>Recorded</x:v>
      </x:c>
      <x:c r="AA17" s="57" t="n">
        <x:v>7</x:v>
      </x:c>
      <x:c r="AB17" s="57" t="str">
        <x:v>Yes</x:v>
      </x:c>
      <x:c r="AC17" s="57" t="str">
        <x:v>2010s</x:v>
      </x:c>
      <x:c r="AD17" s="57" t="str">
        <x:v>Seeded</x:v>
      </x:c>
      <x:c r="AE17" s="58" t="str">
        <x:v>Seeded</x:v>
      </x:c>
    </x:row>
    <x:row r="18">
      <x:c r="A18" s="56" t="n">
        <x:v>2017</x:v>
      </x:c>
      <x:c r="B18" s="57" t="str">
        <x:v>Women's</x:v>
      </x:c>
      <x:c r="C18" s="57" t="str">
        <x:v>G. Muguruza</x:v>
      </x:c>
      <x:c r="D18" s="57" t="str">
        <x:v>ESP</x:v>
      </x:c>
      <x:c r="E18" s="57" t="str">
        <x:v>Spain</x:v>
      </x:c>
      <x:c r="F18" s="57" t="n">
        <x:v>14</x:v>
      </x:c>
      <x:c r="G18" s="57" t="n">
        <x:v>77</x:v>
      </x:c>
      <x:c r="H18" s="57" t="str">
        <x:v>7-5,6-0</x:v>
      </x:c>
      <x:c r="I18" s="57" t="n">
        <x:v>7</x:v>
      </x:c>
      <x:c r="J18" s="57" t="n">
        <x:v>5</x:v>
      </x:c>
      <x:c r="K18" s="57" t="n">
        <x:v>6</x:v>
      </x:c>
      <x:c r="L18" s="57" t="n">
        <x:v>0</x:v>
      </x:c>
      <x:c r="M18" s="57"/>
      <x:c r="N18" s="57"/>
      <x:c r="O18" s="57"/>
      <x:c r="P18" s="57"/>
      <x:c r="Q18" s="57"/>
      <x:c r="R18" s="57"/>
      <x:c r="S18" s="57" t="str">
        <x:v>V.E.S. Williams</x:v>
      </x:c>
      <x:c r="T18" s="57" t="str">
        <x:v>USA</x:v>
      </x:c>
      <x:c r="U18" s="57" t="str">
        <x:v>United States</x:v>
      </x:c>
      <x:c r="V18" s="57" t="n">
        <x:v>10</x:v>
      </x:c>
      <x:c r="W18" s="57" t="n">
        <x:v>2</x:v>
      </x:c>
      <x:c r="X18" s="57" t="n">
        <x:v>18</x:v>
      </x:c>
      <x:c r="Y18" s="57" t="str">
        <x:v>Completed</x:v>
      </x:c>
      <x:c r="Z18" s="57" t="str">
        <x:v>Recorded</x:v>
      </x:c>
      <x:c r="AA18" s="57" t="n">
        <x:v>1</x:v>
      </x:c>
      <x:c r="AB18" s="57" t="str">
        <x:v>No</x:v>
      </x:c>
      <x:c r="AC18" s="57" t="str">
        <x:v>2010s</x:v>
      </x:c>
      <x:c r="AD18" s="57" t="str">
        <x:v>Seeded</x:v>
      </x:c>
      <x:c r="AE18" s="58" t="str">
        <x:v>Seeded</x:v>
      </x:c>
    </x:row>
    <x:row r="19">
      <x:c r="A19" s="56" t="n">
        <x:v>2017</x:v>
      </x:c>
      <x:c r="B19" s="57" t="str">
        <x:v>Men's</x:v>
      </x:c>
      <x:c r="C19" s="57" t="str">
        <x:v>R. Federer</x:v>
      </x:c>
      <x:c r="D19" s="57" t="str">
        <x:v>SUI</x:v>
      </x:c>
      <x:c r="E19" s="57" t="str">
        <x:v>Switzerland</x:v>
      </x:c>
      <x:c r="F19" s="57" t="n">
        <x:v>3</x:v>
      </x:c>
      <x:c r="G19" s="57" t="n">
        <x:v>101</x:v>
      </x:c>
      <x:c r="H19" s="57" t="str">
        <x:v>6-3,6-1,6-4</x:v>
      </x:c>
      <x:c r="I19" s="57" t="n">
        <x:v>6</x:v>
      </x:c>
      <x:c r="J19" s="57" t="n">
        <x:v>3</x:v>
      </x:c>
      <x:c r="K19" s="57" t="n">
        <x:v>6</x:v>
      </x:c>
      <x:c r="L19" s="57" t="n">
        <x:v>1</x:v>
      </x:c>
      <x:c r="M19" s="57" t="n">
        <x:v>6</x:v>
      </x:c>
      <x:c r="N19" s="57" t="n">
        <x:v>4</x:v>
      </x:c>
      <x:c r="O19" s="57"/>
      <x:c r="P19" s="57"/>
      <x:c r="Q19" s="57"/>
      <x:c r="R19" s="57"/>
      <x:c r="S19" s="57" t="str">
        <x:v>M.Cilic</x:v>
      </x:c>
      <x:c r="T19" s="57" t="str">
        <x:v>CRO</x:v>
      </x:c>
      <x:c r="U19" s="57" t="str">
        <x:v>Croatia</x:v>
      </x:c>
      <x:c r="V19" s="57" t="n">
        <x:v>7</x:v>
      </x:c>
      <x:c r="W19" s="57" t="n">
        <x:v>3</x:v>
      </x:c>
      <x:c r="X19" s="57" t="n">
        <x:v>26</x:v>
      </x:c>
      <x:c r="Y19" s="57" t="str">
        <x:v>Completed</x:v>
      </x:c>
      <x:c r="Z19" s="57" t="str">
        <x:v>Recorded</x:v>
      </x:c>
      <x:c r="AA19" s="57" t="n">
        <x:v>8</x:v>
      </x:c>
      <x:c r="AB19" s="57" t="str">
        <x:v>Yes</x:v>
      </x:c>
      <x:c r="AC19" s="57" t="str">
        <x:v>2010s</x:v>
      </x:c>
      <x:c r="AD19" s="57" t="str">
        <x:v>Seeded</x:v>
      </x:c>
      <x:c r="AE19" s="58" t="str">
        <x:v>Seeded</x:v>
      </x:c>
    </x:row>
    <x:row r="20">
      <x:c r="A20" s="56" t="n">
        <x:v>2016</x:v>
      </x:c>
      <x:c r="B20" s="57" t="str">
        <x:v>Women's</x:v>
      </x:c>
      <x:c r="C20" s="57" t="str">
        <x:v>S. Williams</x:v>
      </x:c>
      <x:c r="D20" s="57" t="str">
        <x:v>USA</x:v>
      </x:c>
      <x:c r="E20" s="57" t="str">
        <x:v>United States</x:v>
      </x:c>
      <x:c r="F20" s="57" t="n">
        <x:v>1</x:v>
      </x:c>
      <x:c r="G20" s="57" t="n">
        <x:v>83</x:v>
      </x:c>
      <x:c r="H20" s="57" t="str">
        <x:v>7-5, 6-3</x:v>
      </x:c>
      <x:c r="I20" s="57" t="n">
        <x:v>7</x:v>
      </x:c>
      <x:c r="J20" s="57" t="n">
        <x:v>5</x:v>
      </x:c>
      <x:c r="K20" s="57" t="n">
        <x:v>6</x:v>
      </x:c>
      <x:c r="L20" s="57" t="n">
        <x:v>3</x:v>
      </x:c>
      <x:c r="M20" s="57"/>
      <x:c r="N20" s="57"/>
      <x:c r="O20" s="57"/>
      <x:c r="P20" s="57"/>
      <x:c r="Q20" s="57"/>
      <x:c r="R20" s="57"/>
      <x:c r="S20" s="57" t="str">
        <x:v>A. Kerber</x:v>
      </x:c>
      <x:c r="T20" s="57" t="str">
        <x:v>GER</x:v>
      </x:c>
      <x:c r="U20" s="57" t="str">
        <x:v>Germany</x:v>
      </x:c>
      <x:c r="V20" s="57" t="n">
        <x:v>4</x:v>
      </x:c>
      <x:c r="W20" s="57" t="n">
        <x:v>2</x:v>
      </x:c>
      <x:c r="X20" s="57" t="n">
        <x:v>21</x:v>
      </x:c>
      <x:c r="Y20" s="57" t="str">
        <x:v>Completed</x:v>
      </x:c>
      <x:c r="Z20" s="57" t="str">
        <x:v>Recorded</x:v>
      </x:c>
      <x:c r="AA20" s="57" t="n">
        <x:v>7</x:v>
      </x:c>
      <x:c r="AB20" s="57" t="str">
        <x:v>Yes</x:v>
      </x:c>
      <x:c r="AC20" s="57" t="str">
        <x:v>2010s</x:v>
      </x:c>
      <x:c r="AD20" s="57" t="str">
        <x:v>Seeded</x:v>
      </x:c>
      <x:c r="AE20" s="58" t="str">
        <x:v>Seeded</x:v>
      </x:c>
    </x:row>
    <x:row r="21">
      <x:c r="A21" s="56" t="n">
        <x:v>2016</x:v>
      </x:c>
      <x:c r="B21" s="57" t="str">
        <x:v>Men's</x:v>
      </x:c>
      <x:c r="C21" s="57" t="str">
        <x:v>A. Murray</x:v>
      </x:c>
      <x:c r="D21" s="57" t="str">
        <x:v>GBR</x:v>
      </x:c>
      <x:c r="E21" s="57" t="str">
        <x:v>United Kingdom</x:v>
      </x:c>
      <x:c r="F21" s="57" t="n">
        <x:v>2</x:v>
      </x:c>
      <x:c r="G21" s="57" t="n">
        <x:v>170</x:v>
      </x:c>
      <x:c r="H21" s="57" t="str">
        <x:v>6-4, 7-6(7-3), 7-6(7-2)</x:v>
      </x:c>
      <x:c r="I21" s="57" t="n">
        <x:v>6</x:v>
      </x:c>
      <x:c r="J21" s="57" t="n">
        <x:v>4</x:v>
      </x:c>
      <x:c r="K21" s="57" t="n">
        <x:v>7</x:v>
      </x:c>
      <x:c r="L21" s="57" t="n">
        <x:v>6</x:v>
      </x:c>
      <x:c r="M21" s="57" t="n">
        <x:v>7</x:v>
      </x:c>
      <x:c r="N21" s="57" t="n">
        <x:v>6</x:v>
      </x:c>
      <x:c r="O21" s="57"/>
      <x:c r="P21" s="57"/>
      <x:c r="Q21" s="57"/>
      <x:c r="R21" s="57"/>
      <x:c r="S21" s="57" t="str">
        <x:v>M. Raonic</x:v>
      </x:c>
      <x:c r="T21" s="57" t="str">
        <x:v>CND</x:v>
      </x:c>
      <x:c r="U21" s="57" t="str">
        <x:v>Canada</x:v>
      </x:c>
      <x:c r="V21" s="57" t="n">
        <x:v>6</x:v>
      </x:c>
      <x:c r="W21" s="57" t="n">
        <x:v>3</x:v>
      </x:c>
      <x:c r="X21" s="57" t="n">
        <x:v>36</x:v>
      </x:c>
      <x:c r="Y21" s="57" t="str">
        <x:v>Completed</x:v>
      </x:c>
      <x:c r="Z21" s="57" t="str">
        <x:v>Recorded</x:v>
      </x:c>
      <x:c r="AA21" s="57" t="n">
        <x:v>2</x:v>
      </x:c>
      <x:c r="AB21" s="57" t="str">
        <x:v>No</x:v>
      </x:c>
      <x:c r="AC21" s="57" t="str">
        <x:v>2010s</x:v>
      </x:c>
      <x:c r="AD21" s="57" t="str">
        <x:v>Seeded</x:v>
      </x:c>
      <x:c r="AE21" s="58" t="str">
        <x:v>Seeded</x:v>
      </x:c>
    </x:row>
    <x:row r="22">
      <x:c r="A22" s="56" t="n">
        <x:v>2015</x:v>
      </x:c>
      <x:c r="B22" s="57" t="str">
        <x:v>Women's</x:v>
      </x:c>
      <x:c r="C22" s="57" t="str">
        <x:v>S. Williams</x:v>
      </x:c>
      <x:c r="D22" s="57" t="str">
        <x:v>USA</x:v>
      </x:c>
      <x:c r="E22" s="57" t="str">
        <x:v>United States</x:v>
      </x:c>
      <x:c r="F22" s="57" t="n">
        <x:v>1</x:v>
      </x:c>
      <x:c r="G22" s="57" t="n">
        <x:v>83</x:v>
      </x:c>
      <x:c r="H22" s="57" t="str">
        <x:v>6-4, 6-4</x:v>
      </x:c>
      <x:c r="I22" s="57" t="n">
        <x:v>6</x:v>
      </x:c>
      <x:c r="J22" s="57" t="n">
        <x:v>4</x:v>
      </x:c>
      <x:c r="K22" s="57" t="n">
        <x:v>6</x:v>
      </x:c>
      <x:c r="L22" s="57" t="n">
        <x:v>4</x:v>
      </x:c>
      <x:c r="M22" s="57"/>
      <x:c r="N22" s="57"/>
      <x:c r="O22" s="57"/>
      <x:c r="P22" s="57"/>
      <x:c r="Q22" s="57"/>
      <x:c r="R22" s="57"/>
      <x:c r="S22" s="57" t="str">
        <x:v>G. Muguruza</x:v>
      </x:c>
      <x:c r="T22" s="57" t="str">
        <x:v>ESP</x:v>
      </x:c>
      <x:c r="U22" s="57" t="str">
        <x:v>Spain</x:v>
      </x:c>
      <x:c r="V22" s="57" t="n">
        <x:v>20</x:v>
      </x:c>
      <x:c r="W22" s="57" t="n">
        <x:v>2</x:v>
      </x:c>
      <x:c r="X22" s="57" t="n">
        <x:v>20</x:v>
      </x:c>
      <x:c r="Y22" s="57" t="str">
        <x:v>Completed</x:v>
      </x:c>
      <x:c r="Z22" s="57" t="str">
        <x:v>Recorded</x:v>
      </x:c>
      <x:c r="AA22" s="57" t="n">
        <x:v>7</x:v>
      </x:c>
      <x:c r="AB22" s="57" t="str">
        <x:v>Yes</x:v>
      </x:c>
      <x:c r="AC22" s="57" t="str">
        <x:v>2010s</x:v>
      </x:c>
      <x:c r="AD22" s="57" t="str">
        <x:v>Seeded</x:v>
      </x:c>
      <x:c r="AE22" s="58" t="str">
        <x:v>Seeded</x:v>
      </x:c>
    </x:row>
    <x:row r="23">
      <x:c r="A23" s="56" t="n">
        <x:v>2015</x:v>
      </x:c>
      <x:c r="B23" s="57" t="str">
        <x:v>Men's</x:v>
      </x:c>
      <x:c r="C23" s="57" t="str">
        <x:v>N. Djokovic</x:v>
      </x:c>
      <x:c r="D23" s="57" t="str">
        <x:v>SRB</x:v>
      </x:c>
      <x:c r="E23" s="57" t="str">
        <x:v>Serbia</x:v>
      </x:c>
      <x:c r="F23" s="57" t="n">
        <x:v>1</x:v>
      </x:c>
      <x:c r="G23" s="57" t="n">
        <x:v>176</x:v>
      </x:c>
      <x:c r="H23" s="57" t="str">
        <x:v>7-6(7-1), 6-7(10-12), 6-4, 6-3</x:v>
      </x:c>
      <x:c r="I23" s="57" t="n">
        <x:v>7</x:v>
      </x:c>
      <x:c r="J23" s="57" t="n">
        <x:v>6</x:v>
      </x:c>
      <x:c r="K23" s="57" t="n">
        <x:v>6</x:v>
      </x:c>
      <x:c r="L23" s="57" t="n">
        <x:v>7</x:v>
      </x:c>
      <x:c r="M23" s="57" t="n">
        <x:v>6</x:v>
      </x:c>
      <x:c r="N23" s="57" t="n">
        <x:v>4</x:v>
      </x:c>
      <x:c r="O23" s="57" t="n">
        <x:v>6</x:v>
      </x:c>
      <x:c r="P23" s="57" t="n">
        <x:v>3</x:v>
      </x:c>
      <x:c r="Q23" s="57"/>
      <x:c r="R23" s="57"/>
      <x:c r="S23" s="57" t="str">
        <x:v>R. Federer</x:v>
      </x:c>
      <x:c r="T23" s="57" t="str">
        <x:v>SUI</x:v>
      </x:c>
      <x:c r="U23" s="57" t="str">
        <x:v>Switzerland</x:v>
      </x:c>
      <x:c r="V23" s="57" t="n">
        <x:v>2</x:v>
      </x:c>
      <x:c r="W23" s="57" t="n">
        <x:v>4</x:v>
      </x:c>
      <x:c r="X23" s="57" t="n">
        <x:v>45</x:v>
      </x:c>
      <x:c r="Y23" s="57" t="str">
        <x:v>Completed</x:v>
      </x:c>
      <x:c r="Z23" s="57" t="str">
        <x:v>Recorded</x:v>
      </x:c>
      <x:c r="AA23" s="57" t="n">
        <x:v>7</x:v>
      </x:c>
      <x:c r="AB23" s="57" t="str">
        <x:v>Yes</x:v>
      </x:c>
      <x:c r="AC23" s="57" t="str">
        <x:v>2010s</x:v>
      </x:c>
      <x:c r="AD23" s="57" t="str">
        <x:v>Seeded</x:v>
      </x:c>
      <x:c r="AE23" s="58" t="str">
        <x:v>Seeded</x:v>
      </x:c>
    </x:row>
    <x:row r="24">
      <x:c r="A24" s="56" t="n">
        <x:v>2014</x:v>
      </x:c>
      <x:c r="B24" s="57" t="str">
        <x:v>Women's</x:v>
      </x:c>
      <x:c r="C24" s="57" t="str">
        <x:v>P. Kvitová</x:v>
      </x:c>
      <x:c r="D24" s="57" t="str">
        <x:v>CZE</x:v>
      </x:c>
      <x:c r="E24" s="57" t="str">
        <x:v>Czechia</x:v>
      </x:c>
      <x:c r="F24" s="57" t="n">
        <x:v>6</x:v>
      </x:c>
      <x:c r="G24" s="57" t="n">
        <x:v>55</x:v>
      </x:c>
      <x:c r="H24" s="57" t="str">
        <x:v>6-3, 6-0</x:v>
      </x:c>
      <x:c r="I24" s="57" t="n">
        <x:v>6</x:v>
      </x:c>
      <x:c r="J24" s="57" t="n">
        <x:v>3</x:v>
      </x:c>
      <x:c r="K24" s="57" t="n">
        <x:v>6</x:v>
      </x:c>
      <x:c r="L24" s="57" t="n">
        <x:v>0</x:v>
      </x:c>
      <x:c r="M24" s="57"/>
      <x:c r="N24" s="57"/>
      <x:c r="O24" s="57"/>
      <x:c r="P24" s="57"/>
      <x:c r="Q24" s="57"/>
      <x:c r="R24" s="57"/>
      <x:c r="S24" s="57" t="str">
        <x:v>E. Bouchard</x:v>
      </x:c>
      <x:c r="T24" s="57" t="str">
        <x:v>CND</x:v>
      </x:c>
      <x:c r="U24" s="57" t="str">
        <x:v>Canada</x:v>
      </x:c>
      <x:c r="V24" s="57" t="n">
        <x:v>13</x:v>
      </x:c>
      <x:c r="W24" s="57" t="n">
        <x:v>2</x:v>
      </x:c>
      <x:c r="X24" s="57" t="n">
        <x:v>15</x:v>
      </x:c>
      <x:c r="Y24" s="57" t="str">
        <x:v>Completed</x:v>
      </x:c>
      <x:c r="Z24" s="57" t="str">
        <x:v>Recorded</x:v>
      </x:c>
      <x:c r="AA24" s="57" t="n">
        <x:v>1</x:v>
      </x:c>
      <x:c r="AB24" s="57" t="str">
        <x:v>No</x:v>
      </x:c>
      <x:c r="AC24" s="57" t="str">
        <x:v>2010s</x:v>
      </x:c>
      <x:c r="AD24" s="57" t="str">
        <x:v>Seeded</x:v>
      </x:c>
      <x:c r="AE24" s="58" t="str">
        <x:v>Seeded</x:v>
      </x:c>
    </x:row>
    <x:row r="25">
      <x:c r="A25" s="56" t="n">
        <x:v>2014</x:v>
      </x:c>
      <x:c r="B25" s="57" t="str">
        <x:v>Men's</x:v>
      </x:c>
      <x:c r="C25" s="57" t="str">
        <x:v>N. Djokovic</x:v>
      </x:c>
      <x:c r="D25" s="57" t="str">
        <x:v>SRB</x:v>
      </x:c>
      <x:c r="E25" s="57" t="str">
        <x:v>Serbia</x:v>
      </x:c>
      <x:c r="F25" s="57" t="n">
        <x:v>1</x:v>
      </x:c>
      <x:c r="G25" s="57" t="n">
        <x:v>236</x:v>
      </x:c>
      <x:c r="H25" s="57" t="str">
        <x:v>6-7(7-9), 6-4, 7-6(7-4), 5-7, 6-4</x:v>
      </x:c>
      <x:c r="I25" s="57" t="n">
        <x:v>6</x:v>
      </x:c>
      <x:c r="J25" s="57" t="n">
        <x:v>7</x:v>
      </x:c>
      <x:c r="K25" s="57" t="n">
        <x:v>6</x:v>
      </x:c>
      <x:c r="L25" s="57" t="n">
        <x:v>4</x:v>
      </x:c>
      <x:c r="M25" s="57" t="n">
        <x:v>7</x:v>
      </x:c>
      <x:c r="N25" s="57" t="n">
        <x:v>6</x:v>
      </x:c>
      <x:c r="O25" s="57" t="n">
        <x:v>5</x:v>
      </x:c>
      <x:c r="P25" s="57" t="n">
        <x:v>7</x:v>
      </x:c>
      <x:c r="Q25" s="57" t="n">
        <x:v>6</x:v>
      </x:c>
      <x:c r="R25" s="57" t="n">
        <x:v>4</x:v>
      </x:c>
      <x:c r="S25" s="57" t="str">
        <x:v>R. Federer</x:v>
      </x:c>
      <x:c r="T25" s="57" t="str">
        <x:v>SUI</x:v>
      </x:c>
      <x:c r="U25" s="57" t="str">
        <x:v>Switzerland</x:v>
      </x:c>
      <x:c r="V25" s="57" t="n">
        <x:v>4</x:v>
      </x:c>
      <x:c r="W25" s="57" t="n">
        <x:v>5</x:v>
      </x:c>
      <x:c r="X25" s="57" t="n">
        <x:v>58</x:v>
      </x:c>
      <x:c r="Y25" s="57" t="str">
        <x:v>Completed</x:v>
      </x:c>
      <x:c r="Z25" s="57" t="str">
        <x:v>Recorded</x:v>
      </x:c>
      <x:c r="AA25" s="57" t="n">
        <x:v>7</x:v>
      </x:c>
      <x:c r="AB25" s="57" t="str">
        <x:v>Yes</x:v>
      </x:c>
      <x:c r="AC25" s="57" t="str">
        <x:v>2010s</x:v>
      </x:c>
      <x:c r="AD25" s="57" t="str">
        <x:v>Seeded</x:v>
      </x:c>
      <x:c r="AE25" s="58" t="str">
        <x:v>Seeded</x:v>
      </x:c>
    </x:row>
    <x:row r="26">
      <x:c r="A26" s="56" t="n">
        <x:v>2013</x:v>
      </x:c>
      <x:c r="B26" s="57" t="str">
        <x:v>Women's</x:v>
      </x:c>
      <x:c r="C26" s="57" t="str">
        <x:v>M. Bartoli</x:v>
      </x:c>
      <x:c r="D26" s="57" t="str">
        <x:v>FRA</x:v>
      </x:c>
      <x:c r="E26" s="57" t="str">
        <x:v>France</x:v>
      </x:c>
      <x:c r="F26" s="57" t="n">
        <x:v>15</x:v>
      </x:c>
      <x:c r="G26" s="57" t="n">
        <x:v>81</x:v>
      </x:c>
      <x:c r="H26" s="57" t="str">
        <x:v>6-2,1-6,6-4</x:v>
      </x:c>
      <x:c r="I26" s="57" t="n">
        <x:v>6</x:v>
      </x:c>
      <x:c r="J26" s="57" t="n">
        <x:v>2</x:v>
      </x:c>
      <x:c r="K26" s="57" t="n">
        <x:v>1</x:v>
      </x:c>
      <x:c r="L26" s="57" t="n">
        <x:v>6</x:v>
      </x:c>
      <x:c r="M26" s="57" t="n">
        <x:v>6</x:v>
      </x:c>
      <x:c r="N26" s="57" t="n">
        <x:v>4</x:v>
      </x:c>
      <x:c r="O26" s="57"/>
      <x:c r="P26" s="57"/>
      <x:c r="Q26" s="57"/>
      <x:c r="R26" s="57"/>
      <x:c r="S26" s="57" t="str">
        <x:v>S. Lisicki</x:v>
      </x:c>
      <x:c r="T26" s="57" t="str">
        <x:v>GER</x:v>
      </x:c>
      <x:c r="U26" s="57" t="str">
        <x:v>Germany</x:v>
      </x:c>
      <x:c r="V26" s="57" t="n">
        <x:v>23</x:v>
      </x:c>
      <x:c r="W26" s="57" t="n">
        <x:v>3</x:v>
      </x:c>
      <x:c r="X26" s="57" t="n">
        <x:v>25</x:v>
      </x:c>
      <x:c r="Y26" s="57" t="str">
        <x:v>Completed</x:v>
      </x:c>
      <x:c r="Z26" s="57" t="str">
        <x:v>Recorded</x:v>
      </x:c>
      <x:c r="AA26" s="57" t="n">
        <x:v>1</x:v>
      </x:c>
      <x:c r="AB26" s="57" t="str">
        <x:v>No</x:v>
      </x:c>
      <x:c r="AC26" s="57" t="str">
        <x:v>2010s</x:v>
      </x:c>
      <x:c r="AD26" s="57" t="str">
        <x:v>Seeded</x:v>
      </x:c>
      <x:c r="AE26" s="58" t="str">
        <x:v>Seeded</x:v>
      </x:c>
    </x:row>
    <x:row r="27">
      <x:c r="A27" s="56" t="n">
        <x:v>2013</x:v>
      </x:c>
      <x:c r="B27" s="57" t="str">
        <x:v>Men's</x:v>
      </x:c>
      <x:c r="C27" s="57" t="str">
        <x:v>A. Murray</x:v>
      </x:c>
      <x:c r="D27" s="57" t="str">
        <x:v>GBR</x:v>
      </x:c>
      <x:c r="E27" s="57" t="str">
        <x:v>United Kingdom</x:v>
      </x:c>
      <x:c r="F27" s="57" t="n">
        <x:v>2</x:v>
      </x:c>
      <x:c r="G27" s="57" t="n">
        <x:v>134</x:v>
      </x:c>
      <x:c r="H27" s="57" t="str">
        <x:v>6-4, 7-5, 6-4</x:v>
      </x:c>
      <x:c r="I27" s="57" t="n">
        <x:v>6</x:v>
      </x:c>
      <x:c r="J27" s="57" t="n">
        <x:v>4</x:v>
      </x:c>
      <x:c r="K27" s="57" t="n">
        <x:v>7</x:v>
      </x:c>
      <x:c r="L27" s="57" t="n">
        <x:v>5</x:v>
      </x:c>
      <x:c r="M27" s="57" t="n">
        <x:v>6</x:v>
      </x:c>
      <x:c r="N27" s="57" t="n">
        <x:v>4</x:v>
      </x:c>
      <x:c r="O27" s="57"/>
      <x:c r="P27" s="57"/>
      <x:c r="Q27" s="57"/>
      <x:c r="R27" s="57"/>
      <x:c r="S27" s="57" t="str">
        <x:v>N. Djokovic</x:v>
      </x:c>
      <x:c r="T27" s="57" t="str">
        <x:v>SRB</x:v>
      </x:c>
      <x:c r="U27" s="57" t="str">
        <x:v>Serbia</x:v>
      </x:c>
      <x:c r="V27" s="57" t="n">
        <x:v>1</x:v>
      </x:c>
      <x:c r="W27" s="57" t="n">
        <x:v>3</x:v>
      </x:c>
      <x:c r="X27" s="57" t="n">
        <x:v>32</x:v>
      </x:c>
      <x:c r="Y27" s="57" t="str">
        <x:v>Completed</x:v>
      </x:c>
      <x:c r="Z27" s="57" t="str">
        <x:v>Recorded</x:v>
      </x:c>
      <x:c r="AA27" s="57" t="n">
        <x:v>2</x:v>
      </x:c>
      <x:c r="AB27" s="57" t="str">
        <x:v>No</x:v>
      </x:c>
      <x:c r="AC27" s="57" t="str">
        <x:v>2010s</x:v>
      </x:c>
      <x:c r="AD27" s="57" t="str">
        <x:v>Seeded</x:v>
      </x:c>
      <x:c r="AE27" s="58" t="str">
        <x:v>Seeded</x:v>
      </x:c>
    </x:row>
    <x:row r="28">
      <x:c r="A28" s="56" t="n">
        <x:v>2012</x:v>
      </x:c>
      <x:c r="B28" s="57" t="str">
        <x:v>Women's</x:v>
      </x:c>
      <x:c r="C28" s="57" t="str">
        <x:v>S. Williams</x:v>
      </x:c>
      <x:c r="D28" s="57" t="str">
        <x:v>USA</x:v>
      </x:c>
      <x:c r="E28" s="57" t="str">
        <x:v>United States</x:v>
      </x:c>
      <x:c r="F28" s="57" t="n">
        <x:v>6</x:v>
      </x:c>
      <x:c r="G28" s="57" t="n">
        <x:v>122</x:v>
      </x:c>
      <x:c r="H28" s="57" t="str">
        <x:v>6-1, 5-7, 6-2</x:v>
      </x:c>
      <x:c r="I28" s="57" t="n">
        <x:v>6</x:v>
      </x:c>
      <x:c r="J28" s="57" t="n">
        <x:v>1</x:v>
      </x:c>
      <x:c r="K28" s="57" t="n">
        <x:v>5</x:v>
      </x:c>
      <x:c r="L28" s="57" t="n">
        <x:v>7</x:v>
      </x:c>
      <x:c r="M28" s="57" t="n">
        <x:v>6</x:v>
      </x:c>
      <x:c r="N28" s="57" t="n">
        <x:v>2</x:v>
      </x:c>
      <x:c r="O28" s="57"/>
      <x:c r="P28" s="57"/>
      <x:c r="Q28" s="57"/>
      <x:c r="R28" s="57"/>
      <x:c r="S28" s="57" t="str">
        <x:v>A. Radwańska</x:v>
      </x:c>
      <x:c r="T28" s="57" t="str">
        <x:v>POL</x:v>
      </x:c>
      <x:c r="U28" s="57" t="str">
        <x:v>Poland</x:v>
      </x:c>
      <x:c r="V28" s="57" t="n">
        <x:v>3</x:v>
      </x:c>
      <x:c r="W28" s="57" t="n">
        <x:v>3</x:v>
      </x:c>
      <x:c r="X28" s="57" t="n">
        <x:v>27</x:v>
      </x:c>
      <x:c r="Y28" s="57" t="str">
        <x:v>Completed</x:v>
      </x:c>
      <x:c r="Z28" s="57" t="str">
        <x:v>Recorded</x:v>
      </x:c>
      <x:c r="AA28" s="57" t="n">
        <x:v>7</x:v>
      </x:c>
      <x:c r="AB28" s="57" t="str">
        <x:v>Yes</x:v>
      </x:c>
      <x:c r="AC28" s="57" t="str">
        <x:v>2010s</x:v>
      </x:c>
      <x:c r="AD28" s="57" t="str">
        <x:v>Seeded</x:v>
      </x:c>
      <x:c r="AE28" s="58" t="str">
        <x:v>Seeded</x:v>
      </x:c>
    </x:row>
    <x:row r="29">
      <x:c r="A29" s="56" t="n">
        <x:v>2012</x:v>
      </x:c>
      <x:c r="B29" s="57" t="str">
        <x:v>Men's</x:v>
      </x:c>
      <x:c r="C29" s="57" t="str">
        <x:v>R. Federer</x:v>
      </x:c>
      <x:c r="D29" s="57" t="str">
        <x:v>SUI</x:v>
      </x:c>
      <x:c r="E29" s="57" t="str">
        <x:v>Switzerland</x:v>
      </x:c>
      <x:c r="F29" s="57" t="n">
        <x:v>3</x:v>
      </x:c>
      <x:c r="G29" s="57" t="n">
        <x:v>204</x:v>
      </x:c>
      <x:c r="H29" s="57" t="str">
        <x:v>4-6, 7-5, 6-3, 6-4</x:v>
      </x:c>
      <x:c r="I29" s="57" t="n">
        <x:v>4</x:v>
      </x:c>
      <x:c r="J29" s="57" t="n">
        <x:v>6</x:v>
      </x:c>
      <x:c r="K29" s="57" t="n">
        <x:v>7</x:v>
      </x:c>
      <x:c r="L29" s="57" t="n">
        <x:v>5</x:v>
      </x:c>
      <x:c r="M29" s="57" t="n">
        <x:v>6</x:v>
      </x:c>
      <x:c r="N29" s="57" t="n">
        <x:v>3</x:v>
      </x:c>
      <x:c r="O29" s="57" t="n">
        <x:v>6</x:v>
      </x:c>
      <x:c r="P29" s="57" t="n">
        <x:v>4</x:v>
      </x:c>
      <x:c r="Q29" s="57"/>
      <x:c r="R29" s="57"/>
      <x:c r="S29" s="57" t="str">
        <x:v>A. Murray</x:v>
      </x:c>
      <x:c r="T29" s="57" t="str">
        <x:v>GBR</x:v>
      </x:c>
      <x:c r="U29" s="57" t="str">
        <x:v>United Kingdom</x:v>
      </x:c>
      <x:c r="V29" s="57" t="n">
        <x:v>4</x:v>
      </x:c>
      <x:c r="W29" s="57" t="n">
        <x:v>4</x:v>
      </x:c>
      <x:c r="X29" s="57" t="n">
        <x:v>41</x:v>
      </x:c>
      <x:c r="Y29" s="57" t="str">
        <x:v>Completed</x:v>
      </x:c>
      <x:c r="Z29" s="57" t="str">
        <x:v>Recorded</x:v>
      </x:c>
      <x:c r="AA29" s="57" t="n">
        <x:v>8</x:v>
      </x:c>
      <x:c r="AB29" s="57" t="str">
        <x:v>Yes</x:v>
      </x:c>
      <x:c r="AC29" s="57" t="str">
        <x:v>2010s</x:v>
      </x:c>
      <x:c r="AD29" s="57" t="str">
        <x:v>Seeded</x:v>
      </x:c>
      <x:c r="AE29" s="58" t="str">
        <x:v>Seeded</x:v>
      </x:c>
    </x:row>
    <x:row r="30">
      <x:c r="A30" s="56" t="n">
        <x:v>2011</x:v>
      </x:c>
      <x:c r="B30" s="57" t="str">
        <x:v>Women's</x:v>
      </x:c>
      <x:c r="C30" s="57" t="str">
        <x:v>P. Kvitova</x:v>
      </x:c>
      <x:c r="D30" s="57" t="str">
        <x:v>CZE</x:v>
      </x:c>
      <x:c r="E30" s="57" t="str">
        <x:v>Czechia</x:v>
      </x:c>
      <x:c r="F30" s="57" t="n">
        <x:v>8</x:v>
      </x:c>
      <x:c r="G30" s="57" t="n">
        <x:v>85</x:v>
      </x:c>
      <x:c r="H30" s="57" t="str">
        <x:v>6-3, 6-4</x:v>
      </x:c>
      <x:c r="I30" s="57" t="n">
        <x:v>6</x:v>
      </x:c>
      <x:c r="J30" s="57" t="n">
        <x:v>3</x:v>
      </x:c>
      <x:c r="K30" s="57" t="n">
        <x:v>6</x:v>
      </x:c>
      <x:c r="L30" s="57" t="n">
        <x:v>4</x:v>
      </x:c>
      <x:c r="M30" s="57"/>
      <x:c r="N30" s="57"/>
      <x:c r="O30" s="57"/>
      <x:c r="P30" s="57"/>
      <x:c r="Q30" s="57"/>
      <x:c r="R30" s="57"/>
      <x:c r="S30" s="57" t="str">
        <x:v>M. Sharapova</x:v>
      </x:c>
      <x:c r="T30" s="57" t="str">
        <x:v>RUS</x:v>
      </x:c>
      <x:c r="U30" s="57" t="str">
        <x:v>Russia</x:v>
      </x:c>
      <x:c r="V30" s="57" t="n">
        <x:v>5</x:v>
      </x:c>
      <x:c r="W30" s="57" t="n">
        <x:v>2</x:v>
      </x:c>
      <x:c r="X30" s="57" t="n">
        <x:v>19</x:v>
      </x:c>
      <x:c r="Y30" s="57" t="str">
        <x:v>Completed</x:v>
      </x:c>
      <x:c r="Z30" s="57" t="str">
        <x:v>Recorded</x:v>
      </x:c>
      <x:c r="AA30" s="57" t="n">
        <x:v>1</x:v>
      </x:c>
      <x:c r="AB30" s="57" t="str">
        <x:v>No</x:v>
      </x:c>
      <x:c r="AC30" s="57" t="str">
        <x:v>2010s</x:v>
      </x:c>
      <x:c r="AD30" s="57" t="str">
        <x:v>Seeded</x:v>
      </x:c>
      <x:c r="AE30" s="58" t="str">
        <x:v>Seeded</x:v>
      </x:c>
    </x:row>
    <x:row r="31">
      <x:c r="A31" s="56" t="n">
        <x:v>2011</x:v>
      </x:c>
      <x:c r="B31" s="57" t="str">
        <x:v>Men's</x:v>
      </x:c>
      <x:c r="C31" s="57" t="str">
        <x:v>N. Djokovic</x:v>
      </x:c>
      <x:c r="D31" s="57" t="str">
        <x:v>SRB</x:v>
      </x:c>
      <x:c r="E31" s="57" t="str">
        <x:v>Serbia</x:v>
      </x:c>
      <x:c r="F31" s="57" t="n">
        <x:v>2</x:v>
      </x:c>
      <x:c r="G31" s="57" t="n">
        <x:v>148</x:v>
      </x:c>
      <x:c r="H31" s="57" t="str">
        <x:v>6-4 6-1 1-6 6-3</x:v>
      </x:c>
      <x:c r="I31" s="57" t="n">
        <x:v>6</x:v>
      </x:c>
      <x:c r="J31" s="57" t="n">
        <x:v>4</x:v>
      </x:c>
      <x:c r="K31" s="57" t="n">
        <x:v>6</x:v>
      </x:c>
      <x:c r="L31" s="57" t="n">
        <x:v>1</x:v>
      </x:c>
      <x:c r="M31" s="57" t="n">
        <x:v>1</x:v>
      </x:c>
      <x:c r="N31" s="57" t="n">
        <x:v>6</x:v>
      </x:c>
      <x:c r="O31" s="57" t="n">
        <x:v>6</x:v>
      </x:c>
      <x:c r="P31" s="57" t="n">
        <x:v>3</x:v>
      </x:c>
      <x:c r="Q31" s="57"/>
      <x:c r="R31" s="57"/>
      <x:c r="S31" s="57" t="str">
        <x:v>R. Nadal</x:v>
      </x:c>
      <x:c r="T31" s="57" t="str">
        <x:v>ESP</x:v>
      </x:c>
      <x:c r="U31" s="57" t="str">
        <x:v>Spain</x:v>
      </x:c>
      <x:c r="V31" s="57" t="n">
        <x:v>1</x:v>
      </x:c>
      <x:c r="W31" s="57" t="n">
        <x:v>4</x:v>
      </x:c>
      <x:c r="X31" s="57" t="n">
        <x:v>33</x:v>
      </x:c>
      <x:c r="Y31" s="57" t="str">
        <x:v>Completed</x:v>
      </x:c>
      <x:c r="Z31" s="57" t="str">
        <x:v>Recorded</x:v>
      </x:c>
      <x:c r="AA31" s="57" t="n">
        <x:v>7</x:v>
      </x:c>
      <x:c r="AB31" s="57" t="str">
        <x:v>Yes</x:v>
      </x:c>
      <x:c r="AC31" s="57" t="str">
        <x:v>2010s</x:v>
      </x:c>
      <x:c r="AD31" s="57" t="str">
        <x:v>Seeded</x:v>
      </x:c>
      <x:c r="AE31" s="58" t="str">
        <x:v>Seeded</x:v>
      </x:c>
    </x:row>
    <x:row r="32">
      <x:c r="A32" s="56" t="n">
        <x:v>2010</x:v>
      </x:c>
      <x:c r="B32" s="57" t="str">
        <x:v>Women's</x:v>
      </x:c>
      <x:c r="C32" s="57" t="str">
        <x:v>S. Williams</x:v>
      </x:c>
      <x:c r="D32" s="57" t="str">
        <x:v>USA</x:v>
      </x:c>
      <x:c r="E32" s="57" t="str">
        <x:v>United States</x:v>
      </x:c>
      <x:c r="F32" s="57" t="n">
        <x:v>1</x:v>
      </x:c>
      <x:c r="G32" s="57" t="n">
        <x:v>66</x:v>
      </x:c>
      <x:c r="H32" s="57" t="str">
        <x:v>6-3, 6-2</x:v>
      </x:c>
      <x:c r="I32" s="57" t="n">
        <x:v>6</x:v>
      </x:c>
      <x:c r="J32" s="57" t="n">
        <x:v>3</x:v>
      </x:c>
      <x:c r="K32" s="57" t="n">
        <x:v>6</x:v>
      </x:c>
      <x:c r="L32" s="57" t="n">
        <x:v>2</x:v>
      </x:c>
      <x:c r="M32" s="57"/>
      <x:c r="N32" s="57"/>
      <x:c r="O32" s="57"/>
      <x:c r="P32" s="57"/>
      <x:c r="Q32" s="57"/>
      <x:c r="R32" s="57"/>
      <x:c r="S32" s="57" t="str">
        <x:v>V. Zvonareva</x:v>
      </x:c>
      <x:c r="T32" s="57" t="str">
        <x:v>RUS</x:v>
      </x:c>
      <x:c r="U32" s="57" t="str">
        <x:v>Russia</x:v>
      </x:c>
      <x:c r="V32" s="57" t="n">
        <x:v>21</x:v>
      </x:c>
      <x:c r="W32" s="57" t="n">
        <x:v>2</x:v>
      </x:c>
      <x:c r="X32" s="57" t="n">
        <x:v>17</x:v>
      </x:c>
      <x:c r="Y32" s="57" t="str">
        <x:v>Completed</x:v>
      </x:c>
      <x:c r="Z32" s="57" t="str">
        <x:v>Recorded</x:v>
      </x:c>
      <x:c r="AA32" s="57" t="n">
        <x:v>7</x:v>
      </x:c>
      <x:c r="AB32" s="57" t="str">
        <x:v>Yes</x:v>
      </x:c>
      <x:c r="AC32" s="57" t="str">
        <x:v>2010s</x:v>
      </x:c>
      <x:c r="AD32" s="57" t="str">
        <x:v>Seeded</x:v>
      </x:c>
      <x:c r="AE32" s="58" t="str">
        <x:v>Seeded</x:v>
      </x:c>
    </x:row>
    <x:row r="33">
      <x:c r="A33" s="56" t="n">
        <x:v>2010</x:v>
      </x:c>
      <x:c r="B33" s="57" t="str">
        <x:v>Men's</x:v>
      </x:c>
      <x:c r="C33" s="57" t="str">
        <x:v>R. Nadal</x:v>
      </x:c>
      <x:c r="D33" s="57" t="str">
        <x:v>ESP</x:v>
      </x:c>
      <x:c r="E33" s="57" t="str">
        <x:v>Spain</x:v>
      </x:c>
      <x:c r="F33" s="57" t="n">
        <x:v>2</x:v>
      </x:c>
      <x:c r="G33" s="57" t="n">
        <x:v>133</x:v>
      </x:c>
      <x:c r="H33" s="57" t="str">
        <x:v>6-3, 7-5, 6-4</x:v>
      </x:c>
      <x:c r="I33" s="57" t="n">
        <x:v>6</x:v>
      </x:c>
      <x:c r="J33" s="57" t="n">
        <x:v>3</x:v>
      </x:c>
      <x:c r="K33" s="57" t="n">
        <x:v>7</x:v>
      </x:c>
      <x:c r="L33" s="57" t="n">
        <x:v>5</x:v>
      </x:c>
      <x:c r="M33" s="57" t="n">
        <x:v>6</x:v>
      </x:c>
      <x:c r="N33" s="57" t="n">
        <x:v>4</x:v>
      </x:c>
      <x:c r="O33" s="57"/>
      <x:c r="P33" s="57"/>
      <x:c r="Q33" s="57"/>
      <x:c r="R33" s="57"/>
      <x:c r="S33" s="57" t="str">
        <x:v>T. Berdych</x:v>
      </x:c>
      <x:c r="T33" s="57" t="str">
        <x:v>CZE</x:v>
      </x:c>
      <x:c r="U33" s="57" t="str">
        <x:v>Czechia</x:v>
      </x:c>
      <x:c r="V33" s="57" t="n">
        <x:v>12</x:v>
      </x:c>
      <x:c r="W33" s="57" t="n">
        <x:v>3</x:v>
      </x:c>
      <x:c r="X33" s="57" t="n">
        <x:v>31</x:v>
      </x:c>
      <x:c r="Y33" s="57" t="str">
        <x:v>Completed</x:v>
      </x:c>
      <x:c r="Z33" s="57" t="str">
        <x:v>Recorded</x:v>
      </x:c>
      <x:c r="AA33" s="57" t="n">
        <x:v>2</x:v>
      </x:c>
      <x:c r="AB33" s="57" t="str">
        <x:v>No</x:v>
      </x:c>
      <x:c r="AC33" s="57" t="str">
        <x:v>2010s</x:v>
      </x:c>
      <x:c r="AD33" s="57" t="str">
        <x:v>Seeded</x:v>
      </x:c>
      <x:c r="AE33" s="58" t="str">
        <x:v>Seeded</x:v>
      </x:c>
    </x:row>
    <x:row r="34">
      <x:c r="A34" s="56" t="n">
        <x:v>2009</x:v>
      </x:c>
      <x:c r="B34" s="57" t="str">
        <x:v>Women's</x:v>
      </x:c>
      <x:c r="C34" s="57" t="str">
        <x:v>S. Williams</x:v>
      </x:c>
      <x:c r="D34" s="57" t="str">
        <x:v>USA</x:v>
      </x:c>
      <x:c r="E34" s="57" t="str">
        <x:v>United States</x:v>
      </x:c>
      <x:c r="F34" s="57" t="n">
        <x:v>2</x:v>
      </x:c>
      <x:c r="G34" s="57" t="n">
        <x:v>87</x:v>
      </x:c>
      <x:c r="H34" s="57" t="str">
        <x:v>7-6 (7-3), 6-2</x:v>
      </x:c>
      <x:c r="I34" s="57" t="n">
        <x:v>7</x:v>
      </x:c>
      <x:c r="J34" s="57" t="n">
        <x:v>6</x:v>
      </x:c>
      <x:c r="K34" s="57" t="n">
        <x:v>6</x:v>
      </x:c>
      <x:c r="L34" s="57" t="n">
        <x:v>2</x:v>
      </x:c>
      <x:c r="M34" s="57"/>
      <x:c r="N34" s="57"/>
      <x:c r="O34" s="57"/>
      <x:c r="P34" s="57"/>
      <x:c r="Q34" s="57"/>
      <x:c r="R34" s="57"/>
      <x:c r="S34" s="57" t="str">
        <x:v>V.E.S. Williams</x:v>
      </x:c>
      <x:c r="T34" s="57" t="str">
        <x:v>USA</x:v>
      </x:c>
      <x:c r="U34" s="57" t="str">
        <x:v>United States</x:v>
      </x:c>
      <x:c r="V34" s="57" t="n">
        <x:v>3</x:v>
      </x:c>
      <x:c r="W34" s="57" t="n">
        <x:v>2</x:v>
      </x:c>
      <x:c r="X34" s="57" t="n">
        <x:v>21</x:v>
      </x:c>
      <x:c r="Y34" s="57" t="str">
        <x:v>Completed</x:v>
      </x:c>
      <x:c r="Z34" s="57" t="str">
        <x:v>Recorded</x:v>
      </x:c>
      <x:c r="AA34" s="57" t="n">
        <x:v>7</x:v>
      </x:c>
      <x:c r="AB34" s="57" t="str">
        <x:v>Yes</x:v>
      </x:c>
      <x:c r="AC34" s="57" t="str">
        <x:v>2000s</x:v>
      </x:c>
      <x:c r="AD34" s="57" t="str">
        <x:v>Seeded</x:v>
      </x:c>
      <x:c r="AE34" s="58" t="str">
        <x:v>Seeded</x:v>
      </x:c>
    </x:row>
    <x:row r="35">
      <x:c r="A35" s="56" t="n">
        <x:v>2009</x:v>
      </x:c>
      <x:c r="B35" s="57" t="str">
        <x:v>Men's</x:v>
      </x:c>
      <x:c r="C35" s="57" t="str">
        <x:v>R. Federer</x:v>
      </x:c>
      <x:c r="D35" s="57" t="str">
        <x:v>SUI</x:v>
      </x:c>
      <x:c r="E35" s="57" t="str">
        <x:v>Switzerland</x:v>
      </x:c>
      <x:c r="F35" s="57" t="n">
        <x:v>2</x:v>
      </x:c>
      <x:c r="G35" s="57" t="n">
        <x:v>256</x:v>
      </x:c>
      <x:c r="H35" s="57" t="str">
        <x:v>5-7, 7-6 (8-6), 7-6 (7-5), 3-6, 16-14</x:v>
      </x:c>
      <x:c r="I35" s="57" t="n">
        <x:v>5</x:v>
      </x:c>
      <x:c r="J35" s="57" t="n">
        <x:v>7</x:v>
      </x:c>
      <x:c r="K35" s="57" t="n">
        <x:v>7</x:v>
      </x:c>
      <x:c r="L35" s="57" t="n">
        <x:v>6</x:v>
      </x:c>
      <x:c r="M35" s="57" t="n">
        <x:v>7</x:v>
      </x:c>
      <x:c r="N35" s="57" t="n">
        <x:v>6</x:v>
      </x:c>
      <x:c r="O35" s="57" t="n">
        <x:v>3</x:v>
      </x:c>
      <x:c r="P35" s="57" t="n">
        <x:v>6</x:v>
      </x:c>
      <x:c r="Q35" s="57" t="n">
        <x:v>16</x:v>
      </x:c>
      <x:c r="R35" s="57" t="n">
        <x:v>14</x:v>
      </x:c>
      <x:c r="S35" s="57" t="str">
        <x:v>A. Roddick</x:v>
      </x:c>
      <x:c r="T35" s="57" t="str">
        <x:v>USA</x:v>
      </x:c>
      <x:c r="U35" s="57" t="str">
        <x:v>United States</x:v>
      </x:c>
      <x:c r="V35" s="57" t="n">
        <x:v>6</x:v>
      </x:c>
      <x:c r="W35" s="57" t="n">
        <x:v>5</x:v>
      </x:c>
      <x:c r="X35" s="57" t="n">
        <x:v>77</x:v>
      </x:c>
      <x:c r="Y35" s="57" t="str">
        <x:v>Completed</x:v>
      </x:c>
      <x:c r="Z35" s="57" t="str">
        <x:v>Recorded</x:v>
      </x:c>
      <x:c r="AA35" s="57" t="n">
        <x:v>8</x:v>
      </x:c>
      <x:c r="AB35" s="57" t="str">
        <x:v>Yes</x:v>
      </x:c>
      <x:c r="AC35" s="57" t="str">
        <x:v>2000s</x:v>
      </x:c>
      <x:c r="AD35" s="57" t="str">
        <x:v>Seeded</x:v>
      </x:c>
      <x:c r="AE35" s="58" t="str">
        <x:v>Seeded</x:v>
      </x:c>
    </x:row>
    <x:row r="36">
      <x:c r="A36" s="56" t="n">
        <x:v>2008</x:v>
      </x:c>
      <x:c r="B36" s="57" t="str">
        <x:v>Women's</x:v>
      </x:c>
      <x:c r="C36" s="57" t="str">
        <x:v>V.E.S. Williams</x:v>
      </x:c>
      <x:c r="D36" s="57" t="str">
        <x:v>USA</x:v>
      </x:c>
      <x:c r="E36" s="57" t="str">
        <x:v>United States</x:v>
      </x:c>
      <x:c r="F36" s="57" t="n">
        <x:v>7</x:v>
      </x:c>
      <x:c r="G36" s="57" t="n">
        <x:v>111</x:v>
      </x:c>
      <x:c r="H36" s="57" t="str">
        <x:v>7-5, 6-4</x:v>
      </x:c>
      <x:c r="I36" s="57" t="n">
        <x:v>7</x:v>
      </x:c>
      <x:c r="J36" s="57" t="n">
        <x:v>5</x:v>
      </x:c>
      <x:c r="K36" s="57" t="n">
        <x:v>6</x:v>
      </x:c>
      <x:c r="L36" s="57" t="n">
        <x:v>4</x:v>
      </x:c>
      <x:c r="M36" s="57"/>
      <x:c r="N36" s="57"/>
      <x:c r="O36" s="57"/>
      <x:c r="P36" s="57"/>
      <x:c r="Q36" s="57"/>
      <x:c r="R36" s="57"/>
      <x:c r="S36" s="57" t="str">
        <x:v>S. Williams</x:v>
      </x:c>
      <x:c r="T36" s="57" t="str">
        <x:v>USA</x:v>
      </x:c>
      <x:c r="U36" s="57" t="str">
        <x:v>United States</x:v>
      </x:c>
      <x:c r="V36" s="57" t="n">
        <x:v>6</x:v>
      </x:c>
      <x:c r="W36" s="57" t="n">
        <x:v>2</x:v>
      </x:c>
      <x:c r="X36" s="57" t="n">
        <x:v>22</x:v>
      </x:c>
      <x:c r="Y36" s="57" t="str">
        <x:v>Completed</x:v>
      </x:c>
      <x:c r="Z36" s="57" t="str">
        <x:v>Recorded</x:v>
      </x:c>
      <x:c r="AA36" s="57" t="n">
        <x:v>5</x:v>
      </x:c>
      <x:c r="AB36" s="57" t="str">
        <x:v>Yes</x:v>
      </x:c>
      <x:c r="AC36" s="57" t="str">
        <x:v>2000s</x:v>
      </x:c>
      <x:c r="AD36" s="57" t="str">
        <x:v>Seeded</x:v>
      </x:c>
      <x:c r="AE36" s="58" t="str">
        <x:v>Seeded</x:v>
      </x:c>
    </x:row>
    <x:row r="37">
      <x:c r="A37" s="56" t="n">
        <x:v>2008</x:v>
      </x:c>
      <x:c r="B37" s="57" t="str">
        <x:v>Men's</x:v>
      </x:c>
      <x:c r="C37" s="57" t="str">
        <x:v>R. Nadal</x:v>
      </x:c>
      <x:c r="D37" s="57" t="str">
        <x:v>ESP</x:v>
      </x:c>
      <x:c r="E37" s="57" t="str">
        <x:v>Spain</x:v>
      </x:c>
      <x:c r="F37" s="57" t="n">
        <x:v>2</x:v>
      </x:c>
      <x:c r="G37" s="57" t="n">
        <x:v>288</x:v>
      </x:c>
      <x:c r="H37" s="57" t="str">
        <x:v>6-4, 6-4, 6-7 (5-7), 6-7 (8-10), 9-7</x:v>
      </x:c>
      <x:c r="I37" s="57" t="n">
        <x:v>6</x:v>
      </x:c>
      <x:c r="J37" s="57" t="n">
        <x:v>4</x:v>
      </x:c>
      <x:c r="K37" s="57" t="n">
        <x:v>6</x:v>
      </x:c>
      <x:c r="L37" s="57" t="n">
        <x:v>4</x:v>
      </x:c>
      <x:c r="M37" s="57" t="n">
        <x:v>6</x:v>
      </x:c>
      <x:c r="N37" s="57" t="n">
        <x:v>7</x:v>
      </x:c>
      <x:c r="O37" s="57" t="n">
        <x:v>6</x:v>
      </x:c>
      <x:c r="P37" s="57" t="n">
        <x:v>7</x:v>
      </x:c>
      <x:c r="Q37" s="57" t="n">
        <x:v>9</x:v>
      </x:c>
      <x:c r="R37" s="57" t="n">
        <x:v>7</x:v>
      </x:c>
      <x:c r="S37" s="57" t="str">
        <x:v>R. Federer</x:v>
      </x:c>
      <x:c r="T37" s="57" t="str">
        <x:v>SUI</x:v>
      </x:c>
      <x:c r="U37" s="57" t="str">
        <x:v>Switzerland</x:v>
      </x:c>
      <x:c r="V37" s="57" t="n">
        <x:v>1</x:v>
      </x:c>
      <x:c r="W37" s="57" t="n">
        <x:v>5</x:v>
      </x:c>
      <x:c r="X37" s="57" t="n">
        <x:v>62</x:v>
      </x:c>
      <x:c r="Y37" s="57" t="str">
        <x:v>Completed</x:v>
      </x:c>
      <x:c r="Z37" s="57" t="str">
        <x:v>Recorded</x:v>
      </x:c>
      <x:c r="AA37" s="57" t="n">
        <x:v>2</x:v>
      </x:c>
      <x:c r="AB37" s="57" t="str">
        <x:v>No</x:v>
      </x:c>
      <x:c r="AC37" s="57" t="str">
        <x:v>2000s</x:v>
      </x:c>
      <x:c r="AD37" s="57" t="str">
        <x:v>Seeded</x:v>
      </x:c>
      <x:c r="AE37" s="58" t="str">
        <x:v>Seeded</x:v>
      </x:c>
    </x:row>
    <x:row r="38">
      <x:c r="A38" s="56" t="n">
        <x:v>2007</x:v>
      </x:c>
      <x:c r="B38" s="57" t="str">
        <x:v>Women's</x:v>
      </x:c>
      <x:c r="C38" s="57" t="str">
        <x:v>V.E.S. Williams</x:v>
      </x:c>
      <x:c r="D38" s="57" t="str">
        <x:v>USA</x:v>
      </x:c>
      <x:c r="E38" s="57" t="str">
        <x:v>United States</x:v>
      </x:c>
      <x:c r="F38" s="57" t="n">
        <x:v>23</x:v>
      </x:c>
      <x:c r="G38" s="57" t="n">
        <x:v>90</x:v>
      </x:c>
      <x:c r="H38" s="57" t="str">
        <x:v>6-4, 6-1</x:v>
      </x:c>
      <x:c r="I38" s="57" t="n">
        <x:v>6</x:v>
      </x:c>
      <x:c r="J38" s="57" t="n">
        <x:v>4</x:v>
      </x:c>
      <x:c r="K38" s="57" t="n">
        <x:v>6</x:v>
      </x:c>
      <x:c r="L38" s="57" t="n">
        <x:v>1</x:v>
      </x:c>
      <x:c r="M38" s="57"/>
      <x:c r="N38" s="57"/>
      <x:c r="O38" s="57"/>
      <x:c r="P38" s="57"/>
      <x:c r="Q38" s="57"/>
      <x:c r="R38" s="57"/>
      <x:c r="S38" s="57" t="str">
        <x:v>M. Bartoli</x:v>
      </x:c>
      <x:c r="T38" s="57" t="str">
        <x:v>FRA</x:v>
      </x:c>
      <x:c r="U38" s="57" t="str">
        <x:v>France</x:v>
      </x:c>
      <x:c r="V38" s="57" t="n">
        <x:v>18</x:v>
      </x:c>
      <x:c r="W38" s="57" t="n">
        <x:v>2</x:v>
      </x:c>
      <x:c r="X38" s="57" t="n">
        <x:v>17</x:v>
      </x:c>
      <x:c r="Y38" s="57" t="str">
        <x:v>Completed</x:v>
      </x:c>
      <x:c r="Z38" s="57" t="str">
        <x:v>Recorded</x:v>
      </x:c>
      <x:c r="AA38" s="57" t="n">
        <x:v>5</x:v>
      </x:c>
      <x:c r="AB38" s="57" t="str">
        <x:v>Yes</x:v>
      </x:c>
      <x:c r="AC38" s="57" t="str">
        <x:v>2000s</x:v>
      </x:c>
      <x:c r="AD38" s="57" t="str">
        <x:v>Seeded</x:v>
      </x:c>
      <x:c r="AE38" s="58" t="str">
        <x:v>Seeded</x:v>
      </x:c>
    </x:row>
    <x:row r="39">
      <x:c r="A39" s="56" t="n">
        <x:v>2007</x:v>
      </x:c>
      <x:c r="B39" s="57" t="str">
        <x:v>Men's</x:v>
      </x:c>
      <x:c r="C39" s="57" t="str">
        <x:v>R. Federer</x:v>
      </x:c>
      <x:c r="D39" s="57" t="str">
        <x:v>SUI</x:v>
      </x:c>
      <x:c r="E39" s="57" t="str">
        <x:v>Switzerland</x:v>
      </x:c>
      <x:c r="F39" s="57" t="n">
        <x:v>1</x:v>
      </x:c>
      <x:c r="G39" s="57" t="n">
        <x:v>225</x:v>
      </x:c>
      <x:c r="H39" s="57" t="str">
        <x:v>7-6 (9-7), 4-6, 7-6 (7-3), 2-6, 6-2</x:v>
      </x:c>
      <x:c r="I39" s="57" t="n">
        <x:v>7</x:v>
      </x:c>
      <x:c r="J39" s="57" t="n">
        <x:v>6</x:v>
      </x:c>
      <x:c r="K39" s="57" t="n">
        <x:v>4</x:v>
      </x:c>
      <x:c r="L39" s="57" t="n">
        <x:v>6</x:v>
      </x:c>
      <x:c r="M39" s="57" t="n">
        <x:v>7</x:v>
      </x:c>
      <x:c r="N39" s="57" t="n">
        <x:v>6</x:v>
      </x:c>
      <x:c r="O39" s="57" t="n">
        <x:v>2</x:v>
      </x:c>
      <x:c r="P39" s="57" t="n">
        <x:v>6</x:v>
      </x:c>
      <x:c r="Q39" s="57" t="n">
        <x:v>6</x:v>
      </x:c>
      <x:c r="R39" s="57" t="n">
        <x:v>2</x:v>
      </x:c>
      <x:c r="S39" s="57" t="str">
        <x:v>R. Nadal</x:v>
      </x:c>
      <x:c r="T39" s="57" t="str">
        <x:v>ESP</x:v>
      </x:c>
      <x:c r="U39" s="57" t="str">
        <x:v>Spain</x:v>
      </x:c>
      <x:c r="V39" s="57" t="n">
        <x:v>2</x:v>
      </x:c>
      <x:c r="W39" s="57" t="n">
        <x:v>5</x:v>
      </x:c>
      <x:c r="X39" s="57" t="n">
        <x:v>52</x:v>
      </x:c>
      <x:c r="Y39" s="57" t="str">
        <x:v>Completed</x:v>
      </x:c>
      <x:c r="Z39" s="57" t="str">
        <x:v>Recorded</x:v>
      </x:c>
      <x:c r="AA39" s="57" t="n">
        <x:v>8</x:v>
      </x:c>
      <x:c r="AB39" s="57" t="str">
        <x:v>Yes</x:v>
      </x:c>
      <x:c r="AC39" s="57" t="str">
        <x:v>2000s</x:v>
      </x:c>
      <x:c r="AD39" s="57" t="str">
        <x:v>Seeded</x:v>
      </x:c>
      <x:c r="AE39" s="58" t="str">
        <x:v>Seeded</x:v>
      </x:c>
    </x:row>
    <x:row r="40">
      <x:c r="A40" s="56" t="n">
        <x:v>2006</x:v>
      </x:c>
      <x:c r="B40" s="57" t="str">
        <x:v>Women's</x:v>
      </x:c>
      <x:c r="C40" s="57" t="str">
        <x:v>A. Mauresmo</x:v>
      </x:c>
      <x:c r="D40" s="57" t="str">
        <x:v>FRA</x:v>
      </x:c>
      <x:c r="E40" s="57" t="str">
        <x:v>France</x:v>
      </x:c>
      <x:c r="F40" s="57" t="n">
        <x:v>1</x:v>
      </x:c>
      <x:c r="G40" s="57" t="n">
        <x:v>122</x:v>
      </x:c>
      <x:c r="H40" s="57" t="str">
        <x:v>2-6, 6-3, 6-4</x:v>
      </x:c>
      <x:c r="I40" s="57" t="n">
        <x:v>2</x:v>
      </x:c>
      <x:c r="J40" s="57" t="n">
        <x:v>6</x:v>
      </x:c>
      <x:c r="K40" s="57" t="n">
        <x:v>6</x:v>
      </x:c>
      <x:c r="L40" s="57" t="n">
        <x:v>3</x:v>
      </x:c>
      <x:c r="M40" s="57" t="n">
        <x:v>6</x:v>
      </x:c>
      <x:c r="N40" s="57" t="n">
        <x:v>4</x:v>
      </x:c>
      <x:c r="O40" s="57"/>
      <x:c r="P40" s="57"/>
      <x:c r="Q40" s="57"/>
      <x:c r="R40" s="57"/>
      <x:c r="S40" s="57" t="str">
        <x:v>PY. Hardenne</x:v>
      </x:c>
      <x:c r="T40" s="57" t="str">
        <x:v>BEL</x:v>
      </x:c>
      <x:c r="U40" s="57" t="str">
        <x:v>Belgium</x:v>
      </x:c>
      <x:c r="V40" s="57" t="n">
        <x:v>3</x:v>
      </x:c>
      <x:c r="W40" s="57" t="n">
        <x:v>3</x:v>
      </x:c>
      <x:c r="X40" s="57" t="n">
        <x:v>27</x:v>
      </x:c>
      <x:c r="Y40" s="57" t="str">
        <x:v>Completed</x:v>
      </x:c>
      <x:c r="Z40" s="57" t="str">
        <x:v>Recorded</x:v>
      </x:c>
      <x:c r="AA40" s="57" t="n">
        <x:v>1</x:v>
      </x:c>
      <x:c r="AB40" s="57" t="str">
        <x:v>No</x:v>
      </x:c>
      <x:c r="AC40" s="57" t="str">
        <x:v>2000s</x:v>
      </x:c>
      <x:c r="AD40" s="57" t="str">
        <x:v>Seeded</x:v>
      </x:c>
      <x:c r="AE40" s="58" t="str">
        <x:v>Seeded</x:v>
      </x:c>
    </x:row>
    <x:row r="41">
      <x:c r="A41" s="56" t="n">
        <x:v>2006</x:v>
      </x:c>
      <x:c r="B41" s="57" t="str">
        <x:v>Men's</x:v>
      </x:c>
      <x:c r="C41" s="57" t="str">
        <x:v>R. Federer</x:v>
      </x:c>
      <x:c r="D41" s="57" t="str">
        <x:v>SUI</x:v>
      </x:c>
      <x:c r="E41" s="57" t="str">
        <x:v>Switzerland</x:v>
      </x:c>
      <x:c r="F41" s="57" t="n">
        <x:v>1</x:v>
      </x:c>
      <x:c r="G41" s="57" t="n">
        <x:v>170</x:v>
      </x:c>
      <x:c r="H41" s="57" t="str">
        <x:v>6-0, 7-6 (7-5), 6-7 (2-7), 6-3</x:v>
      </x:c>
      <x:c r="I41" s="57" t="n">
        <x:v>6</x:v>
      </x:c>
      <x:c r="J41" s="57" t="n">
        <x:v>0</x:v>
      </x:c>
      <x:c r="K41" s="57" t="n">
        <x:v>7</x:v>
      </x:c>
      <x:c r="L41" s="57" t="n">
        <x:v>6</x:v>
      </x:c>
      <x:c r="M41" s="57" t="n">
        <x:v>6</x:v>
      </x:c>
      <x:c r="N41" s="57" t="n">
        <x:v>7</x:v>
      </x:c>
      <x:c r="O41" s="57" t="n">
        <x:v>6</x:v>
      </x:c>
      <x:c r="P41" s="57" t="n">
        <x:v>3</x:v>
      </x:c>
      <x:c r="Q41" s="57"/>
      <x:c r="R41" s="57"/>
      <x:c r="S41" s="57" t="str">
        <x:v>R. Nadal</x:v>
      </x:c>
      <x:c r="T41" s="57" t="str">
        <x:v>ESP</x:v>
      </x:c>
      <x:c r="U41" s="57" t="str">
        <x:v>Spain</x:v>
      </x:c>
      <x:c r="V41" s="57" t="n">
        <x:v>2</x:v>
      </x:c>
      <x:c r="W41" s="57" t="n">
        <x:v>4</x:v>
      </x:c>
      <x:c r="X41" s="57" t="n">
        <x:v>41</x:v>
      </x:c>
      <x:c r="Y41" s="57" t="str">
        <x:v>Completed</x:v>
      </x:c>
      <x:c r="Z41" s="57" t="str">
        <x:v>Recorded</x:v>
      </x:c>
      <x:c r="AA41" s="57" t="n">
        <x:v>8</x:v>
      </x:c>
      <x:c r="AB41" s="57" t="str">
        <x:v>Yes</x:v>
      </x:c>
      <x:c r="AC41" s="57" t="str">
        <x:v>2000s</x:v>
      </x:c>
      <x:c r="AD41" s="57" t="str">
        <x:v>Seeded</x:v>
      </x:c>
      <x:c r="AE41" s="58" t="str">
        <x:v>Seeded</x:v>
      </x:c>
    </x:row>
    <x:row r="42">
      <x:c r="A42" s="56" t="n">
        <x:v>2005</x:v>
      </x:c>
      <x:c r="B42" s="57" t="str">
        <x:v>Women's</x:v>
      </x:c>
      <x:c r="C42" s="57" t="str">
        <x:v>V.E.S. Williams</x:v>
      </x:c>
      <x:c r="D42" s="57" t="str">
        <x:v>USA</x:v>
      </x:c>
      <x:c r="E42" s="57" t="str">
        <x:v>United States</x:v>
      </x:c>
      <x:c r="F42" s="57" t="n">
        <x:v>14</x:v>
      </x:c>
      <x:c r="G42" s="57" t="n">
        <x:v>166</x:v>
      </x:c>
      <x:c r="H42" s="57" t="str">
        <x:v>4-6, 7-6 (7-4), 9-7</x:v>
      </x:c>
      <x:c r="I42" s="57" t="n">
        <x:v>4</x:v>
      </x:c>
      <x:c r="J42" s="57" t="n">
        <x:v>6</x:v>
      </x:c>
      <x:c r="K42" s="57" t="n">
        <x:v>7</x:v>
      </x:c>
      <x:c r="L42" s="57" t="n">
        <x:v>6</x:v>
      </x:c>
      <x:c r="M42" s="57" t="n">
        <x:v>9</x:v>
      </x:c>
      <x:c r="N42" s="57" t="n">
        <x:v>7</x:v>
      </x:c>
      <x:c r="O42" s="57"/>
      <x:c r="P42" s="57"/>
      <x:c r="Q42" s="57"/>
      <x:c r="R42" s="57"/>
      <x:c r="S42" s="57" t="str">
        <x:v>L.A. Davenport</x:v>
      </x:c>
      <x:c r="T42" s="57" t="str">
        <x:v>USA</x:v>
      </x:c>
      <x:c r="U42" s="57" t="str">
        <x:v>United States</x:v>
      </x:c>
      <x:c r="V42" s="57" t="n">
        <x:v>1</x:v>
      </x:c>
      <x:c r="W42" s="57" t="n">
        <x:v>3</x:v>
      </x:c>
      <x:c r="X42" s="57" t="n">
        <x:v>39</x:v>
      </x:c>
      <x:c r="Y42" s="57" t="str">
        <x:v>Completed</x:v>
      </x:c>
      <x:c r="Z42" s="57" t="str">
        <x:v>Recorded</x:v>
      </x:c>
      <x:c r="AA42" s="57" t="n">
        <x:v>5</x:v>
      </x:c>
      <x:c r="AB42" s="57" t="str">
        <x:v>Yes</x:v>
      </x:c>
      <x:c r="AC42" s="57" t="str">
        <x:v>2000s</x:v>
      </x:c>
      <x:c r="AD42" s="57" t="str">
        <x:v>Seeded</x:v>
      </x:c>
      <x:c r="AE42" s="58" t="str">
        <x:v>Seeded</x:v>
      </x:c>
    </x:row>
    <x:row r="43">
      <x:c r="A43" s="56" t="n">
        <x:v>2005</x:v>
      </x:c>
      <x:c r="B43" s="57" t="str">
        <x:v>Men's</x:v>
      </x:c>
      <x:c r="C43" s="57" t="str">
        <x:v>R. Federer</x:v>
      </x:c>
      <x:c r="D43" s="57" t="str">
        <x:v>SUI</x:v>
      </x:c>
      <x:c r="E43" s="57" t="str">
        <x:v>Switzerland</x:v>
      </x:c>
      <x:c r="F43" s="57" t="n">
        <x:v>1</x:v>
      </x:c>
      <x:c r="G43" s="57" t="n">
        <x:v>101</x:v>
      </x:c>
      <x:c r="H43" s="57" t="str">
        <x:v>6-2, 7-6 (7-2), 6-4</x:v>
      </x:c>
      <x:c r="I43" s="57" t="n">
        <x:v>6</x:v>
      </x:c>
      <x:c r="J43" s="57" t="n">
        <x:v>2</x:v>
      </x:c>
      <x:c r="K43" s="57" t="n">
        <x:v>7</x:v>
      </x:c>
      <x:c r="L43" s="57" t="n">
        <x:v>6</x:v>
      </x:c>
      <x:c r="M43" s="57" t="n">
        <x:v>6</x:v>
      </x:c>
      <x:c r="N43" s="57" t="n">
        <x:v>4</x:v>
      </x:c>
      <x:c r="O43" s="57"/>
      <x:c r="P43" s="57"/>
      <x:c r="Q43" s="57"/>
      <x:c r="R43" s="57"/>
      <x:c r="S43" s="57" t="str">
        <x:v>A. Roddick</x:v>
      </x:c>
      <x:c r="T43" s="57" t="str">
        <x:v>USA</x:v>
      </x:c>
      <x:c r="U43" s="57" t="str">
        <x:v>United States</x:v>
      </x:c>
      <x:c r="V43" s="57" t="n">
        <x:v>2</x:v>
      </x:c>
      <x:c r="W43" s="57" t="n">
        <x:v>3</x:v>
      </x:c>
      <x:c r="X43" s="57" t="n">
        <x:v>31</x:v>
      </x:c>
      <x:c r="Y43" s="57" t="str">
        <x:v>Completed</x:v>
      </x:c>
      <x:c r="Z43" s="57" t="str">
        <x:v>Recorded</x:v>
      </x:c>
      <x:c r="AA43" s="57" t="n">
        <x:v>8</x:v>
      </x:c>
      <x:c r="AB43" s="57" t="str">
        <x:v>Yes</x:v>
      </x:c>
      <x:c r="AC43" s="57" t="str">
        <x:v>2000s</x:v>
      </x:c>
      <x:c r="AD43" s="57" t="str">
        <x:v>Seeded</x:v>
      </x:c>
      <x:c r="AE43" s="58" t="str">
        <x:v>Seeded</x:v>
      </x:c>
    </x:row>
    <x:row r="44">
      <x:c r="A44" s="56" t="n">
        <x:v>2004</x:v>
      </x:c>
      <x:c r="B44" s="57" t="str">
        <x:v>Women's</x:v>
      </x:c>
      <x:c r="C44" s="57" t="str">
        <x:v>M. Sharapova</x:v>
      </x:c>
      <x:c r="D44" s="57" t="str">
        <x:v>RUS</x:v>
      </x:c>
      <x:c r="E44" s="57" t="str">
        <x:v>Russia</x:v>
      </x:c>
      <x:c r="F44" s="57" t="n">
        <x:v>13</x:v>
      </x:c>
      <x:c r="G44" s="57" t="n">
        <x:v>74</x:v>
      </x:c>
      <x:c r="H44" s="57" t="str">
        <x:v>6-1, 6-4</x:v>
      </x:c>
      <x:c r="I44" s="57" t="n">
        <x:v>6</x:v>
      </x:c>
      <x:c r="J44" s="57" t="n">
        <x:v>1</x:v>
      </x:c>
      <x:c r="K44" s="57" t="n">
        <x:v>6</x:v>
      </x:c>
      <x:c r="L44" s="57" t="n">
        <x:v>4</x:v>
      </x:c>
      <x:c r="M44" s="57"/>
      <x:c r="N44" s="57"/>
      <x:c r="O44" s="57"/>
      <x:c r="P44" s="57"/>
      <x:c r="Q44" s="57"/>
      <x:c r="R44" s="57"/>
      <x:c r="S44" s="57" t="str">
        <x:v>S. Williams</x:v>
      </x:c>
      <x:c r="T44" s="57" t="str">
        <x:v>USA</x:v>
      </x:c>
      <x:c r="U44" s="57" t="str">
        <x:v>United States</x:v>
      </x:c>
      <x:c r="V44" s="57" t="n">
        <x:v>1</x:v>
      </x:c>
      <x:c r="W44" s="57" t="n">
        <x:v>2</x:v>
      </x:c>
      <x:c r="X44" s="57" t="n">
        <x:v>17</x:v>
      </x:c>
      <x:c r="Y44" s="57" t="str">
        <x:v>Completed</x:v>
      </x:c>
      <x:c r="Z44" s="57" t="str">
        <x:v>Recorded</x:v>
      </x:c>
      <x:c r="AA44" s="57" t="n">
        <x:v>1</x:v>
      </x:c>
      <x:c r="AB44" s="57" t="str">
        <x:v>No</x:v>
      </x:c>
      <x:c r="AC44" s="57" t="str">
        <x:v>2000s</x:v>
      </x:c>
      <x:c r="AD44" s="57" t="str">
        <x:v>Seeded</x:v>
      </x:c>
      <x:c r="AE44" s="58" t="str">
        <x:v>Seeded</x:v>
      </x:c>
    </x:row>
    <x:row r="45">
      <x:c r="A45" s="56" t="n">
        <x:v>2004</x:v>
      </x:c>
      <x:c r="B45" s="57" t="str">
        <x:v>Men's</x:v>
      </x:c>
      <x:c r="C45" s="57" t="str">
        <x:v>R. Federer</x:v>
      </x:c>
      <x:c r="D45" s="57" t="str">
        <x:v>SUI</x:v>
      </x:c>
      <x:c r="E45" s="57" t="str">
        <x:v>Switzerland</x:v>
      </x:c>
      <x:c r="F45" s="57" t="n">
        <x:v>1</x:v>
      </x:c>
      <x:c r="G45" s="57" t="n">
        <x:v>151</x:v>
      </x:c>
      <x:c r="H45" s="57" t="str">
        <x:v>4-6, 7-5, 7-6 (7-3), 6-4</x:v>
      </x:c>
      <x:c r="I45" s="57" t="n">
        <x:v>4</x:v>
      </x:c>
      <x:c r="J45" s="57" t="n">
        <x:v>6</x:v>
      </x:c>
      <x:c r="K45" s="57" t="n">
        <x:v>7</x:v>
      </x:c>
      <x:c r="L45" s="57" t="n">
        <x:v>5</x:v>
      </x:c>
      <x:c r="M45" s="57" t="n">
        <x:v>7</x:v>
      </x:c>
      <x:c r="N45" s="57" t="n">
        <x:v>6</x:v>
      </x:c>
      <x:c r="O45" s="57" t="n">
        <x:v>6</x:v>
      </x:c>
      <x:c r="P45" s="57" t="n">
        <x:v>4</x:v>
      </x:c>
      <x:c r="Q45" s="57"/>
      <x:c r="R45" s="57"/>
      <x:c r="S45" s="57" t="str">
        <x:v>A. Roddick</x:v>
      </x:c>
      <x:c r="T45" s="57" t="str">
        <x:v>USA</x:v>
      </x:c>
      <x:c r="U45" s="57" t="str">
        <x:v>United States</x:v>
      </x:c>
      <x:c r="V45" s="57" t="n">
        <x:v>2</x:v>
      </x:c>
      <x:c r="W45" s="57" t="n">
        <x:v>4</x:v>
      </x:c>
      <x:c r="X45" s="57" t="n">
        <x:v>45</x:v>
      </x:c>
      <x:c r="Y45" s="57" t="str">
        <x:v>Completed</x:v>
      </x:c>
      <x:c r="Z45" s="57" t="str">
        <x:v>Recorded</x:v>
      </x:c>
      <x:c r="AA45" s="57" t="n">
        <x:v>8</x:v>
      </x:c>
      <x:c r="AB45" s="57" t="str">
        <x:v>Yes</x:v>
      </x:c>
      <x:c r="AC45" s="57" t="str">
        <x:v>2000s</x:v>
      </x:c>
      <x:c r="AD45" s="57" t="str">
        <x:v>Seeded</x:v>
      </x:c>
      <x:c r="AE45" s="58" t="str">
        <x:v>Seeded</x:v>
      </x:c>
    </x:row>
    <x:row r="46">
      <x:c r="A46" s="56" t="n">
        <x:v>2003</x:v>
      </x:c>
      <x:c r="B46" s="57" t="str">
        <x:v>Women's</x:v>
      </x:c>
      <x:c r="C46" s="57" t="str">
        <x:v>S. Williams</x:v>
      </x:c>
      <x:c r="D46" s="57" t="str">
        <x:v>USA</x:v>
      </x:c>
      <x:c r="E46" s="57" t="str">
        <x:v>United States</x:v>
      </x:c>
      <x:c r="F46" s="57" t="n">
        <x:v>1</x:v>
      </x:c>
      <x:c r="G46" s="57" t="n">
        <x:v>123</x:v>
      </x:c>
      <x:c r="H46" s="57" t="str">
        <x:v>4-6, 6-4, 6-2</x:v>
      </x:c>
      <x:c r="I46" s="57" t="n">
        <x:v>4</x:v>
      </x:c>
      <x:c r="J46" s="57" t="n">
        <x:v>6</x:v>
      </x:c>
      <x:c r="K46" s="57" t="n">
        <x:v>6</x:v>
      </x:c>
      <x:c r="L46" s="57" t="n">
        <x:v>4</x:v>
      </x:c>
      <x:c r="M46" s="57" t="n">
        <x:v>6</x:v>
      </x:c>
      <x:c r="N46" s="57" t="n">
        <x:v>2</x:v>
      </x:c>
      <x:c r="O46" s="57"/>
      <x:c r="P46" s="57"/>
      <x:c r="Q46" s="57"/>
      <x:c r="R46" s="57"/>
      <x:c r="S46" s="57" t="str">
        <x:v>V.E.S. Williams</x:v>
      </x:c>
      <x:c r="T46" s="57" t="str">
        <x:v>USA</x:v>
      </x:c>
      <x:c r="U46" s="57" t="str">
        <x:v>United States</x:v>
      </x:c>
      <x:c r="V46" s="57" t="n">
        <x:v>4</x:v>
      </x:c>
      <x:c r="W46" s="57" t="n">
        <x:v>3</x:v>
      </x:c>
      <x:c r="X46" s="57" t="n">
        <x:v>28</x:v>
      </x:c>
      <x:c r="Y46" s="57" t="str">
        <x:v>Completed</x:v>
      </x:c>
      <x:c r="Z46" s="57" t="str">
        <x:v>Recorded</x:v>
      </x:c>
      <x:c r="AA46" s="57" t="n">
        <x:v>7</x:v>
      </x:c>
      <x:c r="AB46" s="57" t="str">
        <x:v>Yes</x:v>
      </x:c>
      <x:c r="AC46" s="57" t="str">
        <x:v>2000s</x:v>
      </x:c>
      <x:c r="AD46" s="57" t="str">
        <x:v>Seeded</x:v>
      </x:c>
      <x:c r="AE46" s="58" t="str">
        <x:v>Seeded</x:v>
      </x:c>
    </x:row>
    <x:row r="47">
      <x:c r="A47" s="56" t="n">
        <x:v>2003</x:v>
      </x:c>
      <x:c r="B47" s="57" t="str">
        <x:v>Men's</x:v>
      </x:c>
      <x:c r="C47" s="57" t="str">
        <x:v>R. Federer</x:v>
      </x:c>
      <x:c r="D47" s="57" t="str">
        <x:v>SUI</x:v>
      </x:c>
      <x:c r="E47" s="57" t="str">
        <x:v>Switzerland</x:v>
      </x:c>
      <x:c r="F47" s="57" t="n">
        <x:v>4</x:v>
      </x:c>
      <x:c r="G47" s="57" t="n">
        <x:v>119</x:v>
      </x:c>
      <x:c r="H47" s="57" t="str">
        <x:v>7-6 (7-5), 6-2, 7-6 (7-3)</x:v>
      </x:c>
      <x:c r="I47" s="57" t="n">
        <x:v>7</x:v>
      </x:c>
      <x:c r="J47" s="57" t="n">
        <x:v>6</x:v>
      </x:c>
      <x:c r="K47" s="57" t="n">
        <x:v>6</x:v>
      </x:c>
      <x:c r="L47" s="57" t="n">
        <x:v>2</x:v>
      </x:c>
      <x:c r="M47" s="57" t="n">
        <x:v>7</x:v>
      </x:c>
      <x:c r="N47" s="57" t="n">
        <x:v>6</x:v>
      </x:c>
      <x:c r="O47" s="57"/>
      <x:c r="P47" s="57"/>
      <x:c r="Q47" s="57"/>
      <x:c r="R47" s="57"/>
      <x:c r="S47" s="57" t="str">
        <x:v>M. Philippousis</x:v>
      </x:c>
      <x:c r="T47" s="57" t="str">
        <x:v>AUS</x:v>
      </x:c>
      <x:c r="U47" s="57" t="str">
        <x:v>Australia</x:v>
      </x:c>
      <x:c r="V47" s="57" t="str">
        <x:v>U</x:v>
      </x:c>
      <x:c r="W47" s="57" t="n">
        <x:v>3</x:v>
      </x:c>
      <x:c r="X47" s="57" t="n">
        <x:v>34</x:v>
      </x:c>
      <x:c r="Y47" s="57" t="str">
        <x:v>Completed</x:v>
      </x:c>
      <x:c r="Z47" s="57" t="str">
        <x:v>Recorded</x:v>
      </x:c>
      <x:c r="AA47" s="57" t="n">
        <x:v>8</x:v>
      </x:c>
      <x:c r="AB47" s="57" t="str">
        <x:v>Yes</x:v>
      </x:c>
      <x:c r="AC47" s="57" t="str">
        <x:v>2000s</x:v>
      </x:c>
      <x:c r="AD47" s="57" t="str">
        <x:v>Seeded</x:v>
      </x:c>
      <x:c r="AE47" s="58" t="str">
        <x:v>Unseeded/unknown</x:v>
      </x:c>
    </x:row>
    <x:row r="48">
      <x:c r="A48" s="56" t="n">
        <x:v>2002</x:v>
      </x:c>
      <x:c r="B48" s="57" t="str">
        <x:v>Women's</x:v>
      </x:c>
      <x:c r="C48" s="57" t="str">
        <x:v>S. Williams</x:v>
      </x:c>
      <x:c r="D48" s="57" t="str">
        <x:v>USA</x:v>
      </x:c>
      <x:c r="E48" s="57" t="str">
        <x:v>United States</x:v>
      </x:c>
      <x:c r="F48" s="57" t="n">
        <x:v>2</x:v>
      </x:c>
      <x:c r="G48" s="57" t="n">
        <x:v>78</x:v>
      </x:c>
      <x:c r="H48" s="57" t="str">
        <x:v>7-6 (7-4), 6-3</x:v>
      </x:c>
      <x:c r="I48" s="57" t="n">
        <x:v>7</x:v>
      </x:c>
      <x:c r="J48" s="57" t="n">
        <x:v>6</x:v>
      </x:c>
      <x:c r="K48" s="57" t="n">
        <x:v>6</x:v>
      </x:c>
      <x:c r="L48" s="57" t="n">
        <x:v>3</x:v>
      </x:c>
      <x:c r="M48" s="57"/>
      <x:c r="N48" s="57"/>
      <x:c r="O48" s="57"/>
      <x:c r="P48" s="57"/>
      <x:c r="Q48" s="57"/>
      <x:c r="R48" s="57"/>
      <x:c r="S48" s="57" t="str">
        <x:v>V.E.S. Williams</x:v>
      </x:c>
      <x:c r="T48" s="57" t="str">
        <x:v>USA</x:v>
      </x:c>
      <x:c r="U48" s="57" t="str">
        <x:v>United States</x:v>
      </x:c>
      <x:c r="V48" s="57" t="n">
        <x:v>1</x:v>
      </x:c>
      <x:c r="W48" s="57" t="n">
        <x:v>2</x:v>
      </x:c>
      <x:c r="X48" s="57" t="n">
        <x:v>22</x:v>
      </x:c>
      <x:c r="Y48" s="57" t="str">
        <x:v>Completed</x:v>
      </x:c>
      <x:c r="Z48" s="57" t="str">
        <x:v>Recorded</x:v>
      </x:c>
      <x:c r="AA48" s="57" t="n">
        <x:v>7</x:v>
      </x:c>
      <x:c r="AB48" s="57" t="str">
        <x:v>Yes</x:v>
      </x:c>
      <x:c r="AC48" s="57" t="str">
        <x:v>2000s</x:v>
      </x:c>
      <x:c r="AD48" s="57" t="str">
        <x:v>Seeded</x:v>
      </x:c>
      <x:c r="AE48" s="58" t="str">
        <x:v>Seeded</x:v>
      </x:c>
    </x:row>
    <x:row r="49">
      <x:c r="A49" s="56" t="n">
        <x:v>2002</x:v>
      </x:c>
      <x:c r="B49" s="57" t="str">
        <x:v>Men's</x:v>
      </x:c>
      <x:c r="C49" s="57" t="str">
        <x:v>L.G. Hewitt</x:v>
      </x:c>
      <x:c r="D49" s="57" t="str">
        <x:v>AUS</x:v>
      </x:c>
      <x:c r="E49" s="57" t="str">
        <x:v>Australia</x:v>
      </x:c>
      <x:c r="F49" s="57" t="n">
        <x:v>1</x:v>
      </x:c>
      <x:c r="G49" s="57" t="n">
        <x:v>116</x:v>
      </x:c>
      <x:c r="H49" s="57" t="str">
        <x:v>6-1, 6-3, 6-2</x:v>
      </x:c>
      <x:c r="I49" s="57" t="n">
        <x:v>6</x:v>
      </x:c>
      <x:c r="J49" s="57" t="n">
        <x:v>1</x:v>
      </x:c>
      <x:c r="K49" s="57" t="n">
        <x:v>6</x:v>
      </x:c>
      <x:c r="L49" s="57" t="n">
        <x:v>3</x:v>
      </x:c>
      <x:c r="M49" s="57" t="n">
        <x:v>6</x:v>
      </x:c>
      <x:c r="N49" s="57" t="n">
        <x:v>2</x:v>
      </x:c>
      <x:c r="O49" s="57"/>
      <x:c r="P49" s="57"/>
      <x:c r="Q49" s="57"/>
      <x:c r="R49" s="57"/>
      <x:c r="S49" s="57" t="str">
        <x:v>D.P. Nalbandian</x:v>
      </x:c>
      <x:c r="T49" s="57" t="str">
        <x:v>ARG</x:v>
      </x:c>
      <x:c r="U49" s="57" t="str">
        <x:v>Argentina</x:v>
      </x:c>
      <x:c r="V49" s="57" t="n">
        <x:v>28</x:v>
      </x:c>
      <x:c r="W49" s="57" t="n">
        <x:v>3</x:v>
      </x:c>
      <x:c r="X49" s="57" t="n">
        <x:v>24</x:v>
      </x:c>
      <x:c r="Y49" s="57" t="str">
        <x:v>Completed</x:v>
      </x:c>
      <x:c r="Z49" s="57" t="str">
        <x:v>Recorded</x:v>
      </x:c>
      <x:c r="AA49" s="57" t="n">
        <x:v>1</x:v>
      </x:c>
      <x:c r="AB49" s="57" t="str">
        <x:v>No</x:v>
      </x:c>
      <x:c r="AC49" s="57" t="str">
        <x:v>2000s</x:v>
      </x:c>
      <x:c r="AD49" s="57" t="str">
        <x:v>Seeded</x:v>
      </x:c>
      <x:c r="AE49" s="58" t="str">
        <x:v>Seeded</x:v>
      </x:c>
    </x:row>
    <x:row r="50">
      <x:c r="A50" s="56" t="n">
        <x:v>2001</x:v>
      </x:c>
      <x:c r="B50" s="57" t="str">
        <x:v>Women's</x:v>
      </x:c>
      <x:c r="C50" s="57" t="str">
        <x:v>V.E.S. Williams</x:v>
      </x:c>
      <x:c r="D50" s="57" t="str">
        <x:v>USA</x:v>
      </x:c>
      <x:c r="E50" s="57" t="str">
        <x:v>United States</x:v>
      </x:c>
      <x:c r="F50" s="57" t="n">
        <x:v>2</x:v>
      </x:c>
      <x:c r="G50" s="57" t="n">
        <x:v>69</x:v>
      </x:c>
      <x:c r="H50" s="57" t="str">
        <x:v>6-1, 3-6, 6-0</x:v>
      </x:c>
      <x:c r="I50" s="57" t="n">
        <x:v>6</x:v>
      </x:c>
      <x:c r="J50" s="57" t="n">
        <x:v>1</x:v>
      </x:c>
      <x:c r="K50" s="57" t="n">
        <x:v>3</x:v>
      </x:c>
      <x:c r="L50" s="57" t="n">
        <x:v>6</x:v>
      </x:c>
      <x:c r="M50" s="57" t="n">
        <x:v>6</x:v>
      </x:c>
      <x:c r="N50" s="57" t="n">
        <x:v>0</x:v>
      </x:c>
      <x:c r="O50" s="57"/>
      <x:c r="P50" s="57"/>
      <x:c r="Q50" s="57"/>
      <x:c r="R50" s="57"/>
      <x:c r="S50" s="57" t="str">
        <x:v>J. Henin</x:v>
      </x:c>
      <x:c r="T50" s="57" t="str">
        <x:v>BEL</x:v>
      </x:c>
      <x:c r="U50" s="57" t="str">
        <x:v>Belgium</x:v>
      </x:c>
      <x:c r="V50" s="57" t="n">
        <x:v>8</x:v>
      </x:c>
      <x:c r="W50" s="57" t="n">
        <x:v>3</x:v>
      </x:c>
      <x:c r="X50" s="57" t="n">
        <x:v>22</x:v>
      </x:c>
      <x:c r="Y50" s="57" t="str">
        <x:v>Completed</x:v>
      </x:c>
      <x:c r="Z50" s="57" t="str">
        <x:v>Recorded</x:v>
      </x:c>
      <x:c r="AA50" s="57" t="n">
        <x:v>5</x:v>
      </x:c>
      <x:c r="AB50" s="57" t="str">
        <x:v>Yes</x:v>
      </x:c>
      <x:c r="AC50" s="57" t="str">
        <x:v>2000s</x:v>
      </x:c>
      <x:c r="AD50" s="57" t="str">
        <x:v>Seeded</x:v>
      </x:c>
      <x:c r="AE50" s="58" t="str">
        <x:v>Seeded</x:v>
      </x:c>
    </x:row>
    <x:row r="51">
      <x:c r="A51" s="56" t="n">
        <x:v>2001</x:v>
      </x:c>
      <x:c r="B51" s="57" t="str">
        <x:v>Men's</x:v>
      </x:c>
      <x:c r="C51" s="57" t="str">
        <x:v>G.S. Ivanisevic</x:v>
      </x:c>
      <x:c r="D51" s="57" t="str">
        <x:v>CRO</x:v>
      </x:c>
      <x:c r="E51" s="57" t="str">
        <x:v>Croatia</x:v>
      </x:c>
      <x:c r="F51" s="57" t="str">
        <x:v>WC</x:v>
      </x:c>
      <x:c r="G51" s="57" t="n">
        <x:v>182</x:v>
      </x:c>
      <x:c r="H51" s="57" t="str">
        <x:v>6-3, 3-6, 6-3, 2-6, 9-7</x:v>
      </x:c>
      <x:c r="I51" s="57" t="n">
        <x:v>6</x:v>
      </x:c>
      <x:c r="J51" s="57" t="n">
        <x:v>3</x:v>
      </x:c>
      <x:c r="K51" s="57" t="n">
        <x:v>3</x:v>
      </x:c>
      <x:c r="L51" s="57" t="n">
        <x:v>6</x:v>
      </x:c>
      <x:c r="M51" s="57" t="n">
        <x:v>6</x:v>
      </x:c>
      <x:c r="N51" s="57" t="n">
        <x:v>3</x:v>
      </x:c>
      <x:c r="O51" s="57" t="n">
        <x:v>2</x:v>
      </x:c>
      <x:c r="P51" s="57" t="n">
        <x:v>6</x:v>
      </x:c>
      <x:c r="Q51" s="57" t="n">
        <x:v>9</x:v>
      </x:c>
      <x:c r="R51" s="57" t="n">
        <x:v>7</x:v>
      </x:c>
      <x:c r="S51" s="57" t="str">
        <x:v>P.M. Rafter</x:v>
      </x:c>
      <x:c r="T51" s="57" t="str">
        <x:v>AUS</x:v>
      </x:c>
      <x:c r="U51" s="57" t="str">
        <x:v>Australia</x:v>
      </x:c>
      <x:c r="V51" s="57" t="n">
        <x:v>3</x:v>
      </x:c>
      <x:c r="W51" s="57" t="n">
        <x:v>5</x:v>
      </x:c>
      <x:c r="X51" s="57" t="n">
        <x:v>51</x:v>
      </x:c>
      <x:c r="Y51" s="57" t="str">
        <x:v>Completed</x:v>
      </x:c>
      <x:c r="Z51" s="57" t="str">
        <x:v>Recorded</x:v>
      </x:c>
      <x:c r="AA51" s="57" t="n">
        <x:v>1</x:v>
      </x:c>
      <x:c r="AB51" s="57" t="str">
        <x:v>No</x:v>
      </x:c>
      <x:c r="AC51" s="57" t="str">
        <x:v>2000s</x:v>
      </x:c>
      <x:c r="AD51" s="57" t="str">
        <x:v>Unseeded/unknown</x:v>
      </x:c>
      <x:c r="AE51" s="58" t="str">
        <x:v>Seeded</x:v>
      </x:c>
    </x:row>
    <x:row r="52">
      <x:c r="A52" s="56" t="n">
        <x:v>2000</x:v>
      </x:c>
      <x:c r="B52" s="57" t="str">
        <x:v>Women's</x:v>
      </x:c>
      <x:c r="C52" s="57" t="str">
        <x:v>V.E.S. Williams</x:v>
      </x:c>
      <x:c r="D52" s="57" t="str">
        <x:v>USA</x:v>
      </x:c>
      <x:c r="E52" s="57" t="str">
        <x:v>United States</x:v>
      </x:c>
      <x:c r="F52" s="57" t="n">
        <x:v>5</x:v>
      </x:c>
      <x:c r="G52" s="57" t="n">
        <x:v>84</x:v>
      </x:c>
      <x:c r="H52" s="57" t="str">
        <x:v>6-3, 7-6 (7-3)</x:v>
      </x:c>
      <x:c r="I52" s="57" t="n">
        <x:v>6</x:v>
      </x:c>
      <x:c r="J52" s="57" t="n">
        <x:v>3</x:v>
      </x:c>
      <x:c r="K52" s="57" t="n">
        <x:v>7</x:v>
      </x:c>
      <x:c r="L52" s="57" t="n">
        <x:v>6</x:v>
      </x:c>
      <x:c r="M52" s="57"/>
      <x:c r="N52" s="57"/>
      <x:c r="O52" s="57"/>
      <x:c r="P52" s="57"/>
      <x:c r="Q52" s="57"/>
      <x:c r="R52" s="57"/>
      <x:c r="S52" s="57" t="str">
        <x:v>L.A. Davenport</x:v>
      </x:c>
      <x:c r="T52" s="57" t="str">
        <x:v>USA</x:v>
      </x:c>
      <x:c r="U52" s="57" t="str">
        <x:v>United States</x:v>
      </x:c>
      <x:c r="V52" s="57" t="n">
        <x:v>2</x:v>
      </x:c>
      <x:c r="W52" s="57" t="n">
        <x:v>2</x:v>
      </x:c>
      <x:c r="X52" s="57" t="n">
        <x:v>22</x:v>
      </x:c>
      <x:c r="Y52" s="57" t="str">
        <x:v>Completed</x:v>
      </x:c>
      <x:c r="Z52" s="57" t="str">
        <x:v>Recorded</x:v>
      </x:c>
      <x:c r="AA52" s="57" t="n">
        <x:v>5</x:v>
      </x:c>
      <x:c r="AB52" s="57" t="str">
        <x:v>Yes</x:v>
      </x:c>
      <x:c r="AC52" s="57" t="str">
        <x:v>2000s</x:v>
      </x:c>
      <x:c r="AD52" s="57" t="str">
        <x:v>Seeded</x:v>
      </x:c>
      <x:c r="AE52" s="58" t="str">
        <x:v>Seeded</x:v>
      </x:c>
    </x:row>
    <x:row r="53">
      <x:c r="A53" s="56" t="n">
        <x:v>2000</x:v>
      </x:c>
      <x:c r="B53" s="57" t="str">
        <x:v>Men's</x:v>
      </x:c>
      <x:c r="C53" s="57" t="str">
        <x:v>P. Sampras</x:v>
      </x:c>
      <x:c r="D53" s="57" t="str">
        <x:v>USA</x:v>
      </x:c>
      <x:c r="E53" s="57" t="str">
        <x:v>United States</x:v>
      </x:c>
      <x:c r="F53" s="57" t="n">
        <x:v>1</x:v>
      </x:c>
      <x:c r="G53" s="57" t="n">
        <x:v>182</x:v>
      </x:c>
      <x:c r="H53" s="57" t="str">
        <x:v>6-7 (10-12), 7-6 (7-5), 6-4, 6-2</x:v>
      </x:c>
      <x:c r="I53" s="57" t="n">
        <x:v>6</x:v>
      </x:c>
      <x:c r="J53" s="57" t="n">
        <x:v>7</x:v>
      </x:c>
      <x:c r="K53" s="57" t="n">
        <x:v>7</x:v>
      </x:c>
      <x:c r="L53" s="57" t="n">
        <x:v>6</x:v>
      </x:c>
      <x:c r="M53" s="57" t="n">
        <x:v>6</x:v>
      </x:c>
      <x:c r="N53" s="57" t="n">
        <x:v>4</x:v>
      </x:c>
      <x:c r="O53" s="57" t="n">
        <x:v>6</x:v>
      </x:c>
      <x:c r="P53" s="57" t="n">
        <x:v>2</x:v>
      </x:c>
      <x:c r="Q53" s="57"/>
      <x:c r="R53" s="57"/>
      <x:c r="S53" s="57" t="str">
        <x:v>P.M. Rafter</x:v>
      </x:c>
      <x:c r="T53" s="57" t="str">
        <x:v>AUS</x:v>
      </x:c>
      <x:c r="U53" s="57" t="str">
        <x:v>Australia</x:v>
      </x:c>
      <x:c r="V53" s="57" t="n">
        <x:v>12</x:v>
      </x:c>
      <x:c r="W53" s="57" t="n">
        <x:v>4</x:v>
      </x:c>
      <x:c r="X53" s="57" t="n">
        <x:v>44</x:v>
      </x:c>
      <x:c r="Y53" s="57" t="str">
        <x:v>Completed</x:v>
      </x:c>
      <x:c r="Z53" s="57" t="str">
        <x:v>Recorded</x:v>
      </x:c>
      <x:c r="AA53" s="57" t="n">
        <x:v>7</x:v>
      </x:c>
      <x:c r="AB53" s="57" t="str">
        <x:v>Yes</x:v>
      </x:c>
      <x:c r="AC53" s="57" t="str">
        <x:v>2000s</x:v>
      </x:c>
      <x:c r="AD53" s="57" t="str">
        <x:v>Seeded</x:v>
      </x:c>
      <x:c r="AE53" s="58" t="str">
        <x:v>Seeded</x:v>
      </x:c>
    </x:row>
    <x:row r="54">
      <x:c r="A54" s="56" t="n">
        <x:v>1999</x:v>
      </x:c>
      <x:c r="B54" s="57" t="str">
        <x:v>Women's</x:v>
      </x:c>
      <x:c r="C54" s="57" t="str">
        <x:v>L.A. Davenport</x:v>
      </x:c>
      <x:c r="D54" s="57" t="str">
        <x:v>USA</x:v>
      </x:c>
      <x:c r="E54" s="57" t="str">
        <x:v>United States</x:v>
      </x:c>
      <x:c r="F54" s="57" t="n">
        <x:v>3</x:v>
      </x:c>
      <x:c r="G54" s="57" t="n">
        <x:v>75</x:v>
      </x:c>
      <x:c r="H54" s="57" t="str">
        <x:v>6-4, 7-5</x:v>
      </x:c>
      <x:c r="I54" s="57" t="n">
        <x:v>6</x:v>
      </x:c>
      <x:c r="J54" s="57" t="n">
        <x:v>4</x:v>
      </x:c>
      <x:c r="K54" s="57" t="n">
        <x:v>7</x:v>
      </x:c>
      <x:c r="L54" s="57" t="n">
        <x:v>5</x:v>
      </x:c>
      <x:c r="M54" s="57"/>
      <x:c r="N54" s="57"/>
      <x:c r="O54" s="57"/>
      <x:c r="P54" s="57"/>
      <x:c r="Q54" s="57"/>
      <x:c r="R54" s="57"/>
      <x:c r="S54" s="57" t="str">
        <x:v>S.M. Graf</x:v>
      </x:c>
      <x:c r="T54" s="57" t="str">
        <x:v>GER</x:v>
      </x:c>
      <x:c r="U54" s="57" t="str">
        <x:v>Germany</x:v>
      </x:c>
      <x:c r="V54" s="57" t="n">
        <x:v>2</x:v>
      </x:c>
      <x:c r="W54" s="57" t="n">
        <x:v>2</x:v>
      </x:c>
      <x:c r="X54" s="57" t="n">
        <x:v>22</x:v>
      </x:c>
      <x:c r="Y54" s="57" t="str">
        <x:v>Completed</x:v>
      </x:c>
      <x:c r="Z54" s="57" t="str">
        <x:v>Recorded</x:v>
      </x:c>
      <x:c r="AA54" s="57" t="n">
        <x:v>1</x:v>
      </x:c>
      <x:c r="AB54" s="57" t="str">
        <x:v>No</x:v>
      </x:c>
      <x:c r="AC54" s="57" t="str">
        <x:v>1990s</x:v>
      </x:c>
      <x:c r="AD54" s="57" t="str">
        <x:v>Seeded</x:v>
      </x:c>
      <x:c r="AE54" s="58" t="str">
        <x:v>Seeded</x:v>
      </x:c>
    </x:row>
    <x:row r="55">
      <x:c r="A55" s="56" t="n">
        <x:v>1999</x:v>
      </x:c>
      <x:c r="B55" s="57" t="str">
        <x:v>Men's</x:v>
      </x:c>
      <x:c r="C55" s="57" t="str">
        <x:v>P. Sampras</x:v>
      </x:c>
      <x:c r="D55" s="57" t="str">
        <x:v>USA</x:v>
      </x:c>
      <x:c r="E55" s="57" t="str">
        <x:v>United States</x:v>
      </x:c>
      <x:c r="F55" s="57" t="n">
        <x:v>1</x:v>
      </x:c>
      <x:c r="G55" s="57" t="n">
        <x:v>115</x:v>
      </x:c>
      <x:c r="H55" s="57" t="str">
        <x:v>6-3, 6-4, 7-5</x:v>
      </x:c>
      <x:c r="I55" s="57" t="n">
        <x:v>6</x:v>
      </x:c>
      <x:c r="J55" s="57" t="n">
        <x:v>3</x:v>
      </x:c>
      <x:c r="K55" s="57" t="n">
        <x:v>6</x:v>
      </x:c>
      <x:c r="L55" s="57" t="n">
        <x:v>4</x:v>
      </x:c>
      <x:c r="M55" s="57" t="n">
        <x:v>7</x:v>
      </x:c>
      <x:c r="N55" s="57" t="n">
        <x:v>5</x:v>
      </x:c>
      <x:c r="O55" s="57"/>
      <x:c r="P55" s="57"/>
      <x:c r="Q55" s="57"/>
      <x:c r="R55" s="57"/>
      <x:c r="S55" s="57" t="str">
        <x:v>A.K. Agassi</x:v>
      </x:c>
      <x:c r="T55" s="57" t="str">
        <x:v>USA</x:v>
      </x:c>
      <x:c r="U55" s="57" t="str">
        <x:v>United States</x:v>
      </x:c>
      <x:c r="V55" s="57" t="n">
        <x:v>4</x:v>
      </x:c>
      <x:c r="W55" s="57" t="n">
        <x:v>3</x:v>
      </x:c>
      <x:c r="X55" s="57" t="n">
        <x:v>31</x:v>
      </x:c>
      <x:c r="Y55" s="57" t="str">
        <x:v>Completed</x:v>
      </x:c>
      <x:c r="Z55" s="57" t="str">
        <x:v>Recorded</x:v>
      </x:c>
      <x:c r="AA55" s="57" t="n">
        <x:v>7</x:v>
      </x:c>
      <x:c r="AB55" s="57" t="str">
        <x:v>Yes</x:v>
      </x:c>
      <x:c r="AC55" s="57" t="str">
        <x:v>1990s</x:v>
      </x:c>
      <x:c r="AD55" s="57" t="str">
        <x:v>Seeded</x:v>
      </x:c>
      <x:c r="AE55" s="58" t="str">
        <x:v>Seeded</x:v>
      </x:c>
    </x:row>
    <x:row r="56">
      <x:c r="A56" s="56" t="n">
        <x:v>1998</x:v>
      </x:c>
      <x:c r="B56" s="57" t="str">
        <x:v>Women's</x:v>
      </x:c>
      <x:c r="C56" s="57" t="str">
        <x:v>J. Novotna</x:v>
      </x:c>
      <x:c r="D56" s="57" t="str">
        <x:v>CZE</x:v>
      </x:c>
      <x:c r="E56" s="57" t="str">
        <x:v>Czechia</x:v>
      </x:c>
      <x:c r="F56" s="57" t="n">
        <x:v>3</x:v>
      </x:c>
      <x:c r="G56" s="57" t="n">
        <x:v>94</x:v>
      </x:c>
      <x:c r="H56" s="57" t="str">
        <x:v>6-4, 7-6 (7-2)</x:v>
      </x:c>
      <x:c r="I56" s="57" t="n">
        <x:v>6</x:v>
      </x:c>
      <x:c r="J56" s="57" t="n">
        <x:v>4</x:v>
      </x:c>
      <x:c r="K56" s="57" t="n">
        <x:v>7</x:v>
      </x:c>
      <x:c r="L56" s="57" t="n">
        <x:v>6</x:v>
      </x:c>
      <x:c r="M56" s="57"/>
      <x:c r="N56" s="57"/>
      <x:c r="O56" s="57"/>
      <x:c r="P56" s="57"/>
      <x:c r="Q56" s="57"/>
      <x:c r="R56" s="57"/>
      <x:c r="S56" s="57" t="str">
        <x:v>N. Tauziat</x:v>
      </x:c>
      <x:c r="T56" s="57" t="str">
        <x:v>FRA</x:v>
      </x:c>
      <x:c r="U56" s="57" t="str">
        <x:v>France</x:v>
      </x:c>
      <x:c r="V56" s="57" t="n">
        <x:v>16</x:v>
      </x:c>
      <x:c r="W56" s="57" t="n">
        <x:v>2</x:v>
      </x:c>
      <x:c r="X56" s="57" t="n">
        <x:v>23</x:v>
      </x:c>
      <x:c r="Y56" s="57" t="str">
        <x:v>Completed</x:v>
      </x:c>
      <x:c r="Z56" s="57" t="str">
        <x:v>Recorded</x:v>
      </x:c>
      <x:c r="AA56" s="57" t="n">
        <x:v>1</x:v>
      </x:c>
      <x:c r="AB56" s="57" t="str">
        <x:v>No</x:v>
      </x:c>
      <x:c r="AC56" s="57" t="str">
        <x:v>1990s</x:v>
      </x:c>
      <x:c r="AD56" s="57" t="str">
        <x:v>Seeded</x:v>
      </x:c>
      <x:c r="AE56" s="58" t="str">
        <x:v>Seeded</x:v>
      </x:c>
    </x:row>
    <x:row r="57">
      <x:c r="A57" s="56" t="n">
        <x:v>1998</x:v>
      </x:c>
      <x:c r="B57" s="57" t="str">
        <x:v>Men's</x:v>
      </x:c>
      <x:c r="C57" s="57" t="str">
        <x:v>P. Sampras</x:v>
      </x:c>
      <x:c r="D57" s="57" t="str">
        <x:v>USA</x:v>
      </x:c>
      <x:c r="E57" s="57" t="str">
        <x:v>United States</x:v>
      </x:c>
      <x:c r="F57" s="57" t="n">
        <x:v>1</x:v>
      </x:c>
      <x:c r="G57" s="57" t="n">
        <x:v>172</x:v>
      </x:c>
      <x:c r="H57" s="57" t="str">
        <x:v>6-7 (2-7), 7-6 (11-9), 6-4, 3-6, 6-2</x:v>
      </x:c>
      <x:c r="I57" s="57" t="n">
        <x:v>6</x:v>
      </x:c>
      <x:c r="J57" s="57" t="n">
        <x:v>7</x:v>
      </x:c>
      <x:c r="K57" s="57" t="n">
        <x:v>7</x:v>
      </x:c>
      <x:c r="L57" s="57" t="n">
        <x:v>6</x:v>
      </x:c>
      <x:c r="M57" s="57" t="n">
        <x:v>6</x:v>
      </x:c>
      <x:c r="N57" s="57" t="n">
        <x:v>4</x:v>
      </x:c>
      <x:c r="O57" s="57" t="n">
        <x:v>3</x:v>
      </x:c>
      <x:c r="P57" s="57" t="n">
        <x:v>6</x:v>
      </x:c>
      <x:c r="Q57" s="57" t="n">
        <x:v>6</x:v>
      </x:c>
      <x:c r="R57" s="57" t="n">
        <x:v>2</x:v>
      </x:c>
      <x:c r="S57" s="57" t="str">
        <x:v>G.S. Ivanisevic</x:v>
      </x:c>
      <x:c r="T57" s="57" t="str">
        <x:v>CRO</x:v>
      </x:c>
      <x:c r="U57" s="57" t="str">
        <x:v>Croatia</x:v>
      </x:c>
      <x:c r="V57" s="57" t="n">
        <x:v>14</x:v>
      </x:c>
      <x:c r="W57" s="57" t="n">
        <x:v>5</x:v>
      </x:c>
      <x:c r="X57" s="57" t="n">
        <x:v>53</x:v>
      </x:c>
      <x:c r="Y57" s="57" t="str">
        <x:v>Completed</x:v>
      </x:c>
      <x:c r="Z57" s="57" t="str">
        <x:v>Recorded</x:v>
      </x:c>
      <x:c r="AA57" s="57" t="n">
        <x:v>7</x:v>
      </x:c>
      <x:c r="AB57" s="57" t="str">
        <x:v>Yes</x:v>
      </x:c>
      <x:c r="AC57" s="57" t="str">
        <x:v>1990s</x:v>
      </x:c>
      <x:c r="AD57" s="57" t="str">
        <x:v>Seeded</x:v>
      </x:c>
      <x:c r="AE57" s="58" t="str">
        <x:v>Seeded</x:v>
      </x:c>
    </x:row>
    <x:row r="58">
      <x:c r="A58" s="56" t="n">
        <x:v>1997</x:v>
      </x:c>
      <x:c r="B58" s="57" t="str">
        <x:v>Women's</x:v>
      </x:c>
      <x:c r="C58" s="57" t="str">
        <x:v>M. Hingis</x:v>
      </x:c>
      <x:c r="D58" s="57" t="str">
        <x:v>SUI</x:v>
      </x:c>
      <x:c r="E58" s="57" t="str">
        <x:v>Switzerland</x:v>
      </x:c>
      <x:c r="F58" s="57" t="n">
        <x:v>1</x:v>
      </x:c>
      <x:c r="G58" s="57" t="n">
        <x:v>110</x:v>
      </x:c>
      <x:c r="H58" s="57" t="str">
        <x:v>2-6, 6-3, 6-3</x:v>
      </x:c>
      <x:c r="I58" s="57" t="n">
        <x:v>2</x:v>
      </x:c>
      <x:c r="J58" s="57" t="n">
        <x:v>6</x:v>
      </x:c>
      <x:c r="K58" s="57" t="n">
        <x:v>6</x:v>
      </x:c>
      <x:c r="L58" s="57" t="n">
        <x:v>3</x:v>
      </x:c>
      <x:c r="M58" s="57" t="n">
        <x:v>6</x:v>
      </x:c>
      <x:c r="N58" s="57" t="n">
        <x:v>3</x:v>
      </x:c>
      <x:c r="O58" s="57"/>
      <x:c r="P58" s="57"/>
      <x:c r="Q58" s="57"/>
      <x:c r="R58" s="57"/>
      <x:c r="S58" s="57" t="str">
        <x:v>J. Novotna</x:v>
      </x:c>
      <x:c r="T58" s="57" t="str">
        <x:v>CZE</x:v>
      </x:c>
      <x:c r="U58" s="57" t="str">
        <x:v>Czechia</x:v>
      </x:c>
      <x:c r="V58" s="57" t="n">
        <x:v>3</x:v>
      </x:c>
      <x:c r="W58" s="57" t="n">
        <x:v>3</x:v>
      </x:c>
      <x:c r="X58" s="57" t="n">
        <x:v>26</x:v>
      </x:c>
      <x:c r="Y58" s="57" t="str">
        <x:v>Completed</x:v>
      </x:c>
      <x:c r="Z58" s="57" t="str">
        <x:v>Recorded</x:v>
      </x:c>
      <x:c r="AA58" s="57" t="n">
        <x:v>1</x:v>
      </x:c>
      <x:c r="AB58" s="57" t="str">
        <x:v>No</x:v>
      </x:c>
      <x:c r="AC58" s="57" t="str">
        <x:v>1990s</x:v>
      </x:c>
      <x:c r="AD58" s="57" t="str">
        <x:v>Seeded</x:v>
      </x:c>
      <x:c r="AE58" s="58" t="str">
        <x:v>Seeded</x:v>
      </x:c>
    </x:row>
    <x:row r="59">
      <x:c r="A59" s="56" t="n">
        <x:v>1997</x:v>
      </x:c>
      <x:c r="B59" s="57" t="str">
        <x:v>Men's</x:v>
      </x:c>
      <x:c r="C59" s="57" t="str">
        <x:v>P. Sampras</x:v>
      </x:c>
      <x:c r="D59" s="57" t="str">
        <x:v>USA</x:v>
      </x:c>
      <x:c r="E59" s="57" t="str">
        <x:v>United States</x:v>
      </x:c>
      <x:c r="F59" s="57" t="n">
        <x:v>1</x:v>
      </x:c>
      <x:c r="G59" s="57" t="n">
        <x:v>94</x:v>
      </x:c>
      <x:c r="H59" s="57" t="str">
        <x:v>6-4, 6-2, 6-4</x:v>
      </x:c>
      <x:c r="I59" s="57" t="n">
        <x:v>6</x:v>
      </x:c>
      <x:c r="J59" s="57" t="n">
        <x:v>4</x:v>
      </x:c>
      <x:c r="K59" s="57" t="n">
        <x:v>6</x:v>
      </x:c>
      <x:c r="L59" s="57" t="n">
        <x:v>2</x:v>
      </x:c>
      <x:c r="M59" s="57" t="n">
        <x:v>6</x:v>
      </x:c>
      <x:c r="N59" s="57" t="n">
        <x:v>4</x:v>
      </x:c>
      <x:c r="O59" s="57"/>
      <x:c r="P59" s="57"/>
      <x:c r="Q59" s="57"/>
      <x:c r="R59" s="57"/>
      <x:c r="S59" s="57" t="str">
        <x:v>C.A. Pioline</x:v>
      </x:c>
      <x:c r="T59" s="57" t="str">
        <x:v>FRA</x:v>
      </x:c>
      <x:c r="U59" s="57" t="str">
        <x:v>France</x:v>
      </x:c>
      <x:c r="V59" s="57" t="str">
        <x:v>U</x:v>
      </x:c>
      <x:c r="W59" s="57" t="n">
        <x:v>3</x:v>
      </x:c>
      <x:c r="X59" s="57" t="n">
        <x:v>28</x:v>
      </x:c>
      <x:c r="Y59" s="57" t="str">
        <x:v>Completed</x:v>
      </x:c>
      <x:c r="Z59" s="57" t="str">
        <x:v>Recorded</x:v>
      </x:c>
      <x:c r="AA59" s="57" t="n">
        <x:v>7</x:v>
      </x:c>
      <x:c r="AB59" s="57" t="str">
        <x:v>Yes</x:v>
      </x:c>
      <x:c r="AC59" s="57" t="str">
        <x:v>1990s</x:v>
      </x:c>
      <x:c r="AD59" s="57" t="str">
        <x:v>Seeded</x:v>
      </x:c>
      <x:c r="AE59" s="58" t="str">
        <x:v>Unseeded/unknown</x:v>
      </x:c>
    </x:row>
    <x:row r="60">
      <x:c r="A60" s="56" t="n">
        <x:v>1996</x:v>
      </x:c>
      <x:c r="B60" s="57" t="str">
        <x:v>Women's</x:v>
      </x:c>
      <x:c r="C60" s="57" t="str">
        <x:v>S.M. Graf</x:v>
      </x:c>
      <x:c r="D60" s="57" t="str">
        <x:v>GER</x:v>
      </x:c>
      <x:c r="E60" s="57" t="str">
        <x:v>Germany</x:v>
      </x:c>
      <x:c r="F60" s="57" t="n">
        <x:v>1</x:v>
      </x:c>
      <x:c r="G60" s="57" t="n">
        <x:v>88</x:v>
      </x:c>
      <x:c r="H60" s="57" t="str">
        <x:v>6-3, 7-5,</x:v>
      </x:c>
      <x:c r="I60" s="57" t="n">
        <x:v>6</x:v>
      </x:c>
      <x:c r="J60" s="57" t="n">
        <x:v>3</x:v>
      </x:c>
      <x:c r="K60" s="57" t="n">
        <x:v>7</x:v>
      </x:c>
      <x:c r="L60" s="57" t="n">
        <x:v>5</x:v>
      </x:c>
      <x:c r="M60" s="57"/>
      <x:c r="N60" s="57"/>
      <x:c r="O60" s="57"/>
      <x:c r="P60" s="57"/>
      <x:c r="Q60" s="57"/>
      <x:c r="R60" s="57"/>
      <x:c r="S60" s="57" t="str">
        <x:v>A.I.M. Sanchez Vicario</x:v>
      </x:c>
      <x:c r="T60" s="57" t="str">
        <x:v>ESP</x:v>
      </x:c>
      <x:c r="U60" s="57" t="str">
        <x:v>Spain</x:v>
      </x:c>
      <x:c r="V60" s="57" t="n">
        <x:v>4</x:v>
      </x:c>
      <x:c r="W60" s="57" t="n">
        <x:v>2</x:v>
      </x:c>
      <x:c r="X60" s="57" t="n">
        <x:v>21</x:v>
      </x:c>
      <x:c r="Y60" s="57" t="str">
        <x:v>Completed</x:v>
      </x:c>
      <x:c r="Z60" s="57" t="str">
        <x:v>Recorded</x:v>
      </x:c>
      <x:c r="AA60" s="57" t="n">
        <x:v>7</x:v>
      </x:c>
      <x:c r="AB60" s="57" t="str">
        <x:v>Yes</x:v>
      </x:c>
      <x:c r="AC60" s="57" t="str">
        <x:v>1990s</x:v>
      </x:c>
      <x:c r="AD60" s="57" t="str">
        <x:v>Seeded</x:v>
      </x:c>
      <x:c r="AE60" s="58" t="str">
        <x:v>Seeded</x:v>
      </x:c>
    </x:row>
    <x:row r="61">
      <x:c r="A61" s="56" t="n">
        <x:v>1996</x:v>
      </x:c>
      <x:c r="B61" s="57" t="str">
        <x:v>Men's</x:v>
      </x:c>
      <x:c r="C61" s="57" t="str">
        <x:v>R.P.S. Krajicek</x:v>
      </x:c>
      <x:c r="D61" s="57" t="str">
        <x:v>NED</x:v>
      </x:c>
      <x:c r="E61" s="57" t="str">
        <x:v>Netherlands</x:v>
      </x:c>
      <x:c r="F61" s="57" t="str">
        <x:v>U</x:v>
      </x:c>
      <x:c r="G61" s="57" t="n">
        <x:v>94</x:v>
      </x:c>
      <x:c r="H61" s="57" t="str">
        <x:v>6-3, 6-4, 6-3</x:v>
      </x:c>
      <x:c r="I61" s="57" t="n">
        <x:v>6</x:v>
      </x:c>
      <x:c r="J61" s="57" t="n">
        <x:v>3</x:v>
      </x:c>
      <x:c r="K61" s="57" t="n">
        <x:v>6</x:v>
      </x:c>
      <x:c r="L61" s="57" t="n">
        <x:v>4</x:v>
      </x:c>
      <x:c r="M61" s="57" t="n">
        <x:v>6</x:v>
      </x:c>
      <x:c r="N61" s="57" t="n">
        <x:v>3</x:v>
      </x:c>
      <x:c r="O61" s="57"/>
      <x:c r="P61" s="57"/>
      <x:c r="Q61" s="57"/>
      <x:c r="R61" s="57"/>
      <x:c r="S61" s="57" t="str">
        <x:v>M.O. Washington</x:v>
      </x:c>
      <x:c r="T61" s="57" t="str">
        <x:v>USA</x:v>
      </x:c>
      <x:c r="U61" s="57" t="str">
        <x:v>United States</x:v>
      </x:c>
      <x:c r="V61" s="57" t="str">
        <x:v>U</x:v>
      </x:c>
      <x:c r="W61" s="57" t="n">
        <x:v>3</x:v>
      </x:c>
      <x:c r="X61" s="57" t="n">
        <x:v>28</x:v>
      </x:c>
      <x:c r="Y61" s="57" t="str">
        <x:v>Completed</x:v>
      </x:c>
      <x:c r="Z61" s="57" t="str">
        <x:v>Recorded</x:v>
      </x:c>
      <x:c r="AA61" s="57" t="n">
        <x:v>1</x:v>
      </x:c>
      <x:c r="AB61" s="57" t="str">
        <x:v>No</x:v>
      </x:c>
      <x:c r="AC61" s="57" t="str">
        <x:v>1990s</x:v>
      </x:c>
      <x:c r="AD61" s="57" t="str">
        <x:v>Unseeded/unknown</x:v>
      </x:c>
      <x:c r="AE61" s="58" t="str">
        <x:v>Unseeded/unknown</x:v>
      </x:c>
    </x:row>
    <x:row r="62">
      <x:c r="A62" s="56" t="n">
        <x:v>1995</x:v>
      </x:c>
      <x:c r="B62" s="57" t="str">
        <x:v>Women's</x:v>
      </x:c>
      <x:c r="C62" s="57" t="str">
        <x:v>S.M. Graf</x:v>
      </x:c>
      <x:c r="D62" s="57" t="str">
        <x:v>GER</x:v>
      </x:c>
      <x:c r="E62" s="57" t="str">
        <x:v>Germany</x:v>
      </x:c>
      <x:c r="F62" s="57" t="n">
        <x:v>1</x:v>
      </x:c>
      <x:c r="G62" s="57" t="n">
        <x:v>122</x:v>
      </x:c>
      <x:c r="H62" s="57" t="str">
        <x:v>4-6, 6-1, 7-5,</x:v>
      </x:c>
      <x:c r="I62" s="57" t="n">
        <x:v>4</x:v>
      </x:c>
      <x:c r="J62" s="57" t="n">
        <x:v>6</x:v>
      </x:c>
      <x:c r="K62" s="57" t="n">
        <x:v>6</x:v>
      </x:c>
      <x:c r="L62" s="57" t="n">
        <x:v>1</x:v>
      </x:c>
      <x:c r="M62" s="57" t="n">
        <x:v>7</x:v>
      </x:c>
      <x:c r="N62" s="57" t="n">
        <x:v>5</x:v>
      </x:c>
      <x:c r="O62" s="57"/>
      <x:c r="P62" s="57"/>
      <x:c r="Q62" s="57"/>
      <x:c r="R62" s="57"/>
      <x:c r="S62" s="57" t="str">
        <x:v>A.I.M. Sanchez Vicario</x:v>
      </x:c>
      <x:c r="T62" s="57" t="str">
        <x:v>ESP</x:v>
      </x:c>
      <x:c r="U62" s="57" t="str">
        <x:v>Spain</x:v>
      </x:c>
      <x:c r="V62" s="57" t="n">
        <x:v>2</x:v>
      </x:c>
      <x:c r="W62" s="57" t="n">
        <x:v>3</x:v>
      </x:c>
      <x:c r="X62" s="57" t="n">
        <x:v>29</x:v>
      </x:c>
      <x:c r="Y62" s="57" t="str">
        <x:v>Completed</x:v>
      </x:c>
      <x:c r="Z62" s="57" t="str">
        <x:v>Recorded</x:v>
      </x:c>
      <x:c r="AA62" s="57" t="n">
        <x:v>7</x:v>
      </x:c>
      <x:c r="AB62" s="57" t="str">
        <x:v>Yes</x:v>
      </x:c>
      <x:c r="AC62" s="57" t="str">
        <x:v>1990s</x:v>
      </x:c>
      <x:c r="AD62" s="57" t="str">
        <x:v>Seeded</x:v>
      </x:c>
      <x:c r="AE62" s="58" t="str">
        <x:v>Seeded</x:v>
      </x:c>
    </x:row>
    <x:row r="63">
      <x:c r="A63" s="56" t="n">
        <x:v>1995</x:v>
      </x:c>
      <x:c r="B63" s="57" t="str">
        <x:v>Men's</x:v>
      </x:c>
      <x:c r="C63" s="57" t="str">
        <x:v>P. Sampras</x:v>
      </x:c>
      <x:c r="D63" s="57" t="str">
        <x:v>USA</x:v>
      </x:c>
      <x:c r="E63" s="57" t="str">
        <x:v>United States</x:v>
      </x:c>
      <x:c r="F63" s="57" t="n">
        <x:v>2</x:v>
      </x:c>
      <x:c r="G63" s="57" t="n">
        <x:v>149</x:v>
      </x:c>
      <x:c r="H63" s="57" t="str">
        <x:v>6-7 (5-7), 6-2, 6-4, 6-2</x:v>
      </x:c>
      <x:c r="I63" s="57" t="n">
        <x:v>6</x:v>
      </x:c>
      <x:c r="J63" s="57" t="n">
        <x:v>7</x:v>
      </x:c>
      <x:c r="K63" s="57" t="n">
        <x:v>6</x:v>
      </x:c>
      <x:c r="L63" s="57" t="n">
        <x:v>2</x:v>
      </x:c>
      <x:c r="M63" s="57" t="n">
        <x:v>6</x:v>
      </x:c>
      <x:c r="N63" s="57" t="n">
        <x:v>4</x:v>
      </x:c>
      <x:c r="O63" s="57" t="n">
        <x:v>6</x:v>
      </x:c>
      <x:c r="P63" s="57" t="n">
        <x:v>2</x:v>
      </x:c>
      <x:c r="Q63" s="57"/>
      <x:c r="R63" s="57"/>
      <x:c r="S63" s="57" t="str">
        <x:v>B.F. Becker</x:v>
      </x:c>
      <x:c r="T63" s="57" t="str">
        <x:v>GER</x:v>
      </x:c>
      <x:c r="U63" s="57" t="str">
        <x:v>Germany</x:v>
      </x:c>
      <x:c r="V63" s="57" t="n">
        <x:v>3</x:v>
      </x:c>
      <x:c r="W63" s="57" t="n">
        <x:v>4</x:v>
      </x:c>
      <x:c r="X63" s="57" t="n">
        <x:v>39</x:v>
      </x:c>
      <x:c r="Y63" s="57" t="str">
        <x:v>Completed</x:v>
      </x:c>
      <x:c r="Z63" s="57" t="str">
        <x:v>Recorded</x:v>
      </x:c>
      <x:c r="AA63" s="57" t="n">
        <x:v>7</x:v>
      </x:c>
      <x:c r="AB63" s="57" t="str">
        <x:v>Yes</x:v>
      </x:c>
      <x:c r="AC63" s="57" t="str">
        <x:v>1990s</x:v>
      </x:c>
      <x:c r="AD63" s="57" t="str">
        <x:v>Seeded</x:v>
      </x:c>
      <x:c r="AE63" s="58" t="str">
        <x:v>Seeded</x:v>
      </x:c>
    </x:row>
    <x:row r="64">
      <x:c r="A64" s="56" t="n">
        <x:v>1994</x:v>
      </x:c>
      <x:c r="B64" s="57" t="str">
        <x:v>Women's</x:v>
      </x:c>
      <x:c r="C64" s="57" t="str">
        <x:v>I.C. Martinez</x:v>
      </x:c>
      <x:c r="D64" s="57" t="str">
        <x:v>ESP</x:v>
      </x:c>
      <x:c r="E64" s="57" t="str">
        <x:v>Spain</x:v>
      </x:c>
      <x:c r="F64" s="57" t="n">
        <x:v>3</x:v>
      </x:c>
      <x:c r="G64" s="57" t="n">
        <x:v>119</x:v>
      </x:c>
      <x:c r="H64" s="57" t="str">
        <x:v>6-4, 3-6, 6-3,</x:v>
      </x:c>
      <x:c r="I64" s="57" t="n">
        <x:v>6</x:v>
      </x:c>
      <x:c r="J64" s="57" t="n">
        <x:v>4</x:v>
      </x:c>
      <x:c r="K64" s="57" t="n">
        <x:v>3</x:v>
      </x:c>
      <x:c r="L64" s="57" t="n">
        <x:v>6</x:v>
      </x:c>
      <x:c r="M64" s="57" t="n">
        <x:v>6</x:v>
      </x:c>
      <x:c r="N64" s="57" t="n">
        <x:v>3</x:v>
      </x:c>
      <x:c r="O64" s="57"/>
      <x:c r="P64" s="57"/>
      <x:c r="Q64" s="57"/>
      <x:c r="R64" s="57"/>
      <x:c r="S64" s="57" t="str">
        <x:v>M. Navratilova</x:v>
      </x:c>
      <x:c r="T64" s="57" t="str">
        <x:v>USA</x:v>
      </x:c>
      <x:c r="U64" s="57" t="str">
        <x:v>United States</x:v>
      </x:c>
      <x:c r="V64" s="57" t="n">
        <x:v>4</x:v>
      </x:c>
      <x:c r="W64" s="57" t="n">
        <x:v>3</x:v>
      </x:c>
      <x:c r="X64" s="57" t="n">
        <x:v>28</x:v>
      </x:c>
      <x:c r="Y64" s="57" t="str">
        <x:v>Completed</x:v>
      </x:c>
      <x:c r="Z64" s="57" t="str">
        <x:v>Recorded</x:v>
      </x:c>
      <x:c r="AA64" s="57" t="n">
        <x:v>1</x:v>
      </x:c>
      <x:c r="AB64" s="57" t="str">
        <x:v>No</x:v>
      </x:c>
      <x:c r="AC64" s="57" t="str">
        <x:v>1990s</x:v>
      </x:c>
      <x:c r="AD64" s="57" t="str">
        <x:v>Seeded</x:v>
      </x:c>
      <x:c r="AE64" s="58" t="str">
        <x:v>Seeded</x:v>
      </x:c>
    </x:row>
    <x:row r="65">
      <x:c r="A65" s="56" t="n">
        <x:v>1994</x:v>
      </x:c>
      <x:c r="B65" s="57" t="str">
        <x:v>Men's</x:v>
      </x:c>
      <x:c r="C65" s="57" t="str">
        <x:v>P. Sampras</x:v>
      </x:c>
      <x:c r="D65" s="57" t="str">
        <x:v>USA</x:v>
      </x:c>
      <x:c r="E65" s="57" t="str">
        <x:v>United States</x:v>
      </x:c>
      <x:c r="F65" s="57" t="n">
        <x:v>1</x:v>
      </x:c>
      <x:c r="G65" s="57" t="n">
        <x:v>115</x:v>
      </x:c>
      <x:c r="H65" s="57" t="str">
        <x:v>7-6 (7-2), 7-6 (7-5), 6-0</x:v>
      </x:c>
      <x:c r="I65" s="57" t="n">
        <x:v>7</x:v>
      </x:c>
      <x:c r="J65" s="57" t="n">
        <x:v>6</x:v>
      </x:c>
      <x:c r="K65" s="57" t="n">
        <x:v>7</x:v>
      </x:c>
      <x:c r="L65" s="57" t="n">
        <x:v>6</x:v>
      </x:c>
      <x:c r="M65" s="57" t="n">
        <x:v>6</x:v>
      </x:c>
      <x:c r="N65" s="57" t="n">
        <x:v>0</x:v>
      </x:c>
      <x:c r="O65" s="57"/>
      <x:c r="P65" s="57"/>
      <x:c r="Q65" s="57"/>
      <x:c r="R65" s="57"/>
      <x:c r="S65" s="57" t="str">
        <x:v>G.S. Ivanisevic</x:v>
      </x:c>
      <x:c r="T65" s="57" t="str">
        <x:v>CRO</x:v>
      </x:c>
      <x:c r="U65" s="57" t="str">
        <x:v>Croatia</x:v>
      </x:c>
      <x:c r="V65" s="57" t="n">
        <x:v>4</x:v>
      </x:c>
      <x:c r="W65" s="57" t="n">
        <x:v>3</x:v>
      </x:c>
      <x:c r="X65" s="57" t="n">
        <x:v>32</x:v>
      </x:c>
      <x:c r="Y65" s="57" t="str">
        <x:v>Completed</x:v>
      </x:c>
      <x:c r="Z65" s="57" t="str">
        <x:v>Recorded</x:v>
      </x:c>
      <x:c r="AA65" s="57" t="n">
        <x:v>7</x:v>
      </x:c>
      <x:c r="AB65" s="57" t="str">
        <x:v>Yes</x:v>
      </x:c>
      <x:c r="AC65" s="57" t="str">
        <x:v>1990s</x:v>
      </x:c>
      <x:c r="AD65" s="57" t="str">
        <x:v>Seeded</x:v>
      </x:c>
      <x:c r="AE65" s="58" t="str">
        <x:v>Seeded</x:v>
      </x:c>
    </x:row>
    <x:row r="66">
      <x:c r="A66" s="56" t="n">
        <x:v>1993</x:v>
      </x:c>
      <x:c r="B66" s="57" t="str">
        <x:v>Women's</x:v>
      </x:c>
      <x:c r="C66" s="57" t="str">
        <x:v>S.M. Graf</x:v>
      </x:c>
      <x:c r="D66" s="57" t="str">
        <x:v>GER</x:v>
      </x:c>
      <x:c r="E66" s="57" t="str">
        <x:v>Germany</x:v>
      </x:c>
      <x:c r="F66" s="57" t="n">
        <x:v>1</x:v>
      </x:c>
      <x:c r="G66" s="57" t="n">
        <x:v>134</x:v>
      </x:c>
      <x:c r="H66" s="57" t="str">
        <x:v>7-6 (8-6), 1-6, 6-4,</x:v>
      </x:c>
      <x:c r="I66" s="57" t="n">
        <x:v>7</x:v>
      </x:c>
      <x:c r="J66" s="57" t="n">
        <x:v>6</x:v>
      </x:c>
      <x:c r="K66" s="57" t="n">
        <x:v>1</x:v>
      </x:c>
      <x:c r="L66" s="57" t="n">
        <x:v>6</x:v>
      </x:c>
      <x:c r="M66" s="57" t="n">
        <x:v>6</x:v>
      </x:c>
      <x:c r="N66" s="57" t="n">
        <x:v>4</x:v>
      </x:c>
      <x:c r="O66" s="57"/>
      <x:c r="P66" s="57"/>
      <x:c r="Q66" s="57"/>
      <x:c r="R66" s="57"/>
      <x:c r="S66" s="57" t="str">
        <x:v>J. Novotna</x:v>
      </x:c>
      <x:c r="T66" s="57" t="str">
        <x:v>CZE</x:v>
      </x:c>
      <x:c r="U66" s="57" t="str">
        <x:v>Czechia</x:v>
      </x:c>
      <x:c r="V66" s="57" t="n">
        <x:v>8</x:v>
      </x:c>
      <x:c r="W66" s="57" t="n">
        <x:v>3</x:v>
      </x:c>
      <x:c r="X66" s="57" t="n">
        <x:v>30</x:v>
      </x:c>
      <x:c r="Y66" s="57" t="str">
        <x:v>Completed</x:v>
      </x:c>
      <x:c r="Z66" s="57" t="str">
        <x:v>Recorded</x:v>
      </x:c>
      <x:c r="AA66" s="57" t="n">
        <x:v>7</x:v>
      </x:c>
      <x:c r="AB66" s="57" t="str">
        <x:v>Yes</x:v>
      </x:c>
      <x:c r="AC66" s="57" t="str">
        <x:v>1990s</x:v>
      </x:c>
      <x:c r="AD66" s="57" t="str">
        <x:v>Seeded</x:v>
      </x:c>
      <x:c r="AE66" s="58" t="str">
        <x:v>Seeded</x:v>
      </x:c>
    </x:row>
    <x:row r="67">
      <x:c r="A67" s="56" t="n">
        <x:v>1993</x:v>
      </x:c>
      <x:c r="B67" s="57" t="str">
        <x:v>Men's</x:v>
      </x:c>
      <x:c r="C67" s="57" t="str">
        <x:v>P. Sampras</x:v>
      </x:c>
      <x:c r="D67" s="57" t="str">
        <x:v>USA</x:v>
      </x:c>
      <x:c r="E67" s="57" t="str">
        <x:v>United States</x:v>
      </x:c>
      <x:c r="F67" s="57" t="n">
        <x:v>1</x:v>
      </x:c>
      <x:c r="G67" s="57" t="n">
        <x:v>178</x:v>
      </x:c>
      <x:c r="H67" s="57" t="str">
        <x:v>7-6 (7-3), 7-6 (8-6), 3-6, 6-3</x:v>
      </x:c>
      <x:c r="I67" s="57" t="n">
        <x:v>7</x:v>
      </x:c>
      <x:c r="J67" s="57" t="n">
        <x:v>6</x:v>
      </x:c>
      <x:c r="K67" s="57" t="n">
        <x:v>7</x:v>
      </x:c>
      <x:c r="L67" s="57" t="n">
        <x:v>6</x:v>
      </x:c>
      <x:c r="M67" s="57" t="n">
        <x:v>3</x:v>
      </x:c>
      <x:c r="N67" s="57" t="n">
        <x:v>6</x:v>
      </x:c>
      <x:c r="O67" s="57" t="n">
        <x:v>6</x:v>
      </x:c>
      <x:c r="P67" s="57" t="n">
        <x:v>3</x:v>
      </x:c>
      <x:c r="Q67" s="57"/>
      <x:c r="R67" s="57"/>
      <x:c r="S67" s="57" t="str">
        <x:v>J.S. Courier</x:v>
      </x:c>
      <x:c r="T67" s="57" t="str">
        <x:v>USA</x:v>
      </x:c>
      <x:c r="U67" s="57" t="str">
        <x:v>United States</x:v>
      </x:c>
      <x:c r="V67" s="57" t="n">
        <x:v>3</x:v>
      </x:c>
      <x:c r="W67" s="57" t="n">
        <x:v>4</x:v>
      </x:c>
      <x:c r="X67" s="57" t="n">
        <x:v>44</x:v>
      </x:c>
      <x:c r="Y67" s="57" t="str">
        <x:v>Completed</x:v>
      </x:c>
      <x:c r="Z67" s="57" t="str">
        <x:v>Recorded</x:v>
      </x:c>
      <x:c r="AA67" s="57" t="n">
        <x:v>7</x:v>
      </x:c>
      <x:c r="AB67" s="57" t="str">
        <x:v>Yes</x:v>
      </x:c>
      <x:c r="AC67" s="57" t="str">
        <x:v>1990s</x:v>
      </x:c>
      <x:c r="AD67" s="57" t="str">
        <x:v>Seeded</x:v>
      </x:c>
      <x:c r="AE67" s="58" t="str">
        <x:v>Seeded</x:v>
      </x:c>
    </x:row>
    <x:row r="68">
      <x:c r="A68" s="56" t="n">
        <x:v>1992</x:v>
      </x:c>
      <x:c r="B68" s="57" t="str">
        <x:v>Women's</x:v>
      </x:c>
      <x:c r="C68" s="57" t="str">
        <x:v>S.M. Graf</x:v>
      </x:c>
      <x:c r="D68" s="57" t="str">
        <x:v>GER</x:v>
      </x:c>
      <x:c r="E68" s="57" t="str">
        <x:v>Germany</x:v>
      </x:c>
      <x:c r="F68" s="57" t="n">
        <x:v>2</x:v>
      </x:c>
      <x:c r="G68" s="57" t="n">
        <x:v>58</x:v>
      </x:c>
      <x:c r="H68" s="57" t="str">
        <x:v>6-2, 6-1,</x:v>
      </x:c>
      <x:c r="I68" s="57" t="n">
        <x:v>6</x:v>
      </x:c>
      <x:c r="J68" s="57" t="n">
        <x:v>2</x:v>
      </x:c>
      <x:c r="K68" s="57" t="n">
        <x:v>6</x:v>
      </x:c>
      <x:c r="L68" s="57" t="n">
        <x:v>1</x:v>
      </x:c>
      <x:c r="M68" s="57"/>
      <x:c r="N68" s="57"/>
      <x:c r="O68" s="57"/>
      <x:c r="P68" s="57"/>
      <x:c r="Q68" s="57"/>
      <x:c r="R68" s="57"/>
      <x:c r="S68" s="57" t="str">
        <x:v>M. Seles</x:v>
      </x:c>
      <x:c r="T68" s="57" t="str">
        <x:v>SRB</x:v>
      </x:c>
      <x:c r="U68" s="57" t="str">
        <x:v>Serbia</x:v>
      </x:c>
      <x:c r="V68" s="57" t="n">
        <x:v>1</x:v>
      </x:c>
      <x:c r="W68" s="57" t="n">
        <x:v>2</x:v>
      </x:c>
      <x:c r="X68" s="57" t="n">
        <x:v>15</x:v>
      </x:c>
      <x:c r="Y68" s="57" t="str">
        <x:v>Completed</x:v>
      </x:c>
      <x:c r="Z68" s="57" t="str">
        <x:v>Recorded</x:v>
      </x:c>
      <x:c r="AA68" s="57" t="n">
        <x:v>7</x:v>
      </x:c>
      <x:c r="AB68" s="57" t="str">
        <x:v>Yes</x:v>
      </x:c>
      <x:c r="AC68" s="57" t="str">
        <x:v>1990s</x:v>
      </x:c>
      <x:c r="AD68" s="57" t="str">
        <x:v>Seeded</x:v>
      </x:c>
      <x:c r="AE68" s="58" t="str">
        <x:v>Seeded</x:v>
      </x:c>
    </x:row>
    <x:row r="69">
      <x:c r="A69" s="56" t="n">
        <x:v>1992</x:v>
      </x:c>
      <x:c r="B69" s="57" t="str">
        <x:v>Men's</x:v>
      </x:c>
      <x:c r="C69" s="57" t="str">
        <x:v>A.K. Agassi</x:v>
      </x:c>
      <x:c r="D69" s="57" t="str">
        <x:v>USA</x:v>
      </x:c>
      <x:c r="E69" s="57" t="str">
        <x:v>United States</x:v>
      </x:c>
      <x:c r="F69" s="57" t="n">
        <x:v>12</x:v>
      </x:c>
      <x:c r="G69" s="57" t="n">
        <x:v>170</x:v>
      </x:c>
      <x:c r="H69" s="57" t="str">
        <x:v>6-7 (8-10), 6-4, 6-4, 1-6, 6-4</x:v>
      </x:c>
      <x:c r="I69" s="57" t="n">
        <x:v>6</x:v>
      </x:c>
      <x:c r="J69" s="57" t="n">
        <x:v>7</x:v>
      </x:c>
      <x:c r="K69" s="57" t="n">
        <x:v>6</x:v>
      </x:c>
      <x:c r="L69" s="57" t="n">
        <x:v>4</x:v>
      </x:c>
      <x:c r="M69" s="57" t="n">
        <x:v>6</x:v>
      </x:c>
      <x:c r="N69" s="57" t="n">
        <x:v>4</x:v>
      </x:c>
      <x:c r="O69" s="57" t="n">
        <x:v>1</x:v>
      </x:c>
      <x:c r="P69" s="57" t="n">
        <x:v>6</x:v>
      </x:c>
      <x:c r="Q69" s="57" t="n">
        <x:v>6</x:v>
      </x:c>
      <x:c r="R69" s="57" t="n">
        <x:v>4</x:v>
      </x:c>
      <x:c r="S69" s="57" t="str">
        <x:v>G.S. Ivanisevic</x:v>
      </x:c>
      <x:c r="T69" s="57" t="str">
        <x:v>CRO</x:v>
      </x:c>
      <x:c r="U69" s="57" t="str">
        <x:v>Croatia</x:v>
      </x:c>
      <x:c r="V69" s="57" t="n">
        <x:v>8</x:v>
      </x:c>
      <x:c r="W69" s="57" t="n">
        <x:v>5</x:v>
      </x:c>
      <x:c r="X69" s="57" t="n">
        <x:v>50</x:v>
      </x:c>
      <x:c r="Y69" s="57" t="str">
        <x:v>Completed</x:v>
      </x:c>
      <x:c r="Z69" s="57" t="str">
        <x:v>Recorded</x:v>
      </x:c>
      <x:c r="AA69" s="57" t="n">
        <x:v>1</x:v>
      </x:c>
      <x:c r="AB69" s="57" t="str">
        <x:v>No</x:v>
      </x:c>
      <x:c r="AC69" s="57" t="str">
        <x:v>1990s</x:v>
      </x:c>
      <x:c r="AD69" s="57" t="str">
        <x:v>Seeded</x:v>
      </x:c>
      <x:c r="AE69" s="58" t="str">
        <x:v>Seeded</x:v>
      </x:c>
    </x:row>
    <x:row r="70">
      <x:c r="A70" s="56" t="n">
        <x:v>1991</x:v>
      </x:c>
      <x:c r="B70" s="57" t="str">
        <x:v>Women's</x:v>
      </x:c>
      <x:c r="C70" s="57" t="str">
        <x:v>S.M. Graf</x:v>
      </x:c>
      <x:c r="D70" s="57" t="str">
        <x:v>GER</x:v>
      </x:c>
      <x:c r="E70" s="57" t="str">
        <x:v>Germany</x:v>
      </x:c>
      <x:c r="F70" s="57" t="n">
        <x:v>1</x:v>
      </x:c>
      <x:c r="G70" s="57" t="n">
        <x:v>127</x:v>
      </x:c>
      <x:c r="H70" s="57" t="str">
        <x:v>6-4, 3-6, 8-6,</x:v>
      </x:c>
      <x:c r="I70" s="57" t="n">
        <x:v>6</x:v>
      </x:c>
      <x:c r="J70" s="57" t="n">
        <x:v>4</x:v>
      </x:c>
      <x:c r="K70" s="57" t="n">
        <x:v>3</x:v>
      </x:c>
      <x:c r="L70" s="57" t="n">
        <x:v>6</x:v>
      </x:c>
      <x:c r="M70" s="57" t="n">
        <x:v>8</x:v>
      </x:c>
      <x:c r="N70" s="57" t="n">
        <x:v>6</x:v>
      </x:c>
      <x:c r="O70" s="57"/>
      <x:c r="P70" s="57"/>
      <x:c r="Q70" s="57"/>
      <x:c r="R70" s="57"/>
      <x:c r="S70" s="57" t="str">
        <x:v>G.B. Sabatini</x:v>
      </x:c>
      <x:c r="T70" s="57" t="str">
        <x:v>ARG</x:v>
      </x:c>
      <x:c r="U70" s="57" t="str">
        <x:v>Argentina</x:v>
      </x:c>
      <x:c r="V70" s="57" t="n">
        <x:v>2</x:v>
      </x:c>
      <x:c r="W70" s="57" t="n">
        <x:v>3</x:v>
      </x:c>
      <x:c r="X70" s="57" t="n">
        <x:v>33</x:v>
      </x:c>
      <x:c r="Y70" s="57" t="str">
        <x:v>Completed</x:v>
      </x:c>
      <x:c r="Z70" s="57" t="str">
        <x:v>Recorded</x:v>
      </x:c>
      <x:c r="AA70" s="57" t="n">
        <x:v>7</x:v>
      </x:c>
      <x:c r="AB70" s="57" t="str">
        <x:v>Yes</x:v>
      </x:c>
      <x:c r="AC70" s="57" t="str">
        <x:v>1990s</x:v>
      </x:c>
      <x:c r="AD70" s="57" t="str">
        <x:v>Seeded</x:v>
      </x:c>
      <x:c r="AE70" s="58" t="str">
        <x:v>Seeded</x:v>
      </x:c>
    </x:row>
    <x:row r="71">
      <x:c r="A71" s="56" t="n">
        <x:v>1991</x:v>
      </x:c>
      <x:c r="B71" s="57" t="str">
        <x:v>Men's</x:v>
      </x:c>
      <x:c r="C71" s="57" t="str">
        <x:v>M.D. Stich</x:v>
      </x:c>
      <x:c r="D71" s="57" t="str">
        <x:v>GER</x:v>
      </x:c>
      <x:c r="E71" s="57" t="str">
        <x:v>Germany</x:v>
      </x:c>
      <x:c r="F71" s="57" t="n">
        <x:v>6</x:v>
      </x:c>
      <x:c r="G71" s="57" t="n">
        <x:v>153</x:v>
      </x:c>
      <x:c r="H71" s="57" t="str">
        <x:v>6-4, 7-6 (7-4), 6-4</x:v>
      </x:c>
      <x:c r="I71" s="57" t="n">
        <x:v>6</x:v>
      </x:c>
      <x:c r="J71" s="57" t="n">
        <x:v>4</x:v>
      </x:c>
      <x:c r="K71" s="57" t="n">
        <x:v>7</x:v>
      </x:c>
      <x:c r="L71" s="57" t="n">
        <x:v>6</x:v>
      </x:c>
      <x:c r="M71" s="57" t="n">
        <x:v>6</x:v>
      </x:c>
      <x:c r="N71" s="57" t="n">
        <x:v>4</x:v>
      </x:c>
      <x:c r="O71" s="57"/>
      <x:c r="P71" s="57"/>
      <x:c r="Q71" s="57"/>
      <x:c r="R71" s="57"/>
      <x:c r="S71" s="57" t="str">
        <x:v>B.F. Becker</x:v>
      </x:c>
      <x:c r="T71" s="57" t="str">
        <x:v>GER</x:v>
      </x:c>
      <x:c r="U71" s="57" t="str">
        <x:v>Germany</x:v>
      </x:c>
      <x:c r="V71" s="57" t="n">
        <x:v>2</x:v>
      </x:c>
      <x:c r="W71" s="57" t="n">
        <x:v>3</x:v>
      </x:c>
      <x:c r="X71" s="57" t="n">
        <x:v>33</x:v>
      </x:c>
      <x:c r="Y71" s="57" t="str">
        <x:v>Completed</x:v>
      </x:c>
      <x:c r="Z71" s="57" t="str">
        <x:v>Recorded</x:v>
      </x:c>
      <x:c r="AA71" s="57" t="n">
        <x:v>1</x:v>
      </x:c>
      <x:c r="AB71" s="57" t="str">
        <x:v>No</x:v>
      </x:c>
      <x:c r="AC71" s="57" t="str">
        <x:v>1990s</x:v>
      </x:c>
      <x:c r="AD71" s="57" t="str">
        <x:v>Seeded</x:v>
      </x:c>
      <x:c r="AE71" s="58" t="str">
        <x:v>Seeded</x:v>
      </x:c>
    </x:row>
    <x:row r="72">
      <x:c r="A72" s="56" t="n">
        <x:v>1990</x:v>
      </x:c>
      <x:c r="B72" s="57" t="str">
        <x:v>Women's</x:v>
      </x:c>
      <x:c r="C72" s="57" t="str">
        <x:v>M. Navratilova</x:v>
      </x:c>
      <x:c r="D72" s="57" t="str">
        <x:v>USA</x:v>
      </x:c>
      <x:c r="E72" s="57" t="str">
        <x:v>United States</x:v>
      </x:c>
      <x:c r="F72" s="57" t="n">
        <x:v>2</x:v>
      </x:c>
      <x:c r="G72" s="57" t="n">
        <x:v>75</x:v>
      </x:c>
      <x:c r="H72" s="57" t="str">
        <x:v>6-4, 6-1,</x:v>
      </x:c>
      <x:c r="I72" s="57" t="n">
        <x:v>6</x:v>
      </x:c>
      <x:c r="J72" s="57" t="n">
        <x:v>4</x:v>
      </x:c>
      <x:c r="K72" s="57" t="n">
        <x:v>6</x:v>
      </x:c>
      <x:c r="L72" s="57" t="n">
        <x:v>1</x:v>
      </x:c>
      <x:c r="M72" s="57"/>
      <x:c r="N72" s="57"/>
      <x:c r="O72" s="57"/>
      <x:c r="P72" s="57"/>
      <x:c r="Q72" s="57"/>
      <x:c r="R72" s="57"/>
      <x:c r="S72" s="57" t="str">
        <x:v>Z.L. Garrison</x:v>
      </x:c>
      <x:c r="T72" s="57" t="str">
        <x:v>USA</x:v>
      </x:c>
      <x:c r="U72" s="57" t="str">
        <x:v>United States</x:v>
      </x:c>
      <x:c r="V72" s="57" t="n">
        <x:v>5</x:v>
      </x:c>
      <x:c r="W72" s="57" t="n">
        <x:v>2</x:v>
      </x:c>
      <x:c r="X72" s="57" t="n">
        <x:v>17</x:v>
      </x:c>
      <x:c r="Y72" s="57" t="str">
        <x:v>Completed</x:v>
      </x:c>
      <x:c r="Z72" s="57" t="str">
        <x:v>Recorded</x:v>
      </x:c>
      <x:c r="AA72" s="57" t="n">
        <x:v>9</x:v>
      </x:c>
      <x:c r="AB72" s="57" t="str">
        <x:v>Yes</x:v>
      </x:c>
      <x:c r="AC72" s="57" t="str">
        <x:v>1990s</x:v>
      </x:c>
      <x:c r="AD72" s="57" t="str">
        <x:v>Seeded</x:v>
      </x:c>
      <x:c r="AE72" s="58" t="str">
        <x:v>Seeded</x:v>
      </x:c>
    </x:row>
    <x:row r="73">
      <x:c r="A73" s="56" t="n">
        <x:v>1990</x:v>
      </x:c>
      <x:c r="B73" s="57" t="str">
        <x:v>Men's</x:v>
      </x:c>
      <x:c r="C73" s="57" t="str">
        <x:v>S.B. Edberg</x:v>
      </x:c>
      <x:c r="D73" s="57" t="str">
        <x:v>SWE</x:v>
      </x:c>
      <x:c r="E73" s="57" t="str">
        <x:v>Sweden</x:v>
      </x:c>
      <x:c r="F73" s="57" t="n">
        <x:v>3</x:v>
      </x:c>
      <x:c r="G73" s="57" t="n">
        <x:v>178</x:v>
      </x:c>
      <x:c r="H73" s="57" t="str">
        <x:v>6-2, 6-2, 3-6, 3-6, 6-4</x:v>
      </x:c>
      <x:c r="I73" s="57" t="n">
        <x:v>6</x:v>
      </x:c>
      <x:c r="J73" s="57" t="n">
        <x:v>2</x:v>
      </x:c>
      <x:c r="K73" s="57" t="n">
        <x:v>6</x:v>
      </x:c>
      <x:c r="L73" s="57" t="n">
        <x:v>2</x:v>
      </x:c>
      <x:c r="M73" s="57" t="n">
        <x:v>3</x:v>
      </x:c>
      <x:c r="N73" s="57" t="n">
        <x:v>6</x:v>
      </x:c>
      <x:c r="O73" s="57" t="n">
        <x:v>3</x:v>
      </x:c>
      <x:c r="P73" s="57" t="n">
        <x:v>6</x:v>
      </x:c>
      <x:c r="Q73" s="57" t="n">
        <x:v>6</x:v>
      </x:c>
      <x:c r="R73" s="57" t="n">
        <x:v>4</x:v>
      </x:c>
      <x:c r="S73" s="57" t="str">
        <x:v>B.F. Becker</x:v>
      </x:c>
      <x:c r="T73" s="57" t="str">
        <x:v>GER</x:v>
      </x:c>
      <x:c r="U73" s="57" t="str">
        <x:v>Germany</x:v>
      </x:c>
      <x:c r="V73" s="57" t="n">
        <x:v>2</x:v>
      </x:c>
      <x:c r="W73" s="57" t="n">
        <x:v>5</x:v>
      </x:c>
      <x:c r="X73" s="57" t="n">
        <x:v>44</x:v>
      </x:c>
      <x:c r="Y73" s="57" t="str">
        <x:v>Completed</x:v>
      </x:c>
      <x:c r="Z73" s="57" t="str">
        <x:v>Recorded</x:v>
      </x:c>
      <x:c r="AA73" s="57" t="n">
        <x:v>2</x:v>
      </x:c>
      <x:c r="AB73" s="57" t="str">
        <x:v>No</x:v>
      </x:c>
      <x:c r="AC73" s="57" t="str">
        <x:v>1990s</x:v>
      </x:c>
      <x:c r="AD73" s="57" t="str">
        <x:v>Seeded</x:v>
      </x:c>
      <x:c r="AE73" s="58" t="str">
        <x:v>Seeded</x:v>
      </x:c>
    </x:row>
    <x:row r="74">
      <x:c r="A74" s="56" t="n">
        <x:v>1989</x:v>
      </x:c>
      <x:c r="B74" s="57" t="str">
        <x:v>Women's</x:v>
      </x:c>
      <x:c r="C74" s="57" t="str">
        <x:v>S.M. Graf</x:v>
      </x:c>
      <x:c r="D74" s="57" t="str">
        <x:v>GER</x:v>
      </x:c>
      <x:c r="E74" s="57" t="str">
        <x:v>Germany</x:v>
      </x:c>
      <x:c r="F74" s="57" t="n">
        <x:v>1</x:v>
      </x:c>
      <x:c r="G74" s="57" t="n">
        <x:v>92</x:v>
      </x:c>
      <x:c r="H74" s="57" t="str">
        <x:v>6-2, 6-7 (1-7), 6-1,</x:v>
      </x:c>
      <x:c r="I74" s="57" t="n">
        <x:v>6</x:v>
      </x:c>
      <x:c r="J74" s="57" t="n">
        <x:v>2</x:v>
      </x:c>
      <x:c r="K74" s="57" t="n">
        <x:v>6</x:v>
      </x:c>
      <x:c r="L74" s="57" t="n">
        <x:v>7</x:v>
      </x:c>
      <x:c r="M74" s="57" t="n">
        <x:v>6</x:v>
      </x:c>
      <x:c r="N74" s="57" t="n">
        <x:v>1</x:v>
      </x:c>
      <x:c r="O74" s="57"/>
      <x:c r="P74" s="57"/>
      <x:c r="Q74" s="57"/>
      <x:c r="R74" s="57"/>
      <x:c r="S74" s="57" t="str">
        <x:v>M. Navratilova</x:v>
      </x:c>
      <x:c r="T74" s="57" t="str">
        <x:v>USA</x:v>
      </x:c>
      <x:c r="U74" s="57" t="str">
        <x:v>United States</x:v>
      </x:c>
      <x:c r="V74" s="57" t="n">
        <x:v>2</x:v>
      </x:c>
      <x:c r="W74" s="57" t="n">
        <x:v>3</x:v>
      </x:c>
      <x:c r="X74" s="57" t="n">
        <x:v>28</x:v>
      </x:c>
      <x:c r="Y74" s="57" t="str">
        <x:v>Completed</x:v>
      </x:c>
      <x:c r="Z74" s="57" t="str">
        <x:v>Recorded</x:v>
      </x:c>
      <x:c r="AA74" s="57" t="n">
        <x:v>7</x:v>
      </x:c>
      <x:c r="AB74" s="57" t="str">
        <x:v>Yes</x:v>
      </x:c>
      <x:c r="AC74" s="57" t="str">
        <x:v>1980s</x:v>
      </x:c>
      <x:c r="AD74" s="57" t="str">
        <x:v>Seeded</x:v>
      </x:c>
      <x:c r="AE74" s="58" t="str">
        <x:v>Seeded</x:v>
      </x:c>
    </x:row>
    <x:row r="75">
      <x:c r="A75" s="56" t="n">
        <x:v>1989</x:v>
      </x:c>
      <x:c r="B75" s="57" t="str">
        <x:v>Men's</x:v>
      </x:c>
      <x:c r="C75" s="57" t="str">
        <x:v>B.F. Becker</x:v>
      </x:c>
      <x:c r="D75" s="57" t="str">
        <x:v>GER</x:v>
      </x:c>
      <x:c r="E75" s="57" t="str">
        <x:v>Germany</x:v>
      </x:c>
      <x:c r="F75" s="57" t="n">
        <x:v>3</x:v>
      </x:c>
      <x:c r="G75" s="57" t="n">
        <x:v>132</x:v>
      </x:c>
      <x:c r="H75" s="57" t="str">
        <x:v>6-0, 7-6 (7-1), 6-4</x:v>
      </x:c>
      <x:c r="I75" s="57" t="n">
        <x:v>6</x:v>
      </x:c>
      <x:c r="J75" s="57" t="n">
        <x:v>0</x:v>
      </x:c>
      <x:c r="K75" s="57" t="n">
        <x:v>7</x:v>
      </x:c>
      <x:c r="L75" s="57" t="n">
        <x:v>6</x:v>
      </x:c>
      <x:c r="M75" s="57" t="n">
        <x:v>6</x:v>
      </x:c>
      <x:c r="N75" s="57" t="n">
        <x:v>4</x:v>
      </x:c>
      <x:c r="O75" s="57"/>
      <x:c r="P75" s="57"/>
      <x:c r="Q75" s="57"/>
      <x:c r="R75" s="57"/>
      <x:c r="S75" s="57" t="str">
        <x:v>S.B. Edberg</x:v>
      </x:c>
      <x:c r="T75" s="57" t="str">
        <x:v>SWE</x:v>
      </x:c>
      <x:c r="U75" s="57" t="str">
        <x:v>Sweden</x:v>
      </x:c>
      <x:c r="V75" s="57" t="n">
        <x:v>2</x:v>
      </x:c>
      <x:c r="W75" s="57" t="n">
        <x:v>3</x:v>
      </x:c>
      <x:c r="X75" s="57" t="n">
        <x:v>29</x:v>
      </x:c>
      <x:c r="Y75" s="57" t="str">
        <x:v>Completed</x:v>
      </x:c>
      <x:c r="Z75" s="57" t="str">
        <x:v>Recorded</x:v>
      </x:c>
      <x:c r="AA75" s="57" t="n">
        <x:v>3</x:v>
      </x:c>
      <x:c r="AB75" s="57" t="str">
        <x:v>No</x:v>
      </x:c>
      <x:c r="AC75" s="57" t="str">
        <x:v>1980s</x:v>
      </x:c>
      <x:c r="AD75" s="57" t="str">
        <x:v>Seeded</x:v>
      </x:c>
      <x:c r="AE75" s="58" t="str">
        <x:v>Seeded</x:v>
      </x:c>
    </x:row>
    <x:row r="76">
      <x:c r="A76" s="56" t="n">
        <x:v>1988</x:v>
      </x:c>
      <x:c r="B76" s="57" t="str">
        <x:v>Women's</x:v>
      </x:c>
      <x:c r="C76" s="57" t="str">
        <x:v>S.M. Graf</x:v>
      </x:c>
      <x:c r="D76" s="57" t="str">
        <x:v>GER</x:v>
      </x:c>
      <x:c r="E76" s="57" t="str">
        <x:v>Germany</x:v>
      </x:c>
      <x:c r="F76" s="57" t="n">
        <x:v>1</x:v>
      </x:c>
      <x:c r="G76" s="57" t="n">
        <x:v>93</x:v>
      </x:c>
      <x:c r="H76" s="57" t="str">
        <x:v>5-7, 6-2, 6-1,</x:v>
      </x:c>
      <x:c r="I76" s="57" t="n">
        <x:v>5</x:v>
      </x:c>
      <x:c r="J76" s="57" t="n">
        <x:v>7</x:v>
      </x:c>
      <x:c r="K76" s="57" t="n">
        <x:v>6</x:v>
      </x:c>
      <x:c r="L76" s="57" t="n">
        <x:v>2</x:v>
      </x:c>
      <x:c r="M76" s="57" t="n">
        <x:v>6</x:v>
      </x:c>
      <x:c r="N76" s="57" t="n">
        <x:v>1</x:v>
      </x:c>
      <x:c r="O76" s="57"/>
      <x:c r="P76" s="57"/>
      <x:c r="Q76" s="57"/>
      <x:c r="R76" s="57"/>
      <x:c r="S76" s="57" t="str">
        <x:v>M. Navratilova</x:v>
      </x:c>
      <x:c r="T76" s="57" t="str">
        <x:v>USA</x:v>
      </x:c>
      <x:c r="U76" s="57" t="str">
        <x:v>United States</x:v>
      </x:c>
      <x:c r="V76" s="57" t="n">
        <x:v>2</x:v>
      </x:c>
      <x:c r="W76" s="57" t="n">
        <x:v>3</x:v>
      </x:c>
      <x:c r="X76" s="57" t="n">
        <x:v>27</x:v>
      </x:c>
      <x:c r="Y76" s="57" t="str">
        <x:v>Completed</x:v>
      </x:c>
      <x:c r="Z76" s="57" t="str">
        <x:v>Recorded</x:v>
      </x:c>
      <x:c r="AA76" s="57" t="n">
        <x:v>7</x:v>
      </x:c>
      <x:c r="AB76" s="57" t="str">
        <x:v>Yes</x:v>
      </x:c>
      <x:c r="AC76" s="57" t="str">
        <x:v>1980s</x:v>
      </x:c>
      <x:c r="AD76" s="57" t="str">
        <x:v>Seeded</x:v>
      </x:c>
      <x:c r="AE76" s="58" t="str">
        <x:v>Seeded</x:v>
      </x:c>
    </x:row>
    <x:row r="77">
      <x:c r="A77" s="56" t="n">
        <x:v>1988</x:v>
      </x:c>
      <x:c r="B77" s="57" t="str">
        <x:v>Men's</x:v>
      </x:c>
      <x:c r="C77" s="57" t="str">
        <x:v>S.B. Edberg</x:v>
      </x:c>
      <x:c r="D77" s="57" t="str">
        <x:v>SWE</x:v>
      </x:c>
      <x:c r="E77" s="57" t="str">
        <x:v>Sweden</x:v>
      </x:c>
      <x:c r="F77" s="57" t="n">
        <x:v>3</x:v>
      </x:c>
      <x:c r="G77" s="57" t="n">
        <x:v>170</x:v>
      </x:c>
      <x:c r="H77" s="57" t="str">
        <x:v>4-6, 7-6 (7-2), 6-4, 6-2</x:v>
      </x:c>
      <x:c r="I77" s="57" t="n">
        <x:v>4</x:v>
      </x:c>
      <x:c r="J77" s="57" t="n">
        <x:v>6</x:v>
      </x:c>
      <x:c r="K77" s="57" t="n">
        <x:v>7</x:v>
      </x:c>
      <x:c r="L77" s="57" t="n">
        <x:v>6</x:v>
      </x:c>
      <x:c r="M77" s="57" t="n">
        <x:v>6</x:v>
      </x:c>
      <x:c r="N77" s="57" t="n">
        <x:v>4</x:v>
      </x:c>
      <x:c r="O77" s="57" t="n">
        <x:v>6</x:v>
      </x:c>
      <x:c r="P77" s="57" t="n">
        <x:v>2</x:v>
      </x:c>
      <x:c r="Q77" s="57"/>
      <x:c r="R77" s="57"/>
      <x:c r="S77" s="57" t="str">
        <x:v>B.F. Becker</x:v>
      </x:c>
      <x:c r="T77" s="57" t="str">
        <x:v>GER</x:v>
      </x:c>
      <x:c r="U77" s="57" t="str">
        <x:v>Germany</x:v>
      </x:c>
      <x:c r="V77" s="57" t="n">
        <x:v>6</x:v>
      </x:c>
      <x:c r="W77" s="57" t="n">
        <x:v>4</x:v>
      </x:c>
      <x:c r="X77" s="57" t="n">
        <x:v>41</x:v>
      </x:c>
      <x:c r="Y77" s="57" t="str">
        <x:v>Completed</x:v>
      </x:c>
      <x:c r="Z77" s="57" t="str">
        <x:v>Recorded</x:v>
      </x:c>
      <x:c r="AA77" s="57" t="n">
        <x:v>2</x:v>
      </x:c>
      <x:c r="AB77" s="57" t="str">
        <x:v>No</x:v>
      </x:c>
      <x:c r="AC77" s="57" t="str">
        <x:v>1980s</x:v>
      </x:c>
      <x:c r="AD77" s="57" t="str">
        <x:v>Seeded</x:v>
      </x:c>
      <x:c r="AE77" s="58" t="str">
        <x:v>Seeded</x:v>
      </x:c>
    </x:row>
    <x:row r="78">
      <x:c r="A78" s="56" t="n">
        <x:v>1987</x:v>
      </x:c>
      <x:c r="B78" s="57" t="str">
        <x:v>Women's</x:v>
      </x:c>
      <x:c r="C78" s="57" t="str">
        <x:v>M. Navratilova</x:v>
      </x:c>
      <x:c r="D78" s="57" t="str">
        <x:v>USA</x:v>
      </x:c>
      <x:c r="E78" s="57" t="str">
        <x:v>United States</x:v>
      </x:c>
      <x:c r="F78" s="57" t="n">
        <x:v>1</x:v>
      </x:c>
      <x:c r="G78" s="57" t="n">
        <x:v>69</x:v>
      </x:c>
      <x:c r="H78" s="57" t="str">
        <x:v>7-5, 6-3,</x:v>
      </x:c>
      <x:c r="I78" s="57" t="n">
        <x:v>7</x:v>
      </x:c>
      <x:c r="J78" s="57" t="n">
        <x:v>5</x:v>
      </x:c>
      <x:c r="K78" s="57" t="n">
        <x:v>6</x:v>
      </x:c>
      <x:c r="L78" s="57" t="n">
        <x:v>3</x:v>
      </x:c>
      <x:c r="M78" s="57"/>
      <x:c r="N78" s="57"/>
      <x:c r="O78" s="57"/>
      <x:c r="P78" s="57"/>
      <x:c r="Q78" s="57"/>
      <x:c r="R78" s="57"/>
      <x:c r="S78" s="57" t="str">
        <x:v>S.M. Graf</x:v>
      </x:c>
      <x:c r="T78" s="57" t="str">
        <x:v>GER</x:v>
      </x:c>
      <x:c r="U78" s="57" t="str">
        <x:v>Germany</x:v>
      </x:c>
      <x:c r="V78" s="57" t="n">
        <x:v>2</x:v>
      </x:c>
      <x:c r="W78" s="57" t="n">
        <x:v>2</x:v>
      </x:c>
      <x:c r="X78" s="57" t="n">
        <x:v>21</x:v>
      </x:c>
      <x:c r="Y78" s="57" t="str">
        <x:v>Completed</x:v>
      </x:c>
      <x:c r="Z78" s="57" t="str">
        <x:v>Recorded</x:v>
      </x:c>
      <x:c r="AA78" s="57" t="n">
        <x:v>9</x:v>
      </x:c>
      <x:c r="AB78" s="57" t="str">
        <x:v>Yes</x:v>
      </x:c>
      <x:c r="AC78" s="57" t="str">
        <x:v>1980s</x:v>
      </x:c>
      <x:c r="AD78" s="57" t="str">
        <x:v>Seeded</x:v>
      </x:c>
      <x:c r="AE78" s="58" t="str">
        <x:v>Seeded</x:v>
      </x:c>
    </x:row>
    <x:row r="79">
      <x:c r="A79" s="56" t="n">
        <x:v>1987</x:v>
      </x:c>
      <x:c r="B79" s="57" t="str">
        <x:v>Men's</x:v>
      </x:c>
      <x:c r="C79" s="57" t="str">
        <x:v>P.H. Cash</x:v>
      </x:c>
      <x:c r="D79" s="57" t="str">
        <x:v>AUS</x:v>
      </x:c>
      <x:c r="E79" s="57" t="str">
        <x:v>Australia</x:v>
      </x:c>
      <x:c r="F79" s="57" t="n">
        <x:v>11</x:v>
      </x:c>
      <x:c r="G79" s="57" t="n">
        <x:v>165</x:v>
      </x:c>
      <x:c r="H79" s="57" t="str">
        <x:v>7-6 (7-5), 6-2, 7-5</x:v>
      </x:c>
      <x:c r="I79" s="57" t="n">
        <x:v>7</x:v>
      </x:c>
      <x:c r="J79" s="57" t="n">
        <x:v>6</x:v>
      </x:c>
      <x:c r="K79" s="57" t="n">
        <x:v>6</x:v>
      </x:c>
      <x:c r="L79" s="57" t="n">
        <x:v>2</x:v>
      </x:c>
      <x:c r="M79" s="57" t="n">
        <x:v>7</x:v>
      </x:c>
      <x:c r="N79" s="57" t="n">
        <x:v>5</x:v>
      </x:c>
      <x:c r="O79" s="57"/>
      <x:c r="P79" s="57"/>
      <x:c r="Q79" s="57"/>
      <x:c r="R79" s="57"/>
      <x:c r="S79" s="57" t="str">
        <x:v>I. Lendl</x:v>
      </x:c>
      <x:c r="T79" s="57" t="str">
        <x:v>CZE</x:v>
      </x:c>
      <x:c r="U79" s="57" t="str">
        <x:v>Czechia</x:v>
      </x:c>
      <x:c r="V79" s="57" t="n">
        <x:v>2</x:v>
      </x:c>
      <x:c r="W79" s="57" t="n">
        <x:v>3</x:v>
      </x:c>
      <x:c r="X79" s="57" t="n">
        <x:v>33</x:v>
      </x:c>
      <x:c r="Y79" s="57" t="str">
        <x:v>Completed</x:v>
      </x:c>
      <x:c r="Z79" s="57" t="str">
        <x:v>Recorded</x:v>
      </x:c>
      <x:c r="AA79" s="57" t="n">
        <x:v>1</x:v>
      </x:c>
      <x:c r="AB79" s="57" t="str">
        <x:v>No</x:v>
      </x:c>
      <x:c r="AC79" s="57" t="str">
        <x:v>1980s</x:v>
      </x:c>
      <x:c r="AD79" s="57" t="str">
        <x:v>Seeded</x:v>
      </x:c>
      <x:c r="AE79" s="58" t="str">
        <x:v>Seeded</x:v>
      </x:c>
    </x:row>
    <x:row r="80">
      <x:c r="A80" s="56" t="n">
        <x:v>1986</x:v>
      </x:c>
      <x:c r="B80" s="57" t="str">
        <x:v>Women's</x:v>
      </x:c>
      <x:c r="C80" s="57" t="str">
        <x:v>M. Navratilova</x:v>
      </x:c>
      <x:c r="D80" s="57" t="str">
        <x:v>USA</x:v>
      </x:c>
      <x:c r="E80" s="57" t="str">
        <x:v>United States</x:v>
      </x:c>
      <x:c r="F80" s="57" t="n">
        <x:v>1</x:v>
      </x:c>
      <x:c r="G80" s="57" t="n">
        <x:v>72</x:v>
      </x:c>
      <x:c r="H80" s="57" t="str">
        <x:v>7-6 (7-1), 6-3,</x:v>
      </x:c>
      <x:c r="I80" s="57" t="n">
        <x:v>7</x:v>
      </x:c>
      <x:c r="J80" s="57" t="n">
        <x:v>6</x:v>
      </x:c>
      <x:c r="K80" s="57" t="n">
        <x:v>6</x:v>
      </x:c>
      <x:c r="L80" s="57" t="n">
        <x:v>3</x:v>
      </x:c>
      <x:c r="M80" s="57"/>
      <x:c r="N80" s="57"/>
      <x:c r="O80" s="57"/>
      <x:c r="P80" s="57"/>
      <x:c r="Q80" s="57"/>
      <x:c r="R80" s="57"/>
      <x:c r="S80" s="57" t="str">
        <x:v>H. Mandlikova</x:v>
      </x:c>
      <x:c r="T80" s="57" t="str">
        <x:v>CZE</x:v>
      </x:c>
      <x:c r="U80" s="57" t="str">
        <x:v>Czechia</x:v>
      </x:c>
      <x:c r="V80" s="57" t="n">
        <x:v>3</x:v>
      </x:c>
      <x:c r="W80" s="57" t="n">
        <x:v>2</x:v>
      </x:c>
      <x:c r="X80" s="57" t="n">
        <x:v>22</x:v>
      </x:c>
      <x:c r="Y80" s="57" t="str">
        <x:v>Completed</x:v>
      </x:c>
      <x:c r="Z80" s="57" t="str">
        <x:v>Recorded</x:v>
      </x:c>
      <x:c r="AA80" s="57" t="n">
        <x:v>9</x:v>
      </x:c>
      <x:c r="AB80" s="57" t="str">
        <x:v>Yes</x:v>
      </x:c>
      <x:c r="AC80" s="57" t="str">
        <x:v>1980s</x:v>
      </x:c>
      <x:c r="AD80" s="57" t="str">
        <x:v>Seeded</x:v>
      </x:c>
      <x:c r="AE80" s="58" t="str">
        <x:v>Seeded</x:v>
      </x:c>
    </x:row>
    <x:row r="81">
      <x:c r="A81" s="56" t="n">
        <x:v>1986</x:v>
      </x:c>
      <x:c r="B81" s="57" t="str">
        <x:v>Men's</x:v>
      </x:c>
      <x:c r="C81" s="57" t="str">
        <x:v>B.F. Becker</x:v>
      </x:c>
      <x:c r="D81" s="57" t="str">
        <x:v>GER</x:v>
      </x:c>
      <x:c r="E81" s="57" t="str">
        <x:v>Germany</x:v>
      </x:c>
      <x:c r="F81" s="57" t="n">
        <x:v>4</x:v>
      </x:c>
      <x:c r="G81" s="57" t="n">
        <x:v>122</x:v>
      </x:c>
      <x:c r="H81" s="57" t="str">
        <x:v>6-4, 6-3, 7-5</x:v>
      </x:c>
      <x:c r="I81" s="57" t="n">
        <x:v>6</x:v>
      </x:c>
      <x:c r="J81" s="57" t="n">
        <x:v>4</x:v>
      </x:c>
      <x:c r="K81" s="57" t="n">
        <x:v>6</x:v>
      </x:c>
      <x:c r="L81" s="57" t="n">
        <x:v>3</x:v>
      </x:c>
      <x:c r="M81" s="57" t="n">
        <x:v>7</x:v>
      </x:c>
      <x:c r="N81" s="57" t="n">
        <x:v>5</x:v>
      </x:c>
      <x:c r="O81" s="57"/>
      <x:c r="P81" s="57"/>
      <x:c r="Q81" s="57"/>
      <x:c r="R81" s="57"/>
      <x:c r="S81" s="57" t="str">
        <x:v>I. Lendl</x:v>
      </x:c>
      <x:c r="T81" s="57" t="str">
        <x:v>CZE</x:v>
      </x:c>
      <x:c r="U81" s="57" t="str">
        <x:v>Czechia</x:v>
      </x:c>
      <x:c r="V81" s="57" t="n">
        <x:v>1</x:v>
      </x:c>
      <x:c r="W81" s="57" t="n">
        <x:v>3</x:v>
      </x:c>
      <x:c r="X81" s="57" t="n">
        <x:v>31</x:v>
      </x:c>
      <x:c r="Y81" s="57" t="str">
        <x:v>Completed</x:v>
      </x:c>
      <x:c r="Z81" s="57" t="str">
        <x:v>Recorded</x:v>
      </x:c>
      <x:c r="AA81" s="57" t="n">
        <x:v>3</x:v>
      </x:c>
      <x:c r="AB81" s="57" t="str">
        <x:v>No</x:v>
      </x:c>
      <x:c r="AC81" s="57" t="str">
        <x:v>1980s</x:v>
      </x:c>
      <x:c r="AD81" s="57" t="str">
        <x:v>Seeded</x:v>
      </x:c>
      <x:c r="AE81" s="58" t="str">
        <x:v>Seeded</x:v>
      </x:c>
    </x:row>
    <x:row r="82">
      <x:c r="A82" s="56" t="n">
        <x:v>1985</x:v>
      </x:c>
      <x:c r="B82" s="57" t="str">
        <x:v>Women's</x:v>
      </x:c>
      <x:c r="C82" s="57" t="str">
        <x:v>M. Navratilova</x:v>
      </x:c>
      <x:c r="D82" s="57" t="str">
        <x:v>USA</x:v>
      </x:c>
      <x:c r="E82" s="57" t="str">
        <x:v>United States</x:v>
      </x:c>
      <x:c r="F82" s="57" t="n">
        <x:v>1</x:v>
      </x:c>
      <x:c r="G82" s="57" t="n">
        <x:v>107</x:v>
      </x:c>
      <x:c r="H82" s="57" t="str">
        <x:v>4-6, 6-3, 6-2,</x:v>
      </x:c>
      <x:c r="I82" s="57" t="n">
        <x:v>4</x:v>
      </x:c>
      <x:c r="J82" s="57" t="n">
        <x:v>6</x:v>
      </x:c>
      <x:c r="K82" s="57" t="n">
        <x:v>6</x:v>
      </x:c>
      <x:c r="L82" s="57" t="n">
        <x:v>3</x:v>
      </x:c>
      <x:c r="M82" s="57" t="n">
        <x:v>6</x:v>
      </x:c>
      <x:c r="N82" s="57" t="n">
        <x:v>2</x:v>
      </x:c>
      <x:c r="O82" s="57"/>
      <x:c r="P82" s="57"/>
      <x:c r="Q82" s="57"/>
      <x:c r="R82" s="57"/>
      <x:c r="S82" s="57" t="str">
        <x:v>J.M. Lloyd</x:v>
      </x:c>
      <x:c r="T82" s="57" t="str">
        <x:v>USA</x:v>
      </x:c>
      <x:c r="U82" s="57" t="str">
        <x:v>United States</x:v>
      </x:c>
      <x:c r="V82" s="57" t="n">
        <x:v>1</x:v>
      </x:c>
      <x:c r="W82" s="57" t="n">
        <x:v>3</x:v>
      </x:c>
      <x:c r="X82" s="57" t="n">
        <x:v>27</x:v>
      </x:c>
      <x:c r="Y82" s="57" t="str">
        <x:v>Completed</x:v>
      </x:c>
      <x:c r="Z82" s="57" t="str">
        <x:v>Recorded</x:v>
      </x:c>
      <x:c r="AA82" s="57" t="n">
        <x:v>9</x:v>
      </x:c>
      <x:c r="AB82" s="57" t="str">
        <x:v>Yes</x:v>
      </x:c>
      <x:c r="AC82" s="57" t="str">
        <x:v>1980s</x:v>
      </x:c>
      <x:c r="AD82" s="57" t="str">
        <x:v>Seeded</x:v>
      </x:c>
      <x:c r="AE82" s="58" t="str">
        <x:v>Seeded</x:v>
      </x:c>
    </x:row>
    <x:row r="83">
      <x:c r="A83" s="56" t="n">
        <x:v>1985</x:v>
      </x:c>
      <x:c r="B83" s="57" t="str">
        <x:v>Men's</x:v>
      </x:c>
      <x:c r="C83" s="57" t="str">
        <x:v>B.F. Becker</x:v>
      </x:c>
      <x:c r="D83" s="57" t="str">
        <x:v>GER</x:v>
      </x:c>
      <x:c r="E83" s="57" t="str">
        <x:v>Germany</x:v>
      </x:c>
      <x:c r="F83" s="57" t="str">
        <x:v>U</x:v>
      </x:c>
      <x:c r="G83" s="57" t="n">
        <x:v>198</x:v>
      </x:c>
      <x:c r="H83" s="57" t="str">
        <x:v>6-3, 6-7 (4-7), 7-6 (7-3), 6-4</x:v>
      </x:c>
      <x:c r="I83" s="57" t="n">
        <x:v>6</x:v>
      </x:c>
      <x:c r="J83" s="57" t="n">
        <x:v>3</x:v>
      </x:c>
      <x:c r="K83" s="57" t="n">
        <x:v>6</x:v>
      </x:c>
      <x:c r="L83" s="57" t="n">
        <x:v>7</x:v>
      </x:c>
      <x:c r="M83" s="57" t="n">
        <x:v>7</x:v>
      </x:c>
      <x:c r="N83" s="57" t="n">
        <x:v>6</x:v>
      </x:c>
      <x:c r="O83" s="57" t="n">
        <x:v>6</x:v>
      </x:c>
      <x:c r="P83" s="57" t="n">
        <x:v>4</x:v>
      </x:c>
      <x:c r="Q83" s="57"/>
      <x:c r="R83" s="57"/>
      <x:c r="S83" s="57" t="str">
        <x:v>K.M. Curren</x:v>
      </x:c>
      <x:c r="T83" s="57" t="str">
        <x:v>USA</x:v>
      </x:c>
      <x:c r="U83" s="57" t="str">
        <x:v>United States</x:v>
      </x:c>
      <x:c r="V83" s="57" t="n">
        <x:v>8</x:v>
      </x:c>
      <x:c r="W83" s="57" t="n">
        <x:v>4</x:v>
      </x:c>
      <x:c r="X83" s="57" t="n">
        <x:v>45</x:v>
      </x:c>
      <x:c r="Y83" s="57" t="str">
        <x:v>Completed</x:v>
      </x:c>
      <x:c r="Z83" s="57" t="str">
        <x:v>Recorded</x:v>
      </x:c>
      <x:c r="AA83" s="57" t="n">
        <x:v>3</x:v>
      </x:c>
      <x:c r="AB83" s="57" t="str">
        <x:v>No</x:v>
      </x:c>
      <x:c r="AC83" s="57" t="str">
        <x:v>1980s</x:v>
      </x:c>
      <x:c r="AD83" s="57" t="str">
        <x:v>Unseeded/unknown</x:v>
      </x:c>
      <x:c r="AE83" s="58" t="str">
        <x:v>Seeded</x:v>
      </x:c>
    </x:row>
    <x:row r="84">
      <x:c r="A84" s="56" t="n">
        <x:v>1984</x:v>
      </x:c>
      <x:c r="B84" s="57" t="str">
        <x:v>Women's</x:v>
      </x:c>
      <x:c r="C84" s="57" t="str">
        <x:v>M. Navratilova</x:v>
      </x:c>
      <x:c r="D84" s="57" t="str">
        <x:v>USA</x:v>
      </x:c>
      <x:c r="E84" s="57" t="str">
        <x:v>United States</x:v>
      </x:c>
      <x:c r="F84" s="57" t="n">
        <x:v>1</x:v>
      </x:c>
      <x:c r="G84" s="57" t="n">
        <x:v>84</x:v>
      </x:c>
      <x:c r="H84" s="57" t="str">
        <x:v>7-6 (7-5), 6-2,</x:v>
      </x:c>
      <x:c r="I84" s="57" t="n">
        <x:v>7</x:v>
      </x:c>
      <x:c r="J84" s="57" t="n">
        <x:v>6</x:v>
      </x:c>
      <x:c r="K84" s="57" t="n">
        <x:v>6</x:v>
      </x:c>
      <x:c r="L84" s="57" t="n">
        <x:v>2</x:v>
      </x:c>
      <x:c r="M84" s="57"/>
      <x:c r="N84" s="57"/>
      <x:c r="O84" s="57"/>
      <x:c r="P84" s="57"/>
      <x:c r="Q84" s="57"/>
      <x:c r="R84" s="57"/>
      <x:c r="S84" s="57" t="str">
        <x:v>J.M. Lloyd</x:v>
      </x:c>
      <x:c r="T84" s="57" t="str">
        <x:v>USA</x:v>
      </x:c>
      <x:c r="U84" s="57" t="str">
        <x:v>United States</x:v>
      </x:c>
      <x:c r="V84" s="57" t="n">
        <x:v>2</x:v>
      </x:c>
      <x:c r="W84" s="57" t="n">
        <x:v>2</x:v>
      </x:c>
      <x:c r="X84" s="57" t="n">
        <x:v>21</x:v>
      </x:c>
      <x:c r="Y84" s="57" t="str">
        <x:v>Completed</x:v>
      </x:c>
      <x:c r="Z84" s="57" t="str">
        <x:v>Recorded</x:v>
      </x:c>
      <x:c r="AA84" s="57" t="n">
        <x:v>9</x:v>
      </x:c>
      <x:c r="AB84" s="57" t="str">
        <x:v>Yes</x:v>
      </x:c>
      <x:c r="AC84" s="57" t="str">
        <x:v>1980s</x:v>
      </x:c>
      <x:c r="AD84" s="57" t="str">
        <x:v>Seeded</x:v>
      </x:c>
      <x:c r="AE84" s="58" t="str">
        <x:v>Seeded</x:v>
      </x:c>
    </x:row>
    <x:row r="85">
      <x:c r="A85" s="56" t="n">
        <x:v>1984</x:v>
      </x:c>
      <x:c r="B85" s="57" t="str">
        <x:v>Men's</x:v>
      </x:c>
      <x:c r="C85" s="57" t="str">
        <x:v>J.P. McEnroe</x:v>
      </x:c>
      <x:c r="D85" s="57" t="str">
        <x:v>USA</x:v>
      </x:c>
      <x:c r="E85" s="57" t="str">
        <x:v>United States</x:v>
      </x:c>
      <x:c r="F85" s="57" t="n">
        <x:v>1</x:v>
      </x:c>
      <x:c r="G85" s="57" t="n">
        <x:v>80</x:v>
      </x:c>
      <x:c r="H85" s="57" t="str">
        <x:v>6-1, 6-1, 6-2</x:v>
      </x:c>
      <x:c r="I85" s="57" t="n">
        <x:v>6</x:v>
      </x:c>
      <x:c r="J85" s="57" t="n">
        <x:v>1</x:v>
      </x:c>
      <x:c r="K85" s="57" t="n">
        <x:v>6</x:v>
      </x:c>
      <x:c r="L85" s="57" t="n">
        <x:v>1</x:v>
      </x:c>
      <x:c r="M85" s="57" t="n">
        <x:v>6</x:v>
      </x:c>
      <x:c r="N85" s="57" t="n">
        <x:v>2</x:v>
      </x:c>
      <x:c r="O85" s="57"/>
      <x:c r="P85" s="57"/>
      <x:c r="Q85" s="57"/>
      <x:c r="R85" s="57"/>
      <x:c r="S85" s="57" t="str">
        <x:v>J.S. Connors</x:v>
      </x:c>
      <x:c r="T85" s="57" t="str">
        <x:v>USA</x:v>
      </x:c>
      <x:c r="U85" s="57" t="str">
        <x:v>United States</x:v>
      </x:c>
      <x:c r="V85" s="57" t="n">
        <x:v>3</x:v>
      </x:c>
      <x:c r="W85" s="57" t="n">
        <x:v>3</x:v>
      </x:c>
      <x:c r="X85" s="57" t="n">
        <x:v>22</x:v>
      </x:c>
      <x:c r="Y85" s="57" t="str">
        <x:v>Completed</x:v>
      </x:c>
      <x:c r="Z85" s="57" t="str">
        <x:v>Recorded</x:v>
      </x:c>
      <x:c r="AA85" s="57" t="n">
        <x:v>3</x:v>
      </x:c>
      <x:c r="AB85" s="57" t="str">
        <x:v>No</x:v>
      </x:c>
      <x:c r="AC85" s="57" t="str">
        <x:v>1980s</x:v>
      </x:c>
      <x:c r="AD85" s="57" t="str">
        <x:v>Seeded</x:v>
      </x:c>
      <x:c r="AE85" s="58" t="str">
        <x:v>Seeded</x:v>
      </x:c>
    </x:row>
    <x:row r="86">
      <x:c r="A86" s="56" t="n">
        <x:v>1983</x:v>
      </x:c>
      <x:c r="B86" s="57" t="str">
        <x:v>Women's</x:v>
      </x:c>
      <x:c r="C86" s="57" t="str">
        <x:v>M. Navratilova</x:v>
      </x:c>
      <x:c r="D86" s="57" t="str">
        <x:v>USA</x:v>
      </x:c>
      <x:c r="E86" s="57" t="str">
        <x:v>United States</x:v>
      </x:c>
      <x:c r="F86" s="57" t="n">
        <x:v>1</x:v>
      </x:c>
      <x:c r="G86" s="57" t="n">
        <x:v>54</x:v>
      </x:c>
      <x:c r="H86" s="57" t="str">
        <x:v>6-0, 6-3,</x:v>
      </x:c>
      <x:c r="I86" s="57" t="n">
        <x:v>6</x:v>
      </x:c>
      <x:c r="J86" s="57" t="n">
        <x:v>0</x:v>
      </x:c>
      <x:c r="K86" s="57" t="n">
        <x:v>6</x:v>
      </x:c>
      <x:c r="L86" s="57" t="n">
        <x:v>3</x:v>
      </x:c>
      <x:c r="M86" s="57"/>
      <x:c r="N86" s="57"/>
      <x:c r="O86" s="57"/>
      <x:c r="P86" s="57"/>
      <x:c r="Q86" s="57"/>
      <x:c r="R86" s="57"/>
      <x:c r="S86" s="57" t="str">
        <x:v>A. Jaeger</x:v>
      </x:c>
      <x:c r="T86" s="57" t="str">
        <x:v>USA</x:v>
      </x:c>
      <x:c r="U86" s="57" t="str">
        <x:v>United States</x:v>
      </x:c>
      <x:c r="V86" s="57" t="n">
        <x:v>3</x:v>
      </x:c>
      <x:c r="W86" s="57" t="n">
        <x:v>2</x:v>
      </x:c>
      <x:c r="X86" s="57" t="n">
        <x:v>15</x:v>
      </x:c>
      <x:c r="Y86" s="57" t="str">
        <x:v>Completed</x:v>
      </x:c>
      <x:c r="Z86" s="57" t="str">
        <x:v>Recorded</x:v>
      </x:c>
      <x:c r="AA86" s="57" t="n">
        <x:v>9</x:v>
      </x:c>
      <x:c r="AB86" s="57" t="str">
        <x:v>Yes</x:v>
      </x:c>
      <x:c r="AC86" s="57" t="str">
        <x:v>1980s</x:v>
      </x:c>
      <x:c r="AD86" s="57" t="str">
        <x:v>Seeded</x:v>
      </x:c>
      <x:c r="AE86" s="58" t="str">
        <x:v>Seeded</x:v>
      </x:c>
    </x:row>
    <x:row r="87">
      <x:c r="A87" s="56" t="n">
        <x:v>1983</x:v>
      </x:c>
      <x:c r="B87" s="57" t="str">
        <x:v>Men's</x:v>
      </x:c>
      <x:c r="C87" s="57" t="str">
        <x:v>J.P. McEnroe</x:v>
      </x:c>
      <x:c r="D87" s="57" t="str">
        <x:v>USA</x:v>
      </x:c>
      <x:c r="E87" s="57" t="str">
        <x:v>United States</x:v>
      </x:c>
      <x:c r="F87" s="57" t="n">
        <x:v>2</x:v>
      </x:c>
      <x:c r="G87" s="57" t="n">
        <x:v>85</x:v>
      </x:c>
      <x:c r="H87" s="57" t="str">
        <x:v>6-2, 6-2, 6-2</x:v>
      </x:c>
      <x:c r="I87" s="57" t="n">
        <x:v>6</x:v>
      </x:c>
      <x:c r="J87" s="57" t="n">
        <x:v>2</x:v>
      </x:c>
      <x:c r="K87" s="57" t="n">
        <x:v>6</x:v>
      </x:c>
      <x:c r="L87" s="57" t="n">
        <x:v>2</x:v>
      </x:c>
      <x:c r="M87" s="57" t="n">
        <x:v>6</x:v>
      </x:c>
      <x:c r="N87" s="57" t="n">
        <x:v>2</x:v>
      </x:c>
      <x:c r="O87" s="57"/>
      <x:c r="P87" s="57"/>
      <x:c r="Q87" s="57"/>
      <x:c r="R87" s="57"/>
      <x:c r="S87" s="57" t="str">
        <x:v>C.J. Lewis</x:v>
      </x:c>
      <x:c r="T87" s="57" t="str">
        <x:v>NZL</x:v>
      </x:c>
      <x:c r="U87" s="57" t="str">
        <x:v>New Zealand</x:v>
      </x:c>
      <x:c r="V87" s="57" t="str">
        <x:v>U</x:v>
      </x:c>
      <x:c r="W87" s="57" t="n">
        <x:v>3</x:v>
      </x:c>
      <x:c r="X87" s="57" t="n">
        <x:v>24</x:v>
      </x:c>
      <x:c r="Y87" s="57" t="str">
        <x:v>Completed</x:v>
      </x:c>
      <x:c r="Z87" s="57" t="str">
        <x:v>Recorded</x:v>
      </x:c>
      <x:c r="AA87" s="57" t="n">
        <x:v>3</x:v>
      </x:c>
      <x:c r="AB87" s="57" t="str">
        <x:v>No</x:v>
      </x:c>
      <x:c r="AC87" s="57" t="str">
        <x:v>1980s</x:v>
      </x:c>
      <x:c r="AD87" s="57" t="str">
        <x:v>Seeded</x:v>
      </x:c>
      <x:c r="AE87" s="58" t="str">
        <x:v>Unseeded/unknown</x:v>
      </x:c>
    </x:row>
    <x:row r="88">
      <x:c r="A88" s="56" t="n">
        <x:v>1982</x:v>
      </x:c>
      <x:c r="B88" s="57" t="str">
        <x:v>Women's</x:v>
      </x:c>
      <x:c r="C88" s="57" t="str">
        <x:v>M. Navratilova</x:v>
      </x:c>
      <x:c r="D88" s="57" t="str">
        <x:v>USA</x:v>
      </x:c>
      <x:c r="E88" s="57" t="str">
        <x:v>United States</x:v>
      </x:c>
      <x:c r="F88" s="57" t="n">
        <x:v>1</x:v>
      </x:c>
      <x:c r="G88" s="57" t="n">
        <x:v>87</x:v>
      </x:c>
      <x:c r="H88" s="57" t="str">
        <x:v>6-1, 3-6, 6-2,</x:v>
      </x:c>
      <x:c r="I88" s="57" t="n">
        <x:v>6</x:v>
      </x:c>
      <x:c r="J88" s="57" t="n">
        <x:v>1</x:v>
      </x:c>
      <x:c r="K88" s="57" t="n">
        <x:v>3</x:v>
      </x:c>
      <x:c r="L88" s="57" t="n">
        <x:v>6</x:v>
      </x:c>
      <x:c r="M88" s="57" t="n">
        <x:v>6</x:v>
      </x:c>
      <x:c r="N88" s="57" t="n">
        <x:v>2</x:v>
      </x:c>
      <x:c r="O88" s="57"/>
      <x:c r="P88" s="57"/>
      <x:c r="Q88" s="57"/>
      <x:c r="R88" s="57"/>
      <x:c r="S88" s="57" t="str">
        <x:v>J.M. Lloyd</x:v>
      </x:c>
      <x:c r="T88" s="57" t="str">
        <x:v>USA</x:v>
      </x:c>
      <x:c r="U88" s="57" t="str">
        <x:v>United States</x:v>
      </x:c>
      <x:c r="V88" s="57" t="n">
        <x:v>2</x:v>
      </x:c>
      <x:c r="W88" s="57" t="n">
        <x:v>3</x:v>
      </x:c>
      <x:c r="X88" s="57" t="n">
        <x:v>24</x:v>
      </x:c>
      <x:c r="Y88" s="57" t="str">
        <x:v>Completed</x:v>
      </x:c>
      <x:c r="Z88" s="57" t="str">
        <x:v>Recorded</x:v>
      </x:c>
      <x:c r="AA88" s="57" t="n">
        <x:v>9</x:v>
      </x:c>
      <x:c r="AB88" s="57" t="str">
        <x:v>Yes</x:v>
      </x:c>
      <x:c r="AC88" s="57" t="str">
        <x:v>1980s</x:v>
      </x:c>
      <x:c r="AD88" s="57" t="str">
        <x:v>Seeded</x:v>
      </x:c>
      <x:c r="AE88" s="58" t="str">
        <x:v>Seeded</x:v>
      </x:c>
    </x:row>
    <x:row r="89">
      <x:c r="A89" s="56" t="n">
        <x:v>1982</x:v>
      </x:c>
      <x:c r="B89" s="57" t="str">
        <x:v>Men's</x:v>
      </x:c>
      <x:c r="C89" s="57" t="str">
        <x:v>J.S. Connors</x:v>
      </x:c>
      <x:c r="D89" s="57" t="str">
        <x:v>USA</x:v>
      </x:c>
      <x:c r="E89" s="57" t="str">
        <x:v>United States</x:v>
      </x:c>
      <x:c r="F89" s="57" t="n">
        <x:v>2</x:v>
      </x:c>
      <x:c r="G89" s="57" t="n">
        <x:v>256</x:v>
      </x:c>
      <x:c r="H89" s="57" t="str">
        <x:v>3-6, 6-3, 6-7 (2-7), 7-6 (7-5), 6-4</x:v>
      </x:c>
      <x:c r="I89" s="57" t="n">
        <x:v>3</x:v>
      </x:c>
      <x:c r="J89" s="57" t="n">
        <x:v>6</x:v>
      </x:c>
      <x:c r="K89" s="57" t="n">
        <x:v>6</x:v>
      </x:c>
      <x:c r="L89" s="57" t="n">
        <x:v>3</x:v>
      </x:c>
      <x:c r="M89" s="57" t="n">
        <x:v>6</x:v>
      </x:c>
      <x:c r="N89" s="57" t="n">
        <x:v>7</x:v>
      </x:c>
      <x:c r="O89" s="57" t="n">
        <x:v>7</x:v>
      </x:c>
      <x:c r="P89" s="57" t="n">
        <x:v>6</x:v>
      </x:c>
      <x:c r="Q89" s="57" t="n">
        <x:v>6</x:v>
      </x:c>
      <x:c r="R89" s="57" t="n">
        <x:v>4</x:v>
      </x:c>
      <x:c r="S89" s="57" t="str">
        <x:v>J.P. McEnroe</x:v>
      </x:c>
      <x:c r="T89" s="57" t="str">
        <x:v>USA</x:v>
      </x:c>
      <x:c r="U89" s="57" t="str">
        <x:v>United States</x:v>
      </x:c>
      <x:c r="V89" s="57" t="n">
        <x:v>1</x:v>
      </x:c>
      <x:c r="W89" s="57" t="n">
        <x:v>5</x:v>
      </x:c>
      <x:c r="X89" s="57" t="n">
        <x:v>54</x:v>
      </x:c>
      <x:c r="Y89" s="57" t="str">
        <x:v>Completed</x:v>
      </x:c>
      <x:c r="Z89" s="57" t="str">
        <x:v>Recorded</x:v>
      </x:c>
      <x:c r="AA89" s="57" t="n">
        <x:v>2</x:v>
      </x:c>
      <x:c r="AB89" s="57" t="str">
        <x:v>No</x:v>
      </x:c>
      <x:c r="AC89" s="57" t="str">
        <x:v>1980s</x:v>
      </x:c>
      <x:c r="AD89" s="57" t="str">
        <x:v>Seeded</x:v>
      </x:c>
      <x:c r="AE89" s="58" t="str">
        <x:v>Seeded</x:v>
      </x:c>
    </x:row>
    <x:row r="90">
      <x:c r="A90" s="56" t="n">
        <x:v>1981</x:v>
      </x:c>
      <x:c r="B90" s="57" t="str">
        <x:v>Women's</x:v>
      </x:c>
      <x:c r="C90" s="57" t="str">
        <x:v>J.M. Lloyd</x:v>
      </x:c>
      <x:c r="D90" s="57" t="str">
        <x:v>USA</x:v>
      </x:c>
      <x:c r="E90" s="57" t="str">
        <x:v>United States</x:v>
      </x:c>
      <x:c r="F90" s="57" t="n">
        <x:v>1</x:v>
      </x:c>
      <x:c r="G90" s="57" t="n">
        <x:v>60</x:v>
      </x:c>
      <x:c r="H90" s="57" t="str">
        <x:v>6-2, 6-2,</x:v>
      </x:c>
      <x:c r="I90" s="57" t="n">
        <x:v>6</x:v>
      </x:c>
      <x:c r="J90" s="57" t="n">
        <x:v>2</x:v>
      </x:c>
      <x:c r="K90" s="57" t="n">
        <x:v>6</x:v>
      </x:c>
      <x:c r="L90" s="57" t="n">
        <x:v>2</x:v>
      </x:c>
      <x:c r="M90" s="57"/>
      <x:c r="N90" s="57"/>
      <x:c r="O90" s="57"/>
      <x:c r="P90" s="57"/>
      <x:c r="Q90" s="57"/>
      <x:c r="R90" s="57"/>
      <x:c r="S90" s="57" t="str">
        <x:v>H. Mandlikova</x:v>
      </x:c>
      <x:c r="T90" s="57" t="str">
        <x:v>CZE</x:v>
      </x:c>
      <x:c r="U90" s="57" t="str">
        <x:v>Czechia</x:v>
      </x:c>
      <x:c r="V90" s="57" t="n">
        <x:v>2</x:v>
      </x:c>
      <x:c r="W90" s="57" t="n">
        <x:v>2</x:v>
      </x:c>
      <x:c r="X90" s="57" t="n">
        <x:v>16</x:v>
      </x:c>
      <x:c r="Y90" s="57" t="str">
        <x:v>Completed</x:v>
      </x:c>
      <x:c r="Z90" s="57" t="str">
        <x:v>Recorded</x:v>
      </x:c>
      <x:c r="AA90" s="57" t="n">
        <x:v>1</x:v>
      </x:c>
      <x:c r="AB90" s="57" t="str">
        <x:v>No</x:v>
      </x:c>
      <x:c r="AC90" s="57" t="str">
        <x:v>1980s</x:v>
      </x:c>
      <x:c r="AD90" s="57" t="str">
        <x:v>Seeded</x:v>
      </x:c>
      <x:c r="AE90" s="58" t="str">
        <x:v>Seeded</x:v>
      </x:c>
    </x:row>
    <x:row r="91">
      <x:c r="A91" s="56" t="n">
        <x:v>1981</x:v>
      </x:c>
      <x:c r="B91" s="57" t="str">
        <x:v>Men's</x:v>
      </x:c>
      <x:c r="C91" s="57" t="str">
        <x:v>J.P. McEnroe</x:v>
      </x:c>
      <x:c r="D91" s="57" t="str">
        <x:v>USA</x:v>
      </x:c>
      <x:c r="E91" s="57" t="str">
        <x:v>United States</x:v>
      </x:c>
      <x:c r="F91" s="57" t="n">
        <x:v>2</x:v>
      </x:c>
      <x:c r="G91" s="57" t="n">
        <x:v>202</x:v>
      </x:c>
      <x:c r="H91" s="57" t="str">
        <x:v>4-6, 7-6 (7-1), 7-6 (7-4), 6-4</x:v>
      </x:c>
      <x:c r="I91" s="57" t="n">
        <x:v>4</x:v>
      </x:c>
      <x:c r="J91" s="57" t="n">
        <x:v>6</x:v>
      </x:c>
      <x:c r="K91" s="57" t="n">
        <x:v>7</x:v>
      </x:c>
      <x:c r="L91" s="57" t="n">
        <x:v>6</x:v>
      </x:c>
      <x:c r="M91" s="57" t="n">
        <x:v>7</x:v>
      </x:c>
      <x:c r="N91" s="57" t="n">
        <x:v>6</x:v>
      </x:c>
      <x:c r="O91" s="57" t="n">
        <x:v>6</x:v>
      </x:c>
      <x:c r="P91" s="57" t="n">
        <x:v>4</x:v>
      </x:c>
      <x:c r="Q91" s="57"/>
      <x:c r="R91" s="57"/>
      <x:c r="S91" s="57" t="str">
        <x:v>B.R. Borg</x:v>
      </x:c>
      <x:c r="T91" s="57" t="str">
        <x:v>SWE</x:v>
      </x:c>
      <x:c r="U91" s="57" t="str">
        <x:v>Sweden</x:v>
      </x:c>
      <x:c r="V91" s="57" t="n">
        <x:v>1</x:v>
      </x:c>
      <x:c r="W91" s="57" t="n">
        <x:v>4</x:v>
      </x:c>
      <x:c r="X91" s="57" t="n">
        <x:v>46</x:v>
      </x:c>
      <x:c r="Y91" s="57" t="str">
        <x:v>Completed</x:v>
      </x:c>
      <x:c r="Z91" s="57" t="str">
        <x:v>Recorded</x:v>
      </x:c>
      <x:c r="AA91" s="57" t="n">
        <x:v>3</x:v>
      </x:c>
      <x:c r="AB91" s="57" t="str">
        <x:v>No</x:v>
      </x:c>
      <x:c r="AC91" s="57" t="str">
        <x:v>1980s</x:v>
      </x:c>
      <x:c r="AD91" s="57" t="str">
        <x:v>Seeded</x:v>
      </x:c>
      <x:c r="AE91" s="58" t="str">
        <x:v>Seeded</x:v>
      </x:c>
    </x:row>
    <x:row r="92">
      <x:c r="A92" s="56" t="n">
        <x:v>1980</x:v>
      </x:c>
      <x:c r="B92" s="57" t="str">
        <x:v>Women's</x:v>
      </x:c>
      <x:c r="C92" s="57" t="str">
        <x:v>R.A. Cawley</x:v>
      </x:c>
      <x:c r="D92" s="57" t="str">
        <x:v>AUS</x:v>
      </x:c>
      <x:c r="E92" s="57" t="str">
        <x:v>Australia</x:v>
      </x:c>
      <x:c r="F92" s="57" t="n">
        <x:v>4</x:v>
      </x:c>
      <x:c r="G92" s="57" t="n">
        <x:v>93</x:v>
      </x:c>
      <x:c r="H92" s="57" t="str">
        <x:v>6-1, 7-6 (7-4)</x:v>
      </x:c>
      <x:c r="I92" s="57" t="n">
        <x:v>6</x:v>
      </x:c>
      <x:c r="J92" s="57" t="n">
        <x:v>1</x:v>
      </x:c>
      <x:c r="K92" s="57" t="n">
        <x:v>7</x:v>
      </x:c>
      <x:c r="L92" s="57" t="n">
        <x:v>6</x:v>
      </x:c>
      <x:c r="M92" s="57"/>
      <x:c r="N92" s="57"/>
      <x:c r="O92" s="57"/>
      <x:c r="P92" s="57"/>
      <x:c r="Q92" s="57"/>
      <x:c r="R92" s="57"/>
      <x:c r="S92" s="57" t="str">
        <x:v>J.M. Lloyd</x:v>
      </x:c>
      <x:c r="T92" s="57" t="str">
        <x:v>USA</x:v>
      </x:c>
      <x:c r="U92" s="57" t="str">
        <x:v>United States</x:v>
      </x:c>
      <x:c r="V92" s="57" t="n">
        <x:v>3</x:v>
      </x:c>
      <x:c r="W92" s="57" t="n">
        <x:v>2</x:v>
      </x:c>
      <x:c r="X92" s="57" t="n">
        <x:v>20</x:v>
      </x:c>
      <x:c r="Y92" s="57" t="str">
        <x:v>Completed</x:v>
      </x:c>
      <x:c r="Z92" s="57" t="str">
        <x:v>Recorded</x:v>
      </x:c>
      <x:c r="AA92" s="57" t="n">
        <x:v>1</x:v>
      </x:c>
      <x:c r="AB92" s="57" t="str">
        <x:v>No</x:v>
      </x:c>
      <x:c r="AC92" s="57" t="str">
        <x:v>1980s</x:v>
      </x:c>
      <x:c r="AD92" s="57" t="str">
        <x:v>Seeded</x:v>
      </x:c>
      <x:c r="AE92" s="58" t="str">
        <x:v>Seeded</x:v>
      </x:c>
    </x:row>
    <x:row r="93">
      <x:c r="A93" s="56" t="n">
        <x:v>1980</x:v>
      </x:c>
      <x:c r="B93" s="57" t="str">
        <x:v>Men's</x:v>
      </x:c>
      <x:c r="C93" s="57" t="str">
        <x:v>B.R. Borg</x:v>
      </x:c>
      <x:c r="D93" s="57" t="str">
        <x:v>SWE</x:v>
      </x:c>
      <x:c r="E93" s="57" t="str">
        <x:v>Sweden</x:v>
      </x:c>
      <x:c r="F93" s="57" t="n">
        <x:v>1</x:v>
      </x:c>
      <x:c r="G93" s="57" t="n">
        <x:v>233</x:v>
      </x:c>
      <x:c r="H93" s="57" t="str">
        <x:v>1-6, 7-5, 6-3, 6-7 (16-18), 8-6</x:v>
      </x:c>
      <x:c r="I93" s="57" t="n">
        <x:v>1</x:v>
      </x:c>
      <x:c r="J93" s="57" t="n">
        <x:v>6</x:v>
      </x:c>
      <x:c r="K93" s="57" t="n">
        <x:v>7</x:v>
      </x:c>
      <x:c r="L93" s="57" t="n">
        <x:v>5</x:v>
      </x:c>
      <x:c r="M93" s="57" t="n">
        <x:v>6</x:v>
      </x:c>
      <x:c r="N93" s="57" t="n">
        <x:v>3</x:v>
      </x:c>
      <x:c r="O93" s="57" t="n">
        <x:v>6</x:v>
      </x:c>
      <x:c r="P93" s="57" t="n">
        <x:v>7</x:v>
      </x:c>
      <x:c r="Q93" s="57" t="n">
        <x:v>8</x:v>
      </x:c>
      <x:c r="R93" s="57" t="n">
        <x:v>6</x:v>
      </x:c>
      <x:c r="S93" s="57" t="str">
        <x:v>J.P. McEnroe</x:v>
      </x:c>
      <x:c r="T93" s="57" t="str">
        <x:v>USA</x:v>
      </x:c>
      <x:c r="U93" s="57" t="str">
        <x:v>United States</x:v>
      </x:c>
      <x:c r="V93" s="57" t="n">
        <x:v>2</x:v>
      </x:c>
      <x:c r="W93" s="57" t="n">
        <x:v>5</x:v>
      </x:c>
      <x:c r="X93" s="57" t="n">
        <x:v>55</x:v>
      </x:c>
      <x:c r="Y93" s="57" t="str">
        <x:v>Completed</x:v>
      </x:c>
      <x:c r="Z93" s="57" t="str">
        <x:v>Recorded</x:v>
      </x:c>
      <x:c r="AA93" s="57" t="n">
        <x:v>5</x:v>
      </x:c>
      <x:c r="AB93" s="57" t="str">
        <x:v>Yes</x:v>
      </x:c>
      <x:c r="AC93" s="57" t="str">
        <x:v>1980s</x:v>
      </x:c>
      <x:c r="AD93" s="57" t="str">
        <x:v>Seeded</x:v>
      </x:c>
      <x:c r="AE93" s="58" t="str">
        <x:v>Seeded</x:v>
      </x:c>
    </x:row>
    <x:row r="94">
      <x:c r="A94" s="56" t="n">
        <x:v>1979</x:v>
      </x:c>
      <x:c r="B94" s="57" t="str">
        <x:v>Women's</x:v>
      </x:c>
      <x:c r="C94" s="57" t="str">
        <x:v>M. Navratilova</x:v>
      </x:c>
      <x:c r="D94" s="57" t="str">
        <x:v>USA</x:v>
      </x:c>
      <x:c r="E94" s="57" t="str">
        <x:v>United States</x:v>
      </x:c>
      <x:c r="F94" s="57" t="n">
        <x:v>1</x:v>
      </x:c>
      <x:c r="G94" s="57" t="n">
        <x:v>60</x:v>
      </x:c>
      <x:c r="H94" s="57" t="str">
        <x:v>6-4, 6-4,</x:v>
      </x:c>
      <x:c r="I94" s="57" t="n">
        <x:v>6</x:v>
      </x:c>
      <x:c r="J94" s="57" t="n">
        <x:v>4</x:v>
      </x:c>
      <x:c r="K94" s="57" t="n">
        <x:v>6</x:v>
      </x:c>
      <x:c r="L94" s="57" t="n">
        <x:v>4</x:v>
      </x:c>
      <x:c r="M94" s="57"/>
      <x:c r="N94" s="57"/>
      <x:c r="O94" s="57"/>
      <x:c r="P94" s="57"/>
      <x:c r="Q94" s="57"/>
      <x:c r="R94" s="57"/>
      <x:c r="S94" s="57" t="str">
        <x:v>J.M. Lloyd</x:v>
      </x:c>
      <x:c r="T94" s="57" t="str">
        <x:v>USA</x:v>
      </x:c>
      <x:c r="U94" s="57" t="str">
        <x:v>United States</x:v>
      </x:c>
      <x:c r="V94" s="57" t="n">
        <x:v>2</x:v>
      </x:c>
      <x:c r="W94" s="57" t="n">
        <x:v>2</x:v>
      </x:c>
      <x:c r="X94" s="57" t="n">
        <x:v>20</x:v>
      </x:c>
      <x:c r="Y94" s="57" t="str">
        <x:v>Completed</x:v>
      </x:c>
      <x:c r="Z94" s="57" t="str">
        <x:v>Recorded</x:v>
      </x:c>
      <x:c r="AA94" s="57" t="n">
        <x:v>9</x:v>
      </x:c>
      <x:c r="AB94" s="57" t="str">
        <x:v>Yes</x:v>
      </x:c>
      <x:c r="AC94" s="57" t="str">
        <x:v>1970s</x:v>
      </x:c>
      <x:c r="AD94" s="57" t="str">
        <x:v>Seeded</x:v>
      </x:c>
      <x:c r="AE94" s="58" t="str">
        <x:v>Seeded</x:v>
      </x:c>
    </x:row>
    <x:row r="95">
      <x:c r="A95" s="56" t="n">
        <x:v>1979</x:v>
      </x:c>
      <x:c r="B95" s="57" t="str">
        <x:v>Men's</x:v>
      </x:c>
      <x:c r="C95" s="57" t="str">
        <x:v>B.R. Borg</x:v>
      </x:c>
      <x:c r="D95" s="57" t="str">
        <x:v>SWE</x:v>
      </x:c>
      <x:c r="E95" s="57" t="str">
        <x:v>Sweden</x:v>
      </x:c>
      <x:c r="F95" s="57" t="n">
        <x:v>1</x:v>
      </x:c>
      <x:c r="G95" s="57" t="n">
        <x:v>169</x:v>
      </x:c>
      <x:c r="H95" s="57" t="str">
        <x:v>6-7(4-7), 6-1, 3-6, 6-3, 6-4</x:v>
      </x:c>
      <x:c r="I95" s="57" t="n">
        <x:v>6</x:v>
      </x:c>
      <x:c r="J95" s="57" t="n">
        <x:v>7</x:v>
      </x:c>
      <x:c r="K95" s="57" t="n">
        <x:v>6</x:v>
      </x:c>
      <x:c r="L95" s="57" t="n">
        <x:v>1</x:v>
      </x:c>
      <x:c r="M95" s="57" t="n">
        <x:v>3</x:v>
      </x:c>
      <x:c r="N95" s="57" t="n">
        <x:v>6</x:v>
      </x:c>
      <x:c r="O95" s="57" t="n">
        <x:v>6</x:v>
      </x:c>
      <x:c r="P95" s="57" t="n">
        <x:v>3</x:v>
      </x:c>
      <x:c r="Q95" s="57" t="n">
        <x:v>6</x:v>
      </x:c>
      <x:c r="R95" s="57" t="n">
        <x:v>4</x:v>
      </x:c>
      <x:c r="S95" s="57" t="str">
        <x:v>R. Tanner</x:v>
      </x:c>
      <x:c r="T95" s="57" t="str">
        <x:v>USA</x:v>
      </x:c>
      <x:c r="U95" s="57" t="str">
        <x:v>United States</x:v>
      </x:c>
      <x:c r="V95" s="57" t="n">
        <x:v>5</x:v>
      </x:c>
      <x:c r="W95" s="57" t="n">
        <x:v>5</x:v>
      </x:c>
      <x:c r="X95" s="57" t="n">
        <x:v>48</x:v>
      </x:c>
      <x:c r="Y95" s="57" t="str">
        <x:v>Completed</x:v>
      </x:c>
      <x:c r="Z95" s="57" t="str">
        <x:v>Recorded</x:v>
      </x:c>
      <x:c r="AA95" s="57" t="n">
        <x:v>5</x:v>
      </x:c>
      <x:c r="AB95" s="57" t="str">
        <x:v>Yes</x:v>
      </x:c>
      <x:c r="AC95" s="57" t="str">
        <x:v>1970s</x:v>
      </x:c>
      <x:c r="AD95" s="57" t="str">
        <x:v>Seeded</x:v>
      </x:c>
      <x:c r="AE95" s="58" t="str">
        <x:v>Seeded</x:v>
      </x:c>
    </x:row>
    <x:row r="96">
      <x:c r="A96" s="56" t="n">
        <x:v>1978</x:v>
      </x:c>
      <x:c r="B96" s="57" t="str">
        <x:v>Women's</x:v>
      </x:c>
      <x:c r="C96" s="57" t="str">
        <x:v>M. Navratilova</x:v>
      </x:c>
      <x:c r="D96" s="57" t="str">
        <x:v>USA</x:v>
      </x:c>
      <x:c r="E96" s="57" t="str">
        <x:v>United States</x:v>
      </x:c>
      <x:c r="F96" s="57" t="n">
        <x:v>2</x:v>
      </x:c>
      <x:c r="G96" s="57" t="n">
        <x:v>102</x:v>
      </x:c>
      <x:c r="H96" s="57" t="str">
        <x:v>2-6, 6-4, 7-5,</x:v>
      </x:c>
      <x:c r="I96" s="57" t="n">
        <x:v>2</x:v>
      </x:c>
      <x:c r="J96" s="57" t="n">
        <x:v>6</x:v>
      </x:c>
      <x:c r="K96" s="57" t="n">
        <x:v>6</x:v>
      </x:c>
      <x:c r="L96" s="57" t="n">
        <x:v>4</x:v>
      </x:c>
      <x:c r="M96" s="57" t="n">
        <x:v>7</x:v>
      </x:c>
      <x:c r="N96" s="57" t="n">
        <x:v>5</x:v>
      </x:c>
      <x:c r="O96" s="57"/>
      <x:c r="P96" s="57"/>
      <x:c r="Q96" s="57"/>
      <x:c r="R96" s="57"/>
      <x:c r="S96" s="57" t="str">
        <x:v>C.M. Evert</x:v>
      </x:c>
      <x:c r="T96" s="57" t="str">
        <x:v>USA</x:v>
      </x:c>
      <x:c r="U96" s="57" t="str">
        <x:v>United States</x:v>
      </x:c>
      <x:c r="V96" s="57" t="n">
        <x:v>1</x:v>
      </x:c>
      <x:c r="W96" s="57" t="n">
        <x:v>3</x:v>
      </x:c>
      <x:c r="X96" s="57" t="n">
        <x:v>30</x:v>
      </x:c>
      <x:c r="Y96" s="57" t="str">
        <x:v>Completed</x:v>
      </x:c>
      <x:c r="Z96" s="57" t="str">
        <x:v>Recorded</x:v>
      </x:c>
      <x:c r="AA96" s="57" t="n">
        <x:v>9</x:v>
      </x:c>
      <x:c r="AB96" s="57" t="str">
        <x:v>Yes</x:v>
      </x:c>
      <x:c r="AC96" s="57" t="str">
        <x:v>1970s</x:v>
      </x:c>
      <x:c r="AD96" s="57" t="str">
        <x:v>Seeded</x:v>
      </x:c>
      <x:c r="AE96" s="58" t="str">
        <x:v>Seeded</x:v>
      </x:c>
    </x:row>
    <x:row r="97">
      <x:c r="A97" s="56" t="n">
        <x:v>1978</x:v>
      </x:c>
      <x:c r="B97" s="57" t="str">
        <x:v>Men's</x:v>
      </x:c>
      <x:c r="C97" s="57" t="str">
        <x:v>B.R. Borg</x:v>
      </x:c>
      <x:c r="D97" s="57" t="str">
        <x:v>SWE</x:v>
      </x:c>
      <x:c r="E97" s="57" t="str">
        <x:v>Sweden</x:v>
      </x:c>
      <x:c r="F97" s="57" t="n">
        <x:v>1</x:v>
      </x:c>
      <x:c r="G97" s="57" t="n">
        <x:v>108</x:v>
      </x:c>
      <x:c r="H97" s="57" t="str">
        <x:v>6-2, 6-2, 6-3</x:v>
      </x:c>
      <x:c r="I97" s="57" t="n">
        <x:v>6</x:v>
      </x:c>
      <x:c r="J97" s="57" t="n">
        <x:v>2</x:v>
      </x:c>
      <x:c r="K97" s="57" t="n">
        <x:v>6</x:v>
      </x:c>
      <x:c r="L97" s="57" t="n">
        <x:v>2</x:v>
      </x:c>
      <x:c r="M97" s="57" t="n">
        <x:v>6</x:v>
      </x:c>
      <x:c r="N97" s="57" t="n">
        <x:v>3</x:v>
      </x:c>
      <x:c r="O97" s="57"/>
      <x:c r="P97" s="57"/>
      <x:c r="Q97" s="57"/>
      <x:c r="R97" s="57"/>
      <x:c r="S97" s="57" t="str">
        <x:v>J.S. Connors</x:v>
      </x:c>
      <x:c r="T97" s="57" t="str">
        <x:v>USA</x:v>
      </x:c>
      <x:c r="U97" s="57" t="str">
        <x:v>United States</x:v>
      </x:c>
      <x:c r="V97" s="57" t="n">
        <x:v>2</x:v>
      </x:c>
      <x:c r="W97" s="57" t="n">
        <x:v>3</x:v>
      </x:c>
      <x:c r="X97" s="57" t="n">
        <x:v>25</x:v>
      </x:c>
      <x:c r="Y97" s="57" t="str">
        <x:v>Completed</x:v>
      </x:c>
      <x:c r="Z97" s="57" t="str">
        <x:v>Recorded</x:v>
      </x:c>
      <x:c r="AA97" s="57" t="n">
        <x:v>5</x:v>
      </x:c>
      <x:c r="AB97" s="57" t="str">
        <x:v>Yes</x:v>
      </x:c>
      <x:c r="AC97" s="57" t="str">
        <x:v>1970s</x:v>
      </x:c>
      <x:c r="AD97" s="57" t="str">
        <x:v>Seeded</x:v>
      </x:c>
      <x:c r="AE97" s="58" t="str">
        <x:v>Seeded</x:v>
      </x:c>
    </x:row>
    <x:row r="98">
      <x:c r="A98" s="56" t="n">
        <x:v>1977</x:v>
      </x:c>
      <x:c r="B98" s="57" t="str">
        <x:v>Women's</x:v>
      </x:c>
      <x:c r="C98" s="57" t="str">
        <x:v>S.V. Wade</x:v>
      </x:c>
      <x:c r="D98" s="57" t="str">
        <x:v>GBR</x:v>
      </x:c>
      <x:c r="E98" s="57" t="str">
        <x:v>United Kingdom</x:v>
      </x:c>
      <x:c r="F98" s="57" t="n">
        <x:v>3</x:v>
      </x:c>
      <x:c r="G98" s="57" t="n">
        <x:v>98</x:v>
      </x:c>
      <x:c r="H98" s="57" t="str">
        <x:v>4-6, 6-3, 6-1,</x:v>
      </x:c>
      <x:c r="I98" s="57" t="n">
        <x:v>4</x:v>
      </x:c>
      <x:c r="J98" s="57" t="n">
        <x:v>6</x:v>
      </x:c>
      <x:c r="K98" s="57" t="n">
        <x:v>6</x:v>
      </x:c>
      <x:c r="L98" s="57" t="n">
        <x:v>3</x:v>
      </x:c>
      <x:c r="M98" s="57" t="n">
        <x:v>6</x:v>
      </x:c>
      <x:c r="N98" s="57" t="n">
        <x:v>1</x:v>
      </x:c>
      <x:c r="O98" s="57"/>
      <x:c r="P98" s="57"/>
      <x:c r="Q98" s="57"/>
      <x:c r="R98" s="57"/>
      <x:c r="S98" s="57" t="str">
        <x:v>B.F. Stove</x:v>
      </x:c>
      <x:c r="T98" s="57" t="str">
        <x:v>NED</x:v>
      </x:c>
      <x:c r="U98" s="57" t="str">
        <x:v>Netherlands</x:v>
      </x:c>
      <x:c r="V98" s="57" t="n">
        <x:v>7</x:v>
      </x:c>
      <x:c r="W98" s="57" t="n">
        <x:v>3</x:v>
      </x:c>
      <x:c r="X98" s="57" t="n">
        <x:v>26</x:v>
      </x:c>
      <x:c r="Y98" s="57" t="str">
        <x:v>Completed</x:v>
      </x:c>
      <x:c r="Z98" s="57" t="str">
        <x:v>Recorded</x:v>
      </x:c>
      <x:c r="AA98" s="57" t="n">
        <x:v>1</x:v>
      </x:c>
      <x:c r="AB98" s="57" t="str">
        <x:v>No</x:v>
      </x:c>
      <x:c r="AC98" s="57" t="str">
        <x:v>1970s</x:v>
      </x:c>
      <x:c r="AD98" s="57" t="str">
        <x:v>Seeded</x:v>
      </x:c>
      <x:c r="AE98" s="58" t="str">
        <x:v>Seeded</x:v>
      </x:c>
    </x:row>
    <x:row r="99">
      <x:c r="A99" s="56" t="n">
        <x:v>1977</x:v>
      </x:c>
      <x:c r="B99" s="57" t="str">
        <x:v>Men's</x:v>
      </x:c>
      <x:c r="C99" s="57" t="str">
        <x:v>B.R. Borg</x:v>
      </x:c>
      <x:c r="D99" s="57" t="str">
        <x:v>SWE</x:v>
      </x:c>
      <x:c r="E99" s="57" t="str">
        <x:v>Sweden</x:v>
      </x:c>
      <x:c r="F99" s="57" t="n">
        <x:v>2</x:v>
      </x:c>
      <x:c r="G99" s="57" t="n">
        <x:v>194</x:v>
      </x:c>
      <x:c r="H99" s="57" t="str">
        <x:v>3-6, 6-2, 6-1, 5-7, 6-4</x:v>
      </x:c>
      <x:c r="I99" s="57" t="n">
        <x:v>3</x:v>
      </x:c>
      <x:c r="J99" s="57" t="n">
        <x:v>6</x:v>
      </x:c>
      <x:c r="K99" s="57" t="n">
        <x:v>6</x:v>
      </x:c>
      <x:c r="L99" s="57" t="n">
        <x:v>2</x:v>
      </x:c>
      <x:c r="M99" s="57" t="n">
        <x:v>6</x:v>
      </x:c>
      <x:c r="N99" s="57" t="n">
        <x:v>1</x:v>
      </x:c>
      <x:c r="O99" s="57" t="n">
        <x:v>5</x:v>
      </x:c>
      <x:c r="P99" s="57" t="n">
        <x:v>7</x:v>
      </x:c>
      <x:c r="Q99" s="57" t="n">
        <x:v>6</x:v>
      </x:c>
      <x:c r="R99" s="57" t="n">
        <x:v>4</x:v>
      </x:c>
      <x:c r="S99" s="57" t="str">
        <x:v>J.S. Connors</x:v>
      </x:c>
      <x:c r="T99" s="57" t="str">
        <x:v>USA</x:v>
      </x:c>
      <x:c r="U99" s="57" t="str">
        <x:v>United States</x:v>
      </x:c>
      <x:c r="V99" s="57" t="n">
        <x:v>1</x:v>
      </x:c>
      <x:c r="W99" s="57" t="n">
        <x:v>5</x:v>
      </x:c>
      <x:c r="X99" s="57" t="n">
        <x:v>46</x:v>
      </x:c>
      <x:c r="Y99" s="57" t="str">
        <x:v>Completed</x:v>
      </x:c>
      <x:c r="Z99" s="57" t="str">
        <x:v>Recorded</x:v>
      </x:c>
      <x:c r="AA99" s="57" t="n">
        <x:v>5</x:v>
      </x:c>
      <x:c r="AB99" s="57" t="str">
        <x:v>Yes</x:v>
      </x:c>
      <x:c r="AC99" s="57" t="str">
        <x:v>1970s</x:v>
      </x:c>
      <x:c r="AD99" s="57" t="str">
        <x:v>Seeded</x:v>
      </x:c>
      <x:c r="AE99" s="58" t="str">
        <x:v>Seeded</x:v>
      </x:c>
    </x:row>
    <x:row r="100">
      <x:c r="A100" s="56" t="n">
        <x:v>1976</x:v>
      </x:c>
      <x:c r="B100" s="57" t="str">
        <x:v>Women's</x:v>
      </x:c>
      <x:c r="C100" s="57" t="str">
        <x:v>C.M. Evert</x:v>
      </x:c>
      <x:c r="D100" s="57" t="str">
        <x:v>USA</x:v>
      </x:c>
      <x:c r="E100" s="57" t="str">
        <x:v>United States</x:v>
      </x:c>
      <x:c r="F100" s="57" t="n">
        <x:v>1</x:v>
      </x:c>
      <x:c r="G100" s="57" t="n">
        <x:v>120</x:v>
      </x:c>
      <x:c r="H100" s="57" t="str">
        <x:v>6-3, 4-6, 8-6,</x:v>
      </x:c>
      <x:c r="I100" s="57" t="n">
        <x:v>6</x:v>
      </x:c>
      <x:c r="J100" s="57" t="n">
        <x:v>3</x:v>
      </x:c>
      <x:c r="K100" s="57" t="n">
        <x:v>4</x:v>
      </x:c>
      <x:c r="L100" s="57" t="n">
        <x:v>6</x:v>
      </x:c>
      <x:c r="M100" s="57" t="n">
        <x:v>8</x:v>
      </x:c>
      <x:c r="N100" s="57" t="n">
        <x:v>6</x:v>
      </x:c>
      <x:c r="O100" s="57"/>
      <x:c r="P100" s="57"/>
      <x:c r="Q100" s="57"/>
      <x:c r="R100" s="57"/>
      <x:c r="S100" s="57" t="str">
        <x:v>R.A. Cawley</x:v>
      </x:c>
      <x:c r="T100" s="57" t="str">
        <x:v>AUS</x:v>
      </x:c>
      <x:c r="U100" s="57" t="str">
        <x:v>Australia</x:v>
      </x:c>
      <x:c r="V100" s="57" t="n">
        <x:v>2</x:v>
      </x:c>
      <x:c r="W100" s="57" t="n">
        <x:v>3</x:v>
      </x:c>
      <x:c r="X100" s="57" t="n">
        <x:v>33</x:v>
      </x:c>
      <x:c r="Y100" s="57" t="str">
        <x:v>Completed</x:v>
      </x:c>
      <x:c r="Z100" s="57" t="str">
        <x:v>Recorded</x:v>
      </x:c>
      <x:c r="AA100" s="57" t="n">
        <x:v>2</x:v>
      </x:c>
      <x:c r="AB100" s="57" t="str">
        <x:v>No</x:v>
      </x:c>
      <x:c r="AC100" s="57" t="str">
        <x:v>1970s</x:v>
      </x:c>
      <x:c r="AD100" s="57" t="str">
        <x:v>Seeded</x:v>
      </x:c>
      <x:c r="AE100" s="58" t="str">
        <x:v>Seeded</x:v>
      </x:c>
    </x:row>
    <x:row r="101">
      <x:c r="A101" s="56" t="n">
        <x:v>1976</x:v>
      </x:c>
      <x:c r="B101" s="57" t="str">
        <x:v>Men's</x:v>
      </x:c>
      <x:c r="C101" s="57" t="str">
        <x:v>B.R. Borg</x:v>
      </x:c>
      <x:c r="D101" s="57" t="str">
        <x:v>SWE</x:v>
      </x:c>
      <x:c r="E101" s="57" t="str">
        <x:v>Sweden</x:v>
      </x:c>
      <x:c r="F101" s="57" t="n">
        <x:v>4</x:v>
      </x:c>
      <x:c r="G101" s="57" t="n">
        <x:v>110</x:v>
      </x:c>
      <x:c r="H101" s="57" t="str">
        <x:v>6-4, 6-2, 9-7</x:v>
      </x:c>
      <x:c r="I101" s="57" t="n">
        <x:v>6</x:v>
      </x:c>
      <x:c r="J101" s="57" t="n">
        <x:v>4</x:v>
      </x:c>
      <x:c r="K101" s="57" t="n">
        <x:v>6</x:v>
      </x:c>
      <x:c r="L101" s="57" t="n">
        <x:v>2</x:v>
      </x:c>
      <x:c r="M101" s="57" t="n">
        <x:v>9</x:v>
      </x:c>
      <x:c r="N101" s="57" t="n">
        <x:v>7</x:v>
      </x:c>
      <x:c r="O101" s="57"/>
      <x:c r="P101" s="57"/>
      <x:c r="Q101" s="57"/>
      <x:c r="R101" s="57"/>
      <x:c r="S101" s="57" t="str">
        <x:v>I. Nastase</x:v>
      </x:c>
      <x:c r="T101" s="57" t="str">
        <x:v>ROM</x:v>
      </x:c>
      <x:c r="U101" s="57" t="str">
        <x:v>Romania</x:v>
      </x:c>
      <x:c r="V101" s="57" t="n">
        <x:v>3</x:v>
      </x:c>
      <x:c r="W101" s="57" t="n">
        <x:v>3</x:v>
      </x:c>
      <x:c r="X101" s="57" t="n">
        <x:v>34</x:v>
      </x:c>
      <x:c r="Y101" s="57" t="str">
        <x:v>Completed</x:v>
      </x:c>
      <x:c r="Z101" s="57" t="str">
        <x:v>Recorded</x:v>
      </x:c>
      <x:c r="AA101" s="57" t="n">
        <x:v>5</x:v>
      </x:c>
      <x:c r="AB101" s="57" t="str">
        <x:v>Yes</x:v>
      </x:c>
      <x:c r="AC101" s="57" t="str">
        <x:v>1970s</x:v>
      </x:c>
      <x:c r="AD101" s="57" t="str">
        <x:v>Seeded</x:v>
      </x:c>
      <x:c r="AE101" s="58" t="str">
        <x:v>Seeded</x:v>
      </x:c>
    </x:row>
    <x:row r="102">
      <x:c r="A102" s="56" t="n">
        <x:v>1975</x:v>
      </x:c>
      <x:c r="B102" s="57" t="str">
        <x:v>Women's</x:v>
      </x:c>
      <x:c r="C102" s="57" t="str">
        <x:v>L.W. King</x:v>
      </x:c>
      <x:c r="D102" s="57" t="str">
        <x:v>USA</x:v>
      </x:c>
      <x:c r="E102" s="57" t="str">
        <x:v>United States</x:v>
      </x:c>
      <x:c r="F102" s="57" t="n">
        <x:v>3</x:v>
      </x:c>
      <x:c r="G102" s="57" t="n">
        <x:v>38</x:v>
      </x:c>
      <x:c r="H102" s="57" t="str">
        <x:v>6-0, 6-1,</x:v>
      </x:c>
      <x:c r="I102" s="57" t="n">
        <x:v>6</x:v>
      </x:c>
      <x:c r="J102" s="57" t="n">
        <x:v>0</x:v>
      </x:c>
      <x:c r="K102" s="57" t="n">
        <x:v>6</x:v>
      </x:c>
      <x:c r="L102" s="57" t="n">
        <x:v>1</x:v>
      </x:c>
      <x:c r="M102" s="57"/>
      <x:c r="N102" s="57"/>
      <x:c r="O102" s="57"/>
      <x:c r="P102" s="57"/>
      <x:c r="Q102" s="57"/>
      <x:c r="R102" s="57"/>
      <x:c r="S102" s="57" t="str">
        <x:v>R.A. Cawley</x:v>
      </x:c>
      <x:c r="T102" s="57" t="str">
        <x:v>AUS</x:v>
      </x:c>
      <x:c r="U102" s="57" t="str">
        <x:v>Australia</x:v>
      </x:c>
      <x:c r="V102" s="57" t="n">
        <x:v>4</x:v>
      </x:c>
      <x:c r="W102" s="57" t="n">
        <x:v>2</x:v>
      </x:c>
      <x:c r="X102" s="57" t="n">
        <x:v>13</x:v>
      </x:c>
      <x:c r="Y102" s="57" t="str">
        <x:v>Completed</x:v>
      </x:c>
      <x:c r="Z102" s="57" t="str">
        <x:v>Recorded</x:v>
      </x:c>
      <x:c r="AA102" s="57" t="n">
        <x:v>6</x:v>
      </x:c>
      <x:c r="AB102" s="57" t="str">
        <x:v>Yes</x:v>
      </x:c>
      <x:c r="AC102" s="57" t="str">
        <x:v>1970s</x:v>
      </x:c>
      <x:c r="AD102" s="57" t="str">
        <x:v>Seeded</x:v>
      </x:c>
      <x:c r="AE102" s="58" t="str">
        <x:v>Seeded</x:v>
      </x:c>
    </x:row>
    <x:row r="103">
      <x:c r="A103" s="56" t="n">
        <x:v>1975</x:v>
      </x:c>
      <x:c r="B103" s="57" t="str">
        <x:v>Men's</x:v>
      </x:c>
      <x:c r="C103" s="57" t="str">
        <x:v>A.R. Ashe</x:v>
      </x:c>
      <x:c r="D103" s="57" t="str">
        <x:v>USA</x:v>
      </x:c>
      <x:c r="E103" s="57" t="str">
        <x:v>United States</x:v>
      </x:c>
      <x:c r="F103" s="57" t="n">
        <x:v>6</x:v>
      </x:c>
      <x:c r="G103" s="57" t="n">
        <x:v>125</x:v>
      </x:c>
      <x:c r="H103" s="57" t="str">
        <x:v>6-1, 6-1, 5-7, 6-4</x:v>
      </x:c>
      <x:c r="I103" s="57" t="n">
        <x:v>6</x:v>
      </x:c>
      <x:c r="J103" s="57" t="n">
        <x:v>1</x:v>
      </x:c>
      <x:c r="K103" s="57" t="n">
        <x:v>6</x:v>
      </x:c>
      <x:c r="L103" s="57" t="n">
        <x:v>1</x:v>
      </x:c>
      <x:c r="M103" s="57" t="n">
        <x:v>5</x:v>
      </x:c>
      <x:c r="N103" s="57" t="n">
        <x:v>7</x:v>
      </x:c>
      <x:c r="O103" s="57" t="n">
        <x:v>6</x:v>
      </x:c>
      <x:c r="P103" s="57" t="n">
        <x:v>4</x:v>
      </x:c>
      <x:c r="Q103" s="57"/>
      <x:c r="R103" s="57"/>
      <x:c r="S103" s="57" t="str">
        <x:v>J.S. Connors</x:v>
      </x:c>
      <x:c r="T103" s="57" t="str">
        <x:v>USA</x:v>
      </x:c>
      <x:c r="U103" s="57" t="str">
        <x:v>United States</x:v>
      </x:c>
      <x:c r="V103" s="57" t="n">
        <x:v>1</x:v>
      </x:c>
      <x:c r="W103" s="57" t="n">
        <x:v>4</x:v>
      </x:c>
      <x:c r="X103" s="57" t="n">
        <x:v>36</x:v>
      </x:c>
      <x:c r="Y103" s="57" t="str">
        <x:v>Completed</x:v>
      </x:c>
      <x:c r="Z103" s="57" t="str">
        <x:v>Recorded</x:v>
      </x:c>
      <x:c r="AA103" s="57" t="n">
        <x:v>1</x:v>
      </x:c>
      <x:c r="AB103" s="57" t="str">
        <x:v>No</x:v>
      </x:c>
      <x:c r="AC103" s="57" t="str">
        <x:v>1970s</x:v>
      </x:c>
      <x:c r="AD103" s="57" t="str">
        <x:v>Seeded</x:v>
      </x:c>
      <x:c r="AE103" s="58" t="str">
        <x:v>Seeded</x:v>
      </x:c>
    </x:row>
    <x:row r="104">
      <x:c r="A104" s="56" t="n">
        <x:v>1974</x:v>
      </x:c>
      <x:c r="B104" s="57" t="str">
        <x:v>Women's</x:v>
      </x:c>
      <x:c r="C104" s="57" t="str">
        <x:v>C.M. Evert</x:v>
      </x:c>
      <x:c r="D104" s="57" t="str">
        <x:v>USA</x:v>
      </x:c>
      <x:c r="E104" s="57" t="str">
        <x:v>United States</x:v>
      </x:c>
      <x:c r="F104" s="57" t="n">
        <x:v>2</x:v>
      </x:c>
      <x:c r="G104" s="57" t="n">
        <x:v>59</x:v>
      </x:c>
      <x:c r="H104" s="57" t="str">
        <x:v>6-0, 6-4</x:v>
      </x:c>
      <x:c r="I104" s="57" t="n">
        <x:v>6</x:v>
      </x:c>
      <x:c r="J104" s="57" t="n">
        <x:v>0</x:v>
      </x:c>
      <x:c r="K104" s="57" t="n">
        <x:v>6</x:v>
      </x:c>
      <x:c r="L104" s="57" t="n">
        <x:v>4</x:v>
      </x:c>
      <x:c r="M104" s="57"/>
      <x:c r="N104" s="57"/>
      <x:c r="O104" s="57"/>
      <x:c r="P104" s="57"/>
      <x:c r="Q104" s="57"/>
      <x:c r="R104" s="57"/>
      <x:c r="S104" s="57" t="str">
        <x:v>O.V. Morozova</x:v>
      </x:c>
      <x:c r="T104" s="57" t="str">
        <x:v>URS</x:v>
      </x:c>
      <x:c r="U104" s="57" t="str">
        <x:v>Soviet Union</x:v>
      </x:c>
      <x:c r="V104" s="57" t="n">
        <x:v>8</x:v>
      </x:c>
      <x:c r="W104" s="57" t="n">
        <x:v>2</x:v>
      </x:c>
      <x:c r="X104" s="57" t="n">
        <x:v>16</x:v>
      </x:c>
      <x:c r="Y104" s="57" t="str">
        <x:v>Completed</x:v>
      </x:c>
      <x:c r="Z104" s="57" t="str">
        <x:v>Recorded</x:v>
      </x:c>
      <x:c r="AA104" s="57" t="n">
        <x:v>2</x:v>
      </x:c>
      <x:c r="AB104" s="57" t="str">
        <x:v>No</x:v>
      </x:c>
      <x:c r="AC104" s="57" t="str">
        <x:v>1970s</x:v>
      </x:c>
      <x:c r="AD104" s="57" t="str">
        <x:v>Seeded</x:v>
      </x:c>
      <x:c r="AE104" s="58" t="str">
        <x:v>Seeded</x:v>
      </x:c>
    </x:row>
    <x:row r="105">
      <x:c r="A105" s="56" t="n">
        <x:v>1974</x:v>
      </x:c>
      <x:c r="B105" s="57" t="str">
        <x:v>Men's</x:v>
      </x:c>
      <x:c r="C105" s="57" t="str">
        <x:v>J.S. Connors</x:v>
      </x:c>
      <x:c r="D105" s="57" t="str">
        <x:v>USA</x:v>
      </x:c>
      <x:c r="E105" s="57" t="str">
        <x:v>United States</x:v>
      </x:c>
      <x:c r="F105" s="57" t="n">
        <x:v>3</x:v>
      </x:c>
      <x:c r="G105" s="57" t="n">
        <x:v>93</x:v>
      </x:c>
      <x:c r="H105" s="57" t="str">
        <x:v>6-1, 6-1, 6-4</x:v>
      </x:c>
      <x:c r="I105" s="57" t="n">
        <x:v>6</x:v>
      </x:c>
      <x:c r="J105" s="57" t="n">
        <x:v>1</x:v>
      </x:c>
      <x:c r="K105" s="57" t="n">
        <x:v>6</x:v>
      </x:c>
      <x:c r="L105" s="57" t="n">
        <x:v>1</x:v>
      </x:c>
      <x:c r="M105" s="57" t="n">
        <x:v>6</x:v>
      </x:c>
      <x:c r="N105" s="57" t="n">
        <x:v>4</x:v>
      </x:c>
      <x:c r="O105" s="57"/>
      <x:c r="P105" s="57"/>
      <x:c r="Q105" s="57"/>
      <x:c r="R105" s="57"/>
      <x:c r="S105" s="57" t="str">
        <x:v>K.R. Rosewall</x:v>
      </x:c>
      <x:c r="T105" s="57" t="str">
        <x:v>AUS</x:v>
      </x:c>
      <x:c r="U105" s="57" t="str">
        <x:v>Australia</x:v>
      </x:c>
      <x:c r="V105" s="57" t="n">
        <x:v>9</x:v>
      </x:c>
      <x:c r="W105" s="57" t="n">
        <x:v>3</x:v>
      </x:c>
      <x:c r="X105" s="57" t="n">
        <x:v>24</x:v>
      </x:c>
      <x:c r="Y105" s="57" t="str">
        <x:v>Completed</x:v>
      </x:c>
      <x:c r="Z105" s="57" t="str">
        <x:v>Recorded</x:v>
      </x:c>
      <x:c r="AA105" s="57" t="n">
        <x:v>2</x:v>
      </x:c>
      <x:c r="AB105" s="57" t="str">
        <x:v>No</x:v>
      </x:c>
      <x:c r="AC105" s="57" t="str">
        <x:v>1970s</x:v>
      </x:c>
      <x:c r="AD105" s="57" t="str">
        <x:v>Seeded</x:v>
      </x:c>
      <x:c r="AE105" s="58" t="str">
        <x:v>Seeded</x:v>
      </x:c>
    </x:row>
    <x:row r="106">
      <x:c r="A106" s="56" t="n">
        <x:v>1973</x:v>
      </x:c>
      <x:c r="B106" s="57" t="str">
        <x:v>Women's</x:v>
      </x:c>
      <x:c r="C106" s="57" t="str">
        <x:v>L.W. King</x:v>
      </x:c>
      <x:c r="D106" s="57" t="str">
        <x:v>USA</x:v>
      </x:c>
      <x:c r="E106" s="57" t="str">
        <x:v>United States</x:v>
      </x:c>
      <x:c r="F106" s="57" t="n">
        <x:v>2</x:v>
      </x:c>
      <x:c r="G106" s="57" t="n">
        <x:v>53</x:v>
      </x:c>
      <x:c r="H106" s="57" t="str">
        <x:v>6-0, 7-5</x:v>
      </x:c>
      <x:c r="I106" s="57" t="n">
        <x:v>6</x:v>
      </x:c>
      <x:c r="J106" s="57" t="n">
        <x:v>0</x:v>
      </x:c>
      <x:c r="K106" s="57" t="n">
        <x:v>7</x:v>
      </x:c>
      <x:c r="L106" s="57" t="n">
        <x:v>5</x:v>
      </x:c>
      <x:c r="M106" s="57"/>
      <x:c r="N106" s="57"/>
      <x:c r="O106" s="57"/>
      <x:c r="P106" s="57"/>
      <x:c r="Q106" s="57"/>
      <x:c r="R106" s="57"/>
      <x:c r="S106" s="57" t="str">
        <x:v>C.M. Evert</x:v>
      </x:c>
      <x:c r="T106" s="57" t="str">
        <x:v>USA</x:v>
      </x:c>
      <x:c r="U106" s="57" t="str">
        <x:v>United States</x:v>
      </x:c>
      <x:c r="V106" s="57" t="n">
        <x:v>4</x:v>
      </x:c>
      <x:c r="W106" s="57" t="n">
        <x:v>2</x:v>
      </x:c>
      <x:c r="X106" s="57" t="n">
        <x:v>18</x:v>
      </x:c>
      <x:c r="Y106" s="57" t="str">
        <x:v>Completed</x:v>
      </x:c>
      <x:c r="Z106" s="57" t="str">
        <x:v>Recorded</x:v>
      </x:c>
      <x:c r="AA106" s="57" t="n">
        <x:v>6</x:v>
      </x:c>
      <x:c r="AB106" s="57" t="str">
        <x:v>Yes</x:v>
      </x:c>
      <x:c r="AC106" s="57" t="str">
        <x:v>1970s</x:v>
      </x:c>
      <x:c r="AD106" s="57" t="str">
        <x:v>Seeded</x:v>
      </x:c>
      <x:c r="AE106" s="58" t="str">
        <x:v>Seeded</x:v>
      </x:c>
    </x:row>
    <x:row r="107">
      <x:c r="A107" s="56" t="n">
        <x:v>1973</x:v>
      </x:c>
      <x:c r="B107" s="57" t="str">
        <x:v>Men's</x:v>
      </x:c>
      <x:c r="C107" s="57" t="str">
        <x:v>J. Kodes</x:v>
      </x:c>
      <x:c r="D107" s="57" t="str">
        <x:v>CZE</x:v>
      </x:c>
      <x:c r="E107" s="57" t="str">
        <x:v>Czechia</x:v>
      </x:c>
      <x:c r="F107" s="57" t="n">
        <x:v>2</x:v>
      </x:c>
      <x:c r="G107" s="57" t="n">
        <x:v>110</x:v>
      </x:c>
      <x:c r="H107" s="57" t="str">
        <x:v>6-1, 9-8(7-5), 6-3</x:v>
      </x:c>
      <x:c r="I107" s="57" t="n">
        <x:v>6</x:v>
      </x:c>
      <x:c r="J107" s="57" t="n">
        <x:v>1</x:v>
      </x:c>
      <x:c r="K107" s="57" t="n">
        <x:v>9</x:v>
      </x:c>
      <x:c r="L107" s="57" t="n">
        <x:v>8</x:v>
      </x:c>
      <x:c r="M107" s="57" t="n">
        <x:v>6</x:v>
      </x:c>
      <x:c r="N107" s="57" t="n">
        <x:v>3</x:v>
      </x:c>
      <x:c r="O107" s="57"/>
      <x:c r="P107" s="57"/>
      <x:c r="Q107" s="57"/>
      <x:c r="R107" s="57"/>
      <x:c r="S107" s="57" t="str">
        <x:v>A. Metreveli</x:v>
      </x:c>
      <x:c r="T107" s="57" t="str">
        <x:v>URS</x:v>
      </x:c>
      <x:c r="U107" s="57" t="str">
        <x:v>Soviet Union</x:v>
      </x:c>
      <x:c r="V107" s="57" t="n">
        <x:v>4</x:v>
      </x:c>
      <x:c r="W107" s="57" t="n">
        <x:v>3</x:v>
      </x:c>
      <x:c r="X107" s="57" t="n">
        <x:v>33</x:v>
      </x:c>
      <x:c r="Y107" s="57" t="str">
        <x:v>Completed</x:v>
      </x:c>
      <x:c r="Z107" s="57" t="str">
        <x:v>Recorded</x:v>
      </x:c>
      <x:c r="AA107" s="57" t="n">
        <x:v>1</x:v>
      </x:c>
      <x:c r="AB107" s="57" t="str">
        <x:v>No</x:v>
      </x:c>
      <x:c r="AC107" s="57" t="str">
        <x:v>1970s</x:v>
      </x:c>
      <x:c r="AD107" s="57" t="str">
        <x:v>Seeded</x:v>
      </x:c>
      <x:c r="AE107" s="58" t="str">
        <x:v>Seeded</x:v>
      </x:c>
    </x:row>
    <x:row r="108">
      <x:c r="A108" s="56" t="n">
        <x:v>1972</x:v>
      </x:c>
      <x:c r="B108" s="57" t="str">
        <x:v>Women's</x:v>
      </x:c>
      <x:c r="C108" s="57" t="str">
        <x:v>L.W. King</x:v>
      </x:c>
      <x:c r="D108" s="57" t="str">
        <x:v>USA</x:v>
      </x:c>
      <x:c r="E108" s="57" t="str">
        <x:v>United States</x:v>
      </x:c>
      <x:c r="F108" s="57" t="n">
        <x:v>2</x:v>
      </x:c>
      <x:c r="G108" s="57" t="n">
        <x:v>50</x:v>
      </x:c>
      <x:c r="H108" s="57" t="str">
        <x:v>6-3, 6-3,</x:v>
      </x:c>
      <x:c r="I108" s="57" t="n">
        <x:v>6</x:v>
      </x:c>
      <x:c r="J108" s="57" t="n">
        <x:v>3</x:v>
      </x:c>
      <x:c r="K108" s="57" t="n">
        <x:v>6</x:v>
      </x:c>
      <x:c r="L108" s="57" t="n">
        <x:v>3</x:v>
      </x:c>
      <x:c r="M108" s="57"/>
      <x:c r="N108" s="57"/>
      <x:c r="O108" s="57"/>
      <x:c r="P108" s="57"/>
      <x:c r="Q108" s="57"/>
      <x:c r="R108" s="57"/>
      <x:c r="S108" s="57" t="str">
        <x:v>E.F. Goolagong</x:v>
      </x:c>
      <x:c r="T108" s="57" t="str">
        <x:v>AUS</x:v>
      </x:c>
      <x:c r="U108" s="57" t="str">
        <x:v>Australia</x:v>
      </x:c>
      <x:c r="V108" s="57" t="n">
        <x:v>1</x:v>
      </x:c>
      <x:c r="W108" s="57" t="n">
        <x:v>2</x:v>
      </x:c>
      <x:c r="X108" s="57" t="n">
        <x:v>18</x:v>
      </x:c>
      <x:c r="Y108" s="57" t="str">
        <x:v>Completed</x:v>
      </x:c>
      <x:c r="Z108" s="57" t="str">
        <x:v>Recorded</x:v>
      </x:c>
      <x:c r="AA108" s="57" t="n">
        <x:v>6</x:v>
      </x:c>
      <x:c r="AB108" s="57" t="str">
        <x:v>Yes</x:v>
      </x:c>
      <x:c r="AC108" s="57" t="str">
        <x:v>1970s</x:v>
      </x:c>
      <x:c r="AD108" s="57" t="str">
        <x:v>Seeded</x:v>
      </x:c>
      <x:c r="AE108" s="58" t="str">
        <x:v>Seeded</x:v>
      </x:c>
    </x:row>
    <x:row r="109">
      <x:c r="A109" s="56" t="n">
        <x:v>1972</x:v>
      </x:c>
      <x:c r="B109" s="57" t="str">
        <x:v>Men's</x:v>
      </x:c>
      <x:c r="C109" s="57" t="str">
        <x:v>S.R. Smith</x:v>
      </x:c>
      <x:c r="D109" s="57" t="str">
        <x:v>USA</x:v>
      </x:c>
      <x:c r="E109" s="57" t="str">
        <x:v>United States</x:v>
      </x:c>
      <x:c r="F109" s="57" t="n">
        <x:v>1</x:v>
      </x:c>
      <x:c r="G109" s="57" t="n">
        <x:v>161</x:v>
      </x:c>
      <x:c r="H109" s="57" t="str">
        <x:v>4-6, 6-3, 6-3, 4-6, 7-5</x:v>
      </x:c>
      <x:c r="I109" s="57" t="n">
        <x:v>4</x:v>
      </x:c>
      <x:c r="J109" s="57" t="n">
        <x:v>6</x:v>
      </x:c>
      <x:c r="K109" s="57" t="n">
        <x:v>6</x:v>
      </x:c>
      <x:c r="L109" s="57" t="n">
        <x:v>3</x:v>
      </x:c>
      <x:c r="M109" s="57" t="n">
        <x:v>6</x:v>
      </x:c>
      <x:c r="N109" s="57" t="n">
        <x:v>3</x:v>
      </x:c>
      <x:c r="O109" s="57" t="n">
        <x:v>4</x:v>
      </x:c>
      <x:c r="P109" s="57" t="n">
        <x:v>6</x:v>
      </x:c>
      <x:c r="Q109" s="57" t="n">
        <x:v>7</x:v>
      </x:c>
      <x:c r="R109" s="57" t="n">
        <x:v>5</x:v>
      </x:c>
      <x:c r="S109" s="57" t="str">
        <x:v>I. Nastase</x:v>
      </x:c>
      <x:c r="T109" s="57" t="str">
        <x:v>ROM</x:v>
      </x:c>
      <x:c r="U109" s="57" t="str">
        <x:v>Romania</x:v>
      </x:c>
      <x:c r="V109" s="57" t="n">
        <x:v>2</x:v>
      </x:c>
      <x:c r="W109" s="57" t="n">
        <x:v>5</x:v>
      </x:c>
      <x:c r="X109" s="57" t="n">
        <x:v>50</x:v>
      </x:c>
      <x:c r="Y109" s="57" t="str">
        <x:v>Completed</x:v>
      </x:c>
      <x:c r="Z109" s="57" t="str">
        <x:v>Recorded</x:v>
      </x:c>
      <x:c r="AA109" s="57" t="n">
        <x:v>1</x:v>
      </x:c>
      <x:c r="AB109" s="57" t="str">
        <x:v>No</x:v>
      </x:c>
      <x:c r="AC109" s="57" t="str">
        <x:v>1970s</x:v>
      </x:c>
      <x:c r="AD109" s="57" t="str">
        <x:v>Seeded</x:v>
      </x:c>
      <x:c r="AE109" s="58" t="str">
        <x:v>Seeded</x:v>
      </x:c>
    </x:row>
    <x:row r="110">
      <x:c r="A110" s="56" t="n">
        <x:v>1971</x:v>
      </x:c>
      <x:c r="B110" s="57" t="str">
        <x:v>Women's</x:v>
      </x:c>
      <x:c r="C110" s="57" t="str">
        <x:v>E.F. Goolagong</x:v>
      </x:c>
      <x:c r="D110" s="57" t="str">
        <x:v>AUS</x:v>
      </x:c>
      <x:c r="E110" s="57" t="str">
        <x:v>Australia</x:v>
      </x:c>
      <x:c r="F110" s="57" t="n">
        <x:v>3</x:v>
      </x:c>
      <x:c r="G110" s="57" t="n">
        <x:v>62</x:v>
      </x:c>
      <x:c r="H110" s="57" t="str">
        <x:v>6-4, 6-1,</x:v>
      </x:c>
      <x:c r="I110" s="57" t="n">
        <x:v>6</x:v>
      </x:c>
      <x:c r="J110" s="57" t="n">
        <x:v>4</x:v>
      </x:c>
      <x:c r="K110" s="57" t="n">
        <x:v>6</x:v>
      </x:c>
      <x:c r="L110" s="57" t="n">
        <x:v>1</x:v>
      </x:c>
      <x:c r="M110" s="57"/>
      <x:c r="N110" s="57"/>
      <x:c r="O110" s="57"/>
      <x:c r="P110" s="57"/>
      <x:c r="Q110" s="57"/>
      <x:c r="R110" s="57"/>
      <x:c r="S110" s="57" t="str">
        <x:v>B.M. Court</x:v>
      </x:c>
      <x:c r="T110" s="57" t="str">
        <x:v>AUS</x:v>
      </x:c>
      <x:c r="U110" s="57" t="str">
        <x:v>Australia</x:v>
      </x:c>
      <x:c r="V110" s="57" t="n">
        <x:v>1</x:v>
      </x:c>
      <x:c r="W110" s="57" t="n">
        <x:v>2</x:v>
      </x:c>
      <x:c r="X110" s="57" t="n">
        <x:v>17</x:v>
      </x:c>
      <x:c r="Y110" s="57" t="str">
        <x:v>Completed</x:v>
      </x:c>
      <x:c r="Z110" s="57" t="str">
        <x:v>Recorded</x:v>
      </x:c>
      <x:c r="AA110" s="57" t="n">
        <x:v>1</x:v>
      </x:c>
      <x:c r="AB110" s="57" t="str">
        <x:v>No</x:v>
      </x:c>
      <x:c r="AC110" s="57" t="str">
        <x:v>1970s</x:v>
      </x:c>
      <x:c r="AD110" s="57" t="str">
        <x:v>Seeded</x:v>
      </x:c>
      <x:c r="AE110" s="58" t="str">
        <x:v>Seeded</x:v>
      </x:c>
    </x:row>
    <x:row r="111">
      <x:c r="A111" s="56" t="n">
        <x:v>1971</x:v>
      </x:c>
      <x:c r="B111" s="57" t="str">
        <x:v>Men's</x:v>
      </x:c>
      <x:c r="C111" s="57" t="str">
        <x:v>J.D. Newcombe</x:v>
      </x:c>
      <x:c r="D111" s="57" t="str">
        <x:v>AUS</x:v>
      </x:c>
      <x:c r="E111" s="57" t="str">
        <x:v>Australia</x:v>
      </x:c>
      <x:c r="F111" s="57" t="n">
        <x:v>2</x:v>
      </x:c>
      <x:c r="G111" s="57" t="n">
        <x:v>170</x:v>
      </x:c>
      <x:c r="H111" s="57" t="str">
        <x:v>6-3, 5-7, 2-6, 6-4, 6-4</x:v>
      </x:c>
      <x:c r="I111" s="57" t="n">
        <x:v>6</x:v>
      </x:c>
      <x:c r="J111" s="57" t="n">
        <x:v>3</x:v>
      </x:c>
      <x:c r="K111" s="57" t="n">
        <x:v>5</x:v>
      </x:c>
      <x:c r="L111" s="57" t="n">
        <x:v>7</x:v>
      </x:c>
      <x:c r="M111" s="57" t="n">
        <x:v>2</x:v>
      </x:c>
      <x:c r="N111" s="57" t="n">
        <x:v>6</x:v>
      </x:c>
      <x:c r="O111" s="57" t="n">
        <x:v>6</x:v>
      </x:c>
      <x:c r="P111" s="57" t="n">
        <x:v>4</x:v>
      </x:c>
      <x:c r="Q111" s="57" t="n">
        <x:v>6</x:v>
      </x:c>
      <x:c r="R111" s="57" t="n">
        <x:v>4</x:v>
      </x:c>
      <x:c r="S111" s="57" t="str">
        <x:v>S.R. Smith</x:v>
      </x:c>
      <x:c r="T111" s="57" t="str">
        <x:v>USA</x:v>
      </x:c>
      <x:c r="U111" s="57" t="str">
        <x:v>United States</x:v>
      </x:c>
      <x:c r="V111" s="57" t="n">
        <x:v>4</x:v>
      </x:c>
      <x:c r="W111" s="57" t="n">
        <x:v>5</x:v>
      </x:c>
      <x:c r="X111" s="57" t="n">
        <x:v>49</x:v>
      </x:c>
      <x:c r="Y111" s="57" t="str">
        <x:v>Completed</x:v>
      </x:c>
      <x:c r="Z111" s="57" t="str">
        <x:v>Recorded</x:v>
      </x:c>
      <x:c r="AA111" s="57" t="n">
        <x:v>3</x:v>
      </x:c>
      <x:c r="AB111" s="57" t="str">
        <x:v>No</x:v>
      </x:c>
      <x:c r="AC111" s="57" t="str">
        <x:v>1970s</x:v>
      </x:c>
      <x:c r="AD111" s="57" t="str">
        <x:v>Seeded</x:v>
      </x:c>
      <x:c r="AE111" s="58" t="str">
        <x:v>Seeded</x:v>
      </x:c>
    </x:row>
    <x:row r="112">
      <x:c r="A112" s="56" t="n">
        <x:v>1970</x:v>
      </x:c>
      <x:c r="B112" s="57" t="str">
        <x:v>Women's</x:v>
      </x:c>
      <x:c r="C112" s="57" t="str">
        <x:v>B.M. Court</x:v>
      </x:c>
      <x:c r="D112" s="57" t="str">
        <x:v>AUS</x:v>
      </x:c>
      <x:c r="E112" s="57" t="str">
        <x:v>Australia</x:v>
      </x:c>
      <x:c r="F112" s="57" t="n">
        <x:v>1</x:v>
      </x:c>
      <x:c r="G112" s="57" t="n">
        <x:v>148</x:v>
      </x:c>
      <x:c r="H112" s="57" t="str">
        <x:v>14-12, 11-9,</x:v>
      </x:c>
      <x:c r="I112" s="57" t="n">
        <x:v>14</x:v>
      </x:c>
      <x:c r="J112" s="57" t="n">
        <x:v>12</x:v>
      </x:c>
      <x:c r="K112" s="57" t="n">
        <x:v>11</x:v>
      </x:c>
      <x:c r="L112" s="57" t="n">
        <x:v>9</x:v>
      </x:c>
      <x:c r="M112" s="57"/>
      <x:c r="N112" s="57"/>
      <x:c r="O112" s="57"/>
      <x:c r="P112" s="57"/>
      <x:c r="Q112" s="57"/>
      <x:c r="R112" s="57"/>
      <x:c r="S112" s="57" t="str">
        <x:v>L.W. King</x:v>
      </x:c>
      <x:c r="T112" s="57" t="str">
        <x:v>USA</x:v>
      </x:c>
      <x:c r="U112" s="57" t="str">
        <x:v>United States</x:v>
      </x:c>
      <x:c r="V112" s="57" t="n">
        <x:v>2</x:v>
      </x:c>
      <x:c r="W112" s="57" t="n">
        <x:v>2</x:v>
      </x:c>
      <x:c r="X112" s="57" t="n">
        <x:v>46</x:v>
      </x:c>
      <x:c r="Y112" s="57" t="str">
        <x:v>Completed</x:v>
      </x:c>
      <x:c r="Z112" s="57" t="str">
        <x:v>Recorded</x:v>
      </x:c>
      <x:c r="AA112" s="57" t="n">
        <x:v>3</x:v>
      </x:c>
      <x:c r="AB112" s="57" t="str">
        <x:v>No</x:v>
      </x:c>
      <x:c r="AC112" s="57" t="str">
        <x:v>1970s</x:v>
      </x:c>
      <x:c r="AD112" s="57" t="str">
        <x:v>Seeded</x:v>
      </x:c>
      <x:c r="AE112" s="58" t="str">
        <x:v>Seeded</x:v>
      </x:c>
    </x:row>
    <x:row r="113">
      <x:c r="A113" s="56" t="n">
        <x:v>1970</x:v>
      </x:c>
      <x:c r="B113" s="57" t="str">
        <x:v>Men's</x:v>
      </x:c>
      <x:c r="C113" s="57" t="str">
        <x:v>J.D. Newcombe</x:v>
      </x:c>
      <x:c r="D113" s="57" t="str">
        <x:v>AUS</x:v>
      </x:c>
      <x:c r="E113" s="57" t="str">
        <x:v>Australia</x:v>
      </x:c>
      <x:c r="F113" s="57" t="n">
        <x:v>2</x:v>
      </x:c>
      <x:c r="G113" s="57" t="n">
        <x:v>163</x:v>
      </x:c>
      <x:c r="H113" s="57" t="str">
        <x:v>5-7, 6-3, 6-2, 3-6, 6-1</x:v>
      </x:c>
      <x:c r="I113" s="57" t="n">
        <x:v>5</x:v>
      </x:c>
      <x:c r="J113" s="57" t="n">
        <x:v>7</x:v>
      </x:c>
      <x:c r="K113" s="57" t="n">
        <x:v>6</x:v>
      </x:c>
      <x:c r="L113" s="57" t="n">
        <x:v>3</x:v>
      </x:c>
      <x:c r="M113" s="57" t="n">
        <x:v>6</x:v>
      </x:c>
      <x:c r="N113" s="57" t="n">
        <x:v>2</x:v>
      </x:c>
      <x:c r="O113" s="57" t="n">
        <x:v>3</x:v>
      </x:c>
      <x:c r="P113" s="57" t="n">
        <x:v>6</x:v>
      </x:c>
      <x:c r="Q113" s="57" t="n">
        <x:v>6</x:v>
      </x:c>
      <x:c r="R113" s="57" t="n">
        <x:v>1</x:v>
      </x:c>
      <x:c r="S113" s="57" t="str">
        <x:v>K.R. Rosewall</x:v>
      </x:c>
      <x:c r="T113" s="57" t="str">
        <x:v>AUS</x:v>
      </x:c>
      <x:c r="U113" s="57" t="str">
        <x:v>Australia</x:v>
      </x:c>
      <x:c r="V113" s="57" t="n">
        <x:v>5</x:v>
      </x:c>
      <x:c r="W113" s="57" t="n">
        <x:v>5</x:v>
      </x:c>
      <x:c r="X113" s="57" t="n">
        <x:v>45</x:v>
      </x:c>
      <x:c r="Y113" s="57" t="str">
        <x:v>Completed</x:v>
      </x:c>
      <x:c r="Z113" s="57" t="str">
        <x:v>Recorded</x:v>
      </x:c>
      <x:c r="AA113" s="57" t="n">
        <x:v>3</x:v>
      </x:c>
      <x:c r="AB113" s="57" t="str">
        <x:v>No</x:v>
      </x:c>
      <x:c r="AC113" s="57" t="str">
        <x:v>1970s</x:v>
      </x:c>
      <x:c r="AD113" s="57" t="str">
        <x:v>Seeded</x:v>
      </x:c>
      <x:c r="AE113" s="58" t="str">
        <x:v>Seeded</x:v>
      </x:c>
    </x:row>
    <x:row r="114">
      <x:c r="A114" s="56" t="n">
        <x:v>1969</x:v>
      </x:c>
      <x:c r="B114" s="57" t="str">
        <x:v>Women's</x:v>
      </x:c>
      <x:c r="C114" s="57" t="str">
        <x:v>P.F. Jones</x:v>
      </x:c>
      <x:c r="D114" s="57" t="str">
        <x:v>GBR</x:v>
      </x:c>
      <x:c r="E114" s="57" t="str">
        <x:v>United Kingdom</x:v>
      </x:c>
      <x:c r="F114" s="57" t="n">
        <x:v>4</x:v>
      </x:c>
      <x:c r="G114" s="57" t="n">
        <x:v>71</x:v>
      </x:c>
      <x:c r="H114" s="57" t="str">
        <x:v>3-6, 6-3, 6-2,</x:v>
      </x:c>
      <x:c r="I114" s="57" t="n">
        <x:v>3</x:v>
      </x:c>
      <x:c r="J114" s="57" t="n">
        <x:v>6</x:v>
      </x:c>
      <x:c r="K114" s="57" t="n">
        <x:v>6</x:v>
      </x:c>
      <x:c r="L114" s="57" t="n">
        <x:v>3</x:v>
      </x:c>
      <x:c r="M114" s="57" t="n">
        <x:v>6</x:v>
      </x:c>
      <x:c r="N114" s="57" t="n">
        <x:v>2</x:v>
      </x:c>
      <x:c r="O114" s="57"/>
      <x:c r="P114" s="57"/>
      <x:c r="Q114" s="57"/>
      <x:c r="R114" s="57"/>
      <x:c r="S114" s="57" t="str">
        <x:v>L.W. King</x:v>
      </x:c>
      <x:c r="T114" s="57" t="str">
        <x:v>USA</x:v>
      </x:c>
      <x:c r="U114" s="57" t="str">
        <x:v>United States</x:v>
      </x:c>
      <x:c r="V114" s="57" t="n">
        <x:v>2</x:v>
      </x:c>
      <x:c r="W114" s="57" t="n">
        <x:v>3</x:v>
      </x:c>
      <x:c r="X114" s="57" t="n">
        <x:v>26</x:v>
      </x:c>
      <x:c r="Y114" s="57" t="str">
        <x:v>Completed</x:v>
      </x:c>
      <x:c r="Z114" s="57" t="str">
        <x:v>Recorded</x:v>
      </x:c>
      <x:c r="AA114" s="57" t="n">
        <x:v>1</x:v>
      </x:c>
      <x:c r="AB114" s="57" t="str">
        <x:v>No</x:v>
      </x:c>
      <x:c r="AC114" s="57" t="str">
        <x:v>1960s</x:v>
      </x:c>
      <x:c r="AD114" s="57" t="str">
        <x:v>Seeded</x:v>
      </x:c>
      <x:c r="AE114" s="58" t="str">
        <x:v>Seeded</x:v>
      </x:c>
    </x:row>
    <x:row r="115">
      <x:c r="A115" s="56" t="n">
        <x:v>1969</x:v>
      </x:c>
      <x:c r="B115" s="57" t="str">
        <x:v>Men's</x:v>
      </x:c>
      <x:c r="C115" s="57" t="str">
        <x:v>R.G. Laver</x:v>
      </x:c>
      <x:c r="D115" s="57" t="str">
        <x:v>AUS</x:v>
      </x:c>
      <x:c r="E115" s="57" t="str">
        <x:v>Australia</x:v>
      </x:c>
      <x:c r="F115" s="57" t="n">
        <x:v>1</x:v>
      </x:c>
      <x:c r="G115" s="57" t="n">
        <x:v>136</x:v>
      </x:c>
      <x:c r="H115" s="57" t="str">
        <x:v>6-4, 5-7, 6-4, 6-4</x:v>
      </x:c>
      <x:c r="I115" s="57" t="n">
        <x:v>6</x:v>
      </x:c>
      <x:c r="J115" s="57" t="n">
        <x:v>4</x:v>
      </x:c>
      <x:c r="K115" s="57" t="n">
        <x:v>5</x:v>
      </x:c>
      <x:c r="L115" s="57" t="n">
        <x:v>7</x:v>
      </x:c>
      <x:c r="M115" s="57" t="n">
        <x:v>6</x:v>
      </x:c>
      <x:c r="N115" s="57" t="n">
        <x:v>4</x:v>
      </x:c>
      <x:c r="O115" s="57" t="n">
        <x:v>6</x:v>
      </x:c>
      <x:c r="P115" s="57" t="n">
        <x:v>4</x:v>
      </x:c>
      <x:c r="Q115" s="57"/>
      <x:c r="R115" s="57"/>
      <x:c r="S115" s="57" t="str">
        <x:v>J.D. Newcombe</x:v>
      </x:c>
      <x:c r="T115" s="57" t="str">
        <x:v>AUS</x:v>
      </x:c>
      <x:c r="U115" s="57" t="str">
        <x:v>Australia</x:v>
      </x:c>
      <x:c r="V115" s="57" t="n">
        <x:v>6</x:v>
      </x:c>
      <x:c r="W115" s="57" t="n">
        <x:v>4</x:v>
      </x:c>
      <x:c r="X115" s="57" t="n">
        <x:v>42</x:v>
      </x:c>
      <x:c r="Y115" s="57" t="str">
        <x:v>Completed</x:v>
      </x:c>
      <x:c r="Z115" s="57" t="str">
        <x:v>Recorded</x:v>
      </x:c>
      <x:c r="AA115" s="57" t="n">
        <x:v>4</x:v>
      </x:c>
      <x:c r="AB115" s="57" t="str">
        <x:v>No</x:v>
      </x:c>
      <x:c r="AC115" s="57" t="str">
        <x:v>1960s</x:v>
      </x:c>
      <x:c r="AD115" s="57" t="str">
        <x:v>Seeded</x:v>
      </x:c>
      <x:c r="AE115" s="58" t="str">
        <x:v>Seeded</x:v>
      </x:c>
    </x:row>
    <x:row r="116">
      <x:c r="A116" s="56" t="n">
        <x:v>1968</x:v>
      </x:c>
      <x:c r="B116" s="57" t="str">
        <x:v>Women's</x:v>
      </x:c>
      <x:c r="C116" s="57" t="str">
        <x:v>L.W. King</x:v>
      </x:c>
      <x:c r="D116" s="57" t="str">
        <x:v>USA</x:v>
      </x:c>
      <x:c r="E116" s="57" t="str">
        <x:v>United States</x:v>
      </x:c>
      <x:c r="F116" s="57" t="n">
        <x:v>1</x:v>
      </x:c>
      <x:c r="G116" s="57" t="n">
        <x:v>69</x:v>
      </x:c>
      <x:c r="H116" s="57" t="str">
        <x:v>9-7, 7-5,</x:v>
      </x:c>
      <x:c r="I116" s="57" t="n">
        <x:v>9</x:v>
      </x:c>
      <x:c r="J116" s="57" t="n">
        <x:v>7</x:v>
      </x:c>
      <x:c r="K116" s="57" t="n">
        <x:v>7</x:v>
      </x:c>
      <x:c r="L116" s="57" t="n">
        <x:v>5</x:v>
      </x:c>
      <x:c r="M116" s="57"/>
      <x:c r="N116" s="57"/>
      <x:c r="O116" s="57"/>
      <x:c r="P116" s="57"/>
      <x:c r="Q116" s="57"/>
      <x:c r="R116" s="57"/>
      <x:c r="S116" s="57" t="str">
        <x:v>J.A.M. Tegart</x:v>
      </x:c>
      <x:c r="T116" s="57" t="str">
        <x:v>AUS</x:v>
      </x:c>
      <x:c r="U116" s="57" t="str">
        <x:v>Australia</x:v>
      </x:c>
      <x:c r="V116" s="57" t="n">
        <x:v>7</x:v>
      </x:c>
      <x:c r="W116" s="57" t="n">
        <x:v>2</x:v>
      </x:c>
      <x:c r="X116" s="57" t="n">
        <x:v>28</x:v>
      </x:c>
      <x:c r="Y116" s="57" t="str">
        <x:v>Completed</x:v>
      </x:c>
      <x:c r="Z116" s="57" t="str">
        <x:v>Recorded</x:v>
      </x:c>
      <x:c r="AA116" s="57" t="n">
        <x:v>6</x:v>
      </x:c>
      <x:c r="AB116" s="57" t="str">
        <x:v>Yes</x:v>
      </x:c>
      <x:c r="AC116" s="57" t="str">
        <x:v>1960s</x:v>
      </x:c>
      <x:c r="AD116" s="57" t="str">
        <x:v>Seeded</x:v>
      </x:c>
      <x:c r="AE116" s="58" t="str">
        <x:v>Seeded</x:v>
      </x:c>
    </x:row>
    <x:row r="117">
      <x:c r="A117" s="56" t="n">
        <x:v>1968</x:v>
      </x:c>
      <x:c r="B117" s="57" t="str">
        <x:v>Men's</x:v>
      </x:c>
      <x:c r="C117" s="57" t="str">
        <x:v>R.G. Laver</x:v>
      </x:c>
      <x:c r="D117" s="57" t="str">
        <x:v>AUS</x:v>
      </x:c>
      <x:c r="E117" s="57" t="str">
        <x:v>Australia</x:v>
      </x:c>
      <x:c r="F117" s="57" t="n">
        <x:v>1</x:v>
      </x:c>
      <x:c r="G117" s="57" t="n">
        <x:v>60</x:v>
      </x:c>
      <x:c r="H117" s="57" t="str">
        <x:v>6-3, 6-4, 6-2</x:v>
      </x:c>
      <x:c r="I117" s="57" t="n">
        <x:v>6</x:v>
      </x:c>
      <x:c r="J117" s="57" t="n">
        <x:v>3</x:v>
      </x:c>
      <x:c r="K117" s="57" t="n">
        <x:v>6</x:v>
      </x:c>
      <x:c r="L117" s="57" t="n">
        <x:v>4</x:v>
      </x:c>
      <x:c r="M117" s="57" t="n">
        <x:v>6</x:v>
      </x:c>
      <x:c r="N117" s="57" t="n">
        <x:v>2</x:v>
      </x:c>
      <x:c r="O117" s="57"/>
      <x:c r="P117" s="57"/>
      <x:c r="Q117" s="57"/>
      <x:c r="R117" s="57"/>
      <x:c r="S117" s="57" t="str">
        <x:v>A.D. Roche</x:v>
      </x:c>
      <x:c r="T117" s="57" t="str">
        <x:v>AUS</x:v>
      </x:c>
      <x:c r="U117" s="57" t="str">
        <x:v>Australia</x:v>
      </x:c>
      <x:c r="V117" s="57" t="n">
        <x:v>15</x:v>
      </x:c>
      <x:c r="W117" s="57" t="n">
        <x:v>3</x:v>
      </x:c>
      <x:c r="X117" s="57" t="n">
        <x:v>27</x:v>
      </x:c>
      <x:c r="Y117" s="57" t="str">
        <x:v>Completed</x:v>
      </x:c>
      <x:c r="Z117" s="57" t="str">
        <x:v>Recorded</x:v>
      </x:c>
      <x:c r="AA117" s="57" t="n">
        <x:v>4</x:v>
      </x:c>
      <x:c r="AB117" s="57" t="str">
        <x:v>No</x:v>
      </x:c>
      <x:c r="AC117" s="57" t="str">
        <x:v>1960s</x:v>
      </x:c>
      <x:c r="AD117" s="57" t="str">
        <x:v>Seeded</x:v>
      </x:c>
      <x:c r="AE117" s="58" t="str">
        <x:v>Seeded</x:v>
      </x:c>
    </x:row>
    <x:row r="118">
      <x:c r="A118" s="56" t="n">
        <x:v>1967</x:v>
      </x:c>
      <x:c r="B118" s="57" t="str">
        <x:v>Women's</x:v>
      </x:c>
      <x:c r="C118" s="57" t="str">
        <x:v>L.W. King</x:v>
      </x:c>
      <x:c r="D118" s="57" t="str">
        <x:v>USA</x:v>
      </x:c>
      <x:c r="E118" s="57" t="str">
        <x:v>United States</x:v>
      </x:c>
      <x:c r="F118" s="57" t="n">
        <x:v>1</x:v>
      </x:c>
      <x:c r="G118" s="57" t="n">
        <x:v>60</x:v>
      </x:c>
      <x:c r="H118" s="57" t="str">
        <x:v>6-3, 6-4,</x:v>
      </x:c>
      <x:c r="I118" s="57" t="n">
        <x:v>6</x:v>
      </x:c>
      <x:c r="J118" s="57" t="n">
        <x:v>3</x:v>
      </x:c>
      <x:c r="K118" s="57" t="n">
        <x:v>6</x:v>
      </x:c>
      <x:c r="L118" s="57" t="n">
        <x:v>4</x:v>
      </x:c>
      <x:c r="M118" s="57"/>
      <x:c r="N118" s="57"/>
      <x:c r="O118" s="57"/>
      <x:c r="P118" s="57"/>
      <x:c r="Q118" s="57"/>
      <x:c r="R118" s="57"/>
      <x:c r="S118" s="57" t="str">
        <x:v>P.F. Jones</x:v>
      </x:c>
      <x:c r="T118" s="57" t="str">
        <x:v>GBR</x:v>
      </x:c>
      <x:c r="U118" s="57" t="str">
        <x:v>United Kingdom</x:v>
      </x:c>
      <x:c r="V118" s="57" t="n">
        <x:v>3</x:v>
      </x:c>
      <x:c r="W118" s="57" t="n">
        <x:v>2</x:v>
      </x:c>
      <x:c r="X118" s="57" t="n">
        <x:v>19</x:v>
      </x:c>
      <x:c r="Y118" s="57" t="str">
        <x:v>Completed</x:v>
      </x:c>
      <x:c r="Z118" s="57" t="str">
        <x:v>Recorded</x:v>
      </x:c>
      <x:c r="AA118" s="57" t="n">
        <x:v>6</x:v>
      </x:c>
      <x:c r="AB118" s="57" t="str">
        <x:v>Yes</x:v>
      </x:c>
      <x:c r="AC118" s="57" t="str">
        <x:v>1960s</x:v>
      </x:c>
      <x:c r="AD118" s="57" t="str">
        <x:v>Seeded</x:v>
      </x:c>
      <x:c r="AE118" s="58" t="str">
        <x:v>Seeded</x:v>
      </x:c>
    </x:row>
    <x:row r="119">
      <x:c r="A119" s="56" t="n">
        <x:v>1967</x:v>
      </x:c>
      <x:c r="B119" s="57" t="str">
        <x:v>Men's</x:v>
      </x:c>
      <x:c r="C119" s="57" t="str">
        <x:v>J.D. Newcombe</x:v>
      </x:c>
      <x:c r="D119" s="57" t="str">
        <x:v>AUS</x:v>
      </x:c>
      <x:c r="E119" s="57" t="str">
        <x:v>Australia</x:v>
      </x:c>
      <x:c r="F119" s="57" t="n">
        <x:v>3</x:v>
      </x:c>
      <x:c r="G119" s="57" t="n">
        <x:v>71</x:v>
      </x:c>
      <x:c r="H119" s="57" t="str">
        <x:v>6-3, 6-1, 6-1</x:v>
      </x:c>
      <x:c r="I119" s="57" t="n">
        <x:v>6</x:v>
      </x:c>
      <x:c r="J119" s="57" t="n">
        <x:v>3</x:v>
      </x:c>
      <x:c r="K119" s="57" t="n">
        <x:v>6</x:v>
      </x:c>
      <x:c r="L119" s="57" t="n">
        <x:v>1</x:v>
      </x:c>
      <x:c r="M119" s="57" t="n">
        <x:v>6</x:v>
      </x:c>
      <x:c r="N119" s="57" t="n">
        <x:v>1</x:v>
      </x:c>
      <x:c r="O119" s="57"/>
      <x:c r="P119" s="57"/>
      <x:c r="Q119" s="57"/>
      <x:c r="R119" s="57"/>
      <x:c r="S119" s="57" t="str">
        <x:v>W.P. Bungert</x:v>
      </x:c>
      <x:c r="T119" s="57" t="str">
        <x:v>GER</x:v>
      </x:c>
      <x:c r="U119" s="57" t="str">
        <x:v>Germany</x:v>
      </x:c>
      <x:c r="V119" s="57" t="str">
        <x:v>U</x:v>
      </x:c>
      <x:c r="W119" s="57" t="n">
        <x:v>3</x:v>
      </x:c>
      <x:c r="X119" s="57" t="n">
        <x:v>23</x:v>
      </x:c>
      <x:c r="Y119" s="57" t="str">
        <x:v>Completed</x:v>
      </x:c>
      <x:c r="Z119" s="57" t="str">
        <x:v>Recorded</x:v>
      </x:c>
      <x:c r="AA119" s="57" t="n">
        <x:v>3</x:v>
      </x:c>
      <x:c r="AB119" s="57" t="str">
        <x:v>No</x:v>
      </x:c>
      <x:c r="AC119" s="57" t="str">
        <x:v>1960s</x:v>
      </x:c>
      <x:c r="AD119" s="57" t="str">
        <x:v>Seeded</x:v>
      </x:c>
      <x:c r="AE119" s="58" t="str">
        <x:v>Unseeded/unknown</x:v>
      </x:c>
    </x:row>
    <x:row r="120">
      <x:c r="A120" s="56" t="n">
        <x:v>1966</x:v>
      </x:c>
      <x:c r="B120" s="57" t="str">
        <x:v>Women's</x:v>
      </x:c>
      <x:c r="C120" s="57" t="str">
        <x:v>L.W. King</x:v>
      </x:c>
      <x:c r="D120" s="57" t="str">
        <x:v>USA</x:v>
      </x:c>
      <x:c r="E120" s="57" t="str">
        <x:v>United States</x:v>
      </x:c>
      <x:c r="F120" s="57" t="n">
        <x:v>4</x:v>
      </x:c>
      <x:c r="G120" s="57" t="n">
        <x:v>68</x:v>
      </x:c>
      <x:c r="H120" s="57" t="str">
        <x:v>6-3, 3-6, 6-1,</x:v>
      </x:c>
      <x:c r="I120" s="57" t="n">
        <x:v>6</x:v>
      </x:c>
      <x:c r="J120" s="57" t="n">
        <x:v>3</x:v>
      </x:c>
      <x:c r="K120" s="57" t="n">
        <x:v>3</x:v>
      </x:c>
      <x:c r="L120" s="57" t="n">
        <x:v>6</x:v>
      </x:c>
      <x:c r="M120" s="57" t="n">
        <x:v>6</x:v>
      </x:c>
      <x:c r="N120" s="57" t="n">
        <x:v>1</x:v>
      </x:c>
      <x:c r="O120" s="57"/>
      <x:c r="P120" s="57"/>
      <x:c r="Q120" s="57"/>
      <x:c r="R120" s="57"/>
      <x:c r="S120" s="57" t="str">
        <x:v>M.E.A. Bueno</x:v>
      </x:c>
      <x:c r="T120" s="57" t="str">
        <x:v>BRA</x:v>
      </x:c>
      <x:c r="U120" s="57" t="str">
        <x:v>Brazil</x:v>
      </x:c>
      <x:c r="V120" s="57" t="n">
        <x:v>2</x:v>
      </x:c>
      <x:c r="W120" s="57" t="n">
        <x:v>3</x:v>
      </x:c>
      <x:c r="X120" s="57" t="n">
        <x:v>25</x:v>
      </x:c>
      <x:c r="Y120" s="57" t="str">
        <x:v>Completed</x:v>
      </x:c>
      <x:c r="Z120" s="57" t="str">
        <x:v>Recorded</x:v>
      </x:c>
      <x:c r="AA120" s="57" t="n">
        <x:v>6</x:v>
      </x:c>
      <x:c r="AB120" s="57" t="str">
        <x:v>Yes</x:v>
      </x:c>
      <x:c r="AC120" s="57" t="str">
        <x:v>1960s</x:v>
      </x:c>
      <x:c r="AD120" s="57" t="str">
        <x:v>Seeded</x:v>
      </x:c>
      <x:c r="AE120" s="58" t="str">
        <x:v>Seeded</x:v>
      </x:c>
    </x:row>
    <x:row r="121">
      <x:c r="A121" s="56" t="n">
        <x:v>1966</x:v>
      </x:c>
      <x:c r="B121" s="57" t="str">
        <x:v>Men's</x:v>
      </x:c>
      <x:c r="C121" s="57" t="str">
        <x:v>M.M. Santana</x:v>
      </x:c>
      <x:c r="D121" s="57" t="str">
        <x:v>ESP</x:v>
      </x:c>
      <x:c r="E121" s="57" t="str">
        <x:v>Spain</x:v>
      </x:c>
      <x:c r="F121" s="57" t="n">
        <x:v>4</x:v>
      </x:c>
      <x:c r="G121" s="57" t="n">
        <x:v>104</x:v>
      </x:c>
      <x:c r="H121" s="57" t="str">
        <x:v>6-4, 11-9, 6-4</x:v>
      </x:c>
      <x:c r="I121" s="57" t="n">
        <x:v>6</x:v>
      </x:c>
      <x:c r="J121" s="57" t="n">
        <x:v>4</x:v>
      </x:c>
      <x:c r="K121" s="57" t="n">
        <x:v>11</x:v>
      </x:c>
      <x:c r="L121" s="57" t="n">
        <x:v>9</x:v>
      </x:c>
      <x:c r="M121" s="57" t="n">
        <x:v>6</x:v>
      </x:c>
      <x:c r="N121" s="57" t="n">
        <x:v>4</x:v>
      </x:c>
      <x:c r="O121" s="57"/>
      <x:c r="P121" s="57"/>
      <x:c r="Q121" s="57"/>
      <x:c r="R121" s="57"/>
      <x:c r="S121" s="57" t="str">
        <x:v>R.D. Ralston</x:v>
      </x:c>
      <x:c r="T121" s="57" t="str">
        <x:v>USA</x:v>
      </x:c>
      <x:c r="U121" s="57" t="str">
        <x:v>United States</x:v>
      </x:c>
      <x:c r="V121" s="57" t="n">
        <x:v>6</x:v>
      </x:c>
      <x:c r="W121" s="57" t="n">
        <x:v>3</x:v>
      </x:c>
      <x:c r="X121" s="57" t="n">
        <x:v>40</x:v>
      </x:c>
      <x:c r="Y121" s="57" t="str">
        <x:v>Completed</x:v>
      </x:c>
      <x:c r="Z121" s="57" t="str">
        <x:v>Recorded</x:v>
      </x:c>
      <x:c r="AA121" s="57" t="n">
        <x:v>1</x:v>
      </x:c>
      <x:c r="AB121" s="57" t="str">
        <x:v>No</x:v>
      </x:c>
      <x:c r="AC121" s="57" t="str">
        <x:v>1960s</x:v>
      </x:c>
      <x:c r="AD121" s="57" t="str">
        <x:v>Seeded</x:v>
      </x:c>
      <x:c r="AE121" s="58" t="str">
        <x:v>Seeded</x:v>
      </x:c>
    </x:row>
    <x:row r="122">
      <x:c r="A122" s="56" t="n">
        <x:v>1965</x:v>
      </x:c>
      <x:c r="B122" s="57" t="str">
        <x:v>Women's</x:v>
      </x:c>
      <x:c r="C122" s="57" t="str">
        <x:v>B.M. Court</x:v>
      </x:c>
      <x:c r="D122" s="57" t="str">
        <x:v>AUS</x:v>
      </x:c>
      <x:c r="E122" s="57" t="str">
        <x:v>Australia</x:v>
      </x:c>
      <x:c r="F122" s="57" t="n">
        <x:v>2</x:v>
      </x:c>
      <x:c r="G122" s="57" t="n">
        <x:v>56</x:v>
      </x:c>
      <x:c r="H122" s="57" t="str">
        <x:v>6-4, 7-5,</x:v>
      </x:c>
      <x:c r="I122" s="57" t="n">
        <x:v>6</x:v>
      </x:c>
      <x:c r="J122" s="57" t="n">
        <x:v>4</x:v>
      </x:c>
      <x:c r="K122" s="57" t="n">
        <x:v>7</x:v>
      </x:c>
      <x:c r="L122" s="57" t="n">
        <x:v>5</x:v>
      </x:c>
      <x:c r="M122" s="57"/>
      <x:c r="N122" s="57"/>
      <x:c r="O122" s="57"/>
      <x:c r="P122" s="57"/>
      <x:c r="Q122" s="57"/>
      <x:c r="R122" s="57"/>
      <x:c r="S122" s="57" t="str">
        <x:v>M.E.A. Bueno</x:v>
      </x:c>
      <x:c r="T122" s="57" t="str">
        <x:v>BRA</x:v>
      </x:c>
      <x:c r="U122" s="57" t="str">
        <x:v>Brazil</x:v>
      </x:c>
      <x:c r="V122" s="57" t="n">
        <x:v>1</x:v>
      </x:c>
      <x:c r="W122" s="57" t="n">
        <x:v>2</x:v>
      </x:c>
      <x:c r="X122" s="57" t="n">
        <x:v>22</x:v>
      </x:c>
      <x:c r="Y122" s="57" t="str">
        <x:v>Completed</x:v>
      </x:c>
      <x:c r="Z122" s="57" t="str">
        <x:v>Recorded</x:v>
      </x:c>
      <x:c r="AA122" s="57" t="n">
        <x:v>3</x:v>
      </x:c>
      <x:c r="AB122" s="57" t="str">
        <x:v>No</x:v>
      </x:c>
      <x:c r="AC122" s="57" t="str">
        <x:v>1960s</x:v>
      </x:c>
      <x:c r="AD122" s="57" t="str">
        <x:v>Seeded</x:v>
      </x:c>
      <x:c r="AE122" s="58" t="str">
        <x:v>Seeded</x:v>
      </x:c>
    </x:row>
    <x:row r="123">
      <x:c r="A123" s="56" t="n">
        <x:v>1965</x:v>
      </x:c>
      <x:c r="B123" s="57" t="str">
        <x:v>Men's</x:v>
      </x:c>
      <x:c r="C123" s="57" t="str">
        <x:v>R.S. Emerson</x:v>
      </x:c>
      <x:c r="D123" s="57" t="str">
        <x:v>AUS</x:v>
      </x:c>
      <x:c r="E123" s="57" t="str">
        <x:v>Australia</x:v>
      </x:c>
      <x:c r="F123" s="57" t="n">
        <x:v>1</x:v>
      </x:c>
      <x:c r="G123" s="57" t="n">
        <x:v>67</x:v>
      </x:c>
      <x:c r="H123" s="57" t="str">
        <x:v>6-2, 6-4, 6-4</x:v>
      </x:c>
      <x:c r="I123" s="57" t="n">
        <x:v>6</x:v>
      </x:c>
      <x:c r="J123" s="57" t="n">
        <x:v>2</x:v>
      </x:c>
      <x:c r="K123" s="57" t="n">
        <x:v>6</x:v>
      </x:c>
      <x:c r="L123" s="57" t="n">
        <x:v>4</x:v>
      </x:c>
      <x:c r="M123" s="57" t="n">
        <x:v>6</x:v>
      </x:c>
      <x:c r="N123" s="57" t="n">
        <x:v>4</x:v>
      </x:c>
      <x:c r="O123" s="57"/>
      <x:c r="P123" s="57"/>
      <x:c r="Q123" s="57"/>
      <x:c r="R123" s="57"/>
      <x:c r="S123" s="57" t="str">
        <x:v>F.S. Stolle</x:v>
      </x:c>
      <x:c r="T123" s="57" t="str">
        <x:v>AUS</x:v>
      </x:c>
      <x:c r="U123" s="57" t="str">
        <x:v>Australia</x:v>
      </x:c>
      <x:c r="V123" s="57" t="n">
        <x:v>2</x:v>
      </x:c>
      <x:c r="W123" s="57" t="n">
        <x:v>3</x:v>
      </x:c>
      <x:c r="X123" s="57" t="n">
        <x:v>28</x:v>
      </x:c>
      <x:c r="Y123" s="57" t="str">
        <x:v>Completed</x:v>
      </x:c>
      <x:c r="Z123" s="57" t="str">
        <x:v>Recorded</x:v>
      </x:c>
      <x:c r="AA123" s="57" t="n">
        <x:v>2</x:v>
      </x:c>
      <x:c r="AB123" s="57" t="str">
        <x:v>No</x:v>
      </x:c>
      <x:c r="AC123" s="57" t="str">
        <x:v>1960s</x:v>
      </x:c>
      <x:c r="AD123" s="57" t="str">
        <x:v>Seeded</x:v>
      </x:c>
      <x:c r="AE123" s="58" t="str">
        <x:v>Seeded</x:v>
      </x:c>
    </x:row>
    <x:row r="124">
      <x:c r="A124" s="56" t="n">
        <x:v>1964</x:v>
      </x:c>
      <x:c r="B124" s="57" t="str">
        <x:v>Women's</x:v>
      </x:c>
      <x:c r="C124" s="57" t="str">
        <x:v>M.E.A. Bueno</x:v>
      </x:c>
      <x:c r="D124" s="57" t="str">
        <x:v>BRA</x:v>
      </x:c>
      <x:c r="E124" s="57" t="str">
        <x:v>Brazil</x:v>
      </x:c>
      <x:c r="F124" s="57" t="n">
        <x:v>2</x:v>
      </x:c>
      <x:c r="G124" s="57" t="n">
        <x:v>90</x:v>
      </x:c>
      <x:c r="H124" s="57" t="str">
        <x:v>6-4, 7-9, 6-3,</x:v>
      </x:c>
      <x:c r="I124" s="57" t="n">
        <x:v>6</x:v>
      </x:c>
      <x:c r="J124" s="57" t="n">
        <x:v>4</x:v>
      </x:c>
      <x:c r="K124" s="57" t="n">
        <x:v>7</x:v>
      </x:c>
      <x:c r="L124" s="57" t="n">
        <x:v>9</x:v>
      </x:c>
      <x:c r="M124" s="57" t="n">
        <x:v>6</x:v>
      </x:c>
      <x:c r="N124" s="57" t="n">
        <x:v>3</x:v>
      </x:c>
      <x:c r="O124" s="57"/>
      <x:c r="P124" s="57"/>
      <x:c r="Q124" s="57"/>
      <x:c r="R124" s="57"/>
      <x:c r="S124" s="57" t="str">
        <x:v>B.M. Court</x:v>
      </x:c>
      <x:c r="T124" s="57" t="str">
        <x:v>AUS</x:v>
      </x:c>
      <x:c r="U124" s="57" t="str">
        <x:v>Australia</x:v>
      </x:c>
      <x:c r="V124" s="57" t="n">
        <x:v>1</x:v>
      </x:c>
      <x:c r="W124" s="57" t="n">
        <x:v>3</x:v>
      </x:c>
      <x:c r="X124" s="57" t="n">
        <x:v>35</x:v>
      </x:c>
      <x:c r="Y124" s="57" t="str">
        <x:v>Completed</x:v>
      </x:c>
      <x:c r="Z124" s="57" t="str">
        <x:v>Recorded</x:v>
      </x:c>
      <x:c r="AA124" s="57" t="n">
        <x:v>3</x:v>
      </x:c>
      <x:c r="AB124" s="57" t="str">
        <x:v>No</x:v>
      </x:c>
      <x:c r="AC124" s="57" t="str">
        <x:v>1960s</x:v>
      </x:c>
      <x:c r="AD124" s="57" t="str">
        <x:v>Seeded</x:v>
      </x:c>
      <x:c r="AE124" s="58" t="str">
        <x:v>Seeded</x:v>
      </x:c>
    </x:row>
    <x:row r="125">
      <x:c r="A125" s="56" t="n">
        <x:v>1964</x:v>
      </x:c>
      <x:c r="B125" s="57" t="str">
        <x:v>Men's</x:v>
      </x:c>
      <x:c r="C125" s="57" t="str">
        <x:v>R.S. Emerson</x:v>
      </x:c>
      <x:c r="D125" s="57" t="str">
        <x:v>AUS</x:v>
      </x:c>
      <x:c r="E125" s="57" t="str">
        <x:v>Australia</x:v>
      </x:c>
      <x:c r="F125" s="57" t="n">
        <x:v>1</x:v>
      </x:c>
      <x:c r="G125" s="57" t="n">
        <x:v>127</x:v>
      </x:c>
      <x:c r="H125" s="57" t="str">
        <x:v>6-4, 12-10, 4-6, 6-3</x:v>
      </x:c>
      <x:c r="I125" s="57" t="n">
        <x:v>6</x:v>
      </x:c>
      <x:c r="J125" s="57" t="n">
        <x:v>4</x:v>
      </x:c>
      <x:c r="K125" s="57" t="n">
        <x:v>12</x:v>
      </x:c>
      <x:c r="L125" s="57" t="n">
        <x:v>10</x:v>
      </x:c>
      <x:c r="M125" s="57" t="n">
        <x:v>4</x:v>
      </x:c>
      <x:c r="N125" s="57" t="n">
        <x:v>6</x:v>
      </x:c>
      <x:c r="O125" s="57" t="n">
        <x:v>6</x:v>
      </x:c>
      <x:c r="P125" s="57" t="n">
        <x:v>3</x:v>
      </x:c>
      <x:c r="Q125" s="57"/>
      <x:c r="R125" s="57"/>
      <x:c r="S125" s="57" t="str">
        <x:v>F.S. Stolle</x:v>
      </x:c>
      <x:c r="T125" s="57" t="str">
        <x:v>AUS</x:v>
      </x:c>
      <x:c r="U125" s="57" t="str">
        <x:v>Australia</x:v>
      </x:c>
      <x:c r="V125" s="57" t="n">
        <x:v>6</x:v>
      </x:c>
      <x:c r="W125" s="57" t="n">
        <x:v>4</x:v>
      </x:c>
      <x:c r="X125" s="57" t="n">
        <x:v>51</x:v>
      </x:c>
      <x:c r="Y125" s="57" t="str">
        <x:v>Completed</x:v>
      </x:c>
      <x:c r="Z125" s="57" t="str">
        <x:v>Recorded</x:v>
      </x:c>
      <x:c r="AA125" s="57" t="n">
        <x:v>2</x:v>
      </x:c>
      <x:c r="AB125" s="57" t="str">
        <x:v>No</x:v>
      </x:c>
      <x:c r="AC125" s="57" t="str">
        <x:v>1960s</x:v>
      </x:c>
      <x:c r="AD125" s="57" t="str">
        <x:v>Seeded</x:v>
      </x:c>
      <x:c r="AE125" s="58" t="str">
        <x:v>Seeded</x:v>
      </x:c>
    </x:row>
    <x:row r="126">
      <x:c r="A126" s="56" t="n">
        <x:v>1963</x:v>
      </x:c>
      <x:c r="B126" s="57" t="str">
        <x:v>Women's</x:v>
      </x:c>
      <x:c r="C126" s="57" t="str">
        <x:v>B.M. Court</x:v>
      </x:c>
      <x:c r="D126" s="57" t="str">
        <x:v>AUS</x:v>
      </x:c>
      <x:c r="E126" s="57" t="str">
        <x:v>Australia</x:v>
      </x:c>
      <x:c r="F126" s="57" t="n">
        <x:v>1</x:v>
      </x:c>
      <x:c r="G126" s="57" t="n">
        <x:v>51</x:v>
      </x:c>
      <x:c r="H126" s="57" t="str">
        <x:v>6-3, 6-4,</x:v>
      </x:c>
      <x:c r="I126" s="57" t="n">
        <x:v>6</x:v>
      </x:c>
      <x:c r="J126" s="57" t="n">
        <x:v>3</x:v>
      </x:c>
      <x:c r="K126" s="57" t="n">
        <x:v>6</x:v>
      </x:c>
      <x:c r="L126" s="57" t="n">
        <x:v>4</x:v>
      </x:c>
      <x:c r="M126" s="57"/>
      <x:c r="N126" s="57"/>
      <x:c r="O126" s="57"/>
      <x:c r="P126" s="57"/>
      <x:c r="Q126" s="57"/>
      <x:c r="R126" s="57"/>
      <x:c r="S126" s="57" t="str">
        <x:v>B.J. Moffitt</x:v>
      </x:c>
      <x:c r="T126" s="57" t="str">
        <x:v>USA</x:v>
      </x:c>
      <x:c r="U126" s="57" t="str">
        <x:v>United States</x:v>
      </x:c>
      <x:c r="V126" s="57" t="str">
        <x:v>U</x:v>
      </x:c>
      <x:c r="W126" s="57" t="n">
        <x:v>2</x:v>
      </x:c>
      <x:c r="X126" s="57" t="n">
        <x:v>19</x:v>
      </x:c>
      <x:c r="Y126" s="57" t="str">
        <x:v>Completed</x:v>
      </x:c>
      <x:c r="Z126" s="57" t="str">
        <x:v>Recorded</x:v>
      </x:c>
      <x:c r="AA126" s="57" t="n">
        <x:v>3</x:v>
      </x:c>
      <x:c r="AB126" s="57" t="str">
        <x:v>No</x:v>
      </x:c>
      <x:c r="AC126" s="57" t="str">
        <x:v>1960s</x:v>
      </x:c>
      <x:c r="AD126" s="57" t="str">
        <x:v>Seeded</x:v>
      </x:c>
      <x:c r="AE126" s="58" t="str">
        <x:v>Unseeded/unknown</x:v>
      </x:c>
    </x:row>
    <x:row r="127">
      <x:c r="A127" s="56" t="n">
        <x:v>1963</x:v>
      </x:c>
      <x:c r="B127" s="57" t="str">
        <x:v>Men's</x:v>
      </x:c>
      <x:c r="C127" s="57" t="str">
        <x:v>C.R. McKinley</x:v>
      </x:c>
      <x:c r="D127" s="57" t="str">
        <x:v>USA</x:v>
      </x:c>
      <x:c r="E127" s="57" t="str">
        <x:v>United States</x:v>
      </x:c>
      <x:c r="F127" s="57" t="n">
        <x:v>4</x:v>
      </x:c>
      <x:c r="G127" s="57" t="n">
        <x:v>78</x:v>
      </x:c>
      <x:c r="H127" s="57" t="str">
        <x:v>9-7, 6-1, 6-4</x:v>
      </x:c>
      <x:c r="I127" s="57" t="n">
        <x:v>9</x:v>
      </x:c>
      <x:c r="J127" s="57" t="n">
        <x:v>7</x:v>
      </x:c>
      <x:c r="K127" s="57" t="n">
        <x:v>6</x:v>
      </x:c>
      <x:c r="L127" s="57" t="n">
        <x:v>1</x:v>
      </x:c>
      <x:c r="M127" s="57" t="n">
        <x:v>6</x:v>
      </x:c>
      <x:c r="N127" s="57" t="n">
        <x:v>4</x:v>
      </x:c>
      <x:c r="O127" s="57"/>
      <x:c r="P127" s="57"/>
      <x:c r="Q127" s="57"/>
      <x:c r="R127" s="57"/>
      <x:c r="S127" s="57" t="str">
        <x:v>F.S. Stolle</x:v>
      </x:c>
      <x:c r="T127" s="57" t="str">
        <x:v>AUS</x:v>
      </x:c>
      <x:c r="U127" s="57" t="str">
        <x:v>Australia</x:v>
      </x:c>
      <x:c r="V127" s="57" t="str">
        <x:v>U</x:v>
      </x:c>
      <x:c r="W127" s="57" t="n">
        <x:v>3</x:v>
      </x:c>
      <x:c r="X127" s="57" t="n">
        <x:v>33</x:v>
      </x:c>
      <x:c r="Y127" s="57" t="str">
        <x:v>Completed</x:v>
      </x:c>
      <x:c r="Z127" s="57" t="str">
        <x:v>Recorded</x:v>
      </x:c>
      <x:c r="AA127" s="57" t="n">
        <x:v>1</x:v>
      </x:c>
      <x:c r="AB127" s="57" t="str">
        <x:v>No</x:v>
      </x:c>
      <x:c r="AC127" s="57" t="str">
        <x:v>1960s</x:v>
      </x:c>
      <x:c r="AD127" s="57" t="str">
        <x:v>Seeded</x:v>
      </x:c>
      <x:c r="AE127" s="58" t="str">
        <x:v>Unseeded/unknown</x:v>
      </x:c>
    </x:row>
    <x:row r="128">
      <x:c r="A128" s="56" t="n">
        <x:v>1962</x:v>
      </x:c>
      <x:c r="B128" s="57" t="str">
        <x:v>Women's</x:v>
      </x:c>
      <x:c r="C128" s="57" t="str">
        <x:v>J.R. Susman</x:v>
      </x:c>
      <x:c r="D128" s="57" t="str">
        <x:v>USA</x:v>
      </x:c>
      <x:c r="E128" s="57" t="str">
        <x:v>United States</x:v>
      </x:c>
      <x:c r="F128" s="57" t="n">
        <x:v>8</x:v>
      </x:c>
      <x:c r="G128" s="57" t="n">
        <x:v>57</x:v>
      </x:c>
      <x:c r="H128" s="57" t="str">
        <x:v>6-4, 6-4,</x:v>
      </x:c>
      <x:c r="I128" s="57" t="n">
        <x:v>6</x:v>
      </x:c>
      <x:c r="J128" s="57" t="n">
        <x:v>4</x:v>
      </x:c>
      <x:c r="K128" s="57" t="n">
        <x:v>6</x:v>
      </x:c>
      <x:c r="L128" s="57" t="n">
        <x:v>4</x:v>
      </x:c>
      <x:c r="M128" s="57"/>
      <x:c r="N128" s="57"/>
      <x:c r="O128" s="57"/>
      <x:c r="P128" s="57"/>
      <x:c r="Q128" s="57"/>
      <x:c r="R128" s="57"/>
      <x:c r="S128" s="57" t="str">
        <x:v>C. Sukova</x:v>
      </x:c>
      <x:c r="T128" s="57" t="str">
        <x:v>CZE</x:v>
      </x:c>
      <x:c r="U128" s="57" t="str">
        <x:v>Czechia</x:v>
      </x:c>
      <x:c r="V128" s="57" t="str">
        <x:v>U</x:v>
      </x:c>
      <x:c r="W128" s="57" t="n">
        <x:v>2</x:v>
      </x:c>
      <x:c r="X128" s="57" t="n">
        <x:v>20</x:v>
      </x:c>
      <x:c r="Y128" s="57" t="str">
        <x:v>Completed</x:v>
      </x:c>
      <x:c r="Z128" s="57" t="str">
        <x:v>Recorded</x:v>
      </x:c>
      <x:c r="AA128" s="57" t="n">
        <x:v>1</x:v>
      </x:c>
      <x:c r="AB128" s="57" t="str">
        <x:v>No</x:v>
      </x:c>
      <x:c r="AC128" s="57" t="str">
        <x:v>1960s</x:v>
      </x:c>
      <x:c r="AD128" s="57" t="str">
        <x:v>Seeded</x:v>
      </x:c>
      <x:c r="AE128" s="58" t="str">
        <x:v>Unseeded/unknown</x:v>
      </x:c>
    </x:row>
    <x:row r="129">
      <x:c r="A129" s="56" t="n">
        <x:v>1962</x:v>
      </x:c>
      <x:c r="B129" s="57" t="str">
        <x:v>Men's</x:v>
      </x:c>
      <x:c r="C129" s="57" t="str">
        <x:v>R.G. Laver</x:v>
      </x:c>
      <x:c r="D129" s="57" t="str">
        <x:v>AUS</x:v>
      </x:c>
      <x:c r="E129" s="57" t="str">
        <x:v>Australia</x:v>
      </x:c>
      <x:c r="F129" s="57" t="n">
        <x:v>1</x:v>
      </x:c>
      <x:c r="G129" s="57" t="n">
        <x:v>51</x:v>
      </x:c>
      <x:c r="H129" s="57" t="str">
        <x:v>6-2, 6-2, 6-1</x:v>
      </x:c>
      <x:c r="I129" s="57" t="n">
        <x:v>6</x:v>
      </x:c>
      <x:c r="J129" s="57" t="n">
        <x:v>2</x:v>
      </x:c>
      <x:c r="K129" s="57" t="n">
        <x:v>6</x:v>
      </x:c>
      <x:c r="L129" s="57" t="n">
        <x:v>2</x:v>
      </x:c>
      <x:c r="M129" s="57" t="n">
        <x:v>6</x:v>
      </x:c>
      <x:c r="N129" s="57" t="n">
        <x:v>1</x:v>
      </x:c>
      <x:c r="O129" s="57"/>
      <x:c r="P129" s="57"/>
      <x:c r="Q129" s="57"/>
      <x:c r="R129" s="57"/>
      <x:c r="S129" s="57" t="str">
        <x:v>M.F. Mulligan</x:v>
      </x:c>
      <x:c r="T129" s="57" t="str">
        <x:v>AUS</x:v>
      </x:c>
      <x:c r="U129" s="57" t="str">
        <x:v>Australia</x:v>
      </x:c>
      <x:c r="V129" s="57" t="str">
        <x:v>U</x:v>
      </x:c>
      <x:c r="W129" s="57" t="n">
        <x:v>3</x:v>
      </x:c>
      <x:c r="X129" s="57" t="n">
        <x:v>23</x:v>
      </x:c>
      <x:c r="Y129" s="57" t="str">
        <x:v>Completed</x:v>
      </x:c>
      <x:c r="Z129" s="57" t="str">
        <x:v>Recorded</x:v>
      </x:c>
      <x:c r="AA129" s="57" t="n">
        <x:v>4</x:v>
      </x:c>
      <x:c r="AB129" s="57" t="str">
        <x:v>No</x:v>
      </x:c>
      <x:c r="AC129" s="57" t="str">
        <x:v>1960s</x:v>
      </x:c>
      <x:c r="AD129" s="57" t="str">
        <x:v>Seeded</x:v>
      </x:c>
      <x:c r="AE129" s="58" t="str">
        <x:v>Unseeded/unknown</x:v>
      </x:c>
    </x:row>
    <x:row r="130">
      <x:c r="A130" s="56" t="n">
        <x:v>1961</x:v>
      </x:c>
      <x:c r="B130" s="57" t="str">
        <x:v>Women's</x:v>
      </x:c>
      <x:c r="C130" s="57" t="str">
        <x:v>F.A.M. Mortimer</x:v>
      </x:c>
      <x:c r="D130" s="57" t="str">
        <x:v>GBR</x:v>
      </x:c>
      <x:c r="E130" s="57" t="str">
        <x:v>United Kingdom</x:v>
      </x:c>
      <x:c r="F130" s="57" t="n">
        <x:v>7</x:v>
      </x:c>
      <x:c r="G130" s="57" t="n">
        <x:v>96</x:v>
      </x:c>
      <x:c r="H130" s="57" t="str">
        <x:v>4-6, 6-4, 7-5,</x:v>
      </x:c>
      <x:c r="I130" s="57" t="n">
        <x:v>4</x:v>
      </x:c>
      <x:c r="J130" s="57" t="n">
        <x:v>6</x:v>
      </x:c>
      <x:c r="K130" s="57" t="n">
        <x:v>6</x:v>
      </x:c>
      <x:c r="L130" s="57" t="n">
        <x:v>4</x:v>
      </x:c>
      <x:c r="M130" s="57" t="n">
        <x:v>7</x:v>
      </x:c>
      <x:c r="N130" s="57" t="n">
        <x:v>5</x:v>
      </x:c>
      <x:c r="O130" s="57"/>
      <x:c r="P130" s="57"/>
      <x:c r="Q130" s="57"/>
      <x:c r="R130" s="57"/>
      <x:c r="S130" s="57" t="str">
        <x:v>C.C. Truman</x:v>
      </x:c>
      <x:c r="T130" s="57" t="str">
        <x:v>GBR</x:v>
      </x:c>
      <x:c r="U130" s="57" t="str">
        <x:v>United Kingdom</x:v>
      </x:c>
      <x:c r="V130" s="57" t="n">
        <x:v>6</x:v>
      </x:c>
      <x:c r="W130" s="57" t="n">
        <x:v>3</x:v>
      </x:c>
      <x:c r="X130" s="57" t="n">
        <x:v>32</x:v>
      </x:c>
      <x:c r="Y130" s="57" t="str">
        <x:v>Completed</x:v>
      </x:c>
      <x:c r="Z130" s="57" t="str">
        <x:v>Recorded</x:v>
      </x:c>
      <x:c r="AA130" s="57" t="n">
        <x:v>1</x:v>
      </x:c>
      <x:c r="AB130" s="57" t="str">
        <x:v>No</x:v>
      </x:c>
      <x:c r="AC130" s="57" t="str">
        <x:v>1960s</x:v>
      </x:c>
      <x:c r="AD130" s="57" t="str">
        <x:v>Seeded</x:v>
      </x:c>
      <x:c r="AE130" s="58" t="str">
        <x:v>Seeded</x:v>
      </x:c>
    </x:row>
    <x:row r="131">
      <x:c r="A131" s="56" t="n">
        <x:v>1961</x:v>
      </x:c>
      <x:c r="B131" s="57" t="str">
        <x:v>Men's</x:v>
      </x:c>
      <x:c r="C131" s="57" t="str">
        <x:v>R.G. Laver</x:v>
      </x:c>
      <x:c r="D131" s="57" t="str">
        <x:v>AUS</x:v>
      </x:c>
      <x:c r="E131" s="57" t="str">
        <x:v>Australia</x:v>
      </x:c>
      <x:c r="F131" s="57" t="n">
        <x:v>2</x:v>
      </x:c>
      <x:c r="G131" s="57" t="n">
        <x:v>55</x:v>
      </x:c>
      <x:c r="H131" s="57" t="str">
        <x:v>6-3, 6-1, 6-4</x:v>
      </x:c>
      <x:c r="I131" s="57" t="n">
        <x:v>6</x:v>
      </x:c>
      <x:c r="J131" s="57" t="n">
        <x:v>3</x:v>
      </x:c>
      <x:c r="K131" s="57" t="n">
        <x:v>6</x:v>
      </x:c>
      <x:c r="L131" s="57" t="n">
        <x:v>1</x:v>
      </x:c>
      <x:c r="M131" s="57" t="n">
        <x:v>6</x:v>
      </x:c>
      <x:c r="N131" s="57" t="n">
        <x:v>4</x:v>
      </x:c>
      <x:c r="O131" s="57"/>
      <x:c r="P131" s="57"/>
      <x:c r="Q131" s="57"/>
      <x:c r="R131" s="57"/>
      <x:c r="S131" s="57" t="str">
        <x:v>C.R. McKinley</x:v>
      </x:c>
      <x:c r="T131" s="57" t="str">
        <x:v>USA</x:v>
      </x:c>
      <x:c r="U131" s="57" t="str">
        <x:v>United States</x:v>
      </x:c>
      <x:c r="V131" s="57" t="n">
        <x:v>8</x:v>
      </x:c>
      <x:c r="W131" s="57" t="n">
        <x:v>3</x:v>
      </x:c>
      <x:c r="X131" s="57" t="n">
        <x:v>26</x:v>
      </x:c>
      <x:c r="Y131" s="57" t="str">
        <x:v>Completed</x:v>
      </x:c>
      <x:c r="Z131" s="57" t="str">
        <x:v>Recorded</x:v>
      </x:c>
      <x:c r="AA131" s="57" t="n">
        <x:v>4</x:v>
      </x:c>
      <x:c r="AB131" s="57" t="str">
        <x:v>No</x:v>
      </x:c>
      <x:c r="AC131" s="57" t="str">
        <x:v>1960s</x:v>
      </x:c>
      <x:c r="AD131" s="57" t="str">
        <x:v>Seeded</x:v>
      </x:c>
      <x:c r="AE131" s="58" t="str">
        <x:v>Seeded</x:v>
      </x:c>
    </x:row>
    <x:row r="132">
      <x:c r="A132" s="56" t="n">
        <x:v>1960</x:v>
      </x:c>
      <x:c r="B132" s="57" t="str">
        <x:v>Women's</x:v>
      </x:c>
      <x:c r="C132" s="57" t="str">
        <x:v>M.E.A. Bueno</x:v>
      </x:c>
      <x:c r="D132" s="57" t="str">
        <x:v>BRA</x:v>
      </x:c>
      <x:c r="E132" s="57" t="str">
        <x:v>Brazil</x:v>
      </x:c>
      <x:c r="F132" s="57" t="n">
        <x:v>1</x:v>
      </x:c>
      <x:c r="G132" s="57" t="n">
        <x:v>59</x:v>
      </x:c>
      <x:c r="H132" s="57" t="str">
        <x:v>8-6, 6-0</x:v>
      </x:c>
      <x:c r="I132" s="57" t="n">
        <x:v>8</x:v>
      </x:c>
      <x:c r="J132" s="57" t="n">
        <x:v>6</x:v>
      </x:c>
      <x:c r="K132" s="57" t="n">
        <x:v>6</x:v>
      </x:c>
      <x:c r="L132" s="57" t="n">
        <x:v>0</x:v>
      </x:c>
      <x:c r="M132" s="57"/>
      <x:c r="N132" s="57"/>
      <x:c r="O132" s="57"/>
      <x:c r="P132" s="57"/>
      <x:c r="Q132" s="57"/>
      <x:c r="R132" s="57"/>
      <x:c r="S132" s="57" t="str">
        <x:v>S. Reynolds</x:v>
      </x:c>
      <x:c r="T132" s="57" t="str">
        <x:v>RSA</x:v>
      </x:c>
      <x:c r="U132" s="57" t="str">
        <x:v>South Africa</x:v>
      </x:c>
      <x:c r="V132" s="57" t="n">
        <x:v>8</x:v>
      </x:c>
      <x:c r="W132" s="57" t="n">
        <x:v>2</x:v>
      </x:c>
      <x:c r="X132" s="57" t="n">
        <x:v>20</x:v>
      </x:c>
      <x:c r="Y132" s="57" t="str">
        <x:v>Completed</x:v>
      </x:c>
      <x:c r="Z132" s="57" t="str">
        <x:v>Recorded</x:v>
      </x:c>
      <x:c r="AA132" s="57" t="n">
        <x:v>3</x:v>
      </x:c>
      <x:c r="AB132" s="57" t="str">
        <x:v>No</x:v>
      </x:c>
      <x:c r="AC132" s="57" t="str">
        <x:v>1960s</x:v>
      </x:c>
      <x:c r="AD132" s="57" t="str">
        <x:v>Seeded</x:v>
      </x:c>
      <x:c r="AE132" s="58" t="str">
        <x:v>Seeded</x:v>
      </x:c>
    </x:row>
    <x:row r="133">
      <x:c r="A133" s="56" t="n">
        <x:v>1960</x:v>
      </x:c>
      <x:c r="B133" s="57" t="str">
        <x:v>Men's</x:v>
      </x:c>
      <x:c r="C133" s="57" t="str">
        <x:v>N.A. Fraser</x:v>
      </x:c>
      <x:c r="D133" s="57" t="str">
        <x:v>AUS</x:v>
      </x:c>
      <x:c r="E133" s="57" t="str">
        <x:v>Australia</x:v>
      </x:c>
      <x:c r="F133" s="57" t="n">
        <x:v>1</x:v>
      </x:c>
      <x:c r="G133" s="57" t="n">
        <x:v>130</x:v>
      </x:c>
      <x:c r="H133" s="57" t="str">
        <x:v>6-4, 3-6, 9-7, 7-5</x:v>
      </x:c>
      <x:c r="I133" s="57" t="n">
        <x:v>6</x:v>
      </x:c>
      <x:c r="J133" s="57" t="n">
        <x:v>4</x:v>
      </x:c>
      <x:c r="K133" s="57" t="n">
        <x:v>3</x:v>
      </x:c>
      <x:c r="L133" s="57" t="n">
        <x:v>6</x:v>
      </x:c>
      <x:c r="M133" s="57" t="n">
        <x:v>9</x:v>
      </x:c>
      <x:c r="N133" s="57" t="n">
        <x:v>7</x:v>
      </x:c>
      <x:c r="O133" s="57" t="n">
        <x:v>7</x:v>
      </x:c>
      <x:c r="P133" s="57" t="n">
        <x:v>5</x:v>
      </x:c>
      <x:c r="Q133" s="57"/>
      <x:c r="R133" s="57"/>
      <x:c r="S133" s="57" t="str">
        <x:v>R.G. Laver</x:v>
      </x:c>
      <x:c r="T133" s="57" t="str">
        <x:v>AUS</x:v>
      </x:c>
      <x:c r="U133" s="57" t="str">
        <x:v>Australia</x:v>
      </x:c>
      <x:c r="V133" s="57" t="n">
        <x:v>3</x:v>
      </x:c>
      <x:c r="W133" s="57" t="n">
        <x:v>4</x:v>
      </x:c>
      <x:c r="X133" s="57" t="n">
        <x:v>47</x:v>
      </x:c>
      <x:c r="Y133" s="57" t="str">
        <x:v>Completed</x:v>
      </x:c>
      <x:c r="Z133" s="57" t="str">
        <x:v>Recorded</x:v>
      </x:c>
      <x:c r="AA133" s="57" t="n">
        <x:v>1</x:v>
      </x:c>
      <x:c r="AB133" s="57" t="str">
        <x:v>No</x:v>
      </x:c>
      <x:c r="AC133" s="57" t="str">
        <x:v>1960s</x:v>
      </x:c>
      <x:c r="AD133" s="57" t="str">
        <x:v>Seeded</x:v>
      </x:c>
      <x:c r="AE133" s="58" t="str">
        <x:v>Seeded</x:v>
      </x:c>
    </x:row>
    <x:row r="134">
      <x:c r="A134" s="56" t="n">
        <x:v>1959</x:v>
      </x:c>
      <x:c r="B134" s="57" t="str">
        <x:v>Women's</x:v>
      </x:c>
      <x:c r="C134" s="57" t="str">
        <x:v>M.E.A. Bueno</x:v>
      </x:c>
      <x:c r="D134" s="57" t="str">
        <x:v>BRA</x:v>
      </x:c>
      <x:c r="E134" s="57" t="str">
        <x:v>Brazil</x:v>
      </x:c>
      <x:c r="F134" s="57" t="n">
        <x:v>6</x:v>
      </x:c>
      <x:c r="G134" s="57" t="n">
        <x:v>43</x:v>
      </x:c>
      <x:c r="H134" s="57" t="str">
        <x:v>6-4, 6-3,</x:v>
      </x:c>
      <x:c r="I134" s="57" t="n">
        <x:v>6</x:v>
      </x:c>
      <x:c r="J134" s="57" t="n">
        <x:v>4</x:v>
      </x:c>
      <x:c r="K134" s="57" t="n">
        <x:v>6</x:v>
      </x:c>
      <x:c r="L134" s="57" t="n">
        <x:v>3</x:v>
      </x:c>
      <x:c r="M134" s="57"/>
      <x:c r="N134" s="57"/>
      <x:c r="O134" s="57"/>
      <x:c r="P134" s="57"/>
      <x:c r="Q134" s="57"/>
      <x:c r="R134" s="57"/>
      <x:c r="S134" s="57" t="str">
        <x:v>D.R. Hard</x:v>
      </x:c>
      <x:c r="T134" s="57" t="str">
        <x:v>USA</x:v>
      </x:c>
      <x:c r="U134" s="57" t="str">
        <x:v>United States</x:v>
      </x:c>
      <x:c r="V134" s="57" t="n">
        <x:v>4</x:v>
      </x:c>
      <x:c r="W134" s="57" t="n">
        <x:v>2</x:v>
      </x:c>
      <x:c r="X134" s="57" t="n">
        <x:v>19</x:v>
      </x:c>
      <x:c r="Y134" s="57" t="str">
        <x:v>Completed</x:v>
      </x:c>
      <x:c r="Z134" s="57" t="str">
        <x:v>Recorded</x:v>
      </x:c>
      <x:c r="AA134" s="57" t="n">
        <x:v>3</x:v>
      </x:c>
      <x:c r="AB134" s="57" t="str">
        <x:v>No</x:v>
      </x:c>
      <x:c r="AC134" s="57" t="str">
        <x:v>1950s</x:v>
      </x:c>
      <x:c r="AD134" s="57" t="str">
        <x:v>Seeded</x:v>
      </x:c>
      <x:c r="AE134" s="58" t="str">
        <x:v>Seeded</x:v>
      </x:c>
    </x:row>
    <x:row r="135">
      <x:c r="A135" s="56" t="n">
        <x:v>1959</x:v>
      </x:c>
      <x:c r="B135" s="57" t="str">
        <x:v>Men's</x:v>
      </x:c>
      <x:c r="C135" s="57" t="str">
        <x:v>A.R. Olmedo</x:v>
      </x:c>
      <x:c r="D135" s="57" t="str">
        <x:v>USA</x:v>
      </x:c>
      <x:c r="E135" s="57" t="str">
        <x:v>United States</x:v>
      </x:c>
      <x:c r="F135" s="57" t="n">
        <x:v>1</x:v>
      </x:c>
      <x:c r="G135" s="57" t="n">
        <x:v>71</x:v>
      </x:c>
      <x:c r="H135" s="57" t="str">
        <x:v>6-4, 6-3, 6-4</x:v>
      </x:c>
      <x:c r="I135" s="57" t="n">
        <x:v>6</x:v>
      </x:c>
      <x:c r="J135" s="57" t="n">
        <x:v>4</x:v>
      </x:c>
      <x:c r="K135" s="57" t="n">
        <x:v>6</x:v>
      </x:c>
      <x:c r="L135" s="57" t="n">
        <x:v>3</x:v>
      </x:c>
      <x:c r="M135" s="57" t="n">
        <x:v>6</x:v>
      </x:c>
      <x:c r="N135" s="57" t="n">
        <x:v>4</x:v>
      </x:c>
      <x:c r="O135" s="57"/>
      <x:c r="P135" s="57"/>
      <x:c r="Q135" s="57"/>
      <x:c r="R135" s="57"/>
      <x:c r="S135" s="57" t="str">
        <x:v>R.G. Laver</x:v>
      </x:c>
      <x:c r="T135" s="57" t="str">
        <x:v>AUS</x:v>
      </x:c>
      <x:c r="U135" s="57" t="str">
        <x:v>Australia</x:v>
      </x:c>
      <x:c r="V135" s="57" t="str">
        <x:v>U</x:v>
      </x:c>
      <x:c r="W135" s="57" t="n">
        <x:v>3</x:v>
      </x:c>
      <x:c r="X135" s="57" t="n">
        <x:v>29</x:v>
      </x:c>
      <x:c r="Y135" s="57" t="str">
        <x:v>Completed</x:v>
      </x:c>
      <x:c r="Z135" s="57" t="str">
        <x:v>Recorded</x:v>
      </x:c>
      <x:c r="AA135" s="57" t="n">
        <x:v>1</x:v>
      </x:c>
      <x:c r="AB135" s="57" t="str">
        <x:v>No</x:v>
      </x:c>
      <x:c r="AC135" s="57" t="str">
        <x:v>1950s</x:v>
      </x:c>
      <x:c r="AD135" s="57" t="str">
        <x:v>Seeded</x:v>
      </x:c>
      <x:c r="AE135" s="58" t="str">
        <x:v>Unseeded/unknown</x:v>
      </x:c>
    </x:row>
    <x:row r="136">
      <x:c r="A136" s="56" t="n">
        <x:v>1958</x:v>
      </x:c>
      <x:c r="B136" s="57" t="str">
        <x:v>Women's</x:v>
      </x:c>
      <x:c r="C136" s="57" t="str">
        <x:v>A. Gibson</x:v>
      </x:c>
      <x:c r="D136" s="57" t="str">
        <x:v>USA</x:v>
      </x:c>
      <x:c r="E136" s="57" t="str">
        <x:v>United States</x:v>
      </x:c>
      <x:c r="F136" s="57" t="n">
        <x:v>1</x:v>
      </x:c>
      <x:c r="G136" s="57" t="n">
        <x:v>62</x:v>
      </x:c>
      <x:c r="H136" s="57" t="str">
        <x:v>8-6, 6-2,</x:v>
      </x:c>
      <x:c r="I136" s="57" t="n">
        <x:v>8</x:v>
      </x:c>
      <x:c r="J136" s="57" t="n">
        <x:v>6</x:v>
      </x:c>
      <x:c r="K136" s="57" t="n">
        <x:v>6</x:v>
      </x:c>
      <x:c r="L136" s="57" t="n">
        <x:v>2</x:v>
      </x:c>
      <x:c r="M136" s="57"/>
      <x:c r="N136" s="57"/>
      <x:c r="O136" s="57"/>
      <x:c r="P136" s="57"/>
      <x:c r="Q136" s="57"/>
      <x:c r="R136" s="57"/>
      <x:c r="S136" s="57" t="str">
        <x:v>F.A.M. Mortimer</x:v>
      </x:c>
      <x:c r="T136" s="57" t="str">
        <x:v>GBR</x:v>
      </x:c>
      <x:c r="U136" s="57" t="str">
        <x:v>United Kingdom</x:v>
      </x:c>
      <x:c r="V136" s="57" t="str">
        <x:v>U</x:v>
      </x:c>
      <x:c r="W136" s="57" t="n">
        <x:v>2</x:v>
      </x:c>
      <x:c r="X136" s="57" t="n">
        <x:v>22</x:v>
      </x:c>
      <x:c r="Y136" s="57" t="str">
        <x:v>Completed</x:v>
      </x:c>
      <x:c r="Z136" s="57" t="str">
        <x:v>Recorded</x:v>
      </x:c>
      <x:c r="AA136" s="57" t="n">
        <x:v>2</x:v>
      </x:c>
      <x:c r="AB136" s="57" t="str">
        <x:v>No</x:v>
      </x:c>
      <x:c r="AC136" s="57" t="str">
        <x:v>1950s</x:v>
      </x:c>
      <x:c r="AD136" s="57" t="str">
        <x:v>Seeded</x:v>
      </x:c>
      <x:c r="AE136" s="58" t="str">
        <x:v>Unseeded/unknown</x:v>
      </x:c>
    </x:row>
    <x:row r="137">
      <x:c r="A137" s="56" t="n">
        <x:v>1958</x:v>
      </x:c>
      <x:c r="B137" s="57" t="str">
        <x:v>Men's</x:v>
      </x:c>
      <x:c r="C137" s="57" t="str">
        <x:v>A.J. Cooper</x:v>
      </x:c>
      <x:c r="D137" s="57" t="str">
        <x:v>AUS</x:v>
      </x:c>
      <x:c r="E137" s="57" t="str">
        <x:v>Australia</x:v>
      </x:c>
      <x:c r="F137" s="57" t="n">
        <x:v>1</x:v>
      </x:c>
      <x:c r="G137" s="57" t="n">
        <x:v>130</x:v>
      </x:c>
      <x:c r="H137" s="57" t="str">
        <x:v>3-6, 6-3, 6-4, 13-11</x:v>
      </x:c>
      <x:c r="I137" s="57" t="n">
        <x:v>3</x:v>
      </x:c>
      <x:c r="J137" s="57" t="n">
        <x:v>6</x:v>
      </x:c>
      <x:c r="K137" s="57" t="n">
        <x:v>6</x:v>
      </x:c>
      <x:c r="L137" s="57" t="n">
        <x:v>3</x:v>
      </x:c>
      <x:c r="M137" s="57" t="n">
        <x:v>6</x:v>
      </x:c>
      <x:c r="N137" s="57" t="n">
        <x:v>4</x:v>
      </x:c>
      <x:c r="O137" s="57" t="n">
        <x:v>13</x:v>
      </x:c>
      <x:c r="P137" s="57" t="n">
        <x:v>11</x:v>
      </x:c>
      <x:c r="Q137" s="57"/>
      <x:c r="R137" s="57"/>
      <x:c r="S137" s="57" t="str">
        <x:v>N.A. Fraser</x:v>
      </x:c>
      <x:c r="T137" s="57" t="str">
        <x:v>AUS</x:v>
      </x:c>
      <x:c r="U137" s="57" t="str">
        <x:v>Australia</x:v>
      </x:c>
      <x:c r="V137" s="57" t="n">
        <x:v>4</x:v>
      </x:c>
      <x:c r="W137" s="57" t="n">
        <x:v>4</x:v>
      </x:c>
      <x:c r="X137" s="57" t="n">
        <x:v>52</x:v>
      </x:c>
      <x:c r="Y137" s="57" t="str">
        <x:v>Completed</x:v>
      </x:c>
      <x:c r="Z137" s="57" t="str">
        <x:v>Recorded</x:v>
      </x:c>
      <x:c r="AA137" s="57" t="n">
        <x:v>1</x:v>
      </x:c>
      <x:c r="AB137" s="57" t="str">
        <x:v>No</x:v>
      </x:c>
      <x:c r="AC137" s="57" t="str">
        <x:v>1950s</x:v>
      </x:c>
      <x:c r="AD137" s="57" t="str">
        <x:v>Seeded</x:v>
      </x:c>
      <x:c r="AE137" s="58" t="str">
        <x:v>Seeded</x:v>
      </x:c>
    </x:row>
    <x:row r="138">
      <x:c r="A138" s="56" t="n">
        <x:v>1957</x:v>
      </x:c>
      <x:c r="B138" s="57" t="str">
        <x:v>Women's</x:v>
      </x:c>
      <x:c r="C138" s="57" t="str">
        <x:v>A. Gibson</x:v>
      </x:c>
      <x:c r="D138" s="57" t="str">
        <x:v>USA</x:v>
      </x:c>
      <x:c r="E138" s="57" t="str">
        <x:v>United States</x:v>
      </x:c>
      <x:c r="F138" s="57" t="n">
        <x:v>1</x:v>
      </x:c>
      <x:c r="G138" s="57" t="n">
        <x:v>50</x:v>
      </x:c>
      <x:c r="H138" s="57" t="str">
        <x:v>6-3, 6-2,</x:v>
      </x:c>
      <x:c r="I138" s="57" t="n">
        <x:v>6</x:v>
      </x:c>
      <x:c r="J138" s="57" t="n">
        <x:v>3</x:v>
      </x:c>
      <x:c r="K138" s="57" t="n">
        <x:v>6</x:v>
      </x:c>
      <x:c r="L138" s="57" t="n">
        <x:v>2</x:v>
      </x:c>
      <x:c r="M138" s="57"/>
      <x:c r="N138" s="57"/>
      <x:c r="O138" s="57"/>
      <x:c r="P138" s="57"/>
      <x:c r="Q138" s="57"/>
      <x:c r="R138" s="57"/>
      <x:c r="S138" s="57" t="str">
        <x:v>D.R. Hard</x:v>
      </x:c>
      <x:c r="T138" s="57" t="str">
        <x:v>USA</x:v>
      </x:c>
      <x:c r="U138" s="57" t="str">
        <x:v>United States</x:v>
      </x:c>
      <x:c r="V138" s="57" t="n">
        <x:v>5</x:v>
      </x:c>
      <x:c r="W138" s="57" t="n">
        <x:v>2</x:v>
      </x:c>
      <x:c r="X138" s="57" t="n">
        <x:v>17</x:v>
      </x:c>
      <x:c r="Y138" s="57" t="str">
        <x:v>Completed</x:v>
      </x:c>
      <x:c r="Z138" s="57" t="str">
        <x:v>Recorded</x:v>
      </x:c>
      <x:c r="AA138" s="57" t="n">
        <x:v>2</x:v>
      </x:c>
      <x:c r="AB138" s="57" t="str">
        <x:v>No</x:v>
      </x:c>
      <x:c r="AC138" s="57" t="str">
        <x:v>1950s</x:v>
      </x:c>
      <x:c r="AD138" s="57" t="str">
        <x:v>Seeded</x:v>
      </x:c>
      <x:c r="AE138" s="58" t="str">
        <x:v>Seeded</x:v>
      </x:c>
    </x:row>
    <x:row r="139">
      <x:c r="A139" s="56" t="n">
        <x:v>1957</x:v>
      </x:c>
      <x:c r="B139" s="57" t="str">
        <x:v>Men's</x:v>
      </x:c>
      <x:c r="C139" s="57" t="str">
        <x:v>L.A. Hoad</x:v>
      </x:c>
      <x:c r="D139" s="57" t="str">
        <x:v>AUS</x:v>
      </x:c>
      <x:c r="E139" s="57" t="str">
        <x:v>Australia</x:v>
      </x:c>
      <x:c r="F139" s="57" t="n">
        <x:v>1</x:v>
      </x:c>
      <x:c r="G139" s="57" t="n">
        <x:v>57</x:v>
      </x:c>
      <x:c r="H139" s="57" t="str">
        <x:v>6-2, 6-1, 6-2</x:v>
      </x:c>
      <x:c r="I139" s="57" t="n">
        <x:v>6</x:v>
      </x:c>
      <x:c r="J139" s="57" t="n">
        <x:v>2</x:v>
      </x:c>
      <x:c r="K139" s="57" t="n">
        <x:v>6</x:v>
      </x:c>
      <x:c r="L139" s="57" t="n">
        <x:v>1</x:v>
      </x:c>
      <x:c r="M139" s="57" t="n">
        <x:v>6</x:v>
      </x:c>
      <x:c r="N139" s="57" t="n">
        <x:v>2</x:v>
      </x:c>
      <x:c r="O139" s="57"/>
      <x:c r="P139" s="57"/>
      <x:c r="Q139" s="57"/>
      <x:c r="R139" s="57"/>
      <x:c r="S139" s="57" t="str">
        <x:v>A.J. Cooper</x:v>
      </x:c>
      <x:c r="T139" s="57" t="str">
        <x:v>AUS</x:v>
      </x:c>
      <x:c r="U139" s="57" t="str">
        <x:v>Australia</x:v>
      </x:c>
      <x:c r="V139" s="57" t="n">
        <x:v>2</x:v>
      </x:c>
      <x:c r="W139" s="57" t="n">
        <x:v>3</x:v>
      </x:c>
      <x:c r="X139" s="57" t="n">
        <x:v>23</x:v>
      </x:c>
      <x:c r="Y139" s="57" t="str">
        <x:v>Completed</x:v>
      </x:c>
      <x:c r="Z139" s="57" t="str">
        <x:v>Recorded</x:v>
      </x:c>
      <x:c r="AA139" s="57" t="n">
        <x:v>2</x:v>
      </x:c>
      <x:c r="AB139" s="57" t="str">
        <x:v>No</x:v>
      </x:c>
      <x:c r="AC139" s="57" t="str">
        <x:v>1950s</x:v>
      </x:c>
      <x:c r="AD139" s="57" t="str">
        <x:v>Seeded</x:v>
      </x:c>
      <x:c r="AE139" s="58" t="str">
        <x:v>Seeded</x:v>
      </x:c>
    </x:row>
    <x:row r="140">
      <x:c r="A140" s="56" t="n">
        <x:v>1956</x:v>
      </x:c>
      <x:c r="B140" s="57" t="str">
        <x:v>Women's</x:v>
      </x:c>
      <x:c r="C140" s="57" t="str">
        <x:v>S.J. Fry</x:v>
      </x:c>
      <x:c r="D140" s="57" t="str">
        <x:v>USA</x:v>
      </x:c>
      <x:c r="E140" s="57" t="str">
        <x:v>United States</x:v>
      </x:c>
      <x:c r="F140" s="57" t="n">
        <x:v>5</x:v>
      </x:c>
      <x:c r="G140" s="57" t="n">
        <x:v>50</x:v>
      </x:c>
      <x:c r="H140" s="57" t="str">
        <x:v>6-3, 6-1,</x:v>
      </x:c>
      <x:c r="I140" s="57" t="n">
        <x:v>6</x:v>
      </x:c>
      <x:c r="J140" s="57" t="n">
        <x:v>3</x:v>
      </x:c>
      <x:c r="K140" s="57" t="n">
        <x:v>6</x:v>
      </x:c>
      <x:c r="L140" s="57" t="n">
        <x:v>1</x:v>
      </x:c>
      <x:c r="M140" s="57"/>
      <x:c r="N140" s="57"/>
      <x:c r="O140" s="57"/>
      <x:c r="P140" s="57"/>
      <x:c r="Q140" s="57"/>
      <x:c r="R140" s="57"/>
      <x:c r="S140" s="57" t="str">
        <x:v>A. Buxton</x:v>
      </x:c>
      <x:c r="T140" s="57" t="str">
        <x:v>GBR</x:v>
      </x:c>
      <x:c r="U140" s="57" t="str">
        <x:v>United Kingdom</x:v>
      </x:c>
      <x:c r="V140" s="57" t="n">
        <x:v>6</x:v>
      </x:c>
      <x:c r="W140" s="57" t="n">
        <x:v>2</x:v>
      </x:c>
      <x:c r="X140" s="57" t="n">
        <x:v>16</x:v>
      </x:c>
      <x:c r="Y140" s="57" t="str">
        <x:v>Completed</x:v>
      </x:c>
      <x:c r="Z140" s="57" t="str">
        <x:v>Recorded</x:v>
      </x:c>
      <x:c r="AA140" s="57" t="n">
        <x:v>1</x:v>
      </x:c>
      <x:c r="AB140" s="57" t="str">
        <x:v>No</x:v>
      </x:c>
      <x:c r="AC140" s="57" t="str">
        <x:v>1950s</x:v>
      </x:c>
      <x:c r="AD140" s="57" t="str">
        <x:v>Seeded</x:v>
      </x:c>
      <x:c r="AE140" s="58" t="str">
        <x:v>Seeded</x:v>
      </x:c>
    </x:row>
    <x:row r="141">
      <x:c r="A141" s="56" t="n">
        <x:v>1956</x:v>
      </x:c>
      <x:c r="B141" s="57" t="str">
        <x:v>Men's</x:v>
      </x:c>
      <x:c r="C141" s="57" t="str">
        <x:v>L.A. Hoad</x:v>
      </x:c>
      <x:c r="D141" s="57" t="str">
        <x:v>AUS</x:v>
      </x:c>
      <x:c r="E141" s="57" t="str">
        <x:v>Australia</x:v>
      </x:c>
      <x:c r="F141" s="57" t="n">
        <x:v>1</x:v>
      </x:c>
      <x:c r="G141" s="57" t="n">
        <x:v>117</x:v>
      </x:c>
      <x:c r="H141" s="57" t="str">
        <x:v>6-2, 4-6, 7-5, 6-4</x:v>
      </x:c>
      <x:c r="I141" s="57" t="n">
        <x:v>6</x:v>
      </x:c>
      <x:c r="J141" s="57" t="n">
        <x:v>2</x:v>
      </x:c>
      <x:c r="K141" s="57" t="n">
        <x:v>4</x:v>
      </x:c>
      <x:c r="L141" s="57" t="n">
        <x:v>6</x:v>
      </x:c>
      <x:c r="M141" s="57" t="n">
        <x:v>7</x:v>
      </x:c>
      <x:c r="N141" s="57" t="n">
        <x:v>5</x:v>
      </x:c>
      <x:c r="O141" s="57" t="n">
        <x:v>6</x:v>
      </x:c>
      <x:c r="P141" s="57" t="n">
        <x:v>4</x:v>
      </x:c>
      <x:c r="Q141" s="57"/>
      <x:c r="R141" s="57"/>
      <x:c r="S141" s="57" t="str">
        <x:v>K.R. Rosewall</x:v>
      </x:c>
      <x:c r="T141" s="57" t="str">
        <x:v>AUS</x:v>
      </x:c>
      <x:c r="U141" s="57" t="str">
        <x:v>Australia</x:v>
      </x:c>
      <x:c r="V141" s="57" t="n">
        <x:v>2</x:v>
      </x:c>
      <x:c r="W141" s="57" t="n">
        <x:v>4</x:v>
      </x:c>
      <x:c r="X141" s="57" t="n">
        <x:v>40</x:v>
      </x:c>
      <x:c r="Y141" s="57" t="str">
        <x:v>Completed</x:v>
      </x:c>
      <x:c r="Z141" s="57" t="str">
        <x:v>Recorded</x:v>
      </x:c>
      <x:c r="AA141" s="57" t="n">
        <x:v>2</x:v>
      </x:c>
      <x:c r="AB141" s="57" t="str">
        <x:v>No</x:v>
      </x:c>
      <x:c r="AC141" s="57" t="str">
        <x:v>1950s</x:v>
      </x:c>
      <x:c r="AD141" s="57" t="str">
        <x:v>Seeded</x:v>
      </x:c>
      <x:c r="AE141" s="58" t="str">
        <x:v>Seeded</x:v>
      </x:c>
    </x:row>
    <x:row r="142">
      <x:c r="A142" s="56" t="n">
        <x:v>1955</x:v>
      </x:c>
      <x:c r="B142" s="57" t="str">
        <x:v>Women's</x:v>
      </x:c>
      <x:c r="C142" s="57" t="str">
        <x:v>A.L. Brough</x:v>
      </x:c>
      <x:c r="D142" s="57" t="str">
        <x:v>USA</x:v>
      </x:c>
      <x:c r="E142" s="57" t="str">
        <x:v>United States</x:v>
      </x:c>
      <x:c r="F142" s="57" t="n">
        <x:v>2</x:v>
      </x:c>
      <x:c r="G142" s="57" t="n">
        <x:v>90</x:v>
      </x:c>
      <x:c r="H142" s="57" t="str">
        <x:v>7-5, 8-6,</x:v>
      </x:c>
      <x:c r="I142" s="57" t="n">
        <x:v>7</x:v>
      </x:c>
      <x:c r="J142" s="57" t="n">
        <x:v>5</x:v>
      </x:c>
      <x:c r="K142" s="57" t="n">
        <x:v>8</x:v>
      </x:c>
      <x:c r="L142" s="57" t="n">
        <x:v>6</x:v>
      </x:c>
      <x:c r="M142" s="57"/>
      <x:c r="N142" s="57"/>
      <x:c r="O142" s="57"/>
      <x:c r="P142" s="57"/>
      <x:c r="Q142" s="57"/>
      <x:c r="R142" s="57"/>
      <x:c r="S142" s="57" t="str">
        <x:v>J.G. Fleitz</x:v>
      </x:c>
      <x:c r="T142" s="57" t="str">
        <x:v>USA</x:v>
      </x:c>
      <x:c r="U142" s="57" t="str">
        <x:v>United States</x:v>
      </x:c>
      <x:c r="V142" s="57" t="n">
        <x:v>3</x:v>
      </x:c>
      <x:c r="W142" s="57" t="n">
        <x:v>2</x:v>
      </x:c>
      <x:c r="X142" s="57" t="n">
        <x:v>26</x:v>
      </x:c>
      <x:c r="Y142" s="57" t="str">
        <x:v>Completed</x:v>
      </x:c>
      <x:c r="Z142" s="57" t="str">
        <x:v>Recorded</x:v>
      </x:c>
      <x:c r="AA142" s="57" t="n">
        <x:v>4</x:v>
      </x:c>
      <x:c r="AB142" s="57" t="str">
        <x:v>No</x:v>
      </x:c>
      <x:c r="AC142" s="57" t="str">
        <x:v>1950s</x:v>
      </x:c>
      <x:c r="AD142" s="57" t="str">
        <x:v>Seeded</x:v>
      </x:c>
      <x:c r="AE142" s="58" t="str">
        <x:v>Seeded</x:v>
      </x:c>
    </x:row>
    <x:row r="143">
      <x:c r="A143" s="56" t="n">
        <x:v>1955</x:v>
      </x:c>
      <x:c r="B143" s="57" t="str">
        <x:v>Men's</x:v>
      </x:c>
      <x:c r="C143" s="57" t="str">
        <x:v>M.A. Trabert</x:v>
      </x:c>
      <x:c r="D143" s="57" t="str">
        <x:v>USA</x:v>
      </x:c>
      <x:c r="E143" s="57" t="str">
        <x:v>United States</x:v>
      </x:c>
      <x:c r="F143" s="57" t="n">
        <x:v>1</x:v>
      </x:c>
      <x:c r="G143" s="57" t="n">
        <x:v>73</x:v>
      </x:c>
      <x:c r="H143" s="57" t="str">
        <x:v>6-3, 7-5, 6-1</x:v>
      </x:c>
      <x:c r="I143" s="57" t="n">
        <x:v>6</x:v>
      </x:c>
      <x:c r="J143" s="57" t="n">
        <x:v>3</x:v>
      </x:c>
      <x:c r="K143" s="57" t="n">
        <x:v>7</x:v>
      </x:c>
      <x:c r="L143" s="57" t="n">
        <x:v>5</x:v>
      </x:c>
      <x:c r="M143" s="57" t="n">
        <x:v>6</x:v>
      </x:c>
      <x:c r="N143" s="57" t="n">
        <x:v>1</x:v>
      </x:c>
      <x:c r="O143" s="57"/>
      <x:c r="P143" s="57"/>
      <x:c r="Q143" s="57"/>
      <x:c r="R143" s="57"/>
      <x:c r="S143" s="57" t="str">
        <x:v>K. Nielsen</x:v>
      </x:c>
      <x:c r="T143" s="57" t="str">
        <x:v>DEN</x:v>
      </x:c>
      <x:c r="U143" s="57" t="str">
        <x:v>Denmark</x:v>
      </x:c>
      <x:c r="V143" s="57" t="str">
        <x:v>U</x:v>
      </x:c>
      <x:c r="W143" s="57" t="n">
        <x:v>3</x:v>
      </x:c>
      <x:c r="X143" s="57" t="n">
        <x:v>28</x:v>
      </x:c>
      <x:c r="Y143" s="57" t="str">
        <x:v>Completed</x:v>
      </x:c>
      <x:c r="Z143" s="57" t="str">
        <x:v>Recorded</x:v>
      </x:c>
      <x:c r="AA143" s="57" t="n">
        <x:v>1</x:v>
      </x:c>
      <x:c r="AB143" s="57" t="str">
        <x:v>No</x:v>
      </x:c>
      <x:c r="AC143" s="57" t="str">
        <x:v>1950s</x:v>
      </x:c>
      <x:c r="AD143" s="57" t="str">
        <x:v>Seeded</x:v>
      </x:c>
      <x:c r="AE143" s="58" t="str">
        <x:v>Unseeded/unknown</x:v>
      </x:c>
    </x:row>
    <x:row r="144">
      <x:c r="A144" s="56" t="n">
        <x:v>1954</x:v>
      </x:c>
      <x:c r="B144" s="57" t="str">
        <x:v>Women's</x:v>
      </x:c>
      <x:c r="C144" s="57" t="str">
        <x:v>M.C. Connolly</x:v>
      </x:c>
      <x:c r="D144" s="57" t="str">
        <x:v>USA</x:v>
      </x:c>
      <x:c r="E144" s="57" t="str">
        <x:v>United States</x:v>
      </x:c>
      <x:c r="F144" s="57" t="n">
        <x:v>1</x:v>
      </x:c>
      <x:c r="G144" s="57" t="n">
        <x:v>50</x:v>
      </x:c>
      <x:c r="H144" s="57" t="str">
        <x:v>6-2, 7-5,</x:v>
      </x:c>
      <x:c r="I144" s="57" t="n">
        <x:v>6</x:v>
      </x:c>
      <x:c r="J144" s="57" t="n">
        <x:v>2</x:v>
      </x:c>
      <x:c r="K144" s="57" t="n">
        <x:v>7</x:v>
      </x:c>
      <x:c r="L144" s="57" t="n">
        <x:v>5</x:v>
      </x:c>
      <x:c r="M144" s="57"/>
      <x:c r="N144" s="57"/>
      <x:c r="O144" s="57"/>
      <x:c r="P144" s="57"/>
      <x:c r="Q144" s="57"/>
      <x:c r="R144" s="57"/>
      <x:c r="S144" s="57" t="str">
        <x:v>A.L. Brough</x:v>
      </x:c>
      <x:c r="T144" s="57" t="str">
        <x:v>USA</x:v>
      </x:c>
      <x:c r="U144" s="57" t="str">
        <x:v>United States</x:v>
      </x:c>
      <x:c r="V144" s="57" t="n">
        <x:v>4</x:v>
      </x:c>
      <x:c r="W144" s="57" t="n">
        <x:v>2</x:v>
      </x:c>
      <x:c r="X144" s="57" t="n">
        <x:v>20</x:v>
      </x:c>
      <x:c r="Y144" s="57" t="str">
        <x:v>Completed</x:v>
      </x:c>
      <x:c r="Z144" s="57" t="str">
        <x:v>Recorded</x:v>
      </x:c>
      <x:c r="AA144" s="57" t="n">
        <x:v>3</x:v>
      </x:c>
      <x:c r="AB144" s="57" t="str">
        <x:v>No</x:v>
      </x:c>
      <x:c r="AC144" s="57" t="str">
        <x:v>1950s</x:v>
      </x:c>
      <x:c r="AD144" s="57" t="str">
        <x:v>Seeded</x:v>
      </x:c>
      <x:c r="AE144" s="58" t="str">
        <x:v>Seeded</x:v>
      </x:c>
    </x:row>
    <x:row r="145">
      <x:c r="A145" s="56" t="n">
        <x:v>1954</x:v>
      </x:c>
      <x:c r="B145" s="57" t="str">
        <x:v>Men's</x:v>
      </x:c>
      <x:c r="C145" s="57" t="str">
        <x:v>J. Drobny</x:v>
      </x:c>
      <x:c r="D145" s="57" t="str">
        <x:v>CZE</x:v>
      </x:c>
      <x:c r="E145" s="57" t="str">
        <x:v>Czechia</x:v>
      </x:c>
      <x:c r="F145" s="57" t="n">
        <x:v>11</x:v>
      </x:c>
      <x:c r="G145" s="57" t="n">
        <x:v>157</x:v>
      </x:c>
      <x:c r="H145" s="57" t="str">
        <x:v>13-11, 4-6, 6-2, 9-7</x:v>
      </x:c>
      <x:c r="I145" s="57" t="n">
        <x:v>13</x:v>
      </x:c>
      <x:c r="J145" s="57" t="n">
        <x:v>11</x:v>
      </x:c>
      <x:c r="K145" s="57" t="n">
        <x:v>4</x:v>
      </x:c>
      <x:c r="L145" s="57" t="n">
        <x:v>6</x:v>
      </x:c>
      <x:c r="M145" s="57" t="n">
        <x:v>6</x:v>
      </x:c>
      <x:c r="N145" s="57" t="n">
        <x:v>2</x:v>
      </x:c>
      <x:c r="O145" s="57" t="n">
        <x:v>9</x:v>
      </x:c>
      <x:c r="P145" s="57" t="n">
        <x:v>7</x:v>
      </x:c>
      <x:c r="Q145" s="57"/>
      <x:c r="R145" s="57"/>
      <x:c r="S145" s="57" t="str">
        <x:v>K.R. Rosewall</x:v>
      </x:c>
      <x:c r="T145" s="57" t="str">
        <x:v>AUS</x:v>
      </x:c>
      <x:c r="U145" s="57" t="str">
        <x:v>Australia</x:v>
      </x:c>
      <x:c r="V145" s="57" t="n">
        <x:v>3</x:v>
      </x:c>
      <x:c r="W145" s="57" t="n">
        <x:v>4</x:v>
      </x:c>
      <x:c r="X145" s="57" t="n">
        <x:v>58</x:v>
      </x:c>
      <x:c r="Y145" s="57" t="str">
        <x:v>Completed</x:v>
      </x:c>
      <x:c r="Z145" s="57" t="str">
        <x:v>Recorded</x:v>
      </x:c>
      <x:c r="AA145" s="57" t="n">
        <x:v>1</x:v>
      </x:c>
      <x:c r="AB145" s="57" t="str">
        <x:v>No</x:v>
      </x:c>
      <x:c r="AC145" s="57" t="str">
        <x:v>1950s</x:v>
      </x:c>
      <x:c r="AD145" s="57" t="str">
        <x:v>Seeded</x:v>
      </x:c>
      <x:c r="AE145" s="58" t="str">
        <x:v>Seeded</x:v>
      </x:c>
    </x:row>
    <x:row r="146">
      <x:c r="A146" s="56" t="n">
        <x:v>1953</x:v>
      </x:c>
      <x:c r="B146" s="57" t="str">
        <x:v>Women's</x:v>
      </x:c>
      <x:c r="C146" s="57" t="str">
        <x:v>M.C. Connolly</x:v>
      </x:c>
      <x:c r="D146" s="57" t="str">
        <x:v>USA</x:v>
      </x:c>
      <x:c r="E146" s="57" t="str">
        <x:v>United States</x:v>
      </x:c>
      <x:c r="F146" s="57" t="n">
        <x:v>1</x:v>
      </x:c>
      <x:c r="G146" s="57" t="n">
        <x:v>67</x:v>
      </x:c>
      <x:c r="H146" s="57" t="str">
        <x:v>8-6, 7-5,</x:v>
      </x:c>
      <x:c r="I146" s="57" t="n">
        <x:v>8</x:v>
      </x:c>
      <x:c r="J146" s="57" t="n">
        <x:v>6</x:v>
      </x:c>
      <x:c r="K146" s="57" t="n">
        <x:v>7</x:v>
      </x:c>
      <x:c r="L146" s="57" t="n">
        <x:v>5</x:v>
      </x:c>
      <x:c r="M146" s="57"/>
      <x:c r="N146" s="57"/>
      <x:c r="O146" s="57"/>
      <x:c r="P146" s="57"/>
      <x:c r="Q146" s="57"/>
      <x:c r="R146" s="57"/>
      <x:c r="S146" s="57" t="str">
        <x:v>D.J. Hart</x:v>
      </x:c>
      <x:c r="T146" s="57" t="str">
        <x:v>USA</x:v>
      </x:c>
      <x:c r="U146" s="57" t="str">
        <x:v>United States</x:v>
      </x:c>
      <x:c r="V146" s="57" t="n">
        <x:v>2</x:v>
      </x:c>
      <x:c r="W146" s="57" t="n">
        <x:v>2</x:v>
      </x:c>
      <x:c r="X146" s="57" t="n">
        <x:v>26</x:v>
      </x:c>
      <x:c r="Y146" s="57" t="str">
        <x:v>Completed</x:v>
      </x:c>
      <x:c r="Z146" s="57" t="str">
        <x:v>Recorded</x:v>
      </x:c>
      <x:c r="AA146" s="57" t="n">
        <x:v>3</x:v>
      </x:c>
      <x:c r="AB146" s="57" t="str">
        <x:v>No</x:v>
      </x:c>
      <x:c r="AC146" s="57" t="str">
        <x:v>1950s</x:v>
      </x:c>
      <x:c r="AD146" s="57" t="str">
        <x:v>Seeded</x:v>
      </x:c>
      <x:c r="AE146" s="58" t="str">
        <x:v>Seeded</x:v>
      </x:c>
    </x:row>
    <x:row r="147">
      <x:c r="A147" s="56" t="n">
        <x:v>1953</x:v>
      </x:c>
      <x:c r="B147" s="57" t="str">
        <x:v>Men's</x:v>
      </x:c>
      <x:c r="C147" s="57" t="str">
        <x:v>E.V. Seixas</x:v>
      </x:c>
      <x:c r="D147" s="57" t="str">
        <x:v>USA</x:v>
      </x:c>
      <x:c r="E147" s="57" t="str">
        <x:v>United States</x:v>
      </x:c>
      <x:c r="F147" s="57" t="n">
        <x:v>2</x:v>
      </x:c>
      <x:c r="G147" s="57" t="n">
        <x:v>80</x:v>
      </x:c>
      <x:c r="H147" s="57" t="str">
        <x:v>9-7, 6-3, 6-4</x:v>
      </x:c>
      <x:c r="I147" s="57" t="n">
        <x:v>9</x:v>
      </x:c>
      <x:c r="J147" s="57" t="n">
        <x:v>7</x:v>
      </x:c>
      <x:c r="K147" s="57" t="n">
        <x:v>6</x:v>
      </x:c>
      <x:c r="L147" s="57" t="n">
        <x:v>3</x:v>
      </x:c>
      <x:c r="M147" s="57" t="n">
        <x:v>6</x:v>
      </x:c>
      <x:c r="N147" s="57" t="n">
        <x:v>4</x:v>
      </x:c>
      <x:c r="O147" s="57"/>
      <x:c r="P147" s="57"/>
      <x:c r="Q147" s="57"/>
      <x:c r="R147" s="57"/>
      <x:c r="S147" s="57" t="str">
        <x:v>K. Nielsen</x:v>
      </x:c>
      <x:c r="T147" s="57" t="str">
        <x:v>DEN</x:v>
      </x:c>
      <x:c r="U147" s="57" t="str">
        <x:v>Denmark</x:v>
      </x:c>
      <x:c r="V147" s="57" t="str">
        <x:v>U</x:v>
      </x:c>
      <x:c r="W147" s="57" t="n">
        <x:v>3</x:v>
      </x:c>
      <x:c r="X147" s="57" t="n">
        <x:v>35</x:v>
      </x:c>
      <x:c r="Y147" s="57" t="str">
        <x:v>Completed</x:v>
      </x:c>
      <x:c r="Z147" s="57" t="str">
        <x:v>Recorded</x:v>
      </x:c>
      <x:c r="AA147" s="57" t="n">
        <x:v>1</x:v>
      </x:c>
      <x:c r="AB147" s="57" t="str">
        <x:v>No</x:v>
      </x:c>
      <x:c r="AC147" s="57" t="str">
        <x:v>1950s</x:v>
      </x:c>
      <x:c r="AD147" s="57" t="str">
        <x:v>Seeded</x:v>
      </x:c>
      <x:c r="AE147" s="58" t="str">
        <x:v>Unseeded/unknown</x:v>
      </x:c>
    </x:row>
    <x:row r="148">
      <x:c r="A148" s="56" t="n">
        <x:v>1952</x:v>
      </x:c>
      <x:c r="B148" s="57" t="str">
        <x:v>Women's</x:v>
      </x:c>
      <x:c r="C148" s="57" t="str">
        <x:v>M.C. Connolly</x:v>
      </x:c>
      <x:c r="D148" s="57" t="str">
        <x:v>USA</x:v>
      </x:c>
      <x:c r="E148" s="57" t="str">
        <x:v>United States</x:v>
      </x:c>
      <x:c r="F148" s="57" t="n">
        <x:v>2</x:v>
      </x:c>
      <x:c r="G148" s="57" t="n">
        <x:v>65</x:v>
      </x:c>
      <x:c r="H148" s="57" t="str">
        <x:v>7-5, 6-3,</x:v>
      </x:c>
      <x:c r="I148" s="57" t="n">
        <x:v>7</x:v>
      </x:c>
      <x:c r="J148" s="57" t="n">
        <x:v>5</x:v>
      </x:c>
      <x:c r="K148" s="57" t="n">
        <x:v>6</x:v>
      </x:c>
      <x:c r="L148" s="57" t="n">
        <x:v>3</x:v>
      </x:c>
      <x:c r="M148" s="57"/>
      <x:c r="N148" s="57"/>
      <x:c r="O148" s="57"/>
      <x:c r="P148" s="57"/>
      <x:c r="Q148" s="57"/>
      <x:c r="R148" s="57"/>
      <x:c r="S148" s="57" t="str">
        <x:v>A.L. Brough</x:v>
      </x:c>
      <x:c r="T148" s="57" t="str">
        <x:v>USA</x:v>
      </x:c>
      <x:c r="U148" s="57" t="str">
        <x:v>United States</x:v>
      </x:c>
      <x:c r="V148" s="57" t="n">
        <x:v>4</x:v>
      </x:c>
      <x:c r="W148" s="57" t="n">
        <x:v>2</x:v>
      </x:c>
      <x:c r="X148" s="57" t="n">
        <x:v>21</x:v>
      </x:c>
      <x:c r="Y148" s="57" t="str">
        <x:v>Completed</x:v>
      </x:c>
      <x:c r="Z148" s="57" t="str">
        <x:v>Recorded</x:v>
      </x:c>
      <x:c r="AA148" s="57" t="n">
        <x:v>3</x:v>
      </x:c>
      <x:c r="AB148" s="57" t="str">
        <x:v>No</x:v>
      </x:c>
      <x:c r="AC148" s="57" t="str">
        <x:v>1950s</x:v>
      </x:c>
      <x:c r="AD148" s="57" t="str">
        <x:v>Seeded</x:v>
      </x:c>
      <x:c r="AE148" s="58" t="str">
        <x:v>Seeded</x:v>
      </x:c>
    </x:row>
    <x:row r="149">
      <x:c r="A149" s="56" t="n">
        <x:v>1952</x:v>
      </x:c>
      <x:c r="B149" s="57" t="str">
        <x:v>Men's</x:v>
      </x:c>
      <x:c r="C149" s="57" t="str">
        <x:v>F.A. Sedgman</x:v>
      </x:c>
      <x:c r="D149" s="57" t="str">
        <x:v>AUS</x:v>
      </x:c>
      <x:c r="E149" s="57" t="str">
        <x:v>Australia</x:v>
      </x:c>
      <x:c r="F149" s="57" t="n">
        <x:v>1</x:v>
      </x:c>
      <x:c r="G149" s="57" t="n">
        <x:v>80</x:v>
      </x:c>
      <x:c r="H149" s="57" t="str">
        <x:v>4-6, 6-2, 6-3, 6-2</x:v>
      </x:c>
      <x:c r="I149" s="57" t="n">
        <x:v>4</x:v>
      </x:c>
      <x:c r="J149" s="57" t="n">
        <x:v>6</x:v>
      </x:c>
      <x:c r="K149" s="57" t="n">
        <x:v>6</x:v>
      </x:c>
      <x:c r="L149" s="57" t="n">
        <x:v>2</x:v>
      </x:c>
      <x:c r="M149" s="57" t="n">
        <x:v>6</x:v>
      </x:c>
      <x:c r="N149" s="57" t="n">
        <x:v>3</x:v>
      </x:c>
      <x:c r="O149" s="57" t="n">
        <x:v>6</x:v>
      </x:c>
      <x:c r="P149" s="57" t="n">
        <x:v>2</x:v>
      </x:c>
      <x:c r="Q149" s="57"/>
      <x:c r="R149" s="57"/>
      <x:c r="S149" s="57" t="str">
        <x:v>J. Drobny</x:v>
      </x:c>
      <x:c r="T149" s="57" t="str">
        <x:v>CZE</x:v>
      </x:c>
      <x:c r="U149" s="57" t="str">
        <x:v>Czechia</x:v>
      </x:c>
      <x:c r="V149" s="57" t="n">
        <x:v>2</x:v>
      </x:c>
      <x:c r="W149" s="57" t="n">
        <x:v>4</x:v>
      </x:c>
      <x:c r="X149" s="57" t="n">
        <x:v>35</x:v>
      </x:c>
      <x:c r="Y149" s="57" t="str">
        <x:v>Completed</x:v>
      </x:c>
      <x:c r="Z149" s="57" t="str">
        <x:v>Recorded</x:v>
      </x:c>
      <x:c r="AA149" s="57" t="n">
        <x:v>1</x:v>
      </x:c>
      <x:c r="AB149" s="57" t="str">
        <x:v>No</x:v>
      </x:c>
      <x:c r="AC149" s="57" t="str">
        <x:v>1950s</x:v>
      </x:c>
      <x:c r="AD149" s="57" t="str">
        <x:v>Seeded</x:v>
      </x:c>
      <x:c r="AE149" s="58" t="str">
        <x:v>Seeded</x:v>
      </x:c>
    </x:row>
    <x:row r="150">
      <x:c r="A150" s="56" t="n">
        <x:v>1951</x:v>
      </x:c>
      <x:c r="B150" s="57" t="str">
        <x:v>Women's</x:v>
      </x:c>
      <x:c r="C150" s="57" t="str">
        <x:v>D.J. Hart</x:v>
      </x:c>
      <x:c r="D150" s="57" t="str">
        <x:v>USA</x:v>
      </x:c>
      <x:c r="E150" s="57" t="str">
        <x:v>United States</x:v>
      </x:c>
      <x:c r="F150" s="57" t="n">
        <x:v>3</x:v>
      </x:c>
      <x:c r="G150" s="57" t="n">
        <x:v>35</x:v>
      </x:c>
      <x:c r="H150" s="57" t="str">
        <x:v>6-1, 6-0</x:v>
      </x:c>
      <x:c r="I150" s="57" t="n">
        <x:v>6</x:v>
      </x:c>
      <x:c r="J150" s="57" t="n">
        <x:v>1</x:v>
      </x:c>
      <x:c r="K150" s="57" t="n">
        <x:v>6</x:v>
      </x:c>
      <x:c r="L150" s="57" t="n">
        <x:v>0</x:v>
      </x:c>
      <x:c r="M150" s="57"/>
      <x:c r="N150" s="57"/>
      <x:c r="O150" s="57"/>
      <x:c r="P150" s="57"/>
      <x:c r="Q150" s="57"/>
      <x:c r="R150" s="57"/>
      <x:c r="S150" s="57" t="str">
        <x:v>S.J. Fry</x:v>
      </x:c>
      <x:c r="T150" s="57" t="str">
        <x:v>USA</x:v>
      </x:c>
      <x:c r="U150" s="57" t="str">
        <x:v>United States</x:v>
      </x:c>
      <x:c r="V150" s="57" t="n">
        <x:v>4</x:v>
      </x:c>
      <x:c r="W150" s="57" t="n">
        <x:v>2</x:v>
      </x:c>
      <x:c r="X150" s="57" t="n">
        <x:v>13</x:v>
      </x:c>
      <x:c r="Y150" s="57" t="str">
        <x:v>Completed</x:v>
      </x:c>
      <x:c r="Z150" s="57" t="str">
        <x:v>Recorded</x:v>
      </x:c>
      <x:c r="AA150" s="57" t="n">
        <x:v>1</x:v>
      </x:c>
      <x:c r="AB150" s="57" t="str">
        <x:v>No</x:v>
      </x:c>
      <x:c r="AC150" s="57" t="str">
        <x:v>1950s</x:v>
      </x:c>
      <x:c r="AD150" s="57" t="str">
        <x:v>Seeded</x:v>
      </x:c>
      <x:c r="AE150" s="58" t="str">
        <x:v>Seeded</x:v>
      </x:c>
    </x:row>
    <x:row r="151">
      <x:c r="A151" s="56" t="n">
        <x:v>1951</x:v>
      </x:c>
      <x:c r="B151" s="57" t="str">
        <x:v>Men's</x:v>
      </x:c>
      <x:c r="C151" s="57" t="str">
        <x:v>R. Savitt</x:v>
      </x:c>
      <x:c r="D151" s="57" t="str">
        <x:v>USA</x:v>
      </x:c>
      <x:c r="E151" s="57" t="str">
        <x:v>United States</x:v>
      </x:c>
      <x:c r="F151" s="57" t="n">
        <x:v>6</x:v>
      </x:c>
      <x:c r="G151" s="57" t="n">
        <x:v>62</x:v>
      </x:c>
      <x:c r="H151" s="57" t="str">
        <x:v>6-4, 6-4, 6-4</x:v>
      </x:c>
      <x:c r="I151" s="57" t="n">
        <x:v>6</x:v>
      </x:c>
      <x:c r="J151" s="57" t="n">
        <x:v>4</x:v>
      </x:c>
      <x:c r="K151" s="57" t="n">
        <x:v>6</x:v>
      </x:c>
      <x:c r="L151" s="57" t="n">
        <x:v>4</x:v>
      </x:c>
      <x:c r="M151" s="57" t="n">
        <x:v>6</x:v>
      </x:c>
      <x:c r="N151" s="57" t="n">
        <x:v>4</x:v>
      </x:c>
      <x:c r="O151" s="57"/>
      <x:c r="P151" s="57"/>
      <x:c r="Q151" s="57"/>
      <x:c r="R151" s="57"/>
      <x:c r="S151" s="57" t="str">
        <x:v>K.B. McGregor</x:v>
      </x:c>
      <x:c r="T151" s="57" t="str">
        <x:v>AUS</x:v>
      </x:c>
      <x:c r="U151" s="57" t="str">
        <x:v>Australia</x:v>
      </x:c>
      <x:c r="V151" s="57" t="n">
        <x:v>7</x:v>
      </x:c>
      <x:c r="W151" s="57" t="n">
        <x:v>3</x:v>
      </x:c>
      <x:c r="X151" s="57" t="n">
        <x:v>30</x:v>
      </x:c>
      <x:c r="Y151" s="57" t="str">
        <x:v>Completed</x:v>
      </x:c>
      <x:c r="Z151" s="57" t="str">
        <x:v>Recorded</x:v>
      </x:c>
      <x:c r="AA151" s="57" t="n">
        <x:v>1</x:v>
      </x:c>
      <x:c r="AB151" s="57" t="str">
        <x:v>No</x:v>
      </x:c>
      <x:c r="AC151" s="57" t="str">
        <x:v>1950s</x:v>
      </x:c>
      <x:c r="AD151" s="57" t="str">
        <x:v>Seeded</x:v>
      </x:c>
      <x:c r="AE151" s="58" t="str">
        <x:v>Seeded</x:v>
      </x:c>
    </x:row>
    <x:row r="152">
      <x:c r="A152" s="56" t="n">
        <x:v>1950</x:v>
      </x:c>
      <x:c r="B152" s="57" t="str">
        <x:v>Women's</x:v>
      </x:c>
      <x:c r="C152" s="57" t="str">
        <x:v>A.L. Brough</x:v>
      </x:c>
      <x:c r="D152" s="57" t="str">
        <x:v>USA</x:v>
      </x:c>
      <x:c r="E152" s="57" t="str">
        <x:v>United States</x:v>
      </x:c>
      <x:c r="F152" s="57" t="n">
        <x:v>1</x:v>
      </x:c>
      <x:c r="G152" s="57" t="n">
        <x:v>62</x:v>
      </x:c>
      <x:c r="H152" s="57" t="str">
        <x:v>6-1, 3-6, 6-1,</x:v>
      </x:c>
      <x:c r="I152" s="57" t="n">
        <x:v>6</x:v>
      </x:c>
      <x:c r="J152" s="57" t="n">
        <x:v>1</x:v>
      </x:c>
      <x:c r="K152" s="57" t="n">
        <x:v>3</x:v>
      </x:c>
      <x:c r="L152" s="57" t="n">
        <x:v>6</x:v>
      </x:c>
      <x:c r="M152" s="57" t="n">
        <x:v>6</x:v>
      </x:c>
      <x:c r="N152" s="57" t="n">
        <x:v>1</x:v>
      </x:c>
      <x:c r="O152" s="57"/>
      <x:c r="P152" s="57"/>
      <x:c r="Q152" s="57"/>
      <x:c r="R152" s="57"/>
      <x:c r="S152" s="57" t="str">
        <x:v>M. duPont</x:v>
      </x:c>
      <x:c r="T152" s="57" t="str">
        <x:v>USA</x:v>
      </x:c>
      <x:c r="U152" s="57" t="str">
        <x:v>United States</x:v>
      </x:c>
      <x:c r="V152" s="57" t="n">
        <x:v>2</x:v>
      </x:c>
      <x:c r="W152" s="57" t="n">
        <x:v>3</x:v>
      </x:c>
      <x:c r="X152" s="57" t="n">
        <x:v>23</x:v>
      </x:c>
      <x:c r="Y152" s="57" t="str">
        <x:v>Completed</x:v>
      </x:c>
      <x:c r="Z152" s="57" t="str">
        <x:v>Recorded</x:v>
      </x:c>
      <x:c r="AA152" s="57" t="n">
        <x:v>4</x:v>
      </x:c>
      <x:c r="AB152" s="57" t="str">
        <x:v>No</x:v>
      </x:c>
      <x:c r="AC152" s="57" t="str">
        <x:v>1950s</x:v>
      </x:c>
      <x:c r="AD152" s="57" t="str">
        <x:v>Seeded</x:v>
      </x:c>
      <x:c r="AE152" s="58" t="str">
        <x:v>Seeded</x:v>
      </x:c>
    </x:row>
    <x:row r="153">
      <x:c r="A153" s="56" t="n">
        <x:v>1950</x:v>
      </x:c>
      <x:c r="B153" s="57" t="str">
        <x:v>Men's</x:v>
      </x:c>
      <x:c r="C153" s="57" t="str">
        <x:v>J.E. Patty</x:v>
      </x:c>
      <x:c r="D153" s="57" t="str">
        <x:v>USA</x:v>
      </x:c>
      <x:c r="E153" s="57" t="str">
        <x:v>United States</x:v>
      </x:c>
      <x:c r="F153" s="57" t="n">
        <x:v>5</x:v>
      </x:c>
      <x:c r="G153" s="57" t="n">
        <x:v>120</x:v>
      </x:c>
      <x:c r="H153" s="57" t="str">
        <x:v>6-1, 8-10, 6-2, 6-3</x:v>
      </x:c>
      <x:c r="I153" s="57" t="n">
        <x:v>6</x:v>
      </x:c>
      <x:c r="J153" s="57" t="n">
        <x:v>1</x:v>
      </x:c>
      <x:c r="K153" s="57" t="n">
        <x:v>8</x:v>
      </x:c>
      <x:c r="L153" s="57" t="n">
        <x:v>10</x:v>
      </x:c>
      <x:c r="M153" s="57" t="n">
        <x:v>6</x:v>
      </x:c>
      <x:c r="N153" s="57" t="n">
        <x:v>2</x:v>
      </x:c>
      <x:c r="O153" s="57" t="n">
        <x:v>6</x:v>
      </x:c>
      <x:c r="P153" s="57" t="n">
        <x:v>3</x:v>
      </x:c>
      <x:c r="Q153" s="57"/>
      <x:c r="R153" s="57"/>
      <x:c r="S153" s="57" t="str">
        <x:v>F.A. Sedgman</x:v>
      </x:c>
      <x:c r="T153" s="57" t="str">
        <x:v>AUS</x:v>
      </x:c>
      <x:c r="U153" s="57" t="str">
        <x:v>Australia</x:v>
      </x:c>
      <x:c r="V153" s="57" t="n">
        <x:v>1</x:v>
      </x:c>
      <x:c r="W153" s="57" t="n">
        <x:v>4</x:v>
      </x:c>
      <x:c r="X153" s="57" t="n">
        <x:v>42</x:v>
      </x:c>
      <x:c r="Y153" s="57" t="str">
        <x:v>Completed</x:v>
      </x:c>
      <x:c r="Z153" s="57" t="str">
        <x:v>Recorded</x:v>
      </x:c>
      <x:c r="AA153" s="57" t="n">
        <x:v>1</x:v>
      </x:c>
      <x:c r="AB153" s="57" t="str">
        <x:v>No</x:v>
      </x:c>
      <x:c r="AC153" s="57" t="str">
        <x:v>1950s</x:v>
      </x:c>
      <x:c r="AD153" s="57" t="str">
        <x:v>Seeded</x:v>
      </x:c>
      <x:c r="AE153" s="58" t="str">
        <x:v>Seeded</x:v>
      </x:c>
    </x:row>
    <x:row r="154">
      <x:c r="A154" s="56" t="n">
        <x:v>1949</x:v>
      </x:c>
      <x:c r="B154" s="57" t="str">
        <x:v>Women's</x:v>
      </x:c>
      <x:c r="C154" s="57" t="str">
        <x:v>A.L. Brough</x:v>
      </x:c>
      <x:c r="D154" s="57" t="str">
        <x:v>USA</x:v>
      </x:c>
      <x:c r="E154" s="57" t="str">
        <x:v>United States</x:v>
      </x:c>
      <x:c r="F154" s="57" t="n">
        <x:v>1</x:v>
      </x:c>
      <x:c r="G154" s="57" t="n">
        <x:v>120</x:v>
      </x:c>
      <x:c r="H154" s="57" t="str">
        <x:v>10-8, 1-6, 10-8,</x:v>
      </x:c>
      <x:c r="I154" s="57" t="n">
        <x:v>10</x:v>
      </x:c>
      <x:c r="J154" s="57" t="n">
        <x:v>8</x:v>
      </x:c>
      <x:c r="K154" s="57" t="n">
        <x:v>1</x:v>
      </x:c>
      <x:c r="L154" s="57" t="n">
        <x:v>6</x:v>
      </x:c>
      <x:c r="M154" s="57" t="n">
        <x:v>10</x:v>
      </x:c>
      <x:c r="N154" s="57" t="n">
        <x:v>8</x:v>
      </x:c>
      <x:c r="O154" s="57"/>
      <x:c r="P154" s="57"/>
      <x:c r="Q154" s="57"/>
      <x:c r="R154" s="57"/>
      <x:c r="S154" s="57" t="str">
        <x:v>M. duPont</x:v>
      </x:c>
      <x:c r="T154" s="57" t="str">
        <x:v>USA</x:v>
      </x:c>
      <x:c r="U154" s="57" t="str">
        <x:v>United States</x:v>
      </x:c>
      <x:c r="V154" s="57" t="n">
        <x:v>2</x:v>
      </x:c>
      <x:c r="W154" s="57" t="n">
        <x:v>3</x:v>
      </x:c>
      <x:c r="X154" s="57" t="n">
        <x:v>43</x:v>
      </x:c>
      <x:c r="Y154" s="57" t="str">
        <x:v>Completed</x:v>
      </x:c>
      <x:c r="Z154" s="57" t="str">
        <x:v>Recorded</x:v>
      </x:c>
      <x:c r="AA154" s="57" t="n">
        <x:v>4</x:v>
      </x:c>
      <x:c r="AB154" s="57" t="str">
        <x:v>No</x:v>
      </x:c>
      <x:c r="AC154" s="57" t="str">
        <x:v>1940s</x:v>
      </x:c>
      <x:c r="AD154" s="57" t="str">
        <x:v>Seeded</x:v>
      </x:c>
      <x:c r="AE154" s="58" t="str">
        <x:v>Seeded</x:v>
      </x:c>
    </x:row>
    <x:row r="155">
      <x:c r="A155" s="56" t="n">
        <x:v>1949</x:v>
      </x:c>
      <x:c r="B155" s="57" t="str">
        <x:v>Men's</x:v>
      </x:c>
      <x:c r="C155" s="57" t="str">
        <x:v>F.R. Schroeder</x:v>
      </x:c>
      <x:c r="D155" s="57" t="str">
        <x:v>USA</x:v>
      </x:c>
      <x:c r="E155" s="57" t="str">
        <x:v>United States</x:v>
      </x:c>
      <x:c r="F155" s="57" t="n">
        <x:v>1</x:v>
      </x:c>
      <x:c r="G155" s="57" t="n">
        <x:v>100</x:v>
      </x:c>
      <x:c r="H155" s="57" t="str">
        <x:v>3-6, 6-0, 6-3, 4-6, 6-4</x:v>
      </x:c>
      <x:c r="I155" s="57" t="n">
        <x:v>3</x:v>
      </x:c>
      <x:c r="J155" s="57" t="n">
        <x:v>6</x:v>
      </x:c>
      <x:c r="K155" s="57" t="n">
        <x:v>6</x:v>
      </x:c>
      <x:c r="L155" s="57" t="n">
        <x:v>0</x:v>
      </x:c>
      <x:c r="M155" s="57" t="n">
        <x:v>6</x:v>
      </x:c>
      <x:c r="N155" s="57" t="n">
        <x:v>3</x:v>
      </x:c>
      <x:c r="O155" s="57" t="n">
        <x:v>4</x:v>
      </x:c>
      <x:c r="P155" s="57" t="n">
        <x:v>6</x:v>
      </x:c>
      <x:c r="Q155" s="57" t="n">
        <x:v>6</x:v>
      </x:c>
      <x:c r="R155" s="57" t="n">
        <x:v>4</x:v>
      </x:c>
      <x:c r="S155" s="57" t="str">
        <x:v>J. Drobny</x:v>
      </x:c>
      <x:c r="T155" s="57" t="str">
        <x:v>CZE</x:v>
      </x:c>
      <x:c r="U155" s="57" t="str">
        <x:v>Czechia</x:v>
      </x:c>
      <x:c r="V155" s="57" t="n">
        <x:v>6</x:v>
      </x:c>
      <x:c r="W155" s="57" t="n">
        <x:v>5</x:v>
      </x:c>
      <x:c r="X155" s="57" t="n">
        <x:v>44</x:v>
      </x:c>
      <x:c r="Y155" s="57" t="str">
        <x:v>Completed</x:v>
      </x:c>
      <x:c r="Z155" s="57" t="str">
        <x:v>Recorded</x:v>
      </x:c>
      <x:c r="AA155" s="57" t="n">
        <x:v>1</x:v>
      </x:c>
      <x:c r="AB155" s="57" t="str">
        <x:v>No</x:v>
      </x:c>
      <x:c r="AC155" s="57" t="str">
        <x:v>1940s</x:v>
      </x:c>
      <x:c r="AD155" s="57" t="str">
        <x:v>Seeded</x:v>
      </x:c>
      <x:c r="AE155" s="58" t="str">
        <x:v>Seeded</x:v>
      </x:c>
    </x:row>
    <x:row r="156">
      <x:c r="A156" s="56" t="n">
        <x:v>1948</x:v>
      </x:c>
      <x:c r="B156" s="57" t="str">
        <x:v>Women's</x:v>
      </x:c>
      <x:c r="C156" s="57" t="str">
        <x:v>A.L. Brough</x:v>
      </x:c>
      <x:c r="D156" s="57" t="str">
        <x:v>USA</x:v>
      </x:c>
      <x:c r="E156" s="57" t="str">
        <x:v>United States</x:v>
      </x:c>
      <x:c r="F156" s="57" t="n">
        <x:v>2</x:v>
      </x:c>
      <x:c r="G156" s="57" t="n">
        <x:v>76</x:v>
      </x:c>
      <x:c r="H156" s="57" t="str">
        <x:v>6-3, 8-6,</x:v>
      </x:c>
      <x:c r="I156" s="57" t="n">
        <x:v>6</x:v>
      </x:c>
      <x:c r="J156" s="57" t="n">
        <x:v>3</x:v>
      </x:c>
      <x:c r="K156" s="57" t="n">
        <x:v>8</x:v>
      </x:c>
      <x:c r="L156" s="57" t="n">
        <x:v>6</x:v>
      </x:c>
      <x:c r="M156" s="57"/>
      <x:c r="N156" s="57"/>
      <x:c r="O156" s="57"/>
      <x:c r="P156" s="57"/>
      <x:c r="Q156" s="57"/>
      <x:c r="R156" s="57"/>
      <x:c r="S156" s="57" t="str">
        <x:v>D.J. Hart</x:v>
      </x:c>
      <x:c r="T156" s="57" t="str">
        <x:v>USA</x:v>
      </x:c>
      <x:c r="U156" s="57" t="str">
        <x:v>United States</x:v>
      </x:c>
      <x:c r="V156" s="57" t="n">
        <x:v>4</x:v>
      </x:c>
      <x:c r="W156" s="57" t="n">
        <x:v>2</x:v>
      </x:c>
      <x:c r="X156" s="57" t="n">
        <x:v>23</x:v>
      </x:c>
      <x:c r="Y156" s="57" t="str">
        <x:v>Completed</x:v>
      </x:c>
      <x:c r="Z156" s="57" t="str">
        <x:v>Recorded</x:v>
      </x:c>
      <x:c r="AA156" s="57" t="n">
        <x:v>4</x:v>
      </x:c>
      <x:c r="AB156" s="57" t="str">
        <x:v>No</x:v>
      </x:c>
      <x:c r="AC156" s="57" t="str">
        <x:v>1940s</x:v>
      </x:c>
      <x:c r="AD156" s="57" t="str">
        <x:v>Seeded</x:v>
      </x:c>
      <x:c r="AE156" s="58" t="str">
        <x:v>Seeded</x:v>
      </x:c>
    </x:row>
    <x:row r="157">
      <x:c r="A157" s="56" t="n">
        <x:v>1948</x:v>
      </x:c>
      <x:c r="B157" s="57" t="str">
        <x:v>Men's</x:v>
      </x:c>
      <x:c r="C157" s="57" t="str">
        <x:v>R. Falkenburg</x:v>
      </x:c>
      <x:c r="D157" s="57" t="str">
        <x:v>USA</x:v>
      </x:c>
      <x:c r="E157" s="57" t="str">
        <x:v>United States</x:v>
      </x:c>
      <x:c r="F157" s="57" t="n">
        <x:v>7</x:v>
      </x:c>
      <x:c r="G157" s="57" t="n">
        <x:v>125</x:v>
      </x:c>
      <x:c r="H157" s="57" t="str">
        <x:v>7-5, 0-6, 6-2, 3-6, 7-5</x:v>
      </x:c>
      <x:c r="I157" s="57" t="n">
        <x:v>7</x:v>
      </x:c>
      <x:c r="J157" s="57" t="n">
        <x:v>5</x:v>
      </x:c>
      <x:c r="K157" s="57" t="n">
        <x:v>0</x:v>
      </x:c>
      <x:c r="L157" s="57" t="n">
        <x:v>6</x:v>
      </x:c>
      <x:c r="M157" s="57" t="n">
        <x:v>6</x:v>
      </x:c>
      <x:c r="N157" s="57" t="n">
        <x:v>2</x:v>
      </x:c>
      <x:c r="O157" s="57" t="n">
        <x:v>3</x:v>
      </x:c>
      <x:c r="P157" s="57" t="n">
        <x:v>6</x:v>
      </x:c>
      <x:c r="Q157" s="57" t="n">
        <x:v>7</x:v>
      </x:c>
      <x:c r="R157" s="57" t="n">
        <x:v>5</x:v>
      </x:c>
      <x:c r="S157" s="57" t="str">
        <x:v>J.E. Bromwich</x:v>
      </x:c>
      <x:c r="T157" s="57" t="str">
        <x:v>AUS</x:v>
      </x:c>
      <x:c r="U157" s="57" t="str">
        <x:v>Australia</x:v>
      </x:c>
      <x:c r="V157" s="57" t="n">
        <x:v>2</x:v>
      </x:c>
      <x:c r="W157" s="57" t="n">
        <x:v>5</x:v>
      </x:c>
      <x:c r="X157" s="57" t="n">
        <x:v>47</x:v>
      </x:c>
      <x:c r="Y157" s="57" t="str">
        <x:v>Completed</x:v>
      </x:c>
      <x:c r="Z157" s="57" t="str">
        <x:v>Recorded</x:v>
      </x:c>
      <x:c r="AA157" s="57" t="n">
        <x:v>1</x:v>
      </x:c>
      <x:c r="AB157" s="57" t="str">
        <x:v>No</x:v>
      </x:c>
      <x:c r="AC157" s="57" t="str">
        <x:v>1940s</x:v>
      </x:c>
      <x:c r="AD157" s="57" t="str">
        <x:v>Seeded</x:v>
      </x:c>
      <x:c r="AE157" s="58" t="str">
        <x:v>Seeded</x:v>
      </x:c>
    </x:row>
    <x:row r="158">
      <x:c r="A158" s="56" t="n">
        <x:v>1947</x:v>
      </x:c>
      <x:c r="B158" s="57" t="str">
        <x:v>Women's</x:v>
      </x:c>
      <x:c r="C158" s="57" t="str">
        <x:v>M.E. Osborne</x:v>
      </x:c>
      <x:c r="D158" s="57" t="str">
        <x:v>USA</x:v>
      </x:c>
      <x:c r="E158" s="57" t="str">
        <x:v>United States</x:v>
      </x:c>
      <x:c r="F158" s="57" t="n">
        <x:v>1</x:v>
      </x:c>
      <x:c r="G158" s="57"/>
      <x:c r="H158" s="57" t="str">
        <x:v>6-2, 6-4,</x:v>
      </x:c>
      <x:c r="I158" s="57" t="n">
        <x:v>6</x:v>
      </x:c>
      <x:c r="J158" s="57" t="n">
        <x:v>2</x:v>
      </x:c>
      <x:c r="K158" s="57" t="n">
        <x:v>6</x:v>
      </x:c>
      <x:c r="L158" s="57" t="n">
        <x:v>4</x:v>
      </x:c>
      <x:c r="M158" s="57"/>
      <x:c r="N158" s="57"/>
      <x:c r="O158" s="57"/>
      <x:c r="P158" s="57"/>
      <x:c r="Q158" s="57"/>
      <x:c r="R158" s="57"/>
      <x:c r="S158" s="57" t="str">
        <x:v>D.J. Hart</x:v>
      </x:c>
      <x:c r="T158" s="57" t="str">
        <x:v>USA</x:v>
      </x:c>
      <x:c r="U158" s="57" t="str">
        <x:v>United States</x:v>
      </x:c>
      <x:c r="V158" s="57" t="n">
        <x:v>3</x:v>
      </x:c>
      <x:c r="W158" s="57" t="n">
        <x:v>2</x:v>
      </x:c>
      <x:c r="X158" s="57" t="n">
        <x:v>18</x:v>
      </x:c>
      <x:c r="Y158" s="57" t="str">
        <x:v>Completed</x:v>
      </x:c>
      <x:c r="Z158" s="57" t="str">
        <x:v>Unavailable (not imputed)</x:v>
      </x:c>
      <x:c r="AA158" s="57" t="n">
        <x:v>1</x:v>
      </x:c>
      <x:c r="AB158" s="57" t="str">
        <x:v>No</x:v>
      </x:c>
      <x:c r="AC158" s="57" t="str">
        <x:v>1940s</x:v>
      </x:c>
      <x:c r="AD158" s="57" t="str">
        <x:v>Seeded</x:v>
      </x:c>
      <x:c r="AE158" s="58" t="str">
        <x:v>Seeded</x:v>
      </x:c>
    </x:row>
    <x:row r="159">
      <x:c r="A159" s="56" t="n">
        <x:v>1947</x:v>
      </x:c>
      <x:c r="B159" s="57" t="str">
        <x:v>Men's</x:v>
      </x:c>
      <x:c r="C159" s="57" t="str">
        <x:v>J.A. Kramer</x:v>
      </x:c>
      <x:c r="D159" s="57" t="str">
        <x:v>USA</x:v>
      </x:c>
      <x:c r="E159" s="57" t="str">
        <x:v>United States</x:v>
      </x:c>
      <x:c r="F159" s="57" t="n">
        <x:v>1</x:v>
      </x:c>
      <x:c r="G159" s="57" t="n">
        <x:v>45</x:v>
      </x:c>
      <x:c r="H159" s="57" t="str">
        <x:v>6-1, 6-3, 6-2</x:v>
      </x:c>
      <x:c r="I159" s="57" t="n">
        <x:v>6</x:v>
      </x:c>
      <x:c r="J159" s="57" t="n">
        <x:v>1</x:v>
      </x:c>
      <x:c r="K159" s="57" t="n">
        <x:v>6</x:v>
      </x:c>
      <x:c r="L159" s="57" t="n">
        <x:v>3</x:v>
      </x:c>
      <x:c r="M159" s="57" t="n">
        <x:v>6</x:v>
      </x:c>
      <x:c r="N159" s="57" t="n">
        <x:v>2</x:v>
      </x:c>
      <x:c r="O159" s="57"/>
      <x:c r="P159" s="57"/>
      <x:c r="Q159" s="57"/>
      <x:c r="R159" s="57"/>
      <x:c r="S159" s="57" t="str">
        <x:v>T.P. Brown</x:v>
      </x:c>
      <x:c r="T159" s="57" t="str">
        <x:v>USA</x:v>
      </x:c>
      <x:c r="U159" s="57" t="str">
        <x:v>United States</x:v>
      </x:c>
      <x:c r="V159" s="57" t="n">
        <x:v>3</x:v>
      </x:c>
      <x:c r="W159" s="57" t="n">
        <x:v>3</x:v>
      </x:c>
      <x:c r="X159" s="57" t="n">
        <x:v>24</x:v>
      </x:c>
      <x:c r="Y159" s="57" t="str">
        <x:v>Completed</x:v>
      </x:c>
      <x:c r="Z159" s="57" t="str">
        <x:v>Recorded</x:v>
      </x:c>
      <x:c r="AA159" s="57" t="n">
        <x:v>1</x:v>
      </x:c>
      <x:c r="AB159" s="57" t="str">
        <x:v>No</x:v>
      </x:c>
      <x:c r="AC159" s="57" t="str">
        <x:v>1940s</x:v>
      </x:c>
      <x:c r="AD159" s="57" t="str">
        <x:v>Seeded</x:v>
      </x:c>
      <x:c r="AE159" s="58" t="str">
        <x:v>Seeded</x:v>
      </x:c>
    </x:row>
    <x:row r="160">
      <x:c r="A160" s="56" t="n">
        <x:v>1946</x:v>
      </x:c>
      <x:c r="B160" s="57" t="str">
        <x:v>Women's</x:v>
      </x:c>
      <x:c r="C160" s="57" t="str">
        <x:v>P.M. Betz</x:v>
      </x:c>
      <x:c r="D160" s="57" t="str">
        <x:v>USA</x:v>
      </x:c>
      <x:c r="E160" s="57" t="str">
        <x:v>United States</x:v>
      </x:c>
      <x:c r="F160" s="57" t="n">
        <x:v>1</x:v>
      </x:c>
      <x:c r="G160" s="57"/>
      <x:c r="H160" s="57" t="str">
        <x:v>6-2, 6-4,</x:v>
      </x:c>
      <x:c r="I160" s="57" t="n">
        <x:v>6</x:v>
      </x:c>
      <x:c r="J160" s="57" t="n">
        <x:v>2</x:v>
      </x:c>
      <x:c r="K160" s="57" t="n">
        <x:v>6</x:v>
      </x:c>
      <x:c r="L160" s="57" t="n">
        <x:v>4</x:v>
      </x:c>
      <x:c r="M160" s="57"/>
      <x:c r="N160" s="57"/>
      <x:c r="O160" s="57"/>
      <x:c r="P160" s="57"/>
      <x:c r="Q160" s="57"/>
      <x:c r="R160" s="57"/>
      <x:c r="S160" s="57" t="str">
        <x:v>A.L. Brough</x:v>
      </x:c>
      <x:c r="T160" s="57" t="str">
        <x:v>USA</x:v>
      </x:c>
      <x:c r="U160" s="57" t="str">
        <x:v>United States</x:v>
      </x:c>
      <x:c r="V160" s="57" t="n">
        <x:v>3</x:v>
      </x:c>
      <x:c r="W160" s="57" t="n">
        <x:v>2</x:v>
      </x:c>
      <x:c r="X160" s="57" t="n">
        <x:v>18</x:v>
      </x:c>
      <x:c r="Y160" s="57" t="str">
        <x:v>Completed</x:v>
      </x:c>
      <x:c r="Z160" s="57" t="str">
        <x:v>Unavailable (not imputed)</x:v>
      </x:c>
      <x:c r="AA160" s="57" t="n">
        <x:v>1</x:v>
      </x:c>
      <x:c r="AB160" s="57" t="str">
        <x:v>No</x:v>
      </x:c>
      <x:c r="AC160" s="57" t="str">
        <x:v>1940s</x:v>
      </x:c>
      <x:c r="AD160" s="57" t="str">
        <x:v>Seeded</x:v>
      </x:c>
      <x:c r="AE160" s="58" t="str">
        <x:v>Seeded</x:v>
      </x:c>
    </x:row>
    <x:row r="161">
      <x:c r="A161" s="56" t="n">
        <x:v>1946</x:v>
      </x:c>
      <x:c r="B161" s="57" t="str">
        <x:v>Men's</x:v>
      </x:c>
      <x:c r="C161" s="57" t="str">
        <x:v>Y.F.M. Petra</x:v>
      </x:c>
      <x:c r="D161" s="57" t="str">
        <x:v>FRA</x:v>
      </x:c>
      <x:c r="E161" s="57" t="str">
        <x:v>France</x:v>
      </x:c>
      <x:c r="F161" s="57" t="n">
        <x:v>5</x:v>
      </x:c>
      <x:c r="G161" s="57"/>
      <x:c r="H161" s="57" t="str">
        <x:v>6-2, 6-4, 7-9, 5-7, 6-4</x:v>
      </x:c>
      <x:c r="I161" s="57" t="n">
        <x:v>6</x:v>
      </x:c>
      <x:c r="J161" s="57" t="n">
        <x:v>2</x:v>
      </x:c>
      <x:c r="K161" s="57" t="n">
        <x:v>6</x:v>
      </x:c>
      <x:c r="L161" s="57" t="n">
        <x:v>4</x:v>
      </x:c>
      <x:c r="M161" s="57" t="n">
        <x:v>7</x:v>
      </x:c>
      <x:c r="N161" s="57" t="n">
        <x:v>9</x:v>
      </x:c>
      <x:c r="O161" s="57" t="n">
        <x:v>5</x:v>
      </x:c>
      <x:c r="P161" s="57" t="n">
        <x:v>7</x:v>
      </x:c>
      <x:c r="Q161" s="57" t="n">
        <x:v>6</x:v>
      </x:c>
      <x:c r="R161" s="57" t="n">
        <x:v>4</x:v>
      </x:c>
      <x:c r="S161" s="57" t="str">
        <x:v>G.E. Brown</x:v>
      </x:c>
      <x:c r="T161" s="57" t="str">
        <x:v>AUS</x:v>
      </x:c>
      <x:c r="U161" s="57" t="str">
        <x:v>Australia</x:v>
      </x:c>
      <x:c r="V161" s="57" t="n">
        <x:v>3</x:v>
      </x:c>
      <x:c r="W161" s="57" t="n">
        <x:v>5</x:v>
      </x:c>
      <x:c r="X161" s="57" t="n">
        <x:v>56</x:v>
      </x:c>
      <x:c r="Y161" s="57" t="str">
        <x:v>Completed</x:v>
      </x:c>
      <x:c r="Z161" s="57" t="str">
        <x:v>Unavailable (not imputed)</x:v>
      </x:c>
      <x:c r="AA161" s="57" t="n">
        <x:v>1</x:v>
      </x:c>
      <x:c r="AB161" s="57" t="str">
        <x:v>No</x:v>
      </x:c>
      <x:c r="AC161" s="57" t="str">
        <x:v>1940s</x:v>
      </x:c>
      <x:c r="AD161" s="57" t="str">
        <x:v>Seeded</x:v>
      </x:c>
      <x:c r="AE161" s="58" t="str">
        <x:v>Seeded</x:v>
      </x:c>
    </x:row>
    <x:row r="162">
      <x:c r="A162" s="56" t="n">
        <x:v>1939</x:v>
      </x:c>
      <x:c r="B162" s="57" t="str">
        <x:v>Women's</x:v>
      </x:c>
      <x:c r="C162" s="57" t="str">
        <x:v>A. Marble</x:v>
      </x:c>
      <x:c r="D162" s="57" t="str">
        <x:v>USA</x:v>
      </x:c>
      <x:c r="E162" s="57" t="str">
        <x:v>United States</x:v>
      </x:c>
      <x:c r="F162" s="57" t="n">
        <x:v>1</x:v>
      </x:c>
      <x:c r="G162" s="57" t="n">
        <x:v>30</x:v>
      </x:c>
      <x:c r="H162" s="57" t="str">
        <x:v>6-2, 6-0</x:v>
      </x:c>
      <x:c r="I162" s="57" t="n">
        <x:v>6</x:v>
      </x:c>
      <x:c r="J162" s="57" t="n">
        <x:v>2</x:v>
      </x:c>
      <x:c r="K162" s="57" t="n">
        <x:v>6</x:v>
      </x:c>
      <x:c r="L162" s="57" t="n">
        <x:v>0</x:v>
      </x:c>
      <x:c r="M162" s="57"/>
      <x:c r="N162" s="57"/>
      <x:c r="O162" s="57"/>
      <x:c r="P162" s="57"/>
      <x:c r="Q162" s="57"/>
      <x:c r="R162" s="57"/>
      <x:c r="S162" s="57" t="str">
        <x:v>K.E. Stammers</x:v>
      </x:c>
      <x:c r="T162" s="57" t="str">
        <x:v>GBR</x:v>
      </x:c>
      <x:c r="U162" s="57" t="str">
        <x:v>United Kingdom</x:v>
      </x:c>
      <x:c r="V162" s="57" t="n">
        <x:v>6</x:v>
      </x:c>
      <x:c r="W162" s="57" t="n">
        <x:v>2</x:v>
      </x:c>
      <x:c r="X162" s="57" t="n">
        <x:v>14</x:v>
      </x:c>
      <x:c r="Y162" s="57" t="str">
        <x:v>Completed</x:v>
      </x:c>
      <x:c r="Z162" s="57" t="str">
        <x:v>Recorded</x:v>
      </x:c>
      <x:c r="AA162" s="57" t="n">
        <x:v>1</x:v>
      </x:c>
      <x:c r="AB162" s="57" t="str">
        <x:v>No</x:v>
      </x:c>
      <x:c r="AC162" s="57" t="str">
        <x:v>1930s</x:v>
      </x:c>
      <x:c r="AD162" s="57" t="str">
        <x:v>Seeded</x:v>
      </x:c>
      <x:c r="AE162" s="58" t="str">
        <x:v>Seeded</x:v>
      </x:c>
    </x:row>
    <x:row r="163">
      <x:c r="A163" s="56" t="n">
        <x:v>1939</x:v>
      </x:c>
      <x:c r="B163" s="57" t="str">
        <x:v>Men's</x:v>
      </x:c>
      <x:c r="C163" s="57" t="str">
        <x:v>R.L. Riggs</x:v>
      </x:c>
      <x:c r="D163" s="57" t="str">
        <x:v>USA</x:v>
      </x:c>
      <x:c r="E163" s="57" t="str">
        <x:v>United States</x:v>
      </x:c>
      <x:c r="F163" s="57" t="n">
        <x:v>2</x:v>
      </x:c>
      <x:c r="G163" s="57" t="n">
        <x:v>135</x:v>
      </x:c>
      <x:c r="H163" s="57" t="str">
        <x:v>2-6, 8-6, 3-6, 6-3, 6-2</x:v>
      </x:c>
      <x:c r="I163" s="57" t="n">
        <x:v>2</x:v>
      </x:c>
      <x:c r="J163" s="57" t="n">
        <x:v>6</x:v>
      </x:c>
      <x:c r="K163" s="57" t="n">
        <x:v>8</x:v>
      </x:c>
      <x:c r="L163" s="57" t="n">
        <x:v>6</x:v>
      </x:c>
      <x:c r="M163" s="57" t="n">
        <x:v>3</x:v>
      </x:c>
      <x:c r="N163" s="57" t="n">
        <x:v>6</x:v>
      </x:c>
      <x:c r="O163" s="57" t="n">
        <x:v>6</x:v>
      </x:c>
      <x:c r="P163" s="57" t="n">
        <x:v>3</x:v>
      </x:c>
      <x:c r="Q163" s="57" t="n">
        <x:v>6</x:v>
      </x:c>
      <x:c r="R163" s="57" t="n">
        <x:v>2</x:v>
      </x:c>
      <x:c r="S163" s="57" t="str">
        <x:v>E.T. Cooke</x:v>
      </x:c>
      <x:c r="T163" s="57" t="str">
        <x:v>USA</x:v>
      </x:c>
      <x:c r="U163" s="57" t="str">
        <x:v>United States</x:v>
      </x:c>
      <x:c r="V163" s="57" t="n">
        <x:v>6</x:v>
      </x:c>
      <x:c r="W163" s="57" t="n">
        <x:v>5</x:v>
      </x:c>
      <x:c r="X163" s="57" t="n">
        <x:v>48</x:v>
      </x:c>
      <x:c r="Y163" s="57" t="str">
        <x:v>Completed</x:v>
      </x:c>
      <x:c r="Z163" s="57" t="str">
        <x:v>Recorded</x:v>
      </x:c>
      <x:c r="AA163" s="57" t="n">
        <x:v>1</x:v>
      </x:c>
      <x:c r="AB163" s="57" t="str">
        <x:v>No</x:v>
      </x:c>
      <x:c r="AC163" s="57" t="str">
        <x:v>1930s</x:v>
      </x:c>
      <x:c r="AD163" s="57" t="str">
        <x:v>Seeded</x:v>
      </x:c>
      <x:c r="AE163" s="58" t="str">
        <x:v>Seeded</x:v>
      </x:c>
    </x:row>
    <x:row r="164">
      <x:c r="A164" s="56" t="n">
        <x:v>1938</x:v>
      </x:c>
      <x:c r="B164" s="57" t="str">
        <x:v>Women's</x:v>
      </x:c>
      <x:c r="C164" s="57" t="str">
        <x:v>H.W. Moody</x:v>
      </x:c>
      <x:c r="D164" s="57" t="str">
        <x:v>USA</x:v>
      </x:c>
      <x:c r="E164" s="57" t="str">
        <x:v>United States</x:v>
      </x:c>
      <x:c r="F164" s="57" t="n">
        <x:v>1</x:v>
      </x:c>
      <x:c r="G164" s="57"/>
      <x:c r="H164" s="57" t="str">
        <x:v>6-4, 6-0</x:v>
      </x:c>
      <x:c r="I164" s="57" t="n">
        <x:v>6</x:v>
      </x:c>
      <x:c r="J164" s="57" t="n">
        <x:v>4</x:v>
      </x:c>
      <x:c r="K164" s="57" t="n">
        <x:v>6</x:v>
      </x:c>
      <x:c r="L164" s="57" t="n">
        <x:v>0</x:v>
      </x:c>
      <x:c r="M164" s="57"/>
      <x:c r="N164" s="57"/>
      <x:c r="O164" s="57"/>
      <x:c r="P164" s="57"/>
      <x:c r="Q164" s="57"/>
      <x:c r="R164" s="57"/>
      <x:c r="S164" s="57" t="str">
        <x:v>H.H. Jacobs</x:v>
      </x:c>
      <x:c r="T164" s="57" t="str">
        <x:v>USA</x:v>
      </x:c>
      <x:c r="U164" s="57" t="str">
        <x:v>United States</x:v>
      </x:c>
      <x:c r="V164" s="57" t="str">
        <x:v>U</x:v>
      </x:c>
      <x:c r="W164" s="57" t="n">
        <x:v>2</x:v>
      </x:c>
      <x:c r="X164" s="57" t="n">
        <x:v>16</x:v>
      </x:c>
      <x:c r="Y164" s="57" t="str">
        <x:v>Completed</x:v>
      </x:c>
      <x:c r="Z164" s="57" t="str">
        <x:v>Unavailable (not imputed)</x:v>
      </x:c>
      <x:c r="AA164" s="57" t="n">
        <x:v>8</x:v>
      </x:c>
      <x:c r="AB164" s="57" t="str">
        <x:v>Yes</x:v>
      </x:c>
      <x:c r="AC164" s="57" t="str">
        <x:v>1930s</x:v>
      </x:c>
      <x:c r="AD164" s="57" t="str">
        <x:v>Seeded</x:v>
      </x:c>
      <x:c r="AE164" s="58" t="str">
        <x:v>Unseeded/unknown</x:v>
      </x:c>
    </x:row>
    <x:row r="165">
      <x:c r="A165" s="56" t="n">
        <x:v>1938</x:v>
      </x:c>
      <x:c r="B165" s="57" t="str">
        <x:v>Men's</x:v>
      </x:c>
      <x:c r="C165" s="57" t="str">
        <x:v>J.D. Budge</x:v>
      </x:c>
      <x:c r="D165" s="57" t="str">
        <x:v>USA</x:v>
      </x:c>
      <x:c r="E165" s="57" t="str">
        <x:v>United States</x:v>
      </x:c>
      <x:c r="F165" s="57" t="n">
        <x:v>1</x:v>
      </x:c>
      <x:c r="G165" s="57" t="n">
        <x:v>59</x:v>
      </x:c>
      <x:c r="H165" s="57" t="str">
        <x:v>6-1, 6-0, 6-3</x:v>
      </x:c>
      <x:c r="I165" s="57" t="n">
        <x:v>6</x:v>
      </x:c>
      <x:c r="J165" s="57" t="n">
        <x:v>1</x:v>
      </x:c>
      <x:c r="K165" s="57" t="n">
        <x:v>6</x:v>
      </x:c>
      <x:c r="L165" s="57" t="n">
        <x:v>0</x:v>
      </x:c>
      <x:c r="M165" s="57" t="n">
        <x:v>6</x:v>
      </x:c>
      <x:c r="N165" s="57" t="n">
        <x:v>3</x:v>
      </x:c>
      <x:c r="O165" s="57"/>
      <x:c r="P165" s="57"/>
      <x:c r="Q165" s="57"/>
      <x:c r="R165" s="57"/>
      <x:c r="S165" s="57" t="str">
        <x:v>H.W. Austin</x:v>
      </x:c>
      <x:c r="T165" s="57" t="str">
        <x:v>GBR</x:v>
      </x:c>
      <x:c r="U165" s="57" t="str">
        <x:v>United Kingdom</x:v>
      </x:c>
      <x:c r="V165" s="57" t="n">
        <x:v>2</x:v>
      </x:c>
      <x:c r="W165" s="57" t="n">
        <x:v>3</x:v>
      </x:c>
      <x:c r="X165" s="57" t="n">
        <x:v>22</x:v>
      </x:c>
      <x:c r="Y165" s="57" t="str">
        <x:v>Completed</x:v>
      </x:c>
      <x:c r="Z165" s="57" t="str">
        <x:v>Recorded</x:v>
      </x:c>
      <x:c r="AA165" s="57" t="n">
        <x:v>2</x:v>
      </x:c>
      <x:c r="AB165" s="57" t="str">
        <x:v>No</x:v>
      </x:c>
      <x:c r="AC165" s="57" t="str">
        <x:v>1930s</x:v>
      </x:c>
      <x:c r="AD165" s="57" t="str">
        <x:v>Seeded</x:v>
      </x:c>
      <x:c r="AE165" s="58" t="str">
        <x:v>Seeded</x:v>
      </x:c>
    </x:row>
    <x:row r="166">
      <x:c r="A166" s="56" t="n">
        <x:v>1937</x:v>
      </x:c>
      <x:c r="B166" s="57" t="str">
        <x:v>Women's</x:v>
      </x:c>
      <x:c r="C166" s="57" t="str">
        <x:v>D.E. Round</x:v>
      </x:c>
      <x:c r="D166" s="57" t="str">
        <x:v>GBR</x:v>
      </x:c>
      <x:c r="E166" s="57" t="str">
        <x:v>United Kingdom</x:v>
      </x:c>
      <x:c r="F166" s="57" t="n">
        <x:v>7</x:v>
      </x:c>
      <x:c r="G166" s="57" t="n">
        <x:v>60</x:v>
      </x:c>
      <x:c r="H166" s="57" t="str">
        <x:v>6-2, 2-6, 7-5</x:v>
      </x:c>
      <x:c r="I166" s="57" t="n">
        <x:v>6</x:v>
      </x:c>
      <x:c r="J166" s="57" t="n">
        <x:v>2</x:v>
      </x:c>
      <x:c r="K166" s="57" t="n">
        <x:v>2</x:v>
      </x:c>
      <x:c r="L166" s="57" t="n">
        <x:v>6</x:v>
      </x:c>
      <x:c r="M166" s="57" t="n">
        <x:v>7</x:v>
      </x:c>
      <x:c r="N166" s="57" t="n">
        <x:v>5</x:v>
      </x:c>
      <x:c r="O166" s="57"/>
      <x:c r="P166" s="57"/>
      <x:c r="Q166" s="57"/>
      <x:c r="R166" s="57"/>
      <x:c r="S166" s="57" t="str">
        <x:v>J. Jedrzejowska</x:v>
      </x:c>
      <x:c r="T166" s="57" t="str">
        <x:v>POL</x:v>
      </x:c>
      <x:c r="U166" s="57" t="str">
        <x:v>Poland</x:v>
      </x:c>
      <x:c r="V166" s="57" t="n">
        <x:v>4</x:v>
      </x:c>
      <x:c r="W166" s="57" t="n">
        <x:v>3</x:v>
      </x:c>
      <x:c r="X166" s="57" t="n">
        <x:v>28</x:v>
      </x:c>
      <x:c r="Y166" s="57" t="str">
        <x:v>Completed</x:v>
      </x:c>
      <x:c r="Z166" s="57" t="str">
        <x:v>Recorded</x:v>
      </x:c>
      <x:c r="AA166" s="57" t="n">
        <x:v>2</x:v>
      </x:c>
      <x:c r="AB166" s="57" t="str">
        <x:v>No</x:v>
      </x:c>
      <x:c r="AC166" s="57" t="str">
        <x:v>1930s</x:v>
      </x:c>
      <x:c r="AD166" s="57" t="str">
        <x:v>Seeded</x:v>
      </x:c>
      <x:c r="AE166" s="58" t="str">
        <x:v>Seeded</x:v>
      </x:c>
    </x:row>
    <x:row r="167">
      <x:c r="A167" s="56" t="n">
        <x:v>1937</x:v>
      </x:c>
      <x:c r="B167" s="57" t="str">
        <x:v>Men's</x:v>
      </x:c>
      <x:c r="C167" s="57" t="str">
        <x:v>J.D. Budge</x:v>
      </x:c>
      <x:c r="D167" s="57" t="str">
        <x:v>USA</x:v>
      </x:c>
      <x:c r="E167" s="57" t="str">
        <x:v>United States</x:v>
      </x:c>
      <x:c r="F167" s="57" t="n">
        <x:v>1</x:v>
      </x:c>
      <x:c r="G167" s="57" t="n">
        <x:v>65</x:v>
      </x:c>
      <x:c r="H167" s="57" t="str">
        <x:v>6-3, 6-4, 6-2</x:v>
      </x:c>
      <x:c r="I167" s="57" t="n">
        <x:v>6</x:v>
      </x:c>
      <x:c r="J167" s="57" t="n">
        <x:v>3</x:v>
      </x:c>
      <x:c r="K167" s="57" t="n">
        <x:v>6</x:v>
      </x:c>
      <x:c r="L167" s="57" t="n">
        <x:v>4</x:v>
      </x:c>
      <x:c r="M167" s="57" t="n">
        <x:v>6</x:v>
      </x:c>
      <x:c r="N167" s="57" t="n">
        <x:v>2</x:v>
      </x:c>
      <x:c r="O167" s="57"/>
      <x:c r="P167" s="57"/>
      <x:c r="Q167" s="57"/>
      <x:c r="R167" s="57"/>
      <x:c r="S167" s="57" t="str">
        <x:v>G. von Cramm</x:v>
      </x:c>
      <x:c r="T167" s="57" t="str">
        <x:v>GER</x:v>
      </x:c>
      <x:c r="U167" s="57" t="str">
        <x:v>Germany</x:v>
      </x:c>
      <x:c r="V167" s="57" t="n">
        <x:v>2</x:v>
      </x:c>
      <x:c r="W167" s="57" t="n">
        <x:v>3</x:v>
      </x:c>
      <x:c r="X167" s="57" t="n">
        <x:v>27</x:v>
      </x:c>
      <x:c r="Y167" s="57" t="str">
        <x:v>Completed</x:v>
      </x:c>
      <x:c r="Z167" s="57" t="str">
        <x:v>Recorded</x:v>
      </x:c>
      <x:c r="AA167" s="57" t="n">
        <x:v>2</x:v>
      </x:c>
      <x:c r="AB167" s="57" t="str">
        <x:v>No</x:v>
      </x:c>
      <x:c r="AC167" s="57" t="str">
        <x:v>1930s</x:v>
      </x:c>
      <x:c r="AD167" s="57" t="str">
        <x:v>Seeded</x:v>
      </x:c>
      <x:c r="AE167" s="58" t="str">
        <x:v>Seeded</x:v>
      </x:c>
    </x:row>
    <x:row r="168">
      <x:c r="A168" s="56" t="n">
        <x:v>1936</x:v>
      </x:c>
      <x:c r="B168" s="57" t="str">
        <x:v>Women's</x:v>
      </x:c>
      <x:c r="C168" s="57" t="str">
        <x:v>H.H. Jacobs</x:v>
      </x:c>
      <x:c r="D168" s="57" t="str">
        <x:v>USA</x:v>
      </x:c>
      <x:c r="E168" s="57" t="str">
        <x:v>United States</x:v>
      </x:c>
      <x:c r="F168" s="57" t="n">
        <x:v>2</x:v>
      </x:c>
      <x:c r="G168" s="57" t="n">
        <x:v>101</x:v>
      </x:c>
      <x:c r="H168" s="57" t="str">
        <x:v>6-2, 4-6, 7-5</x:v>
      </x:c>
      <x:c r="I168" s="57" t="n">
        <x:v>6</x:v>
      </x:c>
      <x:c r="J168" s="57" t="n">
        <x:v>2</x:v>
      </x:c>
      <x:c r="K168" s="57" t="n">
        <x:v>4</x:v>
      </x:c>
      <x:c r="L168" s="57" t="n">
        <x:v>6</x:v>
      </x:c>
      <x:c r="M168" s="57" t="n">
        <x:v>7</x:v>
      </x:c>
      <x:c r="N168" s="57" t="n">
        <x:v>5</x:v>
      </x:c>
      <x:c r="O168" s="57"/>
      <x:c r="P168" s="57"/>
      <x:c r="Q168" s="57"/>
      <x:c r="R168" s="57"/>
      <x:c r="S168" s="57" t="str">
        <x:v>S. Sperling</x:v>
      </x:c>
      <x:c r="T168" s="57" t="str">
        <x:v>GER</x:v>
      </x:c>
      <x:c r="U168" s="57" t="str">
        <x:v>Germany</x:v>
      </x:c>
      <x:c r="V168" s="57" t="n">
        <x:v>5</x:v>
      </x:c>
      <x:c r="W168" s="57" t="n">
        <x:v>3</x:v>
      </x:c>
      <x:c r="X168" s="57" t="n">
        <x:v>30</x:v>
      </x:c>
      <x:c r="Y168" s="57" t="str">
        <x:v>Completed</x:v>
      </x:c>
      <x:c r="Z168" s="57" t="str">
        <x:v>Recorded</x:v>
      </x:c>
      <x:c r="AA168" s="57" t="n">
        <x:v>1</x:v>
      </x:c>
      <x:c r="AB168" s="57" t="str">
        <x:v>No</x:v>
      </x:c>
      <x:c r="AC168" s="57" t="str">
        <x:v>1930s</x:v>
      </x:c>
      <x:c r="AD168" s="57" t="str">
        <x:v>Seeded</x:v>
      </x:c>
      <x:c r="AE168" s="58" t="str">
        <x:v>Seeded</x:v>
      </x:c>
    </x:row>
    <x:row r="169">
      <x:c r="A169" s="56" t="n">
        <x:v>1936</x:v>
      </x:c>
      <x:c r="B169" s="57" t="str">
        <x:v>Men's</x:v>
      </x:c>
      <x:c r="C169" s="57" t="str">
        <x:v>F.J. Perry</x:v>
      </x:c>
      <x:c r="D169" s="57" t="str">
        <x:v>GBR</x:v>
      </x:c>
      <x:c r="E169" s="57" t="str">
        <x:v>United Kingdom</x:v>
      </x:c>
      <x:c r="F169" s="57" t="n">
        <x:v>1</x:v>
      </x:c>
      <x:c r="G169" s="57" t="n">
        <x:v>40</x:v>
      </x:c>
      <x:c r="H169" s="57" t="str">
        <x:v>6-1, 6-1, 6-0</x:v>
      </x:c>
      <x:c r="I169" s="57" t="n">
        <x:v>6</x:v>
      </x:c>
      <x:c r="J169" s="57" t="n">
        <x:v>1</x:v>
      </x:c>
      <x:c r="K169" s="57" t="n">
        <x:v>6</x:v>
      </x:c>
      <x:c r="L169" s="57" t="n">
        <x:v>1</x:v>
      </x:c>
      <x:c r="M169" s="57" t="n">
        <x:v>6</x:v>
      </x:c>
      <x:c r="N169" s="57" t="n">
        <x:v>0</x:v>
      </x:c>
      <x:c r="O169" s="57"/>
      <x:c r="P169" s="57"/>
      <x:c r="Q169" s="57"/>
      <x:c r="R169" s="57"/>
      <x:c r="S169" s="57" t="str">
        <x:v>G. von Cramm</x:v>
      </x:c>
      <x:c r="T169" s="57" t="str">
        <x:v>GER</x:v>
      </x:c>
      <x:c r="U169" s="57" t="str">
        <x:v>Germany</x:v>
      </x:c>
      <x:c r="V169" s="57" t="n">
        <x:v>2</x:v>
      </x:c>
      <x:c r="W169" s="57" t="n">
        <x:v>3</x:v>
      </x:c>
      <x:c r="X169" s="57" t="n">
        <x:v>20</x:v>
      </x:c>
      <x:c r="Y169" s="57" t="str">
        <x:v>Completed</x:v>
      </x:c>
      <x:c r="Z169" s="57" t="str">
        <x:v>Recorded</x:v>
      </x:c>
      <x:c r="AA169" s="57" t="n">
        <x:v>3</x:v>
      </x:c>
      <x:c r="AB169" s="57" t="str">
        <x:v>No</x:v>
      </x:c>
      <x:c r="AC169" s="57" t="str">
        <x:v>1930s</x:v>
      </x:c>
      <x:c r="AD169" s="57" t="str">
        <x:v>Seeded</x:v>
      </x:c>
      <x:c r="AE169" s="58" t="str">
        <x:v>Seeded</x:v>
      </x:c>
    </x:row>
    <x:row r="170">
      <x:c r="A170" s="56" t="n">
        <x:v>1935</x:v>
      </x:c>
      <x:c r="B170" s="57" t="str">
        <x:v>Women's</x:v>
      </x:c>
      <x:c r="C170" s="57" t="str">
        <x:v>H.W. Moody</x:v>
      </x:c>
      <x:c r="D170" s="57" t="str">
        <x:v>USA</x:v>
      </x:c>
      <x:c r="E170" s="57" t="str">
        <x:v>United States</x:v>
      </x:c>
      <x:c r="F170" s="57" t="n">
        <x:v>4</x:v>
      </x:c>
      <x:c r="G170" s="57" t="n">
        <x:v>100</x:v>
      </x:c>
      <x:c r="H170" s="57" t="str">
        <x:v>6-3, 3-6, 7-5</x:v>
      </x:c>
      <x:c r="I170" s="57" t="n">
        <x:v>6</x:v>
      </x:c>
      <x:c r="J170" s="57" t="n">
        <x:v>3</x:v>
      </x:c>
      <x:c r="K170" s="57" t="n">
        <x:v>3</x:v>
      </x:c>
      <x:c r="L170" s="57" t="n">
        <x:v>6</x:v>
      </x:c>
      <x:c r="M170" s="57" t="n">
        <x:v>7</x:v>
      </x:c>
      <x:c r="N170" s="57" t="n">
        <x:v>5</x:v>
      </x:c>
      <x:c r="O170" s="57"/>
      <x:c r="P170" s="57"/>
      <x:c r="Q170" s="57"/>
      <x:c r="R170" s="57"/>
      <x:c r="S170" s="57" t="str">
        <x:v>H.H. Jacobs</x:v>
      </x:c>
      <x:c r="T170" s="57" t="str">
        <x:v>USA</x:v>
      </x:c>
      <x:c r="U170" s="57" t="str">
        <x:v>United States</x:v>
      </x:c>
      <x:c r="V170" s="57" t="n">
        <x:v>3</x:v>
      </x:c>
      <x:c r="W170" s="57" t="n">
        <x:v>3</x:v>
      </x:c>
      <x:c r="X170" s="57" t="n">
        <x:v>30</x:v>
      </x:c>
      <x:c r="Y170" s="57" t="str">
        <x:v>Completed</x:v>
      </x:c>
      <x:c r="Z170" s="57" t="str">
        <x:v>Recorded</x:v>
      </x:c>
      <x:c r="AA170" s="57" t="n">
        <x:v>8</x:v>
      </x:c>
      <x:c r="AB170" s="57" t="str">
        <x:v>Yes</x:v>
      </x:c>
      <x:c r="AC170" s="57" t="str">
        <x:v>1930s</x:v>
      </x:c>
      <x:c r="AD170" s="57" t="str">
        <x:v>Seeded</x:v>
      </x:c>
      <x:c r="AE170" s="58" t="str">
        <x:v>Seeded</x:v>
      </x:c>
    </x:row>
    <x:row r="171">
      <x:c r="A171" s="56" t="n">
        <x:v>1935</x:v>
      </x:c>
      <x:c r="B171" s="57" t="str">
        <x:v>Men's</x:v>
      </x:c>
      <x:c r="C171" s="57" t="str">
        <x:v>F.J. Perry</x:v>
      </x:c>
      <x:c r="D171" s="57" t="str">
        <x:v>GBR</x:v>
      </x:c>
      <x:c r="E171" s="57" t="str">
        <x:v>United Kingdom</x:v>
      </x:c>
      <x:c r="F171" s="57" t="n">
        <x:v>1</x:v>
      </x:c>
      <x:c r="G171" s="57" t="n">
        <x:v>80</x:v>
      </x:c>
      <x:c r="H171" s="57" t="str">
        <x:v>6-2, 6-4, 6-4</x:v>
      </x:c>
      <x:c r="I171" s="57" t="n">
        <x:v>6</x:v>
      </x:c>
      <x:c r="J171" s="57" t="n">
        <x:v>2</x:v>
      </x:c>
      <x:c r="K171" s="57" t="n">
        <x:v>6</x:v>
      </x:c>
      <x:c r="L171" s="57" t="n">
        <x:v>4</x:v>
      </x:c>
      <x:c r="M171" s="57" t="n">
        <x:v>6</x:v>
      </x:c>
      <x:c r="N171" s="57" t="n">
        <x:v>4</x:v>
      </x:c>
      <x:c r="O171" s="57"/>
      <x:c r="P171" s="57"/>
      <x:c r="Q171" s="57"/>
      <x:c r="R171" s="57"/>
      <x:c r="S171" s="57" t="str">
        <x:v>G. von Cramm</x:v>
      </x:c>
      <x:c r="T171" s="57" t="str">
        <x:v>GER</x:v>
      </x:c>
      <x:c r="U171" s="57" t="str">
        <x:v>Germany</x:v>
      </x:c>
      <x:c r="V171" s="57" t="n">
        <x:v>2</x:v>
      </x:c>
      <x:c r="W171" s="57" t="n">
        <x:v>3</x:v>
      </x:c>
      <x:c r="X171" s="57" t="n">
        <x:v>28</x:v>
      </x:c>
      <x:c r="Y171" s="57" t="str">
        <x:v>Completed</x:v>
      </x:c>
      <x:c r="Z171" s="57" t="str">
        <x:v>Recorded</x:v>
      </x:c>
      <x:c r="AA171" s="57" t="n">
        <x:v>3</x:v>
      </x:c>
      <x:c r="AB171" s="57" t="str">
        <x:v>No</x:v>
      </x:c>
      <x:c r="AC171" s="57" t="str">
        <x:v>1930s</x:v>
      </x:c>
      <x:c r="AD171" s="57" t="str">
        <x:v>Seeded</x:v>
      </x:c>
      <x:c r="AE171" s="58" t="str">
        <x:v>Seeded</x:v>
      </x:c>
    </x:row>
    <x:row r="172">
      <x:c r="A172" s="56" t="n">
        <x:v>1934</x:v>
      </x:c>
      <x:c r="B172" s="57" t="str">
        <x:v>Women's</x:v>
      </x:c>
      <x:c r="C172" s="57" t="str">
        <x:v>D.E. Round</x:v>
      </x:c>
      <x:c r="D172" s="57" t="str">
        <x:v>GBR</x:v>
      </x:c>
      <x:c r="E172" s="57" t="str">
        <x:v>United Kingdom</x:v>
      </x:c>
      <x:c r="F172" s="57" t="n">
        <x:v>2</x:v>
      </x:c>
      <x:c r="G172" s="57"/>
      <x:c r="H172" s="57" t="str">
        <x:v>6-2, 5-7, 6-3</x:v>
      </x:c>
      <x:c r="I172" s="57" t="n">
        <x:v>6</x:v>
      </x:c>
      <x:c r="J172" s="57" t="n">
        <x:v>2</x:v>
      </x:c>
      <x:c r="K172" s="57" t="n">
        <x:v>5</x:v>
      </x:c>
      <x:c r="L172" s="57" t="n">
        <x:v>7</x:v>
      </x:c>
      <x:c r="M172" s="57" t="n">
        <x:v>6</x:v>
      </x:c>
      <x:c r="N172" s="57" t="n">
        <x:v>3</x:v>
      </x:c>
      <x:c r="O172" s="57"/>
      <x:c r="P172" s="57"/>
      <x:c r="Q172" s="57"/>
      <x:c r="R172" s="57"/>
      <x:c r="S172" s="57" t="str">
        <x:v>H.H. Jacobs</x:v>
      </x:c>
      <x:c r="T172" s="57" t="str">
        <x:v>USA</x:v>
      </x:c>
      <x:c r="U172" s="57" t="str">
        <x:v>United States</x:v>
      </x:c>
      <x:c r="V172" s="57" t="n">
        <x:v>1</x:v>
      </x:c>
      <x:c r="W172" s="57" t="n">
        <x:v>3</x:v>
      </x:c>
      <x:c r="X172" s="57" t="n">
        <x:v>29</x:v>
      </x:c>
      <x:c r="Y172" s="57" t="str">
        <x:v>Completed</x:v>
      </x:c>
      <x:c r="Z172" s="57" t="str">
        <x:v>Unavailable (not imputed)</x:v>
      </x:c>
      <x:c r="AA172" s="57" t="n">
        <x:v>2</x:v>
      </x:c>
      <x:c r="AB172" s="57" t="str">
        <x:v>No</x:v>
      </x:c>
      <x:c r="AC172" s="57" t="str">
        <x:v>1930s</x:v>
      </x:c>
      <x:c r="AD172" s="57" t="str">
        <x:v>Seeded</x:v>
      </x:c>
      <x:c r="AE172" s="58" t="str">
        <x:v>Seeded</x:v>
      </x:c>
    </x:row>
    <x:row r="173">
      <x:c r="A173" s="56" t="n">
        <x:v>1934</x:v>
      </x:c>
      <x:c r="B173" s="57" t="str">
        <x:v>Men's</x:v>
      </x:c>
      <x:c r="C173" s="57" t="str">
        <x:v>F.J. Perry</x:v>
      </x:c>
      <x:c r="D173" s="57" t="str">
        <x:v>GBR</x:v>
      </x:c>
      <x:c r="E173" s="57" t="str">
        <x:v>United Kingdom</x:v>
      </x:c>
      <x:c r="F173" s="57" t="n">
        <x:v>2</x:v>
      </x:c>
      <x:c r="G173" s="57" t="n">
        <x:v>72</x:v>
      </x:c>
      <x:c r="H173" s="57" t="str">
        <x:v>6-3, 6-0, 7-5</x:v>
      </x:c>
      <x:c r="I173" s="57" t="n">
        <x:v>6</x:v>
      </x:c>
      <x:c r="J173" s="57" t="n">
        <x:v>3</x:v>
      </x:c>
      <x:c r="K173" s="57" t="n">
        <x:v>6</x:v>
      </x:c>
      <x:c r="L173" s="57" t="n">
        <x:v>0</x:v>
      </x:c>
      <x:c r="M173" s="57" t="n">
        <x:v>7</x:v>
      </x:c>
      <x:c r="N173" s="57" t="n">
        <x:v>5</x:v>
      </x:c>
      <x:c r="O173" s="57"/>
      <x:c r="P173" s="57"/>
      <x:c r="Q173" s="57"/>
      <x:c r="R173" s="57"/>
      <x:c r="S173" s="57" t="str">
        <x:v>J.H. Crawford</x:v>
      </x:c>
      <x:c r="T173" s="57" t="str">
        <x:v>AUS</x:v>
      </x:c>
      <x:c r="U173" s="57" t="str">
        <x:v>Australia</x:v>
      </x:c>
      <x:c r="V173" s="57" t="n">
        <x:v>1</x:v>
      </x:c>
      <x:c r="W173" s="57" t="n">
        <x:v>3</x:v>
      </x:c>
      <x:c r="X173" s="57" t="n">
        <x:v>27</x:v>
      </x:c>
      <x:c r="Y173" s="57" t="str">
        <x:v>Completed</x:v>
      </x:c>
      <x:c r="Z173" s="57" t="str">
        <x:v>Recorded</x:v>
      </x:c>
      <x:c r="AA173" s="57" t="n">
        <x:v>3</x:v>
      </x:c>
      <x:c r="AB173" s="57" t="str">
        <x:v>No</x:v>
      </x:c>
      <x:c r="AC173" s="57" t="str">
        <x:v>1930s</x:v>
      </x:c>
      <x:c r="AD173" s="57" t="str">
        <x:v>Seeded</x:v>
      </x:c>
      <x:c r="AE173" s="58" t="str">
        <x:v>Seeded</x:v>
      </x:c>
    </x:row>
    <x:row r="174">
      <x:c r="A174" s="56" t="n">
        <x:v>1933</x:v>
      </x:c>
      <x:c r="B174" s="57" t="str">
        <x:v>Women's</x:v>
      </x:c>
      <x:c r="C174" s="57" t="str">
        <x:v>H.W. Moody</x:v>
      </x:c>
      <x:c r="D174" s="57" t="str">
        <x:v>USA</x:v>
      </x:c>
      <x:c r="E174" s="57" t="str">
        <x:v>United States</x:v>
      </x:c>
      <x:c r="F174" s="57" t="n">
        <x:v>1</x:v>
      </x:c>
      <x:c r="G174" s="57" t="n">
        <x:v>120</x:v>
      </x:c>
      <x:c r="H174" s="57" t="str">
        <x:v>6-4, 6-8, 6-3</x:v>
      </x:c>
      <x:c r="I174" s="57" t="n">
        <x:v>6</x:v>
      </x:c>
      <x:c r="J174" s="57" t="n">
        <x:v>4</x:v>
      </x:c>
      <x:c r="K174" s="57" t="n">
        <x:v>6</x:v>
      </x:c>
      <x:c r="L174" s="57" t="n">
        <x:v>8</x:v>
      </x:c>
      <x:c r="M174" s="57" t="n">
        <x:v>6</x:v>
      </x:c>
      <x:c r="N174" s="57" t="n">
        <x:v>3</x:v>
      </x:c>
      <x:c r="O174" s="57"/>
      <x:c r="P174" s="57"/>
      <x:c r="Q174" s="57"/>
      <x:c r="R174" s="57"/>
      <x:c r="S174" s="57" t="str">
        <x:v>D.E. Round</x:v>
      </x:c>
      <x:c r="T174" s="57" t="str">
        <x:v>GBR</x:v>
      </x:c>
      <x:c r="U174" s="57" t="str">
        <x:v>United Kingdom</x:v>
      </x:c>
      <x:c r="V174" s="57" t="n">
        <x:v>2</x:v>
      </x:c>
      <x:c r="W174" s="57" t="n">
        <x:v>3</x:v>
      </x:c>
      <x:c r="X174" s="57" t="n">
        <x:v>33</x:v>
      </x:c>
      <x:c r="Y174" s="57" t="str">
        <x:v>Completed</x:v>
      </x:c>
      <x:c r="Z174" s="57" t="str">
        <x:v>Recorded</x:v>
      </x:c>
      <x:c r="AA174" s="57" t="n">
        <x:v>8</x:v>
      </x:c>
      <x:c r="AB174" s="57" t="str">
        <x:v>Yes</x:v>
      </x:c>
      <x:c r="AC174" s="57" t="str">
        <x:v>1930s</x:v>
      </x:c>
      <x:c r="AD174" s="57" t="str">
        <x:v>Seeded</x:v>
      </x:c>
      <x:c r="AE174" s="58" t="str">
        <x:v>Seeded</x:v>
      </x:c>
    </x:row>
    <x:row r="175">
      <x:c r="A175" s="56" t="n">
        <x:v>1933</x:v>
      </x:c>
      <x:c r="B175" s="57" t="str">
        <x:v>Men's</x:v>
      </x:c>
      <x:c r="C175" s="57" t="str">
        <x:v>J.H. Crawford</x:v>
      </x:c>
      <x:c r="D175" s="57" t="str">
        <x:v>AUS</x:v>
      </x:c>
      <x:c r="E175" s="57" t="str">
        <x:v>Australia</x:v>
      </x:c>
      <x:c r="F175" s="57" t="n">
        <x:v>2</x:v>
      </x:c>
      <x:c r="G175" s="57" t="n">
        <x:v>120</x:v>
      </x:c>
      <x:c r="H175" s="57" t="str">
        <x:v>4-6, 11-9, 6-2, 2-6, 6-4</x:v>
      </x:c>
      <x:c r="I175" s="57" t="n">
        <x:v>4</x:v>
      </x:c>
      <x:c r="J175" s="57" t="n">
        <x:v>6</x:v>
      </x:c>
      <x:c r="K175" s="57" t="n">
        <x:v>11</x:v>
      </x:c>
      <x:c r="L175" s="57" t="n">
        <x:v>9</x:v>
      </x:c>
      <x:c r="M175" s="57" t="n">
        <x:v>6</x:v>
      </x:c>
      <x:c r="N175" s="57" t="n">
        <x:v>2</x:v>
      </x:c>
      <x:c r="O175" s="57" t="n">
        <x:v>2</x:v>
      </x:c>
      <x:c r="P175" s="57" t="n">
        <x:v>6</x:v>
      </x:c>
      <x:c r="Q175" s="57" t="n">
        <x:v>6</x:v>
      </x:c>
      <x:c r="R175" s="57" t="n">
        <x:v>4</x:v>
      </x:c>
      <x:c r="S175" s="57" t="str">
        <x:v>H.E. Vines</x:v>
      </x:c>
      <x:c r="T175" s="57" t="str">
        <x:v>USA</x:v>
      </x:c>
      <x:c r="U175" s="57" t="str">
        <x:v>United States</x:v>
      </x:c>
      <x:c r="V175" s="57" t="n">
        <x:v>1</x:v>
      </x:c>
      <x:c r="W175" s="57" t="n">
        <x:v>5</x:v>
      </x:c>
      <x:c r="X175" s="57" t="n">
        <x:v>56</x:v>
      </x:c>
      <x:c r="Y175" s="57" t="str">
        <x:v>Completed</x:v>
      </x:c>
      <x:c r="Z175" s="57" t="str">
        <x:v>Recorded</x:v>
      </x:c>
      <x:c r="AA175" s="57" t="n">
        <x:v>1</x:v>
      </x:c>
      <x:c r="AB175" s="57" t="str">
        <x:v>No</x:v>
      </x:c>
      <x:c r="AC175" s="57" t="str">
        <x:v>1930s</x:v>
      </x:c>
      <x:c r="AD175" s="57" t="str">
        <x:v>Seeded</x:v>
      </x:c>
      <x:c r="AE175" s="58" t="str">
        <x:v>Seeded</x:v>
      </x:c>
    </x:row>
    <x:row r="176">
      <x:c r="A176" s="56" t="n">
        <x:v>1932</x:v>
      </x:c>
      <x:c r="B176" s="57" t="str">
        <x:v>Women's</x:v>
      </x:c>
      <x:c r="C176" s="57" t="str">
        <x:v>H.W. Moody</x:v>
      </x:c>
      <x:c r="D176" s="57" t="str">
        <x:v>USA</x:v>
      </x:c>
      <x:c r="E176" s="57" t="str">
        <x:v>United States</x:v>
      </x:c>
      <x:c r="F176" s="57" t="n">
        <x:v>1</x:v>
      </x:c>
      <x:c r="G176" s="57" t="n">
        <x:v>50</x:v>
      </x:c>
      <x:c r="H176" s="57" t="str">
        <x:v>6-3, 6-1</x:v>
      </x:c>
      <x:c r="I176" s="57" t="n">
        <x:v>6</x:v>
      </x:c>
      <x:c r="J176" s="57" t="n">
        <x:v>3</x:v>
      </x:c>
      <x:c r="K176" s="57" t="n">
        <x:v>6</x:v>
      </x:c>
      <x:c r="L176" s="57" t="n">
        <x:v>1</x:v>
      </x:c>
      <x:c r="M176" s="57"/>
      <x:c r="N176" s="57"/>
      <x:c r="O176" s="57"/>
      <x:c r="P176" s="57"/>
      <x:c r="Q176" s="57"/>
      <x:c r="R176" s="57"/>
      <x:c r="S176" s="57" t="str">
        <x:v>H.H. Jacobs</x:v>
      </x:c>
      <x:c r="T176" s="57" t="str">
        <x:v>USA</x:v>
      </x:c>
      <x:c r="U176" s="57" t="str">
        <x:v>United States</x:v>
      </x:c>
      <x:c r="V176" s="57" t="n">
        <x:v>5</x:v>
      </x:c>
      <x:c r="W176" s="57" t="n">
        <x:v>2</x:v>
      </x:c>
      <x:c r="X176" s="57" t="n">
        <x:v>16</x:v>
      </x:c>
      <x:c r="Y176" s="57" t="str">
        <x:v>Completed</x:v>
      </x:c>
      <x:c r="Z176" s="57" t="str">
        <x:v>Recorded</x:v>
      </x:c>
      <x:c r="AA176" s="57" t="n">
        <x:v>8</x:v>
      </x:c>
      <x:c r="AB176" s="57" t="str">
        <x:v>Yes</x:v>
      </x:c>
      <x:c r="AC176" s="57" t="str">
        <x:v>1930s</x:v>
      </x:c>
      <x:c r="AD176" s="57" t="str">
        <x:v>Seeded</x:v>
      </x:c>
      <x:c r="AE176" s="58" t="str">
        <x:v>Seeded</x:v>
      </x:c>
    </x:row>
    <x:row r="177">
      <x:c r="A177" s="56" t="n">
        <x:v>1932</x:v>
      </x:c>
      <x:c r="B177" s="57" t="str">
        <x:v>Men's</x:v>
      </x:c>
      <x:c r="C177" s="57" t="str">
        <x:v>H.E. Vines</x:v>
      </x:c>
      <x:c r="D177" s="57" t="str">
        <x:v>USA</x:v>
      </x:c>
      <x:c r="E177" s="57" t="str">
        <x:v>United States</x:v>
      </x:c>
      <x:c r="F177" s="57" t="n">
        <x:v>2</x:v>
      </x:c>
      <x:c r="G177" s="57" t="n">
        <x:v>50</x:v>
      </x:c>
      <x:c r="H177" s="57" t="str">
        <x:v>6-2, 6-2, 6-0</x:v>
      </x:c>
      <x:c r="I177" s="57" t="n">
        <x:v>6</x:v>
      </x:c>
      <x:c r="J177" s="57" t="n">
        <x:v>2</x:v>
      </x:c>
      <x:c r="K177" s="57" t="n">
        <x:v>6</x:v>
      </x:c>
      <x:c r="L177" s="57" t="n">
        <x:v>2</x:v>
      </x:c>
      <x:c r="M177" s="57" t="n">
        <x:v>6</x:v>
      </x:c>
      <x:c r="N177" s="57" t="n">
        <x:v>0</x:v>
      </x:c>
      <x:c r="O177" s="57"/>
      <x:c r="P177" s="57"/>
      <x:c r="Q177" s="57"/>
      <x:c r="R177" s="57"/>
      <x:c r="S177" s="57" t="str">
        <x:v>H.W. Austin</x:v>
      </x:c>
      <x:c r="T177" s="57" t="str">
        <x:v>GBR</x:v>
      </x:c>
      <x:c r="U177" s="57" t="str">
        <x:v>United Kingdom</x:v>
      </x:c>
      <x:c r="V177" s="57" t="n">
        <x:v>6</x:v>
      </x:c>
      <x:c r="W177" s="57" t="n">
        <x:v>3</x:v>
      </x:c>
      <x:c r="X177" s="57" t="n">
        <x:v>22</x:v>
      </x:c>
      <x:c r="Y177" s="57" t="str">
        <x:v>Completed</x:v>
      </x:c>
      <x:c r="Z177" s="57" t="str">
        <x:v>Recorded</x:v>
      </x:c>
      <x:c r="AA177" s="57" t="n">
        <x:v>1</x:v>
      </x:c>
      <x:c r="AB177" s="57" t="str">
        <x:v>No</x:v>
      </x:c>
      <x:c r="AC177" s="57" t="str">
        <x:v>1930s</x:v>
      </x:c>
      <x:c r="AD177" s="57" t="str">
        <x:v>Seeded</x:v>
      </x:c>
      <x:c r="AE177" s="58" t="str">
        <x:v>Seeded</x:v>
      </x:c>
    </x:row>
    <x:row r="178">
      <x:c r="A178" s="56" t="n">
        <x:v>1931</x:v>
      </x:c>
      <x:c r="B178" s="57" t="str">
        <x:v>Women's</x:v>
      </x:c>
      <x:c r="C178" s="57" t="str">
        <x:v>C. Aussem</x:v>
      </x:c>
      <x:c r="D178" s="57" t="str">
        <x:v>GER</x:v>
      </x:c>
      <x:c r="E178" s="57" t="str">
        <x:v>Germany</x:v>
      </x:c>
      <x:c r="F178" s="57" t="n">
        <x:v>1</x:v>
      </x:c>
      <x:c r="G178" s="57"/>
      <x:c r="H178" s="57" t="str">
        <x:v>6-2, 7-5</x:v>
      </x:c>
      <x:c r="I178" s="57" t="n">
        <x:v>6</x:v>
      </x:c>
      <x:c r="J178" s="57" t="n">
        <x:v>2</x:v>
      </x:c>
      <x:c r="K178" s="57" t="n">
        <x:v>7</x:v>
      </x:c>
      <x:c r="L178" s="57" t="n">
        <x:v>5</x:v>
      </x:c>
      <x:c r="M178" s="57"/>
      <x:c r="N178" s="57"/>
      <x:c r="O178" s="57"/>
      <x:c r="P178" s="57"/>
      <x:c r="Q178" s="57"/>
      <x:c r="R178" s="57"/>
      <x:c r="S178" s="57" t="str">
        <x:v>H. Krahwinkel</x:v>
      </x:c>
      <x:c r="T178" s="57" t="str">
        <x:v>GER</x:v>
      </x:c>
      <x:c r="U178" s="57" t="str">
        <x:v>Germany</x:v>
      </x:c>
      <x:c r="V178" s="57" t="n">
        <x:v>4</x:v>
      </x:c>
      <x:c r="W178" s="57" t="n">
        <x:v>2</x:v>
      </x:c>
      <x:c r="X178" s="57" t="n">
        <x:v>20</x:v>
      </x:c>
      <x:c r="Y178" s="57" t="str">
        <x:v>Completed</x:v>
      </x:c>
      <x:c r="Z178" s="57" t="str">
        <x:v>Unavailable (not imputed)</x:v>
      </x:c>
      <x:c r="AA178" s="57" t="n">
        <x:v>1</x:v>
      </x:c>
      <x:c r="AB178" s="57" t="str">
        <x:v>No</x:v>
      </x:c>
      <x:c r="AC178" s="57" t="str">
        <x:v>1930s</x:v>
      </x:c>
      <x:c r="AD178" s="57" t="str">
        <x:v>Seeded</x:v>
      </x:c>
      <x:c r="AE178" s="58" t="str">
        <x:v>Seeded</x:v>
      </x:c>
    </x:row>
    <x:row r="179">
      <x:c r="A179" s="56" t="n">
        <x:v>1931</x:v>
      </x:c>
      <x:c r="B179" s="57" t="str">
        <x:v>Men's</x:v>
      </x:c>
      <x:c r="C179" s="57" t="str">
        <x:v>S.B.B. Wood</x:v>
      </x:c>
      <x:c r="D179" s="57" t="str">
        <x:v>USA</x:v>
      </x:c>
      <x:c r="E179" s="57" t="str">
        <x:v>United States</x:v>
      </x:c>
      <x:c r="F179" s="57" t="n">
        <x:v>7</x:v>
      </x:c>
      <x:c r="G179" s="57"/>
      <x:c r="H179" s="57" t="str">
        <x:v>walk over</x:v>
      </x:c>
      <x:c r="I179" s="57" t="str">
        <x:v>walkover</x:v>
      </x:c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 t="str">
        <x:v>F.X. Shields</x:v>
      </x:c>
      <x:c r="T179" s="57" t="str">
        <x:v>USA</x:v>
      </x:c>
      <x:c r="U179" s="57" t="str">
        <x:v>United States</x:v>
      </x:c>
      <x:c r="V179" s="57" t="n">
        <x:v>3</x:v>
      </x:c>
      <x:c r="W179" s="57" t="n">
        <x:v>0</x:v>
      </x:c>
      <x:c r="X179" s="57"/>
      <x:c r="Y179" s="57" t="str">
        <x:v>Walkover</x:v>
      </x:c>
      <x:c r="Z179" s="57" t="str">
        <x:v>Unavailable (not imputed)</x:v>
      </x:c>
      <x:c r="AA179" s="57" t="n">
        <x:v>1</x:v>
      </x:c>
      <x:c r="AB179" s="57" t="str">
        <x:v>No</x:v>
      </x:c>
      <x:c r="AC179" s="57" t="str">
        <x:v>1930s</x:v>
      </x:c>
      <x:c r="AD179" s="57" t="str">
        <x:v>Seeded</x:v>
      </x:c>
      <x:c r="AE179" s="58" t="str">
        <x:v>Seeded</x:v>
      </x:c>
    </x:row>
    <x:row r="180">
      <x:c r="A180" s="56" t="n">
        <x:v>1930</x:v>
      </x:c>
      <x:c r="B180" s="57" t="str">
        <x:v>Women's</x:v>
      </x:c>
      <x:c r="C180" s="57" t="str">
        <x:v>H.W. Moody</x:v>
      </x:c>
      <x:c r="D180" s="57" t="str">
        <x:v>USA</x:v>
      </x:c>
      <x:c r="E180" s="57" t="str">
        <x:v>United States</x:v>
      </x:c>
      <x:c r="F180" s="57" t="n">
        <x:v>1</x:v>
      </x:c>
      <x:c r="G180" s="57"/>
      <x:c r="H180" s="57" t="str">
        <x:v>6-2, 6-2</x:v>
      </x:c>
      <x:c r="I180" s="57" t="n">
        <x:v>6</x:v>
      </x:c>
      <x:c r="J180" s="57" t="n">
        <x:v>2</x:v>
      </x:c>
      <x:c r="K180" s="57" t="n">
        <x:v>6</x:v>
      </x:c>
      <x:c r="L180" s="57" t="n">
        <x:v>2</x:v>
      </x:c>
      <x:c r="M180" s="57"/>
      <x:c r="N180" s="57"/>
      <x:c r="O180" s="57"/>
      <x:c r="P180" s="57"/>
      <x:c r="Q180" s="57"/>
      <x:c r="R180" s="57"/>
      <x:c r="S180" s="57" t="str">
        <x:v>E.M. Ryan</x:v>
      </x:c>
      <x:c r="T180" s="57" t="str">
        <x:v>USA</x:v>
      </x:c>
      <x:c r="U180" s="57" t="str">
        <x:v>United States</x:v>
      </x:c>
      <x:c r="V180" s="57" t="n">
        <x:v>8</x:v>
      </x:c>
      <x:c r="W180" s="57" t="n">
        <x:v>2</x:v>
      </x:c>
      <x:c r="X180" s="57" t="n">
        <x:v>16</x:v>
      </x:c>
      <x:c r="Y180" s="57" t="str">
        <x:v>Completed</x:v>
      </x:c>
      <x:c r="Z180" s="57" t="str">
        <x:v>Unavailable (not imputed)</x:v>
      </x:c>
      <x:c r="AA180" s="57" t="n">
        <x:v>8</x:v>
      </x:c>
      <x:c r="AB180" s="57" t="str">
        <x:v>Yes</x:v>
      </x:c>
      <x:c r="AC180" s="57" t="str">
        <x:v>1930s</x:v>
      </x:c>
      <x:c r="AD180" s="57" t="str">
        <x:v>Seeded</x:v>
      </x:c>
      <x:c r="AE180" s="58" t="str">
        <x:v>Seeded</x:v>
      </x:c>
    </x:row>
    <x:row r="181">
      <x:c r="A181" s="56" t="n">
        <x:v>1930</x:v>
      </x:c>
      <x:c r="B181" s="57" t="str">
        <x:v>Men's</x:v>
      </x:c>
      <x:c r="C181" s="57" t="str">
        <x:v>W.T. Tilden</x:v>
      </x:c>
      <x:c r="D181" s="57" t="str">
        <x:v>USA</x:v>
      </x:c>
      <x:c r="E181" s="57" t="str">
        <x:v>United States</x:v>
      </x:c>
      <x:c r="F181" s="57" t="n">
        <x:v>2</x:v>
      </x:c>
      <x:c r="G181" s="57" t="n">
        <x:v>70</x:v>
      </x:c>
      <x:c r="H181" s="57" t="str">
        <x:v>6-3, 9-7, 6-4</x:v>
      </x:c>
      <x:c r="I181" s="57" t="n">
        <x:v>6</x:v>
      </x:c>
      <x:c r="J181" s="57" t="n">
        <x:v>3</x:v>
      </x:c>
      <x:c r="K181" s="57" t="n">
        <x:v>9</x:v>
      </x:c>
      <x:c r="L181" s="57" t="n">
        <x:v>7</x:v>
      </x:c>
      <x:c r="M181" s="57" t="n">
        <x:v>6</x:v>
      </x:c>
      <x:c r="N181" s="57" t="n">
        <x:v>4</x:v>
      </x:c>
      <x:c r="O181" s="57"/>
      <x:c r="P181" s="57"/>
      <x:c r="Q181" s="57"/>
      <x:c r="R181" s="57"/>
      <x:c r="S181" s="57" t="str">
        <x:v>W.L. Allison</x:v>
      </x:c>
      <x:c r="T181" s="57" t="str">
        <x:v>USA</x:v>
      </x:c>
      <x:c r="U181" s="57" t="str">
        <x:v>United States</x:v>
      </x:c>
      <x:c r="V181" s="57" t="str">
        <x:v>U</x:v>
      </x:c>
      <x:c r="W181" s="57" t="n">
        <x:v>3</x:v>
      </x:c>
      <x:c r="X181" s="57" t="n">
        <x:v>35</x:v>
      </x:c>
      <x:c r="Y181" s="57" t="str">
        <x:v>Completed</x:v>
      </x:c>
      <x:c r="Z181" s="57" t="str">
        <x:v>Recorded</x:v>
      </x:c>
      <x:c r="AA181" s="57" t="n">
        <x:v>3</x:v>
      </x:c>
      <x:c r="AB181" s="57" t="str">
        <x:v>No</x:v>
      </x:c>
      <x:c r="AC181" s="57" t="str">
        <x:v>1930s</x:v>
      </x:c>
      <x:c r="AD181" s="57" t="str">
        <x:v>Seeded</x:v>
      </x:c>
      <x:c r="AE181" s="58" t="str">
        <x:v>Unseeded/unknown</x:v>
      </x:c>
    </x:row>
    <x:row r="182">
      <x:c r="A182" s="56" t="n">
        <x:v>1929</x:v>
      </x:c>
      <x:c r="B182" s="57" t="str">
        <x:v>Women's</x:v>
      </x:c>
      <x:c r="C182" s="57" t="str">
        <x:v>H.W. Moody</x:v>
      </x:c>
      <x:c r="D182" s="57" t="str">
        <x:v>USA</x:v>
      </x:c>
      <x:c r="E182" s="57" t="str">
        <x:v>United States</x:v>
      </x:c>
      <x:c r="F182" s="57" t="n">
        <x:v>1</x:v>
      </x:c>
      <x:c r="G182" s="57"/>
      <x:c r="H182" s="57" t="str">
        <x:v>6-1, 6-2</x:v>
      </x:c>
      <x:c r="I182" s="57" t="n">
        <x:v>6</x:v>
      </x:c>
      <x:c r="J182" s="57" t="n">
        <x:v>1</x:v>
      </x:c>
      <x:c r="K182" s="57" t="n">
        <x:v>6</x:v>
      </x:c>
      <x:c r="L182" s="57" t="n">
        <x:v>2</x:v>
      </x:c>
      <x:c r="M182" s="57"/>
      <x:c r="N182" s="57"/>
      <x:c r="O182" s="57"/>
      <x:c r="P182" s="57"/>
      <x:c r="Q182" s="57"/>
      <x:c r="R182" s="57"/>
      <x:c r="S182" s="57" t="str">
        <x:v>H.H. Jacobs</x:v>
      </x:c>
      <x:c r="T182" s="57" t="str">
        <x:v>USA</x:v>
      </x:c>
      <x:c r="U182" s="57" t="str">
        <x:v>United States</x:v>
      </x:c>
      <x:c r="V182" s="57" t="n">
        <x:v>5</x:v>
      </x:c>
      <x:c r="W182" s="57" t="n">
        <x:v>2</x:v>
      </x:c>
      <x:c r="X182" s="57" t="n">
        <x:v>15</x:v>
      </x:c>
      <x:c r="Y182" s="57" t="str">
        <x:v>Completed</x:v>
      </x:c>
      <x:c r="Z182" s="57" t="str">
        <x:v>Unavailable (not imputed)</x:v>
      </x:c>
      <x:c r="AA182" s="57" t="n">
        <x:v>8</x:v>
      </x:c>
      <x:c r="AB182" s="57" t="str">
        <x:v>Yes</x:v>
      </x:c>
      <x:c r="AC182" s="57" t="str">
        <x:v>1920s</x:v>
      </x:c>
      <x:c r="AD182" s="57" t="str">
        <x:v>Seeded</x:v>
      </x:c>
      <x:c r="AE182" s="58" t="str">
        <x:v>Seeded</x:v>
      </x:c>
    </x:row>
    <x:row r="183">
      <x:c r="A183" s="56" t="n">
        <x:v>1929</x:v>
      </x:c>
      <x:c r="B183" s="57" t="str">
        <x:v>Men's</x:v>
      </x:c>
      <x:c r="C183" s="57" t="str">
        <x:v>H.J. Cochet</x:v>
      </x:c>
      <x:c r="D183" s="57" t="str">
        <x:v>FRA</x:v>
      </x:c>
      <x:c r="E183" s="57" t="str">
        <x:v>France</x:v>
      </x:c>
      <x:c r="F183" s="57" t="n">
        <x:v>1</x:v>
      </x:c>
      <x:c r="G183" s="57" t="n">
        <x:v>60</x:v>
      </x:c>
      <x:c r="H183" s="57" t="str">
        <x:v>6-4, 6-3, 6-4</x:v>
      </x:c>
      <x:c r="I183" s="57" t="n">
        <x:v>6</x:v>
      </x:c>
      <x:c r="J183" s="57" t="n">
        <x:v>4</x:v>
      </x:c>
      <x:c r="K183" s="57" t="n">
        <x:v>6</x:v>
      </x:c>
      <x:c r="L183" s="57" t="n">
        <x:v>3</x:v>
      </x:c>
      <x:c r="M183" s="57" t="n">
        <x:v>6</x:v>
      </x:c>
      <x:c r="N183" s="57" t="n">
        <x:v>4</x:v>
      </x:c>
      <x:c r="O183" s="57"/>
      <x:c r="P183" s="57"/>
      <x:c r="Q183" s="57"/>
      <x:c r="R183" s="57"/>
      <x:c r="S183" s="57" t="str">
        <x:v>J.R. Borotra</x:v>
      </x:c>
      <x:c r="T183" s="57" t="str">
        <x:v>FRA</x:v>
      </x:c>
      <x:c r="U183" s="57" t="str">
        <x:v>France</x:v>
      </x:c>
      <x:c r="V183" s="57" t="n">
        <x:v>2</x:v>
      </x:c>
      <x:c r="W183" s="57" t="n">
        <x:v>3</x:v>
      </x:c>
      <x:c r="X183" s="57" t="n">
        <x:v>29</x:v>
      </x:c>
      <x:c r="Y183" s="57" t="str">
        <x:v>Completed</x:v>
      </x:c>
      <x:c r="Z183" s="57" t="str">
        <x:v>Recorded</x:v>
      </x:c>
      <x:c r="AA183" s="57" t="n">
        <x:v>2</x:v>
      </x:c>
      <x:c r="AB183" s="57" t="str">
        <x:v>No</x:v>
      </x:c>
      <x:c r="AC183" s="57" t="str">
        <x:v>1920s</x:v>
      </x:c>
      <x:c r="AD183" s="57" t="str">
        <x:v>Seeded</x:v>
      </x:c>
      <x:c r="AE183" s="58" t="str">
        <x:v>Seeded</x:v>
      </x:c>
    </x:row>
    <x:row r="184">
      <x:c r="A184" s="56" t="n">
        <x:v>1928</x:v>
      </x:c>
      <x:c r="B184" s="57" t="str">
        <x:v>Women's</x:v>
      </x:c>
      <x:c r="C184" s="57" t="str">
        <x:v>H.W. Moody</x:v>
      </x:c>
      <x:c r="D184" s="57" t="str">
        <x:v>USA</x:v>
      </x:c>
      <x:c r="E184" s="57" t="str">
        <x:v>United States</x:v>
      </x:c>
      <x:c r="F184" s="57" t="n">
        <x:v>1</x:v>
      </x:c>
      <x:c r="G184" s="57"/>
      <x:c r="H184" s="57" t="str">
        <x:v>6-2, 6-3</x:v>
      </x:c>
      <x:c r="I184" s="57" t="n">
        <x:v>6</x:v>
      </x:c>
      <x:c r="J184" s="57" t="n">
        <x:v>2</x:v>
      </x:c>
      <x:c r="K184" s="57" t="n">
        <x:v>6</x:v>
      </x:c>
      <x:c r="L184" s="57" t="n">
        <x:v>3</x:v>
      </x:c>
      <x:c r="M184" s="57"/>
      <x:c r="N184" s="57"/>
      <x:c r="O184" s="57"/>
      <x:c r="P184" s="57"/>
      <x:c r="Q184" s="57"/>
      <x:c r="R184" s="57"/>
      <x:c r="S184" s="57" t="str">
        <x:v>E.M. de Alvarez</x:v>
      </x:c>
      <x:c r="T184" s="57" t="str">
        <x:v>ESP</x:v>
      </x:c>
      <x:c r="U184" s="57" t="str">
        <x:v>Spain</x:v>
      </x:c>
      <x:c r="V184" s="57" t="n">
        <x:v>2</x:v>
      </x:c>
      <x:c r="W184" s="57" t="n">
        <x:v>2</x:v>
      </x:c>
      <x:c r="X184" s="57" t="n">
        <x:v>17</x:v>
      </x:c>
      <x:c r="Y184" s="57" t="str">
        <x:v>Completed</x:v>
      </x:c>
      <x:c r="Z184" s="57" t="str">
        <x:v>Unavailable (not imputed)</x:v>
      </x:c>
      <x:c r="AA184" s="57" t="n">
        <x:v>8</x:v>
      </x:c>
      <x:c r="AB184" s="57" t="str">
        <x:v>Yes</x:v>
      </x:c>
      <x:c r="AC184" s="57" t="str">
        <x:v>1920s</x:v>
      </x:c>
      <x:c r="AD184" s="57" t="str">
        <x:v>Seeded</x:v>
      </x:c>
      <x:c r="AE184" s="58" t="str">
        <x:v>Seeded</x:v>
      </x:c>
    </x:row>
    <x:row r="185">
      <x:c r="A185" s="56" t="n">
        <x:v>1928</x:v>
      </x:c>
      <x:c r="B185" s="57" t="str">
        <x:v>Men's</x:v>
      </x:c>
      <x:c r="C185" s="57" t="str">
        <x:v>J.R. Lacoste</x:v>
      </x:c>
      <x:c r="D185" s="57" t="str">
        <x:v>FRA</x:v>
      </x:c>
      <x:c r="E185" s="57" t="str">
        <x:v>France</x:v>
      </x:c>
      <x:c r="F185" s="57" t="n">
        <x:v>2</x:v>
      </x:c>
      <x:c r="G185" s="57"/>
      <x:c r="H185" s="57" t="str">
        <x:v>6-1, 4-6, 6-4, 6-2</x:v>
      </x:c>
      <x:c r="I185" s="57" t="n">
        <x:v>6</x:v>
      </x:c>
      <x:c r="J185" s="57" t="n">
        <x:v>1</x:v>
      </x:c>
      <x:c r="K185" s="57" t="n">
        <x:v>4</x:v>
      </x:c>
      <x:c r="L185" s="57" t="n">
        <x:v>6</x:v>
      </x:c>
      <x:c r="M185" s="57" t="n">
        <x:v>6</x:v>
      </x:c>
      <x:c r="N185" s="57" t="n">
        <x:v>4</x:v>
      </x:c>
      <x:c r="O185" s="57" t="n">
        <x:v>6</x:v>
      </x:c>
      <x:c r="P185" s="57" t="n">
        <x:v>2</x:v>
      </x:c>
      <x:c r="Q185" s="57"/>
      <x:c r="R185" s="57"/>
      <x:c r="S185" s="57" t="str">
        <x:v>H.J. Cochet</x:v>
      </x:c>
      <x:c r="T185" s="57" t="str">
        <x:v>FRA</x:v>
      </x:c>
      <x:c r="U185" s="57" t="str">
        <x:v>France</x:v>
      </x:c>
      <x:c r="V185" s="57" t="n">
        <x:v>1</x:v>
      </x:c>
      <x:c r="W185" s="57" t="n">
        <x:v>4</x:v>
      </x:c>
      <x:c r="X185" s="57" t="n">
        <x:v>35</x:v>
      </x:c>
      <x:c r="Y185" s="57" t="str">
        <x:v>Completed</x:v>
      </x:c>
      <x:c r="Z185" s="57" t="str">
        <x:v>Unavailable (not imputed)</x:v>
      </x:c>
      <x:c r="AA185" s="57" t="n">
        <x:v>2</x:v>
      </x:c>
      <x:c r="AB185" s="57" t="str">
        <x:v>No</x:v>
      </x:c>
      <x:c r="AC185" s="57" t="str">
        <x:v>1920s</x:v>
      </x:c>
      <x:c r="AD185" s="57" t="str">
        <x:v>Seeded</x:v>
      </x:c>
      <x:c r="AE185" s="58" t="str">
        <x:v>Seeded</x:v>
      </x:c>
    </x:row>
    <x:row r="186">
      <x:c r="A186" s="56" t="n">
        <x:v>1927</x:v>
      </x:c>
      <x:c r="B186" s="57" t="str">
        <x:v>Women's</x:v>
      </x:c>
      <x:c r="C186" s="57" t="str">
        <x:v>H.W. Moody</x:v>
      </x:c>
      <x:c r="D186" s="57" t="str">
        <x:v>USA</x:v>
      </x:c>
      <x:c r="E186" s="57" t="str">
        <x:v>United States</x:v>
      </x:c>
      <x:c r="F186" s="57" t="n">
        <x:v>1</x:v>
      </x:c>
      <x:c r="G186" s="57"/>
      <x:c r="H186" s="57" t="str">
        <x:v>6-2, 6-4</x:v>
      </x:c>
      <x:c r="I186" s="57" t="n">
        <x:v>6</x:v>
      </x:c>
      <x:c r="J186" s="57" t="n">
        <x:v>2</x:v>
      </x:c>
      <x:c r="K186" s="57" t="n">
        <x:v>6</x:v>
      </x:c>
      <x:c r="L186" s="57" t="n">
        <x:v>4</x:v>
      </x:c>
      <x:c r="M186" s="57"/>
      <x:c r="N186" s="57"/>
      <x:c r="O186" s="57"/>
      <x:c r="P186" s="57"/>
      <x:c r="Q186" s="57"/>
      <x:c r="R186" s="57"/>
      <x:c r="S186" s="57" t="str">
        <x:v>E.M. de Alvarez</x:v>
      </x:c>
      <x:c r="T186" s="57" t="str">
        <x:v>ESP</x:v>
      </x:c>
      <x:c r="U186" s="57" t="str">
        <x:v>Spain</x:v>
      </x:c>
      <x:c r="V186" s="57" t="n">
        <x:v>4</x:v>
      </x:c>
      <x:c r="W186" s="57" t="n">
        <x:v>2</x:v>
      </x:c>
      <x:c r="X186" s="57" t="n">
        <x:v>18</x:v>
      </x:c>
      <x:c r="Y186" s="57" t="str">
        <x:v>Completed</x:v>
      </x:c>
      <x:c r="Z186" s="57" t="str">
        <x:v>Unavailable (not imputed)</x:v>
      </x:c>
      <x:c r="AA186" s="57" t="n">
        <x:v>8</x:v>
      </x:c>
      <x:c r="AB186" s="57" t="str">
        <x:v>Yes</x:v>
      </x:c>
      <x:c r="AC186" s="57" t="str">
        <x:v>1920s</x:v>
      </x:c>
      <x:c r="AD186" s="57" t="str">
        <x:v>Seeded</x:v>
      </x:c>
      <x:c r="AE186" s="58" t="str">
        <x:v>Seeded</x:v>
      </x:c>
    </x:row>
    <x:row r="187">
      <x:c r="A187" s="56" t="n">
        <x:v>1927</x:v>
      </x:c>
      <x:c r="B187" s="57" t="str">
        <x:v>Men's</x:v>
      </x:c>
      <x:c r="C187" s="57" t="str">
        <x:v>H.J. Cochet</x:v>
      </x:c>
      <x:c r="D187" s="57" t="str">
        <x:v>FRA</x:v>
      </x:c>
      <x:c r="E187" s="57" t="str">
        <x:v>France</x:v>
      </x:c>
      <x:c r="F187" s="57" t="n">
        <x:v>4</x:v>
      </x:c>
      <x:c r="G187" s="57"/>
      <x:c r="H187" s="57" t="str">
        <x:v>4-6, 4-6, 6-3, 6-4, 7-5</x:v>
      </x:c>
      <x:c r="I187" s="57" t="n">
        <x:v>4</x:v>
      </x:c>
      <x:c r="J187" s="57" t="n">
        <x:v>6</x:v>
      </x:c>
      <x:c r="K187" s="57" t="n">
        <x:v>4</x:v>
      </x:c>
      <x:c r="L187" s="57" t="n">
        <x:v>6</x:v>
      </x:c>
      <x:c r="M187" s="57" t="n">
        <x:v>6</x:v>
      </x:c>
      <x:c r="N187" s="57" t="n">
        <x:v>3</x:v>
      </x:c>
      <x:c r="O187" s="57" t="n">
        <x:v>6</x:v>
      </x:c>
      <x:c r="P187" s="57" t="n">
        <x:v>4</x:v>
      </x:c>
      <x:c r="Q187" s="57" t="n">
        <x:v>7</x:v>
      </x:c>
      <x:c r="R187" s="57" t="n">
        <x:v>5</x:v>
      </x:c>
      <x:c r="S187" s="57" t="str">
        <x:v>J.R. Borotra</x:v>
      </x:c>
      <x:c r="T187" s="57" t="str">
        <x:v>FRA</x:v>
      </x:c>
      <x:c r="U187" s="57" t="str">
        <x:v>France</x:v>
      </x:c>
      <x:c r="V187" s="57" t="n">
        <x:v>3</x:v>
      </x:c>
      <x:c r="W187" s="57" t="n">
        <x:v>5</x:v>
      </x:c>
      <x:c r="X187" s="57" t="n">
        <x:v>51</x:v>
      </x:c>
      <x:c r="Y187" s="57" t="str">
        <x:v>Completed</x:v>
      </x:c>
      <x:c r="Z187" s="57" t="str">
        <x:v>Unavailable (not imputed)</x:v>
      </x:c>
      <x:c r="AA187" s="57" t="n">
        <x:v>2</x:v>
      </x:c>
      <x:c r="AB187" s="57" t="str">
        <x:v>No</x:v>
      </x:c>
      <x:c r="AC187" s="57" t="str">
        <x:v>1920s</x:v>
      </x:c>
      <x:c r="AD187" s="57" t="str">
        <x:v>Seeded</x:v>
      </x:c>
      <x:c r="AE187" s="58" t="str">
        <x:v>Seeded</x:v>
      </x:c>
    </x:row>
    <x:row r="188">
      <x:c r="A188" s="56" t="n">
        <x:v>1926</x:v>
      </x:c>
      <x:c r="B188" s="57" t="str">
        <x:v>Women's</x:v>
      </x:c>
      <x:c r="C188" s="57" t="str">
        <x:v>L.A. Godfree</x:v>
      </x:c>
      <x:c r="D188" s="57" t="str">
        <x:v>GBR</x:v>
      </x:c>
      <x:c r="E188" s="57" t="str">
        <x:v>United Kingdom</x:v>
      </x:c>
      <x:c r="F188" s="57"/>
      <x:c r="G188" s="57" t="n">
        <x:v>60</x:v>
      </x:c>
      <x:c r="H188" s="57" t="str">
        <x:v>6-2, 4-6, 6-3</x:v>
      </x:c>
      <x:c r="I188" s="57" t="n">
        <x:v>6</x:v>
      </x:c>
      <x:c r="J188" s="57" t="n">
        <x:v>2</x:v>
      </x:c>
      <x:c r="K188" s="57" t="n">
        <x:v>4</x:v>
      </x:c>
      <x:c r="L188" s="57" t="n">
        <x:v>6</x:v>
      </x:c>
      <x:c r="M188" s="57" t="n">
        <x:v>6</x:v>
      </x:c>
      <x:c r="N188" s="57" t="n">
        <x:v>3</x:v>
      </x:c>
      <x:c r="O188" s="57"/>
      <x:c r="P188" s="57"/>
      <x:c r="Q188" s="57"/>
      <x:c r="R188" s="57"/>
      <x:c r="S188" s="57" t="str">
        <x:v>E.M. de Alvarez</x:v>
      </x:c>
      <x:c r="T188" s="57" t="str">
        <x:v>ESP</x:v>
      </x:c>
      <x:c r="U188" s="57" t="str">
        <x:v>Spain</x:v>
      </x:c>
      <x:c r="V188" s="57"/>
      <x:c r="W188" s="57" t="n">
        <x:v>3</x:v>
      </x:c>
      <x:c r="X188" s="57" t="n">
        <x:v>27</x:v>
      </x:c>
      <x:c r="Y188" s="57" t="str">
        <x:v>Completed</x:v>
      </x:c>
      <x:c r="Z188" s="57" t="str">
        <x:v>Recorded</x:v>
      </x:c>
      <x:c r="AA188" s="57" t="n">
        <x:v>1</x:v>
      </x:c>
      <x:c r="AB188" s="57" t="str">
        <x:v>No</x:v>
      </x:c>
      <x:c r="AC188" s="57" t="str">
        <x:v>1920s</x:v>
      </x:c>
      <x:c r="AD188" s="57" t="str">
        <x:v>Unseeded/unknown</x:v>
      </x:c>
      <x:c r="AE188" s="58" t="str">
        <x:v>Unseeded/unknown</x:v>
      </x:c>
    </x:row>
    <x:row r="189">
      <x:c r="A189" s="56" t="n">
        <x:v>1926</x:v>
      </x:c>
      <x:c r="B189" s="57" t="str">
        <x:v>Men's</x:v>
      </x:c>
      <x:c r="C189" s="57" t="str">
        <x:v>J.R. Borotra</x:v>
      </x:c>
      <x:c r="D189" s="57" t="str">
        <x:v>FRA</x:v>
      </x:c>
      <x:c r="E189" s="57" t="str">
        <x:v>France</x:v>
      </x:c>
      <x:c r="F189" s="57"/>
      <x:c r="G189" s="57" t="n">
        <x:v>65</x:v>
      </x:c>
      <x:c r="H189" s="57" t="str">
        <x:v>8-6, 6-1, 6-3</x:v>
      </x:c>
      <x:c r="I189" s="57" t="n">
        <x:v>8</x:v>
      </x:c>
      <x:c r="J189" s="57" t="n">
        <x:v>6</x:v>
      </x:c>
      <x:c r="K189" s="57" t="n">
        <x:v>6</x:v>
      </x:c>
      <x:c r="L189" s="57" t="n">
        <x:v>1</x:v>
      </x:c>
      <x:c r="M189" s="57" t="n">
        <x:v>6</x:v>
      </x:c>
      <x:c r="N189" s="57" t="n">
        <x:v>3</x:v>
      </x:c>
      <x:c r="O189" s="57"/>
      <x:c r="P189" s="57"/>
      <x:c r="Q189" s="57"/>
      <x:c r="R189" s="57"/>
      <x:c r="S189" s="57" t="str">
        <x:v>H.O. Kinsey</x:v>
      </x:c>
      <x:c r="T189" s="57" t="str">
        <x:v>USA</x:v>
      </x:c>
      <x:c r="U189" s="57" t="str">
        <x:v>United States</x:v>
      </x:c>
      <x:c r="V189" s="57"/>
      <x:c r="W189" s="57" t="n">
        <x:v>3</x:v>
      </x:c>
      <x:c r="X189" s="57" t="n">
        <x:v>30</x:v>
      </x:c>
      <x:c r="Y189" s="57" t="str">
        <x:v>Completed</x:v>
      </x:c>
      <x:c r="Z189" s="57" t="str">
        <x:v>Recorded</x:v>
      </x:c>
      <x:c r="AA189" s="57" t="n">
        <x:v>2</x:v>
      </x:c>
      <x:c r="AB189" s="57" t="str">
        <x:v>No</x:v>
      </x:c>
      <x:c r="AC189" s="57" t="str">
        <x:v>1920s</x:v>
      </x:c>
      <x:c r="AD189" s="57" t="str">
        <x:v>Unseeded/unknown</x:v>
      </x:c>
      <x:c r="AE189" s="58" t="str">
        <x:v>Unseeded/unknown</x:v>
      </x:c>
    </x:row>
    <x:row r="190">
      <x:c r="A190" s="56" t="n">
        <x:v>1925</x:v>
      </x:c>
      <x:c r="B190" s="57" t="str">
        <x:v>Women's</x:v>
      </x:c>
      <x:c r="C190" s="57" t="str">
        <x:v>S.R.F. Lenglen</x:v>
      </x:c>
      <x:c r="D190" s="57" t="str">
        <x:v>FRA</x:v>
      </x:c>
      <x:c r="E190" s="57" t="str">
        <x:v>France</x:v>
      </x:c>
      <x:c r="F190" s="57"/>
      <x:c r="G190" s="57" t="n">
        <x:v>25</x:v>
      </x:c>
      <x:c r="H190" s="57" t="str">
        <x:v>6-2, 6-0</x:v>
      </x:c>
      <x:c r="I190" s="57" t="n">
        <x:v>6</x:v>
      </x:c>
      <x:c r="J190" s="57" t="n">
        <x:v>2</x:v>
      </x:c>
      <x:c r="K190" s="57" t="n">
        <x:v>6</x:v>
      </x:c>
      <x:c r="L190" s="57" t="n">
        <x:v>0</x:v>
      </x:c>
      <x:c r="M190" s="57"/>
      <x:c r="N190" s="57"/>
      <x:c r="O190" s="57"/>
      <x:c r="P190" s="57"/>
      <x:c r="Q190" s="57"/>
      <x:c r="R190" s="57"/>
      <x:c r="S190" s="57" t="str">
        <x:v>J.C. Fry</x:v>
      </x:c>
      <x:c r="T190" s="57" t="str">
        <x:v>GBR</x:v>
      </x:c>
      <x:c r="U190" s="57" t="str">
        <x:v>United Kingdom</x:v>
      </x:c>
      <x:c r="V190" s="57"/>
      <x:c r="W190" s="57" t="n">
        <x:v>2</x:v>
      </x:c>
      <x:c r="X190" s="57" t="n">
        <x:v>14</x:v>
      </x:c>
      <x:c r="Y190" s="57" t="str">
        <x:v>Completed</x:v>
      </x:c>
      <x:c r="Z190" s="57" t="str">
        <x:v>Recorded</x:v>
      </x:c>
      <x:c r="AA190" s="57" t="n">
        <x:v>6</x:v>
      </x:c>
      <x:c r="AB190" s="57" t="str">
        <x:v>Yes</x:v>
      </x:c>
      <x:c r="AC190" s="57" t="str">
        <x:v>1920s</x:v>
      </x:c>
      <x:c r="AD190" s="57" t="str">
        <x:v>Unseeded/unknown</x:v>
      </x:c>
      <x:c r="AE190" s="58" t="str">
        <x:v>Unseeded/unknown</x:v>
      </x:c>
    </x:row>
    <x:row r="191">
      <x:c r="A191" s="56" t="n">
        <x:v>1925</x:v>
      </x:c>
      <x:c r="B191" s="57" t="str">
        <x:v>Men's</x:v>
      </x:c>
      <x:c r="C191" s="57" t="str">
        <x:v>J.R. Lacoste</x:v>
      </x:c>
      <x:c r="D191" s="57" t="str">
        <x:v>FRA</x:v>
      </x:c>
      <x:c r="E191" s="57" t="str">
        <x:v>France</x:v>
      </x:c>
      <x:c r="F191" s="57"/>
      <x:c r="G191" s="57"/>
      <x:c r="H191" s="57" t="str">
        <x:v>6-3, 6-3, 4-6, 8-6</x:v>
      </x:c>
      <x:c r="I191" s="57" t="n">
        <x:v>6</x:v>
      </x:c>
      <x:c r="J191" s="57" t="n">
        <x:v>3</x:v>
      </x:c>
      <x:c r="K191" s="57" t="n">
        <x:v>6</x:v>
      </x:c>
      <x:c r="L191" s="57" t="n">
        <x:v>3</x:v>
      </x:c>
      <x:c r="M191" s="57" t="n">
        <x:v>4</x:v>
      </x:c>
      <x:c r="N191" s="57" t="n">
        <x:v>6</x:v>
      </x:c>
      <x:c r="O191" s="57" t="n">
        <x:v>8</x:v>
      </x:c>
      <x:c r="P191" s="57" t="n">
        <x:v>6</x:v>
      </x:c>
      <x:c r="Q191" s="57"/>
      <x:c r="R191" s="57"/>
      <x:c r="S191" s="57" t="str">
        <x:v>J.R. Borotra</x:v>
      </x:c>
      <x:c r="T191" s="57" t="str">
        <x:v>FRA</x:v>
      </x:c>
      <x:c r="U191" s="57" t="str">
        <x:v>France</x:v>
      </x:c>
      <x:c r="V191" s="57"/>
      <x:c r="W191" s="57" t="n">
        <x:v>4</x:v>
      </x:c>
      <x:c r="X191" s="57" t="n">
        <x:v>42</x:v>
      </x:c>
      <x:c r="Y191" s="57" t="str">
        <x:v>Completed</x:v>
      </x:c>
      <x:c r="Z191" s="57" t="str">
        <x:v>Unavailable (not imputed)</x:v>
      </x:c>
      <x:c r="AA191" s="57" t="n">
        <x:v>2</x:v>
      </x:c>
      <x:c r="AB191" s="57" t="str">
        <x:v>No</x:v>
      </x:c>
      <x:c r="AC191" s="57" t="str">
        <x:v>1920s</x:v>
      </x:c>
      <x:c r="AD191" s="57" t="str">
        <x:v>Unseeded/unknown</x:v>
      </x:c>
      <x:c r="AE191" s="58" t="str">
        <x:v>Unseeded/unknown</x:v>
      </x:c>
    </x:row>
    <x:row r="192">
      <x:c r="A192" s="56" t="n">
        <x:v>1924</x:v>
      </x:c>
      <x:c r="B192" s="57" t="str">
        <x:v>Women's</x:v>
      </x:c>
      <x:c r="C192" s="57" t="str">
        <x:v>K. McKane</x:v>
      </x:c>
      <x:c r="D192" s="57" t="str">
        <x:v>GBR</x:v>
      </x:c>
      <x:c r="E192" s="57" t="str">
        <x:v>United Kingdom</x:v>
      </x:c>
      <x:c r="F192" s="57"/>
      <x:c r="G192" s="57" t="n">
        <x:v>75</x:v>
      </x:c>
      <x:c r="H192" s="57" t="str">
        <x:v>4-6, 6-4, 6-4</x:v>
      </x:c>
      <x:c r="I192" s="57" t="n">
        <x:v>4</x:v>
      </x:c>
      <x:c r="J192" s="57" t="n">
        <x:v>6</x:v>
      </x:c>
      <x:c r="K192" s="57" t="n">
        <x:v>6</x:v>
      </x:c>
      <x:c r="L192" s="57" t="n">
        <x:v>4</x:v>
      </x:c>
      <x:c r="M192" s="57" t="n">
        <x:v>6</x:v>
      </x:c>
      <x:c r="N192" s="57" t="n">
        <x:v>4</x:v>
      </x:c>
      <x:c r="O192" s="57"/>
      <x:c r="P192" s="57"/>
      <x:c r="Q192" s="57"/>
      <x:c r="R192" s="57"/>
      <x:c r="S192" s="57" t="str">
        <x:v>H.W. Moody</x:v>
      </x:c>
      <x:c r="T192" s="57" t="str">
        <x:v>USA</x:v>
      </x:c>
      <x:c r="U192" s="57" t="str">
        <x:v>United States</x:v>
      </x:c>
      <x:c r="V192" s="57"/>
      <x:c r="W192" s="57" t="n">
        <x:v>3</x:v>
      </x:c>
      <x:c r="X192" s="57" t="n">
        <x:v>30</x:v>
      </x:c>
      <x:c r="Y192" s="57" t="str">
        <x:v>Completed</x:v>
      </x:c>
      <x:c r="Z192" s="57" t="str">
        <x:v>Recorded</x:v>
      </x:c>
      <x:c r="AA192" s="57" t="n">
        <x:v>1</x:v>
      </x:c>
      <x:c r="AB192" s="57" t="str">
        <x:v>No</x:v>
      </x:c>
      <x:c r="AC192" s="57" t="str">
        <x:v>1920s</x:v>
      </x:c>
      <x:c r="AD192" s="57" t="str">
        <x:v>Unseeded/unknown</x:v>
      </x:c>
      <x:c r="AE192" s="58" t="str">
        <x:v>Unseeded/unknown</x:v>
      </x:c>
    </x:row>
    <x:row r="193">
      <x:c r="A193" s="56" t="n">
        <x:v>1924</x:v>
      </x:c>
      <x:c r="B193" s="57" t="str">
        <x:v>Men's</x:v>
      </x:c>
      <x:c r="C193" s="57" t="str">
        <x:v>J.R. Borotra</x:v>
      </x:c>
      <x:c r="D193" s="57" t="str">
        <x:v>FRA</x:v>
      </x:c>
      <x:c r="E193" s="57" t="str">
        <x:v>France</x:v>
      </x:c>
      <x:c r="F193" s="57"/>
      <x:c r="G193" s="57" t="n">
        <x:v>80</x:v>
      </x:c>
      <x:c r="H193" s="57" t="str">
        <x:v>6-1, 3-6, 6-1, 3-6, 6-4</x:v>
      </x:c>
      <x:c r="I193" s="57" t="n">
        <x:v>6</x:v>
      </x:c>
      <x:c r="J193" s="57" t="n">
        <x:v>1</x:v>
      </x:c>
      <x:c r="K193" s="57" t="n">
        <x:v>3</x:v>
      </x:c>
      <x:c r="L193" s="57" t="n">
        <x:v>6</x:v>
      </x:c>
      <x:c r="M193" s="57" t="n">
        <x:v>6</x:v>
      </x:c>
      <x:c r="N193" s="57" t="n">
        <x:v>1</x:v>
      </x:c>
      <x:c r="O193" s="57" t="n">
        <x:v>3</x:v>
      </x:c>
      <x:c r="P193" s="57" t="n">
        <x:v>6</x:v>
      </x:c>
      <x:c r="Q193" s="57" t="n">
        <x:v>6</x:v>
      </x:c>
      <x:c r="R193" s="57" t="n">
        <x:v>4</x:v>
      </x:c>
      <x:c r="S193" s="57" t="str">
        <x:v>J.R. Lacoste</x:v>
      </x:c>
      <x:c r="T193" s="57" t="str">
        <x:v>FRA</x:v>
      </x:c>
      <x:c r="U193" s="57" t="str">
        <x:v>France</x:v>
      </x:c>
      <x:c r="V193" s="57"/>
      <x:c r="W193" s="57" t="n">
        <x:v>5</x:v>
      </x:c>
      <x:c r="X193" s="57" t="n">
        <x:v>42</x:v>
      </x:c>
      <x:c r="Y193" s="57" t="str">
        <x:v>Completed</x:v>
      </x:c>
      <x:c r="Z193" s="57" t="str">
        <x:v>Recorded</x:v>
      </x:c>
      <x:c r="AA193" s="57" t="n">
        <x:v>2</x:v>
      </x:c>
      <x:c r="AB193" s="57" t="str">
        <x:v>No</x:v>
      </x:c>
      <x:c r="AC193" s="57" t="str">
        <x:v>1920s</x:v>
      </x:c>
      <x:c r="AD193" s="57" t="str">
        <x:v>Unseeded/unknown</x:v>
      </x:c>
      <x:c r="AE193" s="58" t="str">
        <x:v>Unseeded/unknown</x:v>
      </x:c>
    </x:row>
    <x:row r="194">
      <x:c r="A194" s="56" t="n">
        <x:v>1923</x:v>
      </x:c>
      <x:c r="B194" s="57" t="str">
        <x:v>Women's</x:v>
      </x:c>
      <x:c r="C194" s="57" t="str">
        <x:v>S.R.F. Lenglen</x:v>
      </x:c>
      <x:c r="D194" s="57" t="str">
        <x:v>FRA</x:v>
      </x:c>
      <x:c r="E194" s="57" t="str">
        <x:v>France</x:v>
      </x:c>
      <x:c r="F194" s="57"/>
      <x:c r="G194" s="57"/>
      <x:c r="H194" s="57" t="str">
        <x:v>6-2, 6-2</x:v>
      </x:c>
      <x:c r="I194" s="57" t="n">
        <x:v>6</x:v>
      </x:c>
      <x:c r="J194" s="57" t="n">
        <x:v>2</x:v>
      </x:c>
      <x:c r="K194" s="57" t="n">
        <x:v>6</x:v>
      </x:c>
      <x:c r="L194" s="57" t="n">
        <x:v>2</x:v>
      </x:c>
      <x:c r="M194" s="57"/>
      <x:c r="N194" s="57"/>
      <x:c r="O194" s="57"/>
      <x:c r="P194" s="57"/>
      <x:c r="Q194" s="57"/>
      <x:c r="R194" s="57"/>
      <x:c r="S194" s="57" t="str">
        <x:v>K. McKane</x:v>
      </x:c>
      <x:c r="T194" s="57" t="str">
        <x:v>GBR</x:v>
      </x:c>
      <x:c r="U194" s="57" t="str">
        <x:v>United Kingdom</x:v>
      </x:c>
      <x:c r="V194" s="57"/>
      <x:c r="W194" s="57" t="n">
        <x:v>2</x:v>
      </x:c>
      <x:c r="X194" s="57" t="n">
        <x:v>16</x:v>
      </x:c>
      <x:c r="Y194" s="57" t="str">
        <x:v>Completed</x:v>
      </x:c>
      <x:c r="Z194" s="57" t="str">
        <x:v>Unavailable (not imputed)</x:v>
      </x:c>
      <x:c r="AA194" s="57" t="n">
        <x:v>6</x:v>
      </x:c>
      <x:c r="AB194" s="57" t="str">
        <x:v>Yes</x:v>
      </x:c>
      <x:c r="AC194" s="57" t="str">
        <x:v>1920s</x:v>
      </x:c>
      <x:c r="AD194" s="57" t="str">
        <x:v>Unseeded/unknown</x:v>
      </x:c>
      <x:c r="AE194" s="58" t="str">
        <x:v>Unseeded/unknown</x:v>
      </x:c>
    </x:row>
    <x:row r="195">
      <x:c r="A195" s="56" t="n">
        <x:v>1923</x:v>
      </x:c>
      <x:c r="B195" s="57" t="str">
        <x:v>Men's</x:v>
      </x:c>
      <x:c r="C195" s="57" t="str">
        <x:v>W. M. Johnston</x:v>
      </x:c>
      <x:c r="D195" s="57" t="str">
        <x:v>USA</x:v>
      </x:c>
      <x:c r="E195" s="57" t="str">
        <x:v>United States</x:v>
      </x:c>
      <x:c r="F195" s="57"/>
      <x:c r="G195" s="57" t="n">
        <x:v>46</x:v>
      </x:c>
      <x:c r="H195" s="57" t="str">
        <x:v>6-0, 6-3, 6-1</x:v>
      </x:c>
      <x:c r="I195" s="57" t="n">
        <x:v>6</x:v>
      </x:c>
      <x:c r="J195" s="57" t="n">
        <x:v>0</x:v>
      </x:c>
      <x:c r="K195" s="57" t="n">
        <x:v>6</x:v>
      </x:c>
      <x:c r="L195" s="57" t="n">
        <x:v>3</x:v>
      </x:c>
      <x:c r="M195" s="57" t="n">
        <x:v>6</x:v>
      </x:c>
      <x:c r="N195" s="57" t="n">
        <x:v>1</x:v>
      </x:c>
      <x:c r="O195" s="57"/>
      <x:c r="P195" s="57"/>
      <x:c r="Q195" s="57"/>
      <x:c r="R195" s="57"/>
      <x:c r="S195" s="57" t="str">
        <x:v>F.T. Hunter</x:v>
      </x:c>
      <x:c r="T195" s="57" t="str">
        <x:v>USA</x:v>
      </x:c>
      <x:c r="U195" s="57" t="str">
        <x:v>United States</x:v>
      </x:c>
      <x:c r="V195" s="57"/>
      <x:c r="W195" s="57" t="n">
        <x:v>3</x:v>
      </x:c>
      <x:c r="X195" s="57" t="n">
        <x:v>22</x:v>
      </x:c>
      <x:c r="Y195" s="57" t="str">
        <x:v>Completed</x:v>
      </x:c>
      <x:c r="Z195" s="57" t="str">
        <x:v>Recorded</x:v>
      </x:c>
      <x:c r="AA195" s="57" t="n">
        <x:v>1</x:v>
      </x:c>
      <x:c r="AB195" s="57" t="str">
        <x:v>No</x:v>
      </x:c>
      <x:c r="AC195" s="57" t="str">
        <x:v>1920s</x:v>
      </x:c>
      <x:c r="AD195" s="57" t="str">
        <x:v>Unseeded/unknown</x:v>
      </x:c>
      <x:c r="AE195" s="58" t="str">
        <x:v>Unseeded/unknown</x:v>
      </x:c>
    </x:row>
    <x:row r="196">
      <x:c r="A196" s="56" t="n">
        <x:v>1922</x:v>
      </x:c>
      <x:c r="B196" s="57" t="str">
        <x:v>Women's</x:v>
      </x:c>
      <x:c r="C196" s="57" t="str">
        <x:v>S.R.F. Lenglen</x:v>
      </x:c>
      <x:c r="D196" s="57" t="str">
        <x:v>FRA</x:v>
      </x:c>
      <x:c r="E196" s="57" t="str">
        <x:v>France</x:v>
      </x:c>
      <x:c r="F196" s="57"/>
      <x:c r="G196" s="57" t="n">
        <x:v>23</x:v>
      </x:c>
      <x:c r="H196" s="57" t="str">
        <x:v>6-2, 6-0</x:v>
      </x:c>
      <x:c r="I196" s="57" t="n">
        <x:v>6</x:v>
      </x:c>
      <x:c r="J196" s="57" t="n">
        <x:v>2</x:v>
      </x:c>
      <x:c r="K196" s="57" t="n">
        <x:v>6</x:v>
      </x:c>
      <x:c r="L196" s="57" t="n">
        <x:v>0</x:v>
      </x:c>
      <x:c r="M196" s="57"/>
      <x:c r="N196" s="57"/>
      <x:c r="O196" s="57"/>
      <x:c r="P196" s="57"/>
      <x:c r="Q196" s="57"/>
      <x:c r="R196" s="57"/>
      <x:c r="S196" s="57" t="str">
        <x:v>F.I. Mallory</x:v>
      </x:c>
      <x:c r="T196" s="57" t="str">
        <x:v>USA</x:v>
      </x:c>
      <x:c r="U196" s="57" t="str">
        <x:v>United States</x:v>
      </x:c>
      <x:c r="V196" s="57"/>
      <x:c r="W196" s="57" t="n">
        <x:v>2</x:v>
      </x:c>
      <x:c r="X196" s="57" t="n">
        <x:v>14</x:v>
      </x:c>
      <x:c r="Y196" s="57" t="str">
        <x:v>Completed</x:v>
      </x:c>
      <x:c r="Z196" s="57" t="str">
        <x:v>Recorded</x:v>
      </x:c>
      <x:c r="AA196" s="57" t="n">
        <x:v>6</x:v>
      </x:c>
      <x:c r="AB196" s="57" t="str">
        <x:v>Yes</x:v>
      </x:c>
      <x:c r="AC196" s="57" t="str">
        <x:v>1920s</x:v>
      </x:c>
      <x:c r="AD196" s="57" t="str">
        <x:v>Unseeded/unknown</x:v>
      </x:c>
      <x:c r="AE196" s="58" t="str">
        <x:v>Unseeded/unknown</x:v>
      </x:c>
    </x:row>
    <x:row r="197">
      <x:c r="A197" s="56" t="n">
        <x:v>1922</x:v>
      </x:c>
      <x:c r="B197" s="57" t="str">
        <x:v>Men's</x:v>
      </x:c>
      <x:c r="C197" s="57" t="str">
        <x:v>G.L. Patterson</x:v>
      </x:c>
      <x:c r="D197" s="57" t="str">
        <x:v>AUS</x:v>
      </x:c>
      <x:c r="E197" s="57" t="str">
        <x:v>Australia</x:v>
      </x:c>
      <x:c r="F197" s="57"/>
      <x:c r="G197" s="57"/>
      <x:c r="H197" s="57" t="str">
        <x:v>6-3, 6-4, 6-2</x:v>
      </x:c>
      <x:c r="I197" s="57" t="n">
        <x:v>6</x:v>
      </x:c>
      <x:c r="J197" s="57" t="n">
        <x:v>3</x:v>
      </x:c>
      <x:c r="K197" s="57" t="n">
        <x:v>6</x:v>
      </x:c>
      <x:c r="L197" s="57" t="n">
        <x:v>4</x:v>
      </x:c>
      <x:c r="M197" s="57" t="n">
        <x:v>6</x:v>
      </x:c>
      <x:c r="N197" s="57" t="n">
        <x:v>2</x:v>
      </x:c>
      <x:c r="O197" s="57"/>
      <x:c r="P197" s="57"/>
      <x:c r="Q197" s="57"/>
      <x:c r="R197" s="57"/>
      <x:c r="S197" s="57" t="str">
        <x:v>R. Lycett</x:v>
      </x:c>
      <x:c r="T197" s="57" t="str">
        <x:v>GBR</x:v>
      </x:c>
      <x:c r="U197" s="57" t="str">
        <x:v>United Kingdom</x:v>
      </x:c>
      <x:c r="V197" s="57"/>
      <x:c r="W197" s="57" t="n">
        <x:v>3</x:v>
      </x:c>
      <x:c r="X197" s="57" t="n">
        <x:v>27</x:v>
      </x:c>
      <x:c r="Y197" s="57" t="str">
        <x:v>Completed</x:v>
      </x:c>
      <x:c r="Z197" s="57" t="str">
        <x:v>Unavailable (not imputed)</x:v>
      </x:c>
      <x:c r="AA197" s="57" t="n">
        <x:v>2</x:v>
      </x:c>
      <x:c r="AB197" s="57" t="str">
        <x:v>No</x:v>
      </x:c>
      <x:c r="AC197" s="57" t="str">
        <x:v>1920s</x:v>
      </x:c>
      <x:c r="AD197" s="57" t="str">
        <x:v>Unseeded/unknown</x:v>
      </x:c>
      <x:c r="AE197" s="58" t="str">
        <x:v>Unseeded/unknown</x:v>
      </x:c>
    </x:row>
    <x:row r="198">
      <x:c r="A198" s="56" t="n">
        <x:v>1921</x:v>
      </x:c>
      <x:c r="B198" s="57" t="str">
        <x:v>Women's</x:v>
      </x:c>
      <x:c r="C198" s="57" t="str">
        <x:v>S.R.F. Lenglen</x:v>
      </x:c>
      <x:c r="D198" s="57" t="str">
        <x:v>FRA</x:v>
      </x:c>
      <x:c r="E198" s="57" t="str">
        <x:v>France</x:v>
      </x:c>
      <x:c r="F198" s="57"/>
      <x:c r="G198" s="57"/>
      <x:c r="H198" s="57" t="str">
        <x:v>6-2, 6-0</x:v>
      </x:c>
      <x:c r="I198" s="57" t="n">
        <x:v>6</x:v>
      </x:c>
      <x:c r="J198" s="57" t="n">
        <x:v>2</x:v>
      </x:c>
      <x:c r="K198" s="57" t="n">
        <x:v>6</x:v>
      </x:c>
      <x:c r="L198" s="57" t="n">
        <x:v>0</x:v>
      </x:c>
      <x:c r="M198" s="57"/>
      <x:c r="N198" s="57"/>
      <x:c r="O198" s="57"/>
      <x:c r="P198" s="57"/>
      <x:c r="Q198" s="57"/>
      <x:c r="R198" s="57"/>
      <x:c r="S198" s="57" t="str">
        <x:v>E.M. Ryan</x:v>
      </x:c>
      <x:c r="T198" s="57" t="str">
        <x:v>USA</x:v>
      </x:c>
      <x:c r="U198" s="57" t="str">
        <x:v>United States</x:v>
      </x:c>
      <x:c r="V198" s="57"/>
      <x:c r="W198" s="57" t="n">
        <x:v>2</x:v>
      </x:c>
      <x:c r="X198" s="57" t="n">
        <x:v>14</x:v>
      </x:c>
      <x:c r="Y198" s="57" t="str">
        <x:v>Completed</x:v>
      </x:c>
      <x:c r="Z198" s="57" t="str">
        <x:v>Unavailable (not imputed)</x:v>
      </x:c>
      <x:c r="AA198" s="57" t="n">
        <x:v>6</x:v>
      </x:c>
      <x:c r="AB198" s="57" t="str">
        <x:v>Yes</x:v>
      </x:c>
      <x:c r="AC198" s="57" t="str">
        <x:v>1920s</x:v>
      </x:c>
      <x:c r="AD198" s="57" t="str">
        <x:v>Unseeded/unknown</x:v>
      </x:c>
      <x:c r="AE198" s="58" t="str">
        <x:v>Unseeded/unknown</x:v>
      </x:c>
    </x:row>
    <x:row r="199">
      <x:c r="A199" s="56" t="n">
        <x:v>1921</x:v>
      </x:c>
      <x:c r="B199" s="57" t="str">
        <x:v>Men's</x:v>
      </x:c>
      <x:c r="C199" s="57" t="str">
        <x:v>W.T. Tilden</x:v>
      </x:c>
      <x:c r="D199" s="57" t="str">
        <x:v>USA</x:v>
      </x:c>
      <x:c r="E199" s="57" t="str">
        <x:v>United States</x:v>
      </x:c>
      <x:c r="F199" s="57"/>
      <x:c r="G199" s="57"/>
      <x:c r="H199" s="57" t="str">
        <x:v>4-6, 2-6, 6-1, 6-0, 7-5</x:v>
      </x:c>
      <x:c r="I199" s="57" t="n">
        <x:v>4</x:v>
      </x:c>
      <x:c r="J199" s="57" t="n">
        <x:v>6</x:v>
      </x:c>
      <x:c r="K199" s="57" t="n">
        <x:v>2</x:v>
      </x:c>
      <x:c r="L199" s="57" t="n">
        <x:v>6</x:v>
      </x:c>
      <x:c r="M199" s="57" t="n">
        <x:v>6</x:v>
      </x:c>
      <x:c r="N199" s="57" t="n">
        <x:v>1</x:v>
      </x:c>
      <x:c r="O199" s="57" t="n">
        <x:v>6</x:v>
      </x:c>
      <x:c r="P199" s="57" t="n">
        <x:v>0</x:v>
      </x:c>
      <x:c r="Q199" s="57" t="n">
        <x:v>7</x:v>
      </x:c>
      <x:c r="R199" s="57" t="n">
        <x:v>5</x:v>
      </x:c>
      <x:c r="S199" s="57" t="str">
        <x:v>B.I.C. Norton</x:v>
      </x:c>
      <x:c r="T199" s="57" t="str">
        <x:v>RSA</x:v>
      </x:c>
      <x:c r="U199" s="57" t="str">
        <x:v>South Africa</x:v>
      </x:c>
      <x:c r="V199" s="57"/>
      <x:c r="W199" s="57" t="n">
        <x:v>5</x:v>
      </x:c>
      <x:c r="X199" s="57" t="n">
        <x:v>43</x:v>
      </x:c>
      <x:c r="Y199" s="57" t="str">
        <x:v>Completed</x:v>
      </x:c>
      <x:c r="Z199" s="57" t="str">
        <x:v>Unavailable (not imputed)</x:v>
      </x:c>
      <x:c r="AA199" s="57" t="n">
        <x:v>3</x:v>
      </x:c>
      <x:c r="AB199" s="57" t="str">
        <x:v>No</x:v>
      </x:c>
      <x:c r="AC199" s="57" t="str">
        <x:v>1920s</x:v>
      </x:c>
      <x:c r="AD199" s="57" t="str">
        <x:v>Unseeded/unknown</x:v>
      </x:c>
      <x:c r="AE199" s="58" t="str">
        <x:v>Unseeded/unknown</x:v>
      </x:c>
    </x:row>
    <x:row r="200">
      <x:c r="A200" s="56" t="n">
        <x:v>1920</x:v>
      </x:c>
      <x:c r="B200" s="57" t="str">
        <x:v>Women's</x:v>
      </x:c>
      <x:c r="C200" s="57" t="str">
        <x:v>S.R.F. Lenglen</x:v>
      </x:c>
      <x:c r="D200" s="57" t="str">
        <x:v>FRA</x:v>
      </x:c>
      <x:c r="E200" s="57" t="str">
        <x:v>France</x:v>
      </x:c>
      <x:c r="F200" s="57"/>
      <x:c r="G200" s="57"/>
      <x:c r="H200" s="57" t="str">
        <x:v>6-3, 6-0</x:v>
      </x:c>
      <x:c r="I200" s="57" t="n">
        <x:v>6</x:v>
      </x:c>
      <x:c r="J200" s="57" t="n">
        <x:v>3</x:v>
      </x:c>
      <x:c r="K200" s="57" t="n">
        <x:v>6</x:v>
      </x:c>
      <x:c r="L200" s="57" t="n">
        <x:v>0</x:v>
      </x:c>
      <x:c r="M200" s="57"/>
      <x:c r="N200" s="57"/>
      <x:c r="O200" s="57"/>
      <x:c r="P200" s="57"/>
      <x:c r="Q200" s="57"/>
      <x:c r="R200" s="57"/>
      <x:c r="S200" s="57" t="str">
        <x:v>D.L. Chambers</x:v>
      </x:c>
      <x:c r="T200" s="57" t="str">
        <x:v>GBR</x:v>
      </x:c>
      <x:c r="U200" s="57" t="str">
        <x:v>United Kingdom</x:v>
      </x:c>
      <x:c r="V200" s="57"/>
      <x:c r="W200" s="57" t="n">
        <x:v>2</x:v>
      </x:c>
      <x:c r="X200" s="57" t="n">
        <x:v>15</x:v>
      </x:c>
      <x:c r="Y200" s="57" t="str">
        <x:v>Completed</x:v>
      </x:c>
      <x:c r="Z200" s="57" t="str">
        <x:v>Unavailable (not imputed)</x:v>
      </x:c>
      <x:c r="AA200" s="57" t="n">
        <x:v>6</x:v>
      </x:c>
      <x:c r="AB200" s="57" t="str">
        <x:v>Yes</x:v>
      </x:c>
      <x:c r="AC200" s="57" t="str">
        <x:v>1920s</x:v>
      </x:c>
      <x:c r="AD200" s="57" t="str">
        <x:v>Unseeded/unknown</x:v>
      </x:c>
      <x:c r="AE200" s="58" t="str">
        <x:v>Unseeded/unknown</x:v>
      </x:c>
    </x:row>
    <x:row r="201">
      <x:c r="A201" s="56" t="n">
        <x:v>1920</x:v>
      </x:c>
      <x:c r="B201" s="57" t="str">
        <x:v>Men's</x:v>
      </x:c>
      <x:c r="C201" s="57" t="str">
        <x:v>W.T. Tilden</x:v>
      </x:c>
      <x:c r="D201" s="57" t="str">
        <x:v>USA</x:v>
      </x:c>
      <x:c r="E201" s="57" t="str">
        <x:v>United States</x:v>
      </x:c>
      <x:c r="F201" s="57"/>
      <x:c r="G201" s="57"/>
      <x:c r="H201" s="57" t="str">
        <x:v>2-6, 6-3, 6-2, 6-4</x:v>
      </x:c>
      <x:c r="I201" s="57" t="n">
        <x:v>2</x:v>
      </x:c>
      <x:c r="J201" s="57" t="n">
        <x:v>6</x:v>
      </x:c>
      <x:c r="K201" s="57" t="n">
        <x:v>6</x:v>
      </x:c>
      <x:c r="L201" s="57" t="n">
        <x:v>3</x:v>
      </x:c>
      <x:c r="M201" s="57" t="n">
        <x:v>6</x:v>
      </x:c>
      <x:c r="N201" s="57" t="n">
        <x:v>2</x:v>
      </x:c>
      <x:c r="O201" s="57" t="n">
        <x:v>6</x:v>
      </x:c>
      <x:c r="P201" s="57" t="n">
        <x:v>4</x:v>
      </x:c>
      <x:c r="Q201" s="57"/>
      <x:c r="R201" s="57"/>
      <x:c r="S201" s="57" t="str">
        <x:v>G.L. Patterson</x:v>
      </x:c>
      <x:c r="T201" s="57" t="str">
        <x:v>AUS</x:v>
      </x:c>
      <x:c r="U201" s="57" t="str">
        <x:v>Australia</x:v>
      </x:c>
      <x:c r="V201" s="57"/>
      <x:c r="W201" s="57" t="n">
        <x:v>4</x:v>
      </x:c>
      <x:c r="X201" s="57" t="n">
        <x:v>35</x:v>
      </x:c>
      <x:c r="Y201" s="57" t="str">
        <x:v>Completed</x:v>
      </x:c>
      <x:c r="Z201" s="57" t="str">
        <x:v>Unavailable (not imputed)</x:v>
      </x:c>
      <x:c r="AA201" s="57" t="n">
        <x:v>3</x:v>
      </x:c>
      <x:c r="AB201" s="57" t="str">
        <x:v>No</x:v>
      </x:c>
      <x:c r="AC201" s="57" t="str">
        <x:v>1920s</x:v>
      </x:c>
      <x:c r="AD201" s="57" t="str">
        <x:v>Unseeded/unknown</x:v>
      </x:c>
      <x:c r="AE201" s="58" t="str">
        <x:v>Unseeded/unknown</x:v>
      </x:c>
    </x:row>
    <x:row r="202">
      <x:c r="A202" s="56" t="n">
        <x:v>1919</x:v>
      </x:c>
      <x:c r="B202" s="57" t="str">
        <x:v>Women's</x:v>
      </x:c>
      <x:c r="C202" s="57" t="str">
        <x:v>S.R.F. Lenglen</x:v>
      </x:c>
      <x:c r="D202" s="57" t="str">
        <x:v>FRA</x:v>
      </x:c>
      <x:c r="E202" s="57" t="str">
        <x:v>France</x:v>
      </x:c>
      <x:c r="F202" s="57"/>
      <x:c r="G202" s="57" t="n">
        <x:v>125</x:v>
      </x:c>
      <x:c r="H202" s="57" t="str">
        <x:v>10-8, 4-6, 9-7</x:v>
      </x:c>
      <x:c r="I202" s="57" t="n">
        <x:v>10</x:v>
      </x:c>
      <x:c r="J202" s="57" t="n">
        <x:v>8</x:v>
      </x:c>
      <x:c r="K202" s="57" t="n">
        <x:v>4</x:v>
      </x:c>
      <x:c r="L202" s="57" t="n">
        <x:v>6</x:v>
      </x:c>
      <x:c r="M202" s="57" t="n">
        <x:v>9</x:v>
      </x:c>
      <x:c r="N202" s="57" t="n">
        <x:v>7</x:v>
      </x:c>
      <x:c r="O202" s="57"/>
      <x:c r="P202" s="57"/>
      <x:c r="Q202" s="57"/>
      <x:c r="R202" s="57"/>
      <x:c r="S202" s="57" t="str">
        <x:v>D.L. Chambers</x:v>
      </x:c>
      <x:c r="T202" s="57" t="str">
        <x:v>GBR</x:v>
      </x:c>
      <x:c r="U202" s="57" t="str">
        <x:v>United Kingdom</x:v>
      </x:c>
      <x:c r="V202" s="57"/>
      <x:c r="W202" s="57" t="n">
        <x:v>3</x:v>
      </x:c>
      <x:c r="X202" s="57" t="n">
        <x:v>44</x:v>
      </x:c>
      <x:c r="Y202" s="57" t="str">
        <x:v>Completed</x:v>
      </x:c>
      <x:c r="Z202" s="57" t="str">
        <x:v>Recorded</x:v>
      </x:c>
      <x:c r="AA202" s="57" t="n">
        <x:v>6</x:v>
      </x:c>
      <x:c r="AB202" s="57" t="str">
        <x:v>Yes</x:v>
      </x:c>
      <x:c r="AC202" s="57" t="str">
        <x:v>1910s</x:v>
      </x:c>
      <x:c r="AD202" s="57" t="str">
        <x:v>Unseeded/unknown</x:v>
      </x:c>
      <x:c r="AE202" s="58" t="str">
        <x:v>Unseeded/unknown</x:v>
      </x:c>
    </x:row>
    <x:row r="203">
      <x:c r="A203" s="56" t="n">
        <x:v>1919</x:v>
      </x:c>
      <x:c r="B203" s="57" t="str">
        <x:v>Men's</x:v>
      </x:c>
      <x:c r="C203" s="57" t="str">
        <x:v>G.L. Patterson</x:v>
      </x:c>
      <x:c r="D203" s="57" t="str">
        <x:v>AUS</x:v>
      </x:c>
      <x:c r="E203" s="57" t="str">
        <x:v>Australia</x:v>
      </x:c>
      <x:c r="F203" s="57"/>
      <x:c r="G203" s="57"/>
      <x:c r="H203" s="57" t="str">
        <x:v>6-3, 7-5, 6-2</x:v>
      </x:c>
      <x:c r="I203" s="57" t="n">
        <x:v>6</x:v>
      </x:c>
      <x:c r="J203" s="57" t="n">
        <x:v>3</x:v>
      </x:c>
      <x:c r="K203" s="57" t="n">
        <x:v>7</x:v>
      </x:c>
      <x:c r="L203" s="57" t="n">
        <x:v>5</x:v>
      </x:c>
      <x:c r="M203" s="57" t="n">
        <x:v>6</x:v>
      </x:c>
      <x:c r="N203" s="57" t="n">
        <x:v>2</x:v>
      </x:c>
      <x:c r="O203" s="57"/>
      <x:c r="P203" s="57"/>
      <x:c r="Q203" s="57"/>
      <x:c r="R203" s="57"/>
      <x:c r="S203" s="57" t="str">
        <x:v>N.E. Brookes</x:v>
      </x:c>
      <x:c r="T203" s="57" t="str">
        <x:v>AUS</x:v>
      </x:c>
      <x:c r="U203" s="57" t="str">
        <x:v>Australia</x:v>
      </x:c>
      <x:c r="V203" s="57"/>
      <x:c r="W203" s="57" t="n">
        <x:v>3</x:v>
      </x:c>
      <x:c r="X203" s="57" t="n">
        <x:v>29</x:v>
      </x:c>
      <x:c r="Y203" s="57" t="str">
        <x:v>Completed</x:v>
      </x:c>
      <x:c r="Z203" s="57" t="str">
        <x:v>Unavailable (not imputed)</x:v>
      </x:c>
      <x:c r="AA203" s="57" t="n">
        <x:v>2</x:v>
      </x:c>
      <x:c r="AB203" s="57" t="str">
        <x:v>No</x:v>
      </x:c>
      <x:c r="AC203" s="57" t="str">
        <x:v>1910s</x:v>
      </x:c>
      <x:c r="AD203" s="57" t="str">
        <x:v>Unseeded/unknown</x:v>
      </x:c>
      <x:c r="AE203" s="58" t="str">
        <x:v>Unseeded/unknown</x:v>
      </x:c>
    </x:row>
    <x:row r="204">
      <x:c r="A204" s="56" t="n">
        <x:v>1914</x:v>
      </x:c>
      <x:c r="B204" s="57" t="str">
        <x:v>Women's</x:v>
      </x:c>
      <x:c r="C204" s="57" t="str">
        <x:v>D.L. Chambers</x:v>
      </x:c>
      <x:c r="D204" s="57" t="str">
        <x:v>GBR</x:v>
      </x:c>
      <x:c r="E204" s="57" t="str">
        <x:v>United Kingdom</x:v>
      </x:c>
      <x:c r="F204" s="57"/>
      <x:c r="G204" s="57"/>
      <x:c r="H204" s="57" t="str">
        <x:v>7-5, 6-4</x:v>
      </x:c>
      <x:c r="I204" s="57" t="n">
        <x:v>7</x:v>
      </x:c>
      <x:c r="J204" s="57" t="n">
        <x:v>5</x:v>
      </x:c>
      <x:c r="K204" s="57" t="n">
        <x:v>6</x:v>
      </x:c>
      <x:c r="L204" s="57" t="n">
        <x:v>4</x:v>
      </x:c>
      <x:c r="M204" s="57"/>
      <x:c r="N204" s="57"/>
      <x:c r="O204" s="57"/>
      <x:c r="P204" s="57"/>
      <x:c r="Q204" s="57"/>
      <x:c r="R204" s="57"/>
      <x:c r="S204" s="57" t="str">
        <x:v>D.T.R. Larcombe</x:v>
      </x:c>
      <x:c r="T204" s="57" t="str">
        <x:v>GBR</x:v>
      </x:c>
      <x:c r="U204" s="57" t="str">
        <x:v>United Kingdom</x:v>
      </x:c>
      <x:c r="V204" s="57"/>
      <x:c r="W204" s="57" t="n">
        <x:v>2</x:v>
      </x:c>
      <x:c r="X204" s="57" t="n">
        <x:v>22</x:v>
      </x:c>
      <x:c r="Y204" s="57" t="str">
        <x:v>Completed</x:v>
      </x:c>
      <x:c r="Z204" s="57" t="str">
        <x:v>Unavailable (not imputed)</x:v>
      </x:c>
      <x:c r="AA204" s="57" t="n">
        <x:v>7</x:v>
      </x:c>
      <x:c r="AB204" s="57" t="str">
        <x:v>Yes</x:v>
      </x:c>
      <x:c r="AC204" s="57" t="str">
        <x:v>1910s</x:v>
      </x:c>
      <x:c r="AD204" s="57" t="str">
        <x:v>Unseeded/unknown</x:v>
      </x:c>
      <x:c r="AE204" s="58" t="str">
        <x:v>Unseeded/unknown</x:v>
      </x:c>
    </x:row>
    <x:row r="205">
      <x:c r="A205" s="56" t="n">
        <x:v>1914</x:v>
      </x:c>
      <x:c r="B205" s="57" t="str">
        <x:v>Men's</x:v>
      </x:c>
      <x:c r="C205" s="57" t="str">
        <x:v>N.E. Brookes</x:v>
      </x:c>
      <x:c r="D205" s="57" t="str">
        <x:v>AUS</x:v>
      </x:c>
      <x:c r="E205" s="57" t="str">
        <x:v>Australia</x:v>
      </x:c>
      <x:c r="F205" s="57"/>
      <x:c r="G205" s="57"/>
      <x:c r="H205" s="57" t="str">
        <x:v>6-4, 6-4, 7-5</x:v>
      </x:c>
      <x:c r="I205" s="57" t="n">
        <x:v>6</x:v>
      </x:c>
      <x:c r="J205" s="57" t="n">
        <x:v>4</x:v>
      </x:c>
      <x:c r="K205" s="57" t="n">
        <x:v>6</x:v>
      </x:c>
      <x:c r="L205" s="57" t="n">
        <x:v>4</x:v>
      </x:c>
      <x:c r="M205" s="57" t="n">
        <x:v>7</x:v>
      </x:c>
      <x:c r="N205" s="57" t="n">
        <x:v>5</x:v>
      </x:c>
      <x:c r="O205" s="57"/>
      <x:c r="P205" s="57"/>
      <x:c r="Q205" s="57"/>
      <x:c r="R205" s="57"/>
      <x:c r="S205" s="57" t="str">
        <x:v>A.F. Wilding</x:v>
      </x:c>
      <x:c r="T205" s="57" t="str">
        <x:v>NZL</x:v>
      </x:c>
      <x:c r="U205" s="57" t="str">
        <x:v>New Zealand</x:v>
      </x:c>
      <x:c r="V205" s="57"/>
      <x:c r="W205" s="57" t="n">
        <x:v>3</x:v>
      </x:c>
      <x:c r="X205" s="57" t="n">
        <x:v>32</x:v>
      </x:c>
      <x:c r="Y205" s="57" t="str">
        <x:v>Completed</x:v>
      </x:c>
      <x:c r="Z205" s="57" t="str">
        <x:v>Unavailable (not imputed)</x:v>
      </x:c>
      <x:c r="AA205" s="57" t="n">
        <x:v>2</x:v>
      </x:c>
      <x:c r="AB205" s="57" t="str">
        <x:v>No</x:v>
      </x:c>
      <x:c r="AC205" s="57" t="str">
        <x:v>1910s</x:v>
      </x:c>
      <x:c r="AD205" s="57" t="str">
        <x:v>Unseeded/unknown</x:v>
      </x:c>
      <x:c r="AE205" s="58" t="str">
        <x:v>Unseeded/unknown</x:v>
      </x:c>
    </x:row>
    <x:row r="206">
      <x:c r="A206" s="56" t="n">
        <x:v>1913</x:v>
      </x:c>
      <x:c r="B206" s="57" t="str">
        <x:v>Women's</x:v>
      </x:c>
      <x:c r="C206" s="57" t="str">
        <x:v>D.L. Chambers</x:v>
      </x:c>
      <x:c r="D206" s="57" t="str">
        <x:v>GBR</x:v>
      </x:c>
      <x:c r="E206" s="57" t="str">
        <x:v>United Kingdom</x:v>
      </x:c>
      <x:c r="F206" s="57"/>
      <x:c r="G206" s="57"/>
      <x:c r="H206" s="57" t="str">
        <x:v>6-0, 6-4</x:v>
      </x:c>
      <x:c r="I206" s="57" t="n">
        <x:v>6</x:v>
      </x:c>
      <x:c r="J206" s="57" t="n">
        <x:v>0</x:v>
      </x:c>
      <x:c r="K206" s="57" t="n">
        <x:v>6</x:v>
      </x:c>
      <x:c r="L206" s="57" t="n">
        <x:v>4</x:v>
      </x:c>
      <x:c r="M206" s="57"/>
      <x:c r="N206" s="57"/>
      <x:c r="O206" s="57"/>
      <x:c r="P206" s="57"/>
      <x:c r="Q206" s="57"/>
      <x:c r="R206" s="57"/>
      <x:c r="S206" s="57" t="str">
        <x:v>R.J. McNair</x:v>
      </x:c>
      <x:c r="T206" s="57" t="str">
        <x:v>GBR</x:v>
      </x:c>
      <x:c r="U206" s="57" t="str">
        <x:v>United Kingdom</x:v>
      </x:c>
      <x:c r="V206" s="57"/>
      <x:c r="W206" s="57" t="n">
        <x:v>2</x:v>
      </x:c>
      <x:c r="X206" s="57" t="n">
        <x:v>16</x:v>
      </x:c>
      <x:c r="Y206" s="57" t="str">
        <x:v>Completed</x:v>
      </x:c>
      <x:c r="Z206" s="57" t="str">
        <x:v>Unavailable (not imputed)</x:v>
      </x:c>
      <x:c r="AA206" s="57" t="n">
        <x:v>7</x:v>
      </x:c>
      <x:c r="AB206" s="57" t="str">
        <x:v>Yes</x:v>
      </x:c>
      <x:c r="AC206" s="57" t="str">
        <x:v>1910s</x:v>
      </x:c>
      <x:c r="AD206" s="57" t="str">
        <x:v>Unseeded/unknown</x:v>
      </x:c>
      <x:c r="AE206" s="58" t="str">
        <x:v>Unseeded/unknown</x:v>
      </x:c>
    </x:row>
    <x:row r="207">
      <x:c r="A207" s="56" t="n">
        <x:v>1913</x:v>
      </x:c>
      <x:c r="B207" s="57" t="str">
        <x:v>Men's</x:v>
      </x:c>
      <x:c r="C207" s="57" t="str">
        <x:v>A.F. Wilding</x:v>
      </x:c>
      <x:c r="D207" s="57" t="str">
        <x:v>NZL</x:v>
      </x:c>
      <x:c r="E207" s="57" t="str">
        <x:v>New Zealand</x:v>
      </x:c>
      <x:c r="F207" s="57"/>
      <x:c r="G207" s="57"/>
      <x:c r="H207" s="57" t="str">
        <x:v>8-6, 6-3, 10-8</x:v>
      </x:c>
      <x:c r="I207" s="57" t="n">
        <x:v>8</x:v>
      </x:c>
      <x:c r="J207" s="57" t="n">
        <x:v>6</x:v>
      </x:c>
      <x:c r="K207" s="57" t="n">
        <x:v>6</x:v>
      </x:c>
      <x:c r="L207" s="57" t="n">
        <x:v>3</x:v>
      </x:c>
      <x:c r="M207" s="57" t="n">
        <x:v>10</x:v>
      </x:c>
      <x:c r="N207" s="57" t="n">
        <x:v>8</x:v>
      </x:c>
      <x:c r="O207" s="57"/>
      <x:c r="P207" s="57"/>
      <x:c r="Q207" s="57"/>
      <x:c r="R207" s="57"/>
      <x:c r="S207" s="57" t="str">
        <x:v>M.E. McLoughlin</x:v>
      </x:c>
      <x:c r="T207" s="57" t="str">
        <x:v>USA</x:v>
      </x:c>
      <x:c r="U207" s="57" t="str">
        <x:v>United States</x:v>
      </x:c>
      <x:c r="V207" s="57"/>
      <x:c r="W207" s="57" t="n">
        <x:v>3</x:v>
      </x:c>
      <x:c r="X207" s="57" t="n">
        <x:v>41</x:v>
      </x:c>
      <x:c r="Y207" s="57" t="str">
        <x:v>Completed</x:v>
      </x:c>
      <x:c r="Z207" s="57" t="str">
        <x:v>Unavailable (not imputed)</x:v>
      </x:c>
      <x:c r="AA207" s="57" t="n">
        <x:v>4</x:v>
      </x:c>
      <x:c r="AB207" s="57" t="str">
        <x:v>No</x:v>
      </x:c>
      <x:c r="AC207" s="57" t="str">
        <x:v>1910s</x:v>
      </x:c>
      <x:c r="AD207" s="57" t="str">
        <x:v>Unseeded/unknown</x:v>
      </x:c>
      <x:c r="AE207" s="58" t="str">
        <x:v>Unseeded/unknown</x:v>
      </x:c>
    </x:row>
    <x:row r="208">
      <x:c r="A208" s="56" t="n">
        <x:v>1912</x:v>
      </x:c>
      <x:c r="B208" s="57" t="str">
        <x:v>Women's</x:v>
      </x:c>
      <x:c r="C208" s="57" t="str">
        <x:v>D.T.R. Larcombe</x:v>
      </x:c>
      <x:c r="D208" s="57" t="str">
        <x:v>GBR</x:v>
      </x:c>
      <x:c r="E208" s="57" t="str">
        <x:v>United Kingdom</x:v>
      </x:c>
      <x:c r="F208" s="57"/>
      <x:c r="G208" s="57"/>
      <x:c r="H208" s="57" t="str">
        <x:v>6-3, 6-1</x:v>
      </x:c>
      <x:c r="I208" s="57" t="n">
        <x:v>6</x:v>
      </x:c>
      <x:c r="J208" s="57" t="n">
        <x:v>3</x:v>
      </x:c>
      <x:c r="K208" s="57" t="n">
        <x:v>6</x:v>
      </x:c>
      <x:c r="L208" s="57" t="n">
        <x:v>1</x:v>
      </x:c>
      <x:c r="M208" s="57"/>
      <x:c r="N208" s="57"/>
      <x:c r="O208" s="57"/>
      <x:c r="P208" s="57"/>
      <x:c r="Q208" s="57"/>
      <x:c r="R208" s="57"/>
      <x:c r="S208" s="57" t="str">
        <x:v>C.R. Cooper</x:v>
      </x:c>
      <x:c r="T208" s="57" t="str">
        <x:v>GBR</x:v>
      </x:c>
      <x:c r="U208" s="57" t="str">
        <x:v>United Kingdom</x:v>
      </x:c>
      <x:c r="V208" s="57"/>
      <x:c r="W208" s="57" t="n">
        <x:v>2</x:v>
      </x:c>
      <x:c r="X208" s="57" t="n">
        <x:v>16</x:v>
      </x:c>
      <x:c r="Y208" s="57" t="str">
        <x:v>Completed</x:v>
      </x:c>
      <x:c r="Z208" s="57" t="str">
        <x:v>Unavailable (not imputed)</x:v>
      </x:c>
      <x:c r="AA208" s="57" t="n">
        <x:v>1</x:v>
      </x:c>
      <x:c r="AB208" s="57" t="str">
        <x:v>No</x:v>
      </x:c>
      <x:c r="AC208" s="57" t="str">
        <x:v>1910s</x:v>
      </x:c>
      <x:c r="AD208" s="57" t="str">
        <x:v>Unseeded/unknown</x:v>
      </x:c>
      <x:c r="AE208" s="58" t="str">
        <x:v>Unseeded/unknown</x:v>
      </x:c>
    </x:row>
    <x:row r="209">
      <x:c r="A209" s="56" t="n">
        <x:v>1912</x:v>
      </x:c>
      <x:c r="B209" s="57" t="str">
        <x:v>Men's</x:v>
      </x:c>
      <x:c r="C209" s="57" t="str">
        <x:v>A.F. Wilding</x:v>
      </x:c>
      <x:c r="D209" s="57" t="str">
        <x:v>NZL</x:v>
      </x:c>
      <x:c r="E209" s="57" t="str">
        <x:v>New Zealand</x:v>
      </x:c>
      <x:c r="F209" s="57"/>
      <x:c r="G209" s="57"/>
      <x:c r="H209" s="57" t="str">
        <x:v>6-4, 6-4, 4-6, 6-4</x:v>
      </x:c>
      <x:c r="I209" s="57" t="n">
        <x:v>6</x:v>
      </x:c>
      <x:c r="J209" s="57" t="n">
        <x:v>4</x:v>
      </x:c>
      <x:c r="K209" s="57" t="n">
        <x:v>6</x:v>
      </x:c>
      <x:c r="L209" s="57" t="n">
        <x:v>4</x:v>
      </x:c>
      <x:c r="M209" s="57" t="n">
        <x:v>4</x:v>
      </x:c>
      <x:c r="N209" s="57" t="n">
        <x:v>6</x:v>
      </x:c>
      <x:c r="O209" s="57" t="n">
        <x:v>6</x:v>
      </x:c>
      <x:c r="P209" s="57" t="n">
        <x:v>4</x:v>
      </x:c>
      <x:c r="Q209" s="57"/>
      <x:c r="R209" s="57"/>
      <x:c r="S209" s="57" t="str">
        <x:v>A.W. Gore</x:v>
      </x:c>
      <x:c r="T209" s="57" t="str">
        <x:v>GBR</x:v>
      </x:c>
      <x:c r="U209" s="57" t="str">
        <x:v>United Kingdom</x:v>
      </x:c>
      <x:c r="V209" s="57"/>
      <x:c r="W209" s="57" t="n">
        <x:v>4</x:v>
      </x:c>
      <x:c r="X209" s="57" t="n">
        <x:v>40</x:v>
      </x:c>
      <x:c r="Y209" s="57" t="str">
        <x:v>Completed</x:v>
      </x:c>
      <x:c r="Z209" s="57" t="str">
        <x:v>Unavailable (not imputed)</x:v>
      </x:c>
      <x:c r="AA209" s="57" t="n">
        <x:v>4</x:v>
      </x:c>
      <x:c r="AB209" s="57" t="str">
        <x:v>No</x:v>
      </x:c>
      <x:c r="AC209" s="57" t="str">
        <x:v>1910s</x:v>
      </x:c>
      <x:c r="AD209" s="57" t="str">
        <x:v>Unseeded/unknown</x:v>
      </x:c>
      <x:c r="AE209" s="58" t="str">
        <x:v>Unseeded/unknown</x:v>
      </x:c>
    </x:row>
    <x:row r="210">
      <x:c r="A210" s="56" t="n">
        <x:v>1911</x:v>
      </x:c>
      <x:c r="B210" s="57" t="str">
        <x:v>Women's</x:v>
      </x:c>
      <x:c r="C210" s="57" t="str">
        <x:v>D.L. Chambers</x:v>
      </x:c>
      <x:c r="D210" s="57" t="str">
        <x:v>GBR</x:v>
      </x:c>
      <x:c r="E210" s="57" t="str">
        <x:v>United Kingdom</x:v>
      </x:c>
      <x:c r="F210" s="57"/>
      <x:c r="G210" s="57" t="n">
        <x:v>25</x:v>
      </x:c>
      <x:c r="H210" s="57" t="str">
        <x:v>6-0, 6-0</x:v>
      </x:c>
      <x:c r="I210" s="57" t="n">
        <x:v>6</x:v>
      </x:c>
      <x:c r="J210" s="57" t="n">
        <x:v>0</x:v>
      </x:c>
      <x:c r="K210" s="57" t="n">
        <x:v>6</x:v>
      </x:c>
      <x:c r="L210" s="57" t="n">
        <x:v>0</x:v>
      </x:c>
      <x:c r="M210" s="57"/>
      <x:c r="N210" s="57"/>
      <x:c r="O210" s="57"/>
      <x:c r="P210" s="57"/>
      <x:c r="Q210" s="57"/>
      <x:c r="R210" s="57"/>
      <x:c r="S210" s="57" t="str">
        <x:v>P.D.H. Boothby</x:v>
      </x:c>
      <x:c r="T210" s="57" t="str">
        <x:v>GBR</x:v>
      </x:c>
      <x:c r="U210" s="57" t="str">
        <x:v>United Kingdom</x:v>
      </x:c>
      <x:c r="V210" s="57"/>
      <x:c r="W210" s="57" t="n">
        <x:v>2</x:v>
      </x:c>
      <x:c r="X210" s="57" t="n">
        <x:v>12</x:v>
      </x:c>
      <x:c r="Y210" s="57" t="str">
        <x:v>Completed</x:v>
      </x:c>
      <x:c r="Z210" s="57" t="str">
        <x:v>Recorded</x:v>
      </x:c>
      <x:c r="AA210" s="57" t="n">
        <x:v>7</x:v>
      </x:c>
      <x:c r="AB210" s="57" t="str">
        <x:v>Yes</x:v>
      </x:c>
      <x:c r="AC210" s="57" t="str">
        <x:v>1910s</x:v>
      </x:c>
      <x:c r="AD210" s="57" t="str">
        <x:v>Unseeded/unknown</x:v>
      </x:c>
      <x:c r="AE210" s="58" t="str">
        <x:v>Unseeded/unknown</x:v>
      </x:c>
    </x:row>
    <x:row r="211">
      <x:c r="A211" s="56" t="n">
        <x:v>1911</x:v>
      </x:c>
      <x:c r="B211" s="57" t="str">
        <x:v>Men's</x:v>
      </x:c>
      <x:c r="C211" s="57" t="str">
        <x:v>A.F. Wilding</x:v>
      </x:c>
      <x:c r="D211" s="57" t="str">
        <x:v>NZL</x:v>
      </x:c>
      <x:c r="E211" s="57" t="str">
        <x:v>New Zealand</x:v>
      </x:c>
      <x:c r="F211" s="57"/>
      <x:c r="G211" s="57"/>
      <x:c r="H211" s="57" t="str">
        <x:v>6-4, 4-6, 2-6, 6-2, retd</x:v>
      </x:c>
      <x:c r="I211" s="57" t="n">
        <x:v>6</x:v>
      </x:c>
      <x:c r="J211" s="57" t="n">
        <x:v>4</x:v>
      </x:c>
      <x:c r="K211" s="57" t="n">
        <x:v>4</x:v>
      </x:c>
      <x:c r="L211" s="57" t="n">
        <x:v>6</x:v>
      </x:c>
      <x:c r="M211" s="57" t="n">
        <x:v>2</x:v>
      </x:c>
      <x:c r="N211" s="57" t="n">
        <x:v>6</x:v>
      </x:c>
      <x:c r="O211" s="57" t="n">
        <x:v>6</x:v>
      </x:c>
      <x:c r="P211" s="57" t="n">
        <x:v>2</x:v>
      </x:c>
      <x:c r="Q211" s="57" t="str">
        <x:v>retd</x:v>
      </x:c>
      <x:c r="R211" s="57"/>
      <x:c r="S211" s="57" t="str">
        <x:v>H.R. Barrett</x:v>
      </x:c>
      <x:c r="T211" s="57" t="str">
        <x:v>GBR</x:v>
      </x:c>
      <x:c r="U211" s="57" t="str">
        <x:v>United Kingdom</x:v>
      </x:c>
      <x:c r="V211" s="57"/>
      <x:c r="W211" s="57" t="n">
        <x:v>4</x:v>
      </x:c>
      <x:c r="X211" s="57" t="n">
        <x:v>36</x:v>
      </x:c>
      <x:c r="Y211" s="57" t="str">
        <x:v>Retired</x:v>
      </x:c>
      <x:c r="Z211" s="57" t="str">
        <x:v>Unavailable (not imputed)</x:v>
      </x:c>
      <x:c r="AA211" s="57" t="n">
        <x:v>4</x:v>
      </x:c>
      <x:c r="AB211" s="57" t="str">
        <x:v>No</x:v>
      </x:c>
      <x:c r="AC211" s="57" t="str">
        <x:v>1910s</x:v>
      </x:c>
      <x:c r="AD211" s="57" t="str">
        <x:v>Unseeded/unknown</x:v>
      </x:c>
      <x:c r="AE211" s="58" t="str">
        <x:v>Unseeded/unknown</x:v>
      </x:c>
    </x:row>
    <x:row r="212">
      <x:c r="A212" s="56" t="n">
        <x:v>1910</x:v>
      </x:c>
      <x:c r="B212" s="57" t="str">
        <x:v>Women's</x:v>
      </x:c>
      <x:c r="C212" s="57" t="str">
        <x:v>D.L. Chambers</x:v>
      </x:c>
      <x:c r="D212" s="57" t="str">
        <x:v>GBR</x:v>
      </x:c>
      <x:c r="E212" s="57" t="str">
        <x:v>United Kingdom</x:v>
      </x:c>
      <x:c r="F212" s="57"/>
      <x:c r="G212" s="57"/>
      <x:c r="H212" s="57" t="str">
        <x:v>6-2, 6-2</x:v>
      </x:c>
      <x:c r="I212" s="57" t="n">
        <x:v>6</x:v>
      </x:c>
      <x:c r="J212" s="57" t="n">
        <x:v>2</x:v>
      </x:c>
      <x:c r="K212" s="57" t="n">
        <x:v>6</x:v>
      </x:c>
      <x:c r="L212" s="57" t="n">
        <x:v>2</x:v>
      </x:c>
      <x:c r="M212" s="57"/>
      <x:c r="N212" s="57"/>
      <x:c r="O212" s="57"/>
      <x:c r="P212" s="57"/>
      <x:c r="Q212" s="57"/>
      <x:c r="R212" s="57"/>
      <x:c r="S212" s="57" t="str">
        <x:v>P.D.H. Boothby</x:v>
      </x:c>
      <x:c r="T212" s="57" t="str">
        <x:v>GBR</x:v>
      </x:c>
      <x:c r="U212" s="57" t="str">
        <x:v>United Kingdom</x:v>
      </x:c>
      <x:c r="V212" s="57"/>
      <x:c r="W212" s="57" t="n">
        <x:v>2</x:v>
      </x:c>
      <x:c r="X212" s="57" t="n">
        <x:v>16</x:v>
      </x:c>
      <x:c r="Y212" s="57" t="str">
        <x:v>Completed</x:v>
      </x:c>
      <x:c r="Z212" s="57" t="str">
        <x:v>Unavailable (not imputed)</x:v>
      </x:c>
      <x:c r="AA212" s="57" t="n">
        <x:v>7</x:v>
      </x:c>
      <x:c r="AB212" s="57" t="str">
        <x:v>Yes</x:v>
      </x:c>
      <x:c r="AC212" s="57" t="str">
        <x:v>1910s</x:v>
      </x:c>
      <x:c r="AD212" s="57" t="str">
        <x:v>Unseeded/unknown</x:v>
      </x:c>
      <x:c r="AE212" s="58" t="str">
        <x:v>Unseeded/unknown</x:v>
      </x:c>
    </x:row>
    <x:row r="213">
      <x:c r="A213" s="56" t="n">
        <x:v>1910</x:v>
      </x:c>
      <x:c r="B213" s="57" t="str">
        <x:v>Men's</x:v>
      </x:c>
      <x:c r="C213" s="57" t="str">
        <x:v>A.F. Wilding</x:v>
      </x:c>
      <x:c r="D213" s="57" t="str">
        <x:v>NZL</x:v>
      </x:c>
      <x:c r="E213" s="57" t="str">
        <x:v>New Zealand</x:v>
      </x:c>
      <x:c r="F213" s="57"/>
      <x:c r="G213" s="57"/>
      <x:c r="H213" s="57" t="str">
        <x:v>6-4, 7-5, 4-6, 6-2</x:v>
      </x:c>
      <x:c r="I213" s="57" t="n">
        <x:v>6</x:v>
      </x:c>
      <x:c r="J213" s="57" t="n">
        <x:v>4</x:v>
      </x:c>
      <x:c r="K213" s="57" t="n">
        <x:v>7</x:v>
      </x:c>
      <x:c r="L213" s="57" t="n">
        <x:v>5</x:v>
      </x:c>
      <x:c r="M213" s="57" t="n">
        <x:v>4</x:v>
      </x:c>
      <x:c r="N213" s="57" t="n">
        <x:v>6</x:v>
      </x:c>
      <x:c r="O213" s="57" t="n">
        <x:v>6</x:v>
      </x:c>
      <x:c r="P213" s="57" t="n">
        <x:v>2</x:v>
      </x:c>
      <x:c r="Q213" s="57"/>
      <x:c r="R213" s="57"/>
      <x:c r="S213" s="57" t="str">
        <x:v>A.W. Gore</x:v>
      </x:c>
      <x:c r="T213" s="57" t="str">
        <x:v>GBR</x:v>
      </x:c>
      <x:c r="U213" s="57" t="str">
        <x:v>United Kingdom</x:v>
      </x:c>
      <x:c r="V213" s="57"/>
      <x:c r="W213" s="57" t="n">
        <x:v>4</x:v>
      </x:c>
      <x:c r="X213" s="57" t="n">
        <x:v>40</x:v>
      </x:c>
      <x:c r="Y213" s="57" t="str">
        <x:v>Completed</x:v>
      </x:c>
      <x:c r="Z213" s="57" t="str">
        <x:v>Unavailable (not imputed)</x:v>
      </x:c>
      <x:c r="AA213" s="57" t="n">
        <x:v>4</x:v>
      </x:c>
      <x:c r="AB213" s="57" t="str">
        <x:v>No</x:v>
      </x:c>
      <x:c r="AC213" s="57" t="str">
        <x:v>1910s</x:v>
      </x:c>
      <x:c r="AD213" s="57" t="str">
        <x:v>Unseeded/unknown</x:v>
      </x:c>
      <x:c r="AE213" s="58" t="str">
        <x:v>Unseeded/unknown</x:v>
      </x:c>
    </x:row>
    <x:row r="214">
      <x:c r="A214" s="56" t="n">
        <x:v>1909</x:v>
      </x:c>
      <x:c r="B214" s="57" t="str">
        <x:v>Women's</x:v>
      </x:c>
      <x:c r="C214" s="57" t="str">
        <x:v>P.D.H. Boothby</x:v>
      </x:c>
      <x:c r="D214" s="57" t="str">
        <x:v>GBR</x:v>
      </x:c>
      <x:c r="E214" s="57" t="str">
        <x:v>United Kingdom</x:v>
      </x:c>
      <x:c r="F214" s="57"/>
      <x:c r="G214" s="57"/>
      <x:c r="H214" s="57" t="str">
        <x:v>6-4, 4-6, 8-6</x:v>
      </x:c>
      <x:c r="I214" s="57" t="n">
        <x:v>6</x:v>
      </x:c>
      <x:c r="J214" s="57" t="n">
        <x:v>4</x:v>
      </x:c>
      <x:c r="K214" s="57" t="n">
        <x:v>4</x:v>
      </x:c>
      <x:c r="L214" s="57" t="n">
        <x:v>6</x:v>
      </x:c>
      <x:c r="M214" s="57" t="n">
        <x:v>8</x:v>
      </x:c>
      <x:c r="N214" s="57" t="n">
        <x:v>6</x:v>
      </x:c>
      <x:c r="O214" s="57"/>
      <x:c r="P214" s="57"/>
      <x:c r="Q214" s="57"/>
      <x:c r="R214" s="57"/>
      <x:c r="S214" s="57" t="str">
        <x:v>A.M. Morton</x:v>
      </x:c>
      <x:c r="T214" s="57" t="str">
        <x:v>GBR</x:v>
      </x:c>
      <x:c r="U214" s="57" t="str">
        <x:v>United Kingdom</x:v>
      </x:c>
      <x:c r="V214" s="57"/>
      <x:c r="W214" s="57" t="n">
        <x:v>3</x:v>
      </x:c>
      <x:c r="X214" s="57" t="n">
        <x:v>34</x:v>
      </x:c>
      <x:c r="Y214" s="57" t="str">
        <x:v>Completed</x:v>
      </x:c>
      <x:c r="Z214" s="57" t="str">
        <x:v>Unavailable (not imputed)</x:v>
      </x:c>
      <x:c r="AA214" s="57" t="n">
        <x:v>1</x:v>
      </x:c>
      <x:c r="AB214" s="57" t="str">
        <x:v>No</x:v>
      </x:c>
      <x:c r="AC214" s="57" t="str">
        <x:v>1900s</x:v>
      </x:c>
      <x:c r="AD214" s="57" t="str">
        <x:v>Unseeded/unknown</x:v>
      </x:c>
      <x:c r="AE214" s="58" t="str">
        <x:v>Unseeded/unknown</x:v>
      </x:c>
    </x:row>
    <x:row r="215">
      <x:c r="A215" s="56" t="n">
        <x:v>1909</x:v>
      </x:c>
      <x:c r="B215" s="57" t="str">
        <x:v>Men's</x:v>
      </x:c>
      <x:c r="C215" s="57" t="str">
        <x:v>A.W. Gore</x:v>
      </x:c>
      <x:c r="D215" s="57" t="str">
        <x:v>GBR</x:v>
      </x:c>
      <x:c r="E215" s="57" t="str">
        <x:v>United Kingdom</x:v>
      </x:c>
      <x:c r="F215" s="57"/>
      <x:c r="G215" s="57" t="n">
        <x:v>95</x:v>
      </x:c>
      <x:c r="H215" s="57" t="str">
        <x:v>6-8, 1-6, 6-2, 6-2, 6-2</x:v>
      </x:c>
      <x:c r="I215" s="57" t="n">
        <x:v>6</x:v>
      </x:c>
      <x:c r="J215" s="57" t="n">
        <x:v>8</x:v>
      </x:c>
      <x:c r="K215" s="57" t="n">
        <x:v>1</x:v>
      </x:c>
      <x:c r="L215" s="57" t="n">
        <x:v>6</x:v>
      </x:c>
      <x:c r="M215" s="57" t="n">
        <x:v>6</x:v>
      </x:c>
      <x:c r="N215" s="57" t="n">
        <x:v>2</x:v>
      </x:c>
      <x:c r="O215" s="57" t="n">
        <x:v>6</x:v>
      </x:c>
      <x:c r="P215" s="57" t="n">
        <x:v>2</x:v>
      </x:c>
      <x:c r="Q215" s="57" t="n">
        <x:v>6</x:v>
      </x:c>
      <x:c r="R215" s="57" t="n">
        <x:v>2</x:v>
      </x:c>
      <x:c r="S215" s="57" t="str">
        <x:v>M.J.G. Ritchie</x:v>
      </x:c>
      <x:c r="T215" s="57" t="str">
        <x:v>GBR</x:v>
      </x:c>
      <x:c r="U215" s="57" t="str">
        <x:v>United Kingdom</x:v>
      </x:c>
      <x:c r="V215" s="57"/>
      <x:c r="W215" s="57" t="n">
        <x:v>5</x:v>
      </x:c>
      <x:c r="X215" s="57" t="n">
        <x:v>45</x:v>
      </x:c>
      <x:c r="Y215" s="57" t="str">
        <x:v>Completed</x:v>
      </x:c>
      <x:c r="Z215" s="57" t="str">
        <x:v>Recorded</x:v>
      </x:c>
      <x:c r="AA215" s="57" t="n">
        <x:v>3</x:v>
      </x:c>
      <x:c r="AB215" s="57" t="str">
        <x:v>No</x:v>
      </x:c>
      <x:c r="AC215" s="57" t="str">
        <x:v>1900s</x:v>
      </x:c>
      <x:c r="AD215" s="57" t="str">
        <x:v>Unseeded/unknown</x:v>
      </x:c>
      <x:c r="AE215" s="58" t="str">
        <x:v>Unseeded/unknown</x:v>
      </x:c>
    </x:row>
    <x:row r="216">
      <x:c r="A216" s="56" t="n">
        <x:v>1908</x:v>
      </x:c>
      <x:c r="B216" s="57" t="str">
        <x:v>Women's</x:v>
      </x:c>
      <x:c r="C216" s="57" t="str">
        <x:v>C.R. Cooper</x:v>
      </x:c>
      <x:c r="D216" s="57" t="str">
        <x:v>GBR</x:v>
      </x:c>
      <x:c r="E216" s="57" t="str">
        <x:v>United Kingdom</x:v>
      </x:c>
      <x:c r="F216" s="57"/>
      <x:c r="G216" s="57"/>
      <x:c r="H216" s="57" t="str">
        <x:v>6-4, 6-4</x:v>
      </x:c>
      <x:c r="I216" s="57" t="n">
        <x:v>6</x:v>
      </x:c>
      <x:c r="J216" s="57" t="n">
        <x:v>4</x:v>
      </x:c>
      <x:c r="K216" s="57" t="n">
        <x:v>6</x:v>
      </x:c>
      <x:c r="L216" s="57" t="n">
        <x:v>4</x:v>
      </x:c>
      <x:c r="M216" s="57"/>
      <x:c r="N216" s="57"/>
      <x:c r="O216" s="57"/>
      <x:c r="P216" s="57"/>
      <x:c r="Q216" s="57"/>
      <x:c r="R216" s="57"/>
      <x:c r="S216" s="57" t="str">
        <x:v>A.M. Morton</x:v>
      </x:c>
      <x:c r="T216" s="57" t="str">
        <x:v>GBR</x:v>
      </x:c>
      <x:c r="U216" s="57" t="str">
        <x:v>United Kingdom</x:v>
      </x:c>
      <x:c r="V216" s="57"/>
      <x:c r="W216" s="57" t="n">
        <x:v>2</x:v>
      </x:c>
      <x:c r="X216" s="57" t="n">
        <x:v>20</x:v>
      </x:c>
      <x:c r="Y216" s="57" t="str">
        <x:v>Completed</x:v>
      </x:c>
      <x:c r="Z216" s="57" t="str">
        <x:v>Unavailable (not imputed)</x:v>
      </x:c>
      <x:c r="AA216" s="57" t="n">
        <x:v>5</x:v>
      </x:c>
      <x:c r="AB216" s="57" t="str">
        <x:v>Yes</x:v>
      </x:c>
      <x:c r="AC216" s="57" t="str">
        <x:v>1900s</x:v>
      </x:c>
      <x:c r="AD216" s="57" t="str">
        <x:v>Unseeded/unknown</x:v>
      </x:c>
      <x:c r="AE216" s="58" t="str">
        <x:v>Unseeded/unknown</x:v>
      </x:c>
    </x:row>
    <x:row r="217">
      <x:c r="A217" s="56" t="n">
        <x:v>1908</x:v>
      </x:c>
      <x:c r="B217" s="57" t="str">
        <x:v>Men's</x:v>
      </x:c>
      <x:c r="C217" s="57" t="str">
        <x:v>A.W. Gore</x:v>
      </x:c>
      <x:c r="D217" s="57" t="str">
        <x:v>GBR</x:v>
      </x:c>
      <x:c r="E217" s="57" t="str">
        <x:v>United Kingdom</x:v>
      </x:c>
      <x:c r="F217" s="57"/>
      <x:c r="G217" s="57"/>
      <x:c r="H217" s="57" t="str">
        <x:v>6-3, 6-2, 4-6, 3-6, 6-4</x:v>
      </x:c>
      <x:c r="I217" s="57" t="n">
        <x:v>6</x:v>
      </x:c>
      <x:c r="J217" s="57" t="n">
        <x:v>3</x:v>
      </x:c>
      <x:c r="K217" s="57" t="n">
        <x:v>6</x:v>
      </x:c>
      <x:c r="L217" s="57" t="n">
        <x:v>2</x:v>
      </x:c>
      <x:c r="M217" s="57" t="n">
        <x:v>4</x:v>
      </x:c>
      <x:c r="N217" s="57" t="n">
        <x:v>6</x:v>
      </x:c>
      <x:c r="O217" s="57" t="n">
        <x:v>3</x:v>
      </x:c>
      <x:c r="P217" s="57" t="n">
        <x:v>6</x:v>
      </x:c>
      <x:c r="Q217" s="57" t="n">
        <x:v>6</x:v>
      </x:c>
      <x:c r="R217" s="57" t="n">
        <x:v>4</x:v>
      </x:c>
      <x:c r="S217" s="57" t="str">
        <x:v>H.R. Barrett</x:v>
      </x:c>
      <x:c r="T217" s="57" t="str">
        <x:v>GBR</x:v>
      </x:c>
      <x:c r="U217" s="57" t="str">
        <x:v>United Kingdom</x:v>
      </x:c>
      <x:c r="V217" s="57"/>
      <x:c r="W217" s="57" t="n">
        <x:v>5</x:v>
      </x:c>
      <x:c r="X217" s="57" t="n">
        <x:v>46</x:v>
      </x:c>
      <x:c r="Y217" s="57" t="str">
        <x:v>Completed</x:v>
      </x:c>
      <x:c r="Z217" s="57" t="str">
        <x:v>Unavailable (not imputed)</x:v>
      </x:c>
      <x:c r="AA217" s="57" t="n">
        <x:v>3</x:v>
      </x:c>
      <x:c r="AB217" s="57" t="str">
        <x:v>No</x:v>
      </x:c>
      <x:c r="AC217" s="57" t="str">
        <x:v>1900s</x:v>
      </x:c>
      <x:c r="AD217" s="57" t="str">
        <x:v>Unseeded/unknown</x:v>
      </x:c>
      <x:c r="AE217" s="58" t="str">
        <x:v>Unseeded/unknown</x:v>
      </x:c>
    </x:row>
    <x:row r="218">
      <x:c r="A218" s="56" t="n">
        <x:v>1907</x:v>
      </x:c>
      <x:c r="B218" s="57" t="str">
        <x:v>Women's</x:v>
      </x:c>
      <x:c r="C218" s="57" t="str">
        <x:v>M.G. Sutton</x:v>
      </x:c>
      <x:c r="D218" s="57" t="str">
        <x:v>USA</x:v>
      </x:c>
      <x:c r="E218" s="57" t="str">
        <x:v>United States</x:v>
      </x:c>
      <x:c r="F218" s="57"/>
      <x:c r="G218" s="57"/>
      <x:c r="H218" s="57" t="str">
        <x:v>6-1, 6-4</x:v>
      </x:c>
      <x:c r="I218" s="57" t="n">
        <x:v>6</x:v>
      </x:c>
      <x:c r="J218" s="57" t="n">
        <x:v>1</x:v>
      </x:c>
      <x:c r="K218" s="57" t="n">
        <x:v>6</x:v>
      </x:c>
      <x:c r="L218" s="57" t="n">
        <x:v>4</x:v>
      </x:c>
      <x:c r="M218" s="57"/>
      <x:c r="N218" s="57"/>
      <x:c r="O218" s="57"/>
      <x:c r="P218" s="57"/>
      <x:c r="Q218" s="57"/>
      <x:c r="R218" s="57"/>
      <x:c r="S218" s="57" t="str">
        <x:v>D.L. Chambers</x:v>
      </x:c>
      <x:c r="T218" s="57" t="str">
        <x:v>GBR</x:v>
      </x:c>
      <x:c r="U218" s="57" t="str">
        <x:v>United Kingdom</x:v>
      </x:c>
      <x:c r="V218" s="57"/>
      <x:c r="W218" s="57" t="n">
        <x:v>2</x:v>
      </x:c>
      <x:c r="X218" s="57" t="n">
        <x:v>17</x:v>
      </x:c>
      <x:c r="Y218" s="57" t="str">
        <x:v>Completed</x:v>
      </x:c>
      <x:c r="Z218" s="57" t="str">
        <x:v>Unavailable (not imputed)</x:v>
      </x:c>
      <x:c r="AA218" s="57" t="n">
        <x:v>2</x:v>
      </x:c>
      <x:c r="AB218" s="57" t="str">
        <x:v>No</x:v>
      </x:c>
      <x:c r="AC218" s="57" t="str">
        <x:v>1900s</x:v>
      </x:c>
      <x:c r="AD218" s="57" t="str">
        <x:v>Unseeded/unknown</x:v>
      </x:c>
      <x:c r="AE218" s="58" t="str">
        <x:v>Unseeded/unknown</x:v>
      </x:c>
    </x:row>
    <x:row r="219">
      <x:c r="A219" s="56" t="n">
        <x:v>1907</x:v>
      </x:c>
      <x:c r="B219" s="57" t="str">
        <x:v>Men's</x:v>
      </x:c>
      <x:c r="C219" s="57" t="str">
        <x:v>N.E. Brookes</x:v>
      </x:c>
      <x:c r="D219" s="57" t="str">
        <x:v>AUS</x:v>
      </x:c>
      <x:c r="E219" s="57" t="str">
        <x:v>Australia</x:v>
      </x:c>
      <x:c r="F219" s="57"/>
      <x:c r="G219" s="57"/>
      <x:c r="H219" s="57" t="str">
        <x:v>6-4, 6-2, 6-2</x:v>
      </x:c>
      <x:c r="I219" s="57" t="n">
        <x:v>6</x:v>
      </x:c>
      <x:c r="J219" s="57" t="n">
        <x:v>4</x:v>
      </x:c>
      <x:c r="K219" s="57" t="n">
        <x:v>6</x:v>
      </x:c>
      <x:c r="L219" s="57" t="n">
        <x:v>2</x:v>
      </x:c>
      <x:c r="M219" s="57" t="n">
        <x:v>6</x:v>
      </x:c>
      <x:c r="N219" s="57" t="n">
        <x:v>2</x:v>
      </x:c>
      <x:c r="O219" s="57"/>
      <x:c r="P219" s="57"/>
      <x:c r="Q219" s="57"/>
      <x:c r="R219" s="57"/>
      <x:c r="S219" s="57" t="str">
        <x:v>A.W. Gore</x:v>
      </x:c>
      <x:c r="T219" s="57" t="str">
        <x:v>GBR</x:v>
      </x:c>
      <x:c r="U219" s="57" t="str">
        <x:v>United Kingdom</x:v>
      </x:c>
      <x:c r="V219" s="57"/>
      <x:c r="W219" s="57" t="n">
        <x:v>3</x:v>
      </x:c>
      <x:c r="X219" s="57" t="n">
        <x:v>26</x:v>
      </x:c>
      <x:c r="Y219" s="57" t="str">
        <x:v>Completed</x:v>
      </x:c>
      <x:c r="Z219" s="57" t="str">
        <x:v>Unavailable (not imputed)</x:v>
      </x:c>
      <x:c r="AA219" s="57" t="n">
        <x:v>2</x:v>
      </x:c>
      <x:c r="AB219" s="57" t="str">
        <x:v>No</x:v>
      </x:c>
      <x:c r="AC219" s="57" t="str">
        <x:v>1900s</x:v>
      </x:c>
      <x:c r="AD219" s="57" t="str">
        <x:v>Unseeded/unknown</x:v>
      </x:c>
      <x:c r="AE219" s="58" t="str">
        <x:v>Unseeded/unknown</x:v>
      </x:c>
    </x:row>
    <x:row r="220">
      <x:c r="A220" s="56" t="n">
        <x:v>1906</x:v>
      </x:c>
      <x:c r="B220" s="57" t="str">
        <x:v>Women's</x:v>
      </x:c>
      <x:c r="C220" s="57" t="str">
        <x:v>D.L. Chambers</x:v>
      </x:c>
      <x:c r="D220" s="57" t="str">
        <x:v>GBR</x:v>
      </x:c>
      <x:c r="E220" s="57" t="str">
        <x:v>United Kingdom</x:v>
      </x:c>
      <x:c r="F220" s="57"/>
      <x:c r="G220" s="57" t="n">
        <x:v>57</x:v>
      </x:c>
      <x:c r="H220" s="57" t="str">
        <x:v>6-3, 9-7</x:v>
      </x:c>
      <x:c r="I220" s="57" t="n">
        <x:v>6</x:v>
      </x:c>
      <x:c r="J220" s="57" t="n">
        <x:v>3</x:v>
      </x:c>
      <x:c r="K220" s="57" t="n">
        <x:v>9</x:v>
      </x:c>
      <x:c r="L220" s="57" t="n">
        <x:v>7</x:v>
      </x:c>
      <x:c r="M220" s="57"/>
      <x:c r="N220" s="57"/>
      <x:c r="O220" s="57"/>
      <x:c r="P220" s="57"/>
      <x:c r="Q220" s="57"/>
      <x:c r="R220" s="57"/>
      <x:c r="S220" s="57" t="str">
        <x:v>M.G. Sutton</x:v>
      </x:c>
      <x:c r="T220" s="57" t="str">
        <x:v>USA</x:v>
      </x:c>
      <x:c r="U220" s="57" t="str">
        <x:v>United States</x:v>
      </x:c>
      <x:c r="V220" s="57"/>
      <x:c r="W220" s="57" t="n">
        <x:v>2</x:v>
      </x:c>
      <x:c r="X220" s="57" t="n">
        <x:v>25</x:v>
      </x:c>
      <x:c r="Y220" s="57" t="str">
        <x:v>Completed</x:v>
      </x:c>
      <x:c r="Z220" s="57" t="str">
        <x:v>Recorded</x:v>
      </x:c>
      <x:c r="AA220" s="57" t="n">
        <x:v>7</x:v>
      </x:c>
      <x:c r="AB220" s="57" t="str">
        <x:v>Yes</x:v>
      </x:c>
      <x:c r="AC220" s="57" t="str">
        <x:v>1900s</x:v>
      </x:c>
      <x:c r="AD220" s="57" t="str">
        <x:v>Unseeded/unknown</x:v>
      </x:c>
      <x:c r="AE220" s="58" t="str">
        <x:v>Unseeded/unknown</x:v>
      </x:c>
    </x:row>
    <x:row r="221">
      <x:c r="A221" s="56" t="n">
        <x:v>1906</x:v>
      </x:c>
      <x:c r="B221" s="57" t="str">
        <x:v>Men's</x:v>
      </x:c>
      <x:c r="C221" s="57" t="str">
        <x:v>H.L. Doherty</x:v>
      </x:c>
      <x:c r="D221" s="57" t="str">
        <x:v>GBR</x:v>
      </x:c>
      <x:c r="E221" s="57" t="str">
        <x:v>United Kingdom</x:v>
      </x:c>
      <x:c r="F221" s="57"/>
      <x:c r="G221" s="57" t="n">
        <x:v>74</x:v>
      </x:c>
      <x:c r="H221" s="57" t="str">
        <x:v>6-4, 4-6, 6-2, 6-3</x:v>
      </x:c>
      <x:c r="I221" s="57" t="n">
        <x:v>6</x:v>
      </x:c>
      <x:c r="J221" s="57" t="n">
        <x:v>4</x:v>
      </x:c>
      <x:c r="K221" s="57" t="n">
        <x:v>4</x:v>
      </x:c>
      <x:c r="L221" s="57" t="n">
        <x:v>6</x:v>
      </x:c>
      <x:c r="M221" s="57" t="n">
        <x:v>6</x:v>
      </x:c>
      <x:c r="N221" s="57" t="n">
        <x:v>2</x:v>
      </x:c>
      <x:c r="O221" s="57" t="n">
        <x:v>6</x:v>
      </x:c>
      <x:c r="P221" s="57" t="n">
        <x:v>3</x:v>
      </x:c>
      <x:c r="Q221" s="57"/>
      <x:c r="R221" s="57"/>
      <x:c r="S221" s="57" t="str">
        <x:v>F.L. Riseley</x:v>
      </x:c>
      <x:c r="T221" s="57" t="str">
        <x:v>GBR</x:v>
      </x:c>
      <x:c r="U221" s="57" t="str">
        <x:v>United Kingdom</x:v>
      </x:c>
      <x:c r="V221" s="57"/>
      <x:c r="W221" s="57" t="n">
        <x:v>4</x:v>
      </x:c>
      <x:c r="X221" s="57" t="n">
        <x:v>37</x:v>
      </x:c>
      <x:c r="Y221" s="57" t="str">
        <x:v>Completed</x:v>
      </x:c>
      <x:c r="Z221" s="57" t="str">
        <x:v>Recorded</x:v>
      </x:c>
      <x:c r="AA221" s="57" t="n">
        <x:v>5</x:v>
      </x:c>
      <x:c r="AB221" s="57" t="str">
        <x:v>Yes</x:v>
      </x:c>
      <x:c r="AC221" s="57" t="str">
        <x:v>1900s</x:v>
      </x:c>
      <x:c r="AD221" s="57" t="str">
        <x:v>Unseeded/unknown</x:v>
      </x:c>
      <x:c r="AE221" s="58" t="str">
        <x:v>Unseeded/unknown</x:v>
      </x:c>
    </x:row>
    <x:row r="222">
      <x:c r="A222" s="56" t="n">
        <x:v>1905</x:v>
      </x:c>
      <x:c r="B222" s="57" t="str">
        <x:v>Women's</x:v>
      </x:c>
      <x:c r="C222" s="57" t="str">
        <x:v>M.G. Sutton</x:v>
      </x:c>
      <x:c r="D222" s="57" t="str">
        <x:v>USA</x:v>
      </x:c>
      <x:c r="E222" s="57" t="str">
        <x:v>United States</x:v>
      </x:c>
      <x:c r="F222" s="57"/>
      <x:c r="G222" s="57"/>
      <x:c r="H222" s="57" t="str">
        <x:v>6-3, 6-4</x:v>
      </x:c>
      <x:c r="I222" s="57" t="n">
        <x:v>6</x:v>
      </x:c>
      <x:c r="J222" s="57" t="n">
        <x:v>3</x:v>
      </x:c>
      <x:c r="K222" s="57" t="n">
        <x:v>6</x:v>
      </x:c>
      <x:c r="L222" s="57" t="n">
        <x:v>4</x:v>
      </x:c>
      <x:c r="M222" s="57"/>
      <x:c r="N222" s="57"/>
      <x:c r="O222" s="57"/>
      <x:c r="P222" s="57"/>
      <x:c r="Q222" s="57"/>
      <x:c r="R222" s="57"/>
      <x:c r="S222" s="57" t="str">
        <x:v>D.L. Chambers</x:v>
      </x:c>
      <x:c r="T222" s="57" t="str">
        <x:v>GBR</x:v>
      </x:c>
      <x:c r="U222" s="57" t="str">
        <x:v>United Kingdom</x:v>
      </x:c>
      <x:c r="V222" s="57"/>
      <x:c r="W222" s="57" t="n">
        <x:v>2</x:v>
      </x:c>
      <x:c r="X222" s="57" t="n">
        <x:v>19</x:v>
      </x:c>
      <x:c r="Y222" s="57" t="str">
        <x:v>Completed</x:v>
      </x:c>
      <x:c r="Z222" s="57" t="str">
        <x:v>Unavailable (not imputed)</x:v>
      </x:c>
      <x:c r="AA222" s="57" t="n">
        <x:v>2</x:v>
      </x:c>
      <x:c r="AB222" s="57" t="str">
        <x:v>No</x:v>
      </x:c>
      <x:c r="AC222" s="57" t="str">
        <x:v>1900s</x:v>
      </x:c>
      <x:c r="AD222" s="57" t="str">
        <x:v>Unseeded/unknown</x:v>
      </x:c>
      <x:c r="AE222" s="58" t="str">
        <x:v>Unseeded/unknown</x:v>
      </x:c>
    </x:row>
    <x:row r="223">
      <x:c r="A223" s="56" t="n">
        <x:v>1905</x:v>
      </x:c>
      <x:c r="B223" s="57" t="str">
        <x:v>Men's</x:v>
      </x:c>
      <x:c r="C223" s="57" t="str">
        <x:v>H.L. Doherty</x:v>
      </x:c>
      <x:c r="D223" s="57" t="str">
        <x:v>GBR</x:v>
      </x:c>
      <x:c r="E223" s="57" t="str">
        <x:v>United Kingdom</x:v>
      </x:c>
      <x:c r="F223" s="57"/>
      <x:c r="G223" s="57" t="n">
        <x:v>65</x:v>
      </x:c>
      <x:c r="H223" s="57" t="str">
        <x:v>8-6, 6-2, 6-4</x:v>
      </x:c>
      <x:c r="I223" s="57" t="n">
        <x:v>8</x:v>
      </x:c>
      <x:c r="J223" s="57" t="n">
        <x:v>6</x:v>
      </x:c>
      <x:c r="K223" s="57" t="n">
        <x:v>6</x:v>
      </x:c>
      <x:c r="L223" s="57" t="n">
        <x:v>2</x:v>
      </x:c>
      <x:c r="M223" s="57" t="n">
        <x:v>6</x:v>
      </x:c>
      <x:c r="N223" s="57" t="n">
        <x:v>4</x:v>
      </x:c>
      <x:c r="O223" s="57"/>
      <x:c r="P223" s="57"/>
      <x:c r="Q223" s="57"/>
      <x:c r="R223" s="57"/>
      <x:c r="S223" s="57" t="str">
        <x:v>N.E. Brookes</x:v>
      </x:c>
      <x:c r="T223" s="57" t="str">
        <x:v>AUS</x:v>
      </x:c>
      <x:c r="U223" s="57" t="str">
        <x:v>Australia</x:v>
      </x:c>
      <x:c r="V223" s="57"/>
      <x:c r="W223" s="57" t="n">
        <x:v>3</x:v>
      </x:c>
      <x:c r="X223" s="57" t="n">
        <x:v>32</x:v>
      </x:c>
      <x:c r="Y223" s="57" t="str">
        <x:v>Completed</x:v>
      </x:c>
      <x:c r="Z223" s="57" t="str">
        <x:v>Recorded</x:v>
      </x:c>
      <x:c r="AA223" s="57" t="n">
        <x:v>5</x:v>
      </x:c>
      <x:c r="AB223" s="57" t="str">
        <x:v>Yes</x:v>
      </x:c>
      <x:c r="AC223" s="57" t="str">
        <x:v>1900s</x:v>
      </x:c>
      <x:c r="AD223" s="57" t="str">
        <x:v>Unseeded/unknown</x:v>
      </x:c>
      <x:c r="AE223" s="58" t="str">
        <x:v>Unseeded/unknown</x:v>
      </x:c>
    </x:row>
    <x:row r="224">
      <x:c r="A224" s="56" t="n">
        <x:v>1904</x:v>
      </x:c>
      <x:c r="B224" s="57" t="str">
        <x:v>Women's</x:v>
      </x:c>
      <x:c r="C224" s="57" t="str">
        <x:v>D.L. Chambers</x:v>
      </x:c>
      <x:c r="D224" s="57" t="str">
        <x:v>GBR</x:v>
      </x:c>
      <x:c r="E224" s="57" t="str">
        <x:v>United Kingdom</x:v>
      </x:c>
      <x:c r="F224" s="57"/>
      <x:c r="G224" s="57"/>
      <x:c r="H224" s="57" t="str">
        <x:v>6-0, 6-3</x:v>
      </x:c>
      <x:c r="I224" s="57" t="n">
        <x:v>6</x:v>
      </x:c>
      <x:c r="J224" s="57" t="n">
        <x:v>0</x:v>
      </x:c>
      <x:c r="K224" s="57" t="n">
        <x:v>6</x:v>
      </x:c>
      <x:c r="L224" s="57" t="n">
        <x:v>3</x:v>
      </x:c>
      <x:c r="M224" s="57"/>
      <x:c r="N224" s="57"/>
      <x:c r="O224" s="57"/>
      <x:c r="P224" s="57"/>
      <x:c r="Q224" s="57"/>
      <x:c r="R224" s="57"/>
      <x:c r="S224" s="57" t="str">
        <x:v>C.R. Cooper</x:v>
      </x:c>
      <x:c r="T224" s="57" t="str">
        <x:v>GBR</x:v>
      </x:c>
      <x:c r="U224" s="57" t="str">
        <x:v>United Kingdom</x:v>
      </x:c>
      <x:c r="V224" s="57"/>
      <x:c r="W224" s="57" t="n">
        <x:v>2</x:v>
      </x:c>
      <x:c r="X224" s="57" t="n">
        <x:v>15</x:v>
      </x:c>
      <x:c r="Y224" s="57" t="str">
        <x:v>Completed</x:v>
      </x:c>
      <x:c r="Z224" s="57" t="str">
        <x:v>Unavailable (not imputed)</x:v>
      </x:c>
      <x:c r="AA224" s="57" t="n">
        <x:v>7</x:v>
      </x:c>
      <x:c r="AB224" s="57" t="str">
        <x:v>Yes</x:v>
      </x:c>
      <x:c r="AC224" s="57" t="str">
        <x:v>1900s</x:v>
      </x:c>
      <x:c r="AD224" s="57" t="str">
        <x:v>Unseeded/unknown</x:v>
      </x:c>
      <x:c r="AE224" s="58" t="str">
        <x:v>Unseeded/unknown</x:v>
      </x:c>
    </x:row>
    <x:row r="225">
      <x:c r="A225" s="56" t="n">
        <x:v>1904</x:v>
      </x:c>
      <x:c r="B225" s="57" t="str">
        <x:v>Men's</x:v>
      </x:c>
      <x:c r="C225" s="57" t="str">
        <x:v>H.L. Doherty</x:v>
      </x:c>
      <x:c r="D225" s="57" t="str">
        <x:v>GBR</x:v>
      </x:c>
      <x:c r="E225" s="57" t="str">
        <x:v>United Kingdom</x:v>
      </x:c>
      <x:c r="F225" s="57"/>
      <x:c r="G225" s="57"/>
      <x:c r="H225" s="57" t="str">
        <x:v>6-1, 7-5, 8-6</x:v>
      </x:c>
      <x:c r="I225" s="57" t="n">
        <x:v>6</x:v>
      </x:c>
      <x:c r="J225" s="57" t="n">
        <x:v>1</x:v>
      </x:c>
      <x:c r="K225" s="57" t="n">
        <x:v>7</x:v>
      </x:c>
      <x:c r="L225" s="57" t="n">
        <x:v>5</x:v>
      </x:c>
      <x:c r="M225" s="57" t="n">
        <x:v>8</x:v>
      </x:c>
      <x:c r="N225" s="57" t="n">
        <x:v>6</x:v>
      </x:c>
      <x:c r="O225" s="57"/>
      <x:c r="P225" s="57"/>
      <x:c r="Q225" s="57"/>
      <x:c r="R225" s="57"/>
      <x:c r="S225" s="57" t="str">
        <x:v>F.L. Riseley</x:v>
      </x:c>
      <x:c r="T225" s="57" t="str">
        <x:v>GBR</x:v>
      </x:c>
      <x:c r="U225" s="57" t="str">
        <x:v>United Kingdom</x:v>
      </x:c>
      <x:c r="V225" s="57"/>
      <x:c r="W225" s="57" t="n">
        <x:v>3</x:v>
      </x:c>
      <x:c r="X225" s="57" t="n">
        <x:v>33</x:v>
      </x:c>
      <x:c r="Y225" s="57" t="str">
        <x:v>Completed</x:v>
      </x:c>
      <x:c r="Z225" s="57" t="str">
        <x:v>Unavailable (not imputed)</x:v>
      </x:c>
      <x:c r="AA225" s="57" t="n">
        <x:v>5</x:v>
      </x:c>
      <x:c r="AB225" s="57" t="str">
        <x:v>Yes</x:v>
      </x:c>
      <x:c r="AC225" s="57" t="str">
        <x:v>1900s</x:v>
      </x:c>
      <x:c r="AD225" s="57" t="str">
        <x:v>Unseeded/unknown</x:v>
      </x:c>
      <x:c r="AE225" s="58" t="str">
        <x:v>Unseeded/unknown</x:v>
      </x:c>
    </x:row>
    <x:row r="226">
      <x:c r="A226" s="56" t="n">
        <x:v>1903</x:v>
      </x:c>
      <x:c r="B226" s="57" t="str">
        <x:v>Women's</x:v>
      </x:c>
      <x:c r="C226" s="57" t="str">
        <x:v>D.L. Chambers</x:v>
      </x:c>
      <x:c r="D226" s="57" t="str">
        <x:v>GBR</x:v>
      </x:c>
      <x:c r="E226" s="57" t="str">
        <x:v>United Kingdom</x:v>
      </x:c>
      <x:c r="F226" s="57"/>
      <x:c r="G226" s="57"/>
      <x:c r="H226" s="57" t="str">
        <x:v>4-6, 6-4, 6-2</x:v>
      </x:c>
      <x:c r="I226" s="57" t="n">
        <x:v>4</x:v>
      </x:c>
      <x:c r="J226" s="57" t="n">
        <x:v>6</x:v>
      </x:c>
      <x:c r="K226" s="57" t="n">
        <x:v>6</x:v>
      </x:c>
      <x:c r="L226" s="57" t="n">
        <x:v>4</x:v>
      </x:c>
      <x:c r="M226" s="57" t="n">
        <x:v>6</x:v>
      </x:c>
      <x:c r="N226" s="57" t="n">
        <x:v>2</x:v>
      </x:c>
      <x:c r="O226" s="57"/>
      <x:c r="P226" s="57"/>
      <x:c r="Q226" s="57"/>
      <x:c r="R226" s="57"/>
      <x:c r="S226" s="57" t="str">
        <x:v>E.W. Thomson</x:v>
      </x:c>
      <x:c r="T226" s="57" t="str">
        <x:v>GBR</x:v>
      </x:c>
      <x:c r="U226" s="57" t="str">
        <x:v>United Kingdom</x:v>
      </x:c>
      <x:c r="V226" s="57"/>
      <x:c r="W226" s="57" t="n">
        <x:v>3</x:v>
      </x:c>
      <x:c r="X226" s="57" t="n">
        <x:v>28</x:v>
      </x:c>
      <x:c r="Y226" s="57" t="str">
        <x:v>Completed</x:v>
      </x:c>
      <x:c r="Z226" s="57" t="str">
        <x:v>Unavailable (not imputed)</x:v>
      </x:c>
      <x:c r="AA226" s="57" t="n">
        <x:v>7</x:v>
      </x:c>
      <x:c r="AB226" s="57" t="str">
        <x:v>Yes</x:v>
      </x:c>
      <x:c r="AC226" s="57" t="str">
        <x:v>1900s</x:v>
      </x:c>
      <x:c r="AD226" s="57" t="str">
        <x:v>Unseeded/unknown</x:v>
      </x:c>
      <x:c r="AE226" s="58" t="str">
        <x:v>Unseeded/unknown</x:v>
      </x:c>
    </x:row>
    <x:row r="227">
      <x:c r="A227" s="56" t="n">
        <x:v>1903</x:v>
      </x:c>
      <x:c r="B227" s="57" t="str">
        <x:v>Men's</x:v>
      </x:c>
      <x:c r="C227" s="57" t="str">
        <x:v>H.L. Doherty</x:v>
      </x:c>
      <x:c r="D227" s="57" t="str">
        <x:v>GBR</x:v>
      </x:c>
      <x:c r="E227" s="57" t="str">
        <x:v>United Kingdom</x:v>
      </x:c>
      <x:c r="F227" s="57"/>
      <x:c r="G227" s="57"/>
      <x:c r="H227" s="57" t="str">
        <x:v>7-5, 6-3, 6-0</x:v>
      </x:c>
      <x:c r="I227" s="57" t="n">
        <x:v>7</x:v>
      </x:c>
      <x:c r="J227" s="57" t="n">
        <x:v>5</x:v>
      </x:c>
      <x:c r="K227" s="57" t="n">
        <x:v>6</x:v>
      </x:c>
      <x:c r="L227" s="57" t="n">
        <x:v>3</x:v>
      </x:c>
      <x:c r="M227" s="57" t="n">
        <x:v>6</x:v>
      </x:c>
      <x:c r="N227" s="57" t="n">
        <x:v>0</x:v>
      </x:c>
      <x:c r="O227" s="57"/>
      <x:c r="P227" s="57"/>
      <x:c r="Q227" s="57"/>
      <x:c r="R227" s="57"/>
      <x:c r="S227" s="57" t="str">
        <x:v>F.L. Riseley</x:v>
      </x:c>
      <x:c r="T227" s="57" t="str">
        <x:v>GBR</x:v>
      </x:c>
      <x:c r="U227" s="57" t="str">
        <x:v>United Kingdom</x:v>
      </x:c>
      <x:c r="V227" s="57"/>
      <x:c r="W227" s="57" t="n">
        <x:v>3</x:v>
      </x:c>
      <x:c r="X227" s="57" t="n">
        <x:v>27</x:v>
      </x:c>
      <x:c r="Y227" s="57" t="str">
        <x:v>Completed</x:v>
      </x:c>
      <x:c r="Z227" s="57" t="str">
        <x:v>Unavailable (not imputed)</x:v>
      </x:c>
      <x:c r="AA227" s="57" t="n">
        <x:v>5</x:v>
      </x:c>
      <x:c r="AB227" s="57" t="str">
        <x:v>Yes</x:v>
      </x:c>
      <x:c r="AC227" s="57" t="str">
        <x:v>1900s</x:v>
      </x:c>
      <x:c r="AD227" s="57" t="str">
        <x:v>Unseeded/unknown</x:v>
      </x:c>
      <x:c r="AE227" s="58" t="str">
        <x:v>Unseeded/unknown</x:v>
      </x:c>
    </x:row>
    <x:row r="228">
      <x:c r="A228" s="56" t="n">
        <x:v>1902</x:v>
      </x:c>
      <x:c r="B228" s="57" t="str">
        <x:v>Women's</x:v>
      </x:c>
      <x:c r="C228" s="57" t="str">
        <x:v>M.E. Robb</x:v>
      </x:c>
      <x:c r="D228" s="57" t="str">
        <x:v>GBR</x:v>
      </x:c>
      <x:c r="E228" s="57" t="str">
        <x:v>United Kingdom</x:v>
      </x:c>
      <x:c r="F228" s="57"/>
      <x:c r="G228" s="57"/>
      <x:c r="H228" s="57" t="str">
        <x:v>7-5, 6-1</x:v>
      </x:c>
      <x:c r="I228" s="57" t="n">
        <x:v>7</x:v>
      </x:c>
      <x:c r="J228" s="57" t="n">
        <x:v>5</x:v>
      </x:c>
      <x:c r="K228" s="57" t="n">
        <x:v>6</x:v>
      </x:c>
      <x:c r="L228" s="57" t="n">
        <x:v>1</x:v>
      </x:c>
      <x:c r="M228" s="57"/>
      <x:c r="N228" s="57"/>
      <x:c r="O228" s="57"/>
      <x:c r="P228" s="57"/>
      <x:c r="Q228" s="57"/>
      <x:c r="R228" s="57"/>
      <x:c r="S228" s="57" t="str">
        <x:v>C.R. Cooper</x:v>
      </x:c>
      <x:c r="T228" s="57" t="str">
        <x:v>GBR</x:v>
      </x:c>
      <x:c r="U228" s="57" t="str">
        <x:v>United Kingdom</x:v>
      </x:c>
      <x:c r="V228" s="57"/>
      <x:c r="W228" s="57" t="n">
        <x:v>2</x:v>
      </x:c>
      <x:c r="X228" s="57" t="n">
        <x:v>19</x:v>
      </x:c>
      <x:c r="Y228" s="57" t="str">
        <x:v>Completed</x:v>
      </x:c>
      <x:c r="Z228" s="57" t="str">
        <x:v>Unavailable (not imputed)</x:v>
      </x:c>
      <x:c r="AA228" s="57" t="n">
        <x:v>1</x:v>
      </x:c>
      <x:c r="AB228" s="57" t="str">
        <x:v>No</x:v>
      </x:c>
      <x:c r="AC228" s="57" t="str">
        <x:v>1900s</x:v>
      </x:c>
      <x:c r="AD228" s="57" t="str">
        <x:v>Unseeded/unknown</x:v>
      </x:c>
      <x:c r="AE228" s="58" t="str">
        <x:v>Unseeded/unknown</x:v>
      </x:c>
    </x:row>
    <x:row r="229">
      <x:c r="A229" s="56" t="n">
        <x:v>1902</x:v>
      </x:c>
      <x:c r="B229" s="57" t="str">
        <x:v>Men's</x:v>
      </x:c>
      <x:c r="C229" s="57" t="str">
        <x:v>H.L. Doherty</x:v>
      </x:c>
      <x:c r="D229" s="57" t="str">
        <x:v>GBR</x:v>
      </x:c>
      <x:c r="E229" s="57" t="str">
        <x:v>United Kingdom</x:v>
      </x:c>
      <x:c r="F229" s="57"/>
      <x:c r="G229" s="57" t="n">
        <x:v>84</x:v>
      </x:c>
      <x:c r="H229" s="57" t="str">
        <x:v>6-4, 6-3, 3-6, 6-0</x:v>
      </x:c>
      <x:c r="I229" s="57" t="n">
        <x:v>6</x:v>
      </x:c>
      <x:c r="J229" s="57" t="n">
        <x:v>4</x:v>
      </x:c>
      <x:c r="K229" s="57" t="n">
        <x:v>6</x:v>
      </x:c>
      <x:c r="L229" s="57" t="n">
        <x:v>3</x:v>
      </x:c>
      <x:c r="M229" s="57" t="n">
        <x:v>3</x:v>
      </x:c>
      <x:c r="N229" s="57" t="n">
        <x:v>6</x:v>
      </x:c>
      <x:c r="O229" s="57" t="n">
        <x:v>6</x:v>
      </x:c>
      <x:c r="P229" s="57" t="n">
        <x:v>0</x:v>
      </x:c>
      <x:c r="Q229" s="57"/>
      <x:c r="R229" s="57"/>
      <x:c r="S229" s="57" t="str">
        <x:v>A.W. Gore</x:v>
      </x:c>
      <x:c r="T229" s="57" t="str">
        <x:v>GBR</x:v>
      </x:c>
      <x:c r="U229" s="57" t="str">
        <x:v>United Kingdom</x:v>
      </x:c>
      <x:c r="V229" s="57"/>
      <x:c r="W229" s="57" t="n">
        <x:v>4</x:v>
      </x:c>
      <x:c r="X229" s="57" t="n">
        <x:v>34</x:v>
      </x:c>
      <x:c r="Y229" s="57" t="str">
        <x:v>Completed</x:v>
      </x:c>
      <x:c r="Z229" s="57" t="str">
        <x:v>Recorded</x:v>
      </x:c>
      <x:c r="AA229" s="57" t="n">
        <x:v>5</x:v>
      </x:c>
      <x:c r="AB229" s="57" t="str">
        <x:v>Yes</x:v>
      </x:c>
      <x:c r="AC229" s="57" t="str">
        <x:v>1900s</x:v>
      </x:c>
      <x:c r="AD229" s="57" t="str">
        <x:v>Unseeded/unknown</x:v>
      </x:c>
      <x:c r="AE229" s="58" t="str">
        <x:v>Unseeded/unknown</x:v>
      </x:c>
    </x:row>
    <x:row r="230">
      <x:c r="A230" s="56" t="n">
        <x:v>1901</x:v>
      </x:c>
      <x:c r="B230" s="57" t="str">
        <x:v>Women's</x:v>
      </x:c>
      <x:c r="C230" s="57" t="str">
        <x:v>C.R. Cooper</x:v>
      </x:c>
      <x:c r="D230" s="57" t="str">
        <x:v>GBR</x:v>
      </x:c>
      <x:c r="E230" s="57" t="str">
        <x:v>United Kingdom</x:v>
      </x:c>
      <x:c r="F230" s="57"/>
      <x:c r="G230" s="57"/>
      <x:c r="H230" s="57" t="str">
        <x:v>6-2, 6-2</x:v>
      </x:c>
      <x:c r="I230" s="57" t="n">
        <x:v>6</x:v>
      </x:c>
      <x:c r="J230" s="57" t="n">
        <x:v>2</x:v>
      </x:c>
      <x:c r="K230" s="57" t="n">
        <x:v>6</x:v>
      </x:c>
      <x:c r="L230" s="57" t="n">
        <x:v>2</x:v>
      </x:c>
      <x:c r="M230" s="57"/>
      <x:c r="N230" s="57"/>
      <x:c r="O230" s="57"/>
      <x:c r="P230" s="57"/>
      <x:c r="Q230" s="57"/>
      <x:c r="R230" s="57"/>
      <x:c r="S230" s="57" t="str">
        <x:v>G.W. Hillyard</x:v>
      </x:c>
      <x:c r="T230" s="57" t="str">
        <x:v>GBR</x:v>
      </x:c>
      <x:c r="U230" s="57" t="str">
        <x:v>United Kingdom</x:v>
      </x:c>
      <x:c r="V230" s="57"/>
      <x:c r="W230" s="57" t="n">
        <x:v>2</x:v>
      </x:c>
      <x:c r="X230" s="57" t="n">
        <x:v>16</x:v>
      </x:c>
      <x:c r="Y230" s="57" t="str">
        <x:v>Completed</x:v>
      </x:c>
      <x:c r="Z230" s="57" t="str">
        <x:v>Unavailable (not imputed)</x:v>
      </x:c>
      <x:c r="AA230" s="57" t="n">
        <x:v>5</x:v>
      </x:c>
      <x:c r="AB230" s="57" t="str">
        <x:v>Yes</x:v>
      </x:c>
      <x:c r="AC230" s="57" t="str">
        <x:v>1900s</x:v>
      </x:c>
      <x:c r="AD230" s="57" t="str">
        <x:v>Unseeded/unknown</x:v>
      </x:c>
      <x:c r="AE230" s="58" t="str">
        <x:v>Unseeded/unknown</x:v>
      </x:c>
    </x:row>
    <x:row r="231">
      <x:c r="A231" s="56" t="n">
        <x:v>1901</x:v>
      </x:c>
      <x:c r="B231" s="57" t="str">
        <x:v>Men's</x:v>
      </x:c>
      <x:c r="C231" s="57" t="str">
        <x:v>A.W. Gore</x:v>
      </x:c>
      <x:c r="D231" s="57" t="str">
        <x:v>GBR</x:v>
      </x:c>
      <x:c r="E231" s="57" t="str">
        <x:v>United Kingdom</x:v>
      </x:c>
      <x:c r="F231" s="57"/>
      <x:c r="G231" s="57" t="n">
        <x:v>95</x:v>
      </x:c>
      <x:c r="H231" s="57" t="str">
        <x:v>4-6, 7-5, 6-4, 6-4</x:v>
      </x:c>
      <x:c r="I231" s="57" t="n">
        <x:v>4</x:v>
      </x:c>
      <x:c r="J231" s="57" t="n">
        <x:v>6</x:v>
      </x:c>
      <x:c r="K231" s="57" t="n">
        <x:v>7</x:v>
      </x:c>
      <x:c r="L231" s="57" t="n">
        <x:v>5</x:v>
      </x:c>
      <x:c r="M231" s="57" t="n">
        <x:v>6</x:v>
      </x:c>
      <x:c r="N231" s="57" t="n">
        <x:v>4</x:v>
      </x:c>
      <x:c r="O231" s="57" t="n">
        <x:v>6</x:v>
      </x:c>
      <x:c r="P231" s="57" t="n">
        <x:v>4</x:v>
      </x:c>
      <x:c r="Q231" s="57"/>
      <x:c r="R231" s="57"/>
      <x:c r="S231" s="57" t="str">
        <x:v>R.F. Doherty</x:v>
      </x:c>
      <x:c r="T231" s="57" t="str">
        <x:v>GBR</x:v>
      </x:c>
      <x:c r="U231" s="57" t="str">
        <x:v>United Kingdom</x:v>
      </x:c>
      <x:c r="V231" s="57"/>
      <x:c r="W231" s="57" t="n">
        <x:v>4</x:v>
      </x:c>
      <x:c r="X231" s="57" t="n">
        <x:v>42</x:v>
      </x:c>
      <x:c r="Y231" s="57" t="str">
        <x:v>Completed</x:v>
      </x:c>
      <x:c r="Z231" s="57" t="str">
        <x:v>Recorded</x:v>
      </x:c>
      <x:c r="AA231" s="57" t="n">
        <x:v>3</x:v>
      </x:c>
      <x:c r="AB231" s="57" t="str">
        <x:v>No</x:v>
      </x:c>
      <x:c r="AC231" s="57" t="str">
        <x:v>1900s</x:v>
      </x:c>
      <x:c r="AD231" s="57" t="str">
        <x:v>Unseeded/unknown</x:v>
      </x:c>
      <x:c r="AE231" s="58" t="str">
        <x:v>Unseeded/unknown</x:v>
      </x:c>
    </x:row>
    <x:row r="232">
      <x:c r="A232" s="56" t="n">
        <x:v>1900</x:v>
      </x:c>
      <x:c r="B232" s="57" t="str">
        <x:v>Women's</x:v>
      </x:c>
      <x:c r="C232" s="57" t="str">
        <x:v>G.W. Hillyard</x:v>
      </x:c>
      <x:c r="D232" s="57" t="str">
        <x:v>GBR</x:v>
      </x:c>
      <x:c r="E232" s="57" t="str">
        <x:v>United Kingdom</x:v>
      </x:c>
      <x:c r="F232" s="57"/>
      <x:c r="G232" s="57"/>
      <x:c r="H232" s="57" t="str">
        <x:v>4-6, 6-4, 6-4</x:v>
      </x:c>
      <x:c r="I232" s="57" t="n">
        <x:v>4</x:v>
      </x:c>
      <x:c r="J232" s="57" t="n">
        <x:v>6</x:v>
      </x:c>
      <x:c r="K232" s="57" t="n">
        <x:v>6</x:v>
      </x:c>
      <x:c r="L232" s="57" t="n">
        <x:v>4</x:v>
      </x:c>
      <x:c r="M232" s="57" t="n">
        <x:v>6</x:v>
      </x:c>
      <x:c r="N232" s="57" t="n">
        <x:v>4</x:v>
      </x:c>
      <x:c r="O232" s="57"/>
      <x:c r="P232" s="57"/>
      <x:c r="Q232" s="57"/>
      <x:c r="R232" s="57"/>
      <x:c r="S232" s="57" t="str">
        <x:v>C.R. Cooper</x:v>
      </x:c>
      <x:c r="T232" s="57" t="str">
        <x:v>GBR</x:v>
      </x:c>
      <x:c r="U232" s="57" t="str">
        <x:v>United Kingdom</x:v>
      </x:c>
      <x:c r="V232" s="57"/>
      <x:c r="W232" s="57" t="n">
        <x:v>3</x:v>
      </x:c>
      <x:c r="X232" s="57" t="n">
        <x:v>30</x:v>
      </x:c>
      <x:c r="Y232" s="57" t="str">
        <x:v>Completed</x:v>
      </x:c>
      <x:c r="Z232" s="57" t="str">
        <x:v>Unavailable (not imputed)</x:v>
      </x:c>
      <x:c r="AA232" s="57" t="n">
        <x:v>6</x:v>
      </x:c>
      <x:c r="AB232" s="57" t="str">
        <x:v>Yes</x:v>
      </x:c>
      <x:c r="AC232" s="57" t="str">
        <x:v>1900s</x:v>
      </x:c>
      <x:c r="AD232" s="57" t="str">
        <x:v>Unseeded/unknown</x:v>
      </x:c>
      <x:c r="AE232" s="58" t="str">
        <x:v>Unseeded/unknown</x:v>
      </x:c>
    </x:row>
    <x:row r="233">
      <x:c r="A233" s="56" t="n">
        <x:v>1900</x:v>
      </x:c>
      <x:c r="B233" s="57" t="str">
        <x:v>Men's</x:v>
      </x:c>
      <x:c r="C233" s="57" t="str">
        <x:v>R.F. Doherty</x:v>
      </x:c>
      <x:c r="D233" s="57" t="str">
        <x:v>GBR</x:v>
      </x:c>
      <x:c r="E233" s="57" t="str">
        <x:v>United Kingdom</x:v>
      </x:c>
      <x:c r="F233" s="57"/>
      <x:c r="G233" s="57"/>
      <x:c r="H233" s="57" t="str">
        <x:v>6-8, 6-3, 6-1, 6-2</x:v>
      </x:c>
      <x:c r="I233" s="57" t="n">
        <x:v>6</x:v>
      </x:c>
      <x:c r="J233" s="57" t="n">
        <x:v>8</x:v>
      </x:c>
      <x:c r="K233" s="57" t="n">
        <x:v>6</x:v>
      </x:c>
      <x:c r="L233" s="57" t="n">
        <x:v>3</x:v>
      </x:c>
      <x:c r="M233" s="57" t="n">
        <x:v>6</x:v>
      </x:c>
      <x:c r="N233" s="57" t="n">
        <x:v>1</x:v>
      </x:c>
      <x:c r="O233" s="57" t="n">
        <x:v>6</x:v>
      </x:c>
      <x:c r="P233" s="57" t="n">
        <x:v>2</x:v>
      </x:c>
      <x:c r="Q233" s="57"/>
      <x:c r="R233" s="57"/>
      <x:c r="S233" s="57" t="str">
        <x:v>S.H. Smith</x:v>
      </x:c>
      <x:c r="T233" s="57" t="str">
        <x:v>GBR</x:v>
      </x:c>
      <x:c r="U233" s="57" t="str">
        <x:v>United Kingdom</x:v>
      </x:c>
      <x:c r="V233" s="57"/>
      <x:c r="W233" s="57" t="n">
        <x:v>4</x:v>
      </x:c>
      <x:c r="X233" s="57" t="n">
        <x:v>38</x:v>
      </x:c>
      <x:c r="Y233" s="57" t="str">
        <x:v>Completed</x:v>
      </x:c>
      <x:c r="Z233" s="57" t="str">
        <x:v>Unavailable (not imputed)</x:v>
      </x:c>
      <x:c r="AA233" s="57" t="n">
        <x:v>4</x:v>
      </x:c>
      <x:c r="AB233" s="57" t="str">
        <x:v>No</x:v>
      </x:c>
      <x:c r="AC233" s="57" t="str">
        <x:v>1900s</x:v>
      </x:c>
      <x:c r="AD233" s="57" t="str">
        <x:v>Unseeded/unknown</x:v>
      </x:c>
      <x:c r="AE233" s="58" t="str">
        <x:v>Unseeded/unknown</x:v>
      </x:c>
    </x:row>
    <x:row r="234">
      <x:c r="A234" s="56" t="n">
        <x:v>1899</x:v>
      </x:c>
      <x:c r="B234" s="57" t="str">
        <x:v>Women's</x:v>
      </x:c>
      <x:c r="C234" s="57" t="str">
        <x:v>G.W. Hillyard</x:v>
      </x:c>
      <x:c r="D234" s="57" t="str">
        <x:v>GBR</x:v>
      </x:c>
      <x:c r="E234" s="57" t="str">
        <x:v>United Kingdom</x:v>
      </x:c>
      <x:c r="F234" s="57"/>
      <x:c r="G234" s="57"/>
      <x:c r="H234" s="57" t="str">
        <x:v>6-2, 6-3</x:v>
      </x:c>
      <x:c r="I234" s="57" t="n">
        <x:v>6</x:v>
      </x:c>
      <x:c r="J234" s="57" t="n">
        <x:v>2</x:v>
      </x:c>
      <x:c r="K234" s="57" t="n">
        <x:v>6</x:v>
      </x:c>
      <x:c r="L234" s="57" t="n">
        <x:v>3</x:v>
      </x:c>
      <x:c r="M234" s="57"/>
      <x:c r="N234" s="57"/>
      <x:c r="O234" s="57"/>
      <x:c r="P234" s="57"/>
      <x:c r="Q234" s="57"/>
      <x:c r="R234" s="57"/>
      <x:c r="S234" s="57" t="str">
        <x:v>C.R. Cooper</x:v>
      </x:c>
      <x:c r="T234" s="57" t="str">
        <x:v>GBR</x:v>
      </x:c>
      <x:c r="U234" s="57" t="str">
        <x:v>United Kingdom</x:v>
      </x:c>
      <x:c r="V234" s="57"/>
      <x:c r="W234" s="57" t="n">
        <x:v>2</x:v>
      </x:c>
      <x:c r="X234" s="57" t="n">
        <x:v>17</x:v>
      </x:c>
      <x:c r="Y234" s="57" t="str">
        <x:v>Completed</x:v>
      </x:c>
      <x:c r="Z234" s="57" t="str">
        <x:v>Unavailable (not imputed)</x:v>
      </x:c>
      <x:c r="AA234" s="57" t="n">
        <x:v>6</x:v>
      </x:c>
      <x:c r="AB234" s="57" t="str">
        <x:v>Yes</x:v>
      </x:c>
      <x:c r="AC234" s="57" t="str">
        <x:v>1890s</x:v>
      </x:c>
      <x:c r="AD234" s="57" t="str">
        <x:v>Unseeded/unknown</x:v>
      </x:c>
      <x:c r="AE234" s="58" t="str">
        <x:v>Unseeded/unknown</x:v>
      </x:c>
    </x:row>
    <x:row r="235">
      <x:c r="A235" s="56" t="n">
        <x:v>1899</x:v>
      </x:c>
      <x:c r="B235" s="57" t="str">
        <x:v>Men's</x:v>
      </x:c>
      <x:c r="C235" s="57" t="str">
        <x:v>R.F. Doherty</x:v>
      </x:c>
      <x:c r="D235" s="57" t="str">
        <x:v>GBR</x:v>
      </x:c>
      <x:c r="E235" s="57" t="str">
        <x:v>United Kingdom</x:v>
      </x:c>
      <x:c r="F235" s="57"/>
      <x:c r="G235" s="57"/>
      <x:c r="H235" s="57" t="str">
        <x:v>1-6, 4-6, 6-3, 6-3, 6-3</x:v>
      </x:c>
      <x:c r="I235" s="57" t="n">
        <x:v>1</x:v>
      </x:c>
      <x:c r="J235" s="57" t="n">
        <x:v>6</x:v>
      </x:c>
      <x:c r="K235" s="57" t="n">
        <x:v>4</x:v>
      </x:c>
      <x:c r="L235" s="57" t="n">
        <x:v>6</x:v>
      </x:c>
      <x:c r="M235" s="57" t="n">
        <x:v>6</x:v>
      </x:c>
      <x:c r="N235" s="57" t="n">
        <x:v>3</x:v>
      </x:c>
      <x:c r="O235" s="57" t="n">
        <x:v>6</x:v>
      </x:c>
      <x:c r="P235" s="57" t="n">
        <x:v>3</x:v>
      </x:c>
      <x:c r="Q235" s="57" t="n">
        <x:v>6</x:v>
      </x:c>
      <x:c r="R235" s="57" t="n">
        <x:v>3</x:v>
      </x:c>
      <x:c r="S235" s="57" t="str">
        <x:v>A.W. Gore</x:v>
      </x:c>
      <x:c r="T235" s="57" t="str">
        <x:v>GBR</x:v>
      </x:c>
      <x:c r="U235" s="57" t="str">
        <x:v>United Kingdom</x:v>
      </x:c>
      <x:c r="V235" s="57"/>
      <x:c r="W235" s="57" t="n">
        <x:v>5</x:v>
      </x:c>
      <x:c r="X235" s="57" t="n">
        <x:v>44</x:v>
      </x:c>
      <x:c r="Y235" s="57" t="str">
        <x:v>Completed</x:v>
      </x:c>
      <x:c r="Z235" s="57" t="str">
        <x:v>Unavailable (not imputed)</x:v>
      </x:c>
      <x:c r="AA235" s="57" t="n">
        <x:v>4</x:v>
      </x:c>
      <x:c r="AB235" s="57" t="str">
        <x:v>No</x:v>
      </x:c>
      <x:c r="AC235" s="57" t="str">
        <x:v>1890s</x:v>
      </x:c>
      <x:c r="AD235" s="57" t="str">
        <x:v>Unseeded/unknown</x:v>
      </x:c>
      <x:c r="AE235" s="58" t="str">
        <x:v>Unseeded/unknown</x:v>
      </x:c>
    </x:row>
    <x:row r="236">
      <x:c r="A236" s="56" t="n">
        <x:v>1898</x:v>
      </x:c>
      <x:c r="B236" s="57" t="str">
        <x:v>Women's</x:v>
      </x:c>
      <x:c r="C236" s="57" t="str">
        <x:v>C.R. Cooper</x:v>
      </x:c>
      <x:c r="D236" s="57" t="str">
        <x:v>GBR</x:v>
      </x:c>
      <x:c r="E236" s="57" t="str">
        <x:v>United Kingdom</x:v>
      </x:c>
      <x:c r="F236" s="57"/>
      <x:c r="G236" s="57"/>
      <x:c r="H236" s="57" t="str">
        <x:v>6-4, 6-4</x:v>
      </x:c>
      <x:c r="I236" s="57" t="n">
        <x:v>6</x:v>
      </x:c>
      <x:c r="J236" s="57" t="n">
        <x:v>4</x:v>
      </x:c>
      <x:c r="K236" s="57" t="n">
        <x:v>6</x:v>
      </x:c>
      <x:c r="L236" s="57" t="n">
        <x:v>4</x:v>
      </x:c>
      <x:c r="M236" s="57"/>
      <x:c r="N236" s="57"/>
      <x:c r="O236" s="57"/>
      <x:c r="P236" s="57"/>
      <x:c r="Q236" s="57"/>
      <x:c r="R236" s="57"/>
      <x:c r="S236" s="57" t="str">
        <x:v>M.L.Martin</x:v>
      </x:c>
      <x:c r="T236" s="57" t="str">
        <x:v>GBR</x:v>
      </x:c>
      <x:c r="U236" s="57" t="str">
        <x:v>United Kingdom</x:v>
      </x:c>
      <x:c r="V236" s="57"/>
      <x:c r="W236" s="57" t="n">
        <x:v>2</x:v>
      </x:c>
      <x:c r="X236" s="57" t="n">
        <x:v>20</x:v>
      </x:c>
      <x:c r="Y236" s="57" t="str">
        <x:v>Completed</x:v>
      </x:c>
      <x:c r="Z236" s="57" t="str">
        <x:v>Unavailable (not imputed)</x:v>
      </x:c>
      <x:c r="AA236" s="57" t="n">
        <x:v>5</x:v>
      </x:c>
      <x:c r="AB236" s="57" t="str">
        <x:v>Yes</x:v>
      </x:c>
      <x:c r="AC236" s="57" t="str">
        <x:v>1890s</x:v>
      </x:c>
      <x:c r="AD236" s="57" t="str">
        <x:v>Unseeded/unknown</x:v>
      </x:c>
      <x:c r="AE236" s="58" t="str">
        <x:v>Unseeded/unknown</x:v>
      </x:c>
    </x:row>
    <x:row r="237">
      <x:c r="A237" s="56" t="n">
        <x:v>1898</x:v>
      </x:c>
      <x:c r="B237" s="57" t="str">
        <x:v>Men's</x:v>
      </x:c>
      <x:c r="C237" s="57" t="str">
        <x:v>R.F. Doherty</x:v>
      </x:c>
      <x:c r="D237" s="57" t="str">
        <x:v>GBR</x:v>
      </x:c>
      <x:c r="E237" s="57" t="str">
        <x:v>United Kingdom</x:v>
      </x:c>
      <x:c r="F237" s="57"/>
      <x:c r="G237" s="57" t="n">
        <x:v>55</x:v>
      </x:c>
      <x:c r="H237" s="57" t="str">
        <x:v>6-3, 6-3, 2-6, 5-7, 6-1</x:v>
      </x:c>
      <x:c r="I237" s="57" t="n">
        <x:v>6</x:v>
      </x:c>
      <x:c r="J237" s="57" t="n">
        <x:v>3</x:v>
      </x:c>
      <x:c r="K237" s="57" t="n">
        <x:v>6</x:v>
      </x:c>
      <x:c r="L237" s="57" t="n">
        <x:v>3</x:v>
      </x:c>
      <x:c r="M237" s="57" t="n">
        <x:v>2</x:v>
      </x:c>
      <x:c r="N237" s="57" t="n">
        <x:v>6</x:v>
      </x:c>
      <x:c r="O237" s="57" t="n">
        <x:v>5</x:v>
      </x:c>
      <x:c r="P237" s="57" t="n">
        <x:v>7</x:v>
      </x:c>
      <x:c r="Q237" s="57" t="n">
        <x:v>6</x:v>
      </x:c>
      <x:c r="R237" s="57" t="n">
        <x:v>1</x:v>
      </x:c>
      <x:c r="S237" s="57" t="str">
        <x:v>H.L. Doherty</x:v>
      </x:c>
      <x:c r="T237" s="57" t="str">
        <x:v>GBR</x:v>
      </x:c>
      <x:c r="U237" s="57" t="str">
        <x:v>United Kingdom</x:v>
      </x:c>
      <x:c r="V237" s="57"/>
      <x:c r="W237" s="57" t="n">
        <x:v>5</x:v>
      </x:c>
      <x:c r="X237" s="57" t="n">
        <x:v>45</x:v>
      </x:c>
      <x:c r="Y237" s="57" t="str">
        <x:v>Completed</x:v>
      </x:c>
      <x:c r="Z237" s="57" t="str">
        <x:v>Recorded</x:v>
      </x:c>
      <x:c r="AA237" s="57" t="n">
        <x:v>4</x:v>
      </x:c>
      <x:c r="AB237" s="57" t="str">
        <x:v>No</x:v>
      </x:c>
      <x:c r="AC237" s="57" t="str">
        <x:v>1890s</x:v>
      </x:c>
      <x:c r="AD237" s="57" t="str">
        <x:v>Unseeded/unknown</x:v>
      </x:c>
      <x:c r="AE237" s="58" t="str">
        <x:v>Unseeded/unknown</x:v>
      </x:c>
    </x:row>
    <x:row r="238">
      <x:c r="A238" s="56" t="n">
        <x:v>1897</x:v>
      </x:c>
      <x:c r="B238" s="57" t="str">
        <x:v>Women's</x:v>
      </x:c>
      <x:c r="C238" s="57" t="str">
        <x:v>G.W. Hillyard</x:v>
      </x:c>
      <x:c r="D238" s="57" t="str">
        <x:v>GBR</x:v>
      </x:c>
      <x:c r="E238" s="57" t="str">
        <x:v>United Kingdom</x:v>
      </x:c>
      <x:c r="F238" s="57"/>
      <x:c r="G238" s="57"/>
      <x:c r="H238" s="57" t="str">
        <x:v>5-7, 7-5, 6-2</x:v>
      </x:c>
      <x:c r="I238" s="57" t="n">
        <x:v>5</x:v>
      </x:c>
      <x:c r="J238" s="57" t="n">
        <x:v>7</x:v>
      </x:c>
      <x:c r="K238" s="57" t="n">
        <x:v>7</x:v>
      </x:c>
      <x:c r="L238" s="57" t="n">
        <x:v>5</x:v>
      </x:c>
      <x:c r="M238" s="57" t="n">
        <x:v>6</x:v>
      </x:c>
      <x:c r="N238" s="57" t="n">
        <x:v>2</x:v>
      </x:c>
      <x:c r="O238" s="57"/>
      <x:c r="P238" s="57"/>
      <x:c r="Q238" s="57"/>
      <x:c r="R238" s="57"/>
      <x:c r="S238" s="57" t="str">
        <x:v>C.R. Cooper</x:v>
      </x:c>
      <x:c r="T238" s="57" t="str">
        <x:v>GBR</x:v>
      </x:c>
      <x:c r="U238" s="57" t="str">
        <x:v>United Kingdom</x:v>
      </x:c>
      <x:c r="V238" s="57"/>
      <x:c r="W238" s="57" t="n">
        <x:v>3</x:v>
      </x:c>
      <x:c r="X238" s="57" t="n">
        <x:v>32</x:v>
      </x:c>
      <x:c r="Y238" s="57" t="str">
        <x:v>Completed</x:v>
      </x:c>
      <x:c r="Z238" s="57" t="str">
        <x:v>Unavailable (not imputed)</x:v>
      </x:c>
      <x:c r="AA238" s="57" t="n">
        <x:v>6</x:v>
      </x:c>
      <x:c r="AB238" s="57" t="str">
        <x:v>Yes</x:v>
      </x:c>
      <x:c r="AC238" s="57" t="str">
        <x:v>1890s</x:v>
      </x:c>
      <x:c r="AD238" s="57" t="str">
        <x:v>Unseeded/unknown</x:v>
      </x:c>
      <x:c r="AE238" s="58" t="str">
        <x:v>Unseeded/unknown</x:v>
      </x:c>
    </x:row>
    <x:row r="239">
      <x:c r="A239" s="56" t="n">
        <x:v>1897</x:v>
      </x:c>
      <x:c r="B239" s="57" t="str">
        <x:v>Men's</x:v>
      </x:c>
      <x:c r="C239" s="57" t="str">
        <x:v>R.F. Doherty</x:v>
      </x:c>
      <x:c r="D239" s="57" t="str">
        <x:v>GBR</x:v>
      </x:c>
      <x:c r="E239" s="57" t="str">
        <x:v>United Kingdom</x:v>
      </x:c>
      <x:c r="F239" s="57"/>
      <x:c r="G239" s="57" t="n">
        <x:v>67</x:v>
      </x:c>
      <x:c r="H239" s="57" t="str">
        <x:v>6-4, 6-4, 6-3</x:v>
      </x:c>
      <x:c r="I239" s="57" t="n">
        <x:v>6</x:v>
      </x:c>
      <x:c r="J239" s="57" t="n">
        <x:v>4</x:v>
      </x:c>
      <x:c r="K239" s="57" t="n">
        <x:v>6</x:v>
      </x:c>
      <x:c r="L239" s="57" t="n">
        <x:v>4</x:v>
      </x:c>
      <x:c r="M239" s="57" t="n">
        <x:v>6</x:v>
      </x:c>
      <x:c r="N239" s="57" t="n">
        <x:v>3</x:v>
      </x:c>
      <x:c r="O239" s="57"/>
      <x:c r="P239" s="57"/>
      <x:c r="Q239" s="57"/>
      <x:c r="R239" s="57"/>
      <x:c r="S239" s="57" t="str">
        <x:v>H.S. Mahony</x:v>
      </x:c>
      <x:c r="T239" s="57" t="str">
        <x:v>GBR</x:v>
      </x:c>
      <x:c r="U239" s="57" t="str">
        <x:v>United Kingdom</x:v>
      </x:c>
      <x:c r="V239" s="57"/>
      <x:c r="W239" s="57" t="n">
        <x:v>3</x:v>
      </x:c>
      <x:c r="X239" s="57" t="n">
        <x:v>29</x:v>
      </x:c>
      <x:c r="Y239" s="57" t="str">
        <x:v>Completed</x:v>
      </x:c>
      <x:c r="Z239" s="57" t="str">
        <x:v>Recorded</x:v>
      </x:c>
      <x:c r="AA239" s="57" t="n">
        <x:v>4</x:v>
      </x:c>
      <x:c r="AB239" s="57" t="str">
        <x:v>No</x:v>
      </x:c>
      <x:c r="AC239" s="57" t="str">
        <x:v>1890s</x:v>
      </x:c>
      <x:c r="AD239" s="57" t="str">
        <x:v>Unseeded/unknown</x:v>
      </x:c>
      <x:c r="AE239" s="58" t="str">
        <x:v>Unseeded/unknown</x:v>
      </x:c>
    </x:row>
    <x:row r="240">
      <x:c r="A240" s="56" t="n">
        <x:v>1896</x:v>
      </x:c>
      <x:c r="B240" s="57" t="str">
        <x:v>Women's</x:v>
      </x:c>
      <x:c r="C240" s="57" t="str">
        <x:v>C.R. Cooper</x:v>
      </x:c>
      <x:c r="D240" s="57" t="str">
        <x:v>GBR</x:v>
      </x:c>
      <x:c r="E240" s="57" t="str">
        <x:v>United Kingdom</x:v>
      </x:c>
      <x:c r="F240" s="57"/>
      <x:c r="G240" s="57"/>
      <x:c r="H240" s="57" t="str">
        <x:v>6-2, 6-3</x:v>
      </x:c>
      <x:c r="I240" s="57" t="n">
        <x:v>6</x:v>
      </x:c>
      <x:c r="J240" s="57" t="n">
        <x:v>2</x:v>
      </x:c>
      <x:c r="K240" s="57" t="n">
        <x:v>6</x:v>
      </x:c>
      <x:c r="L240" s="57" t="n">
        <x:v>3</x:v>
      </x:c>
      <x:c r="M240" s="57"/>
      <x:c r="N240" s="57"/>
      <x:c r="O240" s="57"/>
      <x:c r="P240" s="57"/>
      <x:c r="Q240" s="57"/>
      <x:c r="R240" s="57"/>
      <x:c r="S240" s="57" t="str">
        <x:v>W.H. Pickering</x:v>
      </x:c>
      <x:c r="T240" s="57" t="str">
        <x:v>GBR</x:v>
      </x:c>
      <x:c r="U240" s="57" t="str">
        <x:v>United Kingdom</x:v>
      </x:c>
      <x:c r="V240" s="57"/>
      <x:c r="W240" s="57" t="n">
        <x:v>2</x:v>
      </x:c>
      <x:c r="X240" s="57" t="n">
        <x:v>17</x:v>
      </x:c>
      <x:c r="Y240" s="57" t="str">
        <x:v>Completed</x:v>
      </x:c>
      <x:c r="Z240" s="57" t="str">
        <x:v>Unavailable (not imputed)</x:v>
      </x:c>
      <x:c r="AA240" s="57" t="n">
        <x:v>5</x:v>
      </x:c>
      <x:c r="AB240" s="57" t="str">
        <x:v>Yes</x:v>
      </x:c>
      <x:c r="AC240" s="57" t="str">
        <x:v>1890s</x:v>
      </x:c>
      <x:c r="AD240" s="57" t="str">
        <x:v>Unseeded/unknown</x:v>
      </x:c>
      <x:c r="AE240" s="58" t="str">
        <x:v>Unseeded/unknown</x:v>
      </x:c>
    </x:row>
    <x:row r="241">
      <x:c r="A241" s="56" t="n">
        <x:v>1896</x:v>
      </x:c>
      <x:c r="B241" s="57" t="str">
        <x:v>Men's</x:v>
      </x:c>
      <x:c r="C241" s="57" t="str">
        <x:v>H.S. Mahony</x:v>
      </x:c>
      <x:c r="D241" s="57" t="str">
        <x:v>GBR</x:v>
      </x:c>
      <x:c r="E241" s="57" t="str">
        <x:v>United Kingdom</x:v>
      </x:c>
      <x:c r="F241" s="57"/>
      <x:c r="G241" s="57" t="n">
        <x:v>120</x:v>
      </x:c>
      <x:c r="H241" s="57" t="str">
        <x:v>6-2, 6-8, 5-7, 8-6, 6-3</x:v>
      </x:c>
      <x:c r="I241" s="57" t="n">
        <x:v>6</x:v>
      </x:c>
      <x:c r="J241" s="57" t="n">
        <x:v>2</x:v>
      </x:c>
      <x:c r="K241" s="57" t="n">
        <x:v>6</x:v>
      </x:c>
      <x:c r="L241" s="57" t="n">
        <x:v>8</x:v>
      </x:c>
      <x:c r="M241" s="57" t="n">
        <x:v>5</x:v>
      </x:c>
      <x:c r="N241" s="57" t="n">
        <x:v>7</x:v>
      </x:c>
      <x:c r="O241" s="57" t="n">
        <x:v>8</x:v>
      </x:c>
      <x:c r="P241" s="57" t="n">
        <x:v>6</x:v>
      </x:c>
      <x:c r="Q241" s="57" t="n">
        <x:v>6</x:v>
      </x:c>
      <x:c r="R241" s="57" t="n">
        <x:v>3</x:v>
      </x:c>
      <x:c r="S241" s="57" t="str">
        <x:v>W. Baddeley</x:v>
      </x:c>
      <x:c r="T241" s="57" t="str">
        <x:v>GBR</x:v>
      </x:c>
      <x:c r="U241" s="57" t="str">
        <x:v>United Kingdom</x:v>
      </x:c>
      <x:c r="V241" s="57"/>
      <x:c r="W241" s="57" t="n">
        <x:v>5</x:v>
      </x:c>
      <x:c r="X241" s="57" t="n">
        <x:v>57</x:v>
      </x:c>
      <x:c r="Y241" s="57" t="str">
        <x:v>Completed</x:v>
      </x:c>
      <x:c r="Z241" s="57" t="str">
        <x:v>Recorded</x:v>
      </x:c>
      <x:c r="AA241" s="57" t="n">
        <x:v>1</x:v>
      </x:c>
      <x:c r="AB241" s="57" t="str">
        <x:v>No</x:v>
      </x:c>
      <x:c r="AC241" s="57" t="str">
        <x:v>1890s</x:v>
      </x:c>
      <x:c r="AD241" s="57" t="str">
        <x:v>Unseeded/unknown</x:v>
      </x:c>
      <x:c r="AE241" s="58" t="str">
        <x:v>Unseeded/unknown</x:v>
      </x:c>
    </x:row>
    <x:row r="242">
      <x:c r="A242" s="56" t="n">
        <x:v>1895</x:v>
      </x:c>
      <x:c r="B242" s="57" t="str">
        <x:v>Women's</x:v>
      </x:c>
      <x:c r="C242" s="57" t="str">
        <x:v>C.R. Cooper</x:v>
      </x:c>
      <x:c r="D242" s="57" t="str">
        <x:v>GBR</x:v>
      </x:c>
      <x:c r="E242" s="57" t="str">
        <x:v>United Kingdom</x:v>
      </x:c>
      <x:c r="F242" s="57"/>
      <x:c r="G242" s="57"/>
      <x:c r="H242" s="57" t="str">
        <x:v>7-5, 8-6</x:v>
      </x:c>
      <x:c r="I242" s="57" t="n">
        <x:v>7</x:v>
      </x:c>
      <x:c r="J242" s="57" t="n">
        <x:v>5</x:v>
      </x:c>
      <x:c r="K242" s="57" t="n">
        <x:v>8</x:v>
      </x:c>
      <x:c r="L242" s="57" t="n">
        <x:v>6</x:v>
      </x:c>
      <x:c r="M242" s="57"/>
      <x:c r="N242" s="57"/>
      <x:c r="O242" s="57"/>
      <x:c r="P242" s="57"/>
      <x:c r="Q242" s="57"/>
      <x:c r="R242" s="57"/>
      <x:c r="S242" s="57" t="str">
        <x:v>H. Jackson</x:v>
      </x:c>
      <x:c r="T242" s="57" t="str">
        <x:v>GBR</x:v>
      </x:c>
      <x:c r="U242" s="57" t="str">
        <x:v>United Kingdom</x:v>
      </x:c>
      <x:c r="V242" s="57"/>
      <x:c r="W242" s="57" t="n">
        <x:v>2</x:v>
      </x:c>
      <x:c r="X242" s="57" t="n">
        <x:v>26</x:v>
      </x:c>
      <x:c r="Y242" s="57" t="str">
        <x:v>Completed</x:v>
      </x:c>
      <x:c r="Z242" s="57" t="str">
        <x:v>Unavailable (not imputed)</x:v>
      </x:c>
      <x:c r="AA242" s="57" t="n">
        <x:v>5</x:v>
      </x:c>
      <x:c r="AB242" s="57" t="str">
        <x:v>Yes</x:v>
      </x:c>
      <x:c r="AC242" s="57" t="str">
        <x:v>1890s</x:v>
      </x:c>
      <x:c r="AD242" s="57" t="str">
        <x:v>Unseeded/unknown</x:v>
      </x:c>
      <x:c r="AE242" s="58" t="str">
        <x:v>Unseeded/unknown</x:v>
      </x:c>
    </x:row>
    <x:row r="243">
      <x:c r="A243" s="56" t="n">
        <x:v>1895</x:v>
      </x:c>
      <x:c r="B243" s="57" t="str">
        <x:v>Men's</x:v>
      </x:c>
      <x:c r="C243" s="57" t="str">
        <x:v>W. Baddeley</x:v>
      </x:c>
      <x:c r="D243" s="57" t="str">
        <x:v>GBR</x:v>
      </x:c>
      <x:c r="E243" s="57" t="str">
        <x:v>United Kingdom</x:v>
      </x:c>
      <x:c r="F243" s="57"/>
      <x:c r="G243" s="57" t="n">
        <x:v>95</x:v>
      </x:c>
      <x:c r="H243" s="57" t="str">
        <x:v>4-6, 2-6, 8-6, 6-2, 6-3</x:v>
      </x:c>
      <x:c r="I243" s="57" t="n">
        <x:v>4</x:v>
      </x:c>
      <x:c r="J243" s="57" t="n">
        <x:v>6</x:v>
      </x:c>
      <x:c r="K243" s="57" t="n">
        <x:v>2</x:v>
      </x:c>
      <x:c r="L243" s="57" t="n">
        <x:v>6</x:v>
      </x:c>
      <x:c r="M243" s="57" t="n">
        <x:v>8</x:v>
      </x:c>
      <x:c r="N243" s="57" t="n">
        <x:v>6</x:v>
      </x:c>
      <x:c r="O243" s="57" t="n">
        <x:v>6</x:v>
      </x:c>
      <x:c r="P243" s="57" t="n">
        <x:v>2</x:v>
      </x:c>
      <x:c r="Q243" s="57" t="n">
        <x:v>6</x:v>
      </x:c>
      <x:c r="R243" s="57" t="n">
        <x:v>3</x:v>
      </x:c>
      <x:c r="S243" s="57" t="str">
        <x:v>W.V. Eaves</x:v>
      </x:c>
      <x:c r="T243" s="57" t="str">
        <x:v>GBR</x:v>
      </x:c>
      <x:c r="U243" s="57" t="str">
        <x:v>United Kingdom</x:v>
      </x:c>
      <x:c r="V243" s="57"/>
      <x:c r="W243" s="57" t="n">
        <x:v>5</x:v>
      </x:c>
      <x:c r="X243" s="57" t="n">
        <x:v>49</x:v>
      </x:c>
      <x:c r="Y243" s="57" t="str">
        <x:v>Completed</x:v>
      </x:c>
      <x:c r="Z243" s="57" t="str">
        <x:v>Recorded</x:v>
      </x:c>
      <x:c r="AA243" s="57" t="n">
        <x:v>3</x:v>
      </x:c>
      <x:c r="AB243" s="57" t="str">
        <x:v>No</x:v>
      </x:c>
      <x:c r="AC243" s="57" t="str">
        <x:v>1890s</x:v>
      </x:c>
      <x:c r="AD243" s="57" t="str">
        <x:v>Unseeded/unknown</x:v>
      </x:c>
      <x:c r="AE243" s="58" t="str">
        <x:v>Unseeded/unknown</x:v>
      </x:c>
    </x:row>
    <x:row r="244">
      <x:c r="A244" s="56" t="n">
        <x:v>1894</x:v>
      </x:c>
      <x:c r="B244" s="57" t="str">
        <x:v>Women's</x:v>
      </x:c>
      <x:c r="C244" s="57" t="str">
        <x:v>G.W. Hillyard</x:v>
      </x:c>
      <x:c r="D244" s="57" t="str">
        <x:v>GBR</x:v>
      </x:c>
      <x:c r="E244" s="57" t="str">
        <x:v>United Kingdom</x:v>
      </x:c>
      <x:c r="F244" s="57"/>
      <x:c r="G244" s="57"/>
      <x:c r="H244" s="57" t="str">
        <x:v>6-1, 6-1</x:v>
      </x:c>
      <x:c r="I244" s="57" t="n">
        <x:v>6</x:v>
      </x:c>
      <x:c r="J244" s="57" t="n">
        <x:v>1</x:v>
      </x:c>
      <x:c r="K244" s="57" t="n">
        <x:v>6</x:v>
      </x:c>
      <x:c r="L244" s="57" t="n">
        <x:v>1</x:v>
      </x:c>
      <x:c r="M244" s="57"/>
      <x:c r="N244" s="57"/>
      <x:c r="O244" s="57"/>
      <x:c r="P244" s="57"/>
      <x:c r="Q244" s="57"/>
      <x:c r="R244" s="57"/>
      <x:c r="S244" s="57" t="str">
        <x:v>E.L. Austin</x:v>
      </x:c>
      <x:c r="T244" s="57" t="str">
        <x:v>GBR</x:v>
      </x:c>
      <x:c r="U244" s="57" t="str">
        <x:v>United Kingdom</x:v>
      </x:c>
      <x:c r="V244" s="57"/>
      <x:c r="W244" s="57" t="n">
        <x:v>2</x:v>
      </x:c>
      <x:c r="X244" s="57" t="n">
        <x:v>14</x:v>
      </x:c>
      <x:c r="Y244" s="57" t="str">
        <x:v>Completed</x:v>
      </x:c>
      <x:c r="Z244" s="57" t="str">
        <x:v>Unavailable (not imputed)</x:v>
      </x:c>
      <x:c r="AA244" s="57" t="n">
        <x:v>6</x:v>
      </x:c>
      <x:c r="AB244" s="57" t="str">
        <x:v>Yes</x:v>
      </x:c>
      <x:c r="AC244" s="57" t="str">
        <x:v>1890s</x:v>
      </x:c>
      <x:c r="AD244" s="57" t="str">
        <x:v>Unseeded/unknown</x:v>
      </x:c>
      <x:c r="AE244" s="58" t="str">
        <x:v>Unseeded/unknown</x:v>
      </x:c>
    </x:row>
    <x:row r="245">
      <x:c r="A245" s="56" t="n">
        <x:v>1894</x:v>
      </x:c>
      <x:c r="B245" s="57" t="str">
        <x:v>Men's</x:v>
      </x:c>
      <x:c r="C245" s="57" t="str">
        <x:v>J. Pim</x:v>
      </x:c>
      <x:c r="D245" s="57" t="str">
        <x:v>GBR</x:v>
      </x:c>
      <x:c r="E245" s="57" t="str">
        <x:v>United Kingdom</x:v>
      </x:c>
      <x:c r="F245" s="57"/>
      <x:c r="G245" s="57" t="n">
        <x:v>117</x:v>
      </x:c>
      <x:c r="H245" s="57" t="str">
        <x:v>10-8, 6-2, 8-6</x:v>
      </x:c>
      <x:c r="I245" s="57" t="n">
        <x:v>10</x:v>
      </x:c>
      <x:c r="J245" s="57" t="n">
        <x:v>8</x:v>
      </x:c>
      <x:c r="K245" s="57" t="n">
        <x:v>6</x:v>
      </x:c>
      <x:c r="L245" s="57" t="n">
        <x:v>2</x:v>
      </x:c>
      <x:c r="M245" s="57" t="n">
        <x:v>8</x:v>
      </x:c>
      <x:c r="N245" s="57" t="n">
        <x:v>6</x:v>
      </x:c>
      <x:c r="O245" s="57"/>
      <x:c r="P245" s="57"/>
      <x:c r="Q245" s="57"/>
      <x:c r="R245" s="57"/>
      <x:c r="S245" s="57" t="str">
        <x:v>W. Baddeley</x:v>
      </x:c>
      <x:c r="T245" s="57" t="str">
        <x:v>GBR</x:v>
      </x:c>
      <x:c r="U245" s="57" t="str">
        <x:v>United Kingdom</x:v>
      </x:c>
      <x:c r="V245" s="57"/>
      <x:c r="W245" s="57" t="n">
        <x:v>3</x:v>
      </x:c>
      <x:c r="X245" s="57" t="n">
        <x:v>40</x:v>
      </x:c>
      <x:c r="Y245" s="57" t="str">
        <x:v>Completed</x:v>
      </x:c>
      <x:c r="Z245" s="57" t="str">
        <x:v>Recorded</x:v>
      </x:c>
      <x:c r="AA245" s="57" t="n">
        <x:v>2</x:v>
      </x:c>
      <x:c r="AB245" s="57" t="str">
        <x:v>No</x:v>
      </x:c>
      <x:c r="AC245" s="57" t="str">
        <x:v>1890s</x:v>
      </x:c>
      <x:c r="AD245" s="57" t="str">
        <x:v>Unseeded/unknown</x:v>
      </x:c>
      <x:c r="AE245" s="58" t="str">
        <x:v>Unseeded/unknown</x:v>
      </x:c>
    </x:row>
    <x:row r="246">
      <x:c r="A246" s="56" t="n">
        <x:v>1893</x:v>
      </x:c>
      <x:c r="B246" s="57" t="str">
        <x:v>Women's</x:v>
      </x:c>
      <x:c r="C246" s="57" t="str">
        <x:v>C. Dod</x:v>
      </x:c>
      <x:c r="D246" s="57" t="str">
        <x:v>GBR</x:v>
      </x:c>
      <x:c r="E246" s="57" t="str">
        <x:v>United Kingdom</x:v>
      </x:c>
      <x:c r="F246" s="57"/>
      <x:c r="G246" s="57"/>
      <x:c r="H246" s="57" t="str">
        <x:v>6-8, 6-1, 6-4</x:v>
      </x:c>
      <x:c r="I246" s="57" t="n">
        <x:v>6</x:v>
      </x:c>
      <x:c r="J246" s="57" t="n">
        <x:v>8</x:v>
      </x:c>
      <x:c r="K246" s="57" t="n">
        <x:v>6</x:v>
      </x:c>
      <x:c r="L246" s="57" t="n">
        <x:v>1</x:v>
      </x:c>
      <x:c r="M246" s="57" t="n">
        <x:v>6</x:v>
      </x:c>
      <x:c r="N246" s="57" t="n">
        <x:v>4</x:v>
      </x:c>
      <x:c r="O246" s="57"/>
      <x:c r="P246" s="57"/>
      <x:c r="Q246" s="57"/>
      <x:c r="R246" s="57"/>
      <x:c r="S246" s="57" t="str">
        <x:v>G.W. Hillyard</x:v>
      </x:c>
      <x:c r="T246" s="57" t="str">
        <x:v>GBR</x:v>
      </x:c>
      <x:c r="U246" s="57" t="str">
        <x:v>United Kingdom</x:v>
      </x:c>
      <x:c r="V246" s="57"/>
      <x:c r="W246" s="57" t="n">
        <x:v>3</x:v>
      </x:c>
      <x:c r="X246" s="57" t="n">
        <x:v>31</x:v>
      </x:c>
      <x:c r="Y246" s="57" t="str">
        <x:v>Completed</x:v>
      </x:c>
      <x:c r="Z246" s="57" t="str">
        <x:v>Unavailable (not imputed)</x:v>
      </x:c>
      <x:c r="AA246" s="57" t="n">
        <x:v>5</x:v>
      </x:c>
      <x:c r="AB246" s="57" t="str">
        <x:v>Yes</x:v>
      </x:c>
      <x:c r="AC246" s="57" t="str">
        <x:v>1890s</x:v>
      </x:c>
      <x:c r="AD246" s="57" t="str">
        <x:v>Unseeded/unknown</x:v>
      </x:c>
      <x:c r="AE246" s="58" t="str">
        <x:v>Unseeded/unknown</x:v>
      </x:c>
    </x:row>
    <x:row r="247">
      <x:c r="A247" s="56" t="n">
        <x:v>1893</x:v>
      </x:c>
      <x:c r="B247" s="57" t="str">
        <x:v>Men's</x:v>
      </x:c>
      <x:c r="C247" s="57" t="str">
        <x:v>J. Pim</x:v>
      </x:c>
      <x:c r="D247" s="57" t="str">
        <x:v>GBR</x:v>
      </x:c>
      <x:c r="E247" s="57" t="str">
        <x:v>United Kingdom</x:v>
      </x:c>
      <x:c r="F247" s="57"/>
      <x:c r="G247" s="57" t="n">
        <x:v>65</x:v>
      </x:c>
      <x:c r="H247" s="57" t="str">
        <x:v>3-6, 6-1, 6-3, 6-2</x:v>
      </x:c>
      <x:c r="I247" s="57" t="n">
        <x:v>3</x:v>
      </x:c>
      <x:c r="J247" s="57" t="n">
        <x:v>6</x:v>
      </x:c>
      <x:c r="K247" s="57" t="n">
        <x:v>6</x:v>
      </x:c>
      <x:c r="L247" s="57" t="n">
        <x:v>1</x:v>
      </x:c>
      <x:c r="M247" s="57" t="n">
        <x:v>6</x:v>
      </x:c>
      <x:c r="N247" s="57" t="n">
        <x:v>3</x:v>
      </x:c>
      <x:c r="O247" s="57" t="n">
        <x:v>6</x:v>
      </x:c>
      <x:c r="P247" s="57" t="n">
        <x:v>2</x:v>
      </x:c>
      <x:c r="Q247" s="57"/>
      <x:c r="R247" s="57"/>
      <x:c r="S247" s="57" t="str">
        <x:v>W. Baddeley</x:v>
      </x:c>
      <x:c r="T247" s="57" t="str">
        <x:v>GBR</x:v>
      </x:c>
      <x:c r="U247" s="57" t="str">
        <x:v>United Kingdom</x:v>
      </x:c>
      <x:c r="V247" s="57"/>
      <x:c r="W247" s="57" t="n">
        <x:v>4</x:v>
      </x:c>
      <x:c r="X247" s="57" t="n">
        <x:v>33</x:v>
      </x:c>
      <x:c r="Y247" s="57" t="str">
        <x:v>Completed</x:v>
      </x:c>
      <x:c r="Z247" s="57" t="str">
        <x:v>Recorded</x:v>
      </x:c>
      <x:c r="AA247" s="57" t="n">
        <x:v>2</x:v>
      </x:c>
      <x:c r="AB247" s="57" t="str">
        <x:v>No</x:v>
      </x:c>
      <x:c r="AC247" s="57" t="str">
        <x:v>1890s</x:v>
      </x:c>
      <x:c r="AD247" s="57" t="str">
        <x:v>Unseeded/unknown</x:v>
      </x:c>
      <x:c r="AE247" s="58" t="str">
        <x:v>Unseeded/unknown</x:v>
      </x:c>
    </x:row>
    <x:row r="248">
      <x:c r="A248" s="56" t="n">
        <x:v>1892</x:v>
      </x:c>
      <x:c r="B248" s="57" t="str">
        <x:v>Women's</x:v>
      </x:c>
      <x:c r="C248" s="57" t="str">
        <x:v>C. Dod</x:v>
      </x:c>
      <x:c r="D248" s="57" t="str">
        <x:v>GBR</x:v>
      </x:c>
      <x:c r="E248" s="57" t="str">
        <x:v>United Kingdom</x:v>
      </x:c>
      <x:c r="F248" s="57"/>
      <x:c r="G248" s="57"/>
      <x:c r="H248" s="57" t="str">
        <x:v>6-1, 6-1</x:v>
      </x:c>
      <x:c r="I248" s="57" t="n">
        <x:v>6</x:v>
      </x:c>
      <x:c r="J248" s="57" t="n">
        <x:v>1</x:v>
      </x:c>
      <x:c r="K248" s="57" t="n">
        <x:v>6</x:v>
      </x:c>
      <x:c r="L248" s="57" t="n">
        <x:v>1</x:v>
      </x:c>
      <x:c r="M248" s="57"/>
      <x:c r="N248" s="57"/>
      <x:c r="O248" s="57"/>
      <x:c r="P248" s="57"/>
      <x:c r="Q248" s="57"/>
      <x:c r="R248" s="57"/>
      <x:c r="S248" s="57" t="str">
        <x:v>G.W. Hillyard</x:v>
      </x:c>
      <x:c r="T248" s="57" t="str">
        <x:v>GBR</x:v>
      </x:c>
      <x:c r="U248" s="57" t="str">
        <x:v>United Kingdom</x:v>
      </x:c>
      <x:c r="V248" s="57"/>
      <x:c r="W248" s="57" t="n">
        <x:v>2</x:v>
      </x:c>
      <x:c r="X248" s="57" t="n">
        <x:v>14</x:v>
      </x:c>
      <x:c r="Y248" s="57" t="str">
        <x:v>Completed</x:v>
      </x:c>
      <x:c r="Z248" s="57" t="str">
        <x:v>Unavailable (not imputed)</x:v>
      </x:c>
      <x:c r="AA248" s="57" t="n">
        <x:v>5</x:v>
      </x:c>
      <x:c r="AB248" s="57" t="str">
        <x:v>Yes</x:v>
      </x:c>
      <x:c r="AC248" s="57" t="str">
        <x:v>1890s</x:v>
      </x:c>
      <x:c r="AD248" s="57" t="str">
        <x:v>Unseeded/unknown</x:v>
      </x:c>
      <x:c r="AE248" s="58" t="str">
        <x:v>Unseeded/unknown</x:v>
      </x:c>
    </x:row>
    <x:row r="249">
      <x:c r="A249" s="56" t="n">
        <x:v>1892</x:v>
      </x:c>
      <x:c r="B249" s="57" t="str">
        <x:v>Men's</x:v>
      </x:c>
      <x:c r="C249" s="57" t="str">
        <x:v>W. Baddeley</x:v>
      </x:c>
      <x:c r="D249" s="57" t="str">
        <x:v>GBR</x:v>
      </x:c>
      <x:c r="E249" s="57" t="str">
        <x:v>United Kingdom</x:v>
      </x:c>
      <x:c r="F249" s="57"/>
      <x:c r="G249" s="57" t="n">
        <x:v>75</x:v>
      </x:c>
      <x:c r="H249" s="57" t="str">
        <x:v>4-6, 6-3, 6-3, 6-2</x:v>
      </x:c>
      <x:c r="I249" s="57" t="n">
        <x:v>4</x:v>
      </x:c>
      <x:c r="J249" s="57" t="n">
        <x:v>6</x:v>
      </x:c>
      <x:c r="K249" s="57" t="n">
        <x:v>6</x:v>
      </x:c>
      <x:c r="L249" s="57" t="n">
        <x:v>3</x:v>
      </x:c>
      <x:c r="M249" s="57" t="n">
        <x:v>6</x:v>
      </x:c>
      <x:c r="N249" s="57" t="n">
        <x:v>3</x:v>
      </x:c>
      <x:c r="O249" s="57" t="n">
        <x:v>6</x:v>
      </x:c>
      <x:c r="P249" s="57" t="n">
        <x:v>2</x:v>
      </x:c>
      <x:c r="Q249" s="57"/>
      <x:c r="R249" s="57"/>
      <x:c r="S249" s="57" t="str">
        <x:v>J. Pim</x:v>
      </x:c>
      <x:c r="T249" s="57" t="str">
        <x:v>GBR</x:v>
      </x:c>
      <x:c r="U249" s="57" t="str">
        <x:v>United Kingdom</x:v>
      </x:c>
      <x:c r="V249" s="57"/>
      <x:c r="W249" s="57" t="n">
        <x:v>4</x:v>
      </x:c>
      <x:c r="X249" s="57" t="n">
        <x:v>36</x:v>
      </x:c>
      <x:c r="Y249" s="57" t="str">
        <x:v>Completed</x:v>
      </x:c>
      <x:c r="Z249" s="57" t="str">
        <x:v>Recorded</x:v>
      </x:c>
      <x:c r="AA249" s="57" t="n">
        <x:v>3</x:v>
      </x:c>
      <x:c r="AB249" s="57" t="str">
        <x:v>No</x:v>
      </x:c>
      <x:c r="AC249" s="57" t="str">
        <x:v>1890s</x:v>
      </x:c>
      <x:c r="AD249" s="57" t="str">
        <x:v>Unseeded/unknown</x:v>
      </x:c>
      <x:c r="AE249" s="58" t="str">
        <x:v>Unseeded/unknown</x:v>
      </x:c>
    </x:row>
    <x:row r="250">
      <x:c r="A250" s="56" t="n">
        <x:v>1891</x:v>
      </x:c>
      <x:c r="B250" s="57" t="str">
        <x:v>Women's</x:v>
      </x:c>
      <x:c r="C250" s="57" t="str">
        <x:v>C. Dod</x:v>
      </x:c>
      <x:c r="D250" s="57" t="str">
        <x:v>GBR</x:v>
      </x:c>
      <x:c r="E250" s="57" t="str">
        <x:v>United Kingdom</x:v>
      </x:c>
      <x:c r="F250" s="57"/>
      <x:c r="G250" s="57"/>
      <x:c r="H250" s="57" t="str">
        <x:v>6-2, 6-1</x:v>
      </x:c>
      <x:c r="I250" s="57" t="n">
        <x:v>6</x:v>
      </x:c>
      <x:c r="J250" s="57" t="n">
        <x:v>2</x:v>
      </x:c>
      <x:c r="K250" s="57" t="n">
        <x:v>6</x:v>
      </x:c>
      <x:c r="L250" s="57" t="n">
        <x:v>1</x:v>
      </x:c>
      <x:c r="M250" s="57"/>
      <x:c r="N250" s="57"/>
      <x:c r="O250" s="57"/>
      <x:c r="P250" s="57"/>
      <x:c r="Q250" s="57"/>
      <x:c r="R250" s="57"/>
      <x:c r="S250" s="57" t="str">
        <x:v>G.W. Hillyard</x:v>
      </x:c>
      <x:c r="T250" s="57" t="str">
        <x:v>GBR</x:v>
      </x:c>
      <x:c r="U250" s="57" t="str">
        <x:v>United Kingdom</x:v>
      </x:c>
      <x:c r="V250" s="57"/>
      <x:c r="W250" s="57" t="n">
        <x:v>2</x:v>
      </x:c>
      <x:c r="X250" s="57" t="n">
        <x:v>15</x:v>
      </x:c>
      <x:c r="Y250" s="57" t="str">
        <x:v>Completed</x:v>
      </x:c>
      <x:c r="Z250" s="57" t="str">
        <x:v>Unavailable (not imputed)</x:v>
      </x:c>
      <x:c r="AA250" s="57" t="n">
        <x:v>5</x:v>
      </x:c>
      <x:c r="AB250" s="57" t="str">
        <x:v>Yes</x:v>
      </x:c>
      <x:c r="AC250" s="57" t="str">
        <x:v>1890s</x:v>
      </x:c>
      <x:c r="AD250" s="57" t="str">
        <x:v>Unseeded/unknown</x:v>
      </x:c>
      <x:c r="AE250" s="58" t="str">
        <x:v>Unseeded/unknown</x:v>
      </x:c>
    </x:row>
    <x:row r="251">
      <x:c r="A251" s="56" t="n">
        <x:v>1891</x:v>
      </x:c>
      <x:c r="B251" s="57" t="str">
        <x:v>Men's</x:v>
      </x:c>
      <x:c r="C251" s="57" t="str">
        <x:v>W. Baddeley</x:v>
      </x:c>
      <x:c r="D251" s="57" t="str">
        <x:v>GBR</x:v>
      </x:c>
      <x:c r="E251" s="57" t="str">
        <x:v>United Kingdom</x:v>
      </x:c>
      <x:c r="F251" s="57"/>
      <x:c r="G251" s="57"/>
      <x:c r="H251" s="57" t="str">
        <x:v>6-4, 1-6, 7-5, 6-0</x:v>
      </x:c>
      <x:c r="I251" s="57" t="n">
        <x:v>6</x:v>
      </x:c>
      <x:c r="J251" s="57" t="n">
        <x:v>4</x:v>
      </x:c>
      <x:c r="K251" s="57" t="n">
        <x:v>1</x:v>
      </x:c>
      <x:c r="L251" s="57" t="n">
        <x:v>6</x:v>
      </x:c>
      <x:c r="M251" s="57" t="n">
        <x:v>7</x:v>
      </x:c>
      <x:c r="N251" s="57" t="n">
        <x:v>5</x:v>
      </x:c>
      <x:c r="O251" s="57" t="n">
        <x:v>6</x:v>
      </x:c>
      <x:c r="P251" s="57" t="n">
        <x:v>0</x:v>
      </x:c>
      <x:c r="Q251" s="57"/>
      <x:c r="R251" s="57"/>
      <x:c r="S251" s="57" t="str">
        <x:v>J. Pim</x:v>
      </x:c>
      <x:c r="T251" s="57" t="str">
        <x:v>GBR</x:v>
      </x:c>
      <x:c r="U251" s="57" t="str">
        <x:v>United Kingdom</x:v>
      </x:c>
      <x:c r="V251" s="57"/>
      <x:c r="W251" s="57" t="n">
        <x:v>4</x:v>
      </x:c>
      <x:c r="X251" s="57" t="n">
        <x:v>35</x:v>
      </x:c>
      <x:c r="Y251" s="57" t="str">
        <x:v>Completed</x:v>
      </x:c>
      <x:c r="Z251" s="57" t="str">
        <x:v>Unavailable (not imputed)</x:v>
      </x:c>
      <x:c r="AA251" s="57" t="n">
        <x:v>3</x:v>
      </x:c>
      <x:c r="AB251" s="57" t="str">
        <x:v>No</x:v>
      </x:c>
      <x:c r="AC251" s="57" t="str">
        <x:v>1890s</x:v>
      </x:c>
      <x:c r="AD251" s="57" t="str">
        <x:v>Unseeded/unknown</x:v>
      </x:c>
      <x:c r="AE251" s="58" t="str">
        <x:v>Unseeded/unknown</x:v>
      </x:c>
    </x:row>
    <x:row r="252">
      <x:c r="A252" s="56" t="n">
        <x:v>1890</x:v>
      </x:c>
      <x:c r="B252" s="57" t="str">
        <x:v>Women's</x:v>
      </x:c>
      <x:c r="C252" s="57" t="str">
        <x:v>H.G.B. Rice</x:v>
      </x:c>
      <x:c r="D252" s="57" t="str">
        <x:v>GBR</x:v>
      </x:c>
      <x:c r="E252" s="57" t="str">
        <x:v>United Kingdom</x:v>
      </x:c>
      <x:c r="F252" s="57"/>
      <x:c r="G252" s="57"/>
      <x:c r="H252" s="57" t="str">
        <x:v>6-4, 6-1</x:v>
      </x:c>
      <x:c r="I252" s="57" t="n">
        <x:v>6</x:v>
      </x:c>
      <x:c r="J252" s="57" t="n">
        <x:v>4</x:v>
      </x:c>
      <x:c r="K252" s="57" t="n">
        <x:v>6</x:v>
      </x:c>
      <x:c r="L252" s="57" t="n">
        <x:v>1</x:v>
      </x:c>
      <x:c r="M252" s="57"/>
      <x:c r="N252" s="57"/>
      <x:c r="O252" s="57"/>
      <x:c r="P252" s="57"/>
      <x:c r="Q252" s="57"/>
      <x:c r="R252" s="57"/>
      <x:c r="S252" s="57" t="str">
        <x:v>M. Jacks</x:v>
      </x:c>
      <x:c r="T252" s="57" t="str">
        <x:v>GBR</x:v>
      </x:c>
      <x:c r="U252" s="57" t="str">
        <x:v>United Kingdom</x:v>
      </x:c>
      <x:c r="V252" s="57"/>
      <x:c r="W252" s="57" t="n">
        <x:v>2</x:v>
      </x:c>
      <x:c r="X252" s="57" t="n">
        <x:v>17</x:v>
      </x:c>
      <x:c r="Y252" s="57" t="str">
        <x:v>Completed</x:v>
      </x:c>
      <x:c r="Z252" s="57" t="str">
        <x:v>Unavailable (not imputed)</x:v>
      </x:c>
      <x:c r="AA252" s="57" t="n">
        <x:v>1</x:v>
      </x:c>
      <x:c r="AB252" s="57" t="str">
        <x:v>No</x:v>
      </x:c>
      <x:c r="AC252" s="57" t="str">
        <x:v>1890s</x:v>
      </x:c>
      <x:c r="AD252" s="57" t="str">
        <x:v>Unseeded/unknown</x:v>
      </x:c>
      <x:c r="AE252" s="58" t="str">
        <x:v>Unseeded/unknown</x:v>
      </x:c>
    </x:row>
    <x:row r="253">
      <x:c r="A253" s="56" t="n">
        <x:v>1890</x:v>
      </x:c>
      <x:c r="B253" s="57" t="str">
        <x:v>Men's</x:v>
      </x:c>
      <x:c r="C253" s="57" t="str">
        <x:v>W.J. Hamilton</x:v>
      </x:c>
      <x:c r="D253" s="57" t="str">
        <x:v>GBR</x:v>
      </x:c>
      <x:c r="E253" s="57" t="str">
        <x:v>United Kingdom</x:v>
      </x:c>
      <x:c r="F253" s="57"/>
      <x:c r="G253" s="57" t="n">
        <x:v>96</x:v>
      </x:c>
      <x:c r="H253" s="57" t="str">
        <x:v>6-8, 6-2, 3-6, 6-1, 6-1</x:v>
      </x:c>
      <x:c r="I253" s="57" t="n">
        <x:v>6</x:v>
      </x:c>
      <x:c r="J253" s="57" t="n">
        <x:v>8</x:v>
      </x:c>
      <x:c r="K253" s="57" t="n">
        <x:v>6</x:v>
      </x:c>
      <x:c r="L253" s="57" t="n">
        <x:v>2</x:v>
      </x:c>
      <x:c r="M253" s="57" t="n">
        <x:v>3</x:v>
      </x:c>
      <x:c r="N253" s="57" t="n">
        <x:v>6</x:v>
      </x:c>
      <x:c r="O253" s="57" t="n">
        <x:v>6</x:v>
      </x:c>
      <x:c r="P253" s="57" t="n">
        <x:v>1</x:v>
      </x:c>
      <x:c r="Q253" s="57" t="n">
        <x:v>6</x:v>
      </x:c>
      <x:c r="R253" s="57" t="n">
        <x:v>1</x:v>
      </x:c>
      <x:c r="S253" s="57" t="str">
        <x:v>W.C. Renshaw</x:v>
      </x:c>
      <x:c r="T253" s="57" t="str">
        <x:v>GBR</x:v>
      </x:c>
      <x:c r="U253" s="57" t="str">
        <x:v>United Kingdom</x:v>
      </x:c>
      <x:c r="V253" s="57"/>
      <x:c r="W253" s="57" t="n">
        <x:v>5</x:v>
      </x:c>
      <x:c r="X253" s="57" t="n">
        <x:v>45</x:v>
      </x:c>
      <x:c r="Y253" s="57" t="str">
        <x:v>Completed</x:v>
      </x:c>
      <x:c r="Z253" s="57" t="str">
        <x:v>Recorded</x:v>
      </x:c>
      <x:c r="AA253" s="57" t="n">
        <x:v>1</x:v>
      </x:c>
      <x:c r="AB253" s="57" t="str">
        <x:v>No</x:v>
      </x:c>
      <x:c r="AC253" s="57" t="str">
        <x:v>1890s</x:v>
      </x:c>
      <x:c r="AD253" s="57" t="str">
        <x:v>Unseeded/unknown</x:v>
      </x:c>
      <x:c r="AE253" s="58" t="str">
        <x:v>Unseeded/unknown</x:v>
      </x:c>
    </x:row>
    <x:row r="254">
      <x:c r="A254" s="56" t="n">
        <x:v>1889</x:v>
      </x:c>
      <x:c r="B254" s="57" t="str">
        <x:v>Women's</x:v>
      </x:c>
      <x:c r="C254" s="57" t="str">
        <x:v>G.W. Hillyard</x:v>
      </x:c>
      <x:c r="D254" s="57" t="str">
        <x:v>GBR</x:v>
      </x:c>
      <x:c r="E254" s="57" t="str">
        <x:v>United Kingdom</x:v>
      </x:c>
      <x:c r="F254" s="57"/>
      <x:c r="G254" s="57"/>
      <x:c r="H254" s="57" t="str">
        <x:v>4-6, 8-6, 6-4</x:v>
      </x:c>
      <x:c r="I254" s="57" t="n">
        <x:v>4</x:v>
      </x:c>
      <x:c r="J254" s="57" t="n">
        <x:v>6</x:v>
      </x:c>
      <x:c r="K254" s="57" t="n">
        <x:v>8</x:v>
      </x:c>
      <x:c r="L254" s="57" t="n">
        <x:v>6</x:v>
      </x:c>
      <x:c r="M254" s="57" t="n">
        <x:v>6</x:v>
      </x:c>
      <x:c r="N254" s="57" t="n">
        <x:v>4</x:v>
      </x:c>
      <x:c r="O254" s="57"/>
      <x:c r="P254" s="57"/>
      <x:c r="Q254" s="57"/>
      <x:c r="R254" s="57"/>
      <x:c r="S254" s="57" t="str">
        <x:v>H.G.B. Rice</x:v>
      </x:c>
      <x:c r="T254" s="57" t="str">
        <x:v>GBR</x:v>
      </x:c>
      <x:c r="U254" s="57" t="str">
        <x:v>United Kingdom</x:v>
      </x:c>
      <x:c r="V254" s="57"/>
      <x:c r="W254" s="57" t="n">
        <x:v>3</x:v>
      </x:c>
      <x:c r="X254" s="57" t="n">
        <x:v>34</x:v>
      </x:c>
      <x:c r="Y254" s="57" t="str">
        <x:v>Completed</x:v>
      </x:c>
      <x:c r="Z254" s="57" t="str">
        <x:v>Unavailable (not imputed)</x:v>
      </x:c>
      <x:c r="AA254" s="57" t="n">
        <x:v>6</x:v>
      </x:c>
      <x:c r="AB254" s="57" t="str">
        <x:v>Yes</x:v>
      </x:c>
      <x:c r="AC254" s="57" t="str">
        <x:v>1880s</x:v>
      </x:c>
      <x:c r="AD254" s="57" t="str">
        <x:v>Unseeded/unknown</x:v>
      </x:c>
      <x:c r="AE254" s="58" t="str">
        <x:v>Unseeded/unknown</x:v>
      </x:c>
    </x:row>
    <x:row r="255">
      <x:c r="A255" s="56" t="n">
        <x:v>1889</x:v>
      </x:c>
      <x:c r="B255" s="57" t="str">
        <x:v>Men's</x:v>
      </x:c>
      <x:c r="C255" s="57" t="str">
        <x:v>W.C. Renshaw</x:v>
      </x:c>
      <x:c r="D255" s="57" t="str">
        <x:v>GBR</x:v>
      </x:c>
      <x:c r="E255" s="57" t="str">
        <x:v>United Kingdom</x:v>
      </x:c>
      <x:c r="F255" s="57"/>
      <x:c r="G255" s="57" t="n">
        <x:v>63</x:v>
      </x:c>
      <x:c r="H255" s="57" t="str">
        <x:v>6-4, 6-1, 3-6, 6-0</x:v>
      </x:c>
      <x:c r="I255" s="57" t="n">
        <x:v>6</x:v>
      </x:c>
      <x:c r="J255" s="57" t="n">
        <x:v>4</x:v>
      </x:c>
      <x:c r="K255" s="57" t="n">
        <x:v>6</x:v>
      </x:c>
      <x:c r="L255" s="57" t="n">
        <x:v>1</x:v>
      </x:c>
      <x:c r="M255" s="57" t="n">
        <x:v>3</x:v>
      </x:c>
      <x:c r="N255" s="57" t="n">
        <x:v>6</x:v>
      </x:c>
      <x:c r="O255" s="57" t="n">
        <x:v>6</x:v>
      </x:c>
      <x:c r="P255" s="57" t="n">
        <x:v>0</x:v>
      </x:c>
      <x:c r="Q255" s="57"/>
      <x:c r="R255" s="57"/>
      <x:c r="S255" s="57" t="str">
        <x:v>J.E. Renshaw</x:v>
      </x:c>
      <x:c r="T255" s="57" t="str">
        <x:v>GBR</x:v>
      </x:c>
      <x:c r="U255" s="57" t="str">
        <x:v>United Kingdom</x:v>
      </x:c>
      <x:c r="V255" s="57"/>
      <x:c r="W255" s="57" t="n">
        <x:v>4</x:v>
      </x:c>
      <x:c r="X255" s="57" t="n">
        <x:v>32</x:v>
      </x:c>
      <x:c r="Y255" s="57" t="str">
        <x:v>Completed</x:v>
      </x:c>
      <x:c r="Z255" s="57" t="str">
        <x:v>Recorded</x:v>
      </x:c>
      <x:c r="AA255" s="57" t="n">
        <x:v>7</x:v>
      </x:c>
      <x:c r="AB255" s="57" t="str">
        <x:v>Yes</x:v>
      </x:c>
      <x:c r="AC255" s="57" t="str">
        <x:v>1880s</x:v>
      </x:c>
      <x:c r="AD255" s="57" t="str">
        <x:v>Unseeded/unknown</x:v>
      </x:c>
      <x:c r="AE255" s="58" t="str">
        <x:v>Unseeded/unknown</x:v>
      </x:c>
    </x:row>
    <x:row r="256">
      <x:c r="A256" s="56" t="n">
        <x:v>1888</x:v>
      </x:c>
      <x:c r="B256" s="57" t="str">
        <x:v>Women's</x:v>
      </x:c>
      <x:c r="C256" s="57" t="str">
        <x:v>C. Dod</x:v>
      </x:c>
      <x:c r="D256" s="57" t="str">
        <x:v>GBR</x:v>
      </x:c>
      <x:c r="E256" s="57" t="str">
        <x:v>United Kingdom</x:v>
      </x:c>
      <x:c r="F256" s="57"/>
      <x:c r="G256" s="57"/>
      <x:c r="H256" s="57" t="str">
        <x:v>6-3, 6-3</x:v>
      </x:c>
      <x:c r="I256" s="57" t="n">
        <x:v>6</x:v>
      </x:c>
      <x:c r="J256" s="57" t="n">
        <x:v>3</x:v>
      </x:c>
      <x:c r="K256" s="57" t="n">
        <x:v>6</x:v>
      </x:c>
      <x:c r="L256" s="57" t="n">
        <x:v>3</x:v>
      </x:c>
      <x:c r="M256" s="57"/>
      <x:c r="N256" s="57"/>
      <x:c r="O256" s="57"/>
      <x:c r="P256" s="57"/>
      <x:c r="Q256" s="57"/>
      <x:c r="R256" s="57"/>
      <x:c r="S256" s="57" t="str">
        <x:v>G.W. Hillyard</x:v>
      </x:c>
      <x:c r="T256" s="57" t="str">
        <x:v>GBR</x:v>
      </x:c>
      <x:c r="U256" s="57" t="str">
        <x:v>United Kingdom</x:v>
      </x:c>
      <x:c r="V256" s="57"/>
      <x:c r="W256" s="57" t="n">
        <x:v>2</x:v>
      </x:c>
      <x:c r="X256" s="57" t="n">
        <x:v>18</x:v>
      </x:c>
      <x:c r="Y256" s="57" t="str">
        <x:v>Completed</x:v>
      </x:c>
      <x:c r="Z256" s="57" t="str">
        <x:v>Unavailable (not imputed)</x:v>
      </x:c>
      <x:c r="AA256" s="57" t="n">
        <x:v>5</x:v>
      </x:c>
      <x:c r="AB256" s="57" t="str">
        <x:v>Yes</x:v>
      </x:c>
      <x:c r="AC256" s="57" t="str">
        <x:v>1880s</x:v>
      </x:c>
      <x:c r="AD256" s="57" t="str">
        <x:v>Unseeded/unknown</x:v>
      </x:c>
      <x:c r="AE256" s="58" t="str">
        <x:v>Unseeded/unknown</x:v>
      </x:c>
    </x:row>
    <x:row r="257">
      <x:c r="A257" s="56" t="n">
        <x:v>1888</x:v>
      </x:c>
      <x:c r="B257" s="57" t="str">
        <x:v>Men's</x:v>
      </x:c>
      <x:c r="C257" s="57" t="str">
        <x:v>J.E. Renshaw</x:v>
      </x:c>
      <x:c r="D257" s="57" t="str">
        <x:v>GBR</x:v>
      </x:c>
      <x:c r="E257" s="57" t="str">
        <x:v>United Kingdom</x:v>
      </x:c>
      <x:c r="F257" s="57"/>
      <x:c r="G257" s="57" t="n">
        <x:v>51</x:v>
      </x:c>
      <x:c r="H257" s="57" t="str">
        <x:v>6-3, 7-5, 6-0</x:v>
      </x:c>
      <x:c r="I257" s="57" t="n">
        <x:v>6</x:v>
      </x:c>
      <x:c r="J257" s="57" t="n">
        <x:v>3</x:v>
      </x:c>
      <x:c r="K257" s="57" t="n">
        <x:v>7</x:v>
      </x:c>
      <x:c r="L257" s="57" t="n">
        <x:v>5</x:v>
      </x:c>
      <x:c r="M257" s="57" t="n">
        <x:v>6</x:v>
      </x:c>
      <x:c r="N257" s="57" t="n">
        <x:v>0</x:v>
      </x:c>
      <x:c r="O257" s="57"/>
      <x:c r="P257" s="57"/>
      <x:c r="Q257" s="57"/>
      <x:c r="R257" s="57"/>
      <x:c r="S257" s="57" t="str">
        <x:v>H.F. Lawford</x:v>
      </x:c>
      <x:c r="T257" s="57" t="str">
        <x:v>GBR</x:v>
      </x:c>
      <x:c r="U257" s="57" t="str">
        <x:v>United Kingdom</x:v>
      </x:c>
      <x:c r="V257" s="57"/>
      <x:c r="W257" s="57" t="n">
        <x:v>3</x:v>
      </x:c>
      <x:c r="X257" s="57" t="n">
        <x:v>27</x:v>
      </x:c>
      <x:c r="Y257" s="57" t="str">
        <x:v>Completed</x:v>
      </x:c>
      <x:c r="Z257" s="57" t="str">
        <x:v>Recorded</x:v>
      </x:c>
      <x:c r="AA257" s="57" t="n">
        <x:v>1</x:v>
      </x:c>
      <x:c r="AB257" s="57" t="str">
        <x:v>No</x:v>
      </x:c>
      <x:c r="AC257" s="57" t="str">
        <x:v>1880s</x:v>
      </x:c>
      <x:c r="AD257" s="57" t="str">
        <x:v>Unseeded/unknown</x:v>
      </x:c>
      <x:c r="AE257" s="58" t="str">
        <x:v>Unseeded/unknown</x:v>
      </x:c>
    </x:row>
    <x:row r="258">
      <x:c r="A258" s="56" t="n">
        <x:v>1887</x:v>
      </x:c>
      <x:c r="B258" s="57" t="str">
        <x:v>Women's</x:v>
      </x:c>
      <x:c r="C258" s="57" t="str">
        <x:v>C. Dod</x:v>
      </x:c>
      <x:c r="D258" s="57" t="str">
        <x:v>GBR</x:v>
      </x:c>
      <x:c r="E258" s="57" t="str">
        <x:v>United Kingdom</x:v>
      </x:c>
      <x:c r="F258" s="57"/>
      <x:c r="G258" s="57"/>
      <x:c r="H258" s="57" t="str">
        <x:v>6-2, 6-0</x:v>
      </x:c>
      <x:c r="I258" s="57" t="n">
        <x:v>6</x:v>
      </x:c>
      <x:c r="J258" s="57" t="n">
        <x:v>2</x:v>
      </x:c>
      <x:c r="K258" s="57" t="n">
        <x:v>6</x:v>
      </x:c>
      <x:c r="L258" s="57" t="n">
        <x:v>0</x:v>
      </x:c>
      <x:c r="M258" s="57"/>
      <x:c r="N258" s="57"/>
      <x:c r="O258" s="57"/>
      <x:c r="P258" s="57"/>
      <x:c r="Q258" s="57"/>
      <x:c r="R258" s="57"/>
      <x:c r="S258" s="57" t="str">
        <x:v>G.W. Hillyard</x:v>
      </x:c>
      <x:c r="T258" s="57" t="str">
        <x:v>GBR</x:v>
      </x:c>
      <x:c r="U258" s="57" t="str">
        <x:v>United Kingdom</x:v>
      </x:c>
      <x:c r="V258" s="57"/>
      <x:c r="W258" s="57" t="n">
        <x:v>2</x:v>
      </x:c>
      <x:c r="X258" s="57" t="n">
        <x:v>14</x:v>
      </x:c>
      <x:c r="Y258" s="57" t="str">
        <x:v>Completed</x:v>
      </x:c>
      <x:c r="Z258" s="57" t="str">
        <x:v>Unavailable (not imputed)</x:v>
      </x:c>
      <x:c r="AA258" s="57" t="n">
        <x:v>5</x:v>
      </x:c>
      <x:c r="AB258" s="57" t="str">
        <x:v>Yes</x:v>
      </x:c>
      <x:c r="AC258" s="57" t="str">
        <x:v>1880s</x:v>
      </x:c>
      <x:c r="AD258" s="57" t="str">
        <x:v>Unseeded/unknown</x:v>
      </x:c>
      <x:c r="AE258" s="58" t="str">
        <x:v>Unseeded/unknown</x:v>
      </x:c>
    </x:row>
    <x:row r="259">
      <x:c r="A259" s="56" t="n">
        <x:v>1887</x:v>
      </x:c>
      <x:c r="B259" s="57" t="str">
        <x:v>Men's</x:v>
      </x:c>
      <x:c r="C259" s="57" t="str">
        <x:v>H.F. Lawford</x:v>
      </x:c>
      <x:c r="D259" s="57" t="str">
        <x:v>GBR</x:v>
      </x:c>
      <x:c r="E259" s="57" t="str">
        <x:v>United Kingdom</x:v>
      </x:c>
      <x:c r="F259" s="57"/>
      <x:c r="G259" s="57" t="n">
        <x:v>120</x:v>
      </x:c>
      <x:c r="H259" s="57" t="str">
        <x:v>1-6, 6-3, 3-6, 6-4, 6-4</x:v>
      </x:c>
      <x:c r="I259" s="57" t="n">
        <x:v>1</x:v>
      </x:c>
      <x:c r="J259" s="57" t="n">
        <x:v>6</x:v>
      </x:c>
      <x:c r="K259" s="57" t="n">
        <x:v>6</x:v>
      </x:c>
      <x:c r="L259" s="57" t="n">
        <x:v>3</x:v>
      </x:c>
      <x:c r="M259" s="57" t="n">
        <x:v>3</x:v>
      </x:c>
      <x:c r="N259" s="57" t="n">
        <x:v>6</x:v>
      </x:c>
      <x:c r="O259" s="57" t="n">
        <x:v>6</x:v>
      </x:c>
      <x:c r="P259" s="57" t="n">
        <x:v>4</x:v>
      </x:c>
      <x:c r="Q259" s="57" t="n">
        <x:v>6</x:v>
      </x:c>
      <x:c r="R259" s="57" t="n">
        <x:v>4</x:v>
      </x:c>
      <x:c r="S259" s="57" t="str">
        <x:v>J.E. Renshaw</x:v>
      </x:c>
      <x:c r="T259" s="57" t="str">
        <x:v>GBR</x:v>
      </x:c>
      <x:c r="U259" s="57" t="str">
        <x:v>United Kingdom</x:v>
      </x:c>
      <x:c r="V259" s="57"/>
      <x:c r="W259" s="57" t="n">
        <x:v>5</x:v>
      </x:c>
      <x:c r="X259" s="57" t="n">
        <x:v>45</x:v>
      </x:c>
      <x:c r="Y259" s="57" t="str">
        <x:v>Completed</x:v>
      </x:c>
      <x:c r="Z259" s="57" t="str">
        <x:v>Recorded</x:v>
      </x:c>
      <x:c r="AA259" s="57" t="n">
        <x:v>1</x:v>
      </x:c>
      <x:c r="AB259" s="57" t="str">
        <x:v>No</x:v>
      </x:c>
      <x:c r="AC259" s="57" t="str">
        <x:v>1880s</x:v>
      </x:c>
      <x:c r="AD259" s="57" t="str">
        <x:v>Unseeded/unknown</x:v>
      </x:c>
      <x:c r="AE259" s="58" t="str">
        <x:v>Unseeded/unknown</x:v>
      </x:c>
    </x:row>
    <x:row r="260">
      <x:c r="A260" s="56" t="n">
        <x:v>1886</x:v>
      </x:c>
      <x:c r="B260" s="57" t="str">
        <x:v>Women's</x:v>
      </x:c>
      <x:c r="C260" s="57" t="str">
        <x:v>G.W. Hillyard</x:v>
      </x:c>
      <x:c r="D260" s="57" t="str">
        <x:v>GBR</x:v>
      </x:c>
      <x:c r="E260" s="57" t="str">
        <x:v>United Kingdom</x:v>
      </x:c>
      <x:c r="F260" s="57"/>
      <x:c r="G260" s="57"/>
      <x:c r="H260" s="57" t="str">
        <x:v>6-3, 6-3</x:v>
      </x:c>
      <x:c r="I260" s="57" t="n">
        <x:v>6</x:v>
      </x:c>
      <x:c r="J260" s="57" t="n">
        <x:v>3</x:v>
      </x:c>
      <x:c r="K260" s="57" t="n">
        <x:v>6</x:v>
      </x:c>
      <x:c r="L260" s="57" t="n">
        <x:v>3</x:v>
      </x:c>
      <x:c r="M260" s="57"/>
      <x:c r="N260" s="57"/>
      <x:c r="O260" s="57"/>
      <x:c r="P260" s="57"/>
      <x:c r="Q260" s="57"/>
      <x:c r="R260" s="57"/>
      <x:c r="S260" s="57" t="str">
        <x:v>M.E.E. Watson</x:v>
      </x:c>
      <x:c r="T260" s="57" t="str">
        <x:v>GBR</x:v>
      </x:c>
      <x:c r="U260" s="57" t="str">
        <x:v>United Kingdom</x:v>
      </x:c>
      <x:c r="V260" s="57"/>
      <x:c r="W260" s="57" t="n">
        <x:v>2</x:v>
      </x:c>
      <x:c r="X260" s="57" t="n">
        <x:v>18</x:v>
      </x:c>
      <x:c r="Y260" s="57" t="str">
        <x:v>Completed</x:v>
      </x:c>
      <x:c r="Z260" s="57" t="str">
        <x:v>Unavailable (not imputed)</x:v>
      </x:c>
      <x:c r="AA260" s="57" t="n">
        <x:v>6</x:v>
      </x:c>
      <x:c r="AB260" s="57" t="str">
        <x:v>Yes</x:v>
      </x:c>
      <x:c r="AC260" s="57" t="str">
        <x:v>1880s</x:v>
      </x:c>
      <x:c r="AD260" s="57" t="str">
        <x:v>Unseeded/unknown</x:v>
      </x:c>
      <x:c r="AE260" s="58" t="str">
        <x:v>Unseeded/unknown</x:v>
      </x:c>
    </x:row>
    <x:row r="261">
      <x:c r="A261" s="56" t="n">
        <x:v>1886</x:v>
      </x:c>
      <x:c r="B261" s="57" t="str">
        <x:v>Men's</x:v>
      </x:c>
      <x:c r="C261" s="57" t="str">
        <x:v>W.C. Renshaw</x:v>
      </x:c>
      <x:c r="D261" s="57" t="str">
        <x:v>GBR</x:v>
      </x:c>
      <x:c r="E261" s="57" t="str">
        <x:v>United Kingdom</x:v>
      </x:c>
      <x:c r="F261" s="57"/>
      <x:c r="G261" s="57" t="n">
        <x:v>96</x:v>
      </x:c>
      <x:c r="H261" s="57" t="str">
        <x:v>6-0, 5-7, 6-3, 6-4</x:v>
      </x:c>
      <x:c r="I261" s="57" t="n">
        <x:v>6</x:v>
      </x:c>
      <x:c r="J261" s="57" t="n">
        <x:v>0</x:v>
      </x:c>
      <x:c r="K261" s="57" t="n">
        <x:v>5</x:v>
      </x:c>
      <x:c r="L261" s="57" t="n">
        <x:v>7</x:v>
      </x:c>
      <x:c r="M261" s="57" t="n">
        <x:v>6</x:v>
      </x:c>
      <x:c r="N261" s="57" t="n">
        <x:v>3</x:v>
      </x:c>
      <x:c r="O261" s="57" t="n">
        <x:v>6</x:v>
      </x:c>
      <x:c r="P261" s="57" t="n">
        <x:v>4</x:v>
      </x:c>
      <x:c r="Q261" s="57"/>
      <x:c r="R261" s="57"/>
      <x:c r="S261" s="57" t="str">
        <x:v>H.F. Lawford</x:v>
      </x:c>
      <x:c r="T261" s="57" t="str">
        <x:v>GBR</x:v>
      </x:c>
      <x:c r="U261" s="57" t="str">
        <x:v>United Kingdom</x:v>
      </x:c>
      <x:c r="V261" s="57"/>
      <x:c r="W261" s="57" t="n">
        <x:v>4</x:v>
      </x:c>
      <x:c r="X261" s="57" t="n">
        <x:v>37</x:v>
      </x:c>
      <x:c r="Y261" s="57" t="str">
        <x:v>Completed</x:v>
      </x:c>
      <x:c r="Z261" s="57" t="str">
        <x:v>Recorded</x:v>
      </x:c>
      <x:c r="AA261" s="57" t="n">
        <x:v>7</x:v>
      </x:c>
      <x:c r="AB261" s="57" t="str">
        <x:v>Yes</x:v>
      </x:c>
      <x:c r="AC261" s="57" t="str">
        <x:v>1880s</x:v>
      </x:c>
      <x:c r="AD261" s="57" t="str">
        <x:v>Unseeded/unknown</x:v>
      </x:c>
      <x:c r="AE261" s="58" t="str">
        <x:v>Unseeded/unknown</x:v>
      </x:c>
    </x:row>
    <x:row r="262">
      <x:c r="A262" s="56" t="n">
        <x:v>1885</x:v>
      </x:c>
      <x:c r="B262" s="57" t="str">
        <x:v>Women's</x:v>
      </x:c>
      <x:c r="C262" s="57" t="str">
        <x:v>M.E.E. Watson</x:v>
      </x:c>
      <x:c r="D262" s="57" t="str">
        <x:v>GBR</x:v>
      </x:c>
      <x:c r="E262" s="57" t="str">
        <x:v>United Kingdom</x:v>
      </x:c>
      <x:c r="F262" s="57"/>
      <x:c r="G262" s="57"/>
      <x:c r="H262" s="57" t="str">
        <x:v>6-1, 7-5</x:v>
      </x:c>
      <x:c r="I262" s="57" t="n">
        <x:v>6</x:v>
      </x:c>
      <x:c r="J262" s="57" t="n">
        <x:v>1</x:v>
      </x:c>
      <x:c r="K262" s="57" t="n">
        <x:v>7</x:v>
      </x:c>
      <x:c r="L262" s="57" t="n">
        <x:v>5</x:v>
      </x:c>
      <x:c r="M262" s="57"/>
      <x:c r="N262" s="57"/>
      <x:c r="O262" s="57"/>
      <x:c r="P262" s="57"/>
      <x:c r="Q262" s="57"/>
      <x:c r="R262" s="57"/>
      <x:c r="S262" s="57" t="str">
        <x:v>G.W. Hillyard</x:v>
      </x:c>
      <x:c r="T262" s="57" t="str">
        <x:v>GBR</x:v>
      </x:c>
      <x:c r="U262" s="57" t="str">
        <x:v>United Kingdom</x:v>
      </x:c>
      <x:c r="V262" s="57"/>
      <x:c r="W262" s="57" t="n">
        <x:v>2</x:v>
      </x:c>
      <x:c r="X262" s="57" t="n">
        <x:v>19</x:v>
      </x:c>
      <x:c r="Y262" s="57" t="str">
        <x:v>Completed</x:v>
      </x:c>
      <x:c r="Z262" s="57" t="str">
        <x:v>Unavailable (not imputed)</x:v>
      </x:c>
      <x:c r="AA262" s="57" t="n">
        <x:v>2</x:v>
      </x:c>
      <x:c r="AB262" s="57" t="str">
        <x:v>No</x:v>
      </x:c>
      <x:c r="AC262" s="57" t="str">
        <x:v>1880s</x:v>
      </x:c>
      <x:c r="AD262" s="57" t="str">
        <x:v>Unseeded/unknown</x:v>
      </x:c>
      <x:c r="AE262" s="58" t="str">
        <x:v>Unseeded/unknown</x:v>
      </x:c>
    </x:row>
    <x:row r="263">
      <x:c r="A263" s="56" t="n">
        <x:v>1885</x:v>
      </x:c>
      <x:c r="B263" s="57" t="str">
        <x:v>Men's</x:v>
      </x:c>
      <x:c r="C263" s="57" t="str">
        <x:v>W.C. Renshaw</x:v>
      </x:c>
      <x:c r="D263" s="57" t="str">
        <x:v>GBR</x:v>
      </x:c>
      <x:c r="E263" s="57" t="str">
        <x:v>United Kingdom</x:v>
      </x:c>
      <x:c r="F263" s="57"/>
      <x:c r="G263" s="57" t="n">
        <x:v>122</x:v>
      </x:c>
      <x:c r="H263" s="57" t="str">
        <x:v>7-5, 6-2, 4-6, 7-5</x:v>
      </x:c>
      <x:c r="I263" s="57" t="n">
        <x:v>7</x:v>
      </x:c>
      <x:c r="J263" s="57" t="n">
        <x:v>5</x:v>
      </x:c>
      <x:c r="K263" s="57" t="n">
        <x:v>6</x:v>
      </x:c>
      <x:c r="L263" s="57" t="n">
        <x:v>2</x:v>
      </x:c>
      <x:c r="M263" s="57" t="n">
        <x:v>4</x:v>
      </x:c>
      <x:c r="N263" s="57" t="n">
        <x:v>6</x:v>
      </x:c>
      <x:c r="O263" s="57" t="n">
        <x:v>7</x:v>
      </x:c>
      <x:c r="P263" s="57" t="n">
        <x:v>5</x:v>
      </x:c>
      <x:c r="Q263" s="57"/>
      <x:c r="R263" s="57"/>
      <x:c r="S263" s="57" t="str">
        <x:v>H.F. Lawford</x:v>
      </x:c>
      <x:c r="T263" s="57" t="str">
        <x:v>GBR</x:v>
      </x:c>
      <x:c r="U263" s="57" t="str">
        <x:v>United Kingdom</x:v>
      </x:c>
      <x:c r="V263" s="57"/>
      <x:c r="W263" s="57" t="n">
        <x:v>4</x:v>
      </x:c>
      <x:c r="X263" s="57" t="n">
        <x:v>42</x:v>
      </x:c>
      <x:c r="Y263" s="57" t="str">
        <x:v>Completed</x:v>
      </x:c>
      <x:c r="Z263" s="57" t="str">
        <x:v>Recorded</x:v>
      </x:c>
      <x:c r="AA263" s="57" t="n">
        <x:v>7</x:v>
      </x:c>
      <x:c r="AB263" s="57" t="str">
        <x:v>Yes</x:v>
      </x:c>
      <x:c r="AC263" s="57" t="str">
        <x:v>1880s</x:v>
      </x:c>
      <x:c r="AD263" s="57" t="str">
        <x:v>Unseeded/unknown</x:v>
      </x:c>
      <x:c r="AE263" s="58" t="str">
        <x:v>Unseeded/unknown</x:v>
      </x:c>
    </x:row>
    <x:row r="264">
      <x:c r="A264" s="56" t="n">
        <x:v>1884</x:v>
      </x:c>
      <x:c r="B264" s="57" t="str">
        <x:v>Women's</x:v>
      </x:c>
      <x:c r="C264" s="57" t="str">
        <x:v>M.E.E. Watson</x:v>
      </x:c>
      <x:c r="D264" s="57" t="str">
        <x:v>GBR</x:v>
      </x:c>
      <x:c r="E264" s="57" t="str">
        <x:v>United Kingdom</x:v>
      </x:c>
      <x:c r="F264" s="57"/>
      <x:c r="G264" s="57"/>
      <x:c r="H264" s="57" t="str">
        <x:v>6-8, 6-3, 6-3</x:v>
      </x:c>
      <x:c r="I264" s="57" t="n">
        <x:v>6</x:v>
      </x:c>
      <x:c r="J264" s="57" t="n">
        <x:v>8</x:v>
      </x:c>
      <x:c r="K264" s="57" t="n">
        <x:v>6</x:v>
      </x:c>
      <x:c r="L264" s="57" t="n">
        <x:v>3</x:v>
      </x:c>
      <x:c r="M264" s="57" t="n">
        <x:v>6</x:v>
      </x:c>
      <x:c r="N264" s="57" t="n">
        <x:v>3</x:v>
      </x:c>
      <x:c r="O264" s="57"/>
      <x:c r="P264" s="57"/>
      <x:c r="Q264" s="57"/>
      <x:c r="R264" s="57"/>
      <x:c r="S264" s="57" t="str">
        <x:v>L.M. Watson</x:v>
      </x:c>
      <x:c r="T264" s="57" t="str">
        <x:v>GBR</x:v>
      </x:c>
      <x:c r="U264" s="57" t="str">
        <x:v>United Kingdom</x:v>
      </x:c>
      <x:c r="V264" s="57"/>
      <x:c r="W264" s="57" t="n">
        <x:v>3</x:v>
      </x:c>
      <x:c r="X264" s="57" t="n">
        <x:v>32</x:v>
      </x:c>
      <x:c r="Y264" s="57" t="str">
        <x:v>Completed</x:v>
      </x:c>
      <x:c r="Z264" s="57" t="str">
        <x:v>Unavailable (not imputed)</x:v>
      </x:c>
      <x:c r="AA264" s="57" t="n">
        <x:v>2</x:v>
      </x:c>
      <x:c r="AB264" s="57" t="str">
        <x:v>No</x:v>
      </x:c>
      <x:c r="AC264" s="57" t="str">
        <x:v>1880s</x:v>
      </x:c>
      <x:c r="AD264" s="57" t="str">
        <x:v>Unseeded/unknown</x:v>
      </x:c>
      <x:c r="AE264" s="58" t="str">
        <x:v>Unseeded/unknown</x:v>
      </x:c>
    </x:row>
    <x:row r="265">
      <x:c r="A265" s="56" t="n">
        <x:v>1884</x:v>
      </x:c>
      <x:c r="B265" s="57" t="str">
        <x:v>Men's</x:v>
      </x:c>
      <x:c r="C265" s="57" t="str">
        <x:v>W.C. Renshaw</x:v>
      </x:c>
      <x:c r="D265" s="57" t="str">
        <x:v>GBR</x:v>
      </x:c>
      <x:c r="E265" s="57" t="str">
        <x:v>United Kingdom</x:v>
      </x:c>
      <x:c r="F265" s="57"/>
      <x:c r="G265" s="57" t="n">
        <x:v>69</x:v>
      </x:c>
      <x:c r="H265" s="57" t="str">
        <x:v>6-0, 6-4, 9-7</x:v>
      </x:c>
      <x:c r="I265" s="57" t="n">
        <x:v>6</x:v>
      </x:c>
      <x:c r="J265" s="57" t="n">
        <x:v>0</x:v>
      </x:c>
      <x:c r="K265" s="57" t="n">
        <x:v>6</x:v>
      </x:c>
      <x:c r="L265" s="57" t="n">
        <x:v>4</x:v>
      </x:c>
      <x:c r="M265" s="57" t="n">
        <x:v>9</x:v>
      </x:c>
      <x:c r="N265" s="57" t="n">
        <x:v>7</x:v>
      </x:c>
      <x:c r="O265" s="57"/>
      <x:c r="P265" s="57"/>
      <x:c r="Q265" s="57"/>
      <x:c r="R265" s="57"/>
      <x:c r="S265" s="57" t="str">
        <x:v>H.F. Lawford</x:v>
      </x:c>
      <x:c r="T265" s="57" t="str">
        <x:v>GBR</x:v>
      </x:c>
      <x:c r="U265" s="57" t="str">
        <x:v>United Kingdom</x:v>
      </x:c>
      <x:c r="V265" s="57"/>
      <x:c r="W265" s="57" t="n">
        <x:v>3</x:v>
      </x:c>
      <x:c r="X265" s="57" t="n">
        <x:v>32</x:v>
      </x:c>
      <x:c r="Y265" s="57" t="str">
        <x:v>Completed</x:v>
      </x:c>
      <x:c r="Z265" s="57" t="str">
        <x:v>Recorded</x:v>
      </x:c>
      <x:c r="AA265" s="57" t="n">
        <x:v>7</x:v>
      </x:c>
      <x:c r="AB265" s="57" t="str">
        <x:v>Yes</x:v>
      </x:c>
      <x:c r="AC265" s="57" t="str">
        <x:v>1880s</x:v>
      </x:c>
      <x:c r="AD265" s="57" t="str">
        <x:v>Unseeded/unknown</x:v>
      </x:c>
      <x:c r="AE265" s="58" t="str">
        <x:v>Unseeded/unknown</x:v>
      </x:c>
    </x:row>
    <x:row r="266">
      <x:c r="A266" s="56" t="n">
        <x:v>1883</x:v>
      </x:c>
      <x:c r="B266" s="57" t="str">
        <x:v>Men's</x:v>
      </x:c>
      <x:c r="C266" s="57" t="str">
        <x:v>W.C. Renshaw</x:v>
      </x:c>
      <x:c r="D266" s="57" t="str">
        <x:v>GBR</x:v>
      </x:c>
      <x:c r="E266" s="57" t="str">
        <x:v>United Kingdom</x:v>
      </x:c>
      <x:c r="F266" s="57"/>
      <x:c r="G266" s="57" t="n">
        <x:v>89</x:v>
      </x:c>
      <x:c r="H266" s="57" t="str">
        <x:v>2-6, 6-3, 6-3, 4-6, 6-3</x:v>
      </x:c>
      <x:c r="I266" s="57" t="n">
        <x:v>2</x:v>
      </x:c>
      <x:c r="J266" s="57" t="n">
        <x:v>6</x:v>
      </x:c>
      <x:c r="K266" s="57" t="n">
        <x:v>6</x:v>
      </x:c>
      <x:c r="L266" s="57" t="n">
        <x:v>3</x:v>
      </x:c>
      <x:c r="M266" s="57" t="n">
        <x:v>6</x:v>
      </x:c>
      <x:c r="N266" s="57" t="n">
        <x:v>3</x:v>
      </x:c>
      <x:c r="O266" s="57" t="n">
        <x:v>4</x:v>
      </x:c>
      <x:c r="P266" s="57" t="n">
        <x:v>6</x:v>
      </x:c>
      <x:c r="Q266" s="57" t="n">
        <x:v>6</x:v>
      </x:c>
      <x:c r="R266" s="57" t="n">
        <x:v>3</x:v>
      </x:c>
      <x:c r="S266" s="57" t="str">
        <x:v>J.E. Renshaw</x:v>
      </x:c>
      <x:c r="T266" s="57" t="str">
        <x:v>GBR</x:v>
      </x:c>
      <x:c r="U266" s="57" t="str">
        <x:v>United Kingdom</x:v>
      </x:c>
      <x:c r="V266" s="57"/>
      <x:c r="W266" s="57" t="n">
        <x:v>5</x:v>
      </x:c>
      <x:c r="X266" s="57" t="n">
        <x:v>45</x:v>
      </x:c>
      <x:c r="Y266" s="57" t="str">
        <x:v>Completed</x:v>
      </x:c>
      <x:c r="Z266" s="57" t="str">
        <x:v>Recorded</x:v>
      </x:c>
      <x:c r="AA266" s="57" t="n">
        <x:v>7</x:v>
      </x:c>
      <x:c r="AB266" s="57" t="str">
        <x:v>Yes</x:v>
      </x:c>
      <x:c r="AC266" s="57" t="str">
        <x:v>1880s</x:v>
      </x:c>
      <x:c r="AD266" s="57" t="str">
        <x:v>Unseeded/unknown</x:v>
      </x:c>
      <x:c r="AE266" s="58" t="str">
        <x:v>Unseeded/unknown</x:v>
      </x:c>
    </x:row>
    <x:row r="267">
      <x:c r="A267" s="56" t="n">
        <x:v>1882</x:v>
      </x:c>
      <x:c r="B267" s="57" t="str">
        <x:v>Men's</x:v>
      </x:c>
      <x:c r="C267" s="57" t="str">
        <x:v>W.C. Renshaw</x:v>
      </x:c>
      <x:c r="D267" s="57" t="str">
        <x:v>GBR</x:v>
      </x:c>
      <x:c r="E267" s="57" t="str">
        <x:v>United Kingdom</x:v>
      </x:c>
      <x:c r="F267" s="57"/>
      <x:c r="G267" s="57" t="n">
        <x:v>85</x:v>
      </x:c>
      <x:c r="H267" s="57" t="str">
        <x:v>6-1, 2-6, 4-6, 6-2, 6-2</x:v>
      </x:c>
      <x:c r="I267" s="57" t="n">
        <x:v>6</x:v>
      </x:c>
      <x:c r="J267" s="57" t="n">
        <x:v>1</x:v>
      </x:c>
      <x:c r="K267" s="57" t="n">
        <x:v>2</x:v>
      </x:c>
      <x:c r="L267" s="57" t="n">
        <x:v>6</x:v>
      </x:c>
      <x:c r="M267" s="57" t="n">
        <x:v>4</x:v>
      </x:c>
      <x:c r="N267" s="57" t="n">
        <x:v>6</x:v>
      </x:c>
      <x:c r="O267" s="57" t="n">
        <x:v>6</x:v>
      </x:c>
      <x:c r="P267" s="57" t="n">
        <x:v>2</x:v>
      </x:c>
      <x:c r="Q267" s="57" t="n">
        <x:v>6</x:v>
      </x:c>
      <x:c r="R267" s="57" t="n">
        <x:v>2</x:v>
      </x:c>
      <x:c r="S267" s="57" t="str">
        <x:v>J.E. Renshaw</x:v>
      </x:c>
      <x:c r="T267" s="57" t="str">
        <x:v>GBR</x:v>
      </x:c>
      <x:c r="U267" s="57" t="str">
        <x:v>United Kingdom</x:v>
      </x:c>
      <x:c r="V267" s="57"/>
      <x:c r="W267" s="57" t="n">
        <x:v>5</x:v>
      </x:c>
      <x:c r="X267" s="57" t="n">
        <x:v>41</x:v>
      </x:c>
      <x:c r="Y267" s="57" t="str">
        <x:v>Completed</x:v>
      </x:c>
      <x:c r="Z267" s="57" t="str">
        <x:v>Recorded</x:v>
      </x:c>
      <x:c r="AA267" s="57" t="n">
        <x:v>7</x:v>
      </x:c>
      <x:c r="AB267" s="57" t="str">
        <x:v>Yes</x:v>
      </x:c>
      <x:c r="AC267" s="57" t="str">
        <x:v>1880s</x:v>
      </x:c>
      <x:c r="AD267" s="57" t="str">
        <x:v>Unseeded/unknown</x:v>
      </x:c>
      <x:c r="AE267" s="58" t="str">
        <x:v>Unseeded/unknown</x:v>
      </x:c>
    </x:row>
    <x:row r="268">
      <x:c r="A268" s="56" t="n">
        <x:v>1881</x:v>
      </x:c>
      <x:c r="B268" s="57" t="str">
        <x:v>Men's</x:v>
      </x:c>
      <x:c r="C268" s="57" t="str">
        <x:v>W.C. Renshaw</x:v>
      </x:c>
      <x:c r="D268" s="57" t="str">
        <x:v>GBR</x:v>
      </x:c>
      <x:c r="E268" s="57" t="str">
        <x:v>United Kingdom</x:v>
      </x:c>
      <x:c r="F268" s="57"/>
      <x:c r="G268" s="57" t="n">
        <x:v>37</x:v>
      </x:c>
      <x:c r="H268" s="57" t="str">
        <x:v>6-0, 6-1, 6-1</x:v>
      </x:c>
      <x:c r="I268" s="57" t="n">
        <x:v>6</x:v>
      </x:c>
      <x:c r="J268" s="57" t="n">
        <x:v>0</x:v>
      </x:c>
      <x:c r="K268" s="57" t="n">
        <x:v>6</x:v>
      </x:c>
      <x:c r="L268" s="57" t="n">
        <x:v>1</x:v>
      </x:c>
      <x:c r="M268" s="57" t="n">
        <x:v>6</x:v>
      </x:c>
      <x:c r="N268" s="57" t="n">
        <x:v>1</x:v>
      </x:c>
      <x:c r="O268" s="57"/>
      <x:c r="P268" s="57"/>
      <x:c r="Q268" s="57"/>
      <x:c r="R268" s="57"/>
      <x:c r="S268" s="57" t="str">
        <x:v>J.T. Hartley</x:v>
      </x:c>
      <x:c r="T268" s="57" t="str">
        <x:v>GBR</x:v>
      </x:c>
      <x:c r="U268" s="57" t="str">
        <x:v>United Kingdom</x:v>
      </x:c>
      <x:c r="V268" s="57"/>
      <x:c r="W268" s="57" t="n">
        <x:v>3</x:v>
      </x:c>
      <x:c r="X268" s="57" t="n">
        <x:v>20</x:v>
      </x:c>
      <x:c r="Y268" s="57" t="str">
        <x:v>Completed</x:v>
      </x:c>
      <x:c r="Z268" s="57" t="str">
        <x:v>Recorded</x:v>
      </x:c>
      <x:c r="AA268" s="57" t="n">
        <x:v>7</x:v>
      </x:c>
      <x:c r="AB268" s="57" t="str">
        <x:v>Yes</x:v>
      </x:c>
      <x:c r="AC268" s="57" t="str">
        <x:v>1880s</x:v>
      </x:c>
      <x:c r="AD268" s="57" t="str">
        <x:v>Unseeded/unknown</x:v>
      </x:c>
      <x:c r="AE268" s="58" t="str">
        <x:v>Unseeded/unknown</x:v>
      </x:c>
    </x:row>
    <x:row r="269">
      <x:c r="A269" s="56" t="n">
        <x:v>1880</x:v>
      </x:c>
      <x:c r="B269" s="57" t="str">
        <x:v>Men's</x:v>
      </x:c>
      <x:c r="C269" s="57" t="str">
        <x:v>J.T. Hartley</x:v>
      </x:c>
      <x:c r="D269" s="57" t="str">
        <x:v>GBR</x:v>
      </x:c>
      <x:c r="E269" s="57" t="str">
        <x:v>United Kingdom</x:v>
      </x:c>
      <x:c r="F269" s="57"/>
      <x:c r="G269" s="57"/>
      <x:c r="H269" s="57" t="str">
        <x:v>6-3, 6-2, 2-6, 6-3</x:v>
      </x:c>
      <x:c r="I269" s="57" t="n">
        <x:v>6</x:v>
      </x:c>
      <x:c r="J269" s="57" t="n">
        <x:v>3</x:v>
      </x:c>
      <x:c r="K269" s="57" t="n">
        <x:v>6</x:v>
      </x:c>
      <x:c r="L269" s="57" t="n">
        <x:v>2</x:v>
      </x:c>
      <x:c r="M269" s="57" t="n">
        <x:v>2</x:v>
      </x:c>
      <x:c r="N269" s="57" t="n">
        <x:v>6</x:v>
      </x:c>
      <x:c r="O269" s="57" t="n">
        <x:v>6</x:v>
      </x:c>
      <x:c r="P269" s="57" t="n">
        <x:v>3</x:v>
      </x:c>
      <x:c r="Q269" s="57"/>
      <x:c r="R269" s="57"/>
      <x:c r="S269" s="57" t="str">
        <x:v>H.F. Lawford</x:v>
      </x:c>
      <x:c r="T269" s="57" t="str">
        <x:v>GBR</x:v>
      </x:c>
      <x:c r="U269" s="57" t="str">
        <x:v>United Kingdom</x:v>
      </x:c>
      <x:c r="V269" s="57"/>
      <x:c r="W269" s="57" t="n">
        <x:v>4</x:v>
      </x:c>
      <x:c r="X269" s="57" t="n">
        <x:v>34</x:v>
      </x:c>
      <x:c r="Y269" s="57" t="str">
        <x:v>Completed</x:v>
      </x:c>
      <x:c r="Z269" s="57" t="str">
        <x:v>Unavailable (not imputed)</x:v>
      </x:c>
      <x:c r="AA269" s="57" t="n">
        <x:v>2</x:v>
      </x:c>
      <x:c r="AB269" s="57" t="str">
        <x:v>No</x:v>
      </x:c>
      <x:c r="AC269" s="57" t="str">
        <x:v>1880s</x:v>
      </x:c>
      <x:c r="AD269" s="57" t="str">
        <x:v>Unseeded/unknown</x:v>
      </x:c>
      <x:c r="AE269" s="58" t="str">
        <x:v>Unseeded/unknown</x:v>
      </x:c>
    </x:row>
    <x:row r="270">
      <x:c r="A270" s="56" t="n">
        <x:v>1879</x:v>
      </x:c>
      <x:c r="B270" s="57" t="str">
        <x:v>Men's</x:v>
      </x:c>
      <x:c r="C270" s="57" t="str">
        <x:v>J.T. Hartley</x:v>
      </x:c>
      <x:c r="D270" s="57" t="str">
        <x:v>GBR</x:v>
      </x:c>
      <x:c r="E270" s="57" t="str">
        <x:v>United Kingdom</x:v>
      </x:c>
      <x:c r="F270" s="57"/>
      <x:c r="G270" s="57"/>
      <x:c r="H270" s="57" t="str">
        <x:v>6-2, 6-4, 6-2</x:v>
      </x:c>
      <x:c r="I270" s="57" t="n">
        <x:v>6</x:v>
      </x:c>
      <x:c r="J270" s="57" t="n">
        <x:v>2</x:v>
      </x:c>
      <x:c r="K270" s="57" t="n">
        <x:v>6</x:v>
      </x:c>
      <x:c r="L270" s="57" t="n">
        <x:v>4</x:v>
      </x:c>
      <x:c r="M270" s="57" t="n">
        <x:v>6</x:v>
      </x:c>
      <x:c r="N270" s="57" t="n">
        <x:v>2</x:v>
      </x:c>
      <x:c r="O270" s="57"/>
      <x:c r="P270" s="57"/>
      <x:c r="Q270" s="57"/>
      <x:c r="R270" s="57"/>
      <x:c r="S270" s="57" t="str">
        <x:v>V.T.St.L. Goold</x:v>
      </x:c>
      <x:c r="T270" s="57" t="str">
        <x:v>GBR</x:v>
      </x:c>
      <x:c r="U270" s="57" t="str">
        <x:v>United Kingdom</x:v>
      </x:c>
      <x:c r="V270" s="57"/>
      <x:c r="W270" s="57" t="n">
        <x:v>3</x:v>
      </x:c>
      <x:c r="X270" s="57" t="n">
        <x:v>26</x:v>
      </x:c>
      <x:c r="Y270" s="57" t="str">
        <x:v>Completed</x:v>
      </x:c>
      <x:c r="Z270" s="57" t="str">
        <x:v>Unavailable (not imputed)</x:v>
      </x:c>
      <x:c r="AA270" s="57" t="n">
        <x:v>2</x:v>
      </x:c>
      <x:c r="AB270" s="57" t="str">
        <x:v>No</x:v>
      </x:c>
      <x:c r="AC270" s="57" t="str">
        <x:v>1870s</x:v>
      </x:c>
      <x:c r="AD270" s="57" t="str">
        <x:v>Unseeded/unknown</x:v>
      </x:c>
      <x:c r="AE270" s="58" t="str">
        <x:v>Unseeded/unknown</x:v>
      </x:c>
    </x:row>
    <x:row r="271">
      <x:c r="A271" s="56" t="n">
        <x:v>1878</x:v>
      </x:c>
      <x:c r="B271" s="57" t="str">
        <x:v>Men's</x:v>
      </x:c>
      <x:c r="C271" s="57" t="str">
        <x:v>P.F. Hadow</x:v>
      </x:c>
      <x:c r="D271" s="57" t="str">
        <x:v>GBR</x:v>
      </x:c>
      <x:c r="E271" s="57" t="str">
        <x:v>United Kingdom</x:v>
      </x:c>
      <x:c r="F271" s="57"/>
      <x:c r="G271" s="57"/>
      <x:c r="H271" s="57" t="str">
        <x:v>7-5, 6-1, 9-7</x:v>
      </x:c>
      <x:c r="I271" s="57" t="n">
        <x:v>7</x:v>
      </x:c>
      <x:c r="J271" s="57" t="n">
        <x:v>5</x:v>
      </x:c>
      <x:c r="K271" s="57" t="n">
        <x:v>6</x:v>
      </x:c>
      <x:c r="L271" s="57" t="n">
        <x:v>1</x:v>
      </x:c>
      <x:c r="M271" s="57" t="n">
        <x:v>9</x:v>
      </x:c>
      <x:c r="N271" s="57" t="n">
        <x:v>7</x:v>
      </x:c>
      <x:c r="O271" s="57"/>
      <x:c r="P271" s="57"/>
      <x:c r="Q271" s="57"/>
      <x:c r="R271" s="57"/>
      <x:c r="S271" s="57" t="str">
        <x:v>S.W. Gore</x:v>
      </x:c>
      <x:c r="T271" s="57" t="str">
        <x:v>GBR</x:v>
      </x:c>
      <x:c r="U271" s="57" t="str">
        <x:v>United Kingdom</x:v>
      </x:c>
      <x:c r="V271" s="57"/>
      <x:c r="W271" s="57" t="n">
        <x:v>3</x:v>
      </x:c>
      <x:c r="X271" s="57" t="n">
        <x:v>35</x:v>
      </x:c>
      <x:c r="Y271" s="57" t="str">
        <x:v>Completed</x:v>
      </x:c>
      <x:c r="Z271" s="57" t="str">
        <x:v>Unavailable (not imputed)</x:v>
      </x:c>
      <x:c r="AA271" s="57" t="n">
        <x:v>1</x:v>
      </x:c>
      <x:c r="AB271" s="57" t="str">
        <x:v>No</x:v>
      </x:c>
      <x:c r="AC271" s="57" t="str">
        <x:v>1870s</x:v>
      </x:c>
      <x:c r="AD271" s="57" t="str">
        <x:v>Unseeded/unknown</x:v>
      </x:c>
      <x:c r="AE271" s="58" t="str">
        <x:v>Unseeded/unknown</x:v>
      </x:c>
    </x:row>
    <x:row r="272">
      <x:c r="A272" s="59" t="n">
        <x:v>1877</x:v>
      </x:c>
      <x:c r="B272" s="60" t="str">
        <x:v>Men's</x:v>
      </x:c>
      <x:c r="C272" s="60" t="str">
        <x:v>S.W. Gore</x:v>
      </x:c>
      <x:c r="D272" s="60" t="str">
        <x:v>GBR</x:v>
      </x:c>
      <x:c r="E272" s="60" t="str">
        <x:v>United Kingdom</x:v>
      </x:c>
      <x:c r="F272" s="60"/>
      <x:c r="G272" s="60" t="n">
        <x:v>48</x:v>
      </x:c>
      <x:c r="H272" s="60" t="str">
        <x:v>6-1, 6-2, 6-4</x:v>
      </x:c>
      <x:c r="I272" s="60" t="n">
        <x:v>6</x:v>
      </x:c>
      <x:c r="J272" s="60" t="n">
        <x:v>1</x:v>
      </x:c>
      <x:c r="K272" s="60" t="n">
        <x:v>6</x:v>
      </x:c>
      <x:c r="L272" s="60" t="n">
        <x:v>2</x:v>
      </x:c>
      <x:c r="M272" s="60" t="n">
        <x:v>6</x:v>
      </x:c>
      <x:c r="N272" s="60" t="n">
        <x:v>4</x:v>
      </x:c>
      <x:c r="O272" s="60"/>
      <x:c r="P272" s="60"/>
      <x:c r="Q272" s="60"/>
      <x:c r="R272" s="60"/>
      <x:c r="S272" s="60" t="str">
        <x:v>W.C. Marshall</x:v>
      </x:c>
      <x:c r="T272" s="60" t="str">
        <x:v>GBR</x:v>
      </x:c>
      <x:c r="U272" s="60" t="str">
        <x:v>United Kingdom</x:v>
      </x:c>
      <x:c r="V272" s="60"/>
      <x:c r="W272" s="60" t="n">
        <x:v>3</x:v>
      </x:c>
      <x:c r="X272" s="60" t="n">
        <x:v>25</x:v>
      </x:c>
      <x:c r="Y272" s="60" t="str">
        <x:v>Completed</x:v>
      </x:c>
      <x:c r="Z272" s="60" t="str">
        <x:v>Recorded</x:v>
      </x:c>
      <x:c r="AA272" s="60" t="n">
        <x:v>1</x:v>
      </x:c>
      <x:c r="AB272" s="60" t="str">
        <x:v>No</x:v>
      </x:c>
      <x:c r="AC272" s="60" t="str">
        <x:v>1870s</x:v>
      </x:c>
      <x:c r="AD272" s="60" t="str">
        <x:v>Unseeded/unknown</x:v>
      </x:c>
      <x:c r="AE272" s="61" t="str">
        <x:v>Unseeded/unknown</x:v>
      </x:c>
    </x:row>
  </x:sheetData>
  <x:pageMargins left="0.7" right="0.7" top="0.75" bottom="0.75" header="0.3" footer="0.3"/>
</x:worksheet>
</file>