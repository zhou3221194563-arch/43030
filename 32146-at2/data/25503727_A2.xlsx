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e5e30430d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mbledons_champions" sheetId="1" r:id="R6bfd0d81b71c4e2a"/>
    <x:sheet xmlns:r="http://schemas.openxmlformats.org/officeDocument/2006/relationships" name="Parallel_Coordinates" sheetId="2" r:id="R47eef2436523486c"/>
    <x:sheet xmlns:r="http://schemas.openxmlformats.org/officeDocument/2006/relationships" name="Nationality_Comparison" sheetId="3" r:id="Ra6192643b80b44af"/>
  </x:sheets>
</x:workbook>
</file>

<file path=xl/sharedStrings.xml><?xml version="1.0" encoding="utf-8"?>
<x:sst xmlns:x="http://schemas.openxmlformats.org/spreadsheetml/2006/main">
  <x:si>
    <x:t xml:space="preserve">Year</x:t>
  </x:si>
  <x:si>
    <x:t xml:space="preserve">Gender</x:t>
  </x:si>
  <x:si>
    <x:t xml:space="preserve">Champion</x:t>
  </x:si>
  <x:si>
    <x:t xml:space="preserve">Champion Nationality</x:t>
  </x:si>
  <x:si>
    <x:t xml:space="preserve">Champion Country</x:t>
  </x:si>
  <x:si>
    <x:t xml:space="preserve">Champion Seed</x:t>
  </x:si>
  <x:si>
    <x:t xml:space="preserve">Mins</x:t>
  </x:si>
  <x:si>
    <x:t xml:space="preserve">Score</x:t>
  </x:si>
  <x:si>
    <x:t xml:space="preserve">1st-won</x:t>
  </x:si>
  <x:si>
    <x:t xml:space="preserve">1st-loss</x:t>
  </x:si>
  <x:si>
    <x:t xml:space="preserve">2nd-won</x:t>
  </x:si>
  <x:si>
    <x:t xml:space="preserve">2nd-loss</x:t>
  </x:si>
  <x:si>
    <x:t xml:space="preserve">3rd-won</x:t>
  </x:si>
  <x:si>
    <x:t xml:space="preserve">3rd-loss</x:t>
  </x:si>
  <x:si>
    <x:t xml:space="preserve">4th-won</x:t>
  </x:si>
  <x:si>
    <x:t xml:space="preserve">4th-loss</x:t>
  </x:si>
  <x:si>
    <x:t xml:space="preserve">5th-won</x:t>
  </x:si>
  <x:si>
    <x:t xml:space="preserve">5th-loss</x:t>
  </x:si>
  <x:si>
    <x:t xml:space="preserve">Runner-up</x:t>
  </x:si>
  <x:si>
    <x:t xml:space="preserve">Runner-up Nationality</x:t>
  </x:si>
  <x:si>
    <x:t xml:space="preserve">Runner-up Country</x:t>
  </x:si>
  <x:si>
    <x:t xml:space="preserve">Runner-up Seed</x:t>
  </x:si>
  <x:si>
    <x:t xml:space="preserve">Women's</x:t>
  </x:si>
  <x:si>
    <x:t xml:space="preserve">L. Noskova</x:t>
  </x:si>
  <x:si>
    <x:t xml:space="preserve">CZE</x:t>
  </x:si>
  <x:si>
    <x:t xml:space="preserve">Czechia</x:t>
  </x:si>
  <x:si>
    <x:t xml:space="preserve">6-2,5-7,6-3</x:t>
  </x:si>
  <x:si>
    <x:t xml:space="preserve">K.Muchova</x:t>
  </x:si>
  <x:si>
    <x:t xml:space="preserve">Men's</x:t>
  </x:si>
  <x:si>
    <x:t xml:space="preserve">J. Sinner</x:t>
  </x:si>
  <x:si>
    <x:t xml:space="preserve">ITA</x:t>
  </x:si>
  <x:si>
    <x:t xml:space="preserve">Italy</x:t>
  </x:si>
  <x:si>
    <x:t xml:space="preserve">6-7,7-6,6-3,6-4</x:t>
  </x:si>
  <x:si>
    <x:t xml:space="preserve">A. Zverev</x:t>
  </x:si>
  <x:si>
    <x:t xml:space="preserve">GER</x:t>
  </x:si>
  <x:si>
    <x:t xml:space="preserve">Germany</x:t>
  </x:si>
  <x:si>
    <x:t xml:space="preserve">I. Świątek</x:t>
  </x:si>
  <x:si>
    <x:t xml:space="preserve">POL</x:t>
  </x:si>
  <x:si>
    <x:t xml:space="preserve">Poland</x:t>
  </x:si>
  <x:si>
    <x:t xml:space="preserve">6-0,6-0</x:t>
  </x:si>
  <x:si>
    <x:t xml:space="preserve">A. Anisimova</x:t>
  </x:si>
  <x:si>
    <x:t xml:space="preserve">USA</x:t>
  </x:si>
  <x:si>
    <x:t xml:space="preserve">United States</x:t>
  </x:si>
  <x:si>
    <x:t xml:space="preserve">4-6,6-4,6-4,6-4</x:t>
  </x:si>
  <x:si>
    <x:t xml:space="preserve">C. Alcaraz</x:t>
  </x:si>
  <x:si>
    <x:t xml:space="preserve">ESP</x:t>
  </x:si>
  <x:si>
    <x:t xml:space="preserve">Spain</x:t>
  </x:si>
  <x:si>
    <x:t xml:space="preserve">B. Krejčíková</x:t>
  </x:si>
  <x:si>
    <x:t xml:space="preserve">6-2,2-6,6-4</x:t>
  </x:si>
  <x:si>
    <x:t xml:space="preserve">J. Paolini</x:t>
  </x:si>
  <x:si>
    <x:t xml:space="preserve">6-2,6-2,7-6</x:t>
  </x:si>
  <x:si>
    <x:t xml:space="preserve">N. Djokovic</x:t>
  </x:si>
  <x:si>
    <x:t xml:space="preserve">SRB</x:t>
  </x:si>
  <x:si>
    <x:t xml:space="preserve">Serbia</x:t>
  </x:si>
  <x:si>
    <x:t xml:space="preserve">M.Vondrousova</x:t>
  </x:si>
  <x:si>
    <x:t xml:space="preserve">U</x:t>
  </x:si>
  <x:si>
    <x:t xml:space="preserve">6-4, 6-4</x:t>
  </x:si>
  <x:si>
    <x:t xml:space="preserve">O.Jabeur</x:t>
  </x:si>
  <x:si>
    <x:t xml:space="preserve">TUN</x:t>
  </x:si>
  <x:si>
    <x:t xml:space="preserve">Tunisia</x:t>
  </x:si>
  <x:si>
    <x:t xml:space="preserve">C.Alcaraz</x:t>
  </x:si>
  <x:si>
    <x:t xml:space="preserve">1-6, 7-6, 6-1, 3-6, 6-4</x:t>
  </x:si>
  <x:si>
    <x:t xml:space="preserve">N.Djokovic</x:t>
  </x:si>
  <x:si>
    <x:t xml:space="preserve">E. Rybakina</x:t>
  </x:si>
  <x:si>
    <x:t xml:space="preserve">KAZ</x:t>
  </x:si>
  <x:si>
    <x:t xml:space="preserve">Kazakhstan</x:t>
  </x:si>
  <x:si>
    <x:t xml:space="preserve">3-6,6-2,6-2</x:t>
  </x:si>
  <x:si>
    <x:t xml:space="preserve">O. Jabeur</x:t>
  </x:si>
  <x:si>
    <x:t xml:space="preserve">4-6,6-3,6-4,7-6(7-3)</x:t>
  </x:si>
  <x:si>
    <x:t xml:space="preserve">N. Kyrgios</x:t>
  </x:si>
  <x:si>
    <x:t xml:space="preserve">Aus</x:t>
  </x:si>
  <x:si>
    <x:t xml:space="preserve">Australia</x:t>
  </x:si>
  <x:si>
    <x:t xml:space="preserve">A. Barty</x:t>
  </x:si>
  <x:si>
    <x:t xml:space="preserve">AUS</x:t>
  </x:si>
  <x:si>
    <x:t xml:space="preserve">6-3,6-7(4-7),6-3</x:t>
  </x:si>
  <x:si>
    <x:t xml:space="preserve">k.Pliskova</x:t>
  </x:si>
  <x:si>
    <x:t xml:space="preserve">6-7(4-7),6-4,6-4,6-3</x:t>
  </x:si>
  <x:si>
    <x:t xml:space="preserve">M. Berrettini</x:t>
  </x:si>
  <x:si>
    <x:t xml:space="preserve">S.Halep</x:t>
  </x:si>
  <x:si>
    <x:t xml:space="preserve">ROU</x:t>
  </x:si>
  <x:si>
    <x:t xml:space="preserve">Romania</x:t>
  </x:si>
  <x:si>
    <x:t xml:space="preserve">6-2,6-2</x:t>
  </x:si>
  <x:si>
    <x:t xml:space="preserve">S. Williams</x:t>
  </x:si>
  <x:si>
    <x:t xml:space="preserve">7-6(7-5),1-6,7-6(7-4),4-6,13-12(7-3)</x:t>
  </x:si>
  <x:si>
    <x:t xml:space="preserve">R. Federer</x:t>
  </x:si>
  <x:si>
    <x:t xml:space="preserve">SUI</x:t>
  </x:si>
  <x:si>
    <x:t xml:space="preserve">Switzerland</x:t>
  </x:si>
  <x:si>
    <x:t xml:space="preserve">A. Kerber</x:t>
  </x:si>
  <x:si>
    <x:t xml:space="preserve">6-3,6-3</x:t>
  </x:si>
  <x:si>
    <x:t xml:space="preserve">6-2,6-2,7-6(7-3)</x:t>
  </x:si>
  <x:si>
    <x:t xml:space="preserve">K. Anderson</x:t>
  </x:si>
  <x:si>
    <x:t xml:space="preserve">RSA</x:t>
  </x:si>
  <x:si>
    <x:t xml:space="preserve">South Africa</x:t>
  </x:si>
  <x:si>
    <x:t xml:space="preserve">G. Muguruza</x:t>
  </x:si>
  <x:si>
    <x:t xml:space="preserve">7-5,6-0</x:t>
  </x:si>
  <x:si>
    <x:t xml:space="preserve">V.E.S. Williams</x:t>
  </x:si>
  <x:si>
    <x:t xml:space="preserve">6-3,6-1,6-4</x:t>
  </x:si>
  <x:si>
    <x:t xml:space="preserve">M.Cilic</x:t>
  </x:si>
  <x:si>
    <x:t xml:space="preserve">CRO</x:t>
  </x:si>
  <x:si>
    <x:t xml:space="preserve">Croatia</x:t>
  </x:si>
  <x:si>
    <x:t xml:space="preserve">7-5, 6-3</x:t>
  </x:si>
  <x:si>
    <x:t xml:space="preserve">A. Murray</x:t>
  </x:si>
  <x:si>
    <x:t xml:space="preserve">GBR</x:t>
  </x:si>
  <x:si>
    <x:t xml:space="preserve">United Kingdom</x:t>
  </x:si>
  <x:si>
    <x:t xml:space="preserve">6-4, 7-6(7-3), 7-6(7-2)</x:t>
  </x:si>
  <x:si>
    <x:t xml:space="preserve">M. Raonic</x:t>
  </x:si>
  <x:si>
    <x:t xml:space="preserve">CND</x:t>
  </x:si>
  <x:si>
    <x:t xml:space="preserve">Canada</x:t>
  </x:si>
  <x:si>
    <x:t xml:space="preserve">7-6(7-1), 6-7(10-12), 6-4, 6-3</x:t>
  </x:si>
  <x:si>
    <x:t xml:space="preserve">P. Kvitová</x:t>
  </x:si>
  <x:si>
    <x:t xml:space="preserve">6-3, 6-0</x:t>
  </x:si>
  <x:si>
    <x:t xml:space="preserve">E. Bouchard</x:t>
  </x:si>
  <x:si>
    <x:t xml:space="preserve">6-7(7-9), 6-4, 7-6(7-4), 5-7, 6-4</x:t>
  </x:si>
  <x:si>
    <x:t xml:space="preserve">M. Bartoli</x:t>
  </x:si>
  <x:si>
    <x:t xml:space="preserve">FRA</x:t>
  </x:si>
  <x:si>
    <x:t xml:space="preserve">France</x:t>
  </x:si>
  <x:si>
    <x:t xml:space="preserve">6-2,1-6,6-4</x:t>
  </x:si>
  <x:si>
    <x:t xml:space="preserve">S. Lisicki</x:t>
  </x:si>
  <x:si>
    <x:t xml:space="preserve">6-4, 7-5, 6-4</x:t>
  </x:si>
  <x:si>
    <x:t xml:space="preserve">6-1, 5-7, 6-2</x:t>
  </x:si>
  <x:si>
    <x:t xml:space="preserve">A. Radwańska</x:t>
  </x:si>
  <x:si>
    <x:t xml:space="preserve">4-6, 7-5, 6-3, 6-4</x:t>
  </x:si>
  <x:si>
    <x:t xml:space="preserve">P. Kvitova</x:t>
  </x:si>
  <x:si>
    <x:t xml:space="preserve">6-3, 6-4</x:t>
  </x:si>
  <x:si>
    <x:t xml:space="preserve">M. Sharapova</x:t>
  </x:si>
  <x:si>
    <x:t xml:space="preserve">RUS</x:t>
  </x:si>
  <x:si>
    <x:t xml:space="preserve">Russia</x:t>
  </x:si>
  <x:si>
    <x:t xml:space="preserve">6-4 6-1 1-6 6-3</x:t>
  </x:si>
  <x:si>
    <x:t xml:space="preserve">R. Nadal</x:t>
  </x:si>
  <x:si>
    <x:t xml:space="preserve">6-3, 6-2</x:t>
  </x:si>
  <x:si>
    <x:t xml:space="preserve">V. Zvonareva</x:t>
  </x:si>
  <x:si>
    <x:t xml:space="preserve">6-3, 7-5, 6-4</x:t>
  </x:si>
  <x:si>
    <x:t xml:space="preserve">T. Berdych</x:t>
  </x:si>
  <x:si>
    <x:t xml:space="preserve">7-6 (7-3), 6-2</x:t>
  </x:si>
  <x:si>
    <x:t xml:space="preserve">5-7, 7-6 (8-6), 7-6 (7-5), 3-6, 16-14</x:t>
  </x:si>
  <x:si>
    <x:t xml:space="preserve">A. Roddick</x:t>
  </x:si>
  <x:si>
    <x:t xml:space="preserve">7-5, 6-4</x:t>
  </x:si>
  <x:si>
    <x:t xml:space="preserve">6-4, 6-4, 6-7 (5-7), 6-7 (8-10), 9-7</x:t>
  </x:si>
  <x:si>
    <x:t xml:space="preserve">6-4, 6-1</x:t>
  </x:si>
  <x:si>
    <x:t xml:space="preserve">7-6 (9-7), 4-6, 7-6 (7-3), 2-6, 6-2</x:t>
  </x:si>
  <x:si>
    <x:t xml:space="preserve">A. Mauresmo</x:t>
  </x:si>
  <x:si>
    <x:t xml:space="preserve">2-6, 6-3, 6-4</x:t>
  </x:si>
  <x:si>
    <x:t xml:space="preserve">PY. Hardenne</x:t>
  </x:si>
  <x:si>
    <x:t xml:space="preserve">BEL</x:t>
  </x:si>
  <x:si>
    <x:t xml:space="preserve">Belgium</x:t>
  </x:si>
  <x:si>
    <x:t xml:space="preserve">6-0, 7-6 (7-5), 6-7 (2-7), 6-3</x:t>
  </x:si>
  <x:si>
    <x:t xml:space="preserve">4-6, 7-6 (7-4), 9-7</x:t>
  </x:si>
  <x:si>
    <x:t xml:space="preserve">L.A. Davenport</x:t>
  </x:si>
  <x:si>
    <x:t xml:space="preserve">6-2, 7-6 (7-2), 6-4</x:t>
  </x:si>
  <x:si>
    <x:t xml:space="preserve">6-1, 6-4</x:t>
  </x:si>
  <x:si>
    <x:t xml:space="preserve">4-6, 7-5, 7-6 (7-3), 6-4</x:t>
  </x:si>
  <x:si>
    <x:t xml:space="preserve">4-6, 6-4, 6-2</x:t>
  </x:si>
  <x:si>
    <x:t xml:space="preserve">7-6 (7-5), 6-2, 7-6 (7-3)</x:t>
  </x:si>
  <x:si>
    <x:t xml:space="preserve">M. Philippousis</x:t>
  </x:si>
  <x:si>
    <x:t xml:space="preserve">7-6 (7-4), 6-3</x:t>
  </x:si>
  <x:si>
    <x:t xml:space="preserve">L.G. Hewitt</x:t>
  </x:si>
  <x:si>
    <x:t xml:space="preserve">6-1, 6-3, 6-2</x:t>
  </x:si>
  <x:si>
    <x:t xml:space="preserve">D.P. Nalbandian</x:t>
  </x:si>
  <x:si>
    <x:t xml:space="preserve">ARG</x:t>
  </x:si>
  <x:si>
    <x:t xml:space="preserve">Argentina</x:t>
  </x:si>
  <x:si>
    <x:t xml:space="preserve">6-1, 3-6, 6-0</x:t>
  </x:si>
  <x:si>
    <x:t xml:space="preserve">J. Henin</x:t>
  </x:si>
  <x:si>
    <x:t xml:space="preserve">G.S. Ivanisevic</x:t>
  </x:si>
  <x:si>
    <x:t xml:space="preserve">WC</x:t>
  </x:si>
  <x:si>
    <x:t xml:space="preserve">6-3, 3-6, 6-3, 2-6, 9-7</x:t>
  </x:si>
  <x:si>
    <x:t xml:space="preserve">P.M. Rafter</x:t>
  </x:si>
  <x:si>
    <x:t xml:space="preserve">6-3, 7-6 (7-3)</x:t>
  </x:si>
  <x:si>
    <x:t xml:space="preserve">P. Sampras</x:t>
  </x:si>
  <x:si>
    <x:t xml:space="preserve">6-7 (10-12), 7-6 (7-5), 6-4, 6-2</x:t>
  </x:si>
  <x:si>
    <x:t xml:space="preserve">6-4, 7-5</x:t>
  </x:si>
  <x:si>
    <x:t xml:space="preserve">S.M. Graf</x:t>
  </x:si>
  <x:si>
    <x:t xml:space="preserve">6-3, 6-4, 7-5</x:t>
  </x:si>
  <x:si>
    <x:t xml:space="preserve">A.K. Agassi</x:t>
  </x:si>
  <x:si>
    <x:t xml:space="preserve">J. Novotna</x:t>
  </x:si>
  <x:si>
    <x:t xml:space="preserve">6-4, 7-6 (7-2)</x:t>
  </x:si>
  <x:si>
    <x:t xml:space="preserve">N. Tauziat</x:t>
  </x:si>
  <x:si>
    <x:t xml:space="preserve">6-7 (2-7), 7-6 (11-9), 6-4, 3-6, 6-2</x:t>
  </x:si>
  <x:si>
    <x:t xml:space="preserve">M. Hingis</x:t>
  </x:si>
  <x:si>
    <x:t xml:space="preserve">2-6, 6-3, 6-3</x:t>
  </x:si>
  <x:si>
    <x:t xml:space="preserve">6-4, 6-2, 6-4</x:t>
  </x:si>
  <x:si>
    <x:t xml:space="preserve">C.A. Pioline</x:t>
  </x:si>
  <x:si>
    <x:t xml:space="preserve">6-3, 7-5,</x:t>
  </x:si>
  <x:si>
    <x:t xml:space="preserve">A.I.M. Sanchez Vicario</x:t>
  </x:si>
  <x:si>
    <x:t xml:space="preserve">R.P.S. Krajicek</x:t>
  </x:si>
  <x:si>
    <x:t xml:space="preserve">NED</x:t>
  </x:si>
  <x:si>
    <x:t xml:space="preserve">Netherlands</x:t>
  </x:si>
  <x:si>
    <x:t xml:space="preserve">6-3, 6-4, 6-3</x:t>
  </x:si>
  <x:si>
    <x:t xml:space="preserve">M.O. Washington</x:t>
  </x:si>
  <x:si>
    <x:t xml:space="preserve">4-6, 6-1, 7-5,</x:t>
  </x:si>
  <x:si>
    <x:t xml:space="preserve">6-7 (5-7), 6-2, 6-4, 6-2</x:t>
  </x:si>
  <x:si>
    <x:t xml:space="preserve">B.F. Becker</x:t>
  </x:si>
  <x:si>
    <x:t xml:space="preserve">I.C. Martinez</x:t>
  </x:si>
  <x:si>
    <x:t xml:space="preserve">6-4, 3-6, 6-3,</x:t>
  </x:si>
  <x:si>
    <x:t xml:space="preserve">M. Navratilova</x:t>
  </x:si>
  <x:si>
    <x:t xml:space="preserve">7-6 (7-2), 7-6 (7-5), 6-0</x:t>
  </x:si>
  <x:si>
    <x:t xml:space="preserve">7-6 (8-6), 1-6, 6-4,</x:t>
  </x:si>
  <x:si>
    <x:t xml:space="preserve">7-6 (7-3), 7-6 (8-6), 3-6, 6-3</x:t>
  </x:si>
  <x:si>
    <x:t xml:space="preserve">J.S. Courier</x:t>
  </x:si>
  <x:si>
    <x:t xml:space="preserve">6-2, 6-1,</x:t>
  </x:si>
  <x:si>
    <x:t xml:space="preserve">M. Seles</x:t>
  </x:si>
  <x:si>
    <x:t xml:space="preserve">6-7 (8-10), 6-4, 6-4, 1-6, 6-4</x:t>
  </x:si>
  <x:si>
    <x:t xml:space="preserve">6-4, 3-6, 8-6,</x:t>
  </x:si>
  <x:si>
    <x:t xml:space="preserve">G.B. Sabatini</x:t>
  </x:si>
  <x:si>
    <x:t xml:space="preserve">M.D. Stich</x:t>
  </x:si>
  <x:si>
    <x:t xml:space="preserve">6-4, 7-6 (7-4), 6-4</x:t>
  </x:si>
  <x:si>
    <x:t xml:space="preserve">6-4, 6-1,</x:t>
  </x:si>
  <x:si>
    <x:t xml:space="preserve">Z.L. Garrison</x:t>
  </x:si>
  <x:si>
    <x:t xml:space="preserve">S.B. Edberg</x:t>
  </x:si>
  <x:si>
    <x:t xml:space="preserve">SWE</x:t>
  </x:si>
  <x:si>
    <x:t xml:space="preserve">Sweden</x:t>
  </x:si>
  <x:si>
    <x:t xml:space="preserve">6-2, 6-2, 3-6, 3-6, 6-4</x:t>
  </x:si>
  <x:si>
    <x:t xml:space="preserve">6-2, 6-7 (1-7), 6-1,</x:t>
  </x:si>
  <x:si>
    <x:t xml:space="preserve">6-0, 7-6 (7-1), 6-4</x:t>
  </x:si>
  <x:si>
    <x:t xml:space="preserve">5-7, 6-2, 6-1,</x:t>
  </x:si>
  <x:si>
    <x:t xml:space="preserve">4-6, 7-6 (7-2), 6-4, 6-2</x:t>
  </x:si>
  <x:si>
    <x:t xml:space="preserve">7-5, 6-3,</x:t>
  </x:si>
  <x:si>
    <x:t xml:space="preserve">P.H. Cash</x:t>
  </x:si>
  <x:si>
    <x:t xml:space="preserve">7-6 (7-5), 6-2, 7-5</x:t>
  </x:si>
  <x:si>
    <x:t xml:space="preserve">I. Lendl</x:t>
  </x:si>
  <x:si>
    <x:t xml:space="preserve">7-6 (7-1), 6-3,</x:t>
  </x:si>
  <x:si>
    <x:t xml:space="preserve">H. Mandlikova</x:t>
  </x:si>
  <x:si>
    <x:t xml:space="preserve">6-4, 6-3, 7-5</x:t>
  </x:si>
  <x:si>
    <x:t xml:space="preserve">4-6, 6-3, 6-2,</x:t>
  </x:si>
  <x:si>
    <x:t xml:space="preserve">J.M. Lloyd</x:t>
  </x:si>
  <x:si>
    <x:t xml:space="preserve">6-3, 6-7 (4-7), 7-6 (7-3), 6-4</x:t>
  </x:si>
  <x:si>
    <x:t xml:space="preserve">K.M. Curren</x:t>
  </x:si>
  <x:si>
    <x:t xml:space="preserve">7-6 (7-5), 6-2,</x:t>
  </x:si>
  <x:si>
    <x:t xml:space="preserve">J.P. McEnroe</x:t>
  </x:si>
  <x:si>
    <x:t xml:space="preserve">6-1, 6-1, 6-2</x:t>
  </x:si>
  <x:si>
    <x:t xml:space="preserve">J.S. Connors</x:t>
  </x:si>
  <x:si>
    <x:t xml:space="preserve">6-0, 6-3,</x:t>
  </x:si>
  <x:si>
    <x:t xml:space="preserve">A. Jaeger</x:t>
  </x:si>
  <x:si>
    <x:t xml:space="preserve">6-2, 6-2, 6-2</x:t>
  </x:si>
  <x:si>
    <x:t xml:space="preserve">C.J. Lewis</x:t>
  </x:si>
  <x:si>
    <x:t xml:space="preserve">NZL</x:t>
  </x:si>
  <x:si>
    <x:t xml:space="preserve">New Zealand</x:t>
  </x:si>
  <x:si>
    <x:t xml:space="preserve">6-1, 3-6, 6-2,</x:t>
  </x:si>
  <x:si>
    <x:t xml:space="preserve">3-6, 6-3, 6-7 (2-7), 7-6 (7-5), 6-4</x:t>
  </x:si>
  <x:si>
    <x:t xml:space="preserve">6-2, 6-2,</x:t>
  </x:si>
  <x:si>
    <x:t xml:space="preserve">4-6, 7-6 (7-1), 7-6 (7-4), 6-4</x:t>
  </x:si>
  <x:si>
    <x:t xml:space="preserve">B.R. Borg</x:t>
  </x:si>
  <x:si>
    <x:t xml:space="preserve">R.A. Cawley</x:t>
  </x:si>
  <x:si>
    <x:t xml:space="preserve">6-1, 7-6 (7-4)</x:t>
  </x:si>
  <x:si>
    <x:t xml:space="preserve">1-6, 7-5, 6-3, 6-7 (16-18), 8-6</x:t>
  </x:si>
  <x:si>
    <x:t xml:space="preserve">6-4, 6-4,</x:t>
  </x:si>
  <x:si>
    <x:t xml:space="preserve">6-7(4-7), 6-1, 3-6, 6-3, 6-4</x:t>
  </x:si>
  <x:si>
    <x:t xml:space="preserve">R. Tanner</x:t>
  </x:si>
  <x:si>
    <x:t xml:space="preserve">2-6, 6-4, 7-5,</x:t>
  </x:si>
  <x:si>
    <x:t xml:space="preserve">C.M. Evert</x:t>
  </x:si>
  <x:si>
    <x:t xml:space="preserve">6-2, 6-2, 6-3</x:t>
  </x:si>
  <x:si>
    <x:t xml:space="preserve">S.V. Wade</x:t>
  </x:si>
  <x:si>
    <x:t xml:space="preserve">4-6, 6-3, 6-1,</x:t>
  </x:si>
  <x:si>
    <x:t xml:space="preserve">B.F. Stove</x:t>
  </x:si>
  <x:si>
    <x:t xml:space="preserve">3-6, 6-2, 6-1, 5-7, 6-4</x:t>
  </x:si>
  <x:si>
    <x:t xml:space="preserve">6-3, 4-6, 8-6,</x:t>
  </x:si>
  <x:si>
    <x:t xml:space="preserve">6-4, 6-2, 9-7</x:t>
  </x:si>
  <x:si>
    <x:t xml:space="preserve">I. Nastase</x:t>
  </x:si>
  <x:si>
    <x:t xml:space="preserve">ROM</x:t>
  </x:si>
  <x:si>
    <x:t xml:space="preserve">L.W. King</x:t>
  </x:si>
  <x:si>
    <x:t xml:space="preserve">6-0, 6-1,</x:t>
  </x:si>
  <x:si>
    <x:t xml:space="preserve">A.R. Ashe</x:t>
  </x:si>
  <x:si>
    <x:t xml:space="preserve">6-1, 6-1, 5-7, 6-4</x:t>
  </x:si>
  <x:si>
    <x:t xml:space="preserve">6-0, 6-4</x:t>
  </x:si>
  <x:si>
    <x:t xml:space="preserve">O.V. Morozova</x:t>
  </x:si>
  <x:si>
    <x:t xml:space="preserve">URS</x:t>
  </x:si>
  <x:si>
    <x:t xml:space="preserve">Soviet Union</x:t>
  </x:si>
  <x:si>
    <x:t xml:space="preserve">6-1, 6-1, 6-4</x:t>
  </x:si>
  <x:si>
    <x:t xml:space="preserve">K.R. Rosewall</x:t>
  </x:si>
  <x:si>
    <x:t xml:space="preserve">6-0, 7-5</x:t>
  </x:si>
  <x:si>
    <x:t xml:space="preserve">J. Kodes</x:t>
  </x:si>
  <x:si>
    <x:t xml:space="preserve">6-1, 9-8(7-5), 6-3</x:t>
  </x:si>
  <x:si>
    <x:t xml:space="preserve">A. Metreveli</x:t>
  </x:si>
  <x:si>
    <x:t xml:space="preserve">6-3, 6-3,</x:t>
  </x:si>
  <x:si>
    <x:t xml:space="preserve">E.F. Goolagong</x:t>
  </x:si>
  <x:si>
    <x:t xml:space="preserve">S.R. Smith</x:t>
  </x:si>
  <x:si>
    <x:t xml:space="preserve">4-6, 6-3, 6-3, 4-6, 7-5</x:t>
  </x:si>
  <x:si>
    <x:t xml:space="preserve">B.M. Court</x:t>
  </x:si>
  <x:si>
    <x:t xml:space="preserve">J.D. Newcombe</x:t>
  </x:si>
  <x:si>
    <x:t xml:space="preserve">6-3, 5-7, 2-6, 6-4, 6-4</x:t>
  </x:si>
  <x:si>
    <x:t xml:space="preserve">14-12, 11-9,</x:t>
  </x:si>
  <x:si>
    <x:t xml:space="preserve">5-7, 6-3, 6-2, 3-6, 6-1</x:t>
  </x:si>
  <x:si>
    <x:t xml:space="preserve">P.F. Jones</x:t>
  </x:si>
  <x:si>
    <x:t xml:space="preserve">3-6, 6-3, 6-2,</x:t>
  </x:si>
  <x:si>
    <x:t xml:space="preserve">R.G. Laver</x:t>
  </x:si>
  <x:si>
    <x:t xml:space="preserve">6-4, 5-7, 6-4, 6-4</x:t>
  </x:si>
  <x:si>
    <x:t xml:space="preserve">9-7, 7-5,</x:t>
  </x:si>
  <x:si>
    <x:t xml:space="preserve">J.A.M. Tegart</x:t>
  </x:si>
  <x:si>
    <x:t xml:space="preserve">6-3, 6-4, 6-2</x:t>
  </x:si>
  <x:si>
    <x:t xml:space="preserve">A.D. Roche</x:t>
  </x:si>
  <x:si>
    <x:t xml:space="preserve">6-3, 6-4,</x:t>
  </x:si>
  <x:si>
    <x:t xml:space="preserve">6-3, 6-1, 6-1</x:t>
  </x:si>
  <x:si>
    <x:t xml:space="preserve">W.P. Bungert</x:t>
  </x:si>
  <x:si>
    <x:t xml:space="preserve">6-3, 3-6, 6-1,</x:t>
  </x:si>
  <x:si>
    <x:t xml:space="preserve">M.E.A. Bueno</x:t>
  </x:si>
  <x:si>
    <x:t xml:space="preserve">BRA</x:t>
  </x:si>
  <x:si>
    <x:t xml:space="preserve">Brazil</x:t>
  </x:si>
  <x:si>
    <x:t xml:space="preserve">M.M. Santana</x:t>
  </x:si>
  <x:si>
    <x:t xml:space="preserve">6-4, 11-9, 6-4</x:t>
  </x:si>
  <x:si>
    <x:t xml:space="preserve">R.D. Ralston</x:t>
  </x:si>
  <x:si>
    <x:t xml:space="preserve">6-4, 7-5,</x:t>
  </x:si>
  <x:si>
    <x:t xml:space="preserve">R.S. Emerson</x:t>
  </x:si>
  <x:si>
    <x:t xml:space="preserve">6-2, 6-4, 6-4</x:t>
  </x:si>
  <x:si>
    <x:t xml:space="preserve">F.S. Stolle</x:t>
  </x:si>
  <x:si>
    <x:t xml:space="preserve">6-4, 7-9, 6-3,</x:t>
  </x:si>
  <x:si>
    <x:t xml:space="preserve">6-4, 12-10, 4-6, 6-3</x:t>
  </x:si>
  <x:si>
    <x:t xml:space="preserve">B.J. Moffitt</x:t>
  </x:si>
  <x:si>
    <x:t xml:space="preserve">C.R. McKinley</x:t>
  </x:si>
  <x:si>
    <x:t xml:space="preserve">9-7, 6-1, 6-4</x:t>
  </x:si>
  <x:si>
    <x:t xml:space="preserve">J.R. Susman</x:t>
  </x:si>
  <x:si>
    <x:t xml:space="preserve">C. Sukova</x:t>
  </x:si>
  <x:si>
    <x:t xml:space="preserve">6-2, 6-2, 6-1</x:t>
  </x:si>
  <x:si>
    <x:t xml:space="preserve">M.F. Mulligan</x:t>
  </x:si>
  <x:si>
    <x:t xml:space="preserve">F.A.M. Mortimer</x:t>
  </x:si>
  <x:si>
    <x:t xml:space="preserve">4-6, 6-4, 7-5,</x:t>
  </x:si>
  <x:si>
    <x:t xml:space="preserve">C.C. Truman</x:t>
  </x:si>
  <x:si>
    <x:t xml:space="preserve">6-3, 6-1, 6-4</x:t>
  </x:si>
  <x:si>
    <x:t xml:space="preserve">8-6, 6-0</x:t>
  </x:si>
  <x:si>
    <x:t xml:space="preserve">S. Reynolds</x:t>
  </x:si>
  <x:si>
    <x:t xml:space="preserve">N.A. Fraser</x:t>
  </x:si>
  <x:si>
    <x:t xml:space="preserve">6-4, 3-6, 9-7, 7-5</x:t>
  </x:si>
  <x:si>
    <x:t xml:space="preserve">6-4, 6-3,</x:t>
  </x:si>
  <x:si>
    <x:t xml:space="preserve">D.R. Hard</x:t>
  </x:si>
  <x:si>
    <x:t xml:space="preserve">A.R. Olmedo</x:t>
  </x:si>
  <x:si>
    <x:t xml:space="preserve">6-4, 6-3, 6-4</x:t>
  </x:si>
  <x:si>
    <x:t xml:space="preserve">A. Gibson</x:t>
  </x:si>
  <x:si>
    <x:t xml:space="preserve">8-6, 6-2,</x:t>
  </x:si>
  <x:si>
    <x:t xml:space="preserve">A.J. Cooper</x:t>
  </x:si>
  <x:si>
    <x:t xml:space="preserve">3-6, 6-3, 6-4, 13-11</x:t>
  </x:si>
  <x:si>
    <x:t xml:space="preserve">6-3, 6-2,</x:t>
  </x:si>
  <x:si>
    <x:t xml:space="preserve">L.A. Hoad</x:t>
  </x:si>
  <x:si>
    <x:t xml:space="preserve">6-2, 6-1, 6-2</x:t>
  </x:si>
  <x:si>
    <x:t xml:space="preserve">S.J. Fry</x:t>
  </x:si>
  <x:si>
    <x:t xml:space="preserve">6-3, 6-1,</x:t>
  </x:si>
  <x:si>
    <x:t xml:space="preserve">A. Buxton</x:t>
  </x:si>
  <x:si>
    <x:t xml:space="preserve">6-2, 4-6, 7-5, 6-4</x:t>
  </x:si>
  <x:si>
    <x:t xml:space="preserve">A.L. Brough</x:t>
  </x:si>
  <x:si>
    <x:t xml:space="preserve">7-5, 8-6,</x:t>
  </x:si>
  <x:si>
    <x:t xml:space="preserve">J.G. Fleitz</x:t>
  </x:si>
  <x:si>
    <x:t xml:space="preserve">M.A. Trabert</x:t>
  </x:si>
  <x:si>
    <x:t xml:space="preserve">6-3, 7-5, 6-1</x:t>
  </x:si>
  <x:si>
    <x:t xml:space="preserve">K. Nielsen</x:t>
  </x:si>
  <x:si>
    <x:t xml:space="preserve">DEN</x:t>
  </x:si>
  <x:si>
    <x:t xml:space="preserve">Denmark</x:t>
  </x:si>
  <x:si>
    <x:t xml:space="preserve">M.C. Connolly</x:t>
  </x:si>
  <x:si>
    <x:t xml:space="preserve">6-2, 7-5,</x:t>
  </x:si>
  <x:si>
    <x:t xml:space="preserve">J. Drobny</x:t>
  </x:si>
  <x:si>
    <x:t xml:space="preserve">13-11, 4-6, 6-2, 9-7</x:t>
  </x:si>
  <x:si>
    <x:t xml:space="preserve">8-6, 7-5,</x:t>
  </x:si>
  <x:si>
    <x:t xml:space="preserve">D.J. Hart</x:t>
  </x:si>
  <x:si>
    <x:t xml:space="preserve">E.V. Seixas</x:t>
  </x:si>
  <x:si>
    <x:t xml:space="preserve">9-7, 6-3, 6-4</x:t>
  </x:si>
  <x:si>
    <x:t xml:space="preserve">F.A. Sedgman</x:t>
  </x:si>
  <x:si>
    <x:t xml:space="preserve">4-6, 6-2, 6-3, 6-2</x:t>
  </x:si>
  <x:si>
    <x:t xml:space="preserve">6-1, 6-0</x:t>
  </x:si>
  <x:si>
    <x:t xml:space="preserve">R. Savitt</x:t>
  </x:si>
  <x:si>
    <x:t xml:space="preserve">6-4, 6-4, 6-4</x:t>
  </x:si>
  <x:si>
    <x:t xml:space="preserve">K.B. McGregor</x:t>
  </x:si>
  <x:si>
    <x:t xml:space="preserve">6-1, 3-6, 6-1,</x:t>
  </x:si>
  <x:si>
    <x:t xml:space="preserve">M. duPont</x:t>
  </x:si>
  <x:si>
    <x:t xml:space="preserve">J.E. Patty</x:t>
  </x:si>
  <x:si>
    <x:t xml:space="preserve">6-1, 8-10, 6-2, 6-3</x:t>
  </x:si>
  <x:si>
    <x:t xml:space="preserve">10-8, 1-6, 10-8,</x:t>
  </x:si>
  <x:si>
    <x:t xml:space="preserve">F.R. Schroeder</x:t>
  </x:si>
  <x:si>
    <x:t xml:space="preserve">3-6, 6-0, 6-3, 4-6, 6-4</x:t>
  </x:si>
  <x:si>
    <x:t xml:space="preserve">6-3, 8-6,</x:t>
  </x:si>
  <x:si>
    <x:t xml:space="preserve">R. Falkenburg</x:t>
  </x:si>
  <x:si>
    <x:t xml:space="preserve">7-5, 0-6, 6-2, 3-6, 7-5</x:t>
  </x:si>
  <x:si>
    <x:t xml:space="preserve">J.E. Bromwich</x:t>
  </x:si>
  <x:si>
    <x:t xml:space="preserve">M.E. Osborne</x:t>
  </x:si>
  <x:si>
    <x:t xml:space="preserve">6-2, 6-4,</x:t>
  </x:si>
  <x:si>
    <x:t xml:space="preserve">J.A. Kramer</x:t>
  </x:si>
  <x:si>
    <x:t xml:space="preserve">T.P. Brown</x:t>
  </x:si>
  <x:si>
    <x:t xml:space="preserve">P.M. Betz</x:t>
  </x:si>
  <x:si>
    <x:t xml:space="preserve">Y.F.M. Petra</x:t>
  </x:si>
  <x:si>
    <x:t xml:space="preserve">6-2, 6-4, 7-9, 5-7, 6-4</x:t>
  </x:si>
  <x:si>
    <x:t xml:space="preserve">G.E. Brown</x:t>
  </x:si>
  <x:si>
    <x:t xml:space="preserve">A. Marble</x:t>
  </x:si>
  <x:si>
    <x:t xml:space="preserve">6-2, 6-0</x:t>
  </x:si>
  <x:si>
    <x:t xml:space="preserve">K.E. Stammers</x:t>
  </x:si>
  <x:si>
    <x:t xml:space="preserve">R.L. Riggs</x:t>
  </x:si>
  <x:si>
    <x:t xml:space="preserve">2-6, 8-6, 3-6, 6-3, 6-2</x:t>
  </x:si>
  <x:si>
    <x:t xml:space="preserve">E.T. Cooke</x:t>
  </x:si>
  <x:si>
    <x:t xml:space="preserve">H.W. Moody</x:t>
  </x:si>
  <x:si>
    <x:t xml:space="preserve">6-4, 6-0</x:t>
  </x:si>
  <x:si>
    <x:t xml:space="preserve">H.H. Jacobs</x:t>
  </x:si>
  <x:si>
    <x:t xml:space="preserve">J.D. Budge</x:t>
  </x:si>
  <x:si>
    <x:t xml:space="preserve">6-1, 6-0, 6-3</x:t>
  </x:si>
  <x:si>
    <x:t xml:space="preserve">H.W. Austin</x:t>
  </x:si>
  <x:si>
    <x:t xml:space="preserve">D.E. Round</x:t>
  </x:si>
  <x:si>
    <x:t xml:space="preserve">6-2, 2-6, 7-5</x:t>
  </x:si>
  <x:si>
    <x:t xml:space="preserve">J. Jedrzejowska</x:t>
  </x:si>
  <x:si>
    <x:t xml:space="preserve">G. von Cramm</x:t>
  </x:si>
  <x:si>
    <x:t xml:space="preserve">6-2, 4-6, 7-5</x:t>
  </x:si>
  <x:si>
    <x:t xml:space="preserve">S. Sperling</x:t>
  </x:si>
  <x:si>
    <x:t xml:space="preserve">F.J. Perry</x:t>
  </x:si>
  <x:si>
    <x:t xml:space="preserve">6-1, 6-1, 6-0</x:t>
  </x:si>
  <x:si>
    <x:t xml:space="preserve">6-3, 3-6, 7-5</x:t>
  </x:si>
  <x:si>
    <x:t xml:space="preserve">6-2, 5-7, 6-3</x:t>
  </x:si>
  <x:si>
    <x:t xml:space="preserve">6-3, 6-0, 7-5</x:t>
  </x:si>
  <x:si>
    <x:t xml:space="preserve">J.H. Crawford</x:t>
  </x:si>
  <x:si>
    <x:t xml:space="preserve">6-4, 6-8, 6-3</x:t>
  </x:si>
  <x:si>
    <x:t xml:space="preserve">4-6, 11-9, 6-2, 2-6, 6-4</x:t>
  </x:si>
  <x:si>
    <x:t xml:space="preserve">H.E. Vines</x:t>
  </x:si>
  <x:si>
    <x:t xml:space="preserve">6-3, 6-1</x:t>
  </x:si>
  <x:si>
    <x:t xml:space="preserve">6-2, 6-2, 6-0</x:t>
  </x:si>
  <x:si>
    <x:t xml:space="preserve">C. Aussem</x:t>
  </x:si>
  <x:si>
    <x:t xml:space="preserve">6-2, 7-5</x:t>
  </x:si>
  <x:si>
    <x:t xml:space="preserve">H. Krahwinkel</x:t>
  </x:si>
  <x:si>
    <x:t xml:space="preserve">S.B.B. Wood</x:t>
  </x:si>
  <x:si>
    <x:t xml:space="preserve">walk over</x:t>
  </x:si>
  <x:si>
    <x:t xml:space="preserve">walkover</x:t>
  </x:si>
  <x:si>
    <x:t xml:space="preserve">F.X. Shields</x:t>
  </x:si>
  <x:si>
    <x:t xml:space="preserve">6-2, 6-2</x:t>
  </x:si>
  <x:si>
    <x:t xml:space="preserve">E.M. Ryan</x:t>
  </x:si>
  <x:si>
    <x:t xml:space="preserve">W.T. Tilden</x:t>
  </x:si>
  <x:si>
    <x:t xml:space="preserve">6-3, 9-7, 6-4</x:t>
  </x:si>
  <x:si>
    <x:t xml:space="preserve">W.L. Allison</x:t>
  </x:si>
  <x:si>
    <x:t xml:space="preserve">6-1, 6-2</x:t>
  </x:si>
  <x:si>
    <x:t xml:space="preserve">H.J. Cochet</x:t>
  </x:si>
  <x:si>
    <x:t xml:space="preserve">J.R. Borotra</x:t>
  </x:si>
  <x:si>
    <x:t xml:space="preserve">6-2, 6-3</x:t>
  </x:si>
  <x:si>
    <x:t xml:space="preserve">E.M. de Alvarez</x:t>
  </x:si>
  <x:si>
    <x:t xml:space="preserve">J.R. Lacoste</x:t>
  </x:si>
  <x:si>
    <x:t xml:space="preserve">6-1, 4-6, 6-4, 6-2</x:t>
  </x:si>
  <x:si>
    <x:t xml:space="preserve">6-2, 6-4</x:t>
  </x:si>
  <x:si>
    <x:t xml:space="preserve">4-6, 4-6, 6-3, 6-4, 7-5</x:t>
  </x:si>
  <x:si>
    <x:t xml:space="preserve">L.A. Godfree</x:t>
  </x:si>
  <x:si>
    <x:t xml:space="preserve">6-2, 4-6, 6-3</x:t>
  </x:si>
  <x:si>
    <x:t xml:space="preserve">8-6, 6-1, 6-3</x:t>
  </x:si>
  <x:si>
    <x:t xml:space="preserve">H.O. Kinsey</x:t>
  </x:si>
  <x:si>
    <x:t xml:space="preserve">S.R.F. Lenglen</x:t>
  </x:si>
  <x:si>
    <x:t xml:space="preserve">J.C. Fry</x:t>
  </x:si>
  <x:si>
    <x:t xml:space="preserve">6-3, 6-3, 4-6, 8-6</x:t>
  </x:si>
  <x:si>
    <x:t xml:space="preserve">K. McKane</x:t>
  </x:si>
  <x:si>
    <x:t xml:space="preserve">4-6, 6-4, 6-4</x:t>
  </x:si>
  <x:si>
    <x:t xml:space="preserve">6-1, 3-6, 6-1, 3-6, 6-4</x:t>
  </x:si>
  <x:si>
    <x:t xml:space="preserve">W. M. Johnston</x:t>
  </x:si>
  <x:si>
    <x:t xml:space="preserve">6-0, 6-3, 6-1</x:t>
  </x:si>
  <x:si>
    <x:t xml:space="preserve">F.T. Hunter</x:t>
  </x:si>
  <x:si>
    <x:t xml:space="preserve">F.I. Mallory</x:t>
  </x:si>
  <x:si>
    <x:t xml:space="preserve">G.L. Patterson</x:t>
  </x:si>
  <x:si>
    <x:t xml:space="preserve">R. Lycett</x:t>
  </x:si>
  <x:si>
    <x:t xml:space="preserve">4-6, 2-6, 6-1, 6-0, 7-5</x:t>
  </x:si>
  <x:si>
    <x:t xml:space="preserve">B.I.C. Norton</x:t>
  </x:si>
  <x:si>
    <x:t xml:space="preserve">D.L. Chambers</x:t>
  </x:si>
  <x:si>
    <x:t xml:space="preserve">2-6, 6-3, 6-2, 6-4</x:t>
  </x:si>
  <x:si>
    <x:t xml:space="preserve">10-8, 4-6, 9-7</x:t>
  </x:si>
  <x:si>
    <x:t xml:space="preserve">6-3, 7-5, 6-2</x:t>
  </x:si>
  <x:si>
    <x:t xml:space="preserve">N.E. Brookes</x:t>
  </x:si>
  <x:si>
    <x:t xml:space="preserve">D.T.R. Larcombe</x:t>
  </x:si>
  <x:si>
    <x:t xml:space="preserve">6-4, 6-4, 7-5</x:t>
  </x:si>
  <x:si>
    <x:t xml:space="preserve">A.F. Wilding</x:t>
  </x:si>
  <x:si>
    <x:t xml:space="preserve">R.J. McNair</x:t>
  </x:si>
  <x:si>
    <x:t xml:space="preserve">8-6, 6-3, 10-8</x:t>
  </x:si>
  <x:si>
    <x:t xml:space="preserve">M.E. McLoughlin</x:t>
  </x:si>
  <x:si>
    <x:t xml:space="preserve">C.R. Cooper</x:t>
  </x:si>
  <x:si>
    <x:t xml:space="preserve">6-4, 6-4, 4-6, 6-4</x:t>
  </x:si>
  <x:si>
    <x:t xml:space="preserve">A.W. Gore</x:t>
  </x:si>
  <x:si>
    <x:t xml:space="preserve">6-0, 6-0</x:t>
  </x:si>
  <x:si>
    <x:t xml:space="preserve">P.D.H. Boothby</x:t>
  </x:si>
  <x:si>
    <x:t xml:space="preserve">6-4, 4-6, 2-6, 6-2, retd</x:t>
  </x:si>
  <x:si>
    <x:t xml:space="preserve">retd</x:t>
  </x:si>
  <x:si>
    <x:t xml:space="preserve">H.R. Barrett</x:t>
  </x:si>
  <x:si>
    <x:t xml:space="preserve">6-4, 7-5, 4-6, 6-2</x:t>
  </x:si>
  <x:si>
    <x:t xml:space="preserve">6-4, 4-6, 8-6</x:t>
  </x:si>
  <x:si>
    <x:t xml:space="preserve">A.M. Morton</x:t>
  </x:si>
  <x:si>
    <x:t xml:space="preserve">6-8, 1-6, 6-2, 6-2, 6-2</x:t>
  </x:si>
  <x:si>
    <x:t xml:space="preserve">M.J.G. Ritchie</x:t>
  </x:si>
  <x:si>
    <x:t xml:space="preserve">6-3, 6-2, 4-6, 3-6, 6-4</x:t>
  </x:si>
  <x:si>
    <x:t xml:space="preserve">M.G. Sutton</x:t>
  </x:si>
  <x:si>
    <x:t xml:space="preserve">6-4, 6-2, 6-2</x:t>
  </x:si>
  <x:si>
    <x:t xml:space="preserve">6-3, 9-7</x:t>
  </x:si>
  <x:si>
    <x:t xml:space="preserve">H.L. Doherty</x:t>
  </x:si>
  <x:si>
    <x:t xml:space="preserve">6-4, 4-6, 6-2, 6-3</x:t>
  </x:si>
  <x:si>
    <x:t xml:space="preserve">F.L. Riseley</x:t>
  </x:si>
  <x:si>
    <x:t xml:space="preserve">8-6, 6-2, 6-4</x:t>
  </x:si>
  <x:si>
    <x:t xml:space="preserve">6-0, 6-3</x:t>
  </x:si>
  <x:si>
    <x:t xml:space="preserve">6-1, 7-5, 8-6</x:t>
  </x:si>
  <x:si>
    <x:t xml:space="preserve">E.W. Thomson</x:t>
  </x:si>
  <x:si>
    <x:t xml:space="preserve">7-5, 6-3, 6-0</x:t>
  </x:si>
  <x:si>
    <x:t xml:space="preserve">M.E. Robb</x:t>
  </x:si>
  <x:si>
    <x:t xml:space="preserve">7-5, 6-1</x:t>
  </x:si>
  <x:si>
    <x:t xml:space="preserve">6-4, 6-3, 3-6, 6-0</x:t>
  </x:si>
  <x:si>
    <x:t xml:space="preserve">G.W. Hillyard</x:t>
  </x:si>
  <x:si>
    <x:t xml:space="preserve">4-6, 7-5, 6-4, 6-4</x:t>
  </x:si>
  <x:si>
    <x:t xml:space="preserve">R.F. Doherty</x:t>
  </x:si>
  <x:si>
    <x:t xml:space="preserve">6-8, 6-3, 6-1, 6-2</x:t>
  </x:si>
  <x:si>
    <x:t xml:space="preserve">S.H. Smith</x:t>
  </x:si>
  <x:si>
    <x:t xml:space="preserve">1-6, 4-6, 6-3, 6-3, 6-3</x:t>
  </x:si>
  <x:si>
    <x:t xml:space="preserve">M.L.Martin</x:t>
  </x:si>
  <x:si>
    <x:t xml:space="preserve">6-3, 6-3, 2-6, 5-7, 6-1</x:t>
  </x:si>
  <x:si>
    <x:t xml:space="preserve">5-7, 7-5, 6-2</x:t>
  </x:si>
  <x:si>
    <x:t xml:space="preserve">6-4, 6-4, 6-3</x:t>
  </x:si>
  <x:si>
    <x:t xml:space="preserve">H.S. Mahony</x:t>
  </x:si>
  <x:si>
    <x:t xml:space="preserve">W.H. Pickering</x:t>
  </x:si>
  <x:si>
    <x:t xml:space="preserve">6-2, 6-8, 5-7, 8-6, 6-3</x:t>
  </x:si>
  <x:si>
    <x:t xml:space="preserve">W. Baddeley</x:t>
  </x:si>
  <x:si>
    <x:t xml:space="preserve">7-5, 8-6</x:t>
  </x:si>
  <x:si>
    <x:t xml:space="preserve">H. Jackson</x:t>
  </x:si>
  <x:si>
    <x:t xml:space="preserve">4-6, 2-6, 8-6, 6-2, 6-3</x:t>
  </x:si>
  <x:si>
    <x:t xml:space="preserve">W.V. Eaves</x:t>
  </x:si>
  <x:si>
    <x:t xml:space="preserve">6-1, 6-1</x:t>
  </x:si>
  <x:si>
    <x:t xml:space="preserve">E.L. Austin</x:t>
  </x:si>
  <x:si>
    <x:t xml:space="preserve">J. Pim</x:t>
  </x:si>
  <x:si>
    <x:t xml:space="preserve">10-8, 6-2, 8-6</x:t>
  </x:si>
  <x:si>
    <x:t xml:space="preserve">C. Dod</x:t>
  </x:si>
  <x:si>
    <x:t xml:space="preserve">6-8, 6-1, 6-4</x:t>
  </x:si>
  <x:si>
    <x:t xml:space="preserve">3-6, 6-1, 6-3, 6-2</x:t>
  </x:si>
  <x:si>
    <x:t xml:space="preserve">4-6, 6-3, 6-3, 6-2</x:t>
  </x:si>
  <x:si>
    <x:t xml:space="preserve">6-2, 6-1</x:t>
  </x:si>
  <x:si>
    <x:t xml:space="preserve">6-4, 1-6, 7-5, 6-0</x:t>
  </x:si>
  <x:si>
    <x:t xml:space="preserve">H.G.B. Rice</x:t>
  </x:si>
  <x:si>
    <x:t xml:space="preserve">M. Jacks</x:t>
  </x:si>
  <x:si>
    <x:t xml:space="preserve">W.J. Hamilton</x:t>
  </x:si>
  <x:si>
    <x:t xml:space="preserve">6-8, 6-2, 3-6, 6-1, 6-1</x:t>
  </x:si>
  <x:si>
    <x:t xml:space="preserve">W.C. Renshaw</x:t>
  </x:si>
  <x:si>
    <x:t xml:space="preserve">4-6, 8-6, 6-4</x:t>
  </x:si>
  <x:si>
    <x:t xml:space="preserve">6-4, 6-1, 3-6, 6-0</x:t>
  </x:si>
  <x:si>
    <x:t xml:space="preserve">J.E. Renshaw</x:t>
  </x:si>
  <x:si>
    <x:t xml:space="preserve">6-3, 6-3</x:t>
  </x:si>
  <x:si>
    <x:t xml:space="preserve">6-3, 7-5, 6-0</x:t>
  </x:si>
  <x:si>
    <x:t xml:space="preserve">H.F. Lawford</x:t>
  </x:si>
  <x:si>
    <x:t xml:space="preserve">1-6, 6-3, 3-6, 6-4, 6-4</x:t>
  </x:si>
  <x:si>
    <x:t xml:space="preserve">M.E.E. Watson</x:t>
  </x:si>
  <x:si>
    <x:t xml:space="preserve">6-0, 5-7, 6-3, 6-4</x:t>
  </x:si>
  <x:si>
    <x:t xml:space="preserve">6-1, 7-5</x:t>
  </x:si>
  <x:si>
    <x:t xml:space="preserve">7-5, 6-2, 4-6, 7-5</x:t>
  </x:si>
  <x:si>
    <x:t xml:space="preserve">6-8, 6-3, 6-3</x:t>
  </x:si>
  <x:si>
    <x:t xml:space="preserve">L.M. Watson</x:t>
  </x:si>
  <x:si>
    <x:t xml:space="preserve">6-0, 6-4, 9-7</x:t>
  </x:si>
  <x:si>
    <x:t xml:space="preserve">2-6, 6-3, 6-3, 4-6, 6-3</x:t>
  </x:si>
  <x:si>
    <x:t xml:space="preserve">6-1, 2-6, 4-6, 6-2, 6-2</x:t>
  </x:si>
  <x:si>
    <x:t xml:space="preserve">6-0, 6-1, 6-1</x:t>
  </x:si>
  <x:si>
    <x:t xml:space="preserve">J.T. Hartley</x:t>
  </x:si>
  <x:si>
    <x:t xml:space="preserve">6-3, 6-2, 2-6, 6-3</x:t>
  </x:si>
  <x:si>
    <x:t xml:space="preserve">6-2, 6-4, 6-2</x:t>
  </x:si>
  <x:si>
    <x:t xml:space="preserve">V.T.St.L. Goold</x:t>
  </x:si>
  <x:si>
    <x:t xml:space="preserve">P.F. Hadow</x:t>
  </x:si>
  <x:si>
    <x:t xml:space="preserve">7-5, 6-1, 9-7</x:t>
  </x:si>
  <x:si>
    <x:t xml:space="preserve">S.W. Gore</x:t>
  </x:si>
  <x:si>
    <x:t xml:space="preserve">6-1, 6-2, 6-4</x:t>
  </x:si>
  <x:si>
    <x:t xml:space="preserve">W.C. Marshall</x:t>
  </x:si>
</x:sst>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0"/>
    <x:numFmt numFmtId="203" formatCode="0.000"/>
  </x:numFmts>
  <x:fonts count="4">
    <x:font>
      <x:sz val="11"/>
      <x:name val="Carlito"/>
    </x:font>
    <x:font>
      <x:b/>
      <x:sz val="11"/>
      <x:color rgb="FF000000"/>
      <x:name val="Calibri"/>
    </x:font>
    <x:font>
      <x:b/>
      <x:sz val="11"/>
      <x:color rgb="FFFF0000"/>
      <x:name val="Calibri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b88926ecb4aa1" /><Relationship Type="http://schemas.openxmlformats.org/officeDocument/2006/relationships/theme" Target="/xl/theme/theme1.xml" Id="R2a774af18af74c1b" /><Relationship Type="http://schemas.openxmlformats.org/officeDocument/2006/relationships/sharedStrings" Target="/xl/sharedStrings.xml" Id="R75ac145d6d104975" /><Relationship Type="http://schemas.openxmlformats.org/officeDocument/2006/relationships/worksheet" Target="/xl/worksheets/sheet1.xml" Id="R6bfd0d81b71c4e2a" /><Relationship Type="http://schemas.openxmlformats.org/officeDocument/2006/relationships/worksheet" Target="/xl/worksheets/sheet2.xml" Id="R47eef2436523486c" /><Relationship Type="http://schemas.openxmlformats.org/officeDocument/2006/relationships/worksheet" Target="/xl/worksheets/sheet3.xml" Id="Ra6192643b80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3" max="23" width="14.23046875" hidden="0" customWidth="1"/>
    <x:col min="24" max="24" width="14.23046875" hidden="0" customWidth="1"/>
    <x:col min="25" max="25" width="14.23046875" hidden="0" customWidth="1"/>
    <x:col min="1" max="1" width="4.84375" hidden="0" customWidth="1"/>
    <x:col min="2" max="2" width="11.61328125" hidden="0" customWidth="1"/>
    <x:col min="3" max="3" width="14.4609375" hidden="0" customWidth="1"/>
    <x:col min="4" max="4" width="19.07421875" hidden="0" customWidth="1"/>
    <x:col min="5" max="5" width="16.4609375" hidden="0" customWidth="1"/>
    <x:col min="6" max="6" width="13.84375" hidden="0" customWidth="1"/>
    <x:col min="7" max="7" width="4.921875" hidden="0" customWidth="1"/>
    <x:col min="8" max="8" width="20.69140625" hidden="0" customWidth="1"/>
    <x:col min="9" max="9" width="7.53515625" hidden="0" customWidth="1"/>
    <x:col min="10" max="10" width="7" hidden="0" customWidth="1"/>
    <x:col min="11" max="11" width="8.23046875" hidden="0" customWidth="1"/>
    <x:col min="12" max="12" width="7.69140625" hidden="0" customWidth="1"/>
    <x:col min="13" max="13" width="7.84375" hidden="0" customWidth="1"/>
    <x:col min="14" max="14" width="7.3046875" hidden="0" customWidth="1"/>
    <x:col min="15" max="15" width="7.84375" hidden="0" customWidth="1"/>
    <x:col min="16" max="16" width="7.3046875" hidden="0" customWidth="1"/>
    <x:col min="17" max="17" width="7.84375" hidden="0" customWidth="1"/>
    <x:col min="18" max="18" width="7.3046875" hidden="0" customWidth="1"/>
    <x:col min="19" max="19" width="13.4609375" hidden="0" customWidth="1"/>
    <x:col min="20" max="20" width="19.4609375" hidden="0" customWidth="1"/>
    <x:col min="21" max="21" width="16.84375" hidden="0" customWidth="1"/>
    <x:col min="22" max="22" width="14.23046875" hidden="0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6" t="s">
        <x:v>4</x:v>
      </x:c>
      <x:c r="F1" s="4" t="s">
        <x:v>5</x:v>
      </x:c>
      <x:c r="G1" s="4" t="s">
        <x:v>6</x:v>
      </x:c>
      <x:c r="H1" s="4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4" t="s">
        <x:v>18</x:v>
      </x:c>
      <x:c r="T1" s="4" t="s">
        <x:v>19</x:v>
      </x:c>
      <x:c r="U1" s="6" t="s">
        <x:v>20</x:v>
      </x:c>
      <x:c r="V1" s="4" t="s">
        <x:v>21</x:v>
      </x:c>
      <x:c r="W1" s="4" t="str">
        <x:v>Champion Win Count</x:v>
      </x:c>
      <x:c r="X1" s="4" t="str">
        <x:v>Top Player (5+ titles)</x:v>
      </x:c>
      <x:c r="Y1" s="4" t="str">
        <x:v>Decade</x:v>
      </x:c>
    </x:row>
    <x:row r="2">
      <x:c r="A2">
        <x:v>2026</x:v>
      </x:c>
      <x:c r="B2" t="s">
        <x:v>22</x:v>
      </x:c>
      <x:c r="C2" t="s">
        <x:v>23</x:v>
      </x:c>
      <x:c r="D2" t="s">
        <x:v>24</x:v>
      </x:c>
      <x:c r="E2" t="s">
        <x:v>25</x:v>
      </x:c>
      <x:c r="F2">
        <x:v>9</x:v>
      </x:c>
      <x:c r="G2">
        <x:v>148</x:v>
      </x:c>
      <x:c r="H2" t="s">
        <x:v>26</x:v>
      </x:c>
      <x:c r="I2">
        <x:v>6</x:v>
      </x:c>
      <x:c r="J2">
        <x:v>2</x:v>
      </x:c>
      <x:c r="K2">
        <x:v>5</x:v>
      </x:c>
      <x:c r="L2">
        <x:v>7</x:v>
      </x:c>
      <x:c r="M2">
        <x:v>6</x:v>
      </x:c>
      <x:c r="N2">
        <x:v>3</x:v>
      </x:c>
      <x:c r="O2"/>
      <x:c r="P2"/>
      <x:c r="Q2"/>
      <x:c r="R2"/>
      <x:c r="S2" t="s">
        <x:v>27</x:v>
      </x:c>
      <x:c r="T2" t="s">
        <x:v>24</x:v>
      </x:c>
      <x:c r="U2" t="s">
        <x:v>25</x:v>
      </x:c>
      <x:c r="V2">
        <x:v>10</x:v>
      </x:c>
      <x:c r="W2" s="5" t="n">
        <x:f>COUNTIF($C$2:$C$272,C2)</x:f>
        <x:v>1</x:v>
      </x:c>
      <x:c r="X2" t="str">
        <x:f>IF(W2&gt;=5,"Yes","No")</x:f>
        <x:v>No</x:v>
      </x:c>
      <x:c r="Y2" t="str">
        <x:f>INT(A2/10)*10&amp;"s"</x:f>
        <x:v>2020s</x:v>
      </x:c>
    </x:row>
    <x:row r="3">
      <x:c r="A3">
        <x:v>2026</x:v>
      </x:c>
      <x:c r="B3" t="s">
        <x:v>28</x:v>
      </x:c>
      <x:c r="C3" t="s">
        <x:v>29</x:v>
      </x:c>
      <x:c r="D3" t="s">
        <x:v>30</x:v>
      </x:c>
      <x:c r="E3" t="s">
        <x:v>31</x:v>
      </x:c>
      <x:c r="F3">
        <x:v>1</x:v>
      </x:c>
      <x:c r="G3">
        <x:v>154</x:v>
      </x:c>
      <x:c r="H3" t="s">
        <x:v>32</x:v>
      </x:c>
      <x:c r="I3">
        <x:v>6</x:v>
      </x:c>
      <x:c r="J3">
        <x:v>7</x:v>
      </x:c>
      <x:c r="K3">
        <x:v>7</x:v>
      </x:c>
      <x:c r="L3">
        <x:v>6</x:v>
      </x:c>
      <x:c r="M3">
        <x:v>6</x:v>
      </x:c>
      <x:c r="N3">
        <x:v>3</x:v>
      </x:c>
      <x:c r="O3">
        <x:v>6</x:v>
      </x:c>
      <x:c r="P3">
        <x:v>4</x:v>
      </x:c>
      <x:c r="Q3"/>
      <x:c r="R3"/>
      <x:c r="S3" t="s">
        <x:v>33</x:v>
      </x:c>
      <x:c r="T3" t="s">
        <x:v>34</x:v>
      </x:c>
      <x:c r="U3" t="s">
        <x:v>35</x:v>
      </x:c>
      <x:c r="V3">
        <x:v>2</x:v>
      </x:c>
      <x:c r="W3" s="5" t="n">
        <x:f>COUNTIF($C$2:$C$272,C3)</x:f>
        <x:v>2</x:v>
      </x:c>
      <x:c r="X3" t="str">
        <x:f>IF(W3&gt;=5,"Yes","No")</x:f>
        <x:v>No</x:v>
      </x:c>
      <x:c r="Y3" t="str">
        <x:f>INT(A3/10)*10&amp;"s"</x:f>
        <x:v>2020s</x:v>
      </x:c>
    </x:row>
    <x:row r="4">
      <x:c r="A4">
        <x:v>2025</x:v>
      </x:c>
      <x:c r="B4" t="s">
        <x:v>22</x:v>
      </x:c>
      <x:c r="C4" t="s">
        <x:v>36</x:v>
      </x:c>
      <x:c r="D4" t="s">
        <x:v>37</x:v>
      </x:c>
      <x:c r="E4" t="s">
        <x:v>38</x:v>
      </x:c>
      <x:c r="F4">
        <x:v>8</x:v>
      </x:c>
      <x:c r="G4">
        <x:v>57</x:v>
      </x:c>
      <x:c r="H4" t="s">
        <x:v>39</x:v>
      </x:c>
      <x:c r="I4">
        <x:v>6</x:v>
      </x:c>
      <x:c r="J4">
        <x:v>0</x:v>
      </x:c>
      <x:c r="K4">
        <x:v>6</x:v>
      </x:c>
      <x:c r="L4">
        <x:v>0</x:v>
      </x:c>
      <x:c r="M4"/>
      <x:c r="N4"/>
      <x:c r="O4"/>
      <x:c r="P4"/>
      <x:c r="Q4"/>
      <x:c r="R4"/>
      <x:c r="S4" t="s">
        <x:v>40</x:v>
      </x:c>
      <x:c r="T4" t="s">
        <x:v>41</x:v>
      </x:c>
      <x:c r="U4" t="s">
        <x:v>42</x:v>
      </x:c>
      <x:c r="V4">
        <x:v>13</x:v>
      </x:c>
      <x:c r="W4" s="5" t="n">
        <x:f>COUNTIF($C$2:$C$272,C4)</x:f>
        <x:v>1</x:v>
      </x:c>
      <x:c r="X4" t="str">
        <x:f>IF(W4&gt;=5,"Yes","No")</x:f>
        <x:v>No</x:v>
      </x:c>
      <x:c r="Y4" t="str">
        <x:f>INT(A4/10)*10&amp;"s"</x:f>
        <x:v>2020s</x:v>
      </x:c>
    </x:row>
    <x:row r="5">
      <x:c r="A5">
        <x:v>2025</x:v>
      </x:c>
      <x:c r="B5" t="s">
        <x:v>28</x:v>
      </x:c>
      <x:c r="C5" t="s">
        <x:v>29</x:v>
      </x:c>
      <x:c r="D5" t="s">
        <x:v>30</x:v>
      </x:c>
      <x:c r="E5" t="s">
        <x:v>31</x:v>
      </x:c>
      <x:c r="F5">
        <x:v>1</x:v>
      </x:c>
      <x:c r="G5">
        <x:v>184</x:v>
      </x:c>
      <x:c r="H5" t="s">
        <x:v>43</x:v>
      </x:c>
      <x:c r="I5">
        <x:v>4</x:v>
      </x:c>
      <x:c r="J5">
        <x:v>6</x:v>
      </x:c>
      <x:c r="K5">
        <x:v>6</x:v>
      </x:c>
      <x:c r="L5">
        <x:v>4</x:v>
      </x:c>
      <x:c r="M5">
        <x:v>6</x:v>
      </x:c>
      <x:c r="N5">
        <x:v>4</x:v>
      </x:c>
      <x:c r="O5">
        <x:v>6</x:v>
      </x:c>
      <x:c r="P5">
        <x:v>4</x:v>
      </x:c>
      <x:c r="Q5"/>
      <x:c r="R5"/>
      <x:c r="S5" t="s">
        <x:v>44</x:v>
      </x:c>
      <x:c r="T5" t="s">
        <x:v>45</x:v>
      </x:c>
      <x:c r="U5" t="s">
        <x:v>46</x:v>
      </x:c>
      <x:c r="V5">
        <x:v>2</x:v>
      </x:c>
      <x:c r="W5" s="5" t="n">
        <x:f>COUNTIF($C$2:$C$272,C5)</x:f>
        <x:v>2</x:v>
      </x:c>
      <x:c r="X5" t="str">
        <x:f>IF(W5&gt;=5,"Yes","No")</x:f>
        <x:v>No</x:v>
      </x:c>
      <x:c r="Y5" t="str">
        <x:f>INT(A5/10)*10&amp;"s"</x:f>
        <x:v>2020s</x:v>
      </x:c>
    </x:row>
    <x:row r="6">
      <x:c r="A6">
        <x:v>2024</x:v>
      </x:c>
      <x:c r="B6" t="s">
        <x:v>22</x:v>
      </x:c>
      <x:c r="C6" t="s">
        <x:v>47</x:v>
      </x:c>
      <x:c r="D6" t="s">
        <x:v>24</x:v>
      </x:c>
      <x:c r="E6" t="s">
        <x:v>25</x:v>
      </x:c>
      <x:c r="F6">
        <x:v>31</x:v>
      </x:c>
      <x:c r="G6">
        <x:v>116</x:v>
      </x:c>
      <x:c r="H6" t="s">
        <x:v>48</x:v>
      </x:c>
      <x:c r="I6">
        <x:v>6</x:v>
      </x:c>
      <x:c r="J6">
        <x:v>2</x:v>
      </x:c>
      <x:c r="K6">
        <x:v>2</x:v>
      </x:c>
      <x:c r="L6">
        <x:v>6</x:v>
      </x:c>
      <x:c r="M6">
        <x:v>6</x:v>
      </x:c>
      <x:c r="N6">
        <x:v>4</x:v>
      </x:c>
      <x:c r="O6"/>
      <x:c r="P6"/>
      <x:c r="Q6"/>
      <x:c r="R6"/>
      <x:c r="S6" t="s">
        <x:v>49</x:v>
      </x:c>
      <x:c r="T6" t="s">
        <x:v>30</x:v>
      </x:c>
      <x:c r="U6" t="s">
        <x:v>31</x:v>
      </x:c>
      <x:c r="V6">
        <x:v>7</x:v>
      </x:c>
      <x:c r="W6" s="5" t="n">
        <x:f>COUNTIF($C$2:$C$272,C6)</x:f>
        <x:v>1</x:v>
      </x:c>
      <x:c r="X6" t="str">
        <x:f>IF(W6&gt;=5,"Yes","No")</x:f>
        <x:v>No</x:v>
      </x:c>
      <x:c r="Y6" t="str">
        <x:f>INT(A6/10)*10&amp;"s"</x:f>
        <x:v>2020s</x:v>
      </x:c>
    </x:row>
    <x:row r="7">
      <x:c r="A7">
        <x:v>2024</x:v>
      </x:c>
      <x:c r="B7" t="s">
        <x:v>28</x:v>
      </x:c>
      <x:c r="C7" t="s">
        <x:v>44</x:v>
      </x:c>
      <x:c r="D7" t="s">
        <x:v>45</x:v>
      </x:c>
      <x:c r="E7" t="s">
        <x:v>46</x:v>
      </x:c>
      <x:c r="F7">
        <x:v>3</x:v>
      </x:c>
      <x:c r="G7">
        <x:v>147</x:v>
      </x:c>
      <x:c r="H7" t="s">
        <x:v>50</x:v>
      </x:c>
      <x:c r="I7">
        <x:v>6</x:v>
      </x:c>
      <x:c r="J7">
        <x:v>2</x:v>
      </x:c>
      <x:c r="K7">
        <x:v>6</x:v>
      </x:c>
      <x:c r="L7">
        <x:v>2</x:v>
      </x:c>
      <x:c r="M7">
        <x:v>7</x:v>
      </x:c>
      <x:c r="N7">
        <x:v>6</x:v>
      </x:c>
      <x:c r="O7"/>
      <x:c r="P7"/>
      <x:c r="Q7"/>
      <x:c r="R7"/>
      <x:c r="S7" t="s">
        <x:v>51</x:v>
      </x:c>
      <x:c r="T7" t="s">
        <x:v>52</x:v>
      </x:c>
      <x:c r="U7" t="s">
        <x:v>53</x:v>
      </x:c>
      <x:c r="V7">
        <x:v>2</x:v>
      </x:c>
      <x:c r="W7" s="5" t="n">
        <x:f>COUNTIF($C$2:$C$272,C7)</x:f>
        <x:v>1</x:v>
      </x:c>
      <x:c r="X7" t="str">
        <x:f>IF(W7&gt;=5,"Yes","No")</x:f>
        <x:v>No</x:v>
      </x:c>
      <x:c r="Y7" t="str">
        <x:f>INT(A7/10)*10&amp;"s"</x:f>
        <x:v>2020s</x:v>
      </x:c>
    </x:row>
    <x:row r="8">
      <x:c r="A8">
        <x:v>2023</x:v>
      </x:c>
      <x:c r="B8" t="s">
        <x:v>22</x:v>
      </x:c>
      <x:c r="C8" t="s">
        <x:v>54</x:v>
      </x:c>
      <x:c r="D8" t="s">
        <x:v>24</x:v>
      </x:c>
      <x:c r="E8" t="s">
        <x:v>25</x:v>
      </x:c>
      <x:c r="F8" t="s">
        <x:v>55</x:v>
      </x:c>
      <x:c r="G8">
        <x:v>80</x:v>
      </x:c>
      <x:c r="H8" t="s">
        <x:v>56</x:v>
      </x:c>
      <x:c r="I8">
        <x:v>6</x:v>
      </x:c>
      <x:c r="J8">
        <x:v>4</x:v>
      </x:c>
      <x:c r="K8">
        <x:v>6</x:v>
      </x:c>
      <x:c r="L8">
        <x:v>4</x:v>
      </x:c>
      <x:c r="M8"/>
      <x:c r="N8"/>
      <x:c r="O8"/>
      <x:c r="P8"/>
      <x:c r="Q8"/>
      <x:c r="R8"/>
      <x:c r="S8" t="s">
        <x:v>57</x:v>
      </x:c>
      <x:c r="T8" t="s">
        <x:v>58</x:v>
      </x:c>
      <x:c r="U8" t="s">
        <x:v>59</x:v>
      </x:c>
      <x:c r="V8">
        <x:v>6</x:v>
      </x:c>
      <x:c r="W8" s="5" t="n">
        <x:f>COUNTIF($C$2:$C$272,C8)</x:f>
        <x:v>1</x:v>
      </x:c>
      <x:c r="X8" t="str">
        <x:f>IF(W8&gt;=5,"Yes","No")</x:f>
        <x:v>No</x:v>
      </x:c>
      <x:c r="Y8" t="str">
        <x:f>INT(A8/10)*10&amp;"s"</x:f>
        <x:v>2020s</x:v>
      </x:c>
    </x:row>
    <x:row r="9">
      <x:c r="A9">
        <x:v>2023</x:v>
      </x:c>
      <x:c r="B9" t="s">
        <x:v>28</x:v>
      </x:c>
      <x:c r="C9" t="s">
        <x:v>60</x:v>
      </x:c>
      <x:c r="D9" t="s">
        <x:v>45</x:v>
      </x:c>
      <x:c r="E9" t="s">
        <x:v>46</x:v>
      </x:c>
      <x:c r="F9">
        <x:v>1</x:v>
      </x:c>
      <x:c r="G9">
        <x:v>283</x:v>
      </x:c>
      <x:c r="H9" t="s">
        <x:v>61</x:v>
      </x:c>
      <x:c r="I9">
        <x:v>1</x:v>
      </x:c>
      <x:c r="J9">
        <x:v>6</x:v>
      </x:c>
      <x:c r="K9">
        <x:v>7</x:v>
      </x:c>
      <x:c r="L9">
        <x:v>6</x:v>
      </x:c>
      <x:c r="M9">
        <x:v>6</x:v>
      </x:c>
      <x:c r="N9">
        <x:v>1</x:v>
      </x:c>
      <x:c r="O9">
        <x:v>3</x:v>
      </x:c>
      <x:c r="P9">
        <x:v>6</x:v>
      </x:c>
      <x:c r="Q9">
        <x:v>6</x:v>
      </x:c>
      <x:c r="R9">
        <x:v>4</x:v>
      </x:c>
      <x:c r="S9" t="s">
        <x:v>62</x:v>
      </x:c>
      <x:c r="T9" t="s">
        <x:v>52</x:v>
      </x:c>
      <x:c r="U9" t="s">
        <x:v>53</x:v>
      </x:c>
      <x:c r="V9">
        <x:v>2</x:v>
      </x:c>
      <x:c r="W9" s="5" t="n">
        <x:f>COUNTIF($C$2:$C$272,C9)</x:f>
        <x:v>1</x:v>
      </x:c>
      <x:c r="X9" t="str">
        <x:f>IF(W9&gt;=5,"Yes","No")</x:f>
        <x:v>No</x:v>
      </x:c>
      <x:c r="Y9" t="str">
        <x:f>INT(A9/10)*10&amp;"s"</x:f>
        <x:v>2020s</x:v>
      </x:c>
    </x:row>
    <x:row r="10">
      <x:c r="A10">
        <x:v>2022</x:v>
      </x:c>
      <x:c r="B10" t="s">
        <x:v>22</x:v>
      </x:c>
      <x:c r="C10" t="s">
        <x:v>63</x:v>
      </x:c>
      <x:c r="D10" t="s">
        <x:v>64</x:v>
      </x:c>
      <x:c r="E10" t="s">
        <x:v>65</x:v>
      </x:c>
      <x:c r="F10">
        <x:v>17</x:v>
      </x:c>
      <x:c r="G10">
        <x:v>108</x:v>
      </x:c>
      <x:c r="H10" t="s">
        <x:v>66</x:v>
      </x:c>
      <x:c r="I10">
        <x:v>3</x:v>
      </x:c>
      <x:c r="J10">
        <x:v>6</x:v>
      </x:c>
      <x:c r="K10">
        <x:v>6</x:v>
      </x:c>
      <x:c r="L10">
        <x:v>5</x:v>
      </x:c>
      <x:c r="M10">
        <x:v>6</x:v>
      </x:c>
      <x:c r="N10">
        <x:v>2</x:v>
      </x:c>
      <x:c r="O10"/>
      <x:c r="P10"/>
      <x:c r="Q10"/>
      <x:c r="R10"/>
      <x:c r="S10" t="s">
        <x:v>67</x:v>
      </x:c>
      <x:c r="T10" t="s">
        <x:v>58</x:v>
      </x:c>
      <x:c r="U10" t="s">
        <x:v>59</x:v>
      </x:c>
      <x:c r="V10">
        <x:v>3</x:v>
      </x:c>
      <x:c r="W10" s="5" t="n">
        <x:f>COUNTIF($C$2:$C$272,C10)</x:f>
        <x:v>1</x:v>
      </x:c>
      <x:c r="X10" t="str">
        <x:f>IF(W10&gt;=5,"Yes","No")</x:f>
        <x:v>No</x:v>
      </x:c>
      <x:c r="Y10" t="str">
        <x:f>INT(A10/10)*10&amp;"s"</x:f>
        <x:v>2020s</x:v>
      </x:c>
    </x:row>
    <x:row r="11">
      <x:c r="A11">
        <x:v>2022</x:v>
      </x:c>
      <x:c r="B11" t="s">
        <x:v>28</x:v>
      </x:c>
      <x:c r="C11" t="s">
        <x:v>51</x:v>
      </x:c>
      <x:c r="D11" t="s">
        <x:v>52</x:v>
      </x:c>
      <x:c r="E11" t="s">
        <x:v>53</x:v>
      </x:c>
      <x:c r="F11">
        <x:v>1</x:v>
      </x:c>
      <x:c r="G11">
        <x:v>181</x:v>
      </x:c>
      <x:c r="H11" t="s">
        <x:v>68</x:v>
      </x:c>
      <x:c r="I11">
        <x:v>4</x:v>
      </x:c>
      <x:c r="J11">
        <x:v>6</x:v>
      </x:c>
      <x:c r="K11">
        <x:v>6</x:v>
      </x:c>
      <x:c r="L11">
        <x:v>3</x:v>
      </x:c>
      <x:c r="M11">
        <x:v>6</x:v>
      </x:c>
      <x:c r="N11">
        <x:v>4</x:v>
      </x:c>
      <x:c r="O11">
        <x:v>7</x:v>
      </x:c>
      <x:c r="P11">
        <x:v>6</x:v>
      </x:c>
      <x:c r="Q11"/>
      <x:c r="R11"/>
      <x:c r="S11" t="s">
        <x:v>69</x:v>
      </x:c>
      <x:c r="T11" t="s">
        <x:v>70</x:v>
      </x:c>
      <x:c r="U11" t="s">
        <x:v>71</x:v>
      </x:c>
      <x:c r="V11" t="s">
        <x:v>55</x:v>
      </x:c>
      <x:c r="W11" s="5" t="n">
        <x:f>COUNTIF($C$2:$C$272,C11)</x:f>
        <x:v>7</x:v>
      </x:c>
      <x:c r="X11" t="str">
        <x:f>IF(W11&gt;=5,"Yes","No")</x:f>
        <x:v>Yes</x:v>
      </x:c>
      <x:c r="Y11" t="str">
        <x:f>INT(A11/10)*10&amp;"s"</x:f>
        <x:v>2020s</x:v>
      </x:c>
    </x:row>
    <x:row r="12">
      <x:c r="A12">
        <x:v>2021</x:v>
      </x:c>
      <x:c r="B12" t="s">
        <x:v>22</x:v>
      </x:c>
      <x:c r="C12" t="s">
        <x:v>72</x:v>
      </x:c>
      <x:c r="D12" t="s">
        <x:v>73</x:v>
      </x:c>
      <x:c r="E12" t="s">
        <x:v>71</x:v>
      </x:c>
      <x:c r="F12">
        <x:v>1</x:v>
      </x:c>
      <x:c r="G12">
        <x:v>116</x:v>
      </x:c>
      <x:c r="H12" t="s">
        <x:v>74</x:v>
      </x:c>
      <x:c r="I12">
        <x:v>6</x:v>
      </x:c>
      <x:c r="J12">
        <x:v>3</x:v>
      </x:c>
      <x:c r="K12">
        <x:v>6</x:v>
      </x:c>
      <x:c r="L12">
        <x:v>7</x:v>
      </x:c>
      <x:c r="M12">
        <x:v>6</x:v>
      </x:c>
      <x:c r="N12">
        <x:v>3</x:v>
      </x:c>
      <x:c r="O12"/>
      <x:c r="P12"/>
      <x:c r="Q12"/>
      <x:c r="R12"/>
      <x:c r="S12" t="s">
        <x:v>75</x:v>
      </x:c>
      <x:c r="T12" t="s">
        <x:v>24</x:v>
      </x:c>
      <x:c r="U12" t="s">
        <x:v>25</x:v>
      </x:c>
      <x:c r="V12">
        <x:v>8</x:v>
      </x:c>
      <x:c r="W12" s="5" t="n">
        <x:f>COUNTIF($C$2:$C$272,C12)</x:f>
        <x:v>1</x:v>
      </x:c>
      <x:c r="X12" t="str">
        <x:f>IF(W12&gt;=5,"Yes","No")</x:f>
        <x:v>No</x:v>
      </x:c>
      <x:c r="Y12" t="str">
        <x:f>INT(A12/10)*10&amp;"s"</x:f>
        <x:v>2020s</x:v>
      </x:c>
    </x:row>
    <x:row r="13">
      <x:c r="A13">
        <x:v>2021</x:v>
      </x:c>
      <x:c r="B13" t="s">
        <x:v>28</x:v>
      </x:c>
      <x:c r="C13" t="s">
        <x:v>51</x:v>
      </x:c>
      <x:c r="D13" t="s">
        <x:v>52</x:v>
      </x:c>
      <x:c r="E13" t="s">
        <x:v>53</x:v>
      </x:c>
      <x:c r="F13">
        <x:v>1</x:v>
      </x:c>
      <x:c r="G13">
        <x:v>204</x:v>
      </x:c>
      <x:c r="H13" t="s">
        <x:v>76</x:v>
      </x:c>
      <x:c r="I13">
        <x:v>6</x:v>
      </x:c>
      <x:c r="J13">
        <x:v>7</x:v>
      </x:c>
      <x:c r="K13">
        <x:v>6</x:v>
      </x:c>
      <x:c r="L13">
        <x:v>4</x:v>
      </x:c>
      <x:c r="M13">
        <x:v>6</x:v>
      </x:c>
      <x:c r="N13">
        <x:v>4</x:v>
      </x:c>
      <x:c r="O13">
        <x:v>6</x:v>
      </x:c>
      <x:c r="P13">
        <x:v>3</x:v>
      </x:c>
      <x:c r="Q13"/>
      <x:c r="R13"/>
      <x:c r="S13" t="s">
        <x:v>77</x:v>
      </x:c>
      <x:c r="T13" t="s">
        <x:v>30</x:v>
      </x:c>
      <x:c r="U13" t="s">
        <x:v>31</x:v>
      </x:c>
      <x:c r="V13">
        <x:v>7</x:v>
      </x:c>
      <x:c r="W13" s="5" t="n">
        <x:f>COUNTIF($C$2:$C$272,C13)</x:f>
        <x:v>7</x:v>
      </x:c>
      <x:c r="X13" t="str">
        <x:f>IF(W13&gt;=5,"Yes","No")</x:f>
        <x:v>Yes</x:v>
      </x:c>
      <x:c r="Y13" t="str">
        <x:f>INT(A13/10)*10&amp;"s"</x:f>
        <x:v>2020s</x:v>
      </x:c>
    </x:row>
    <x:row r="14">
      <x:c r="A14">
        <x:v>2019</x:v>
      </x:c>
      <x:c r="B14" t="s">
        <x:v>22</x:v>
      </x:c>
      <x:c r="C14" t="s">
        <x:v>78</x:v>
      </x:c>
      <x:c r="D14" t="s">
        <x:v>79</x:v>
      </x:c>
      <x:c r="E14" t="s">
        <x:v>80</x:v>
      </x:c>
      <x:c r="F14">
        <x:v>7</x:v>
      </x:c>
      <x:c r="G14">
        <x:v>56</x:v>
      </x:c>
      <x:c r="H14" t="s">
        <x:v>81</x:v>
      </x:c>
      <x:c r="I14">
        <x:v>6</x:v>
      </x:c>
      <x:c r="J14">
        <x:v>2</x:v>
      </x:c>
      <x:c r="K14">
        <x:v>6</x:v>
      </x:c>
      <x:c r="L14">
        <x:v>2</x:v>
      </x:c>
      <x:c r="M14"/>
      <x:c r="N14"/>
      <x:c r="O14"/>
      <x:c r="P14"/>
      <x:c r="Q14"/>
      <x:c r="R14"/>
      <x:c r="S14" t="s">
        <x:v>82</x:v>
      </x:c>
      <x:c r="T14" t="s">
        <x:v>41</x:v>
      </x:c>
      <x:c r="U14" t="s">
        <x:v>42</x:v>
      </x:c>
      <x:c r="V14">
        <x:v>11</x:v>
      </x:c>
      <x:c r="W14" s="5" t="n">
        <x:f>COUNTIF($C$2:$C$272,C14)</x:f>
        <x:v>1</x:v>
      </x:c>
      <x:c r="X14" t="str">
        <x:f>IF(W14&gt;=5,"Yes","No")</x:f>
        <x:v>No</x:v>
      </x:c>
      <x:c r="Y14" t="str">
        <x:f>INT(A14/10)*10&amp;"s"</x:f>
        <x:v>2010s</x:v>
      </x:c>
    </x:row>
    <x:row r="15">
      <x:c r="A15">
        <x:v>2019</x:v>
      </x:c>
      <x:c r="B15" t="s">
        <x:v>28</x:v>
      </x:c>
      <x:c r="C15" t="s">
        <x:v>51</x:v>
      </x:c>
      <x:c r="D15" t="s">
        <x:v>52</x:v>
      </x:c>
      <x:c r="E15" t="s">
        <x:v>53</x:v>
      </x:c>
      <x:c r="F15">
        <x:v>1</x:v>
      </x:c>
      <x:c r="G15">
        <x:v>297</x:v>
      </x:c>
      <x:c r="H15" t="s">
        <x:v>83</x:v>
      </x:c>
      <x:c r="I15">
        <x:v>7</x:v>
      </x:c>
      <x:c r="J15">
        <x:v>6</x:v>
      </x:c>
      <x:c r="K15">
        <x:v>1</x:v>
      </x:c>
      <x:c r="L15">
        <x:v>6</x:v>
      </x:c>
      <x:c r="M15">
        <x:v>7</x:v>
      </x:c>
      <x:c r="N15">
        <x:v>6</x:v>
      </x:c>
      <x:c r="O15">
        <x:v>4</x:v>
      </x:c>
      <x:c r="P15">
        <x:v>6</x:v>
      </x:c>
      <x:c r="Q15">
        <x:v>7</x:v>
      </x:c>
      <x:c r="R15">
        <x:v>6</x:v>
      </x:c>
      <x:c r="S15" t="s">
        <x:v>84</x:v>
      </x:c>
      <x:c r="T15" t="s">
        <x:v>85</x:v>
      </x:c>
      <x:c r="U15" t="s">
        <x:v>86</x:v>
      </x:c>
      <x:c r="V15">
        <x:v>2</x:v>
      </x:c>
      <x:c r="W15" s="5" t="n">
        <x:f>COUNTIF($C$2:$C$272,C15)</x:f>
        <x:v>7</x:v>
      </x:c>
      <x:c r="X15" t="str">
        <x:f>IF(W15&gt;=5,"Yes","No")</x:f>
        <x:v>Yes</x:v>
      </x:c>
      <x:c r="Y15" t="str">
        <x:f>INT(A15/10)*10&amp;"s"</x:f>
        <x:v>2010s</x:v>
      </x:c>
    </x:row>
    <x:row r="16">
      <x:c r="A16">
        <x:v>2018</x:v>
      </x:c>
      <x:c r="B16" t="s">
        <x:v>22</x:v>
      </x:c>
      <x:c r="C16" t="s">
        <x:v>87</x:v>
      </x:c>
      <x:c r="D16" t="s">
        <x:v>34</x:v>
      </x:c>
      <x:c r="E16" t="s">
        <x:v>35</x:v>
      </x:c>
      <x:c r="F16">
        <x:v>11</x:v>
      </x:c>
      <x:c r="G16">
        <x:v>65</x:v>
      </x:c>
      <x:c r="H16" t="s">
        <x:v>88</x:v>
      </x:c>
      <x:c r="I16">
        <x:v>6</x:v>
      </x:c>
      <x:c r="J16">
        <x:v>3</x:v>
      </x:c>
      <x:c r="K16">
        <x:v>6</x:v>
      </x:c>
      <x:c r="L16">
        <x:v>3</x:v>
      </x:c>
      <x:c r="M16"/>
      <x:c r="N16"/>
      <x:c r="O16"/>
      <x:c r="P16"/>
      <x:c r="Q16"/>
      <x:c r="R16"/>
      <x:c r="S16" t="s">
        <x:v>82</x:v>
      </x:c>
      <x:c r="T16" t="s">
        <x:v>41</x:v>
      </x:c>
      <x:c r="U16" t="s">
        <x:v>42</x:v>
      </x:c>
      <x:c r="V16">
        <x:v>25</x:v>
      </x:c>
      <x:c r="W16" s="5" t="n">
        <x:f>COUNTIF($C$2:$C$272,C16)</x:f>
        <x:v>1</x:v>
      </x:c>
      <x:c r="X16" t="str">
        <x:f>IF(W16&gt;=5,"Yes","No")</x:f>
        <x:v>No</x:v>
      </x:c>
      <x:c r="Y16" t="str">
        <x:f>INT(A16/10)*10&amp;"s"</x:f>
        <x:v>2010s</x:v>
      </x:c>
    </x:row>
    <x:row r="17">
      <x:c r="A17">
        <x:v>2018</x:v>
      </x:c>
      <x:c r="B17" t="s">
        <x:v>28</x:v>
      </x:c>
      <x:c r="C17" t="s">
        <x:v>51</x:v>
      </x:c>
      <x:c r="D17" t="s">
        <x:v>52</x:v>
      </x:c>
      <x:c r="E17" t="s">
        <x:v>53</x:v>
      </x:c>
      <x:c r="F17">
        <x:v>12</x:v>
      </x:c>
      <x:c r="G17">
        <x:v>170</x:v>
      </x:c>
      <x:c r="H17" t="s">
        <x:v>89</x:v>
      </x:c>
      <x:c r="I17">
        <x:v>6</x:v>
      </x:c>
      <x:c r="J17">
        <x:v>2</x:v>
      </x:c>
      <x:c r="K17">
        <x:v>6</x:v>
      </x:c>
      <x:c r="L17">
        <x:v>2</x:v>
      </x:c>
      <x:c r="M17">
        <x:v>7</x:v>
      </x:c>
      <x:c r="N17">
        <x:v>6</x:v>
      </x:c>
      <x:c r="O17"/>
      <x:c r="P17"/>
      <x:c r="Q17"/>
      <x:c r="R17"/>
      <x:c r="S17" t="s">
        <x:v>90</x:v>
      </x:c>
      <x:c r="T17" t="s">
        <x:v>91</x:v>
      </x:c>
      <x:c r="U17" t="s">
        <x:v>92</x:v>
      </x:c>
      <x:c r="V17">
        <x:v>8</x:v>
      </x:c>
      <x:c r="W17" s="5" t="n">
        <x:f>COUNTIF($C$2:$C$272,C17)</x:f>
        <x:v>7</x:v>
      </x:c>
      <x:c r="X17" t="str">
        <x:f>IF(W17&gt;=5,"Yes","No")</x:f>
        <x:v>Yes</x:v>
      </x:c>
      <x:c r="Y17" t="str">
        <x:f>INT(A17/10)*10&amp;"s"</x:f>
        <x:v>2010s</x:v>
      </x:c>
    </x:row>
    <x:row r="18">
      <x:c r="A18">
        <x:v>2017</x:v>
      </x:c>
      <x:c r="B18" t="s">
        <x:v>22</x:v>
      </x:c>
      <x:c r="C18" t="s">
        <x:v>93</x:v>
      </x:c>
      <x:c r="D18" t="s">
        <x:v>45</x:v>
      </x:c>
      <x:c r="E18" t="s">
        <x:v>46</x:v>
      </x:c>
      <x:c r="F18">
        <x:v>14</x:v>
      </x:c>
      <x:c r="G18">
        <x:v>77</x:v>
      </x:c>
      <x:c r="H18" t="s">
        <x:v>94</x:v>
      </x:c>
      <x:c r="I18">
        <x:v>7</x:v>
      </x:c>
      <x:c r="J18">
        <x:v>5</x:v>
      </x:c>
      <x:c r="K18">
        <x:v>6</x:v>
      </x:c>
      <x:c r="L18">
        <x:v>0</x:v>
      </x:c>
      <x:c r="M18"/>
      <x:c r="N18"/>
      <x:c r="O18"/>
      <x:c r="P18"/>
      <x:c r="Q18"/>
      <x:c r="R18"/>
      <x:c r="S18" t="s">
        <x:v>95</x:v>
      </x:c>
      <x:c r="T18" t="s">
        <x:v>41</x:v>
      </x:c>
      <x:c r="U18" t="s">
        <x:v>42</x:v>
      </x:c>
      <x:c r="V18">
        <x:v>10</x:v>
      </x:c>
      <x:c r="W18" s="5" t="n">
        <x:f>COUNTIF($C$2:$C$272,C18)</x:f>
        <x:v>1</x:v>
      </x:c>
      <x:c r="X18" t="str">
        <x:f>IF(W18&gt;=5,"Yes","No")</x:f>
        <x:v>No</x:v>
      </x:c>
      <x:c r="Y18" t="str">
        <x:f>INT(A18/10)*10&amp;"s"</x:f>
        <x:v>2010s</x:v>
      </x:c>
    </x:row>
    <x:row r="19">
      <x:c r="A19">
        <x:v>2017</x:v>
      </x:c>
      <x:c r="B19" t="s">
        <x:v>28</x:v>
      </x:c>
      <x:c r="C19" t="s">
        <x:v>84</x:v>
      </x:c>
      <x:c r="D19" t="s">
        <x:v>85</x:v>
      </x:c>
      <x:c r="E19" t="s">
        <x:v>86</x:v>
      </x:c>
      <x:c r="F19">
        <x:v>3</x:v>
      </x:c>
      <x:c r="G19">
        <x:v>101</x:v>
      </x:c>
      <x:c r="H19" t="s">
        <x:v>96</x:v>
      </x:c>
      <x:c r="I19">
        <x:v>6</x:v>
      </x:c>
      <x:c r="J19">
        <x:v>3</x:v>
      </x:c>
      <x:c r="K19">
        <x:v>6</x:v>
      </x:c>
      <x:c r="L19">
        <x:v>1</x:v>
      </x:c>
      <x:c r="M19">
        <x:v>6</x:v>
      </x:c>
      <x:c r="N19">
        <x:v>4</x:v>
      </x:c>
      <x:c r="O19"/>
      <x:c r="P19"/>
      <x:c r="Q19"/>
      <x:c r="R19"/>
      <x:c r="S19" t="s">
        <x:v>97</x:v>
      </x:c>
      <x:c r="T19" t="s">
        <x:v>98</x:v>
      </x:c>
      <x:c r="U19" t="s">
        <x:v>99</x:v>
      </x:c>
      <x:c r="V19">
        <x:v>7</x:v>
      </x:c>
      <x:c r="W19" s="5" t="n">
        <x:f>COUNTIF($C$2:$C$272,C19)</x:f>
        <x:v>8</x:v>
      </x:c>
      <x:c r="X19" t="str">
        <x:f>IF(W19&gt;=5,"Yes","No")</x:f>
        <x:v>Yes</x:v>
      </x:c>
      <x:c r="Y19" t="str">
        <x:f>INT(A19/10)*10&amp;"s"</x:f>
        <x:v>2010s</x:v>
      </x:c>
    </x:row>
    <x:row r="20">
      <x:c r="A20">
        <x:v>2016</x:v>
      </x:c>
      <x:c r="B20" t="s">
        <x:v>22</x:v>
      </x:c>
      <x:c r="C20" t="s">
        <x:v>82</x:v>
      </x:c>
      <x:c r="D20" t="s">
        <x:v>41</x:v>
      </x:c>
      <x:c r="E20" t="s">
        <x:v>42</x:v>
      </x:c>
      <x:c r="F20">
        <x:v>1</x:v>
      </x:c>
      <x:c r="G20">
        <x:v>83</x:v>
      </x:c>
      <x:c r="H20" t="s">
        <x:v>100</x:v>
      </x:c>
      <x:c r="I20">
        <x:v>7</x:v>
      </x:c>
      <x:c r="J20">
        <x:v>5</x:v>
      </x:c>
      <x:c r="K20">
        <x:v>6</x:v>
      </x:c>
      <x:c r="L20">
        <x:v>3</x:v>
      </x:c>
      <x:c r="M20"/>
      <x:c r="N20"/>
      <x:c r="O20"/>
      <x:c r="P20"/>
      <x:c r="Q20"/>
      <x:c r="R20"/>
      <x:c r="S20" t="s">
        <x:v>87</x:v>
      </x:c>
      <x:c r="T20" t="s">
        <x:v>34</x:v>
      </x:c>
      <x:c r="U20" t="s">
        <x:v>35</x:v>
      </x:c>
      <x:c r="V20">
        <x:v>4</x:v>
      </x:c>
      <x:c r="W20" s="5" t="n">
        <x:f>COUNTIF($C$2:$C$272,C20)</x:f>
        <x:v>7</x:v>
      </x:c>
      <x:c r="X20" t="str">
        <x:f>IF(W20&gt;=5,"Yes","No")</x:f>
        <x:v>Yes</x:v>
      </x:c>
      <x:c r="Y20" t="str">
        <x:f>INT(A20/10)*10&amp;"s"</x:f>
        <x:v>2010s</x:v>
      </x:c>
    </x:row>
    <x:row r="21">
      <x:c r="A21">
        <x:v>2016</x:v>
      </x:c>
      <x:c r="B21" t="s">
        <x:v>28</x:v>
      </x:c>
      <x:c r="C21" t="s">
        <x:v>101</x:v>
      </x:c>
      <x:c r="D21" t="s">
        <x:v>102</x:v>
      </x:c>
      <x:c r="E21" t="s">
        <x:v>103</x:v>
      </x:c>
      <x:c r="F21">
        <x:v>2</x:v>
      </x:c>
      <x:c r="G21">
        <x:v>170</x:v>
      </x:c>
      <x:c r="H21" t="s">
        <x:v>104</x:v>
      </x:c>
      <x:c r="I21">
        <x:v>6</x:v>
      </x:c>
      <x:c r="J21">
        <x:v>4</x:v>
      </x:c>
      <x:c r="K21">
        <x:v>7</x:v>
      </x:c>
      <x:c r="L21">
        <x:v>6</x:v>
      </x:c>
      <x:c r="M21">
        <x:v>7</x:v>
      </x:c>
      <x:c r="N21">
        <x:v>6</x:v>
      </x:c>
      <x:c r="O21"/>
      <x:c r="P21"/>
      <x:c r="Q21"/>
      <x:c r="R21"/>
      <x:c r="S21" t="s">
        <x:v>105</x:v>
      </x:c>
      <x:c r="T21" t="s">
        <x:v>106</x:v>
      </x:c>
      <x:c r="U21" t="s">
        <x:v>107</x:v>
      </x:c>
      <x:c r="V21">
        <x:v>6</x:v>
      </x:c>
      <x:c r="W21" s="5" t="n">
        <x:f>COUNTIF($C$2:$C$272,C21)</x:f>
        <x:v>2</x:v>
      </x:c>
      <x:c r="X21" t="str">
        <x:f>IF(W21&gt;=5,"Yes","No")</x:f>
        <x:v>No</x:v>
      </x:c>
      <x:c r="Y21" t="str">
        <x:f>INT(A21/10)*10&amp;"s"</x:f>
        <x:v>2010s</x:v>
      </x:c>
    </x:row>
    <x:row r="22">
      <x:c r="A22">
        <x:v>2015</x:v>
      </x:c>
      <x:c r="B22" t="s">
        <x:v>22</x:v>
      </x:c>
      <x:c r="C22" t="s">
        <x:v>82</x:v>
      </x:c>
      <x:c r="D22" t="s">
        <x:v>41</x:v>
      </x:c>
      <x:c r="E22" t="s">
        <x:v>42</x:v>
      </x:c>
      <x:c r="F22">
        <x:v>1</x:v>
      </x:c>
      <x:c r="G22">
        <x:v>83</x:v>
      </x:c>
      <x:c r="H22" t="s">
        <x:v>56</x:v>
      </x:c>
      <x:c r="I22">
        <x:v>6</x:v>
      </x:c>
      <x:c r="J22">
        <x:v>4</x:v>
      </x:c>
      <x:c r="K22">
        <x:v>6</x:v>
      </x:c>
      <x:c r="L22">
        <x:v>4</x:v>
      </x:c>
      <x:c r="M22"/>
      <x:c r="N22"/>
      <x:c r="O22"/>
      <x:c r="P22"/>
      <x:c r="Q22"/>
      <x:c r="R22"/>
      <x:c r="S22" t="s">
        <x:v>93</x:v>
      </x:c>
      <x:c r="T22" t="s">
        <x:v>45</x:v>
      </x:c>
      <x:c r="U22" t="s">
        <x:v>46</x:v>
      </x:c>
      <x:c r="V22">
        <x:v>20</x:v>
      </x:c>
      <x:c r="W22" s="5" t="n">
        <x:f>COUNTIF($C$2:$C$272,C22)</x:f>
        <x:v>7</x:v>
      </x:c>
      <x:c r="X22" t="str">
        <x:f>IF(W22&gt;=5,"Yes","No")</x:f>
        <x:v>Yes</x:v>
      </x:c>
      <x:c r="Y22" t="str">
        <x:f>INT(A22/10)*10&amp;"s"</x:f>
        <x:v>2010s</x:v>
      </x:c>
    </x:row>
    <x:row r="23">
      <x:c r="A23">
        <x:v>2015</x:v>
      </x:c>
      <x:c r="B23" t="s">
        <x:v>28</x:v>
      </x:c>
      <x:c r="C23" t="s">
        <x:v>51</x:v>
      </x:c>
      <x:c r="D23" t="s">
        <x:v>52</x:v>
      </x:c>
      <x:c r="E23" t="s">
        <x:v>53</x:v>
      </x:c>
      <x:c r="F23">
        <x:v>1</x:v>
      </x:c>
      <x:c r="G23">
        <x:v>176</x:v>
      </x:c>
      <x:c r="H23" t="s">
        <x:v>108</x:v>
      </x:c>
      <x:c r="I23">
        <x:v>7</x:v>
      </x:c>
      <x:c r="J23">
        <x:v>6</x:v>
      </x:c>
      <x:c r="K23">
        <x:v>6</x:v>
      </x:c>
      <x:c r="L23">
        <x:v>7</x:v>
      </x:c>
      <x:c r="M23">
        <x:v>6</x:v>
      </x:c>
      <x:c r="N23">
        <x:v>4</x:v>
      </x:c>
      <x:c r="O23">
        <x:v>6</x:v>
      </x:c>
      <x:c r="P23">
        <x:v>3</x:v>
      </x:c>
      <x:c r="Q23"/>
      <x:c r="R23"/>
      <x:c r="S23" t="s">
        <x:v>84</x:v>
      </x:c>
      <x:c r="T23" t="s">
        <x:v>85</x:v>
      </x:c>
      <x:c r="U23" t="s">
        <x:v>86</x:v>
      </x:c>
      <x:c r="V23">
        <x:v>2</x:v>
      </x:c>
      <x:c r="W23" s="5" t="n">
        <x:f>COUNTIF($C$2:$C$272,C23)</x:f>
        <x:v>7</x:v>
      </x:c>
      <x:c r="X23" t="str">
        <x:f>IF(W23&gt;=5,"Yes","No")</x:f>
        <x:v>Yes</x:v>
      </x:c>
      <x:c r="Y23" t="str">
        <x:f>INT(A23/10)*10&amp;"s"</x:f>
        <x:v>2010s</x:v>
      </x:c>
    </x:row>
    <x:row r="24">
      <x:c r="A24">
        <x:v>2014</x:v>
      </x:c>
      <x:c r="B24" t="s">
        <x:v>22</x:v>
      </x:c>
      <x:c r="C24" t="s">
        <x:v>109</x:v>
      </x:c>
      <x:c r="D24" t="s">
        <x:v>24</x:v>
      </x:c>
      <x:c r="E24" t="s">
        <x:v>25</x:v>
      </x:c>
      <x:c r="F24">
        <x:v>6</x:v>
      </x:c>
      <x:c r="G24">
        <x:v>55</x:v>
      </x:c>
      <x:c r="H24" t="s">
        <x:v>110</x:v>
      </x:c>
      <x:c r="I24">
        <x:v>6</x:v>
      </x:c>
      <x:c r="J24">
        <x:v>3</x:v>
      </x:c>
      <x:c r="K24">
        <x:v>6</x:v>
      </x:c>
      <x:c r="L24">
        <x:v>0</x:v>
      </x:c>
      <x:c r="M24"/>
      <x:c r="N24"/>
      <x:c r="O24"/>
      <x:c r="P24"/>
      <x:c r="Q24"/>
      <x:c r="R24"/>
      <x:c r="S24" t="s">
        <x:v>111</x:v>
      </x:c>
      <x:c r="T24" t="s">
        <x:v>106</x:v>
      </x:c>
      <x:c r="U24" t="s">
        <x:v>107</x:v>
      </x:c>
      <x:c r="V24">
        <x:v>13</x:v>
      </x:c>
      <x:c r="W24" s="5" t="n">
        <x:f>COUNTIF($C$2:$C$272,C24)</x:f>
        <x:v>1</x:v>
      </x:c>
      <x:c r="X24" t="str">
        <x:f>IF(W24&gt;=5,"Yes","No")</x:f>
        <x:v>No</x:v>
      </x:c>
      <x:c r="Y24" t="str">
        <x:f>INT(A24/10)*10&amp;"s"</x:f>
        <x:v>2010s</x:v>
      </x:c>
    </x:row>
    <x:row r="25">
      <x:c r="A25">
        <x:v>2014</x:v>
      </x:c>
      <x:c r="B25" t="s">
        <x:v>28</x:v>
      </x:c>
      <x:c r="C25" t="s">
        <x:v>51</x:v>
      </x:c>
      <x:c r="D25" t="s">
        <x:v>52</x:v>
      </x:c>
      <x:c r="E25" t="s">
        <x:v>53</x:v>
      </x:c>
      <x:c r="F25">
        <x:v>1</x:v>
      </x:c>
      <x:c r="G25">
        <x:v>236</x:v>
      </x:c>
      <x:c r="H25" t="s">
        <x:v>112</x:v>
      </x:c>
      <x:c r="I25">
        <x:v>6</x:v>
      </x:c>
      <x:c r="J25">
        <x:v>7</x:v>
      </x:c>
      <x:c r="K25">
        <x:v>6</x:v>
      </x:c>
      <x:c r="L25">
        <x:v>4</x:v>
      </x:c>
      <x:c r="M25">
        <x:v>7</x:v>
      </x:c>
      <x:c r="N25">
        <x:v>6</x:v>
      </x:c>
      <x:c r="O25">
        <x:v>5</x:v>
      </x:c>
      <x:c r="P25">
        <x:v>7</x:v>
      </x:c>
      <x:c r="Q25">
        <x:v>6</x:v>
      </x:c>
      <x:c r="R25">
        <x:v>4</x:v>
      </x:c>
      <x:c r="S25" t="s">
        <x:v>84</x:v>
      </x:c>
      <x:c r="T25" t="s">
        <x:v>85</x:v>
      </x:c>
      <x:c r="U25" t="s">
        <x:v>86</x:v>
      </x:c>
      <x:c r="V25">
        <x:v>4</x:v>
      </x:c>
      <x:c r="W25" s="5" t="n">
        <x:f>COUNTIF($C$2:$C$272,C25)</x:f>
        <x:v>7</x:v>
      </x:c>
      <x:c r="X25" t="str">
        <x:f>IF(W25&gt;=5,"Yes","No")</x:f>
        <x:v>Yes</x:v>
      </x:c>
      <x:c r="Y25" t="str">
        <x:f>INT(A25/10)*10&amp;"s"</x:f>
        <x:v>2010s</x:v>
      </x:c>
    </x:row>
    <x:row r="26">
      <x:c r="A26">
        <x:v>2013</x:v>
      </x:c>
      <x:c r="B26" t="s">
        <x:v>22</x:v>
      </x:c>
      <x:c r="C26" t="s">
        <x:v>113</x:v>
      </x:c>
      <x:c r="D26" t="s">
        <x:v>114</x:v>
      </x:c>
      <x:c r="E26" t="s">
        <x:v>115</x:v>
      </x:c>
      <x:c r="F26">
        <x:v>15</x:v>
      </x:c>
      <x:c r="G26">
        <x:v>81</x:v>
      </x:c>
      <x:c r="H26" t="s">
        <x:v>116</x:v>
      </x:c>
      <x:c r="I26">
        <x:v>6</x:v>
      </x:c>
      <x:c r="J26">
        <x:v>2</x:v>
      </x:c>
      <x:c r="K26">
        <x:v>1</x:v>
      </x:c>
      <x:c r="L26">
        <x:v>6</x:v>
      </x:c>
      <x:c r="M26">
        <x:v>6</x:v>
      </x:c>
      <x:c r="N26">
        <x:v>4</x:v>
      </x:c>
      <x:c r="O26"/>
      <x:c r="P26"/>
      <x:c r="Q26"/>
      <x:c r="R26"/>
      <x:c r="S26" t="s">
        <x:v>117</x:v>
      </x:c>
      <x:c r="T26" t="s">
        <x:v>34</x:v>
      </x:c>
      <x:c r="U26" t="s">
        <x:v>35</x:v>
      </x:c>
      <x:c r="V26">
        <x:v>23</x:v>
      </x:c>
      <x:c r="W26" s="5" t="n">
        <x:f>COUNTIF($C$2:$C$272,C26)</x:f>
        <x:v>1</x:v>
      </x:c>
      <x:c r="X26" t="str">
        <x:f>IF(W26&gt;=5,"Yes","No")</x:f>
        <x:v>No</x:v>
      </x:c>
      <x:c r="Y26" t="str">
        <x:f>INT(A26/10)*10&amp;"s"</x:f>
        <x:v>2010s</x:v>
      </x:c>
    </x:row>
    <x:row r="27">
      <x:c r="A27">
        <x:v>2013</x:v>
      </x:c>
      <x:c r="B27" t="s">
        <x:v>28</x:v>
      </x:c>
      <x:c r="C27" t="s">
        <x:v>101</x:v>
      </x:c>
      <x:c r="D27" t="s">
        <x:v>102</x:v>
      </x:c>
      <x:c r="E27" t="s">
        <x:v>103</x:v>
      </x:c>
      <x:c r="F27">
        <x:v>2</x:v>
      </x:c>
      <x:c r="G27">
        <x:v>134</x:v>
      </x:c>
      <x:c r="H27" t="s">
        <x:v>118</x:v>
      </x:c>
      <x:c r="I27">
        <x:v>6</x:v>
      </x:c>
      <x:c r="J27">
        <x:v>4</x:v>
      </x:c>
      <x:c r="K27">
        <x:v>7</x:v>
      </x:c>
      <x:c r="L27">
        <x:v>5</x:v>
      </x:c>
      <x:c r="M27">
        <x:v>6</x:v>
      </x:c>
      <x:c r="N27">
        <x:v>4</x:v>
      </x:c>
      <x:c r="O27"/>
      <x:c r="P27"/>
      <x:c r="Q27"/>
      <x:c r="R27"/>
      <x:c r="S27" t="s">
        <x:v>51</x:v>
      </x:c>
      <x:c r="T27" t="s">
        <x:v>52</x:v>
      </x:c>
      <x:c r="U27" t="s">
        <x:v>53</x:v>
      </x:c>
      <x:c r="V27">
        <x:v>1</x:v>
      </x:c>
      <x:c r="W27" s="5" t="n">
        <x:f>COUNTIF($C$2:$C$272,C27)</x:f>
        <x:v>2</x:v>
      </x:c>
      <x:c r="X27" t="str">
        <x:f>IF(W27&gt;=5,"Yes","No")</x:f>
        <x:v>No</x:v>
      </x:c>
      <x:c r="Y27" t="str">
        <x:f>INT(A27/10)*10&amp;"s"</x:f>
        <x:v>2010s</x:v>
      </x:c>
    </x:row>
    <x:row r="28">
      <x:c r="A28">
        <x:v>2012</x:v>
      </x:c>
      <x:c r="B28" t="s">
        <x:v>22</x:v>
      </x:c>
      <x:c r="C28" t="s">
        <x:v>82</x:v>
      </x:c>
      <x:c r="D28" t="s">
        <x:v>41</x:v>
      </x:c>
      <x:c r="E28" t="s">
        <x:v>42</x:v>
      </x:c>
      <x:c r="F28">
        <x:v>6</x:v>
      </x:c>
      <x:c r="G28">
        <x:v>122</x:v>
      </x:c>
      <x:c r="H28" t="s">
        <x:v>119</x:v>
      </x:c>
      <x:c r="I28">
        <x:v>6</x:v>
      </x:c>
      <x:c r="J28">
        <x:v>1</x:v>
      </x:c>
      <x:c r="K28">
        <x:v>5</x:v>
      </x:c>
      <x:c r="L28">
        <x:v>7</x:v>
      </x:c>
      <x:c r="M28">
        <x:v>6</x:v>
      </x:c>
      <x:c r="N28">
        <x:v>2</x:v>
      </x:c>
      <x:c r="O28"/>
      <x:c r="P28"/>
      <x:c r="Q28"/>
      <x:c r="R28"/>
      <x:c r="S28" t="s">
        <x:v>120</x:v>
      </x:c>
      <x:c r="T28" t="s">
        <x:v>37</x:v>
      </x:c>
      <x:c r="U28" t="s">
        <x:v>38</x:v>
      </x:c>
      <x:c r="V28">
        <x:v>3</x:v>
      </x:c>
      <x:c r="W28" s="5" t="n">
        <x:f>COUNTIF($C$2:$C$272,C28)</x:f>
        <x:v>7</x:v>
      </x:c>
      <x:c r="X28" t="str">
        <x:f>IF(W28&gt;=5,"Yes","No")</x:f>
        <x:v>Yes</x:v>
      </x:c>
      <x:c r="Y28" t="str">
        <x:f>INT(A28/10)*10&amp;"s"</x:f>
        <x:v>2010s</x:v>
      </x:c>
    </x:row>
    <x:row r="29">
      <x:c r="A29">
        <x:v>2012</x:v>
      </x:c>
      <x:c r="B29" t="s">
        <x:v>28</x:v>
      </x:c>
      <x:c r="C29" t="s">
        <x:v>84</x:v>
      </x:c>
      <x:c r="D29" t="s">
        <x:v>85</x:v>
      </x:c>
      <x:c r="E29" t="s">
        <x:v>86</x:v>
      </x:c>
      <x:c r="F29">
        <x:v>3</x:v>
      </x:c>
      <x:c r="G29">
        <x:v>204</x:v>
      </x:c>
      <x:c r="H29" t="s">
        <x:v>121</x:v>
      </x:c>
      <x:c r="I29">
        <x:v>4</x:v>
      </x:c>
      <x:c r="J29">
        <x:v>6</x:v>
      </x:c>
      <x:c r="K29">
        <x:v>7</x:v>
      </x:c>
      <x:c r="L29">
        <x:v>5</x:v>
      </x:c>
      <x:c r="M29">
        <x:v>6</x:v>
      </x:c>
      <x:c r="N29">
        <x:v>3</x:v>
      </x:c>
      <x:c r="O29">
        <x:v>6</x:v>
      </x:c>
      <x:c r="P29">
        <x:v>4</x:v>
      </x:c>
      <x:c r="Q29"/>
      <x:c r="R29"/>
      <x:c r="S29" t="s">
        <x:v>101</x:v>
      </x:c>
      <x:c r="T29" t="s">
        <x:v>102</x:v>
      </x:c>
      <x:c r="U29" t="s">
        <x:v>103</x:v>
      </x:c>
      <x:c r="V29">
        <x:v>4</x:v>
      </x:c>
      <x:c r="W29" s="5" t="n">
        <x:f>COUNTIF($C$2:$C$272,C29)</x:f>
        <x:v>8</x:v>
      </x:c>
      <x:c r="X29" t="str">
        <x:f>IF(W29&gt;=5,"Yes","No")</x:f>
        <x:v>Yes</x:v>
      </x:c>
      <x:c r="Y29" t="str">
        <x:f>INT(A29/10)*10&amp;"s"</x:f>
        <x:v>2010s</x:v>
      </x:c>
    </x:row>
    <x:row r="30">
      <x:c r="A30">
        <x:v>2011</x:v>
      </x:c>
      <x:c r="B30" t="s">
        <x:v>22</x:v>
      </x:c>
      <x:c r="C30" t="s">
        <x:v>122</x:v>
      </x:c>
      <x:c r="D30" t="s">
        <x:v>24</x:v>
      </x:c>
      <x:c r="E30" t="s">
        <x:v>25</x:v>
      </x:c>
      <x:c r="F30">
        <x:v>8</x:v>
      </x:c>
      <x:c r="G30">
        <x:v>85</x:v>
      </x:c>
      <x:c r="H30" t="s">
        <x:v>123</x:v>
      </x:c>
      <x:c r="I30">
        <x:v>6</x:v>
      </x:c>
      <x:c r="J30">
        <x:v>3</x:v>
      </x:c>
      <x:c r="K30">
        <x:v>6</x:v>
      </x:c>
      <x:c r="L30">
        <x:v>4</x:v>
      </x:c>
      <x:c r="M30"/>
      <x:c r="N30"/>
      <x:c r="O30"/>
      <x:c r="P30"/>
      <x:c r="Q30"/>
      <x:c r="R30"/>
      <x:c r="S30" t="s">
        <x:v>124</x:v>
      </x:c>
      <x:c r="T30" t="s">
        <x:v>125</x:v>
      </x:c>
      <x:c r="U30" t="s">
        <x:v>126</x:v>
      </x:c>
      <x:c r="V30">
        <x:v>5</x:v>
      </x:c>
      <x:c r="W30" s="5" t="n">
        <x:f>COUNTIF($C$2:$C$272,C30)</x:f>
        <x:v>1</x:v>
      </x:c>
      <x:c r="X30" t="str">
        <x:f>IF(W30&gt;=5,"Yes","No")</x:f>
        <x:v>No</x:v>
      </x:c>
      <x:c r="Y30" t="str">
        <x:f>INT(A30/10)*10&amp;"s"</x:f>
        <x:v>2010s</x:v>
      </x:c>
    </x:row>
    <x:row r="31">
      <x:c r="A31">
        <x:v>2011</x:v>
      </x:c>
      <x:c r="B31" t="s">
        <x:v>28</x:v>
      </x:c>
      <x:c r="C31" t="s">
        <x:v>51</x:v>
      </x:c>
      <x:c r="D31" t="s">
        <x:v>52</x:v>
      </x:c>
      <x:c r="E31" t="s">
        <x:v>53</x:v>
      </x:c>
      <x:c r="F31">
        <x:v>2</x:v>
      </x:c>
      <x:c r="G31">
        <x:v>148</x:v>
      </x:c>
      <x:c r="H31" t="s">
        <x:v>127</x:v>
      </x:c>
      <x:c r="I31">
        <x:v>6</x:v>
      </x:c>
      <x:c r="J31">
        <x:v>4</x:v>
      </x:c>
      <x:c r="K31">
        <x:v>6</x:v>
      </x:c>
      <x:c r="L31">
        <x:v>1</x:v>
      </x:c>
      <x:c r="M31">
        <x:v>1</x:v>
      </x:c>
      <x:c r="N31">
        <x:v>6</x:v>
      </x:c>
      <x:c r="O31">
        <x:v>6</x:v>
      </x:c>
      <x:c r="P31">
        <x:v>3</x:v>
      </x:c>
      <x:c r="Q31"/>
      <x:c r="R31"/>
      <x:c r="S31" t="s">
        <x:v>128</x:v>
      </x:c>
      <x:c r="T31" t="s">
        <x:v>45</x:v>
      </x:c>
      <x:c r="U31" t="s">
        <x:v>46</x:v>
      </x:c>
      <x:c r="V31">
        <x:v>1</x:v>
      </x:c>
      <x:c r="W31" s="5" t="n">
        <x:f>COUNTIF($C$2:$C$272,C31)</x:f>
        <x:v>7</x:v>
      </x:c>
      <x:c r="X31" t="str">
        <x:f>IF(W31&gt;=5,"Yes","No")</x:f>
        <x:v>Yes</x:v>
      </x:c>
      <x:c r="Y31" t="str">
        <x:f>INT(A31/10)*10&amp;"s"</x:f>
        <x:v>2010s</x:v>
      </x:c>
    </x:row>
    <x:row r="32">
      <x:c r="A32">
        <x:v>2010</x:v>
      </x:c>
      <x:c r="B32" t="s">
        <x:v>22</x:v>
      </x:c>
      <x:c r="C32" t="s">
        <x:v>82</x:v>
      </x:c>
      <x:c r="D32" t="s">
        <x:v>41</x:v>
      </x:c>
      <x:c r="E32" t="s">
        <x:v>42</x:v>
      </x:c>
      <x:c r="F32">
        <x:v>1</x:v>
      </x:c>
      <x:c r="G32">
        <x:v>66</x:v>
      </x:c>
      <x:c r="H32" t="s">
        <x:v>129</x:v>
      </x:c>
      <x:c r="I32">
        <x:v>6</x:v>
      </x:c>
      <x:c r="J32">
        <x:v>3</x:v>
      </x:c>
      <x:c r="K32">
        <x:v>6</x:v>
      </x:c>
      <x:c r="L32">
        <x:v>2</x:v>
      </x:c>
      <x:c r="M32"/>
      <x:c r="N32"/>
      <x:c r="O32"/>
      <x:c r="P32"/>
      <x:c r="Q32"/>
      <x:c r="R32"/>
      <x:c r="S32" t="s">
        <x:v>130</x:v>
      </x:c>
      <x:c r="T32" t="s">
        <x:v>125</x:v>
      </x:c>
      <x:c r="U32" t="s">
        <x:v>126</x:v>
      </x:c>
      <x:c r="V32">
        <x:v>21</x:v>
      </x:c>
      <x:c r="W32" s="5" t="n">
        <x:f>COUNTIF($C$2:$C$272,C32)</x:f>
        <x:v>7</x:v>
      </x:c>
      <x:c r="X32" t="str">
        <x:f>IF(W32&gt;=5,"Yes","No")</x:f>
        <x:v>Yes</x:v>
      </x:c>
      <x:c r="Y32" t="str">
        <x:f>INT(A32/10)*10&amp;"s"</x:f>
        <x:v>2010s</x:v>
      </x:c>
    </x:row>
    <x:row r="33">
      <x:c r="A33">
        <x:v>2010</x:v>
      </x:c>
      <x:c r="B33" t="s">
        <x:v>28</x:v>
      </x:c>
      <x:c r="C33" t="s">
        <x:v>128</x:v>
      </x:c>
      <x:c r="D33" t="s">
        <x:v>45</x:v>
      </x:c>
      <x:c r="E33" t="s">
        <x:v>46</x:v>
      </x:c>
      <x:c r="F33">
        <x:v>2</x:v>
      </x:c>
      <x:c r="G33">
        <x:v>133</x:v>
      </x:c>
      <x:c r="H33" t="s">
        <x:v>131</x:v>
      </x:c>
      <x:c r="I33">
        <x:v>6</x:v>
      </x:c>
      <x:c r="J33">
        <x:v>3</x:v>
      </x:c>
      <x:c r="K33">
        <x:v>7</x:v>
      </x:c>
      <x:c r="L33">
        <x:v>5</x:v>
      </x:c>
      <x:c r="M33">
        <x:v>6</x:v>
      </x:c>
      <x:c r="N33">
        <x:v>4</x:v>
      </x:c>
      <x:c r="O33"/>
      <x:c r="P33"/>
      <x:c r="Q33"/>
      <x:c r="R33"/>
      <x:c r="S33" t="s">
        <x:v>132</x:v>
      </x:c>
      <x:c r="T33" t="s">
        <x:v>24</x:v>
      </x:c>
      <x:c r="U33" t="s">
        <x:v>25</x:v>
      </x:c>
      <x:c r="V33">
        <x:v>12</x:v>
      </x:c>
      <x:c r="W33" s="5" t="n">
        <x:f>COUNTIF($C$2:$C$272,C33)</x:f>
        <x:v>2</x:v>
      </x:c>
      <x:c r="X33" t="str">
        <x:f>IF(W33&gt;=5,"Yes","No")</x:f>
        <x:v>No</x:v>
      </x:c>
      <x:c r="Y33" t="str">
        <x:f>INT(A33/10)*10&amp;"s"</x:f>
        <x:v>2010s</x:v>
      </x:c>
    </x:row>
    <x:row r="34">
      <x:c r="A34">
        <x:v>2009</x:v>
      </x:c>
      <x:c r="B34" t="s">
        <x:v>22</x:v>
      </x:c>
      <x:c r="C34" t="s">
        <x:v>82</x:v>
      </x:c>
      <x:c r="D34" t="s">
        <x:v>41</x:v>
      </x:c>
      <x:c r="E34" t="s">
        <x:v>42</x:v>
      </x:c>
      <x:c r="F34">
        <x:v>2</x:v>
      </x:c>
      <x:c r="G34">
        <x:v>87</x:v>
      </x:c>
      <x:c r="H34" t="s">
        <x:v>133</x:v>
      </x:c>
      <x:c r="I34">
        <x:v>7</x:v>
      </x:c>
      <x:c r="J34">
        <x:v>6</x:v>
      </x:c>
      <x:c r="K34">
        <x:v>6</x:v>
      </x:c>
      <x:c r="L34">
        <x:v>2</x:v>
      </x:c>
      <x:c r="M34"/>
      <x:c r="N34"/>
      <x:c r="O34"/>
      <x:c r="P34"/>
      <x:c r="Q34"/>
      <x:c r="R34"/>
      <x:c r="S34" t="s">
        <x:v>95</x:v>
      </x:c>
      <x:c r="T34" t="s">
        <x:v>41</x:v>
      </x:c>
      <x:c r="U34" t="s">
        <x:v>42</x:v>
      </x:c>
      <x:c r="V34">
        <x:v>3</x:v>
      </x:c>
      <x:c r="W34" s="5" t="n">
        <x:f>COUNTIF($C$2:$C$272,C34)</x:f>
        <x:v>7</x:v>
      </x:c>
      <x:c r="X34" t="str">
        <x:f>IF(W34&gt;=5,"Yes","No")</x:f>
        <x:v>Yes</x:v>
      </x:c>
      <x:c r="Y34" t="str">
        <x:f>INT(A34/10)*10&amp;"s"</x:f>
        <x:v>2000s</x:v>
      </x:c>
    </x:row>
    <x:row r="35">
      <x:c r="A35">
        <x:v>2009</x:v>
      </x:c>
      <x:c r="B35" t="s">
        <x:v>28</x:v>
      </x:c>
      <x:c r="C35" t="s">
        <x:v>84</x:v>
      </x:c>
      <x:c r="D35" t="s">
        <x:v>85</x:v>
      </x:c>
      <x:c r="E35" t="s">
        <x:v>86</x:v>
      </x:c>
      <x:c r="F35">
        <x:v>2</x:v>
      </x:c>
      <x:c r="G35">
        <x:v>256</x:v>
      </x:c>
      <x:c r="H35" t="s">
        <x:v>134</x:v>
      </x:c>
      <x:c r="I35">
        <x:v>5</x:v>
      </x:c>
      <x:c r="J35">
        <x:v>7</x:v>
      </x:c>
      <x:c r="K35">
        <x:v>7</x:v>
      </x:c>
      <x:c r="L35">
        <x:v>6</x:v>
      </x:c>
      <x:c r="M35">
        <x:v>7</x:v>
      </x:c>
      <x:c r="N35">
        <x:v>6</x:v>
      </x:c>
      <x:c r="O35">
        <x:v>3</x:v>
      </x:c>
      <x:c r="P35">
        <x:v>6</x:v>
      </x:c>
      <x:c r="Q35">
        <x:v>16</x:v>
      </x:c>
      <x:c r="R35">
        <x:v>14</x:v>
      </x:c>
      <x:c r="S35" t="s">
        <x:v>135</x:v>
      </x:c>
      <x:c r="T35" t="s">
        <x:v>41</x:v>
      </x:c>
      <x:c r="U35" t="s">
        <x:v>42</x:v>
      </x:c>
      <x:c r="V35">
        <x:v>6</x:v>
      </x:c>
      <x:c r="W35" s="5" t="n">
        <x:f>COUNTIF($C$2:$C$272,C35)</x:f>
        <x:v>8</x:v>
      </x:c>
      <x:c r="X35" t="str">
        <x:f>IF(W35&gt;=5,"Yes","No")</x:f>
        <x:v>Yes</x:v>
      </x:c>
      <x:c r="Y35" t="str">
        <x:f>INT(A35/10)*10&amp;"s"</x:f>
        <x:v>2000s</x:v>
      </x:c>
    </x:row>
    <x:row r="36">
      <x:c r="A36">
        <x:v>2008</x:v>
      </x:c>
      <x:c r="B36" t="s">
        <x:v>22</x:v>
      </x:c>
      <x:c r="C36" t="s">
        <x:v>95</x:v>
      </x:c>
      <x:c r="D36" t="s">
        <x:v>41</x:v>
      </x:c>
      <x:c r="E36" t="s">
        <x:v>42</x:v>
      </x:c>
      <x:c r="F36">
        <x:v>7</x:v>
      </x:c>
      <x:c r="G36">
        <x:v>111</x:v>
      </x:c>
      <x:c r="H36" t="s">
        <x:v>136</x:v>
      </x:c>
      <x:c r="I36">
        <x:v>7</x:v>
      </x:c>
      <x:c r="J36">
        <x:v>5</x:v>
      </x:c>
      <x:c r="K36">
        <x:v>6</x:v>
      </x:c>
      <x:c r="L36">
        <x:v>4</x:v>
      </x:c>
      <x:c r="M36"/>
      <x:c r="N36"/>
      <x:c r="O36"/>
      <x:c r="P36"/>
      <x:c r="Q36"/>
      <x:c r="R36"/>
      <x:c r="S36" t="s">
        <x:v>82</x:v>
      </x:c>
      <x:c r="T36" t="s">
        <x:v>41</x:v>
      </x:c>
      <x:c r="U36" t="s">
        <x:v>42</x:v>
      </x:c>
      <x:c r="V36">
        <x:v>6</x:v>
      </x:c>
      <x:c r="W36" s="5" t="n">
        <x:f>COUNTIF($C$2:$C$272,C36)</x:f>
        <x:v>5</x:v>
      </x:c>
      <x:c r="X36" t="str">
        <x:f>IF(W36&gt;=5,"Yes","No")</x:f>
        <x:v>Yes</x:v>
      </x:c>
      <x:c r="Y36" t="str">
        <x:f>INT(A36/10)*10&amp;"s"</x:f>
        <x:v>2000s</x:v>
      </x:c>
    </x:row>
    <x:row r="37">
      <x:c r="A37">
        <x:v>2008</x:v>
      </x:c>
      <x:c r="B37" t="s">
        <x:v>28</x:v>
      </x:c>
      <x:c r="C37" t="s">
        <x:v>128</x:v>
      </x:c>
      <x:c r="D37" t="s">
        <x:v>45</x:v>
      </x:c>
      <x:c r="E37" t="s">
        <x:v>46</x:v>
      </x:c>
      <x:c r="F37">
        <x:v>2</x:v>
      </x:c>
      <x:c r="G37">
        <x:v>288</x:v>
      </x:c>
      <x:c r="H37" t="s">
        <x:v>137</x:v>
      </x:c>
      <x:c r="I37">
        <x:v>6</x:v>
      </x:c>
      <x:c r="J37">
        <x:v>4</x:v>
      </x:c>
      <x:c r="K37">
        <x:v>6</x:v>
      </x:c>
      <x:c r="L37">
        <x:v>4</x:v>
      </x:c>
      <x:c r="M37">
        <x:v>6</x:v>
      </x:c>
      <x:c r="N37">
        <x:v>7</x:v>
      </x:c>
      <x:c r="O37">
        <x:v>6</x:v>
      </x:c>
      <x:c r="P37">
        <x:v>7</x:v>
      </x:c>
      <x:c r="Q37">
        <x:v>9</x:v>
      </x:c>
      <x:c r="R37">
        <x:v>7</x:v>
      </x:c>
      <x:c r="S37" t="s">
        <x:v>84</x:v>
      </x:c>
      <x:c r="T37" t="s">
        <x:v>85</x:v>
      </x:c>
      <x:c r="U37" t="s">
        <x:v>86</x:v>
      </x:c>
      <x:c r="V37">
        <x:v>1</x:v>
      </x:c>
      <x:c r="W37" s="5" t="n">
        <x:f>COUNTIF($C$2:$C$272,C37)</x:f>
        <x:v>2</x:v>
      </x:c>
      <x:c r="X37" t="str">
        <x:f>IF(W37&gt;=5,"Yes","No")</x:f>
        <x:v>No</x:v>
      </x:c>
      <x:c r="Y37" t="str">
        <x:f>INT(A37/10)*10&amp;"s"</x:f>
        <x:v>2000s</x:v>
      </x:c>
    </x:row>
    <x:row r="38">
      <x:c r="A38">
        <x:v>2007</x:v>
      </x:c>
      <x:c r="B38" t="s">
        <x:v>22</x:v>
      </x:c>
      <x:c r="C38" t="s">
        <x:v>95</x:v>
      </x:c>
      <x:c r="D38" t="s">
        <x:v>41</x:v>
      </x:c>
      <x:c r="E38" t="s">
        <x:v>42</x:v>
      </x:c>
      <x:c r="F38">
        <x:v>23</x:v>
      </x:c>
      <x:c r="G38">
        <x:v>90</x:v>
      </x:c>
      <x:c r="H38" t="s">
        <x:v>138</x:v>
      </x:c>
      <x:c r="I38">
        <x:v>6</x:v>
      </x:c>
      <x:c r="J38">
        <x:v>4</x:v>
      </x:c>
      <x:c r="K38">
        <x:v>6</x:v>
      </x:c>
      <x:c r="L38">
        <x:v>1</x:v>
      </x:c>
      <x:c r="M38"/>
      <x:c r="N38"/>
      <x:c r="O38"/>
      <x:c r="P38"/>
      <x:c r="Q38"/>
      <x:c r="R38"/>
      <x:c r="S38" t="s">
        <x:v>113</x:v>
      </x:c>
      <x:c r="T38" t="s">
        <x:v>114</x:v>
      </x:c>
      <x:c r="U38" t="s">
        <x:v>115</x:v>
      </x:c>
      <x:c r="V38">
        <x:v>18</x:v>
      </x:c>
      <x:c r="W38" s="5" t="n">
        <x:f>COUNTIF($C$2:$C$272,C38)</x:f>
        <x:v>5</x:v>
      </x:c>
      <x:c r="X38" t="str">
        <x:f>IF(W38&gt;=5,"Yes","No")</x:f>
        <x:v>Yes</x:v>
      </x:c>
      <x:c r="Y38" t="str">
        <x:f>INT(A38/10)*10&amp;"s"</x:f>
        <x:v>2000s</x:v>
      </x:c>
    </x:row>
    <x:row r="39">
      <x:c r="A39">
        <x:v>2007</x:v>
      </x:c>
      <x:c r="B39" t="s">
        <x:v>28</x:v>
      </x:c>
      <x:c r="C39" t="s">
        <x:v>84</x:v>
      </x:c>
      <x:c r="D39" t="s">
        <x:v>85</x:v>
      </x:c>
      <x:c r="E39" t="s">
        <x:v>86</x:v>
      </x:c>
      <x:c r="F39">
        <x:v>1</x:v>
      </x:c>
      <x:c r="G39">
        <x:v>225</x:v>
      </x:c>
      <x:c r="H39" t="s">
        <x:v>139</x:v>
      </x:c>
      <x:c r="I39">
        <x:v>7</x:v>
      </x:c>
      <x:c r="J39">
        <x:v>6</x:v>
      </x:c>
      <x:c r="K39">
        <x:v>4</x:v>
      </x:c>
      <x:c r="L39">
        <x:v>6</x:v>
      </x:c>
      <x:c r="M39">
        <x:v>7</x:v>
      </x:c>
      <x:c r="N39">
        <x:v>6</x:v>
      </x:c>
      <x:c r="O39">
        <x:v>2</x:v>
      </x:c>
      <x:c r="P39">
        <x:v>6</x:v>
      </x:c>
      <x:c r="Q39">
        <x:v>6</x:v>
      </x:c>
      <x:c r="R39">
        <x:v>2</x:v>
      </x:c>
      <x:c r="S39" t="s">
        <x:v>128</x:v>
      </x:c>
      <x:c r="T39" t="s">
        <x:v>45</x:v>
      </x:c>
      <x:c r="U39" t="s">
        <x:v>46</x:v>
      </x:c>
      <x:c r="V39">
        <x:v>2</x:v>
      </x:c>
      <x:c r="W39" s="5" t="n">
        <x:f>COUNTIF($C$2:$C$272,C39)</x:f>
        <x:v>8</x:v>
      </x:c>
      <x:c r="X39" t="str">
        <x:f>IF(W39&gt;=5,"Yes","No")</x:f>
        <x:v>Yes</x:v>
      </x:c>
      <x:c r="Y39" t="str">
        <x:f>INT(A39/10)*10&amp;"s"</x:f>
        <x:v>2000s</x:v>
      </x:c>
    </x:row>
    <x:row r="40">
      <x:c r="A40">
        <x:v>2006</x:v>
      </x:c>
      <x:c r="B40" t="s">
        <x:v>22</x:v>
      </x:c>
      <x:c r="C40" t="s">
        <x:v>140</x:v>
      </x:c>
      <x:c r="D40" t="s">
        <x:v>114</x:v>
      </x:c>
      <x:c r="E40" t="s">
        <x:v>115</x:v>
      </x:c>
      <x:c r="F40">
        <x:v>1</x:v>
      </x:c>
      <x:c r="G40">
        <x:v>122</x:v>
      </x:c>
      <x:c r="H40" t="s">
        <x:v>141</x:v>
      </x:c>
      <x:c r="I40">
        <x:v>2</x:v>
      </x:c>
      <x:c r="J40">
        <x:v>6</x:v>
      </x:c>
      <x:c r="K40">
        <x:v>6</x:v>
      </x:c>
      <x:c r="L40">
        <x:v>3</x:v>
      </x:c>
      <x:c r="M40">
        <x:v>6</x:v>
      </x:c>
      <x:c r="N40">
        <x:v>4</x:v>
      </x:c>
      <x:c r="O40"/>
      <x:c r="P40"/>
      <x:c r="Q40"/>
      <x:c r="R40"/>
      <x:c r="S40" t="s">
        <x:v>142</x:v>
      </x:c>
      <x:c r="T40" t="s">
        <x:v>143</x:v>
      </x:c>
      <x:c r="U40" t="s">
        <x:v>144</x:v>
      </x:c>
      <x:c r="V40">
        <x:v>3</x:v>
      </x:c>
      <x:c r="W40" s="5" t="n">
        <x:f>COUNTIF($C$2:$C$272,C40)</x:f>
        <x:v>1</x:v>
      </x:c>
      <x:c r="X40" t="str">
        <x:f>IF(W40&gt;=5,"Yes","No")</x:f>
        <x:v>No</x:v>
      </x:c>
      <x:c r="Y40" t="str">
        <x:f>INT(A40/10)*10&amp;"s"</x:f>
        <x:v>2000s</x:v>
      </x:c>
    </x:row>
    <x:row r="41">
      <x:c r="A41">
        <x:v>2006</x:v>
      </x:c>
      <x:c r="B41" t="s">
        <x:v>28</x:v>
      </x:c>
      <x:c r="C41" t="s">
        <x:v>84</x:v>
      </x:c>
      <x:c r="D41" t="s">
        <x:v>85</x:v>
      </x:c>
      <x:c r="E41" t="s">
        <x:v>86</x:v>
      </x:c>
      <x:c r="F41">
        <x:v>1</x:v>
      </x:c>
      <x:c r="G41">
        <x:v>170</x:v>
      </x:c>
      <x:c r="H41" t="s">
        <x:v>145</x:v>
      </x:c>
      <x:c r="I41">
        <x:v>6</x:v>
      </x:c>
      <x:c r="J41">
        <x:v>0</x:v>
      </x:c>
      <x:c r="K41">
        <x:v>7</x:v>
      </x:c>
      <x:c r="L41">
        <x:v>6</x:v>
      </x:c>
      <x:c r="M41">
        <x:v>6</x:v>
      </x:c>
      <x:c r="N41">
        <x:v>7</x:v>
      </x:c>
      <x:c r="O41">
        <x:v>6</x:v>
      </x:c>
      <x:c r="P41">
        <x:v>3</x:v>
      </x:c>
      <x:c r="Q41"/>
      <x:c r="R41"/>
      <x:c r="S41" t="s">
        <x:v>128</x:v>
      </x:c>
      <x:c r="T41" t="s">
        <x:v>45</x:v>
      </x:c>
      <x:c r="U41" t="s">
        <x:v>46</x:v>
      </x:c>
      <x:c r="V41">
        <x:v>2</x:v>
      </x:c>
      <x:c r="W41" s="5" t="n">
        <x:f>COUNTIF($C$2:$C$272,C41)</x:f>
        <x:v>8</x:v>
      </x:c>
      <x:c r="X41" t="str">
        <x:f>IF(W41&gt;=5,"Yes","No")</x:f>
        <x:v>Yes</x:v>
      </x:c>
      <x:c r="Y41" t="str">
        <x:f>INT(A41/10)*10&amp;"s"</x:f>
        <x:v>2000s</x:v>
      </x:c>
    </x:row>
    <x:row r="42">
      <x:c r="A42">
        <x:v>2005</x:v>
      </x:c>
      <x:c r="B42" t="s">
        <x:v>22</x:v>
      </x:c>
      <x:c r="C42" t="s">
        <x:v>95</x:v>
      </x:c>
      <x:c r="D42" t="s">
        <x:v>41</x:v>
      </x:c>
      <x:c r="E42" t="s">
        <x:v>42</x:v>
      </x:c>
      <x:c r="F42">
        <x:v>14</x:v>
      </x:c>
      <x:c r="G42">
        <x:v>166</x:v>
      </x:c>
      <x:c r="H42" t="s">
        <x:v>146</x:v>
      </x:c>
      <x:c r="I42">
        <x:v>4</x:v>
      </x:c>
      <x:c r="J42">
        <x:v>6</x:v>
      </x:c>
      <x:c r="K42">
        <x:v>7</x:v>
      </x:c>
      <x:c r="L42">
        <x:v>6</x:v>
      </x:c>
      <x:c r="M42">
        <x:v>9</x:v>
      </x:c>
      <x:c r="N42">
        <x:v>7</x:v>
      </x:c>
      <x:c r="O42"/>
      <x:c r="P42"/>
      <x:c r="Q42"/>
      <x:c r="R42"/>
      <x:c r="S42" t="s">
        <x:v>147</x:v>
      </x:c>
      <x:c r="T42" t="s">
        <x:v>41</x:v>
      </x:c>
      <x:c r="U42" t="s">
        <x:v>42</x:v>
      </x:c>
      <x:c r="V42">
        <x:v>1</x:v>
      </x:c>
      <x:c r="W42" s="5" t="n">
        <x:f>COUNTIF($C$2:$C$272,C42)</x:f>
        <x:v>5</x:v>
      </x:c>
      <x:c r="X42" t="str">
        <x:f>IF(W42&gt;=5,"Yes","No")</x:f>
        <x:v>Yes</x:v>
      </x:c>
      <x:c r="Y42" t="str">
        <x:f>INT(A42/10)*10&amp;"s"</x:f>
        <x:v>2000s</x:v>
      </x:c>
    </x:row>
    <x:row r="43">
      <x:c r="A43">
        <x:v>2005</x:v>
      </x:c>
      <x:c r="B43" t="s">
        <x:v>28</x:v>
      </x:c>
      <x:c r="C43" t="s">
        <x:v>84</x:v>
      </x:c>
      <x:c r="D43" t="s">
        <x:v>85</x:v>
      </x:c>
      <x:c r="E43" t="s">
        <x:v>86</x:v>
      </x:c>
      <x:c r="F43">
        <x:v>1</x:v>
      </x:c>
      <x:c r="G43">
        <x:v>101</x:v>
      </x:c>
      <x:c r="H43" t="s">
        <x:v>148</x:v>
      </x:c>
      <x:c r="I43">
        <x:v>6</x:v>
      </x:c>
      <x:c r="J43">
        <x:v>2</x:v>
      </x:c>
      <x:c r="K43">
        <x:v>7</x:v>
      </x:c>
      <x:c r="L43">
        <x:v>6</x:v>
      </x:c>
      <x:c r="M43">
        <x:v>6</x:v>
      </x:c>
      <x:c r="N43">
        <x:v>4</x:v>
      </x:c>
      <x:c r="O43"/>
      <x:c r="P43"/>
      <x:c r="Q43"/>
      <x:c r="R43"/>
      <x:c r="S43" t="s">
        <x:v>135</x:v>
      </x:c>
      <x:c r="T43" t="s">
        <x:v>41</x:v>
      </x:c>
      <x:c r="U43" t="s">
        <x:v>42</x:v>
      </x:c>
      <x:c r="V43">
        <x:v>2</x:v>
      </x:c>
      <x:c r="W43" s="5" t="n">
        <x:f>COUNTIF($C$2:$C$272,C43)</x:f>
        <x:v>8</x:v>
      </x:c>
      <x:c r="X43" t="str">
        <x:f>IF(W43&gt;=5,"Yes","No")</x:f>
        <x:v>Yes</x:v>
      </x:c>
      <x:c r="Y43" t="str">
        <x:f>INT(A43/10)*10&amp;"s"</x:f>
        <x:v>2000s</x:v>
      </x:c>
    </x:row>
    <x:row r="44">
      <x:c r="A44">
        <x:v>2004</x:v>
      </x:c>
      <x:c r="B44" t="s">
        <x:v>22</x:v>
      </x:c>
      <x:c r="C44" t="s">
        <x:v>124</x:v>
      </x:c>
      <x:c r="D44" t="s">
        <x:v>125</x:v>
      </x:c>
      <x:c r="E44" t="s">
        <x:v>126</x:v>
      </x:c>
      <x:c r="F44">
        <x:v>13</x:v>
      </x:c>
      <x:c r="G44">
        <x:v>74</x:v>
      </x:c>
      <x:c r="H44" t="s">
        <x:v>149</x:v>
      </x:c>
      <x:c r="I44">
        <x:v>6</x:v>
      </x:c>
      <x:c r="J44">
        <x:v>1</x:v>
      </x:c>
      <x:c r="K44">
        <x:v>6</x:v>
      </x:c>
      <x:c r="L44">
        <x:v>4</x:v>
      </x:c>
      <x:c r="M44"/>
      <x:c r="N44"/>
      <x:c r="O44"/>
      <x:c r="P44"/>
      <x:c r="Q44"/>
      <x:c r="R44"/>
      <x:c r="S44" t="s">
        <x:v>82</x:v>
      </x:c>
      <x:c r="T44" t="s">
        <x:v>41</x:v>
      </x:c>
      <x:c r="U44" t="s">
        <x:v>42</x:v>
      </x:c>
      <x:c r="V44">
        <x:v>1</x:v>
      </x:c>
      <x:c r="W44" s="5" t="n">
        <x:f>COUNTIF($C$2:$C$272,C44)</x:f>
        <x:v>1</x:v>
      </x:c>
      <x:c r="X44" t="str">
        <x:f>IF(W44&gt;=5,"Yes","No")</x:f>
        <x:v>No</x:v>
      </x:c>
      <x:c r="Y44" t="str">
        <x:f>INT(A44/10)*10&amp;"s"</x:f>
        <x:v>2000s</x:v>
      </x:c>
    </x:row>
    <x:row r="45">
      <x:c r="A45">
        <x:v>2004</x:v>
      </x:c>
      <x:c r="B45" t="s">
        <x:v>28</x:v>
      </x:c>
      <x:c r="C45" t="s">
        <x:v>84</x:v>
      </x:c>
      <x:c r="D45" t="s">
        <x:v>85</x:v>
      </x:c>
      <x:c r="E45" t="s">
        <x:v>86</x:v>
      </x:c>
      <x:c r="F45">
        <x:v>1</x:v>
      </x:c>
      <x:c r="G45">
        <x:v>151</x:v>
      </x:c>
      <x:c r="H45" t="s">
        <x:v>150</x:v>
      </x:c>
      <x:c r="I45">
        <x:v>4</x:v>
      </x:c>
      <x:c r="J45">
        <x:v>6</x:v>
      </x:c>
      <x:c r="K45">
        <x:v>7</x:v>
      </x:c>
      <x:c r="L45">
        <x:v>5</x:v>
      </x:c>
      <x:c r="M45">
        <x:v>7</x:v>
      </x:c>
      <x:c r="N45">
        <x:v>6</x:v>
      </x:c>
      <x:c r="O45">
        <x:v>6</x:v>
      </x:c>
      <x:c r="P45">
        <x:v>4</x:v>
      </x:c>
      <x:c r="Q45"/>
      <x:c r="R45"/>
      <x:c r="S45" t="s">
        <x:v>135</x:v>
      </x:c>
      <x:c r="T45" t="s">
        <x:v>41</x:v>
      </x:c>
      <x:c r="U45" t="s">
        <x:v>42</x:v>
      </x:c>
      <x:c r="V45">
        <x:v>2</x:v>
      </x:c>
      <x:c r="W45" s="5" t="n">
        <x:f>COUNTIF($C$2:$C$272,C45)</x:f>
        <x:v>8</x:v>
      </x:c>
      <x:c r="X45" t="str">
        <x:f>IF(W45&gt;=5,"Yes","No")</x:f>
        <x:v>Yes</x:v>
      </x:c>
      <x:c r="Y45" t="str">
        <x:f>INT(A45/10)*10&amp;"s"</x:f>
        <x:v>2000s</x:v>
      </x:c>
    </x:row>
    <x:row r="46">
      <x:c r="A46">
        <x:v>2003</x:v>
      </x:c>
      <x:c r="B46" t="s">
        <x:v>22</x:v>
      </x:c>
      <x:c r="C46" t="s">
        <x:v>82</x:v>
      </x:c>
      <x:c r="D46" t="s">
        <x:v>41</x:v>
      </x:c>
      <x:c r="E46" t="s">
        <x:v>42</x:v>
      </x:c>
      <x:c r="F46">
        <x:v>1</x:v>
      </x:c>
      <x:c r="G46">
        <x:v>123</x:v>
      </x:c>
      <x:c r="H46" t="s">
        <x:v>151</x:v>
      </x:c>
      <x:c r="I46">
        <x:v>4</x:v>
      </x:c>
      <x:c r="J46">
        <x:v>6</x:v>
      </x:c>
      <x:c r="K46">
        <x:v>6</x:v>
      </x:c>
      <x:c r="L46">
        <x:v>4</x:v>
      </x:c>
      <x:c r="M46">
        <x:v>6</x:v>
      </x:c>
      <x:c r="N46">
        <x:v>2</x:v>
      </x:c>
      <x:c r="O46"/>
      <x:c r="P46"/>
      <x:c r="Q46"/>
      <x:c r="R46"/>
      <x:c r="S46" t="s">
        <x:v>95</x:v>
      </x:c>
      <x:c r="T46" t="s">
        <x:v>41</x:v>
      </x:c>
      <x:c r="U46" t="s">
        <x:v>42</x:v>
      </x:c>
      <x:c r="V46">
        <x:v>4</x:v>
      </x:c>
      <x:c r="W46" s="5" t="n">
        <x:f>COUNTIF($C$2:$C$272,C46)</x:f>
        <x:v>7</x:v>
      </x:c>
      <x:c r="X46" t="str">
        <x:f>IF(W46&gt;=5,"Yes","No")</x:f>
        <x:v>Yes</x:v>
      </x:c>
      <x:c r="Y46" t="str">
        <x:f>INT(A46/10)*10&amp;"s"</x:f>
        <x:v>2000s</x:v>
      </x:c>
    </x:row>
    <x:row r="47">
      <x:c r="A47">
        <x:v>2003</x:v>
      </x:c>
      <x:c r="B47" t="s">
        <x:v>28</x:v>
      </x:c>
      <x:c r="C47" t="s">
        <x:v>84</x:v>
      </x:c>
      <x:c r="D47" t="s">
        <x:v>85</x:v>
      </x:c>
      <x:c r="E47" t="s">
        <x:v>86</x:v>
      </x:c>
      <x:c r="F47">
        <x:v>4</x:v>
      </x:c>
      <x:c r="G47">
        <x:v>119</x:v>
      </x:c>
      <x:c r="H47" t="s">
        <x:v>152</x:v>
      </x:c>
      <x:c r="I47">
        <x:v>7</x:v>
      </x:c>
      <x:c r="J47">
        <x:v>6</x:v>
      </x:c>
      <x:c r="K47">
        <x:v>6</x:v>
      </x:c>
      <x:c r="L47">
        <x:v>2</x:v>
      </x:c>
      <x:c r="M47">
        <x:v>7</x:v>
      </x:c>
      <x:c r="N47">
        <x:v>6</x:v>
      </x:c>
      <x:c r="O47"/>
      <x:c r="P47"/>
      <x:c r="Q47"/>
      <x:c r="R47"/>
      <x:c r="S47" t="s">
        <x:v>153</x:v>
      </x:c>
      <x:c r="T47" t="s">
        <x:v>73</x:v>
      </x:c>
      <x:c r="U47" t="s">
        <x:v>71</x:v>
      </x:c>
      <x:c r="V47" t="s">
        <x:v>55</x:v>
      </x:c>
      <x:c r="W47" s="5" t="n">
        <x:f>COUNTIF($C$2:$C$272,C47)</x:f>
        <x:v>8</x:v>
      </x:c>
      <x:c r="X47" t="str">
        <x:f>IF(W47&gt;=5,"Yes","No")</x:f>
        <x:v>Yes</x:v>
      </x:c>
      <x:c r="Y47" t="str">
        <x:f>INT(A47/10)*10&amp;"s"</x:f>
        <x:v>2000s</x:v>
      </x:c>
    </x:row>
    <x:row r="48">
      <x:c r="A48">
        <x:v>2002</x:v>
      </x:c>
      <x:c r="B48" t="s">
        <x:v>22</x:v>
      </x:c>
      <x:c r="C48" t="s">
        <x:v>82</x:v>
      </x:c>
      <x:c r="D48" t="s">
        <x:v>41</x:v>
      </x:c>
      <x:c r="E48" t="s">
        <x:v>42</x:v>
      </x:c>
      <x:c r="F48">
        <x:v>2</x:v>
      </x:c>
      <x:c r="G48">
        <x:v>78</x:v>
      </x:c>
      <x:c r="H48" t="s">
        <x:v>154</x:v>
      </x:c>
      <x:c r="I48">
        <x:v>7</x:v>
      </x:c>
      <x:c r="J48">
        <x:v>6</x:v>
      </x:c>
      <x:c r="K48">
        <x:v>6</x:v>
      </x:c>
      <x:c r="L48">
        <x:v>3</x:v>
      </x:c>
      <x:c r="M48"/>
      <x:c r="N48"/>
      <x:c r="O48"/>
      <x:c r="P48"/>
      <x:c r="Q48"/>
      <x:c r="R48"/>
      <x:c r="S48" t="s">
        <x:v>95</x:v>
      </x:c>
      <x:c r="T48" t="s">
        <x:v>41</x:v>
      </x:c>
      <x:c r="U48" t="s">
        <x:v>42</x:v>
      </x:c>
      <x:c r="V48">
        <x:v>1</x:v>
      </x:c>
      <x:c r="W48" s="5" t="n">
        <x:f>COUNTIF($C$2:$C$272,C48)</x:f>
        <x:v>7</x:v>
      </x:c>
      <x:c r="X48" t="str">
        <x:f>IF(W48&gt;=5,"Yes","No")</x:f>
        <x:v>Yes</x:v>
      </x:c>
      <x:c r="Y48" t="str">
        <x:f>INT(A48/10)*10&amp;"s"</x:f>
        <x:v>2000s</x:v>
      </x:c>
    </x:row>
    <x:row r="49">
      <x:c r="A49">
        <x:v>2002</x:v>
      </x:c>
      <x:c r="B49" t="s">
        <x:v>28</x:v>
      </x:c>
      <x:c r="C49" t="s">
        <x:v>155</x:v>
      </x:c>
      <x:c r="D49" t="s">
        <x:v>73</x:v>
      </x:c>
      <x:c r="E49" t="s">
        <x:v>71</x:v>
      </x:c>
      <x:c r="F49">
        <x:v>1</x:v>
      </x:c>
      <x:c r="G49">
        <x:v>116</x:v>
      </x:c>
      <x:c r="H49" t="s">
        <x:v>156</x:v>
      </x:c>
      <x:c r="I49">
        <x:v>6</x:v>
      </x:c>
      <x:c r="J49">
        <x:v>1</x:v>
      </x:c>
      <x:c r="K49">
        <x:v>6</x:v>
      </x:c>
      <x:c r="L49">
        <x:v>3</x:v>
      </x:c>
      <x:c r="M49">
        <x:v>6</x:v>
      </x:c>
      <x:c r="N49">
        <x:v>2</x:v>
      </x:c>
      <x:c r="O49"/>
      <x:c r="P49"/>
      <x:c r="Q49"/>
      <x:c r="R49"/>
      <x:c r="S49" t="s">
        <x:v>157</x:v>
      </x:c>
      <x:c r="T49" t="s">
        <x:v>158</x:v>
      </x:c>
      <x:c r="U49" t="s">
        <x:v>159</x:v>
      </x:c>
      <x:c r="V49">
        <x:v>28</x:v>
      </x:c>
      <x:c r="W49" s="5" t="n">
        <x:f>COUNTIF($C$2:$C$272,C49)</x:f>
        <x:v>1</x:v>
      </x:c>
      <x:c r="X49" t="str">
        <x:f>IF(W49&gt;=5,"Yes","No")</x:f>
        <x:v>No</x:v>
      </x:c>
      <x:c r="Y49" t="str">
        <x:f>INT(A49/10)*10&amp;"s"</x:f>
        <x:v>2000s</x:v>
      </x:c>
    </x:row>
    <x:row r="50">
      <x:c r="A50">
        <x:v>2001</x:v>
      </x:c>
      <x:c r="B50" t="s">
        <x:v>22</x:v>
      </x:c>
      <x:c r="C50" t="s">
        <x:v>95</x:v>
      </x:c>
      <x:c r="D50" t="s">
        <x:v>41</x:v>
      </x:c>
      <x:c r="E50" t="s">
        <x:v>42</x:v>
      </x:c>
      <x:c r="F50">
        <x:v>2</x:v>
      </x:c>
      <x:c r="G50">
        <x:v>69</x:v>
      </x:c>
      <x:c r="H50" t="s">
        <x:v>160</x:v>
      </x:c>
      <x:c r="I50">
        <x:v>6</x:v>
      </x:c>
      <x:c r="J50">
        <x:v>1</x:v>
      </x:c>
      <x:c r="K50">
        <x:v>3</x:v>
      </x:c>
      <x:c r="L50">
        <x:v>6</x:v>
      </x:c>
      <x:c r="M50">
        <x:v>6</x:v>
      </x:c>
      <x:c r="N50">
        <x:v>0</x:v>
      </x:c>
      <x:c r="O50"/>
      <x:c r="P50"/>
      <x:c r="Q50"/>
      <x:c r="R50"/>
      <x:c r="S50" t="s">
        <x:v>161</x:v>
      </x:c>
      <x:c r="T50" t="s">
        <x:v>143</x:v>
      </x:c>
      <x:c r="U50" t="s">
        <x:v>144</x:v>
      </x:c>
      <x:c r="V50">
        <x:v>8</x:v>
      </x:c>
      <x:c r="W50" s="5" t="n">
        <x:f>COUNTIF($C$2:$C$272,C50)</x:f>
        <x:v>5</x:v>
      </x:c>
      <x:c r="X50" t="str">
        <x:f>IF(W50&gt;=5,"Yes","No")</x:f>
        <x:v>Yes</x:v>
      </x:c>
      <x:c r="Y50" t="str">
        <x:f>INT(A50/10)*10&amp;"s"</x:f>
        <x:v>2000s</x:v>
      </x:c>
    </x:row>
    <x:row r="51">
      <x:c r="A51">
        <x:v>2001</x:v>
      </x:c>
      <x:c r="B51" t="s">
        <x:v>28</x:v>
      </x:c>
      <x:c r="C51" t="s">
        <x:v>162</x:v>
      </x:c>
      <x:c r="D51" t="s">
        <x:v>98</x:v>
      </x:c>
      <x:c r="E51" t="s">
        <x:v>99</x:v>
      </x:c>
      <x:c r="F51" t="s">
        <x:v>163</x:v>
      </x:c>
      <x:c r="G51">
        <x:v>182</x:v>
      </x:c>
      <x:c r="H51" t="s">
        <x:v>164</x:v>
      </x:c>
      <x:c r="I51">
        <x:v>6</x:v>
      </x:c>
      <x:c r="J51">
        <x:v>3</x:v>
      </x:c>
      <x:c r="K51">
        <x:v>3</x:v>
      </x:c>
      <x:c r="L51">
        <x:v>6</x:v>
      </x:c>
      <x:c r="M51">
        <x:v>6</x:v>
      </x:c>
      <x:c r="N51">
        <x:v>3</x:v>
      </x:c>
      <x:c r="O51">
        <x:v>2</x:v>
      </x:c>
      <x:c r="P51">
        <x:v>6</x:v>
      </x:c>
      <x:c r="Q51">
        <x:v>9</x:v>
      </x:c>
      <x:c r="R51">
        <x:v>7</x:v>
      </x:c>
      <x:c r="S51" t="s">
        <x:v>165</x:v>
      </x:c>
      <x:c r="T51" t="s">
        <x:v>73</x:v>
      </x:c>
      <x:c r="U51" t="s">
        <x:v>71</x:v>
      </x:c>
      <x:c r="V51">
        <x:v>3</x:v>
      </x:c>
      <x:c r="W51" s="5" t="n">
        <x:f>COUNTIF($C$2:$C$272,C51)</x:f>
        <x:v>1</x:v>
      </x:c>
      <x:c r="X51" t="str">
        <x:f>IF(W51&gt;=5,"Yes","No")</x:f>
        <x:v>No</x:v>
      </x:c>
      <x:c r="Y51" t="str">
        <x:f>INT(A51/10)*10&amp;"s"</x:f>
        <x:v>2000s</x:v>
      </x:c>
    </x:row>
    <x:row r="52">
      <x:c r="A52">
        <x:v>2000</x:v>
      </x:c>
      <x:c r="B52" t="s">
        <x:v>22</x:v>
      </x:c>
      <x:c r="C52" t="s">
        <x:v>95</x:v>
      </x:c>
      <x:c r="D52" t="s">
        <x:v>41</x:v>
      </x:c>
      <x:c r="E52" t="s">
        <x:v>42</x:v>
      </x:c>
      <x:c r="F52">
        <x:v>5</x:v>
      </x:c>
      <x:c r="G52">
        <x:v>84</x:v>
      </x:c>
      <x:c r="H52" t="s">
        <x:v>166</x:v>
      </x:c>
      <x:c r="I52">
        <x:v>6</x:v>
      </x:c>
      <x:c r="J52">
        <x:v>3</x:v>
      </x:c>
      <x:c r="K52">
        <x:v>7</x:v>
      </x:c>
      <x:c r="L52">
        <x:v>6</x:v>
      </x:c>
      <x:c r="M52"/>
      <x:c r="N52"/>
      <x:c r="O52"/>
      <x:c r="P52"/>
      <x:c r="Q52"/>
      <x:c r="R52"/>
      <x:c r="S52" t="s">
        <x:v>147</x:v>
      </x:c>
      <x:c r="T52" t="s">
        <x:v>41</x:v>
      </x:c>
      <x:c r="U52" t="s">
        <x:v>42</x:v>
      </x:c>
      <x:c r="V52">
        <x:v>2</x:v>
      </x:c>
      <x:c r="W52" s="5" t="n">
        <x:f>COUNTIF($C$2:$C$272,C52)</x:f>
        <x:v>5</x:v>
      </x:c>
      <x:c r="X52" t="str">
        <x:f>IF(W52&gt;=5,"Yes","No")</x:f>
        <x:v>Yes</x:v>
      </x:c>
      <x:c r="Y52" t="str">
        <x:f>INT(A52/10)*10&amp;"s"</x:f>
        <x:v>2000s</x:v>
      </x:c>
    </x:row>
    <x:row r="53">
      <x:c r="A53">
        <x:v>2000</x:v>
      </x:c>
      <x:c r="B53" t="s">
        <x:v>28</x:v>
      </x:c>
      <x:c r="C53" t="s">
        <x:v>167</x:v>
      </x:c>
      <x:c r="D53" t="s">
        <x:v>41</x:v>
      </x:c>
      <x:c r="E53" t="s">
        <x:v>42</x:v>
      </x:c>
      <x:c r="F53">
        <x:v>1</x:v>
      </x:c>
      <x:c r="G53">
        <x:v>182</x:v>
      </x:c>
      <x:c r="H53" t="s">
        <x:v>168</x:v>
      </x:c>
      <x:c r="I53">
        <x:v>6</x:v>
      </x:c>
      <x:c r="J53">
        <x:v>7</x:v>
      </x:c>
      <x:c r="K53">
        <x:v>7</x:v>
      </x:c>
      <x:c r="L53">
        <x:v>6</x:v>
      </x:c>
      <x:c r="M53">
        <x:v>6</x:v>
      </x:c>
      <x:c r="N53">
        <x:v>4</x:v>
      </x:c>
      <x:c r="O53">
        <x:v>6</x:v>
      </x:c>
      <x:c r="P53">
        <x:v>2</x:v>
      </x:c>
      <x:c r="Q53"/>
      <x:c r="R53"/>
      <x:c r="S53" t="s">
        <x:v>165</x:v>
      </x:c>
      <x:c r="T53" t="s">
        <x:v>73</x:v>
      </x:c>
      <x:c r="U53" t="s">
        <x:v>71</x:v>
      </x:c>
      <x:c r="V53">
        <x:v>12</x:v>
      </x:c>
      <x:c r="W53" s="5" t="n">
        <x:f>COUNTIF($C$2:$C$272,C53)</x:f>
        <x:v>7</x:v>
      </x:c>
      <x:c r="X53" t="str">
        <x:f>IF(W53&gt;=5,"Yes","No")</x:f>
        <x:v>Yes</x:v>
      </x:c>
      <x:c r="Y53" t="str">
        <x:f>INT(A53/10)*10&amp;"s"</x:f>
        <x:v>2000s</x:v>
      </x:c>
    </x:row>
    <x:row r="54">
      <x:c r="A54">
        <x:v>1999</x:v>
      </x:c>
      <x:c r="B54" t="s">
        <x:v>22</x:v>
      </x:c>
      <x:c r="C54" t="s">
        <x:v>147</x:v>
      </x:c>
      <x:c r="D54" t="s">
        <x:v>41</x:v>
      </x:c>
      <x:c r="E54" t="s">
        <x:v>42</x:v>
      </x:c>
      <x:c r="F54">
        <x:v>3</x:v>
      </x:c>
      <x:c r="G54">
        <x:v>75</x:v>
      </x:c>
      <x:c r="H54" t="s">
        <x:v>169</x:v>
      </x:c>
      <x:c r="I54">
        <x:v>6</x:v>
      </x:c>
      <x:c r="J54">
        <x:v>4</x:v>
      </x:c>
      <x:c r="K54">
        <x:v>7</x:v>
      </x:c>
      <x:c r="L54">
        <x:v>5</x:v>
      </x:c>
      <x:c r="M54"/>
      <x:c r="N54"/>
      <x:c r="O54"/>
      <x:c r="P54"/>
      <x:c r="Q54"/>
      <x:c r="R54"/>
      <x:c r="S54" t="s">
        <x:v>170</x:v>
      </x:c>
      <x:c r="T54" t="s">
        <x:v>34</x:v>
      </x:c>
      <x:c r="U54" t="s">
        <x:v>35</x:v>
      </x:c>
      <x:c r="V54">
        <x:v>2</x:v>
      </x:c>
      <x:c r="W54" s="5" t="n">
        <x:f>COUNTIF($C$2:$C$272,C54)</x:f>
        <x:v>1</x:v>
      </x:c>
      <x:c r="X54" t="str">
        <x:f>IF(W54&gt;=5,"Yes","No")</x:f>
        <x:v>No</x:v>
      </x:c>
      <x:c r="Y54" t="str">
        <x:f>INT(A54/10)*10&amp;"s"</x:f>
        <x:v>1990s</x:v>
      </x:c>
    </x:row>
    <x:row r="55">
      <x:c r="A55">
        <x:v>1999</x:v>
      </x:c>
      <x:c r="B55" t="s">
        <x:v>28</x:v>
      </x:c>
      <x:c r="C55" t="s">
        <x:v>167</x:v>
      </x:c>
      <x:c r="D55" t="s">
        <x:v>41</x:v>
      </x:c>
      <x:c r="E55" t="s">
        <x:v>42</x:v>
      </x:c>
      <x:c r="F55">
        <x:v>1</x:v>
      </x:c>
      <x:c r="G55">
        <x:v>115</x:v>
      </x:c>
      <x:c r="H55" t="s">
        <x:v>171</x:v>
      </x:c>
      <x:c r="I55">
        <x:v>6</x:v>
      </x:c>
      <x:c r="J55">
        <x:v>3</x:v>
      </x:c>
      <x:c r="K55">
        <x:v>6</x:v>
      </x:c>
      <x:c r="L55">
        <x:v>4</x:v>
      </x:c>
      <x:c r="M55">
        <x:v>7</x:v>
      </x:c>
      <x:c r="N55">
        <x:v>5</x:v>
      </x:c>
      <x:c r="O55"/>
      <x:c r="P55"/>
      <x:c r="Q55"/>
      <x:c r="R55"/>
      <x:c r="S55" t="s">
        <x:v>172</x:v>
      </x:c>
      <x:c r="T55" t="s">
        <x:v>41</x:v>
      </x:c>
      <x:c r="U55" t="s">
        <x:v>42</x:v>
      </x:c>
      <x:c r="V55">
        <x:v>4</x:v>
      </x:c>
      <x:c r="W55" s="5" t="n">
        <x:f>COUNTIF($C$2:$C$272,C55)</x:f>
        <x:v>7</x:v>
      </x:c>
      <x:c r="X55" t="str">
        <x:f>IF(W55&gt;=5,"Yes","No")</x:f>
        <x:v>Yes</x:v>
      </x:c>
      <x:c r="Y55" t="str">
        <x:f>INT(A55/10)*10&amp;"s"</x:f>
        <x:v>1990s</x:v>
      </x:c>
    </x:row>
    <x:row r="56">
      <x:c r="A56">
        <x:v>1998</x:v>
      </x:c>
      <x:c r="B56" t="s">
        <x:v>22</x:v>
      </x:c>
      <x:c r="C56" t="s">
        <x:v>173</x:v>
      </x:c>
      <x:c r="D56" t="s">
        <x:v>24</x:v>
      </x:c>
      <x:c r="E56" t="s">
        <x:v>25</x:v>
      </x:c>
      <x:c r="F56">
        <x:v>3</x:v>
      </x:c>
      <x:c r="G56">
        <x:v>94</x:v>
      </x:c>
      <x:c r="H56" t="s">
        <x:v>174</x:v>
      </x:c>
      <x:c r="I56">
        <x:v>6</x:v>
      </x:c>
      <x:c r="J56">
        <x:v>4</x:v>
      </x:c>
      <x:c r="K56">
        <x:v>7</x:v>
      </x:c>
      <x:c r="L56">
        <x:v>6</x:v>
      </x:c>
      <x:c r="M56"/>
      <x:c r="N56"/>
      <x:c r="O56"/>
      <x:c r="P56"/>
      <x:c r="Q56"/>
      <x:c r="R56"/>
      <x:c r="S56" t="s">
        <x:v>175</x:v>
      </x:c>
      <x:c r="T56" t="s">
        <x:v>114</x:v>
      </x:c>
      <x:c r="U56" t="s">
        <x:v>115</x:v>
      </x:c>
      <x:c r="V56">
        <x:v>16</x:v>
      </x:c>
      <x:c r="W56" s="5" t="n">
        <x:f>COUNTIF($C$2:$C$272,C56)</x:f>
        <x:v>1</x:v>
      </x:c>
      <x:c r="X56" t="str">
        <x:f>IF(W56&gt;=5,"Yes","No")</x:f>
        <x:v>No</x:v>
      </x:c>
      <x:c r="Y56" t="str">
        <x:f>INT(A56/10)*10&amp;"s"</x:f>
        <x:v>1990s</x:v>
      </x:c>
    </x:row>
    <x:row r="57">
      <x:c r="A57">
        <x:v>1998</x:v>
      </x:c>
      <x:c r="B57" t="s">
        <x:v>28</x:v>
      </x:c>
      <x:c r="C57" t="s">
        <x:v>167</x:v>
      </x:c>
      <x:c r="D57" t="s">
        <x:v>41</x:v>
      </x:c>
      <x:c r="E57" t="s">
        <x:v>42</x:v>
      </x:c>
      <x:c r="F57">
        <x:v>1</x:v>
      </x:c>
      <x:c r="G57">
        <x:v>172</x:v>
      </x:c>
      <x:c r="H57" t="s">
        <x:v>176</x:v>
      </x:c>
      <x:c r="I57">
        <x:v>6</x:v>
      </x:c>
      <x:c r="J57">
        <x:v>7</x:v>
      </x:c>
      <x:c r="K57">
        <x:v>7</x:v>
      </x:c>
      <x:c r="L57">
        <x:v>6</x:v>
      </x:c>
      <x:c r="M57">
        <x:v>6</x:v>
      </x:c>
      <x:c r="N57">
        <x:v>4</x:v>
      </x:c>
      <x:c r="O57">
        <x:v>3</x:v>
      </x:c>
      <x:c r="P57">
        <x:v>6</x:v>
      </x:c>
      <x:c r="Q57">
        <x:v>6</x:v>
      </x:c>
      <x:c r="R57">
        <x:v>2</x:v>
      </x:c>
      <x:c r="S57" t="s">
        <x:v>162</x:v>
      </x:c>
      <x:c r="T57" t="s">
        <x:v>98</x:v>
      </x:c>
      <x:c r="U57" t="s">
        <x:v>99</x:v>
      </x:c>
      <x:c r="V57">
        <x:v>14</x:v>
      </x:c>
      <x:c r="W57" s="5" t="n">
        <x:f>COUNTIF($C$2:$C$272,C57)</x:f>
        <x:v>7</x:v>
      </x:c>
      <x:c r="X57" t="str">
        <x:f>IF(W57&gt;=5,"Yes","No")</x:f>
        <x:v>Yes</x:v>
      </x:c>
      <x:c r="Y57" t="str">
        <x:f>INT(A57/10)*10&amp;"s"</x:f>
        <x:v>1990s</x:v>
      </x:c>
    </x:row>
    <x:row r="58">
      <x:c r="A58">
        <x:v>1997</x:v>
      </x:c>
      <x:c r="B58" t="s">
        <x:v>22</x:v>
      </x:c>
      <x:c r="C58" t="s">
        <x:v>177</x:v>
      </x:c>
      <x:c r="D58" t="s">
        <x:v>85</x:v>
      </x:c>
      <x:c r="E58" t="s">
        <x:v>86</x:v>
      </x:c>
      <x:c r="F58">
        <x:v>1</x:v>
      </x:c>
      <x:c r="G58">
        <x:v>110</x:v>
      </x:c>
      <x:c r="H58" t="s">
        <x:v>178</x:v>
      </x:c>
      <x:c r="I58">
        <x:v>2</x:v>
      </x:c>
      <x:c r="J58">
        <x:v>6</x:v>
      </x:c>
      <x:c r="K58">
        <x:v>6</x:v>
      </x:c>
      <x:c r="L58">
        <x:v>3</x:v>
      </x:c>
      <x:c r="M58">
        <x:v>6</x:v>
      </x:c>
      <x:c r="N58">
        <x:v>3</x:v>
      </x:c>
      <x:c r="O58"/>
      <x:c r="P58"/>
      <x:c r="Q58"/>
      <x:c r="R58"/>
      <x:c r="S58" t="s">
        <x:v>173</x:v>
      </x:c>
      <x:c r="T58" t="s">
        <x:v>24</x:v>
      </x:c>
      <x:c r="U58" t="s">
        <x:v>25</x:v>
      </x:c>
      <x:c r="V58">
        <x:v>3</x:v>
      </x:c>
      <x:c r="W58" s="5" t="n">
        <x:f>COUNTIF($C$2:$C$272,C58)</x:f>
        <x:v>1</x:v>
      </x:c>
      <x:c r="X58" t="str">
        <x:f>IF(W58&gt;=5,"Yes","No")</x:f>
        <x:v>No</x:v>
      </x:c>
      <x:c r="Y58" t="str">
        <x:f>INT(A58/10)*10&amp;"s"</x:f>
        <x:v>1990s</x:v>
      </x:c>
    </x:row>
    <x:row r="59">
      <x:c r="A59">
        <x:v>1997</x:v>
      </x:c>
      <x:c r="B59" t="s">
        <x:v>28</x:v>
      </x:c>
      <x:c r="C59" t="s">
        <x:v>167</x:v>
      </x:c>
      <x:c r="D59" t="s">
        <x:v>41</x:v>
      </x:c>
      <x:c r="E59" t="s">
        <x:v>42</x:v>
      </x:c>
      <x:c r="F59">
        <x:v>1</x:v>
      </x:c>
      <x:c r="G59">
        <x:v>94</x:v>
      </x:c>
      <x:c r="H59" t="s">
        <x:v>179</x:v>
      </x:c>
      <x:c r="I59">
        <x:v>6</x:v>
      </x:c>
      <x:c r="J59">
        <x:v>4</x:v>
      </x:c>
      <x:c r="K59">
        <x:v>6</x:v>
      </x:c>
      <x:c r="L59">
        <x:v>2</x:v>
      </x:c>
      <x:c r="M59">
        <x:v>6</x:v>
      </x:c>
      <x:c r="N59">
        <x:v>4</x:v>
      </x:c>
      <x:c r="O59"/>
      <x:c r="P59"/>
      <x:c r="Q59"/>
      <x:c r="R59"/>
      <x:c r="S59" t="s">
        <x:v>180</x:v>
      </x:c>
      <x:c r="T59" t="s">
        <x:v>114</x:v>
      </x:c>
      <x:c r="U59" t="s">
        <x:v>115</x:v>
      </x:c>
      <x:c r="V59" t="s">
        <x:v>55</x:v>
      </x:c>
      <x:c r="W59" s="5" t="n">
        <x:f>COUNTIF($C$2:$C$272,C59)</x:f>
        <x:v>7</x:v>
      </x:c>
      <x:c r="X59" t="str">
        <x:f>IF(W59&gt;=5,"Yes","No")</x:f>
        <x:v>Yes</x:v>
      </x:c>
      <x:c r="Y59" t="str">
        <x:f>INT(A59/10)*10&amp;"s"</x:f>
        <x:v>1990s</x:v>
      </x:c>
    </x:row>
    <x:row r="60">
      <x:c r="A60">
        <x:v>1996</x:v>
      </x:c>
      <x:c r="B60" t="s">
        <x:v>22</x:v>
      </x:c>
      <x:c r="C60" t="s">
        <x:v>170</x:v>
      </x:c>
      <x:c r="D60" t="s">
        <x:v>34</x:v>
      </x:c>
      <x:c r="E60" t="s">
        <x:v>35</x:v>
      </x:c>
      <x:c r="F60">
        <x:v>1</x:v>
      </x:c>
      <x:c r="G60">
        <x:v>88</x:v>
      </x:c>
      <x:c r="H60" t="s">
        <x:v>181</x:v>
      </x:c>
      <x:c r="I60">
        <x:v>6</x:v>
      </x:c>
      <x:c r="J60">
        <x:v>3</x:v>
      </x:c>
      <x:c r="K60">
        <x:v>7</x:v>
      </x:c>
      <x:c r="L60">
        <x:v>5</x:v>
      </x:c>
      <x:c r="M60"/>
      <x:c r="N60"/>
      <x:c r="O60"/>
      <x:c r="P60"/>
      <x:c r="Q60"/>
      <x:c r="R60"/>
      <x:c r="S60" t="s">
        <x:v>182</x:v>
      </x:c>
      <x:c r="T60" t="s">
        <x:v>45</x:v>
      </x:c>
      <x:c r="U60" t="s">
        <x:v>46</x:v>
      </x:c>
      <x:c r="V60">
        <x:v>4</x:v>
      </x:c>
      <x:c r="W60" s="5" t="n">
        <x:f>COUNTIF($C$2:$C$272,C60)</x:f>
        <x:v>7</x:v>
      </x:c>
      <x:c r="X60" t="str">
        <x:f>IF(W60&gt;=5,"Yes","No")</x:f>
        <x:v>Yes</x:v>
      </x:c>
      <x:c r="Y60" t="str">
        <x:f>INT(A60/10)*10&amp;"s"</x:f>
        <x:v>1990s</x:v>
      </x:c>
    </x:row>
    <x:row r="61">
      <x:c r="A61">
        <x:v>1996</x:v>
      </x:c>
      <x:c r="B61" t="s">
        <x:v>28</x:v>
      </x:c>
      <x:c r="C61" t="s">
        <x:v>183</x:v>
      </x:c>
      <x:c r="D61" t="s">
        <x:v>184</x:v>
      </x:c>
      <x:c r="E61" t="s">
        <x:v>185</x:v>
      </x:c>
      <x:c r="F61" t="s">
        <x:v>55</x:v>
      </x:c>
      <x:c r="G61">
        <x:v>94</x:v>
      </x:c>
      <x:c r="H61" t="s">
        <x:v>186</x:v>
      </x:c>
      <x:c r="I61">
        <x:v>6</x:v>
      </x:c>
      <x:c r="J61">
        <x:v>3</x:v>
      </x:c>
      <x:c r="K61">
        <x:v>6</x:v>
      </x:c>
      <x:c r="L61">
        <x:v>4</x:v>
      </x:c>
      <x:c r="M61">
        <x:v>6</x:v>
      </x:c>
      <x:c r="N61">
        <x:v>3</x:v>
      </x:c>
      <x:c r="O61"/>
      <x:c r="P61"/>
      <x:c r="Q61"/>
      <x:c r="R61"/>
      <x:c r="S61" t="s">
        <x:v>187</x:v>
      </x:c>
      <x:c r="T61" t="s">
        <x:v>41</x:v>
      </x:c>
      <x:c r="U61" t="s">
        <x:v>42</x:v>
      </x:c>
      <x:c r="V61" t="s">
        <x:v>55</x:v>
      </x:c>
      <x:c r="W61" s="5" t="n">
        <x:f>COUNTIF($C$2:$C$272,C61)</x:f>
        <x:v>1</x:v>
      </x:c>
      <x:c r="X61" t="str">
        <x:f>IF(W61&gt;=5,"Yes","No")</x:f>
        <x:v>No</x:v>
      </x:c>
      <x:c r="Y61" t="str">
        <x:f>INT(A61/10)*10&amp;"s"</x:f>
        <x:v>1990s</x:v>
      </x:c>
    </x:row>
    <x:row r="62">
      <x:c r="A62">
        <x:v>1995</x:v>
      </x:c>
      <x:c r="B62" t="s">
        <x:v>22</x:v>
      </x:c>
      <x:c r="C62" t="s">
        <x:v>170</x:v>
      </x:c>
      <x:c r="D62" t="s">
        <x:v>34</x:v>
      </x:c>
      <x:c r="E62" t="s">
        <x:v>35</x:v>
      </x:c>
      <x:c r="F62">
        <x:v>1</x:v>
      </x:c>
      <x:c r="G62">
        <x:v>122</x:v>
      </x:c>
      <x:c r="H62" t="s">
        <x:v>188</x:v>
      </x:c>
      <x:c r="I62">
        <x:v>4</x:v>
      </x:c>
      <x:c r="J62">
        <x:v>6</x:v>
      </x:c>
      <x:c r="K62">
        <x:v>6</x:v>
      </x:c>
      <x:c r="L62">
        <x:v>1</x:v>
      </x:c>
      <x:c r="M62">
        <x:v>7</x:v>
      </x:c>
      <x:c r="N62">
        <x:v>5</x:v>
      </x:c>
      <x:c r="O62"/>
      <x:c r="P62"/>
      <x:c r="Q62"/>
      <x:c r="R62"/>
      <x:c r="S62" t="s">
        <x:v>182</x:v>
      </x:c>
      <x:c r="T62" t="s">
        <x:v>45</x:v>
      </x:c>
      <x:c r="U62" t="s">
        <x:v>46</x:v>
      </x:c>
      <x:c r="V62">
        <x:v>2</x:v>
      </x:c>
      <x:c r="W62" s="5" t="n">
        <x:f>COUNTIF($C$2:$C$272,C62)</x:f>
        <x:v>7</x:v>
      </x:c>
      <x:c r="X62" t="str">
        <x:f>IF(W62&gt;=5,"Yes","No")</x:f>
        <x:v>Yes</x:v>
      </x:c>
      <x:c r="Y62" t="str">
        <x:f>INT(A62/10)*10&amp;"s"</x:f>
        <x:v>1990s</x:v>
      </x:c>
    </x:row>
    <x:row r="63">
      <x:c r="A63">
        <x:v>1995</x:v>
      </x:c>
      <x:c r="B63" t="s">
        <x:v>28</x:v>
      </x:c>
      <x:c r="C63" t="s">
        <x:v>167</x:v>
      </x:c>
      <x:c r="D63" t="s">
        <x:v>41</x:v>
      </x:c>
      <x:c r="E63" t="s">
        <x:v>42</x:v>
      </x:c>
      <x:c r="F63">
        <x:v>2</x:v>
      </x:c>
      <x:c r="G63">
        <x:v>149</x:v>
      </x:c>
      <x:c r="H63" t="s">
        <x:v>189</x:v>
      </x:c>
      <x:c r="I63">
        <x:v>6</x:v>
      </x:c>
      <x:c r="J63">
        <x:v>7</x:v>
      </x:c>
      <x:c r="K63">
        <x:v>6</x:v>
      </x:c>
      <x:c r="L63">
        <x:v>2</x:v>
      </x:c>
      <x:c r="M63">
        <x:v>6</x:v>
      </x:c>
      <x:c r="N63">
        <x:v>4</x:v>
      </x:c>
      <x:c r="O63">
        <x:v>6</x:v>
      </x:c>
      <x:c r="P63">
        <x:v>2</x:v>
      </x:c>
      <x:c r="Q63"/>
      <x:c r="R63"/>
      <x:c r="S63" t="s">
        <x:v>190</x:v>
      </x:c>
      <x:c r="T63" t="s">
        <x:v>34</x:v>
      </x:c>
      <x:c r="U63" t="s">
        <x:v>35</x:v>
      </x:c>
      <x:c r="V63">
        <x:v>3</x:v>
      </x:c>
      <x:c r="W63" s="5" t="n">
        <x:f>COUNTIF($C$2:$C$272,C63)</x:f>
        <x:v>7</x:v>
      </x:c>
      <x:c r="X63" t="str">
        <x:f>IF(W63&gt;=5,"Yes","No")</x:f>
        <x:v>Yes</x:v>
      </x:c>
      <x:c r="Y63" t="str">
        <x:f>INT(A63/10)*10&amp;"s"</x:f>
        <x:v>1990s</x:v>
      </x:c>
    </x:row>
    <x:row r="64">
      <x:c r="A64">
        <x:v>1994</x:v>
      </x:c>
      <x:c r="B64" t="s">
        <x:v>22</x:v>
      </x:c>
      <x:c r="C64" t="s">
        <x:v>191</x:v>
      </x:c>
      <x:c r="D64" t="s">
        <x:v>45</x:v>
      </x:c>
      <x:c r="E64" t="s">
        <x:v>46</x:v>
      </x:c>
      <x:c r="F64">
        <x:v>3</x:v>
      </x:c>
      <x:c r="G64">
        <x:v>119</x:v>
      </x:c>
      <x:c r="H64" t="s">
        <x:v>192</x:v>
      </x:c>
      <x:c r="I64">
        <x:v>6</x:v>
      </x:c>
      <x:c r="J64">
        <x:v>4</x:v>
      </x:c>
      <x:c r="K64">
        <x:v>3</x:v>
      </x:c>
      <x:c r="L64">
        <x:v>6</x:v>
      </x:c>
      <x:c r="M64">
        <x:v>6</x:v>
      </x:c>
      <x:c r="N64">
        <x:v>3</x:v>
      </x:c>
      <x:c r="O64"/>
      <x:c r="P64"/>
      <x:c r="Q64"/>
      <x:c r="R64"/>
      <x:c r="S64" t="s">
        <x:v>193</x:v>
      </x:c>
      <x:c r="T64" t="s">
        <x:v>41</x:v>
      </x:c>
      <x:c r="U64" t="s">
        <x:v>42</x:v>
      </x:c>
      <x:c r="V64">
        <x:v>4</x:v>
      </x:c>
      <x:c r="W64" s="5" t="n">
        <x:f>COUNTIF($C$2:$C$272,C64)</x:f>
        <x:v>1</x:v>
      </x:c>
      <x:c r="X64" t="str">
        <x:f>IF(W64&gt;=5,"Yes","No")</x:f>
        <x:v>No</x:v>
      </x:c>
      <x:c r="Y64" t="str">
        <x:f>INT(A64/10)*10&amp;"s"</x:f>
        <x:v>1990s</x:v>
      </x:c>
    </x:row>
    <x:row r="65">
      <x:c r="A65">
        <x:v>1994</x:v>
      </x:c>
      <x:c r="B65" t="s">
        <x:v>28</x:v>
      </x:c>
      <x:c r="C65" t="s">
        <x:v>167</x:v>
      </x:c>
      <x:c r="D65" t="s">
        <x:v>41</x:v>
      </x:c>
      <x:c r="E65" t="s">
        <x:v>42</x:v>
      </x:c>
      <x:c r="F65">
        <x:v>1</x:v>
      </x:c>
      <x:c r="G65">
        <x:v>115</x:v>
      </x:c>
      <x:c r="H65" t="s">
        <x:v>194</x:v>
      </x:c>
      <x:c r="I65">
        <x:v>7</x:v>
      </x:c>
      <x:c r="J65">
        <x:v>6</x:v>
      </x:c>
      <x:c r="K65">
        <x:v>7</x:v>
      </x:c>
      <x:c r="L65">
        <x:v>6</x:v>
      </x:c>
      <x:c r="M65">
        <x:v>6</x:v>
      </x:c>
      <x:c r="N65">
        <x:v>0</x:v>
      </x:c>
      <x:c r="O65"/>
      <x:c r="P65"/>
      <x:c r="Q65"/>
      <x:c r="R65"/>
      <x:c r="S65" t="s">
        <x:v>162</x:v>
      </x:c>
      <x:c r="T65" t="s">
        <x:v>98</x:v>
      </x:c>
      <x:c r="U65" t="s">
        <x:v>99</x:v>
      </x:c>
      <x:c r="V65">
        <x:v>4</x:v>
      </x:c>
      <x:c r="W65" s="5" t="n">
        <x:f>COUNTIF($C$2:$C$272,C65)</x:f>
        <x:v>7</x:v>
      </x:c>
      <x:c r="X65" t="str">
        <x:f>IF(W65&gt;=5,"Yes","No")</x:f>
        <x:v>Yes</x:v>
      </x:c>
      <x:c r="Y65" t="str">
        <x:f>INT(A65/10)*10&amp;"s"</x:f>
        <x:v>1990s</x:v>
      </x:c>
    </x:row>
    <x:row r="66">
      <x:c r="A66">
        <x:v>1993</x:v>
      </x:c>
      <x:c r="B66" t="s">
        <x:v>22</x:v>
      </x:c>
      <x:c r="C66" t="s">
        <x:v>170</x:v>
      </x:c>
      <x:c r="D66" t="s">
        <x:v>34</x:v>
      </x:c>
      <x:c r="E66" t="s">
        <x:v>35</x:v>
      </x:c>
      <x:c r="F66">
        <x:v>1</x:v>
      </x:c>
      <x:c r="G66">
        <x:v>134</x:v>
      </x:c>
      <x:c r="H66" t="s">
        <x:v>195</x:v>
      </x:c>
      <x:c r="I66">
        <x:v>7</x:v>
      </x:c>
      <x:c r="J66">
        <x:v>6</x:v>
      </x:c>
      <x:c r="K66">
        <x:v>1</x:v>
      </x:c>
      <x:c r="L66">
        <x:v>6</x:v>
      </x:c>
      <x:c r="M66">
        <x:v>6</x:v>
      </x:c>
      <x:c r="N66">
        <x:v>4</x:v>
      </x:c>
      <x:c r="O66"/>
      <x:c r="P66"/>
      <x:c r="Q66"/>
      <x:c r="R66"/>
      <x:c r="S66" t="s">
        <x:v>173</x:v>
      </x:c>
      <x:c r="T66" t="s">
        <x:v>24</x:v>
      </x:c>
      <x:c r="U66" t="s">
        <x:v>25</x:v>
      </x:c>
      <x:c r="V66">
        <x:v>8</x:v>
      </x:c>
      <x:c r="W66" s="5" t="n">
        <x:f>COUNTIF($C$2:$C$272,C66)</x:f>
        <x:v>7</x:v>
      </x:c>
      <x:c r="X66" t="str">
        <x:f>IF(W66&gt;=5,"Yes","No")</x:f>
        <x:v>Yes</x:v>
      </x:c>
      <x:c r="Y66" t="str">
        <x:f>INT(A66/10)*10&amp;"s"</x:f>
        <x:v>1990s</x:v>
      </x:c>
    </x:row>
    <x:row r="67">
      <x:c r="A67">
        <x:v>1993</x:v>
      </x:c>
      <x:c r="B67" t="s">
        <x:v>28</x:v>
      </x:c>
      <x:c r="C67" t="s">
        <x:v>167</x:v>
      </x:c>
      <x:c r="D67" t="s">
        <x:v>41</x:v>
      </x:c>
      <x:c r="E67" t="s">
        <x:v>42</x:v>
      </x:c>
      <x:c r="F67">
        <x:v>1</x:v>
      </x:c>
      <x:c r="G67">
        <x:v>178</x:v>
      </x:c>
      <x:c r="H67" t="s">
        <x:v>196</x:v>
      </x:c>
      <x:c r="I67">
        <x:v>7</x:v>
      </x:c>
      <x:c r="J67">
        <x:v>6</x:v>
      </x:c>
      <x:c r="K67">
        <x:v>7</x:v>
      </x:c>
      <x:c r="L67">
        <x:v>6</x:v>
      </x:c>
      <x:c r="M67">
        <x:v>3</x:v>
      </x:c>
      <x:c r="N67">
        <x:v>6</x:v>
      </x:c>
      <x:c r="O67">
        <x:v>6</x:v>
      </x:c>
      <x:c r="P67">
        <x:v>3</x:v>
      </x:c>
      <x:c r="Q67"/>
      <x:c r="R67"/>
      <x:c r="S67" t="s">
        <x:v>197</x:v>
      </x:c>
      <x:c r="T67" t="s">
        <x:v>41</x:v>
      </x:c>
      <x:c r="U67" t="s">
        <x:v>42</x:v>
      </x:c>
      <x:c r="V67">
        <x:v>3</x:v>
      </x:c>
      <x:c r="W67" s="5" t="n">
        <x:f>COUNTIF($C$2:$C$272,C67)</x:f>
        <x:v>7</x:v>
      </x:c>
      <x:c r="X67" t="str">
        <x:f>IF(W67&gt;=5,"Yes","No")</x:f>
        <x:v>Yes</x:v>
      </x:c>
      <x:c r="Y67" t="str">
        <x:f>INT(A67/10)*10&amp;"s"</x:f>
        <x:v>1990s</x:v>
      </x:c>
    </x:row>
    <x:row r="68">
      <x:c r="A68">
        <x:v>1992</x:v>
      </x:c>
      <x:c r="B68" t="s">
        <x:v>22</x:v>
      </x:c>
      <x:c r="C68" t="s">
        <x:v>170</x:v>
      </x:c>
      <x:c r="D68" t="s">
        <x:v>34</x:v>
      </x:c>
      <x:c r="E68" t="s">
        <x:v>35</x:v>
      </x:c>
      <x:c r="F68">
        <x:v>2</x:v>
      </x:c>
      <x:c r="G68">
        <x:v>58</x:v>
      </x:c>
      <x:c r="H68" t="s">
        <x:v>198</x:v>
      </x:c>
      <x:c r="I68">
        <x:v>6</x:v>
      </x:c>
      <x:c r="J68">
        <x:v>2</x:v>
      </x:c>
      <x:c r="K68">
        <x:v>6</x:v>
      </x:c>
      <x:c r="L68">
        <x:v>1</x:v>
      </x:c>
      <x:c r="M68"/>
      <x:c r="N68"/>
      <x:c r="O68"/>
      <x:c r="P68"/>
      <x:c r="Q68"/>
      <x:c r="R68"/>
      <x:c r="S68" t="s">
        <x:v>199</x:v>
      </x:c>
      <x:c r="T68" t="s">
        <x:v>52</x:v>
      </x:c>
      <x:c r="U68" t="s">
        <x:v>53</x:v>
      </x:c>
      <x:c r="V68">
        <x:v>1</x:v>
      </x:c>
      <x:c r="W68" s="5" t="n">
        <x:f>COUNTIF($C$2:$C$272,C68)</x:f>
        <x:v>7</x:v>
      </x:c>
      <x:c r="X68" t="str">
        <x:f>IF(W68&gt;=5,"Yes","No")</x:f>
        <x:v>Yes</x:v>
      </x:c>
      <x:c r="Y68" t="str">
        <x:f>INT(A68/10)*10&amp;"s"</x:f>
        <x:v>1990s</x:v>
      </x:c>
    </x:row>
    <x:row r="69">
      <x:c r="A69">
        <x:v>1992</x:v>
      </x:c>
      <x:c r="B69" t="s">
        <x:v>28</x:v>
      </x:c>
      <x:c r="C69" t="s">
        <x:v>172</x:v>
      </x:c>
      <x:c r="D69" t="s">
        <x:v>41</x:v>
      </x:c>
      <x:c r="E69" t="s">
        <x:v>42</x:v>
      </x:c>
      <x:c r="F69">
        <x:v>12</x:v>
      </x:c>
      <x:c r="G69">
        <x:v>170</x:v>
      </x:c>
      <x:c r="H69" t="s">
        <x:v>200</x:v>
      </x:c>
      <x:c r="I69">
        <x:v>6</x:v>
      </x:c>
      <x:c r="J69">
        <x:v>7</x:v>
      </x:c>
      <x:c r="K69">
        <x:v>6</x:v>
      </x:c>
      <x:c r="L69">
        <x:v>4</x:v>
      </x:c>
      <x:c r="M69">
        <x:v>6</x:v>
      </x:c>
      <x:c r="N69">
        <x:v>4</x:v>
      </x:c>
      <x:c r="O69">
        <x:v>1</x:v>
      </x:c>
      <x:c r="P69">
        <x:v>6</x:v>
      </x:c>
      <x:c r="Q69">
        <x:v>6</x:v>
      </x:c>
      <x:c r="R69">
        <x:v>4</x:v>
      </x:c>
      <x:c r="S69" t="s">
        <x:v>162</x:v>
      </x:c>
      <x:c r="T69" t="s">
        <x:v>98</x:v>
      </x:c>
      <x:c r="U69" t="s">
        <x:v>99</x:v>
      </x:c>
      <x:c r="V69">
        <x:v>8</x:v>
      </x:c>
      <x:c r="W69" s="5" t="n">
        <x:f>COUNTIF($C$2:$C$272,C69)</x:f>
        <x:v>1</x:v>
      </x:c>
      <x:c r="X69" t="str">
        <x:f>IF(W69&gt;=5,"Yes","No")</x:f>
        <x:v>No</x:v>
      </x:c>
      <x:c r="Y69" t="str">
        <x:f>INT(A69/10)*10&amp;"s"</x:f>
        <x:v>1990s</x:v>
      </x:c>
    </x:row>
    <x:row r="70">
      <x:c r="A70">
        <x:v>1991</x:v>
      </x:c>
      <x:c r="B70" t="s">
        <x:v>22</x:v>
      </x:c>
      <x:c r="C70" t="s">
        <x:v>170</x:v>
      </x:c>
      <x:c r="D70" t="s">
        <x:v>34</x:v>
      </x:c>
      <x:c r="E70" t="s">
        <x:v>35</x:v>
      </x:c>
      <x:c r="F70">
        <x:v>1</x:v>
      </x:c>
      <x:c r="G70">
        <x:v>127</x:v>
      </x:c>
      <x:c r="H70" t="s">
        <x:v>201</x:v>
      </x:c>
      <x:c r="I70">
        <x:v>6</x:v>
      </x:c>
      <x:c r="J70">
        <x:v>4</x:v>
      </x:c>
      <x:c r="K70">
        <x:v>3</x:v>
      </x:c>
      <x:c r="L70">
        <x:v>6</x:v>
      </x:c>
      <x:c r="M70">
        <x:v>8</x:v>
      </x:c>
      <x:c r="N70">
        <x:v>6</x:v>
      </x:c>
      <x:c r="O70"/>
      <x:c r="P70"/>
      <x:c r="Q70"/>
      <x:c r="R70"/>
      <x:c r="S70" t="s">
        <x:v>202</x:v>
      </x:c>
      <x:c r="T70" t="s">
        <x:v>158</x:v>
      </x:c>
      <x:c r="U70" t="s">
        <x:v>159</x:v>
      </x:c>
      <x:c r="V70">
        <x:v>2</x:v>
      </x:c>
      <x:c r="W70" s="5" t="n">
        <x:f>COUNTIF($C$2:$C$272,C70)</x:f>
        <x:v>7</x:v>
      </x:c>
      <x:c r="X70" t="str">
        <x:f>IF(W70&gt;=5,"Yes","No")</x:f>
        <x:v>Yes</x:v>
      </x:c>
      <x:c r="Y70" t="str">
        <x:f>INT(A70/10)*10&amp;"s"</x:f>
        <x:v>1990s</x:v>
      </x:c>
    </x:row>
    <x:row r="71">
      <x:c r="A71">
        <x:v>1991</x:v>
      </x:c>
      <x:c r="B71" t="s">
        <x:v>28</x:v>
      </x:c>
      <x:c r="C71" t="s">
        <x:v>203</x:v>
      </x:c>
      <x:c r="D71" t="s">
        <x:v>34</x:v>
      </x:c>
      <x:c r="E71" t="s">
        <x:v>35</x:v>
      </x:c>
      <x:c r="F71">
        <x:v>6</x:v>
      </x:c>
      <x:c r="G71">
        <x:v>153</x:v>
      </x:c>
      <x:c r="H71" t="s">
        <x:v>204</x:v>
      </x:c>
      <x:c r="I71">
        <x:v>6</x:v>
      </x:c>
      <x:c r="J71">
        <x:v>4</x:v>
      </x:c>
      <x:c r="K71">
        <x:v>7</x:v>
      </x:c>
      <x:c r="L71">
        <x:v>6</x:v>
      </x:c>
      <x:c r="M71">
        <x:v>6</x:v>
      </x:c>
      <x:c r="N71">
        <x:v>4</x:v>
      </x:c>
      <x:c r="O71"/>
      <x:c r="P71"/>
      <x:c r="Q71"/>
      <x:c r="R71"/>
      <x:c r="S71" t="s">
        <x:v>190</x:v>
      </x:c>
      <x:c r="T71" t="s">
        <x:v>34</x:v>
      </x:c>
      <x:c r="U71" t="s">
        <x:v>35</x:v>
      </x:c>
      <x:c r="V71">
        <x:v>2</x:v>
      </x:c>
      <x:c r="W71" s="5" t="n">
        <x:f>COUNTIF($C$2:$C$272,C71)</x:f>
        <x:v>1</x:v>
      </x:c>
      <x:c r="X71" t="str">
        <x:f>IF(W71&gt;=5,"Yes","No")</x:f>
        <x:v>No</x:v>
      </x:c>
      <x:c r="Y71" t="str">
        <x:f>INT(A71/10)*10&amp;"s"</x:f>
        <x:v>1990s</x:v>
      </x:c>
    </x:row>
    <x:row r="72">
      <x:c r="A72">
        <x:v>1990</x:v>
      </x:c>
      <x:c r="B72" t="s">
        <x:v>22</x:v>
      </x:c>
      <x:c r="C72" t="s">
        <x:v>193</x:v>
      </x:c>
      <x:c r="D72" t="s">
        <x:v>41</x:v>
      </x:c>
      <x:c r="E72" t="s">
        <x:v>42</x:v>
      </x:c>
      <x:c r="F72">
        <x:v>2</x:v>
      </x:c>
      <x:c r="G72">
        <x:v>75</x:v>
      </x:c>
      <x:c r="H72" t="s">
        <x:v>205</x:v>
      </x:c>
      <x:c r="I72">
        <x:v>6</x:v>
      </x:c>
      <x:c r="J72">
        <x:v>4</x:v>
      </x:c>
      <x:c r="K72">
        <x:v>6</x:v>
      </x:c>
      <x:c r="L72">
        <x:v>1</x:v>
      </x:c>
      <x:c r="M72"/>
      <x:c r="N72"/>
      <x:c r="O72"/>
      <x:c r="P72"/>
      <x:c r="Q72"/>
      <x:c r="R72"/>
      <x:c r="S72" t="s">
        <x:v>206</x:v>
      </x:c>
      <x:c r="T72" t="s">
        <x:v>41</x:v>
      </x:c>
      <x:c r="U72" t="s">
        <x:v>42</x:v>
      </x:c>
      <x:c r="V72">
        <x:v>5</x:v>
      </x:c>
      <x:c r="W72" s="5" t="n">
        <x:f>COUNTIF($C$2:$C$272,C72)</x:f>
        <x:v>9</x:v>
      </x:c>
      <x:c r="X72" t="str">
        <x:f>IF(W72&gt;=5,"Yes","No")</x:f>
        <x:v>Yes</x:v>
      </x:c>
      <x:c r="Y72" t="str">
        <x:f>INT(A72/10)*10&amp;"s"</x:f>
        <x:v>1990s</x:v>
      </x:c>
    </x:row>
    <x:row r="73">
      <x:c r="A73">
        <x:v>1990</x:v>
      </x:c>
      <x:c r="B73" t="s">
        <x:v>28</x:v>
      </x:c>
      <x:c r="C73" t="s">
        <x:v>207</x:v>
      </x:c>
      <x:c r="D73" t="s">
        <x:v>208</x:v>
      </x:c>
      <x:c r="E73" t="s">
        <x:v>209</x:v>
      </x:c>
      <x:c r="F73">
        <x:v>3</x:v>
      </x:c>
      <x:c r="G73">
        <x:v>178</x:v>
      </x:c>
      <x:c r="H73" t="s">
        <x:v>210</x:v>
      </x:c>
      <x:c r="I73">
        <x:v>6</x:v>
      </x:c>
      <x:c r="J73">
        <x:v>2</x:v>
      </x:c>
      <x:c r="K73">
        <x:v>6</x:v>
      </x:c>
      <x:c r="L73">
        <x:v>2</x:v>
      </x:c>
      <x:c r="M73">
        <x:v>3</x:v>
      </x:c>
      <x:c r="N73">
        <x:v>6</x:v>
      </x:c>
      <x:c r="O73">
        <x:v>3</x:v>
      </x:c>
      <x:c r="P73">
        <x:v>6</x:v>
      </x:c>
      <x:c r="Q73">
        <x:v>6</x:v>
      </x:c>
      <x:c r="R73">
        <x:v>4</x:v>
      </x:c>
      <x:c r="S73" t="s">
        <x:v>190</x:v>
      </x:c>
      <x:c r="T73" t="s">
        <x:v>34</x:v>
      </x:c>
      <x:c r="U73" t="s">
        <x:v>35</x:v>
      </x:c>
      <x:c r="V73">
        <x:v>2</x:v>
      </x:c>
      <x:c r="W73" s="5" t="n">
        <x:f>COUNTIF($C$2:$C$272,C73)</x:f>
        <x:v>2</x:v>
      </x:c>
      <x:c r="X73" t="str">
        <x:f>IF(W73&gt;=5,"Yes","No")</x:f>
        <x:v>No</x:v>
      </x:c>
      <x:c r="Y73" t="str">
        <x:f>INT(A73/10)*10&amp;"s"</x:f>
        <x:v>1990s</x:v>
      </x:c>
    </x:row>
    <x:row r="74">
      <x:c r="A74">
        <x:v>1989</x:v>
      </x:c>
      <x:c r="B74" t="s">
        <x:v>22</x:v>
      </x:c>
      <x:c r="C74" t="s">
        <x:v>170</x:v>
      </x:c>
      <x:c r="D74" t="s">
        <x:v>34</x:v>
      </x:c>
      <x:c r="E74" t="s">
        <x:v>35</x:v>
      </x:c>
      <x:c r="F74">
        <x:v>1</x:v>
      </x:c>
      <x:c r="G74">
        <x:v>92</x:v>
      </x:c>
      <x:c r="H74" t="s">
        <x:v>211</x:v>
      </x:c>
      <x:c r="I74">
        <x:v>6</x:v>
      </x:c>
      <x:c r="J74">
        <x:v>2</x:v>
      </x:c>
      <x:c r="K74">
        <x:v>6</x:v>
      </x:c>
      <x:c r="L74">
        <x:v>7</x:v>
      </x:c>
      <x:c r="M74">
        <x:v>6</x:v>
      </x:c>
      <x:c r="N74">
        <x:v>1</x:v>
      </x:c>
      <x:c r="O74"/>
      <x:c r="P74"/>
      <x:c r="Q74"/>
      <x:c r="R74"/>
      <x:c r="S74" t="s">
        <x:v>193</x:v>
      </x:c>
      <x:c r="T74" t="s">
        <x:v>41</x:v>
      </x:c>
      <x:c r="U74" t="s">
        <x:v>42</x:v>
      </x:c>
      <x:c r="V74">
        <x:v>2</x:v>
      </x:c>
      <x:c r="W74" s="5" t="n">
        <x:f>COUNTIF($C$2:$C$272,C74)</x:f>
        <x:v>7</x:v>
      </x:c>
      <x:c r="X74" t="str">
        <x:f>IF(W74&gt;=5,"Yes","No")</x:f>
        <x:v>Yes</x:v>
      </x:c>
      <x:c r="Y74" t="str">
        <x:f>INT(A74/10)*10&amp;"s"</x:f>
        <x:v>1980s</x:v>
      </x:c>
    </x:row>
    <x:row r="75">
      <x:c r="A75">
        <x:v>1989</x:v>
      </x:c>
      <x:c r="B75" t="s">
        <x:v>28</x:v>
      </x:c>
      <x:c r="C75" t="s">
        <x:v>190</x:v>
      </x:c>
      <x:c r="D75" t="s">
        <x:v>34</x:v>
      </x:c>
      <x:c r="E75" t="s">
        <x:v>35</x:v>
      </x:c>
      <x:c r="F75">
        <x:v>3</x:v>
      </x:c>
      <x:c r="G75">
        <x:v>132</x:v>
      </x:c>
      <x:c r="H75" t="s">
        <x:v>212</x:v>
      </x:c>
      <x:c r="I75">
        <x:v>6</x:v>
      </x:c>
      <x:c r="J75">
        <x:v>0</x:v>
      </x:c>
      <x:c r="K75">
        <x:v>7</x:v>
      </x:c>
      <x:c r="L75">
        <x:v>6</x:v>
      </x:c>
      <x:c r="M75">
        <x:v>6</x:v>
      </x:c>
      <x:c r="N75">
        <x:v>4</x:v>
      </x:c>
      <x:c r="O75"/>
      <x:c r="P75"/>
      <x:c r="Q75"/>
      <x:c r="R75"/>
      <x:c r="S75" t="s">
        <x:v>207</x:v>
      </x:c>
      <x:c r="T75" t="s">
        <x:v>208</x:v>
      </x:c>
      <x:c r="U75" t="s">
        <x:v>209</x:v>
      </x:c>
      <x:c r="V75">
        <x:v>2</x:v>
      </x:c>
      <x:c r="W75" s="5" t="n">
        <x:f>COUNTIF($C$2:$C$272,C75)</x:f>
        <x:v>3</x:v>
      </x:c>
      <x:c r="X75" t="str">
        <x:f>IF(W75&gt;=5,"Yes","No")</x:f>
        <x:v>No</x:v>
      </x:c>
      <x:c r="Y75" t="str">
        <x:f>INT(A75/10)*10&amp;"s"</x:f>
        <x:v>1980s</x:v>
      </x:c>
    </x:row>
    <x:row r="76">
      <x:c r="A76">
        <x:v>1988</x:v>
      </x:c>
      <x:c r="B76" t="s">
        <x:v>22</x:v>
      </x:c>
      <x:c r="C76" t="s">
        <x:v>170</x:v>
      </x:c>
      <x:c r="D76" t="s">
        <x:v>34</x:v>
      </x:c>
      <x:c r="E76" t="s">
        <x:v>35</x:v>
      </x:c>
      <x:c r="F76">
        <x:v>1</x:v>
      </x:c>
      <x:c r="G76">
        <x:v>93</x:v>
      </x:c>
      <x:c r="H76" t="s">
        <x:v>213</x:v>
      </x:c>
      <x:c r="I76">
        <x:v>5</x:v>
      </x:c>
      <x:c r="J76">
        <x:v>7</x:v>
      </x:c>
      <x:c r="K76">
        <x:v>6</x:v>
      </x:c>
      <x:c r="L76">
        <x:v>2</x:v>
      </x:c>
      <x:c r="M76">
        <x:v>6</x:v>
      </x:c>
      <x:c r="N76">
        <x:v>1</x:v>
      </x:c>
      <x:c r="O76"/>
      <x:c r="P76"/>
      <x:c r="Q76"/>
      <x:c r="R76"/>
      <x:c r="S76" t="s">
        <x:v>193</x:v>
      </x:c>
      <x:c r="T76" t="s">
        <x:v>41</x:v>
      </x:c>
      <x:c r="U76" t="s">
        <x:v>42</x:v>
      </x:c>
      <x:c r="V76">
        <x:v>2</x:v>
      </x:c>
      <x:c r="W76" s="5" t="n">
        <x:f>COUNTIF($C$2:$C$272,C76)</x:f>
        <x:v>7</x:v>
      </x:c>
      <x:c r="X76" t="str">
        <x:f>IF(W76&gt;=5,"Yes","No")</x:f>
        <x:v>Yes</x:v>
      </x:c>
      <x:c r="Y76" t="str">
        <x:f>INT(A76/10)*10&amp;"s"</x:f>
        <x:v>1980s</x:v>
      </x:c>
    </x:row>
    <x:row r="77">
      <x:c r="A77">
        <x:v>1988</x:v>
      </x:c>
      <x:c r="B77" t="s">
        <x:v>28</x:v>
      </x:c>
      <x:c r="C77" t="s">
        <x:v>207</x:v>
      </x:c>
      <x:c r="D77" t="s">
        <x:v>208</x:v>
      </x:c>
      <x:c r="E77" t="s">
        <x:v>209</x:v>
      </x:c>
      <x:c r="F77">
        <x:v>3</x:v>
      </x:c>
      <x:c r="G77">
        <x:v>170</x:v>
      </x:c>
      <x:c r="H77" t="s">
        <x:v>214</x:v>
      </x:c>
      <x:c r="I77">
        <x:v>4</x:v>
      </x:c>
      <x:c r="J77">
        <x:v>6</x:v>
      </x:c>
      <x:c r="K77">
        <x:v>7</x:v>
      </x:c>
      <x:c r="L77">
        <x:v>6</x:v>
      </x:c>
      <x:c r="M77">
        <x:v>6</x:v>
      </x:c>
      <x:c r="N77">
        <x:v>4</x:v>
      </x:c>
      <x:c r="O77">
        <x:v>6</x:v>
      </x:c>
      <x:c r="P77">
        <x:v>2</x:v>
      </x:c>
      <x:c r="Q77"/>
      <x:c r="R77"/>
      <x:c r="S77" t="s">
        <x:v>190</x:v>
      </x:c>
      <x:c r="T77" t="s">
        <x:v>34</x:v>
      </x:c>
      <x:c r="U77" t="s">
        <x:v>35</x:v>
      </x:c>
      <x:c r="V77">
        <x:v>6</x:v>
      </x:c>
      <x:c r="W77" s="5" t="n">
        <x:f>COUNTIF($C$2:$C$272,C77)</x:f>
        <x:v>2</x:v>
      </x:c>
      <x:c r="X77" t="str">
        <x:f>IF(W77&gt;=5,"Yes","No")</x:f>
        <x:v>No</x:v>
      </x:c>
      <x:c r="Y77" t="str">
        <x:f>INT(A77/10)*10&amp;"s"</x:f>
        <x:v>1980s</x:v>
      </x:c>
    </x:row>
    <x:row r="78">
      <x:c r="A78">
        <x:v>1987</x:v>
      </x:c>
      <x:c r="B78" t="s">
        <x:v>22</x:v>
      </x:c>
      <x:c r="C78" t="s">
        <x:v>193</x:v>
      </x:c>
      <x:c r="D78" t="s">
        <x:v>41</x:v>
      </x:c>
      <x:c r="E78" t="s">
        <x:v>42</x:v>
      </x:c>
      <x:c r="F78">
        <x:v>1</x:v>
      </x:c>
      <x:c r="G78">
        <x:v>69</x:v>
      </x:c>
      <x:c r="H78" t="s">
        <x:v>215</x:v>
      </x:c>
      <x:c r="I78">
        <x:v>7</x:v>
      </x:c>
      <x:c r="J78">
        <x:v>5</x:v>
      </x:c>
      <x:c r="K78">
        <x:v>6</x:v>
      </x:c>
      <x:c r="L78">
        <x:v>3</x:v>
      </x:c>
      <x:c r="M78"/>
      <x:c r="N78"/>
      <x:c r="O78"/>
      <x:c r="P78"/>
      <x:c r="Q78"/>
      <x:c r="R78"/>
      <x:c r="S78" t="s">
        <x:v>170</x:v>
      </x:c>
      <x:c r="T78" t="s">
        <x:v>34</x:v>
      </x:c>
      <x:c r="U78" t="s">
        <x:v>35</x:v>
      </x:c>
      <x:c r="V78">
        <x:v>2</x:v>
      </x:c>
      <x:c r="W78" s="5" t="n">
        <x:f>COUNTIF($C$2:$C$272,C78)</x:f>
        <x:v>9</x:v>
      </x:c>
      <x:c r="X78" t="str">
        <x:f>IF(W78&gt;=5,"Yes","No")</x:f>
        <x:v>Yes</x:v>
      </x:c>
      <x:c r="Y78" t="str">
        <x:f>INT(A78/10)*10&amp;"s"</x:f>
        <x:v>1980s</x:v>
      </x:c>
    </x:row>
    <x:row r="79">
      <x:c r="A79">
        <x:v>1987</x:v>
      </x:c>
      <x:c r="B79" t="s">
        <x:v>28</x:v>
      </x:c>
      <x:c r="C79" t="s">
        <x:v>216</x:v>
      </x:c>
      <x:c r="D79" t="s">
        <x:v>73</x:v>
      </x:c>
      <x:c r="E79" t="s">
        <x:v>71</x:v>
      </x:c>
      <x:c r="F79">
        <x:v>11</x:v>
      </x:c>
      <x:c r="G79">
        <x:v>165</x:v>
      </x:c>
      <x:c r="H79" t="s">
        <x:v>217</x:v>
      </x:c>
      <x:c r="I79">
        <x:v>7</x:v>
      </x:c>
      <x:c r="J79">
        <x:v>6</x:v>
      </x:c>
      <x:c r="K79">
        <x:v>6</x:v>
      </x:c>
      <x:c r="L79">
        <x:v>2</x:v>
      </x:c>
      <x:c r="M79">
        <x:v>7</x:v>
      </x:c>
      <x:c r="N79">
        <x:v>5</x:v>
      </x:c>
      <x:c r="O79"/>
      <x:c r="P79"/>
      <x:c r="Q79"/>
      <x:c r="R79"/>
      <x:c r="S79" t="s">
        <x:v>218</x:v>
      </x:c>
      <x:c r="T79" t="s">
        <x:v>24</x:v>
      </x:c>
      <x:c r="U79" t="s">
        <x:v>25</x:v>
      </x:c>
      <x:c r="V79">
        <x:v>2</x:v>
      </x:c>
      <x:c r="W79" s="5" t="n">
        <x:f>COUNTIF($C$2:$C$272,C79)</x:f>
        <x:v>1</x:v>
      </x:c>
      <x:c r="X79" t="str">
        <x:f>IF(W79&gt;=5,"Yes","No")</x:f>
        <x:v>No</x:v>
      </x:c>
      <x:c r="Y79" t="str">
        <x:f>INT(A79/10)*10&amp;"s"</x:f>
        <x:v>1980s</x:v>
      </x:c>
    </x:row>
    <x:row r="80">
      <x:c r="A80">
        <x:v>1986</x:v>
      </x:c>
      <x:c r="B80" t="s">
        <x:v>22</x:v>
      </x:c>
      <x:c r="C80" t="s">
        <x:v>193</x:v>
      </x:c>
      <x:c r="D80" t="s">
        <x:v>41</x:v>
      </x:c>
      <x:c r="E80" t="s">
        <x:v>42</x:v>
      </x:c>
      <x:c r="F80">
        <x:v>1</x:v>
      </x:c>
      <x:c r="G80">
        <x:v>72</x:v>
      </x:c>
      <x:c r="H80" t="s">
        <x:v>219</x:v>
      </x:c>
      <x:c r="I80">
        <x:v>7</x:v>
      </x:c>
      <x:c r="J80">
        <x:v>6</x:v>
      </x:c>
      <x:c r="K80">
        <x:v>6</x:v>
      </x:c>
      <x:c r="L80">
        <x:v>3</x:v>
      </x:c>
      <x:c r="M80"/>
      <x:c r="N80"/>
      <x:c r="O80"/>
      <x:c r="P80"/>
      <x:c r="Q80"/>
      <x:c r="R80"/>
      <x:c r="S80" t="s">
        <x:v>220</x:v>
      </x:c>
      <x:c r="T80" t="s">
        <x:v>24</x:v>
      </x:c>
      <x:c r="U80" t="s">
        <x:v>25</x:v>
      </x:c>
      <x:c r="V80">
        <x:v>3</x:v>
      </x:c>
      <x:c r="W80" s="5" t="n">
        <x:f>COUNTIF($C$2:$C$272,C80)</x:f>
        <x:v>9</x:v>
      </x:c>
      <x:c r="X80" t="str">
        <x:f>IF(W80&gt;=5,"Yes","No")</x:f>
        <x:v>Yes</x:v>
      </x:c>
      <x:c r="Y80" t="str">
        <x:f>INT(A80/10)*10&amp;"s"</x:f>
        <x:v>1980s</x:v>
      </x:c>
    </x:row>
    <x:row r="81">
      <x:c r="A81">
        <x:v>1986</x:v>
      </x:c>
      <x:c r="B81" t="s">
        <x:v>28</x:v>
      </x:c>
      <x:c r="C81" t="s">
        <x:v>190</x:v>
      </x:c>
      <x:c r="D81" t="s">
        <x:v>34</x:v>
      </x:c>
      <x:c r="E81" t="s">
        <x:v>35</x:v>
      </x:c>
      <x:c r="F81">
        <x:v>4</x:v>
      </x:c>
      <x:c r="G81">
        <x:v>122</x:v>
      </x:c>
      <x:c r="H81" t="s">
        <x:v>221</x:v>
      </x:c>
      <x:c r="I81">
        <x:v>6</x:v>
      </x:c>
      <x:c r="J81">
        <x:v>4</x:v>
      </x:c>
      <x:c r="K81">
        <x:v>6</x:v>
      </x:c>
      <x:c r="L81">
        <x:v>3</x:v>
      </x:c>
      <x:c r="M81">
        <x:v>7</x:v>
      </x:c>
      <x:c r="N81">
        <x:v>5</x:v>
      </x:c>
      <x:c r="O81"/>
      <x:c r="P81"/>
      <x:c r="Q81"/>
      <x:c r="R81"/>
      <x:c r="S81" t="s">
        <x:v>218</x:v>
      </x:c>
      <x:c r="T81" t="s">
        <x:v>24</x:v>
      </x:c>
      <x:c r="U81" t="s">
        <x:v>25</x:v>
      </x:c>
      <x:c r="V81">
        <x:v>1</x:v>
      </x:c>
      <x:c r="W81" s="5" t="n">
        <x:f>COUNTIF($C$2:$C$272,C81)</x:f>
        <x:v>3</x:v>
      </x:c>
      <x:c r="X81" t="str">
        <x:f>IF(W81&gt;=5,"Yes","No")</x:f>
        <x:v>No</x:v>
      </x:c>
      <x:c r="Y81" t="str">
        <x:f>INT(A81/10)*10&amp;"s"</x:f>
        <x:v>1980s</x:v>
      </x:c>
    </x:row>
    <x:row r="82">
      <x:c r="A82">
        <x:v>1985</x:v>
      </x:c>
      <x:c r="B82" t="s">
        <x:v>22</x:v>
      </x:c>
      <x:c r="C82" t="s">
        <x:v>193</x:v>
      </x:c>
      <x:c r="D82" t="s">
        <x:v>41</x:v>
      </x:c>
      <x:c r="E82" t="s">
        <x:v>42</x:v>
      </x:c>
      <x:c r="F82">
        <x:v>1</x:v>
      </x:c>
      <x:c r="G82">
        <x:v>107</x:v>
      </x:c>
      <x:c r="H82" t="s">
        <x:v>222</x:v>
      </x:c>
      <x:c r="I82">
        <x:v>4</x:v>
      </x:c>
      <x:c r="J82">
        <x:v>6</x:v>
      </x:c>
      <x:c r="K82">
        <x:v>6</x:v>
      </x:c>
      <x:c r="L82">
        <x:v>3</x:v>
      </x:c>
      <x:c r="M82">
        <x:v>6</x:v>
      </x:c>
      <x:c r="N82">
        <x:v>2</x:v>
      </x:c>
      <x:c r="O82"/>
      <x:c r="P82"/>
      <x:c r="Q82"/>
      <x:c r="R82"/>
      <x:c r="S82" t="s">
        <x:v>223</x:v>
      </x:c>
      <x:c r="T82" t="s">
        <x:v>41</x:v>
      </x:c>
      <x:c r="U82" t="s">
        <x:v>42</x:v>
      </x:c>
      <x:c r="V82">
        <x:v>1</x:v>
      </x:c>
      <x:c r="W82" s="5" t="n">
        <x:f>COUNTIF($C$2:$C$272,C82)</x:f>
        <x:v>9</x:v>
      </x:c>
      <x:c r="X82" t="str">
        <x:f>IF(W82&gt;=5,"Yes","No")</x:f>
        <x:v>Yes</x:v>
      </x:c>
      <x:c r="Y82" t="str">
        <x:f>INT(A82/10)*10&amp;"s"</x:f>
        <x:v>1980s</x:v>
      </x:c>
    </x:row>
    <x:row r="83">
      <x:c r="A83">
        <x:v>1985</x:v>
      </x:c>
      <x:c r="B83" t="s">
        <x:v>28</x:v>
      </x:c>
      <x:c r="C83" t="s">
        <x:v>190</x:v>
      </x:c>
      <x:c r="D83" t="s">
        <x:v>34</x:v>
      </x:c>
      <x:c r="E83" t="s">
        <x:v>35</x:v>
      </x:c>
      <x:c r="F83" t="s">
        <x:v>55</x:v>
      </x:c>
      <x:c r="G83">
        <x:v>198</x:v>
      </x:c>
      <x:c r="H83" t="s">
        <x:v>224</x:v>
      </x:c>
      <x:c r="I83">
        <x:v>6</x:v>
      </x:c>
      <x:c r="J83">
        <x:v>3</x:v>
      </x:c>
      <x:c r="K83">
        <x:v>6</x:v>
      </x:c>
      <x:c r="L83">
        <x:v>7</x:v>
      </x:c>
      <x:c r="M83">
        <x:v>7</x:v>
      </x:c>
      <x:c r="N83">
        <x:v>6</x:v>
      </x:c>
      <x:c r="O83">
        <x:v>6</x:v>
      </x:c>
      <x:c r="P83">
        <x:v>4</x:v>
      </x:c>
      <x:c r="Q83"/>
      <x:c r="R83"/>
      <x:c r="S83" t="s">
        <x:v>225</x:v>
      </x:c>
      <x:c r="T83" t="s">
        <x:v>41</x:v>
      </x:c>
      <x:c r="U83" t="s">
        <x:v>42</x:v>
      </x:c>
      <x:c r="V83">
        <x:v>8</x:v>
      </x:c>
      <x:c r="W83" s="5" t="n">
        <x:f>COUNTIF($C$2:$C$272,C83)</x:f>
        <x:v>3</x:v>
      </x:c>
      <x:c r="X83" t="str">
        <x:f>IF(W83&gt;=5,"Yes","No")</x:f>
        <x:v>No</x:v>
      </x:c>
      <x:c r="Y83" t="str">
        <x:f>INT(A83/10)*10&amp;"s"</x:f>
        <x:v>1980s</x:v>
      </x:c>
    </x:row>
    <x:row r="84">
      <x:c r="A84">
        <x:v>1984</x:v>
      </x:c>
      <x:c r="B84" t="s">
        <x:v>22</x:v>
      </x:c>
      <x:c r="C84" t="s">
        <x:v>193</x:v>
      </x:c>
      <x:c r="D84" t="s">
        <x:v>41</x:v>
      </x:c>
      <x:c r="E84" t="s">
        <x:v>42</x:v>
      </x:c>
      <x:c r="F84">
        <x:v>1</x:v>
      </x:c>
      <x:c r="G84">
        <x:v>84</x:v>
      </x:c>
      <x:c r="H84" t="s">
        <x:v>226</x:v>
      </x:c>
      <x:c r="I84">
        <x:v>7</x:v>
      </x:c>
      <x:c r="J84">
        <x:v>6</x:v>
      </x:c>
      <x:c r="K84">
        <x:v>6</x:v>
      </x:c>
      <x:c r="L84">
        <x:v>2</x:v>
      </x:c>
      <x:c r="M84"/>
      <x:c r="N84"/>
      <x:c r="O84"/>
      <x:c r="P84"/>
      <x:c r="Q84"/>
      <x:c r="R84"/>
      <x:c r="S84" t="s">
        <x:v>223</x:v>
      </x:c>
      <x:c r="T84" t="s">
        <x:v>41</x:v>
      </x:c>
      <x:c r="U84" t="s">
        <x:v>42</x:v>
      </x:c>
      <x:c r="V84">
        <x:v>2</x:v>
      </x:c>
      <x:c r="W84" s="5" t="n">
        <x:f>COUNTIF($C$2:$C$272,C84)</x:f>
        <x:v>9</x:v>
      </x:c>
      <x:c r="X84" t="str">
        <x:f>IF(W84&gt;=5,"Yes","No")</x:f>
        <x:v>Yes</x:v>
      </x:c>
      <x:c r="Y84" t="str">
        <x:f>INT(A84/10)*10&amp;"s"</x:f>
        <x:v>1980s</x:v>
      </x:c>
    </x:row>
    <x:row r="85">
      <x:c r="A85">
        <x:v>1984</x:v>
      </x:c>
      <x:c r="B85" t="s">
        <x:v>28</x:v>
      </x:c>
      <x:c r="C85" t="s">
        <x:v>227</x:v>
      </x:c>
      <x:c r="D85" t="s">
        <x:v>41</x:v>
      </x:c>
      <x:c r="E85" t="s">
        <x:v>42</x:v>
      </x:c>
      <x:c r="F85">
        <x:v>1</x:v>
      </x:c>
      <x:c r="G85">
        <x:v>80</x:v>
      </x:c>
      <x:c r="H85" t="s">
        <x:v>228</x:v>
      </x:c>
      <x:c r="I85">
        <x:v>6</x:v>
      </x:c>
      <x:c r="J85">
        <x:v>1</x:v>
      </x:c>
      <x:c r="K85">
        <x:v>6</x:v>
      </x:c>
      <x:c r="L85">
        <x:v>1</x:v>
      </x:c>
      <x:c r="M85">
        <x:v>6</x:v>
      </x:c>
      <x:c r="N85">
        <x:v>2</x:v>
      </x:c>
      <x:c r="O85"/>
      <x:c r="P85"/>
      <x:c r="Q85"/>
      <x:c r="R85"/>
      <x:c r="S85" t="s">
        <x:v>229</x:v>
      </x:c>
      <x:c r="T85" t="s">
        <x:v>41</x:v>
      </x:c>
      <x:c r="U85" t="s">
        <x:v>42</x:v>
      </x:c>
      <x:c r="V85">
        <x:v>3</x:v>
      </x:c>
      <x:c r="W85" s="5" t="n">
        <x:f>COUNTIF($C$2:$C$272,C85)</x:f>
        <x:v>3</x:v>
      </x:c>
      <x:c r="X85" t="str">
        <x:f>IF(W85&gt;=5,"Yes","No")</x:f>
        <x:v>No</x:v>
      </x:c>
      <x:c r="Y85" t="str">
        <x:f>INT(A85/10)*10&amp;"s"</x:f>
        <x:v>1980s</x:v>
      </x:c>
    </x:row>
    <x:row r="86">
      <x:c r="A86">
        <x:v>1983</x:v>
      </x:c>
      <x:c r="B86" t="s">
        <x:v>22</x:v>
      </x:c>
      <x:c r="C86" t="s">
        <x:v>193</x:v>
      </x:c>
      <x:c r="D86" t="s">
        <x:v>41</x:v>
      </x:c>
      <x:c r="E86" t="s">
        <x:v>42</x:v>
      </x:c>
      <x:c r="F86">
        <x:v>1</x:v>
      </x:c>
      <x:c r="G86">
        <x:v>54</x:v>
      </x:c>
      <x:c r="H86" t="s">
        <x:v>230</x:v>
      </x:c>
      <x:c r="I86">
        <x:v>6</x:v>
      </x:c>
      <x:c r="J86">
        <x:v>0</x:v>
      </x:c>
      <x:c r="K86">
        <x:v>6</x:v>
      </x:c>
      <x:c r="L86">
        <x:v>3</x:v>
      </x:c>
      <x:c r="M86"/>
      <x:c r="N86"/>
      <x:c r="O86"/>
      <x:c r="P86"/>
      <x:c r="Q86"/>
      <x:c r="R86"/>
      <x:c r="S86" t="s">
        <x:v>231</x:v>
      </x:c>
      <x:c r="T86" t="s">
        <x:v>41</x:v>
      </x:c>
      <x:c r="U86" t="s">
        <x:v>42</x:v>
      </x:c>
      <x:c r="V86">
        <x:v>3</x:v>
      </x:c>
      <x:c r="W86" s="5" t="n">
        <x:f>COUNTIF($C$2:$C$272,C86)</x:f>
        <x:v>9</x:v>
      </x:c>
      <x:c r="X86" t="str">
        <x:f>IF(W86&gt;=5,"Yes","No")</x:f>
        <x:v>Yes</x:v>
      </x:c>
      <x:c r="Y86" t="str">
        <x:f>INT(A86/10)*10&amp;"s"</x:f>
        <x:v>1980s</x:v>
      </x:c>
    </x:row>
    <x:row r="87">
      <x:c r="A87">
        <x:v>1983</x:v>
      </x:c>
      <x:c r="B87" t="s">
        <x:v>28</x:v>
      </x:c>
      <x:c r="C87" t="s">
        <x:v>227</x:v>
      </x:c>
      <x:c r="D87" t="s">
        <x:v>41</x:v>
      </x:c>
      <x:c r="E87" t="s">
        <x:v>42</x:v>
      </x:c>
      <x:c r="F87">
        <x:v>2</x:v>
      </x:c>
      <x:c r="G87">
        <x:v>85</x:v>
      </x:c>
      <x:c r="H87" t="s">
        <x:v>232</x:v>
      </x:c>
      <x:c r="I87">
        <x:v>6</x:v>
      </x:c>
      <x:c r="J87">
        <x:v>2</x:v>
      </x:c>
      <x:c r="K87">
        <x:v>6</x:v>
      </x:c>
      <x:c r="L87">
        <x:v>2</x:v>
      </x:c>
      <x:c r="M87">
        <x:v>6</x:v>
      </x:c>
      <x:c r="N87">
        <x:v>2</x:v>
      </x:c>
      <x:c r="O87"/>
      <x:c r="P87"/>
      <x:c r="Q87"/>
      <x:c r="R87"/>
      <x:c r="S87" t="s">
        <x:v>233</x:v>
      </x:c>
      <x:c r="T87" t="s">
        <x:v>234</x:v>
      </x:c>
      <x:c r="U87" t="s">
        <x:v>235</x:v>
      </x:c>
      <x:c r="V87" t="s">
        <x:v>55</x:v>
      </x:c>
      <x:c r="W87" s="5" t="n">
        <x:f>COUNTIF($C$2:$C$272,C87)</x:f>
        <x:v>3</x:v>
      </x:c>
      <x:c r="X87" t="str">
        <x:f>IF(W87&gt;=5,"Yes","No")</x:f>
        <x:v>No</x:v>
      </x:c>
      <x:c r="Y87" t="str">
        <x:f>INT(A87/10)*10&amp;"s"</x:f>
        <x:v>1980s</x:v>
      </x:c>
    </x:row>
    <x:row r="88">
      <x:c r="A88">
        <x:v>1982</x:v>
      </x:c>
      <x:c r="B88" t="s">
        <x:v>22</x:v>
      </x:c>
      <x:c r="C88" t="s">
        <x:v>193</x:v>
      </x:c>
      <x:c r="D88" t="s">
        <x:v>41</x:v>
      </x:c>
      <x:c r="E88" t="s">
        <x:v>42</x:v>
      </x:c>
      <x:c r="F88">
        <x:v>1</x:v>
      </x:c>
      <x:c r="G88">
        <x:v>87</x:v>
      </x:c>
      <x:c r="H88" t="s">
        <x:v>236</x:v>
      </x:c>
      <x:c r="I88">
        <x:v>6</x:v>
      </x:c>
      <x:c r="J88">
        <x:v>1</x:v>
      </x:c>
      <x:c r="K88">
        <x:v>3</x:v>
      </x:c>
      <x:c r="L88">
        <x:v>6</x:v>
      </x:c>
      <x:c r="M88">
        <x:v>6</x:v>
      </x:c>
      <x:c r="N88">
        <x:v>2</x:v>
      </x:c>
      <x:c r="O88"/>
      <x:c r="P88"/>
      <x:c r="Q88"/>
      <x:c r="R88"/>
      <x:c r="S88" t="s">
        <x:v>223</x:v>
      </x:c>
      <x:c r="T88" t="s">
        <x:v>41</x:v>
      </x:c>
      <x:c r="U88" t="s">
        <x:v>42</x:v>
      </x:c>
      <x:c r="V88">
        <x:v>2</x:v>
      </x:c>
      <x:c r="W88" s="5" t="n">
        <x:f>COUNTIF($C$2:$C$272,C88)</x:f>
        <x:v>9</x:v>
      </x:c>
      <x:c r="X88" t="str">
        <x:f>IF(W88&gt;=5,"Yes","No")</x:f>
        <x:v>Yes</x:v>
      </x:c>
      <x:c r="Y88" t="str">
        <x:f>INT(A88/10)*10&amp;"s"</x:f>
        <x:v>1980s</x:v>
      </x:c>
    </x:row>
    <x:row r="89">
      <x:c r="A89">
        <x:v>1982</x:v>
      </x:c>
      <x:c r="B89" t="s">
        <x:v>28</x:v>
      </x:c>
      <x:c r="C89" t="s">
        <x:v>229</x:v>
      </x:c>
      <x:c r="D89" t="s">
        <x:v>41</x:v>
      </x:c>
      <x:c r="E89" t="s">
        <x:v>42</x:v>
      </x:c>
      <x:c r="F89">
        <x:v>2</x:v>
      </x:c>
      <x:c r="G89">
        <x:v>256</x:v>
      </x:c>
      <x:c r="H89" t="s">
        <x:v>237</x:v>
      </x:c>
      <x:c r="I89">
        <x:v>3</x:v>
      </x:c>
      <x:c r="J89">
        <x:v>6</x:v>
      </x:c>
      <x:c r="K89">
        <x:v>6</x:v>
      </x:c>
      <x:c r="L89">
        <x:v>3</x:v>
      </x:c>
      <x:c r="M89">
        <x:v>6</x:v>
      </x:c>
      <x:c r="N89">
        <x:v>7</x:v>
      </x:c>
      <x:c r="O89">
        <x:v>7</x:v>
      </x:c>
      <x:c r="P89">
        <x:v>6</x:v>
      </x:c>
      <x:c r="Q89">
        <x:v>6</x:v>
      </x:c>
      <x:c r="R89">
        <x:v>4</x:v>
      </x:c>
      <x:c r="S89" t="s">
        <x:v>227</x:v>
      </x:c>
      <x:c r="T89" t="s">
        <x:v>41</x:v>
      </x:c>
      <x:c r="U89" t="s">
        <x:v>42</x:v>
      </x:c>
      <x:c r="V89">
        <x:v>1</x:v>
      </x:c>
      <x:c r="W89" s="5" t="n">
        <x:f>COUNTIF($C$2:$C$272,C89)</x:f>
        <x:v>2</x:v>
      </x:c>
      <x:c r="X89" t="str">
        <x:f>IF(W89&gt;=5,"Yes","No")</x:f>
        <x:v>No</x:v>
      </x:c>
      <x:c r="Y89" t="str">
        <x:f>INT(A89/10)*10&amp;"s"</x:f>
        <x:v>1980s</x:v>
      </x:c>
    </x:row>
    <x:row r="90">
      <x:c r="A90">
        <x:v>1981</x:v>
      </x:c>
      <x:c r="B90" t="s">
        <x:v>22</x:v>
      </x:c>
      <x:c r="C90" t="s">
        <x:v>223</x:v>
      </x:c>
      <x:c r="D90" t="s">
        <x:v>41</x:v>
      </x:c>
      <x:c r="E90" t="s">
        <x:v>42</x:v>
      </x:c>
      <x:c r="F90">
        <x:v>1</x:v>
      </x:c>
      <x:c r="G90">
        <x:v>60</x:v>
      </x:c>
      <x:c r="H90" t="s">
        <x:v>238</x:v>
      </x:c>
      <x:c r="I90">
        <x:v>6</x:v>
      </x:c>
      <x:c r="J90">
        <x:v>2</x:v>
      </x:c>
      <x:c r="K90">
        <x:v>6</x:v>
      </x:c>
      <x:c r="L90">
        <x:v>2</x:v>
      </x:c>
      <x:c r="M90"/>
      <x:c r="N90"/>
      <x:c r="O90"/>
      <x:c r="P90"/>
      <x:c r="Q90"/>
      <x:c r="R90"/>
      <x:c r="S90" t="s">
        <x:v>220</x:v>
      </x:c>
      <x:c r="T90" t="s">
        <x:v>24</x:v>
      </x:c>
      <x:c r="U90" t="s">
        <x:v>25</x:v>
      </x:c>
      <x:c r="V90">
        <x:v>2</x:v>
      </x:c>
      <x:c r="W90" s="5" t="n">
        <x:f>COUNTIF($C$2:$C$272,C90)</x:f>
        <x:v>1</x:v>
      </x:c>
      <x:c r="X90" t="str">
        <x:f>IF(W90&gt;=5,"Yes","No")</x:f>
        <x:v>No</x:v>
      </x:c>
      <x:c r="Y90" t="str">
        <x:f>INT(A90/10)*10&amp;"s"</x:f>
        <x:v>1980s</x:v>
      </x:c>
    </x:row>
    <x:row r="91">
      <x:c r="A91">
        <x:v>1981</x:v>
      </x:c>
      <x:c r="B91" t="s">
        <x:v>28</x:v>
      </x:c>
      <x:c r="C91" t="s">
        <x:v>227</x:v>
      </x:c>
      <x:c r="D91" t="s">
        <x:v>41</x:v>
      </x:c>
      <x:c r="E91" t="s">
        <x:v>42</x:v>
      </x:c>
      <x:c r="F91">
        <x:v>2</x:v>
      </x:c>
      <x:c r="G91">
        <x:v>202</x:v>
      </x:c>
      <x:c r="H91" t="s">
        <x:v>239</x:v>
      </x:c>
      <x:c r="I91">
        <x:v>4</x:v>
      </x:c>
      <x:c r="J91">
        <x:v>6</x:v>
      </x:c>
      <x:c r="K91">
        <x:v>7</x:v>
      </x:c>
      <x:c r="L91">
        <x:v>6</x:v>
      </x:c>
      <x:c r="M91">
        <x:v>7</x:v>
      </x:c>
      <x:c r="N91">
        <x:v>6</x:v>
      </x:c>
      <x:c r="O91">
        <x:v>6</x:v>
      </x:c>
      <x:c r="P91">
        <x:v>4</x:v>
      </x:c>
      <x:c r="Q91"/>
      <x:c r="R91"/>
      <x:c r="S91" t="s">
        <x:v>240</x:v>
      </x:c>
      <x:c r="T91" t="s">
        <x:v>208</x:v>
      </x:c>
      <x:c r="U91" t="s">
        <x:v>209</x:v>
      </x:c>
      <x:c r="V91">
        <x:v>1</x:v>
      </x:c>
      <x:c r="W91" s="5" t="n">
        <x:f>COUNTIF($C$2:$C$272,C91)</x:f>
        <x:v>3</x:v>
      </x:c>
      <x:c r="X91" t="str">
        <x:f>IF(W91&gt;=5,"Yes","No")</x:f>
        <x:v>No</x:v>
      </x:c>
      <x:c r="Y91" t="str">
        <x:f>INT(A91/10)*10&amp;"s"</x:f>
        <x:v>1980s</x:v>
      </x:c>
    </x:row>
    <x:row r="92">
      <x:c r="A92">
        <x:v>1980</x:v>
      </x:c>
      <x:c r="B92" t="s">
        <x:v>22</x:v>
      </x:c>
      <x:c r="C92" t="s">
        <x:v>241</x:v>
      </x:c>
      <x:c r="D92" t="s">
        <x:v>73</x:v>
      </x:c>
      <x:c r="E92" t="s">
        <x:v>71</x:v>
      </x:c>
      <x:c r="F92">
        <x:v>4</x:v>
      </x:c>
      <x:c r="G92">
        <x:v>93</x:v>
      </x:c>
      <x:c r="H92" t="s">
        <x:v>242</x:v>
      </x:c>
      <x:c r="I92">
        <x:v>6</x:v>
      </x:c>
      <x:c r="J92">
        <x:v>1</x:v>
      </x:c>
      <x:c r="K92">
        <x:v>7</x:v>
      </x:c>
      <x:c r="L92">
        <x:v>6</x:v>
      </x:c>
      <x:c r="M92"/>
      <x:c r="N92"/>
      <x:c r="O92"/>
      <x:c r="P92"/>
      <x:c r="Q92"/>
      <x:c r="R92"/>
      <x:c r="S92" t="s">
        <x:v>223</x:v>
      </x:c>
      <x:c r="T92" t="s">
        <x:v>41</x:v>
      </x:c>
      <x:c r="U92" t="s">
        <x:v>42</x:v>
      </x:c>
      <x:c r="V92">
        <x:v>3</x:v>
      </x:c>
      <x:c r="W92" s="5" t="n">
        <x:f>COUNTIF($C$2:$C$272,C92)</x:f>
        <x:v>1</x:v>
      </x:c>
      <x:c r="X92" t="str">
        <x:f>IF(W92&gt;=5,"Yes","No")</x:f>
        <x:v>No</x:v>
      </x:c>
      <x:c r="Y92" t="str">
        <x:f>INT(A92/10)*10&amp;"s"</x:f>
        <x:v>1980s</x:v>
      </x:c>
    </x:row>
    <x:row r="93">
      <x:c r="A93">
        <x:v>1980</x:v>
      </x:c>
      <x:c r="B93" t="s">
        <x:v>28</x:v>
      </x:c>
      <x:c r="C93" t="s">
        <x:v>240</x:v>
      </x:c>
      <x:c r="D93" t="s">
        <x:v>208</x:v>
      </x:c>
      <x:c r="E93" t="s">
        <x:v>209</x:v>
      </x:c>
      <x:c r="F93">
        <x:v>1</x:v>
      </x:c>
      <x:c r="G93">
        <x:v>233</x:v>
      </x:c>
      <x:c r="H93" t="s">
        <x:v>243</x:v>
      </x:c>
      <x:c r="I93">
        <x:v>1</x:v>
      </x:c>
      <x:c r="J93">
        <x:v>6</x:v>
      </x:c>
      <x:c r="K93">
        <x:v>7</x:v>
      </x:c>
      <x:c r="L93">
        <x:v>5</x:v>
      </x:c>
      <x:c r="M93">
        <x:v>6</x:v>
      </x:c>
      <x:c r="N93">
        <x:v>3</x:v>
      </x:c>
      <x:c r="O93">
        <x:v>6</x:v>
      </x:c>
      <x:c r="P93">
        <x:v>7</x:v>
      </x:c>
      <x:c r="Q93">
        <x:v>8</x:v>
      </x:c>
      <x:c r="R93">
        <x:v>6</x:v>
      </x:c>
      <x:c r="S93" t="s">
        <x:v>227</x:v>
      </x:c>
      <x:c r="T93" t="s">
        <x:v>41</x:v>
      </x:c>
      <x:c r="U93" t="s">
        <x:v>42</x:v>
      </x:c>
      <x:c r="V93">
        <x:v>2</x:v>
      </x:c>
      <x:c r="W93" s="5" t="n">
        <x:f>COUNTIF($C$2:$C$272,C93)</x:f>
        <x:v>5</x:v>
      </x:c>
      <x:c r="X93" t="str">
        <x:f>IF(W93&gt;=5,"Yes","No")</x:f>
        <x:v>Yes</x:v>
      </x:c>
      <x:c r="Y93" t="str">
        <x:f>INT(A93/10)*10&amp;"s"</x:f>
        <x:v>1980s</x:v>
      </x:c>
    </x:row>
    <x:row r="94">
      <x:c r="A94">
        <x:v>1979</x:v>
      </x:c>
      <x:c r="B94" t="s">
        <x:v>22</x:v>
      </x:c>
      <x:c r="C94" t="s">
        <x:v>193</x:v>
      </x:c>
      <x:c r="D94" t="s">
        <x:v>41</x:v>
      </x:c>
      <x:c r="E94" t="s">
        <x:v>42</x:v>
      </x:c>
      <x:c r="F94">
        <x:v>1</x:v>
      </x:c>
      <x:c r="G94">
        <x:v>60</x:v>
      </x:c>
      <x:c r="H94" t="s">
        <x:v>244</x:v>
      </x:c>
      <x:c r="I94">
        <x:v>6</x:v>
      </x:c>
      <x:c r="J94">
        <x:v>4</x:v>
      </x:c>
      <x:c r="K94">
        <x:v>6</x:v>
      </x:c>
      <x:c r="L94">
        <x:v>4</x:v>
      </x:c>
      <x:c r="M94"/>
      <x:c r="N94"/>
      <x:c r="O94"/>
      <x:c r="P94"/>
      <x:c r="Q94"/>
      <x:c r="R94"/>
      <x:c r="S94" t="s">
        <x:v>223</x:v>
      </x:c>
      <x:c r="T94" t="s">
        <x:v>41</x:v>
      </x:c>
      <x:c r="U94" t="s">
        <x:v>42</x:v>
      </x:c>
      <x:c r="V94">
        <x:v>2</x:v>
      </x:c>
      <x:c r="W94" s="5" t="n">
        <x:f>COUNTIF($C$2:$C$272,C94)</x:f>
        <x:v>9</x:v>
      </x:c>
      <x:c r="X94" t="str">
        <x:f>IF(W94&gt;=5,"Yes","No")</x:f>
        <x:v>Yes</x:v>
      </x:c>
      <x:c r="Y94" t="str">
        <x:f>INT(A94/10)*10&amp;"s"</x:f>
        <x:v>1970s</x:v>
      </x:c>
    </x:row>
    <x:row r="95">
      <x:c r="A95">
        <x:v>1979</x:v>
      </x:c>
      <x:c r="B95" t="s">
        <x:v>28</x:v>
      </x:c>
      <x:c r="C95" t="s">
        <x:v>240</x:v>
      </x:c>
      <x:c r="D95" t="s">
        <x:v>208</x:v>
      </x:c>
      <x:c r="E95" t="s">
        <x:v>209</x:v>
      </x:c>
      <x:c r="F95">
        <x:v>1</x:v>
      </x:c>
      <x:c r="G95">
        <x:v>169</x:v>
      </x:c>
      <x:c r="H95" t="s">
        <x:v>245</x:v>
      </x:c>
      <x:c r="I95">
        <x:v>6</x:v>
      </x:c>
      <x:c r="J95">
        <x:v>7</x:v>
      </x:c>
      <x:c r="K95">
        <x:v>6</x:v>
      </x:c>
      <x:c r="L95">
        <x:v>1</x:v>
      </x:c>
      <x:c r="M95">
        <x:v>3</x:v>
      </x:c>
      <x:c r="N95">
        <x:v>6</x:v>
      </x:c>
      <x:c r="O95">
        <x:v>6</x:v>
      </x:c>
      <x:c r="P95">
        <x:v>3</x:v>
      </x:c>
      <x:c r="Q95">
        <x:v>6</x:v>
      </x:c>
      <x:c r="R95">
        <x:v>4</x:v>
      </x:c>
      <x:c r="S95" t="s">
        <x:v>246</x:v>
      </x:c>
      <x:c r="T95" t="s">
        <x:v>41</x:v>
      </x:c>
      <x:c r="U95" t="s">
        <x:v>42</x:v>
      </x:c>
      <x:c r="V95">
        <x:v>5</x:v>
      </x:c>
      <x:c r="W95" s="5" t="n">
        <x:f>COUNTIF($C$2:$C$272,C95)</x:f>
        <x:v>5</x:v>
      </x:c>
      <x:c r="X95" t="str">
        <x:f>IF(W95&gt;=5,"Yes","No")</x:f>
        <x:v>Yes</x:v>
      </x:c>
      <x:c r="Y95" t="str">
        <x:f>INT(A95/10)*10&amp;"s"</x:f>
        <x:v>1970s</x:v>
      </x:c>
    </x:row>
    <x:row r="96">
      <x:c r="A96">
        <x:v>1978</x:v>
      </x:c>
      <x:c r="B96" t="s">
        <x:v>22</x:v>
      </x:c>
      <x:c r="C96" t="s">
        <x:v>193</x:v>
      </x:c>
      <x:c r="D96" t="s">
        <x:v>41</x:v>
      </x:c>
      <x:c r="E96" t="s">
        <x:v>42</x:v>
      </x:c>
      <x:c r="F96">
        <x:v>2</x:v>
      </x:c>
      <x:c r="G96">
        <x:v>102</x:v>
      </x:c>
      <x:c r="H96" t="s">
        <x:v>247</x:v>
      </x:c>
      <x:c r="I96">
        <x:v>2</x:v>
      </x:c>
      <x:c r="J96">
        <x:v>6</x:v>
      </x:c>
      <x:c r="K96">
        <x:v>6</x:v>
      </x:c>
      <x:c r="L96">
        <x:v>4</x:v>
      </x:c>
      <x:c r="M96">
        <x:v>7</x:v>
      </x:c>
      <x:c r="N96">
        <x:v>5</x:v>
      </x:c>
      <x:c r="O96"/>
      <x:c r="P96"/>
      <x:c r="Q96"/>
      <x:c r="R96"/>
      <x:c r="S96" t="s">
        <x:v>248</x:v>
      </x:c>
      <x:c r="T96" t="s">
        <x:v>41</x:v>
      </x:c>
      <x:c r="U96" t="s">
        <x:v>42</x:v>
      </x:c>
      <x:c r="V96">
        <x:v>1</x:v>
      </x:c>
      <x:c r="W96" s="5" t="n">
        <x:f>COUNTIF($C$2:$C$272,C96)</x:f>
        <x:v>9</x:v>
      </x:c>
      <x:c r="X96" t="str">
        <x:f>IF(W96&gt;=5,"Yes","No")</x:f>
        <x:v>Yes</x:v>
      </x:c>
      <x:c r="Y96" t="str">
        <x:f>INT(A96/10)*10&amp;"s"</x:f>
        <x:v>1970s</x:v>
      </x:c>
    </x:row>
    <x:row r="97">
      <x:c r="A97">
        <x:v>1978</x:v>
      </x:c>
      <x:c r="B97" t="s">
        <x:v>28</x:v>
      </x:c>
      <x:c r="C97" t="s">
        <x:v>240</x:v>
      </x:c>
      <x:c r="D97" t="s">
        <x:v>208</x:v>
      </x:c>
      <x:c r="E97" t="s">
        <x:v>209</x:v>
      </x:c>
      <x:c r="F97">
        <x:v>1</x:v>
      </x:c>
      <x:c r="G97">
        <x:v>108</x:v>
      </x:c>
      <x:c r="H97" t="s">
        <x:v>249</x:v>
      </x:c>
      <x:c r="I97">
        <x:v>6</x:v>
      </x:c>
      <x:c r="J97">
        <x:v>2</x:v>
      </x:c>
      <x:c r="K97">
        <x:v>6</x:v>
      </x:c>
      <x:c r="L97">
        <x:v>2</x:v>
      </x:c>
      <x:c r="M97">
        <x:v>6</x:v>
      </x:c>
      <x:c r="N97">
        <x:v>3</x:v>
      </x:c>
      <x:c r="O97"/>
      <x:c r="P97"/>
      <x:c r="Q97"/>
      <x:c r="R97"/>
      <x:c r="S97" t="s">
        <x:v>229</x:v>
      </x:c>
      <x:c r="T97" t="s">
        <x:v>41</x:v>
      </x:c>
      <x:c r="U97" t="s">
        <x:v>42</x:v>
      </x:c>
      <x:c r="V97">
        <x:v>2</x:v>
      </x:c>
      <x:c r="W97" s="5" t="n">
        <x:f>COUNTIF($C$2:$C$272,C97)</x:f>
        <x:v>5</x:v>
      </x:c>
      <x:c r="X97" t="str">
        <x:f>IF(W97&gt;=5,"Yes","No")</x:f>
        <x:v>Yes</x:v>
      </x:c>
      <x:c r="Y97" t="str">
        <x:f>INT(A97/10)*10&amp;"s"</x:f>
        <x:v>1970s</x:v>
      </x:c>
    </x:row>
    <x:row r="98">
      <x:c r="A98">
        <x:v>1977</x:v>
      </x:c>
      <x:c r="B98" t="s">
        <x:v>22</x:v>
      </x:c>
      <x:c r="C98" t="s">
        <x:v>250</x:v>
      </x:c>
      <x:c r="D98" t="s">
        <x:v>102</x:v>
      </x:c>
      <x:c r="E98" t="s">
        <x:v>103</x:v>
      </x:c>
      <x:c r="F98">
        <x:v>3</x:v>
      </x:c>
      <x:c r="G98">
        <x:v>98</x:v>
      </x:c>
      <x:c r="H98" t="s">
        <x:v>251</x:v>
      </x:c>
      <x:c r="I98">
        <x:v>4</x:v>
      </x:c>
      <x:c r="J98">
        <x:v>6</x:v>
      </x:c>
      <x:c r="K98">
        <x:v>6</x:v>
      </x:c>
      <x:c r="L98">
        <x:v>3</x:v>
      </x:c>
      <x:c r="M98">
        <x:v>6</x:v>
      </x:c>
      <x:c r="N98">
        <x:v>1</x:v>
      </x:c>
      <x:c r="O98"/>
      <x:c r="P98"/>
      <x:c r="Q98"/>
      <x:c r="R98"/>
      <x:c r="S98" t="s">
        <x:v>252</x:v>
      </x:c>
      <x:c r="T98" t="s">
        <x:v>184</x:v>
      </x:c>
      <x:c r="U98" t="s">
        <x:v>185</x:v>
      </x:c>
      <x:c r="V98">
        <x:v>7</x:v>
      </x:c>
      <x:c r="W98" s="5" t="n">
        <x:f>COUNTIF($C$2:$C$272,C98)</x:f>
        <x:v>1</x:v>
      </x:c>
      <x:c r="X98" t="str">
        <x:f>IF(W98&gt;=5,"Yes","No")</x:f>
        <x:v>No</x:v>
      </x:c>
      <x:c r="Y98" t="str">
        <x:f>INT(A98/10)*10&amp;"s"</x:f>
        <x:v>1970s</x:v>
      </x:c>
    </x:row>
    <x:row r="99">
      <x:c r="A99">
        <x:v>1977</x:v>
      </x:c>
      <x:c r="B99" t="s">
        <x:v>28</x:v>
      </x:c>
      <x:c r="C99" t="s">
        <x:v>240</x:v>
      </x:c>
      <x:c r="D99" t="s">
        <x:v>208</x:v>
      </x:c>
      <x:c r="E99" t="s">
        <x:v>209</x:v>
      </x:c>
      <x:c r="F99">
        <x:v>2</x:v>
      </x:c>
      <x:c r="G99">
        <x:v>194</x:v>
      </x:c>
      <x:c r="H99" t="s">
        <x:v>253</x:v>
      </x:c>
      <x:c r="I99">
        <x:v>3</x:v>
      </x:c>
      <x:c r="J99">
        <x:v>6</x:v>
      </x:c>
      <x:c r="K99">
        <x:v>6</x:v>
      </x:c>
      <x:c r="L99">
        <x:v>2</x:v>
      </x:c>
      <x:c r="M99">
        <x:v>6</x:v>
      </x:c>
      <x:c r="N99">
        <x:v>1</x:v>
      </x:c>
      <x:c r="O99">
        <x:v>5</x:v>
      </x:c>
      <x:c r="P99">
        <x:v>7</x:v>
      </x:c>
      <x:c r="Q99">
        <x:v>6</x:v>
      </x:c>
      <x:c r="R99">
        <x:v>4</x:v>
      </x:c>
      <x:c r="S99" t="s">
        <x:v>229</x:v>
      </x:c>
      <x:c r="T99" t="s">
        <x:v>41</x:v>
      </x:c>
      <x:c r="U99" t="s">
        <x:v>42</x:v>
      </x:c>
      <x:c r="V99">
        <x:v>1</x:v>
      </x:c>
      <x:c r="W99" s="5" t="n">
        <x:f>COUNTIF($C$2:$C$272,C99)</x:f>
        <x:v>5</x:v>
      </x:c>
      <x:c r="X99" t="str">
        <x:f>IF(W99&gt;=5,"Yes","No")</x:f>
        <x:v>Yes</x:v>
      </x:c>
      <x:c r="Y99" t="str">
        <x:f>INT(A99/10)*10&amp;"s"</x:f>
        <x:v>1970s</x:v>
      </x:c>
    </x:row>
    <x:row r="100">
      <x:c r="A100">
        <x:v>1976</x:v>
      </x:c>
      <x:c r="B100" t="s">
        <x:v>22</x:v>
      </x:c>
      <x:c r="C100" t="s">
        <x:v>248</x:v>
      </x:c>
      <x:c r="D100" t="s">
        <x:v>41</x:v>
      </x:c>
      <x:c r="E100" t="s">
        <x:v>42</x:v>
      </x:c>
      <x:c r="F100">
        <x:v>1</x:v>
      </x:c>
      <x:c r="G100">
        <x:v>120</x:v>
      </x:c>
      <x:c r="H100" t="s">
        <x:v>254</x:v>
      </x:c>
      <x:c r="I100">
        <x:v>6</x:v>
      </x:c>
      <x:c r="J100">
        <x:v>3</x:v>
      </x:c>
      <x:c r="K100">
        <x:v>4</x:v>
      </x:c>
      <x:c r="L100">
        <x:v>6</x:v>
      </x:c>
      <x:c r="M100">
        <x:v>8</x:v>
      </x:c>
      <x:c r="N100">
        <x:v>6</x:v>
      </x:c>
      <x:c r="O100"/>
      <x:c r="P100"/>
      <x:c r="Q100"/>
      <x:c r="R100"/>
      <x:c r="S100" t="s">
        <x:v>241</x:v>
      </x:c>
      <x:c r="T100" t="s">
        <x:v>73</x:v>
      </x:c>
      <x:c r="U100" t="s">
        <x:v>71</x:v>
      </x:c>
      <x:c r="V100">
        <x:v>2</x:v>
      </x:c>
      <x:c r="W100" s="5" t="n">
        <x:f>COUNTIF($C$2:$C$272,C100)</x:f>
        <x:v>2</x:v>
      </x:c>
      <x:c r="X100" t="str">
        <x:f>IF(W100&gt;=5,"Yes","No")</x:f>
        <x:v>No</x:v>
      </x:c>
      <x:c r="Y100" t="str">
        <x:f>INT(A100/10)*10&amp;"s"</x:f>
        <x:v>1970s</x:v>
      </x:c>
    </x:row>
    <x:row r="101">
      <x:c r="A101">
        <x:v>1976</x:v>
      </x:c>
      <x:c r="B101" t="s">
        <x:v>28</x:v>
      </x:c>
      <x:c r="C101" t="s">
        <x:v>240</x:v>
      </x:c>
      <x:c r="D101" t="s">
        <x:v>208</x:v>
      </x:c>
      <x:c r="E101" t="s">
        <x:v>209</x:v>
      </x:c>
      <x:c r="F101">
        <x:v>4</x:v>
      </x:c>
      <x:c r="G101">
        <x:v>110</x:v>
      </x:c>
      <x:c r="H101" t="s">
        <x:v>255</x:v>
      </x:c>
      <x:c r="I101">
        <x:v>6</x:v>
      </x:c>
      <x:c r="J101">
        <x:v>4</x:v>
      </x:c>
      <x:c r="K101">
        <x:v>6</x:v>
      </x:c>
      <x:c r="L101">
        <x:v>2</x:v>
      </x:c>
      <x:c r="M101">
        <x:v>9</x:v>
      </x:c>
      <x:c r="N101">
        <x:v>7</x:v>
      </x:c>
      <x:c r="O101"/>
      <x:c r="P101"/>
      <x:c r="Q101"/>
      <x:c r="R101"/>
      <x:c r="S101" t="s">
        <x:v>256</x:v>
      </x:c>
      <x:c r="T101" t="s">
        <x:v>257</x:v>
      </x:c>
      <x:c r="U101" t="s">
        <x:v>80</x:v>
      </x:c>
      <x:c r="V101">
        <x:v>3</x:v>
      </x:c>
      <x:c r="W101" s="5" t="n">
        <x:f>COUNTIF($C$2:$C$272,C101)</x:f>
        <x:v>5</x:v>
      </x:c>
      <x:c r="X101" t="str">
        <x:f>IF(W101&gt;=5,"Yes","No")</x:f>
        <x:v>Yes</x:v>
      </x:c>
      <x:c r="Y101" t="str">
        <x:f>INT(A101/10)*10&amp;"s"</x:f>
        <x:v>1970s</x:v>
      </x:c>
    </x:row>
    <x:row r="102">
      <x:c r="A102">
        <x:v>1975</x:v>
      </x:c>
      <x:c r="B102" t="s">
        <x:v>22</x:v>
      </x:c>
      <x:c r="C102" t="s">
        <x:v>258</x:v>
      </x:c>
      <x:c r="D102" t="s">
        <x:v>41</x:v>
      </x:c>
      <x:c r="E102" t="s">
        <x:v>42</x:v>
      </x:c>
      <x:c r="F102">
        <x:v>3</x:v>
      </x:c>
      <x:c r="G102">
        <x:v>38</x:v>
      </x:c>
      <x:c r="H102" t="s">
        <x:v>259</x:v>
      </x:c>
      <x:c r="I102">
        <x:v>6</x:v>
      </x:c>
      <x:c r="J102">
        <x:v>0</x:v>
      </x:c>
      <x:c r="K102">
        <x:v>6</x:v>
      </x:c>
      <x:c r="L102">
        <x:v>1</x:v>
      </x:c>
      <x:c r="M102"/>
      <x:c r="N102"/>
      <x:c r="O102"/>
      <x:c r="P102"/>
      <x:c r="Q102"/>
      <x:c r="R102"/>
      <x:c r="S102" t="s">
        <x:v>241</x:v>
      </x:c>
      <x:c r="T102" t="s">
        <x:v>73</x:v>
      </x:c>
      <x:c r="U102" t="s">
        <x:v>71</x:v>
      </x:c>
      <x:c r="V102">
        <x:v>4</x:v>
      </x:c>
      <x:c r="W102" s="5" t="n">
        <x:f>COUNTIF($C$2:$C$272,C102)</x:f>
        <x:v>6</x:v>
      </x:c>
      <x:c r="X102" t="str">
        <x:f>IF(W102&gt;=5,"Yes","No")</x:f>
        <x:v>Yes</x:v>
      </x:c>
      <x:c r="Y102" t="str">
        <x:f>INT(A102/10)*10&amp;"s"</x:f>
        <x:v>1970s</x:v>
      </x:c>
    </x:row>
    <x:row r="103">
      <x:c r="A103">
        <x:v>1975</x:v>
      </x:c>
      <x:c r="B103" t="s">
        <x:v>28</x:v>
      </x:c>
      <x:c r="C103" t="s">
        <x:v>260</x:v>
      </x:c>
      <x:c r="D103" t="s">
        <x:v>41</x:v>
      </x:c>
      <x:c r="E103" t="s">
        <x:v>42</x:v>
      </x:c>
      <x:c r="F103">
        <x:v>6</x:v>
      </x:c>
      <x:c r="G103">
        <x:v>125</x:v>
      </x:c>
      <x:c r="H103" t="s">
        <x:v>261</x:v>
      </x:c>
      <x:c r="I103">
        <x:v>6</x:v>
      </x:c>
      <x:c r="J103">
        <x:v>1</x:v>
      </x:c>
      <x:c r="K103">
        <x:v>6</x:v>
      </x:c>
      <x:c r="L103">
        <x:v>1</x:v>
      </x:c>
      <x:c r="M103">
        <x:v>5</x:v>
      </x:c>
      <x:c r="N103">
        <x:v>7</x:v>
      </x:c>
      <x:c r="O103">
        <x:v>6</x:v>
      </x:c>
      <x:c r="P103">
        <x:v>4</x:v>
      </x:c>
      <x:c r="Q103"/>
      <x:c r="R103"/>
      <x:c r="S103" t="s">
        <x:v>229</x:v>
      </x:c>
      <x:c r="T103" t="s">
        <x:v>41</x:v>
      </x:c>
      <x:c r="U103" t="s">
        <x:v>42</x:v>
      </x:c>
      <x:c r="V103">
        <x:v>1</x:v>
      </x:c>
      <x:c r="W103" s="5" t="n">
        <x:f>COUNTIF($C$2:$C$272,C103)</x:f>
        <x:v>1</x:v>
      </x:c>
      <x:c r="X103" t="str">
        <x:f>IF(W103&gt;=5,"Yes","No")</x:f>
        <x:v>No</x:v>
      </x:c>
      <x:c r="Y103" t="str">
        <x:f>INT(A103/10)*10&amp;"s"</x:f>
        <x:v>1970s</x:v>
      </x:c>
    </x:row>
    <x:row r="104">
      <x:c r="A104">
        <x:v>1974</x:v>
      </x:c>
      <x:c r="B104" t="s">
        <x:v>22</x:v>
      </x:c>
      <x:c r="C104" t="s">
        <x:v>248</x:v>
      </x:c>
      <x:c r="D104" t="s">
        <x:v>41</x:v>
      </x:c>
      <x:c r="E104" t="s">
        <x:v>42</x:v>
      </x:c>
      <x:c r="F104">
        <x:v>2</x:v>
      </x:c>
      <x:c r="G104">
        <x:v>59</x:v>
      </x:c>
      <x:c r="H104" t="s">
        <x:v>262</x:v>
      </x:c>
      <x:c r="I104">
        <x:v>6</x:v>
      </x:c>
      <x:c r="J104">
        <x:v>0</x:v>
      </x:c>
      <x:c r="K104">
        <x:v>6</x:v>
      </x:c>
      <x:c r="L104">
        <x:v>4</x:v>
      </x:c>
      <x:c r="M104"/>
      <x:c r="N104"/>
      <x:c r="O104"/>
      <x:c r="P104"/>
      <x:c r="Q104"/>
      <x:c r="R104"/>
      <x:c r="S104" t="s">
        <x:v>263</x:v>
      </x:c>
      <x:c r="T104" t="s">
        <x:v>264</x:v>
      </x:c>
      <x:c r="U104" t="s">
        <x:v>265</x:v>
      </x:c>
      <x:c r="V104">
        <x:v>8</x:v>
      </x:c>
      <x:c r="W104" s="5" t="n">
        <x:f>COUNTIF($C$2:$C$272,C104)</x:f>
        <x:v>2</x:v>
      </x:c>
      <x:c r="X104" t="str">
        <x:f>IF(W104&gt;=5,"Yes","No")</x:f>
        <x:v>No</x:v>
      </x:c>
      <x:c r="Y104" t="str">
        <x:f>INT(A104/10)*10&amp;"s"</x:f>
        <x:v>1970s</x:v>
      </x:c>
    </x:row>
    <x:row r="105">
      <x:c r="A105">
        <x:v>1974</x:v>
      </x:c>
      <x:c r="B105" t="s">
        <x:v>28</x:v>
      </x:c>
      <x:c r="C105" t="s">
        <x:v>229</x:v>
      </x:c>
      <x:c r="D105" t="s">
        <x:v>41</x:v>
      </x:c>
      <x:c r="E105" t="s">
        <x:v>42</x:v>
      </x:c>
      <x:c r="F105">
        <x:v>3</x:v>
      </x:c>
      <x:c r="G105">
        <x:v>93</x:v>
      </x:c>
      <x:c r="H105" t="s">
        <x:v>266</x:v>
      </x:c>
      <x:c r="I105">
        <x:v>6</x:v>
      </x:c>
      <x:c r="J105">
        <x:v>1</x:v>
      </x:c>
      <x:c r="K105">
        <x:v>6</x:v>
      </x:c>
      <x:c r="L105">
        <x:v>1</x:v>
      </x:c>
      <x:c r="M105">
        <x:v>6</x:v>
      </x:c>
      <x:c r="N105">
        <x:v>4</x:v>
      </x:c>
      <x:c r="O105"/>
      <x:c r="P105"/>
      <x:c r="Q105"/>
      <x:c r="R105"/>
      <x:c r="S105" t="s">
        <x:v>267</x:v>
      </x:c>
      <x:c r="T105" t="s">
        <x:v>73</x:v>
      </x:c>
      <x:c r="U105" t="s">
        <x:v>71</x:v>
      </x:c>
      <x:c r="V105">
        <x:v>9</x:v>
      </x:c>
      <x:c r="W105" s="5" t="n">
        <x:f>COUNTIF($C$2:$C$272,C105)</x:f>
        <x:v>2</x:v>
      </x:c>
      <x:c r="X105" t="str">
        <x:f>IF(W105&gt;=5,"Yes","No")</x:f>
        <x:v>No</x:v>
      </x:c>
      <x:c r="Y105" t="str">
        <x:f>INT(A105/10)*10&amp;"s"</x:f>
        <x:v>1970s</x:v>
      </x:c>
    </x:row>
    <x:row r="106">
      <x:c r="A106">
        <x:v>1973</x:v>
      </x:c>
      <x:c r="B106" t="s">
        <x:v>22</x:v>
      </x:c>
      <x:c r="C106" t="s">
        <x:v>258</x:v>
      </x:c>
      <x:c r="D106" t="s">
        <x:v>41</x:v>
      </x:c>
      <x:c r="E106" t="s">
        <x:v>42</x:v>
      </x:c>
      <x:c r="F106">
        <x:v>2</x:v>
      </x:c>
      <x:c r="G106">
        <x:v>53</x:v>
      </x:c>
      <x:c r="H106" t="s">
        <x:v>268</x:v>
      </x:c>
      <x:c r="I106">
        <x:v>6</x:v>
      </x:c>
      <x:c r="J106">
        <x:v>0</x:v>
      </x:c>
      <x:c r="K106">
        <x:v>7</x:v>
      </x:c>
      <x:c r="L106">
        <x:v>5</x:v>
      </x:c>
      <x:c r="M106"/>
      <x:c r="N106"/>
      <x:c r="O106"/>
      <x:c r="P106"/>
      <x:c r="Q106"/>
      <x:c r="R106"/>
      <x:c r="S106" t="s">
        <x:v>248</x:v>
      </x:c>
      <x:c r="T106" t="s">
        <x:v>41</x:v>
      </x:c>
      <x:c r="U106" t="s">
        <x:v>42</x:v>
      </x:c>
      <x:c r="V106">
        <x:v>4</x:v>
      </x:c>
      <x:c r="W106" s="5" t="n">
        <x:f>COUNTIF($C$2:$C$272,C106)</x:f>
        <x:v>6</x:v>
      </x:c>
      <x:c r="X106" t="str">
        <x:f>IF(W106&gt;=5,"Yes","No")</x:f>
        <x:v>Yes</x:v>
      </x:c>
      <x:c r="Y106" t="str">
        <x:f>INT(A106/10)*10&amp;"s"</x:f>
        <x:v>1970s</x:v>
      </x:c>
    </x:row>
    <x:row r="107">
      <x:c r="A107">
        <x:v>1973</x:v>
      </x:c>
      <x:c r="B107" t="s">
        <x:v>28</x:v>
      </x:c>
      <x:c r="C107" t="s">
        <x:v>269</x:v>
      </x:c>
      <x:c r="D107" t="s">
        <x:v>24</x:v>
      </x:c>
      <x:c r="E107" t="s">
        <x:v>25</x:v>
      </x:c>
      <x:c r="F107">
        <x:v>2</x:v>
      </x:c>
      <x:c r="G107">
        <x:v>110</x:v>
      </x:c>
      <x:c r="H107" t="s">
        <x:v>270</x:v>
      </x:c>
      <x:c r="I107">
        <x:v>6</x:v>
      </x:c>
      <x:c r="J107">
        <x:v>1</x:v>
      </x:c>
      <x:c r="K107">
        <x:v>9</x:v>
      </x:c>
      <x:c r="L107">
        <x:v>8</x:v>
      </x:c>
      <x:c r="M107">
        <x:v>6</x:v>
      </x:c>
      <x:c r="N107">
        <x:v>3</x:v>
      </x:c>
      <x:c r="O107"/>
      <x:c r="P107"/>
      <x:c r="Q107"/>
      <x:c r="R107"/>
      <x:c r="S107" t="s">
        <x:v>271</x:v>
      </x:c>
      <x:c r="T107" t="s">
        <x:v>264</x:v>
      </x:c>
      <x:c r="U107" t="s">
        <x:v>265</x:v>
      </x:c>
      <x:c r="V107">
        <x:v>4</x:v>
      </x:c>
      <x:c r="W107" s="5" t="n">
        <x:f>COUNTIF($C$2:$C$272,C107)</x:f>
        <x:v>1</x:v>
      </x:c>
      <x:c r="X107" t="str">
        <x:f>IF(W107&gt;=5,"Yes","No")</x:f>
        <x:v>No</x:v>
      </x:c>
      <x:c r="Y107" t="str">
        <x:f>INT(A107/10)*10&amp;"s"</x:f>
        <x:v>1970s</x:v>
      </x:c>
    </x:row>
    <x:row r="108">
      <x:c r="A108">
        <x:v>1972</x:v>
      </x:c>
      <x:c r="B108" t="s">
        <x:v>22</x:v>
      </x:c>
      <x:c r="C108" t="s">
        <x:v>258</x:v>
      </x:c>
      <x:c r="D108" t="s">
        <x:v>41</x:v>
      </x:c>
      <x:c r="E108" t="s">
        <x:v>42</x:v>
      </x:c>
      <x:c r="F108">
        <x:v>2</x:v>
      </x:c>
      <x:c r="G108">
        <x:v>50</x:v>
      </x:c>
      <x:c r="H108" t="s">
        <x:v>272</x:v>
      </x:c>
      <x:c r="I108">
        <x:v>6</x:v>
      </x:c>
      <x:c r="J108">
        <x:v>3</x:v>
      </x:c>
      <x:c r="K108">
        <x:v>6</x:v>
      </x:c>
      <x:c r="L108">
        <x:v>3</x:v>
      </x:c>
      <x:c r="M108"/>
      <x:c r="N108"/>
      <x:c r="O108"/>
      <x:c r="P108"/>
      <x:c r="Q108"/>
      <x:c r="R108"/>
      <x:c r="S108" t="s">
        <x:v>273</x:v>
      </x:c>
      <x:c r="T108" t="s">
        <x:v>73</x:v>
      </x:c>
      <x:c r="U108" t="s">
        <x:v>71</x:v>
      </x:c>
      <x:c r="V108">
        <x:v>1</x:v>
      </x:c>
      <x:c r="W108" s="5" t="n">
        <x:f>COUNTIF($C$2:$C$272,C108)</x:f>
        <x:v>6</x:v>
      </x:c>
      <x:c r="X108" t="str">
        <x:f>IF(W108&gt;=5,"Yes","No")</x:f>
        <x:v>Yes</x:v>
      </x:c>
      <x:c r="Y108" t="str">
        <x:f>INT(A108/10)*10&amp;"s"</x:f>
        <x:v>1970s</x:v>
      </x:c>
    </x:row>
    <x:row r="109">
      <x:c r="A109">
        <x:v>1972</x:v>
      </x:c>
      <x:c r="B109" t="s">
        <x:v>28</x:v>
      </x:c>
      <x:c r="C109" t="s">
        <x:v>274</x:v>
      </x:c>
      <x:c r="D109" t="s">
        <x:v>41</x:v>
      </x:c>
      <x:c r="E109" t="s">
        <x:v>42</x:v>
      </x:c>
      <x:c r="F109">
        <x:v>1</x:v>
      </x:c>
      <x:c r="G109">
        <x:v>161</x:v>
      </x:c>
      <x:c r="H109" t="s">
        <x:v>275</x:v>
      </x:c>
      <x:c r="I109">
        <x:v>4</x:v>
      </x:c>
      <x:c r="J109">
        <x:v>6</x:v>
      </x:c>
      <x:c r="K109">
        <x:v>6</x:v>
      </x:c>
      <x:c r="L109">
        <x:v>3</x:v>
      </x:c>
      <x:c r="M109">
        <x:v>6</x:v>
      </x:c>
      <x:c r="N109">
        <x:v>3</x:v>
      </x:c>
      <x:c r="O109">
        <x:v>4</x:v>
      </x:c>
      <x:c r="P109">
        <x:v>6</x:v>
      </x:c>
      <x:c r="Q109">
        <x:v>7</x:v>
      </x:c>
      <x:c r="R109">
        <x:v>5</x:v>
      </x:c>
      <x:c r="S109" t="s">
        <x:v>256</x:v>
      </x:c>
      <x:c r="T109" t="s">
        <x:v>257</x:v>
      </x:c>
      <x:c r="U109" t="s">
        <x:v>80</x:v>
      </x:c>
      <x:c r="V109">
        <x:v>2</x:v>
      </x:c>
      <x:c r="W109" s="5" t="n">
        <x:f>COUNTIF($C$2:$C$272,C109)</x:f>
        <x:v>1</x:v>
      </x:c>
      <x:c r="X109" t="str">
        <x:f>IF(W109&gt;=5,"Yes","No")</x:f>
        <x:v>No</x:v>
      </x:c>
      <x:c r="Y109" t="str">
        <x:f>INT(A109/10)*10&amp;"s"</x:f>
        <x:v>1970s</x:v>
      </x:c>
    </x:row>
    <x:row r="110">
      <x:c r="A110">
        <x:v>1971</x:v>
      </x:c>
      <x:c r="B110" t="s">
        <x:v>22</x:v>
      </x:c>
      <x:c r="C110" t="s">
        <x:v>273</x:v>
      </x:c>
      <x:c r="D110" t="s">
        <x:v>73</x:v>
      </x:c>
      <x:c r="E110" t="s">
        <x:v>71</x:v>
      </x:c>
      <x:c r="F110">
        <x:v>3</x:v>
      </x:c>
      <x:c r="G110">
        <x:v>62</x:v>
      </x:c>
      <x:c r="H110" t="s">
        <x:v>205</x:v>
      </x:c>
      <x:c r="I110">
        <x:v>6</x:v>
      </x:c>
      <x:c r="J110">
        <x:v>4</x:v>
      </x:c>
      <x:c r="K110">
        <x:v>6</x:v>
      </x:c>
      <x:c r="L110">
        <x:v>1</x:v>
      </x:c>
      <x:c r="M110"/>
      <x:c r="N110"/>
      <x:c r="O110"/>
      <x:c r="P110"/>
      <x:c r="Q110"/>
      <x:c r="R110"/>
      <x:c r="S110" t="s">
        <x:v>276</x:v>
      </x:c>
      <x:c r="T110" t="s">
        <x:v>73</x:v>
      </x:c>
      <x:c r="U110" t="s">
        <x:v>71</x:v>
      </x:c>
      <x:c r="V110">
        <x:v>1</x:v>
      </x:c>
      <x:c r="W110" s="5" t="n">
        <x:f>COUNTIF($C$2:$C$272,C110)</x:f>
        <x:v>1</x:v>
      </x:c>
      <x:c r="X110" t="str">
        <x:f>IF(W110&gt;=5,"Yes","No")</x:f>
        <x:v>No</x:v>
      </x:c>
      <x:c r="Y110" t="str">
        <x:f>INT(A110/10)*10&amp;"s"</x:f>
        <x:v>1970s</x:v>
      </x:c>
    </x:row>
    <x:row r="111">
      <x:c r="A111">
        <x:v>1971</x:v>
      </x:c>
      <x:c r="B111" t="s">
        <x:v>28</x:v>
      </x:c>
      <x:c r="C111" t="s">
        <x:v>277</x:v>
      </x:c>
      <x:c r="D111" t="s">
        <x:v>73</x:v>
      </x:c>
      <x:c r="E111" t="s">
        <x:v>71</x:v>
      </x:c>
      <x:c r="F111">
        <x:v>2</x:v>
      </x:c>
      <x:c r="G111">
        <x:v>170</x:v>
      </x:c>
      <x:c r="H111" t="s">
        <x:v>278</x:v>
      </x:c>
      <x:c r="I111">
        <x:v>6</x:v>
      </x:c>
      <x:c r="J111">
        <x:v>3</x:v>
      </x:c>
      <x:c r="K111">
        <x:v>5</x:v>
      </x:c>
      <x:c r="L111">
        <x:v>7</x:v>
      </x:c>
      <x:c r="M111">
        <x:v>2</x:v>
      </x:c>
      <x:c r="N111">
        <x:v>6</x:v>
      </x:c>
      <x:c r="O111">
        <x:v>6</x:v>
      </x:c>
      <x:c r="P111">
        <x:v>4</x:v>
      </x:c>
      <x:c r="Q111">
        <x:v>6</x:v>
      </x:c>
      <x:c r="R111">
        <x:v>4</x:v>
      </x:c>
      <x:c r="S111" t="s">
        <x:v>274</x:v>
      </x:c>
      <x:c r="T111" t="s">
        <x:v>41</x:v>
      </x:c>
      <x:c r="U111" t="s">
        <x:v>42</x:v>
      </x:c>
      <x:c r="V111">
        <x:v>4</x:v>
      </x:c>
      <x:c r="W111" s="5" t="n">
        <x:f>COUNTIF($C$2:$C$272,C111)</x:f>
        <x:v>3</x:v>
      </x:c>
      <x:c r="X111" t="str">
        <x:f>IF(W111&gt;=5,"Yes","No")</x:f>
        <x:v>No</x:v>
      </x:c>
      <x:c r="Y111" t="str">
        <x:f>INT(A111/10)*10&amp;"s"</x:f>
        <x:v>1970s</x:v>
      </x:c>
    </x:row>
    <x:row r="112">
      <x:c r="A112">
        <x:v>1970</x:v>
      </x:c>
      <x:c r="B112" t="s">
        <x:v>22</x:v>
      </x:c>
      <x:c r="C112" t="s">
        <x:v>276</x:v>
      </x:c>
      <x:c r="D112" t="s">
        <x:v>73</x:v>
      </x:c>
      <x:c r="E112" t="s">
        <x:v>71</x:v>
      </x:c>
      <x:c r="F112">
        <x:v>1</x:v>
      </x:c>
      <x:c r="G112">
        <x:v>148</x:v>
      </x:c>
      <x:c r="H112" t="s">
        <x:v>279</x:v>
      </x:c>
      <x:c r="I112">
        <x:v>14</x:v>
      </x:c>
      <x:c r="J112">
        <x:v>12</x:v>
      </x:c>
      <x:c r="K112">
        <x:v>11</x:v>
      </x:c>
      <x:c r="L112">
        <x:v>9</x:v>
      </x:c>
      <x:c r="M112"/>
      <x:c r="N112"/>
      <x:c r="O112"/>
      <x:c r="P112"/>
      <x:c r="Q112"/>
      <x:c r="R112"/>
      <x:c r="S112" t="s">
        <x:v>258</x:v>
      </x:c>
      <x:c r="T112" t="s">
        <x:v>41</x:v>
      </x:c>
      <x:c r="U112" t="s">
        <x:v>42</x:v>
      </x:c>
      <x:c r="V112">
        <x:v>2</x:v>
      </x:c>
      <x:c r="W112" s="5" t="n">
        <x:f>COUNTIF($C$2:$C$272,C112)</x:f>
        <x:v>3</x:v>
      </x:c>
      <x:c r="X112" t="str">
        <x:f>IF(W112&gt;=5,"Yes","No")</x:f>
        <x:v>No</x:v>
      </x:c>
      <x:c r="Y112" t="str">
        <x:f>INT(A112/10)*10&amp;"s"</x:f>
        <x:v>1970s</x:v>
      </x:c>
    </x:row>
    <x:row r="113">
      <x:c r="A113">
        <x:v>1970</x:v>
      </x:c>
      <x:c r="B113" t="s">
        <x:v>28</x:v>
      </x:c>
      <x:c r="C113" t="s">
        <x:v>277</x:v>
      </x:c>
      <x:c r="D113" t="s">
        <x:v>73</x:v>
      </x:c>
      <x:c r="E113" t="s">
        <x:v>71</x:v>
      </x:c>
      <x:c r="F113">
        <x:v>2</x:v>
      </x:c>
      <x:c r="G113">
        <x:v>163</x:v>
      </x:c>
      <x:c r="H113" t="s">
        <x:v>280</x:v>
      </x:c>
      <x:c r="I113">
        <x:v>5</x:v>
      </x:c>
      <x:c r="J113">
        <x:v>7</x:v>
      </x:c>
      <x:c r="K113">
        <x:v>6</x:v>
      </x:c>
      <x:c r="L113">
        <x:v>3</x:v>
      </x:c>
      <x:c r="M113">
        <x:v>6</x:v>
      </x:c>
      <x:c r="N113">
        <x:v>2</x:v>
      </x:c>
      <x:c r="O113">
        <x:v>3</x:v>
      </x:c>
      <x:c r="P113">
        <x:v>6</x:v>
      </x:c>
      <x:c r="Q113">
        <x:v>6</x:v>
      </x:c>
      <x:c r="R113">
        <x:v>1</x:v>
      </x:c>
      <x:c r="S113" t="s">
        <x:v>267</x:v>
      </x:c>
      <x:c r="T113" t="s">
        <x:v>73</x:v>
      </x:c>
      <x:c r="U113" t="s">
        <x:v>71</x:v>
      </x:c>
      <x:c r="V113">
        <x:v>5</x:v>
      </x:c>
      <x:c r="W113" s="5" t="n">
        <x:f>COUNTIF($C$2:$C$272,C113)</x:f>
        <x:v>3</x:v>
      </x:c>
      <x:c r="X113" t="str">
        <x:f>IF(W113&gt;=5,"Yes","No")</x:f>
        <x:v>No</x:v>
      </x:c>
      <x:c r="Y113" t="str">
        <x:f>INT(A113/10)*10&amp;"s"</x:f>
        <x:v>1970s</x:v>
      </x:c>
    </x:row>
    <x:row r="114">
      <x:c r="A114">
        <x:v>1969</x:v>
      </x:c>
      <x:c r="B114" t="s">
        <x:v>22</x:v>
      </x:c>
      <x:c r="C114" t="s">
        <x:v>281</x:v>
      </x:c>
      <x:c r="D114" t="s">
        <x:v>102</x:v>
      </x:c>
      <x:c r="E114" t="s">
        <x:v>103</x:v>
      </x:c>
      <x:c r="F114">
        <x:v>4</x:v>
      </x:c>
      <x:c r="G114">
        <x:v>71</x:v>
      </x:c>
      <x:c r="H114" t="s">
        <x:v>282</x:v>
      </x:c>
      <x:c r="I114">
        <x:v>3</x:v>
      </x:c>
      <x:c r="J114">
        <x:v>6</x:v>
      </x:c>
      <x:c r="K114">
        <x:v>6</x:v>
      </x:c>
      <x:c r="L114">
        <x:v>3</x:v>
      </x:c>
      <x:c r="M114">
        <x:v>6</x:v>
      </x:c>
      <x:c r="N114">
        <x:v>2</x:v>
      </x:c>
      <x:c r="O114"/>
      <x:c r="P114"/>
      <x:c r="Q114"/>
      <x:c r="R114"/>
      <x:c r="S114" t="s">
        <x:v>258</x:v>
      </x:c>
      <x:c r="T114" t="s">
        <x:v>41</x:v>
      </x:c>
      <x:c r="U114" t="s">
        <x:v>42</x:v>
      </x:c>
      <x:c r="V114">
        <x:v>2</x:v>
      </x:c>
      <x:c r="W114" s="5" t="n">
        <x:f>COUNTIF($C$2:$C$272,C114)</x:f>
        <x:v>1</x:v>
      </x:c>
      <x:c r="X114" t="str">
        <x:f>IF(W114&gt;=5,"Yes","No")</x:f>
        <x:v>No</x:v>
      </x:c>
      <x:c r="Y114" t="str">
        <x:f>INT(A114/10)*10&amp;"s"</x:f>
        <x:v>1960s</x:v>
      </x:c>
    </x:row>
    <x:row r="115">
      <x:c r="A115">
        <x:v>1969</x:v>
      </x:c>
      <x:c r="B115" t="s">
        <x:v>28</x:v>
      </x:c>
      <x:c r="C115" t="s">
        <x:v>283</x:v>
      </x:c>
      <x:c r="D115" t="s">
        <x:v>73</x:v>
      </x:c>
      <x:c r="E115" t="s">
        <x:v>71</x:v>
      </x:c>
      <x:c r="F115">
        <x:v>1</x:v>
      </x:c>
      <x:c r="G115">
        <x:v>136</x:v>
      </x:c>
      <x:c r="H115" t="s">
        <x:v>284</x:v>
      </x:c>
      <x:c r="I115">
        <x:v>6</x:v>
      </x:c>
      <x:c r="J115">
        <x:v>4</x:v>
      </x:c>
      <x:c r="K115">
        <x:v>5</x:v>
      </x:c>
      <x:c r="L115">
        <x:v>7</x:v>
      </x:c>
      <x:c r="M115">
        <x:v>6</x:v>
      </x:c>
      <x:c r="N115">
        <x:v>4</x:v>
      </x:c>
      <x:c r="O115">
        <x:v>6</x:v>
      </x:c>
      <x:c r="P115">
        <x:v>4</x:v>
      </x:c>
      <x:c r="Q115"/>
      <x:c r="R115"/>
      <x:c r="S115" t="s">
        <x:v>277</x:v>
      </x:c>
      <x:c r="T115" t="s">
        <x:v>73</x:v>
      </x:c>
      <x:c r="U115" t="s">
        <x:v>71</x:v>
      </x:c>
      <x:c r="V115">
        <x:v>6</x:v>
      </x:c>
      <x:c r="W115" s="5" t="n">
        <x:f>COUNTIF($C$2:$C$272,C115)</x:f>
        <x:v>4</x:v>
      </x:c>
      <x:c r="X115" t="str">
        <x:f>IF(W115&gt;=5,"Yes","No")</x:f>
        <x:v>No</x:v>
      </x:c>
      <x:c r="Y115" t="str">
        <x:f>INT(A115/10)*10&amp;"s"</x:f>
        <x:v>1960s</x:v>
      </x:c>
    </x:row>
    <x:row r="116">
      <x:c r="A116">
        <x:v>1968</x:v>
      </x:c>
      <x:c r="B116" t="s">
        <x:v>22</x:v>
      </x:c>
      <x:c r="C116" t="s">
        <x:v>258</x:v>
      </x:c>
      <x:c r="D116" t="s">
        <x:v>41</x:v>
      </x:c>
      <x:c r="E116" t="s">
        <x:v>42</x:v>
      </x:c>
      <x:c r="F116">
        <x:v>1</x:v>
      </x:c>
      <x:c r="G116">
        <x:v>69</x:v>
      </x:c>
      <x:c r="H116" t="s">
        <x:v>285</x:v>
      </x:c>
      <x:c r="I116">
        <x:v>9</x:v>
      </x:c>
      <x:c r="J116">
        <x:v>7</x:v>
      </x:c>
      <x:c r="K116">
        <x:v>7</x:v>
      </x:c>
      <x:c r="L116">
        <x:v>5</x:v>
      </x:c>
      <x:c r="M116"/>
      <x:c r="N116"/>
      <x:c r="O116"/>
      <x:c r="P116"/>
      <x:c r="Q116"/>
      <x:c r="R116"/>
      <x:c r="S116" t="s">
        <x:v>286</x:v>
      </x:c>
      <x:c r="T116" t="s">
        <x:v>73</x:v>
      </x:c>
      <x:c r="U116" t="s">
        <x:v>71</x:v>
      </x:c>
      <x:c r="V116">
        <x:v>7</x:v>
      </x:c>
      <x:c r="W116" s="5" t="n">
        <x:f>COUNTIF($C$2:$C$272,C116)</x:f>
        <x:v>6</x:v>
      </x:c>
      <x:c r="X116" t="str">
        <x:f>IF(W116&gt;=5,"Yes","No")</x:f>
        <x:v>Yes</x:v>
      </x:c>
      <x:c r="Y116" t="str">
        <x:f>INT(A116/10)*10&amp;"s"</x:f>
        <x:v>1960s</x:v>
      </x:c>
    </x:row>
    <x:row r="117">
      <x:c r="A117">
        <x:v>1968</x:v>
      </x:c>
      <x:c r="B117" t="s">
        <x:v>28</x:v>
      </x:c>
      <x:c r="C117" t="s">
        <x:v>283</x:v>
      </x:c>
      <x:c r="D117" t="s">
        <x:v>73</x:v>
      </x:c>
      <x:c r="E117" t="s">
        <x:v>71</x:v>
      </x:c>
      <x:c r="F117">
        <x:v>1</x:v>
      </x:c>
      <x:c r="G117">
        <x:v>60</x:v>
      </x:c>
      <x:c r="H117" t="s">
        <x:v>287</x:v>
      </x:c>
      <x:c r="I117">
        <x:v>6</x:v>
      </x:c>
      <x:c r="J117">
        <x:v>3</x:v>
      </x:c>
      <x:c r="K117">
        <x:v>6</x:v>
      </x:c>
      <x:c r="L117">
        <x:v>4</x:v>
      </x:c>
      <x:c r="M117">
        <x:v>6</x:v>
      </x:c>
      <x:c r="N117">
        <x:v>2</x:v>
      </x:c>
      <x:c r="O117"/>
      <x:c r="P117"/>
      <x:c r="Q117"/>
      <x:c r="R117"/>
      <x:c r="S117" t="s">
        <x:v>288</x:v>
      </x:c>
      <x:c r="T117" t="s">
        <x:v>73</x:v>
      </x:c>
      <x:c r="U117" t="s">
        <x:v>71</x:v>
      </x:c>
      <x:c r="V117">
        <x:v>15</x:v>
      </x:c>
      <x:c r="W117" s="5" t="n">
        <x:f>COUNTIF($C$2:$C$272,C117)</x:f>
        <x:v>4</x:v>
      </x:c>
      <x:c r="X117" t="str">
        <x:f>IF(W117&gt;=5,"Yes","No")</x:f>
        <x:v>No</x:v>
      </x:c>
      <x:c r="Y117" t="str">
        <x:f>INT(A117/10)*10&amp;"s"</x:f>
        <x:v>1960s</x:v>
      </x:c>
    </x:row>
    <x:row r="118">
      <x:c r="A118">
        <x:v>1967</x:v>
      </x:c>
      <x:c r="B118" t="s">
        <x:v>22</x:v>
      </x:c>
      <x:c r="C118" t="s">
        <x:v>258</x:v>
      </x:c>
      <x:c r="D118" t="s">
        <x:v>41</x:v>
      </x:c>
      <x:c r="E118" t="s">
        <x:v>42</x:v>
      </x:c>
      <x:c r="F118">
        <x:v>1</x:v>
      </x:c>
      <x:c r="G118">
        <x:v>60</x:v>
      </x:c>
      <x:c r="H118" t="s">
        <x:v>289</x:v>
      </x:c>
      <x:c r="I118">
        <x:v>6</x:v>
      </x:c>
      <x:c r="J118">
        <x:v>3</x:v>
      </x:c>
      <x:c r="K118">
        <x:v>6</x:v>
      </x:c>
      <x:c r="L118">
        <x:v>4</x:v>
      </x:c>
      <x:c r="M118"/>
      <x:c r="N118"/>
      <x:c r="O118"/>
      <x:c r="P118"/>
      <x:c r="Q118"/>
      <x:c r="R118"/>
      <x:c r="S118" t="s">
        <x:v>281</x:v>
      </x:c>
      <x:c r="T118" t="s">
        <x:v>102</x:v>
      </x:c>
      <x:c r="U118" t="s">
        <x:v>103</x:v>
      </x:c>
      <x:c r="V118">
        <x:v>3</x:v>
      </x:c>
      <x:c r="W118" s="5" t="n">
        <x:f>COUNTIF($C$2:$C$272,C118)</x:f>
        <x:v>6</x:v>
      </x:c>
      <x:c r="X118" t="str">
        <x:f>IF(W118&gt;=5,"Yes","No")</x:f>
        <x:v>Yes</x:v>
      </x:c>
      <x:c r="Y118" t="str">
        <x:f>INT(A118/10)*10&amp;"s"</x:f>
        <x:v>1960s</x:v>
      </x:c>
    </x:row>
    <x:row r="119">
      <x:c r="A119">
        <x:v>1967</x:v>
      </x:c>
      <x:c r="B119" t="s">
        <x:v>28</x:v>
      </x:c>
      <x:c r="C119" t="s">
        <x:v>277</x:v>
      </x:c>
      <x:c r="D119" t="s">
        <x:v>73</x:v>
      </x:c>
      <x:c r="E119" t="s">
        <x:v>71</x:v>
      </x:c>
      <x:c r="F119">
        <x:v>3</x:v>
      </x:c>
      <x:c r="G119">
        <x:v>71</x:v>
      </x:c>
      <x:c r="H119" t="s">
        <x:v>290</x:v>
      </x:c>
      <x:c r="I119">
        <x:v>6</x:v>
      </x:c>
      <x:c r="J119">
        <x:v>3</x:v>
      </x:c>
      <x:c r="K119">
        <x:v>6</x:v>
      </x:c>
      <x:c r="L119">
        <x:v>1</x:v>
      </x:c>
      <x:c r="M119">
        <x:v>6</x:v>
      </x:c>
      <x:c r="N119">
        <x:v>1</x:v>
      </x:c>
      <x:c r="O119"/>
      <x:c r="P119"/>
      <x:c r="Q119"/>
      <x:c r="R119"/>
      <x:c r="S119" t="s">
        <x:v>291</x:v>
      </x:c>
      <x:c r="T119" t="s">
        <x:v>34</x:v>
      </x:c>
      <x:c r="U119" t="s">
        <x:v>35</x:v>
      </x:c>
      <x:c r="V119" t="s">
        <x:v>55</x:v>
      </x:c>
      <x:c r="W119" s="5" t="n">
        <x:f>COUNTIF($C$2:$C$272,C119)</x:f>
        <x:v>3</x:v>
      </x:c>
      <x:c r="X119" t="str">
        <x:f>IF(W119&gt;=5,"Yes","No")</x:f>
        <x:v>No</x:v>
      </x:c>
      <x:c r="Y119" t="str">
        <x:f>INT(A119/10)*10&amp;"s"</x:f>
        <x:v>1960s</x:v>
      </x:c>
    </x:row>
    <x:row r="120">
      <x:c r="A120">
        <x:v>1966</x:v>
      </x:c>
      <x:c r="B120" t="s">
        <x:v>22</x:v>
      </x:c>
      <x:c r="C120" t="s">
        <x:v>258</x:v>
      </x:c>
      <x:c r="D120" t="s">
        <x:v>41</x:v>
      </x:c>
      <x:c r="E120" t="s">
        <x:v>42</x:v>
      </x:c>
      <x:c r="F120">
        <x:v>4</x:v>
      </x:c>
      <x:c r="G120">
        <x:v>68</x:v>
      </x:c>
      <x:c r="H120" t="s">
        <x:v>292</x:v>
      </x:c>
      <x:c r="I120">
        <x:v>6</x:v>
      </x:c>
      <x:c r="J120">
        <x:v>3</x:v>
      </x:c>
      <x:c r="K120">
        <x:v>3</x:v>
      </x:c>
      <x:c r="L120">
        <x:v>6</x:v>
      </x:c>
      <x:c r="M120">
        <x:v>6</x:v>
      </x:c>
      <x:c r="N120">
        <x:v>1</x:v>
      </x:c>
      <x:c r="O120"/>
      <x:c r="P120"/>
      <x:c r="Q120"/>
      <x:c r="R120"/>
      <x:c r="S120" t="s">
        <x:v>293</x:v>
      </x:c>
      <x:c r="T120" t="s">
        <x:v>294</x:v>
      </x:c>
      <x:c r="U120" t="s">
        <x:v>295</x:v>
      </x:c>
      <x:c r="V120">
        <x:v>2</x:v>
      </x:c>
      <x:c r="W120" s="5" t="n">
        <x:f>COUNTIF($C$2:$C$272,C120)</x:f>
        <x:v>6</x:v>
      </x:c>
      <x:c r="X120" t="str">
        <x:f>IF(W120&gt;=5,"Yes","No")</x:f>
        <x:v>Yes</x:v>
      </x:c>
      <x:c r="Y120" t="str">
        <x:f>INT(A120/10)*10&amp;"s"</x:f>
        <x:v>1960s</x:v>
      </x:c>
    </x:row>
    <x:row r="121">
      <x:c r="A121">
        <x:v>1966</x:v>
      </x:c>
      <x:c r="B121" t="s">
        <x:v>28</x:v>
      </x:c>
      <x:c r="C121" t="s">
        <x:v>296</x:v>
      </x:c>
      <x:c r="D121" t="s">
        <x:v>45</x:v>
      </x:c>
      <x:c r="E121" t="s">
        <x:v>46</x:v>
      </x:c>
      <x:c r="F121">
        <x:v>4</x:v>
      </x:c>
      <x:c r="G121">
        <x:v>104</x:v>
      </x:c>
      <x:c r="H121" t="s">
        <x:v>297</x:v>
      </x:c>
      <x:c r="I121">
        <x:v>6</x:v>
      </x:c>
      <x:c r="J121">
        <x:v>4</x:v>
      </x:c>
      <x:c r="K121">
        <x:v>11</x:v>
      </x:c>
      <x:c r="L121">
        <x:v>9</x:v>
      </x:c>
      <x:c r="M121">
        <x:v>6</x:v>
      </x:c>
      <x:c r="N121">
        <x:v>4</x:v>
      </x:c>
      <x:c r="O121"/>
      <x:c r="P121"/>
      <x:c r="Q121"/>
      <x:c r="R121"/>
      <x:c r="S121" t="s">
        <x:v>298</x:v>
      </x:c>
      <x:c r="T121" t="s">
        <x:v>41</x:v>
      </x:c>
      <x:c r="U121" t="s">
        <x:v>42</x:v>
      </x:c>
      <x:c r="V121">
        <x:v>6</x:v>
      </x:c>
      <x:c r="W121" s="5" t="n">
        <x:f>COUNTIF($C$2:$C$272,C121)</x:f>
        <x:v>1</x:v>
      </x:c>
      <x:c r="X121" t="str">
        <x:f>IF(W121&gt;=5,"Yes","No")</x:f>
        <x:v>No</x:v>
      </x:c>
      <x:c r="Y121" t="str">
        <x:f>INT(A121/10)*10&amp;"s"</x:f>
        <x:v>1960s</x:v>
      </x:c>
    </x:row>
    <x:row r="122">
      <x:c r="A122">
        <x:v>1965</x:v>
      </x:c>
      <x:c r="B122" t="s">
        <x:v>22</x:v>
      </x:c>
      <x:c r="C122" t="s">
        <x:v>276</x:v>
      </x:c>
      <x:c r="D122" t="s">
        <x:v>73</x:v>
      </x:c>
      <x:c r="E122" t="s">
        <x:v>71</x:v>
      </x:c>
      <x:c r="F122">
        <x:v>2</x:v>
      </x:c>
      <x:c r="G122">
        <x:v>56</x:v>
      </x:c>
      <x:c r="H122" t="s">
        <x:v>299</x:v>
      </x:c>
      <x:c r="I122">
        <x:v>6</x:v>
      </x:c>
      <x:c r="J122">
        <x:v>4</x:v>
      </x:c>
      <x:c r="K122">
        <x:v>7</x:v>
      </x:c>
      <x:c r="L122">
        <x:v>5</x:v>
      </x:c>
      <x:c r="M122"/>
      <x:c r="N122"/>
      <x:c r="O122"/>
      <x:c r="P122"/>
      <x:c r="Q122"/>
      <x:c r="R122"/>
      <x:c r="S122" t="s">
        <x:v>293</x:v>
      </x:c>
      <x:c r="T122" t="s">
        <x:v>294</x:v>
      </x:c>
      <x:c r="U122" t="s">
        <x:v>295</x:v>
      </x:c>
      <x:c r="V122">
        <x:v>1</x:v>
      </x:c>
      <x:c r="W122" s="5" t="n">
        <x:f>COUNTIF($C$2:$C$272,C122)</x:f>
        <x:v>3</x:v>
      </x:c>
      <x:c r="X122" t="str">
        <x:f>IF(W122&gt;=5,"Yes","No")</x:f>
        <x:v>No</x:v>
      </x:c>
      <x:c r="Y122" t="str">
        <x:f>INT(A122/10)*10&amp;"s"</x:f>
        <x:v>1960s</x:v>
      </x:c>
    </x:row>
    <x:row r="123">
      <x:c r="A123">
        <x:v>1965</x:v>
      </x:c>
      <x:c r="B123" t="s">
        <x:v>28</x:v>
      </x:c>
      <x:c r="C123" t="s">
        <x:v>300</x:v>
      </x:c>
      <x:c r="D123" t="s">
        <x:v>73</x:v>
      </x:c>
      <x:c r="E123" t="s">
        <x:v>71</x:v>
      </x:c>
      <x:c r="F123">
        <x:v>1</x:v>
      </x:c>
      <x:c r="G123">
        <x:v>67</x:v>
      </x:c>
      <x:c r="H123" t="s">
        <x:v>301</x:v>
      </x:c>
      <x:c r="I123">
        <x:v>6</x:v>
      </x:c>
      <x:c r="J123">
        <x:v>2</x:v>
      </x:c>
      <x:c r="K123">
        <x:v>6</x:v>
      </x:c>
      <x:c r="L123">
        <x:v>4</x:v>
      </x:c>
      <x:c r="M123">
        <x:v>6</x:v>
      </x:c>
      <x:c r="N123">
        <x:v>4</x:v>
      </x:c>
      <x:c r="O123"/>
      <x:c r="P123"/>
      <x:c r="Q123"/>
      <x:c r="R123"/>
      <x:c r="S123" t="s">
        <x:v>302</x:v>
      </x:c>
      <x:c r="T123" t="s">
        <x:v>73</x:v>
      </x:c>
      <x:c r="U123" t="s">
        <x:v>71</x:v>
      </x:c>
      <x:c r="V123">
        <x:v>2</x:v>
      </x:c>
      <x:c r="W123" s="5" t="n">
        <x:f>COUNTIF($C$2:$C$272,C123)</x:f>
        <x:v>2</x:v>
      </x:c>
      <x:c r="X123" t="str">
        <x:f>IF(W123&gt;=5,"Yes","No")</x:f>
        <x:v>No</x:v>
      </x:c>
      <x:c r="Y123" t="str">
        <x:f>INT(A123/10)*10&amp;"s"</x:f>
        <x:v>1960s</x:v>
      </x:c>
    </x:row>
    <x:row r="124">
      <x:c r="A124">
        <x:v>1964</x:v>
      </x:c>
      <x:c r="B124" t="s">
        <x:v>22</x:v>
      </x:c>
      <x:c r="C124" t="s">
        <x:v>293</x:v>
      </x:c>
      <x:c r="D124" t="s">
        <x:v>294</x:v>
      </x:c>
      <x:c r="E124" t="s">
        <x:v>295</x:v>
      </x:c>
      <x:c r="F124">
        <x:v>2</x:v>
      </x:c>
      <x:c r="G124">
        <x:v>90</x:v>
      </x:c>
      <x:c r="H124" t="s">
        <x:v>303</x:v>
      </x:c>
      <x:c r="I124">
        <x:v>6</x:v>
      </x:c>
      <x:c r="J124">
        <x:v>4</x:v>
      </x:c>
      <x:c r="K124">
        <x:v>7</x:v>
      </x:c>
      <x:c r="L124">
        <x:v>9</x:v>
      </x:c>
      <x:c r="M124">
        <x:v>6</x:v>
      </x:c>
      <x:c r="N124">
        <x:v>3</x:v>
      </x:c>
      <x:c r="O124"/>
      <x:c r="P124"/>
      <x:c r="Q124"/>
      <x:c r="R124"/>
      <x:c r="S124" t="s">
        <x:v>276</x:v>
      </x:c>
      <x:c r="T124" t="s">
        <x:v>73</x:v>
      </x:c>
      <x:c r="U124" t="s">
        <x:v>71</x:v>
      </x:c>
      <x:c r="V124">
        <x:v>1</x:v>
      </x:c>
      <x:c r="W124" s="5" t="n">
        <x:f>COUNTIF($C$2:$C$272,C124)</x:f>
        <x:v>3</x:v>
      </x:c>
      <x:c r="X124" t="str">
        <x:f>IF(W124&gt;=5,"Yes","No")</x:f>
        <x:v>No</x:v>
      </x:c>
      <x:c r="Y124" t="str">
        <x:f>INT(A124/10)*10&amp;"s"</x:f>
        <x:v>1960s</x:v>
      </x:c>
    </x:row>
    <x:row r="125">
      <x:c r="A125">
        <x:v>1964</x:v>
      </x:c>
      <x:c r="B125" t="s">
        <x:v>28</x:v>
      </x:c>
      <x:c r="C125" t="s">
        <x:v>300</x:v>
      </x:c>
      <x:c r="D125" t="s">
        <x:v>73</x:v>
      </x:c>
      <x:c r="E125" t="s">
        <x:v>71</x:v>
      </x:c>
      <x:c r="F125">
        <x:v>1</x:v>
      </x:c>
      <x:c r="G125">
        <x:v>127</x:v>
      </x:c>
      <x:c r="H125" t="s">
        <x:v>304</x:v>
      </x:c>
      <x:c r="I125">
        <x:v>6</x:v>
      </x:c>
      <x:c r="J125">
        <x:v>4</x:v>
      </x:c>
      <x:c r="K125">
        <x:v>12</x:v>
      </x:c>
      <x:c r="L125">
        <x:v>10</x:v>
      </x:c>
      <x:c r="M125">
        <x:v>4</x:v>
      </x:c>
      <x:c r="N125">
        <x:v>6</x:v>
      </x:c>
      <x:c r="O125">
        <x:v>6</x:v>
      </x:c>
      <x:c r="P125">
        <x:v>3</x:v>
      </x:c>
      <x:c r="Q125"/>
      <x:c r="R125"/>
      <x:c r="S125" t="s">
        <x:v>302</x:v>
      </x:c>
      <x:c r="T125" t="s">
        <x:v>73</x:v>
      </x:c>
      <x:c r="U125" t="s">
        <x:v>71</x:v>
      </x:c>
      <x:c r="V125">
        <x:v>6</x:v>
      </x:c>
      <x:c r="W125" s="5" t="n">
        <x:f>COUNTIF($C$2:$C$272,C125)</x:f>
        <x:v>2</x:v>
      </x:c>
      <x:c r="X125" t="str">
        <x:f>IF(W125&gt;=5,"Yes","No")</x:f>
        <x:v>No</x:v>
      </x:c>
      <x:c r="Y125" t="str">
        <x:f>INT(A125/10)*10&amp;"s"</x:f>
        <x:v>1960s</x:v>
      </x:c>
    </x:row>
    <x:row r="126">
      <x:c r="A126">
        <x:v>1963</x:v>
      </x:c>
      <x:c r="B126" t="s">
        <x:v>22</x:v>
      </x:c>
      <x:c r="C126" t="s">
        <x:v>276</x:v>
      </x:c>
      <x:c r="D126" t="s">
        <x:v>73</x:v>
      </x:c>
      <x:c r="E126" t="s">
        <x:v>71</x:v>
      </x:c>
      <x:c r="F126">
        <x:v>1</x:v>
      </x:c>
      <x:c r="G126">
        <x:v>51</x:v>
      </x:c>
      <x:c r="H126" t="s">
        <x:v>289</x:v>
      </x:c>
      <x:c r="I126">
        <x:v>6</x:v>
      </x:c>
      <x:c r="J126">
        <x:v>3</x:v>
      </x:c>
      <x:c r="K126">
        <x:v>6</x:v>
      </x:c>
      <x:c r="L126">
        <x:v>4</x:v>
      </x:c>
      <x:c r="M126"/>
      <x:c r="N126"/>
      <x:c r="O126"/>
      <x:c r="P126"/>
      <x:c r="Q126"/>
      <x:c r="R126"/>
      <x:c r="S126" t="s">
        <x:v>305</x:v>
      </x:c>
      <x:c r="T126" t="s">
        <x:v>41</x:v>
      </x:c>
      <x:c r="U126" t="s">
        <x:v>42</x:v>
      </x:c>
      <x:c r="V126" t="s">
        <x:v>55</x:v>
      </x:c>
      <x:c r="W126" s="5" t="n">
        <x:f>COUNTIF($C$2:$C$272,C126)</x:f>
        <x:v>3</x:v>
      </x:c>
      <x:c r="X126" t="str">
        <x:f>IF(W126&gt;=5,"Yes","No")</x:f>
        <x:v>No</x:v>
      </x:c>
      <x:c r="Y126" t="str">
        <x:f>INT(A126/10)*10&amp;"s"</x:f>
        <x:v>1960s</x:v>
      </x:c>
    </x:row>
    <x:row r="127">
      <x:c r="A127">
        <x:v>1963</x:v>
      </x:c>
      <x:c r="B127" t="s">
        <x:v>28</x:v>
      </x:c>
      <x:c r="C127" t="s">
        <x:v>306</x:v>
      </x:c>
      <x:c r="D127" t="s">
        <x:v>41</x:v>
      </x:c>
      <x:c r="E127" t="s">
        <x:v>42</x:v>
      </x:c>
      <x:c r="F127">
        <x:v>4</x:v>
      </x:c>
      <x:c r="G127">
        <x:v>78</x:v>
      </x:c>
      <x:c r="H127" t="s">
        <x:v>307</x:v>
      </x:c>
      <x:c r="I127">
        <x:v>9</x:v>
      </x:c>
      <x:c r="J127">
        <x:v>7</x:v>
      </x:c>
      <x:c r="K127">
        <x:v>6</x:v>
      </x:c>
      <x:c r="L127">
        <x:v>1</x:v>
      </x:c>
      <x:c r="M127">
        <x:v>6</x:v>
      </x:c>
      <x:c r="N127">
        <x:v>4</x:v>
      </x:c>
      <x:c r="O127"/>
      <x:c r="P127"/>
      <x:c r="Q127"/>
      <x:c r="R127"/>
      <x:c r="S127" t="s">
        <x:v>302</x:v>
      </x:c>
      <x:c r="T127" t="s">
        <x:v>73</x:v>
      </x:c>
      <x:c r="U127" t="s">
        <x:v>71</x:v>
      </x:c>
      <x:c r="V127" t="s">
        <x:v>55</x:v>
      </x:c>
      <x:c r="W127" s="5" t="n">
        <x:f>COUNTIF($C$2:$C$272,C127)</x:f>
        <x:v>1</x:v>
      </x:c>
      <x:c r="X127" t="str">
        <x:f>IF(W127&gt;=5,"Yes","No")</x:f>
        <x:v>No</x:v>
      </x:c>
      <x:c r="Y127" t="str">
        <x:f>INT(A127/10)*10&amp;"s"</x:f>
        <x:v>1960s</x:v>
      </x:c>
    </x:row>
    <x:row r="128">
      <x:c r="A128">
        <x:v>1962</x:v>
      </x:c>
      <x:c r="B128" t="s">
        <x:v>22</x:v>
      </x:c>
      <x:c r="C128" t="s">
        <x:v>308</x:v>
      </x:c>
      <x:c r="D128" t="s">
        <x:v>41</x:v>
      </x:c>
      <x:c r="E128" t="s">
        <x:v>42</x:v>
      </x:c>
      <x:c r="F128">
        <x:v>8</x:v>
      </x:c>
      <x:c r="G128">
        <x:v>57</x:v>
      </x:c>
      <x:c r="H128" t="s">
        <x:v>244</x:v>
      </x:c>
      <x:c r="I128">
        <x:v>6</x:v>
      </x:c>
      <x:c r="J128">
        <x:v>4</x:v>
      </x:c>
      <x:c r="K128">
        <x:v>6</x:v>
      </x:c>
      <x:c r="L128">
        <x:v>4</x:v>
      </x:c>
      <x:c r="M128"/>
      <x:c r="N128"/>
      <x:c r="O128"/>
      <x:c r="P128"/>
      <x:c r="Q128"/>
      <x:c r="R128"/>
      <x:c r="S128" t="s">
        <x:v>309</x:v>
      </x:c>
      <x:c r="T128" t="s">
        <x:v>24</x:v>
      </x:c>
      <x:c r="U128" t="s">
        <x:v>25</x:v>
      </x:c>
      <x:c r="V128" t="s">
        <x:v>55</x:v>
      </x:c>
      <x:c r="W128" s="5" t="n">
        <x:f>COUNTIF($C$2:$C$272,C128)</x:f>
        <x:v>1</x:v>
      </x:c>
      <x:c r="X128" t="str">
        <x:f>IF(W128&gt;=5,"Yes","No")</x:f>
        <x:v>No</x:v>
      </x:c>
      <x:c r="Y128" t="str">
        <x:f>INT(A128/10)*10&amp;"s"</x:f>
        <x:v>1960s</x:v>
      </x:c>
    </x:row>
    <x:row r="129">
      <x:c r="A129">
        <x:v>1962</x:v>
      </x:c>
      <x:c r="B129" t="s">
        <x:v>28</x:v>
      </x:c>
      <x:c r="C129" t="s">
        <x:v>283</x:v>
      </x:c>
      <x:c r="D129" t="s">
        <x:v>73</x:v>
      </x:c>
      <x:c r="E129" t="s">
        <x:v>71</x:v>
      </x:c>
      <x:c r="F129">
        <x:v>1</x:v>
      </x:c>
      <x:c r="G129">
        <x:v>51</x:v>
      </x:c>
      <x:c r="H129" t="s">
        <x:v>310</x:v>
      </x:c>
      <x:c r="I129">
        <x:v>6</x:v>
      </x:c>
      <x:c r="J129">
        <x:v>2</x:v>
      </x:c>
      <x:c r="K129">
        <x:v>6</x:v>
      </x:c>
      <x:c r="L129">
        <x:v>2</x:v>
      </x:c>
      <x:c r="M129">
        <x:v>6</x:v>
      </x:c>
      <x:c r="N129">
        <x:v>1</x:v>
      </x:c>
      <x:c r="O129"/>
      <x:c r="P129"/>
      <x:c r="Q129"/>
      <x:c r="R129"/>
      <x:c r="S129" t="s">
        <x:v>311</x:v>
      </x:c>
      <x:c r="T129" t="s">
        <x:v>73</x:v>
      </x:c>
      <x:c r="U129" t="s">
        <x:v>71</x:v>
      </x:c>
      <x:c r="V129" t="s">
        <x:v>55</x:v>
      </x:c>
      <x:c r="W129" s="5" t="n">
        <x:f>COUNTIF($C$2:$C$272,C129)</x:f>
        <x:v>4</x:v>
      </x:c>
      <x:c r="X129" t="str">
        <x:f>IF(W129&gt;=5,"Yes","No")</x:f>
        <x:v>No</x:v>
      </x:c>
      <x:c r="Y129" t="str">
        <x:f>INT(A129/10)*10&amp;"s"</x:f>
        <x:v>1960s</x:v>
      </x:c>
    </x:row>
    <x:row r="130">
      <x:c r="A130">
        <x:v>1961</x:v>
      </x:c>
      <x:c r="B130" t="s">
        <x:v>22</x:v>
      </x:c>
      <x:c r="C130" t="s">
        <x:v>312</x:v>
      </x:c>
      <x:c r="D130" t="s">
        <x:v>102</x:v>
      </x:c>
      <x:c r="E130" t="s">
        <x:v>103</x:v>
      </x:c>
      <x:c r="F130">
        <x:v>7</x:v>
      </x:c>
      <x:c r="G130">
        <x:v>96</x:v>
      </x:c>
      <x:c r="H130" t="s">
        <x:v>313</x:v>
      </x:c>
      <x:c r="I130">
        <x:v>4</x:v>
      </x:c>
      <x:c r="J130">
        <x:v>6</x:v>
      </x:c>
      <x:c r="K130">
        <x:v>6</x:v>
      </x:c>
      <x:c r="L130">
        <x:v>4</x:v>
      </x:c>
      <x:c r="M130">
        <x:v>7</x:v>
      </x:c>
      <x:c r="N130">
        <x:v>5</x:v>
      </x:c>
      <x:c r="O130"/>
      <x:c r="P130"/>
      <x:c r="Q130"/>
      <x:c r="R130"/>
      <x:c r="S130" t="s">
        <x:v>314</x:v>
      </x:c>
      <x:c r="T130" t="s">
        <x:v>102</x:v>
      </x:c>
      <x:c r="U130" t="s">
        <x:v>103</x:v>
      </x:c>
      <x:c r="V130">
        <x:v>6</x:v>
      </x:c>
      <x:c r="W130" s="5" t="n">
        <x:f>COUNTIF($C$2:$C$272,C130)</x:f>
        <x:v>1</x:v>
      </x:c>
      <x:c r="X130" t="str">
        <x:f>IF(W130&gt;=5,"Yes","No")</x:f>
        <x:v>No</x:v>
      </x:c>
      <x:c r="Y130" t="str">
        <x:f>INT(A130/10)*10&amp;"s"</x:f>
        <x:v>1960s</x:v>
      </x:c>
    </x:row>
    <x:row r="131">
      <x:c r="A131">
        <x:v>1961</x:v>
      </x:c>
      <x:c r="B131" t="s">
        <x:v>28</x:v>
      </x:c>
      <x:c r="C131" t="s">
        <x:v>283</x:v>
      </x:c>
      <x:c r="D131" t="s">
        <x:v>73</x:v>
      </x:c>
      <x:c r="E131" t="s">
        <x:v>71</x:v>
      </x:c>
      <x:c r="F131">
        <x:v>2</x:v>
      </x:c>
      <x:c r="G131">
        <x:v>55</x:v>
      </x:c>
      <x:c r="H131" t="s">
        <x:v>315</x:v>
      </x:c>
      <x:c r="I131">
        <x:v>6</x:v>
      </x:c>
      <x:c r="J131">
        <x:v>3</x:v>
      </x:c>
      <x:c r="K131">
        <x:v>6</x:v>
      </x:c>
      <x:c r="L131">
        <x:v>1</x:v>
      </x:c>
      <x:c r="M131">
        <x:v>6</x:v>
      </x:c>
      <x:c r="N131">
        <x:v>4</x:v>
      </x:c>
      <x:c r="O131"/>
      <x:c r="P131"/>
      <x:c r="Q131"/>
      <x:c r="R131"/>
      <x:c r="S131" t="s">
        <x:v>306</x:v>
      </x:c>
      <x:c r="T131" t="s">
        <x:v>41</x:v>
      </x:c>
      <x:c r="U131" t="s">
        <x:v>42</x:v>
      </x:c>
      <x:c r="V131">
        <x:v>8</x:v>
      </x:c>
      <x:c r="W131" s="5" t="n">
        <x:f>COUNTIF($C$2:$C$272,C131)</x:f>
        <x:v>4</x:v>
      </x:c>
      <x:c r="X131" t="str">
        <x:f>IF(W131&gt;=5,"Yes","No")</x:f>
        <x:v>No</x:v>
      </x:c>
      <x:c r="Y131" t="str">
        <x:f>INT(A131/10)*10&amp;"s"</x:f>
        <x:v>1960s</x:v>
      </x:c>
    </x:row>
    <x:row r="132">
      <x:c r="A132">
        <x:v>1960</x:v>
      </x:c>
      <x:c r="B132" t="s">
        <x:v>22</x:v>
      </x:c>
      <x:c r="C132" t="s">
        <x:v>293</x:v>
      </x:c>
      <x:c r="D132" t="s">
        <x:v>294</x:v>
      </x:c>
      <x:c r="E132" t="s">
        <x:v>295</x:v>
      </x:c>
      <x:c r="F132">
        <x:v>1</x:v>
      </x:c>
      <x:c r="G132">
        <x:v>59</x:v>
      </x:c>
      <x:c r="H132" t="s">
        <x:v>316</x:v>
      </x:c>
      <x:c r="I132">
        <x:v>8</x:v>
      </x:c>
      <x:c r="J132">
        <x:v>6</x:v>
      </x:c>
      <x:c r="K132">
        <x:v>6</x:v>
      </x:c>
      <x:c r="L132">
        <x:v>0</x:v>
      </x:c>
      <x:c r="M132"/>
      <x:c r="N132"/>
      <x:c r="O132"/>
      <x:c r="P132"/>
      <x:c r="Q132"/>
      <x:c r="R132"/>
      <x:c r="S132" t="s">
        <x:v>317</x:v>
      </x:c>
      <x:c r="T132" t="s">
        <x:v>91</x:v>
      </x:c>
      <x:c r="U132" t="s">
        <x:v>92</x:v>
      </x:c>
      <x:c r="V132">
        <x:v>8</x:v>
      </x:c>
      <x:c r="W132" s="5" t="n">
        <x:f>COUNTIF($C$2:$C$272,C132)</x:f>
        <x:v>3</x:v>
      </x:c>
      <x:c r="X132" t="str">
        <x:f>IF(W132&gt;=5,"Yes","No")</x:f>
        <x:v>No</x:v>
      </x:c>
      <x:c r="Y132" t="str">
        <x:f>INT(A132/10)*10&amp;"s"</x:f>
        <x:v>1960s</x:v>
      </x:c>
    </x:row>
    <x:row r="133">
      <x:c r="A133">
        <x:v>1960</x:v>
      </x:c>
      <x:c r="B133" t="s">
        <x:v>28</x:v>
      </x:c>
      <x:c r="C133" t="s">
        <x:v>318</x:v>
      </x:c>
      <x:c r="D133" t="s">
        <x:v>73</x:v>
      </x:c>
      <x:c r="E133" t="s">
        <x:v>71</x:v>
      </x:c>
      <x:c r="F133">
        <x:v>1</x:v>
      </x:c>
      <x:c r="G133">
        <x:v>130</x:v>
      </x:c>
      <x:c r="H133" t="s">
        <x:v>319</x:v>
      </x:c>
      <x:c r="I133">
        <x:v>6</x:v>
      </x:c>
      <x:c r="J133">
        <x:v>4</x:v>
      </x:c>
      <x:c r="K133">
        <x:v>3</x:v>
      </x:c>
      <x:c r="L133">
        <x:v>6</x:v>
      </x:c>
      <x:c r="M133">
        <x:v>9</x:v>
      </x:c>
      <x:c r="N133">
        <x:v>7</x:v>
      </x:c>
      <x:c r="O133">
        <x:v>7</x:v>
      </x:c>
      <x:c r="P133">
        <x:v>5</x:v>
      </x:c>
      <x:c r="Q133"/>
      <x:c r="R133"/>
      <x:c r="S133" t="s">
        <x:v>283</x:v>
      </x:c>
      <x:c r="T133" t="s">
        <x:v>73</x:v>
      </x:c>
      <x:c r="U133" t="s">
        <x:v>71</x:v>
      </x:c>
      <x:c r="V133">
        <x:v>3</x:v>
      </x:c>
      <x:c r="W133" s="5" t="n">
        <x:f>COUNTIF($C$2:$C$272,C133)</x:f>
        <x:v>1</x:v>
      </x:c>
      <x:c r="X133" t="str">
        <x:f>IF(W133&gt;=5,"Yes","No")</x:f>
        <x:v>No</x:v>
      </x:c>
      <x:c r="Y133" t="str">
        <x:f>INT(A133/10)*10&amp;"s"</x:f>
        <x:v>1960s</x:v>
      </x:c>
    </x:row>
    <x:row r="134">
      <x:c r="A134">
        <x:v>1959</x:v>
      </x:c>
      <x:c r="B134" t="s">
        <x:v>22</x:v>
      </x:c>
      <x:c r="C134" t="s">
        <x:v>293</x:v>
      </x:c>
      <x:c r="D134" t="s">
        <x:v>294</x:v>
      </x:c>
      <x:c r="E134" t="s">
        <x:v>295</x:v>
      </x:c>
      <x:c r="F134">
        <x:v>6</x:v>
      </x:c>
      <x:c r="G134">
        <x:v>43</x:v>
      </x:c>
      <x:c r="H134" t="s">
        <x:v>320</x:v>
      </x:c>
      <x:c r="I134">
        <x:v>6</x:v>
      </x:c>
      <x:c r="J134">
        <x:v>4</x:v>
      </x:c>
      <x:c r="K134">
        <x:v>6</x:v>
      </x:c>
      <x:c r="L134">
        <x:v>3</x:v>
      </x:c>
      <x:c r="M134"/>
      <x:c r="N134"/>
      <x:c r="O134"/>
      <x:c r="P134"/>
      <x:c r="Q134"/>
      <x:c r="R134"/>
      <x:c r="S134" t="s">
        <x:v>321</x:v>
      </x:c>
      <x:c r="T134" t="s">
        <x:v>41</x:v>
      </x:c>
      <x:c r="U134" t="s">
        <x:v>42</x:v>
      </x:c>
      <x:c r="V134">
        <x:v>4</x:v>
      </x:c>
      <x:c r="W134" s="5" t="n">
        <x:f>COUNTIF($C$2:$C$272,C134)</x:f>
        <x:v>3</x:v>
      </x:c>
      <x:c r="X134" t="str">
        <x:f>IF(W134&gt;=5,"Yes","No")</x:f>
        <x:v>No</x:v>
      </x:c>
      <x:c r="Y134" t="str">
        <x:f>INT(A134/10)*10&amp;"s"</x:f>
        <x:v>1950s</x:v>
      </x:c>
    </x:row>
    <x:row r="135">
      <x:c r="A135">
        <x:v>1959</x:v>
      </x:c>
      <x:c r="B135" t="s">
        <x:v>28</x:v>
      </x:c>
      <x:c r="C135" t="s">
        <x:v>322</x:v>
      </x:c>
      <x:c r="D135" t="s">
        <x:v>41</x:v>
      </x:c>
      <x:c r="E135" t="s">
        <x:v>42</x:v>
      </x:c>
      <x:c r="F135">
        <x:v>1</x:v>
      </x:c>
      <x:c r="G135">
        <x:v>71</x:v>
      </x:c>
      <x:c r="H135" t="s">
        <x:v>323</x:v>
      </x:c>
      <x:c r="I135">
        <x:v>6</x:v>
      </x:c>
      <x:c r="J135">
        <x:v>4</x:v>
      </x:c>
      <x:c r="K135">
        <x:v>6</x:v>
      </x:c>
      <x:c r="L135">
        <x:v>3</x:v>
      </x:c>
      <x:c r="M135">
        <x:v>6</x:v>
      </x:c>
      <x:c r="N135">
        <x:v>4</x:v>
      </x:c>
      <x:c r="O135"/>
      <x:c r="P135"/>
      <x:c r="Q135"/>
      <x:c r="R135"/>
      <x:c r="S135" t="s">
        <x:v>283</x:v>
      </x:c>
      <x:c r="T135" t="s">
        <x:v>73</x:v>
      </x:c>
      <x:c r="U135" t="s">
        <x:v>71</x:v>
      </x:c>
      <x:c r="V135" t="s">
        <x:v>55</x:v>
      </x:c>
      <x:c r="W135" s="5" t="n">
        <x:f>COUNTIF($C$2:$C$272,C135)</x:f>
        <x:v>1</x:v>
      </x:c>
      <x:c r="X135" t="str">
        <x:f>IF(W135&gt;=5,"Yes","No")</x:f>
        <x:v>No</x:v>
      </x:c>
      <x:c r="Y135" t="str">
        <x:f>INT(A135/10)*10&amp;"s"</x:f>
        <x:v>1950s</x:v>
      </x:c>
    </x:row>
    <x:row r="136">
      <x:c r="A136">
        <x:v>1958</x:v>
      </x:c>
      <x:c r="B136" t="s">
        <x:v>22</x:v>
      </x:c>
      <x:c r="C136" t="s">
        <x:v>324</x:v>
      </x:c>
      <x:c r="D136" t="s">
        <x:v>41</x:v>
      </x:c>
      <x:c r="E136" t="s">
        <x:v>42</x:v>
      </x:c>
      <x:c r="F136">
        <x:v>1</x:v>
      </x:c>
      <x:c r="G136">
        <x:v>62</x:v>
      </x:c>
      <x:c r="H136" t="s">
        <x:v>325</x:v>
      </x:c>
      <x:c r="I136">
        <x:v>8</x:v>
      </x:c>
      <x:c r="J136">
        <x:v>6</x:v>
      </x:c>
      <x:c r="K136">
        <x:v>6</x:v>
      </x:c>
      <x:c r="L136">
        <x:v>2</x:v>
      </x:c>
      <x:c r="M136"/>
      <x:c r="N136"/>
      <x:c r="O136"/>
      <x:c r="P136"/>
      <x:c r="Q136"/>
      <x:c r="R136"/>
      <x:c r="S136" t="s">
        <x:v>312</x:v>
      </x:c>
      <x:c r="T136" t="s">
        <x:v>102</x:v>
      </x:c>
      <x:c r="U136" t="s">
        <x:v>103</x:v>
      </x:c>
      <x:c r="V136" t="s">
        <x:v>55</x:v>
      </x:c>
      <x:c r="W136" s="5" t="n">
        <x:f>COUNTIF($C$2:$C$272,C136)</x:f>
        <x:v>2</x:v>
      </x:c>
      <x:c r="X136" t="str">
        <x:f>IF(W136&gt;=5,"Yes","No")</x:f>
        <x:v>No</x:v>
      </x:c>
      <x:c r="Y136" t="str">
        <x:f>INT(A136/10)*10&amp;"s"</x:f>
        <x:v>1950s</x:v>
      </x:c>
    </x:row>
    <x:row r="137">
      <x:c r="A137">
        <x:v>1958</x:v>
      </x:c>
      <x:c r="B137" t="s">
        <x:v>28</x:v>
      </x:c>
      <x:c r="C137" t="s">
        <x:v>326</x:v>
      </x:c>
      <x:c r="D137" t="s">
        <x:v>73</x:v>
      </x:c>
      <x:c r="E137" t="s">
        <x:v>71</x:v>
      </x:c>
      <x:c r="F137">
        <x:v>1</x:v>
      </x:c>
      <x:c r="G137">
        <x:v>130</x:v>
      </x:c>
      <x:c r="H137" t="s">
        <x:v>327</x:v>
      </x:c>
      <x:c r="I137">
        <x:v>3</x:v>
      </x:c>
      <x:c r="J137">
        <x:v>6</x:v>
      </x:c>
      <x:c r="K137">
        <x:v>6</x:v>
      </x:c>
      <x:c r="L137">
        <x:v>3</x:v>
      </x:c>
      <x:c r="M137">
        <x:v>6</x:v>
      </x:c>
      <x:c r="N137">
        <x:v>4</x:v>
      </x:c>
      <x:c r="O137">
        <x:v>13</x:v>
      </x:c>
      <x:c r="P137">
        <x:v>11</x:v>
      </x:c>
      <x:c r="Q137"/>
      <x:c r="R137"/>
      <x:c r="S137" t="s">
        <x:v>318</x:v>
      </x:c>
      <x:c r="T137" t="s">
        <x:v>73</x:v>
      </x:c>
      <x:c r="U137" t="s">
        <x:v>71</x:v>
      </x:c>
      <x:c r="V137">
        <x:v>4</x:v>
      </x:c>
      <x:c r="W137" s="5" t="n">
        <x:f>COUNTIF($C$2:$C$272,C137)</x:f>
        <x:v>1</x:v>
      </x:c>
      <x:c r="X137" t="str">
        <x:f>IF(W137&gt;=5,"Yes","No")</x:f>
        <x:v>No</x:v>
      </x:c>
      <x:c r="Y137" t="str">
        <x:f>INT(A137/10)*10&amp;"s"</x:f>
        <x:v>1950s</x:v>
      </x:c>
    </x:row>
    <x:row r="138">
      <x:c r="A138">
        <x:v>1957</x:v>
      </x:c>
      <x:c r="B138" t="s">
        <x:v>22</x:v>
      </x:c>
      <x:c r="C138" t="s">
        <x:v>324</x:v>
      </x:c>
      <x:c r="D138" t="s">
        <x:v>41</x:v>
      </x:c>
      <x:c r="E138" t="s">
        <x:v>42</x:v>
      </x:c>
      <x:c r="F138">
        <x:v>1</x:v>
      </x:c>
      <x:c r="G138">
        <x:v>50</x:v>
      </x:c>
      <x:c r="H138" t="s">
        <x:v>328</x:v>
      </x:c>
      <x:c r="I138">
        <x:v>6</x:v>
      </x:c>
      <x:c r="J138">
        <x:v>3</x:v>
      </x:c>
      <x:c r="K138">
        <x:v>6</x:v>
      </x:c>
      <x:c r="L138">
        <x:v>2</x:v>
      </x:c>
      <x:c r="M138"/>
      <x:c r="N138"/>
      <x:c r="O138"/>
      <x:c r="P138"/>
      <x:c r="Q138"/>
      <x:c r="R138"/>
      <x:c r="S138" t="s">
        <x:v>321</x:v>
      </x:c>
      <x:c r="T138" t="s">
        <x:v>41</x:v>
      </x:c>
      <x:c r="U138" t="s">
        <x:v>42</x:v>
      </x:c>
      <x:c r="V138">
        <x:v>5</x:v>
      </x:c>
      <x:c r="W138" s="5" t="n">
        <x:f>COUNTIF($C$2:$C$272,C138)</x:f>
        <x:v>2</x:v>
      </x:c>
      <x:c r="X138" t="str">
        <x:f>IF(W138&gt;=5,"Yes","No")</x:f>
        <x:v>No</x:v>
      </x:c>
      <x:c r="Y138" t="str">
        <x:f>INT(A138/10)*10&amp;"s"</x:f>
        <x:v>1950s</x:v>
      </x:c>
    </x:row>
    <x:row r="139">
      <x:c r="A139">
        <x:v>1957</x:v>
      </x:c>
      <x:c r="B139" t="s">
        <x:v>28</x:v>
      </x:c>
      <x:c r="C139" t="s">
        <x:v>329</x:v>
      </x:c>
      <x:c r="D139" t="s">
        <x:v>73</x:v>
      </x:c>
      <x:c r="E139" t="s">
        <x:v>71</x:v>
      </x:c>
      <x:c r="F139">
        <x:v>1</x:v>
      </x:c>
      <x:c r="G139">
        <x:v>57</x:v>
      </x:c>
      <x:c r="H139" t="s">
        <x:v>330</x:v>
      </x:c>
      <x:c r="I139">
        <x:v>6</x:v>
      </x:c>
      <x:c r="J139">
        <x:v>2</x:v>
      </x:c>
      <x:c r="K139">
        <x:v>6</x:v>
      </x:c>
      <x:c r="L139">
        <x:v>1</x:v>
      </x:c>
      <x:c r="M139">
        <x:v>6</x:v>
      </x:c>
      <x:c r="N139">
        <x:v>2</x:v>
      </x:c>
      <x:c r="O139"/>
      <x:c r="P139"/>
      <x:c r="Q139"/>
      <x:c r="R139"/>
      <x:c r="S139" t="s">
        <x:v>326</x:v>
      </x:c>
      <x:c r="T139" t="s">
        <x:v>73</x:v>
      </x:c>
      <x:c r="U139" t="s">
        <x:v>71</x:v>
      </x:c>
      <x:c r="V139">
        <x:v>2</x:v>
      </x:c>
      <x:c r="W139" s="5" t="n">
        <x:f>COUNTIF($C$2:$C$272,C139)</x:f>
        <x:v>2</x:v>
      </x:c>
      <x:c r="X139" t="str">
        <x:f>IF(W139&gt;=5,"Yes","No")</x:f>
        <x:v>No</x:v>
      </x:c>
      <x:c r="Y139" t="str">
        <x:f>INT(A139/10)*10&amp;"s"</x:f>
        <x:v>1950s</x:v>
      </x:c>
    </x:row>
    <x:row r="140">
      <x:c r="A140">
        <x:v>1956</x:v>
      </x:c>
      <x:c r="B140" t="s">
        <x:v>22</x:v>
      </x:c>
      <x:c r="C140" t="s">
        <x:v>331</x:v>
      </x:c>
      <x:c r="D140" t="s">
        <x:v>41</x:v>
      </x:c>
      <x:c r="E140" t="s">
        <x:v>42</x:v>
      </x:c>
      <x:c r="F140">
        <x:v>5</x:v>
      </x:c>
      <x:c r="G140">
        <x:v>50</x:v>
      </x:c>
      <x:c r="H140" t="s">
        <x:v>332</x:v>
      </x:c>
      <x:c r="I140">
        <x:v>6</x:v>
      </x:c>
      <x:c r="J140">
        <x:v>3</x:v>
      </x:c>
      <x:c r="K140">
        <x:v>6</x:v>
      </x:c>
      <x:c r="L140">
        <x:v>1</x:v>
      </x:c>
      <x:c r="M140"/>
      <x:c r="N140"/>
      <x:c r="O140"/>
      <x:c r="P140"/>
      <x:c r="Q140"/>
      <x:c r="R140"/>
      <x:c r="S140" t="s">
        <x:v>333</x:v>
      </x:c>
      <x:c r="T140" t="s">
        <x:v>102</x:v>
      </x:c>
      <x:c r="U140" t="s">
        <x:v>103</x:v>
      </x:c>
      <x:c r="V140">
        <x:v>6</x:v>
      </x:c>
      <x:c r="W140" s="5" t="n">
        <x:f>COUNTIF($C$2:$C$272,C140)</x:f>
        <x:v>1</x:v>
      </x:c>
      <x:c r="X140" t="str">
        <x:f>IF(W140&gt;=5,"Yes","No")</x:f>
        <x:v>No</x:v>
      </x:c>
      <x:c r="Y140" t="str">
        <x:f>INT(A140/10)*10&amp;"s"</x:f>
        <x:v>1950s</x:v>
      </x:c>
    </x:row>
    <x:row r="141">
      <x:c r="A141">
        <x:v>1956</x:v>
      </x:c>
      <x:c r="B141" t="s">
        <x:v>28</x:v>
      </x:c>
      <x:c r="C141" t="s">
        <x:v>329</x:v>
      </x:c>
      <x:c r="D141" t="s">
        <x:v>73</x:v>
      </x:c>
      <x:c r="E141" t="s">
        <x:v>71</x:v>
      </x:c>
      <x:c r="F141">
        <x:v>1</x:v>
      </x:c>
      <x:c r="G141">
        <x:v>117</x:v>
      </x:c>
      <x:c r="H141" t="s">
        <x:v>334</x:v>
      </x:c>
      <x:c r="I141">
        <x:v>6</x:v>
      </x:c>
      <x:c r="J141">
        <x:v>2</x:v>
      </x:c>
      <x:c r="K141">
        <x:v>4</x:v>
      </x:c>
      <x:c r="L141">
        <x:v>6</x:v>
      </x:c>
      <x:c r="M141">
        <x:v>7</x:v>
      </x:c>
      <x:c r="N141">
        <x:v>5</x:v>
      </x:c>
      <x:c r="O141">
        <x:v>6</x:v>
      </x:c>
      <x:c r="P141">
        <x:v>4</x:v>
      </x:c>
      <x:c r="Q141"/>
      <x:c r="R141"/>
      <x:c r="S141" t="s">
        <x:v>267</x:v>
      </x:c>
      <x:c r="T141" t="s">
        <x:v>73</x:v>
      </x:c>
      <x:c r="U141" t="s">
        <x:v>71</x:v>
      </x:c>
      <x:c r="V141">
        <x:v>2</x:v>
      </x:c>
      <x:c r="W141" s="5" t="n">
        <x:f>COUNTIF($C$2:$C$272,C141)</x:f>
        <x:v>2</x:v>
      </x:c>
      <x:c r="X141" t="str">
        <x:f>IF(W141&gt;=5,"Yes","No")</x:f>
        <x:v>No</x:v>
      </x:c>
      <x:c r="Y141" t="str">
        <x:f>INT(A141/10)*10&amp;"s"</x:f>
        <x:v>1950s</x:v>
      </x:c>
    </x:row>
    <x:row r="142">
      <x:c r="A142">
        <x:v>1955</x:v>
      </x:c>
      <x:c r="B142" t="s">
        <x:v>22</x:v>
      </x:c>
      <x:c r="C142" t="s">
        <x:v>335</x:v>
      </x:c>
      <x:c r="D142" t="s">
        <x:v>41</x:v>
      </x:c>
      <x:c r="E142" t="s">
        <x:v>42</x:v>
      </x:c>
      <x:c r="F142">
        <x:v>2</x:v>
      </x:c>
      <x:c r="G142">
        <x:v>90</x:v>
      </x:c>
      <x:c r="H142" t="s">
        <x:v>336</x:v>
      </x:c>
      <x:c r="I142">
        <x:v>7</x:v>
      </x:c>
      <x:c r="J142">
        <x:v>5</x:v>
      </x:c>
      <x:c r="K142">
        <x:v>8</x:v>
      </x:c>
      <x:c r="L142">
        <x:v>6</x:v>
      </x:c>
      <x:c r="M142"/>
      <x:c r="N142"/>
      <x:c r="O142"/>
      <x:c r="P142"/>
      <x:c r="Q142"/>
      <x:c r="R142"/>
      <x:c r="S142" t="s">
        <x:v>337</x:v>
      </x:c>
      <x:c r="T142" t="s">
        <x:v>41</x:v>
      </x:c>
      <x:c r="U142" t="s">
        <x:v>42</x:v>
      </x:c>
      <x:c r="V142">
        <x:v>3</x:v>
      </x:c>
      <x:c r="W142" s="5" t="n">
        <x:f>COUNTIF($C$2:$C$272,C142)</x:f>
        <x:v>4</x:v>
      </x:c>
      <x:c r="X142" t="str">
        <x:f>IF(W142&gt;=5,"Yes","No")</x:f>
        <x:v>No</x:v>
      </x:c>
      <x:c r="Y142" t="str">
        <x:f>INT(A142/10)*10&amp;"s"</x:f>
        <x:v>1950s</x:v>
      </x:c>
    </x:row>
    <x:row r="143">
      <x:c r="A143">
        <x:v>1955</x:v>
      </x:c>
      <x:c r="B143" t="s">
        <x:v>28</x:v>
      </x:c>
      <x:c r="C143" t="s">
        <x:v>338</x:v>
      </x:c>
      <x:c r="D143" t="s">
        <x:v>41</x:v>
      </x:c>
      <x:c r="E143" t="s">
        <x:v>42</x:v>
      </x:c>
      <x:c r="F143">
        <x:v>1</x:v>
      </x:c>
      <x:c r="G143">
        <x:v>73</x:v>
      </x:c>
      <x:c r="H143" t="s">
        <x:v>339</x:v>
      </x:c>
      <x:c r="I143">
        <x:v>6</x:v>
      </x:c>
      <x:c r="J143">
        <x:v>3</x:v>
      </x:c>
      <x:c r="K143">
        <x:v>7</x:v>
      </x:c>
      <x:c r="L143">
        <x:v>5</x:v>
      </x:c>
      <x:c r="M143">
        <x:v>6</x:v>
      </x:c>
      <x:c r="N143">
        <x:v>1</x:v>
      </x:c>
      <x:c r="O143"/>
      <x:c r="P143"/>
      <x:c r="Q143"/>
      <x:c r="R143"/>
      <x:c r="S143" t="s">
        <x:v>340</x:v>
      </x:c>
      <x:c r="T143" t="s">
        <x:v>341</x:v>
      </x:c>
      <x:c r="U143" t="s">
        <x:v>342</x:v>
      </x:c>
      <x:c r="V143" t="s">
        <x:v>55</x:v>
      </x:c>
      <x:c r="W143" s="5" t="n">
        <x:f>COUNTIF($C$2:$C$272,C143)</x:f>
        <x:v>1</x:v>
      </x:c>
      <x:c r="X143" t="str">
        <x:f>IF(W143&gt;=5,"Yes","No")</x:f>
        <x:v>No</x:v>
      </x:c>
      <x:c r="Y143" t="str">
        <x:f>INT(A143/10)*10&amp;"s"</x:f>
        <x:v>1950s</x:v>
      </x:c>
    </x:row>
    <x:row r="144">
      <x:c r="A144">
        <x:v>1954</x:v>
      </x:c>
      <x:c r="B144" t="s">
        <x:v>22</x:v>
      </x:c>
      <x:c r="C144" t="s">
        <x:v>343</x:v>
      </x:c>
      <x:c r="D144" t="s">
        <x:v>41</x:v>
      </x:c>
      <x:c r="E144" t="s">
        <x:v>42</x:v>
      </x:c>
      <x:c r="F144">
        <x:v>1</x:v>
      </x:c>
      <x:c r="G144">
        <x:v>50</x:v>
      </x:c>
      <x:c r="H144" t="s">
        <x:v>344</x:v>
      </x:c>
      <x:c r="I144">
        <x:v>6</x:v>
      </x:c>
      <x:c r="J144">
        <x:v>2</x:v>
      </x:c>
      <x:c r="K144">
        <x:v>7</x:v>
      </x:c>
      <x:c r="L144">
        <x:v>5</x:v>
      </x:c>
      <x:c r="M144"/>
      <x:c r="N144"/>
      <x:c r="O144"/>
      <x:c r="P144"/>
      <x:c r="Q144"/>
      <x:c r="R144"/>
      <x:c r="S144" t="s">
        <x:v>335</x:v>
      </x:c>
      <x:c r="T144" t="s">
        <x:v>41</x:v>
      </x:c>
      <x:c r="U144" t="s">
        <x:v>42</x:v>
      </x:c>
      <x:c r="V144">
        <x:v>4</x:v>
      </x:c>
      <x:c r="W144" s="5" t="n">
        <x:f>COUNTIF($C$2:$C$272,C144)</x:f>
        <x:v>3</x:v>
      </x:c>
      <x:c r="X144" t="str">
        <x:f>IF(W144&gt;=5,"Yes","No")</x:f>
        <x:v>No</x:v>
      </x:c>
      <x:c r="Y144" t="str">
        <x:f>INT(A144/10)*10&amp;"s"</x:f>
        <x:v>1950s</x:v>
      </x:c>
    </x:row>
    <x:row r="145">
      <x:c r="A145">
        <x:v>1954</x:v>
      </x:c>
      <x:c r="B145" t="s">
        <x:v>28</x:v>
      </x:c>
      <x:c r="C145" t="s">
        <x:v>345</x:v>
      </x:c>
      <x:c r="D145" t="s">
        <x:v>24</x:v>
      </x:c>
      <x:c r="E145" t="s">
        <x:v>25</x:v>
      </x:c>
      <x:c r="F145">
        <x:v>11</x:v>
      </x:c>
      <x:c r="G145">
        <x:v>157</x:v>
      </x:c>
      <x:c r="H145" t="s">
        <x:v>346</x:v>
      </x:c>
      <x:c r="I145">
        <x:v>13</x:v>
      </x:c>
      <x:c r="J145">
        <x:v>11</x:v>
      </x:c>
      <x:c r="K145">
        <x:v>4</x:v>
      </x:c>
      <x:c r="L145">
        <x:v>6</x:v>
      </x:c>
      <x:c r="M145">
        <x:v>6</x:v>
      </x:c>
      <x:c r="N145">
        <x:v>2</x:v>
      </x:c>
      <x:c r="O145">
        <x:v>9</x:v>
      </x:c>
      <x:c r="P145">
        <x:v>7</x:v>
      </x:c>
      <x:c r="Q145"/>
      <x:c r="R145"/>
      <x:c r="S145" t="s">
        <x:v>267</x:v>
      </x:c>
      <x:c r="T145" t="s">
        <x:v>73</x:v>
      </x:c>
      <x:c r="U145" t="s">
        <x:v>71</x:v>
      </x:c>
      <x:c r="V145">
        <x:v>3</x:v>
      </x:c>
      <x:c r="W145" s="5" t="n">
        <x:f>COUNTIF($C$2:$C$272,C145)</x:f>
        <x:v>1</x:v>
      </x:c>
      <x:c r="X145" t="str">
        <x:f>IF(W145&gt;=5,"Yes","No")</x:f>
        <x:v>No</x:v>
      </x:c>
      <x:c r="Y145" t="str">
        <x:f>INT(A145/10)*10&amp;"s"</x:f>
        <x:v>1950s</x:v>
      </x:c>
    </x:row>
    <x:row r="146">
      <x:c r="A146">
        <x:v>1953</x:v>
      </x:c>
      <x:c r="B146" t="s">
        <x:v>22</x:v>
      </x:c>
      <x:c r="C146" t="s">
        <x:v>343</x:v>
      </x:c>
      <x:c r="D146" t="s">
        <x:v>41</x:v>
      </x:c>
      <x:c r="E146" t="s">
        <x:v>42</x:v>
      </x:c>
      <x:c r="F146">
        <x:v>1</x:v>
      </x:c>
      <x:c r="G146">
        <x:v>67</x:v>
      </x:c>
      <x:c r="H146" t="s">
        <x:v>347</x:v>
      </x:c>
      <x:c r="I146">
        <x:v>8</x:v>
      </x:c>
      <x:c r="J146">
        <x:v>6</x:v>
      </x:c>
      <x:c r="K146">
        <x:v>7</x:v>
      </x:c>
      <x:c r="L146">
        <x:v>5</x:v>
      </x:c>
      <x:c r="M146"/>
      <x:c r="N146"/>
      <x:c r="O146"/>
      <x:c r="P146"/>
      <x:c r="Q146"/>
      <x:c r="R146"/>
      <x:c r="S146" t="s">
        <x:v>348</x:v>
      </x:c>
      <x:c r="T146" t="s">
        <x:v>41</x:v>
      </x:c>
      <x:c r="U146" t="s">
        <x:v>42</x:v>
      </x:c>
      <x:c r="V146">
        <x:v>2</x:v>
      </x:c>
      <x:c r="W146" s="5" t="n">
        <x:f>COUNTIF($C$2:$C$272,C146)</x:f>
        <x:v>3</x:v>
      </x:c>
      <x:c r="X146" t="str">
        <x:f>IF(W146&gt;=5,"Yes","No")</x:f>
        <x:v>No</x:v>
      </x:c>
      <x:c r="Y146" t="str">
        <x:f>INT(A146/10)*10&amp;"s"</x:f>
        <x:v>1950s</x:v>
      </x:c>
    </x:row>
    <x:row r="147">
      <x:c r="A147">
        <x:v>1953</x:v>
      </x:c>
      <x:c r="B147" t="s">
        <x:v>28</x:v>
      </x:c>
      <x:c r="C147" t="s">
        <x:v>349</x:v>
      </x:c>
      <x:c r="D147" t="s">
        <x:v>41</x:v>
      </x:c>
      <x:c r="E147" t="s">
        <x:v>42</x:v>
      </x:c>
      <x:c r="F147">
        <x:v>2</x:v>
      </x:c>
      <x:c r="G147">
        <x:v>80</x:v>
      </x:c>
      <x:c r="H147" t="s">
        <x:v>350</x:v>
      </x:c>
      <x:c r="I147">
        <x:v>9</x:v>
      </x:c>
      <x:c r="J147">
        <x:v>7</x:v>
      </x:c>
      <x:c r="K147">
        <x:v>6</x:v>
      </x:c>
      <x:c r="L147">
        <x:v>3</x:v>
      </x:c>
      <x:c r="M147">
        <x:v>6</x:v>
      </x:c>
      <x:c r="N147">
        <x:v>4</x:v>
      </x:c>
      <x:c r="O147"/>
      <x:c r="P147"/>
      <x:c r="Q147"/>
      <x:c r="R147"/>
      <x:c r="S147" t="s">
        <x:v>340</x:v>
      </x:c>
      <x:c r="T147" t="s">
        <x:v>341</x:v>
      </x:c>
      <x:c r="U147" t="s">
        <x:v>342</x:v>
      </x:c>
      <x:c r="V147" t="s">
        <x:v>55</x:v>
      </x:c>
      <x:c r="W147" s="5" t="n">
        <x:f>COUNTIF($C$2:$C$272,C147)</x:f>
        <x:v>1</x:v>
      </x:c>
      <x:c r="X147" t="str">
        <x:f>IF(W147&gt;=5,"Yes","No")</x:f>
        <x:v>No</x:v>
      </x:c>
      <x:c r="Y147" t="str">
        <x:f>INT(A147/10)*10&amp;"s"</x:f>
        <x:v>1950s</x:v>
      </x:c>
    </x:row>
    <x:row r="148">
      <x:c r="A148">
        <x:v>1952</x:v>
      </x:c>
      <x:c r="B148" t="s">
        <x:v>22</x:v>
      </x:c>
      <x:c r="C148" t="s">
        <x:v>343</x:v>
      </x:c>
      <x:c r="D148" t="s">
        <x:v>41</x:v>
      </x:c>
      <x:c r="E148" t="s">
        <x:v>42</x:v>
      </x:c>
      <x:c r="F148">
        <x:v>2</x:v>
      </x:c>
      <x:c r="G148">
        <x:v>65</x:v>
      </x:c>
      <x:c r="H148" t="s">
        <x:v>215</x:v>
      </x:c>
      <x:c r="I148">
        <x:v>7</x:v>
      </x:c>
      <x:c r="J148">
        <x:v>5</x:v>
      </x:c>
      <x:c r="K148">
        <x:v>6</x:v>
      </x:c>
      <x:c r="L148">
        <x:v>3</x:v>
      </x:c>
      <x:c r="M148"/>
      <x:c r="N148"/>
      <x:c r="O148"/>
      <x:c r="P148"/>
      <x:c r="Q148"/>
      <x:c r="R148"/>
      <x:c r="S148" t="s">
        <x:v>335</x:v>
      </x:c>
      <x:c r="T148" t="s">
        <x:v>41</x:v>
      </x:c>
      <x:c r="U148" t="s">
        <x:v>42</x:v>
      </x:c>
      <x:c r="V148">
        <x:v>4</x:v>
      </x:c>
      <x:c r="W148" s="5" t="n">
        <x:f>COUNTIF($C$2:$C$272,C148)</x:f>
        <x:v>3</x:v>
      </x:c>
      <x:c r="X148" t="str">
        <x:f>IF(W148&gt;=5,"Yes","No")</x:f>
        <x:v>No</x:v>
      </x:c>
      <x:c r="Y148" t="str">
        <x:f>INT(A148/10)*10&amp;"s"</x:f>
        <x:v>1950s</x:v>
      </x:c>
    </x:row>
    <x:row r="149">
      <x:c r="A149">
        <x:v>1952</x:v>
      </x:c>
      <x:c r="B149" t="s">
        <x:v>28</x:v>
      </x:c>
      <x:c r="C149" t="s">
        <x:v>351</x:v>
      </x:c>
      <x:c r="D149" t="s">
        <x:v>73</x:v>
      </x:c>
      <x:c r="E149" t="s">
        <x:v>71</x:v>
      </x:c>
      <x:c r="F149">
        <x:v>1</x:v>
      </x:c>
      <x:c r="G149">
        <x:v>80</x:v>
      </x:c>
      <x:c r="H149" t="s">
        <x:v>352</x:v>
      </x:c>
      <x:c r="I149">
        <x:v>4</x:v>
      </x:c>
      <x:c r="J149">
        <x:v>6</x:v>
      </x:c>
      <x:c r="K149">
        <x:v>6</x:v>
      </x:c>
      <x:c r="L149">
        <x:v>2</x:v>
      </x:c>
      <x:c r="M149">
        <x:v>6</x:v>
      </x:c>
      <x:c r="N149">
        <x:v>3</x:v>
      </x:c>
      <x:c r="O149">
        <x:v>6</x:v>
      </x:c>
      <x:c r="P149">
        <x:v>2</x:v>
      </x:c>
      <x:c r="Q149"/>
      <x:c r="R149"/>
      <x:c r="S149" t="s">
        <x:v>345</x:v>
      </x:c>
      <x:c r="T149" t="s">
        <x:v>24</x:v>
      </x:c>
      <x:c r="U149" t="s">
        <x:v>25</x:v>
      </x:c>
      <x:c r="V149">
        <x:v>2</x:v>
      </x:c>
      <x:c r="W149" s="5" t="n">
        <x:f>COUNTIF($C$2:$C$272,C149)</x:f>
        <x:v>1</x:v>
      </x:c>
      <x:c r="X149" t="str">
        <x:f>IF(W149&gt;=5,"Yes","No")</x:f>
        <x:v>No</x:v>
      </x:c>
      <x:c r="Y149" t="str">
        <x:f>INT(A149/10)*10&amp;"s"</x:f>
        <x:v>1950s</x:v>
      </x:c>
    </x:row>
    <x:row r="150">
      <x:c r="A150">
        <x:v>1951</x:v>
      </x:c>
      <x:c r="B150" t="s">
        <x:v>22</x:v>
      </x:c>
      <x:c r="C150" t="s">
        <x:v>348</x:v>
      </x:c>
      <x:c r="D150" t="s">
        <x:v>41</x:v>
      </x:c>
      <x:c r="E150" t="s">
        <x:v>42</x:v>
      </x:c>
      <x:c r="F150">
        <x:v>3</x:v>
      </x:c>
      <x:c r="G150">
        <x:v>35</x:v>
      </x:c>
      <x:c r="H150" t="s">
        <x:v>353</x:v>
      </x:c>
      <x:c r="I150">
        <x:v>6</x:v>
      </x:c>
      <x:c r="J150">
        <x:v>1</x:v>
      </x:c>
      <x:c r="K150">
        <x:v>6</x:v>
      </x:c>
      <x:c r="L150">
        <x:v>0</x:v>
      </x:c>
      <x:c r="M150"/>
      <x:c r="N150"/>
      <x:c r="O150"/>
      <x:c r="P150"/>
      <x:c r="Q150"/>
      <x:c r="R150"/>
      <x:c r="S150" t="s">
        <x:v>331</x:v>
      </x:c>
      <x:c r="T150" t="s">
        <x:v>41</x:v>
      </x:c>
      <x:c r="U150" t="s">
        <x:v>42</x:v>
      </x:c>
      <x:c r="V150">
        <x:v>4</x:v>
      </x:c>
      <x:c r="W150" s="5" t="n">
        <x:f>COUNTIF($C$2:$C$272,C150)</x:f>
        <x:v>1</x:v>
      </x:c>
      <x:c r="X150" t="str">
        <x:f>IF(W150&gt;=5,"Yes","No")</x:f>
        <x:v>No</x:v>
      </x:c>
      <x:c r="Y150" t="str">
        <x:f>INT(A150/10)*10&amp;"s"</x:f>
        <x:v>1950s</x:v>
      </x:c>
    </x:row>
    <x:row r="151">
      <x:c r="A151">
        <x:v>1951</x:v>
      </x:c>
      <x:c r="B151" t="s">
        <x:v>28</x:v>
      </x:c>
      <x:c r="C151" t="s">
        <x:v>354</x:v>
      </x:c>
      <x:c r="D151" t="s">
        <x:v>41</x:v>
      </x:c>
      <x:c r="E151" t="s">
        <x:v>42</x:v>
      </x:c>
      <x:c r="F151">
        <x:v>6</x:v>
      </x:c>
      <x:c r="G151">
        <x:v>62</x:v>
      </x:c>
      <x:c r="H151" t="s">
        <x:v>355</x:v>
      </x:c>
      <x:c r="I151">
        <x:v>6</x:v>
      </x:c>
      <x:c r="J151">
        <x:v>4</x:v>
      </x:c>
      <x:c r="K151">
        <x:v>6</x:v>
      </x:c>
      <x:c r="L151">
        <x:v>4</x:v>
      </x:c>
      <x:c r="M151">
        <x:v>6</x:v>
      </x:c>
      <x:c r="N151">
        <x:v>4</x:v>
      </x:c>
      <x:c r="O151"/>
      <x:c r="P151"/>
      <x:c r="Q151"/>
      <x:c r="R151"/>
      <x:c r="S151" t="s">
        <x:v>356</x:v>
      </x:c>
      <x:c r="T151" t="s">
        <x:v>73</x:v>
      </x:c>
      <x:c r="U151" t="s">
        <x:v>71</x:v>
      </x:c>
      <x:c r="V151">
        <x:v>7</x:v>
      </x:c>
      <x:c r="W151" s="5" t="n">
        <x:f>COUNTIF($C$2:$C$272,C151)</x:f>
        <x:v>1</x:v>
      </x:c>
      <x:c r="X151" t="str">
        <x:f>IF(W151&gt;=5,"Yes","No")</x:f>
        <x:v>No</x:v>
      </x:c>
      <x:c r="Y151" t="str">
        <x:f>INT(A151/10)*10&amp;"s"</x:f>
        <x:v>1950s</x:v>
      </x:c>
    </x:row>
    <x:row r="152">
      <x:c r="A152">
        <x:v>1950</x:v>
      </x:c>
      <x:c r="B152" t="s">
        <x:v>22</x:v>
      </x:c>
      <x:c r="C152" t="s">
        <x:v>335</x:v>
      </x:c>
      <x:c r="D152" t="s">
        <x:v>41</x:v>
      </x:c>
      <x:c r="E152" t="s">
        <x:v>42</x:v>
      </x:c>
      <x:c r="F152">
        <x:v>1</x:v>
      </x:c>
      <x:c r="G152">
        <x:v>62</x:v>
      </x:c>
      <x:c r="H152" t="s">
        <x:v>357</x:v>
      </x:c>
      <x:c r="I152">
        <x:v>6</x:v>
      </x:c>
      <x:c r="J152">
        <x:v>1</x:v>
      </x:c>
      <x:c r="K152">
        <x:v>3</x:v>
      </x:c>
      <x:c r="L152">
        <x:v>6</x:v>
      </x:c>
      <x:c r="M152">
        <x:v>6</x:v>
      </x:c>
      <x:c r="N152">
        <x:v>1</x:v>
      </x:c>
      <x:c r="O152"/>
      <x:c r="P152"/>
      <x:c r="Q152"/>
      <x:c r="R152"/>
      <x:c r="S152" t="s">
        <x:v>358</x:v>
      </x:c>
      <x:c r="T152" t="s">
        <x:v>41</x:v>
      </x:c>
      <x:c r="U152" t="s">
        <x:v>42</x:v>
      </x:c>
      <x:c r="V152">
        <x:v>2</x:v>
      </x:c>
      <x:c r="W152" s="5" t="n">
        <x:f>COUNTIF($C$2:$C$272,C152)</x:f>
        <x:v>4</x:v>
      </x:c>
      <x:c r="X152" t="str">
        <x:f>IF(W152&gt;=5,"Yes","No")</x:f>
        <x:v>No</x:v>
      </x:c>
      <x:c r="Y152" t="str">
        <x:f>INT(A152/10)*10&amp;"s"</x:f>
        <x:v>1950s</x:v>
      </x:c>
    </x:row>
    <x:row r="153">
      <x:c r="A153">
        <x:v>1950</x:v>
      </x:c>
      <x:c r="B153" t="s">
        <x:v>28</x:v>
      </x:c>
      <x:c r="C153" t="s">
        <x:v>359</x:v>
      </x:c>
      <x:c r="D153" t="s">
        <x:v>41</x:v>
      </x:c>
      <x:c r="E153" t="s">
        <x:v>42</x:v>
      </x:c>
      <x:c r="F153">
        <x:v>5</x:v>
      </x:c>
      <x:c r="G153">
        <x:v>120</x:v>
      </x:c>
      <x:c r="H153" t="s">
        <x:v>360</x:v>
      </x:c>
      <x:c r="I153">
        <x:v>6</x:v>
      </x:c>
      <x:c r="J153">
        <x:v>1</x:v>
      </x:c>
      <x:c r="K153">
        <x:v>8</x:v>
      </x:c>
      <x:c r="L153">
        <x:v>10</x:v>
      </x:c>
      <x:c r="M153">
        <x:v>6</x:v>
      </x:c>
      <x:c r="N153">
        <x:v>2</x:v>
      </x:c>
      <x:c r="O153">
        <x:v>6</x:v>
      </x:c>
      <x:c r="P153">
        <x:v>3</x:v>
      </x:c>
      <x:c r="Q153"/>
      <x:c r="R153"/>
      <x:c r="S153" t="s">
        <x:v>351</x:v>
      </x:c>
      <x:c r="T153" t="s">
        <x:v>73</x:v>
      </x:c>
      <x:c r="U153" t="s">
        <x:v>71</x:v>
      </x:c>
      <x:c r="V153">
        <x:v>1</x:v>
      </x:c>
      <x:c r="W153" s="5" t="n">
        <x:f>COUNTIF($C$2:$C$272,C153)</x:f>
        <x:v>1</x:v>
      </x:c>
      <x:c r="X153" t="str">
        <x:f>IF(W153&gt;=5,"Yes","No")</x:f>
        <x:v>No</x:v>
      </x:c>
      <x:c r="Y153" t="str">
        <x:f>INT(A153/10)*10&amp;"s"</x:f>
        <x:v>1950s</x:v>
      </x:c>
    </x:row>
    <x:row r="154">
      <x:c r="A154">
        <x:v>1949</x:v>
      </x:c>
      <x:c r="B154" t="s">
        <x:v>22</x:v>
      </x:c>
      <x:c r="C154" t="s">
        <x:v>335</x:v>
      </x:c>
      <x:c r="D154" t="s">
        <x:v>41</x:v>
      </x:c>
      <x:c r="E154" t="s">
        <x:v>42</x:v>
      </x:c>
      <x:c r="F154">
        <x:v>1</x:v>
      </x:c>
      <x:c r="G154">
        <x:v>120</x:v>
      </x:c>
      <x:c r="H154" t="s">
        <x:v>361</x:v>
      </x:c>
      <x:c r="I154">
        <x:v>10</x:v>
      </x:c>
      <x:c r="J154">
        <x:v>8</x:v>
      </x:c>
      <x:c r="K154">
        <x:v>1</x:v>
      </x:c>
      <x:c r="L154">
        <x:v>6</x:v>
      </x:c>
      <x:c r="M154">
        <x:v>10</x:v>
      </x:c>
      <x:c r="N154">
        <x:v>8</x:v>
      </x:c>
      <x:c r="O154"/>
      <x:c r="P154"/>
      <x:c r="Q154"/>
      <x:c r="R154"/>
      <x:c r="S154" t="s">
        <x:v>358</x:v>
      </x:c>
      <x:c r="T154" t="s">
        <x:v>41</x:v>
      </x:c>
      <x:c r="U154" t="s">
        <x:v>42</x:v>
      </x:c>
      <x:c r="V154">
        <x:v>2</x:v>
      </x:c>
      <x:c r="W154" s="5" t="n">
        <x:f>COUNTIF($C$2:$C$272,C154)</x:f>
        <x:v>4</x:v>
      </x:c>
      <x:c r="X154" t="str">
        <x:f>IF(W154&gt;=5,"Yes","No")</x:f>
        <x:v>No</x:v>
      </x:c>
      <x:c r="Y154" t="str">
        <x:f>INT(A154/10)*10&amp;"s"</x:f>
        <x:v>1940s</x:v>
      </x:c>
    </x:row>
    <x:row r="155">
      <x:c r="A155">
        <x:v>1949</x:v>
      </x:c>
      <x:c r="B155" t="s">
        <x:v>28</x:v>
      </x:c>
      <x:c r="C155" t="s">
        <x:v>362</x:v>
      </x:c>
      <x:c r="D155" t="s">
        <x:v>41</x:v>
      </x:c>
      <x:c r="E155" t="s">
        <x:v>42</x:v>
      </x:c>
      <x:c r="F155">
        <x:v>1</x:v>
      </x:c>
      <x:c r="G155">
        <x:v>100</x:v>
      </x:c>
      <x:c r="H155" t="s">
        <x:v>363</x:v>
      </x:c>
      <x:c r="I155">
        <x:v>3</x:v>
      </x:c>
      <x:c r="J155">
        <x:v>6</x:v>
      </x:c>
      <x:c r="K155">
        <x:v>6</x:v>
      </x:c>
      <x:c r="L155">
        <x:v>0</x:v>
      </x:c>
      <x:c r="M155">
        <x:v>6</x:v>
      </x:c>
      <x:c r="N155">
        <x:v>3</x:v>
      </x:c>
      <x:c r="O155">
        <x:v>4</x:v>
      </x:c>
      <x:c r="P155">
        <x:v>6</x:v>
      </x:c>
      <x:c r="Q155">
        <x:v>6</x:v>
      </x:c>
      <x:c r="R155">
        <x:v>4</x:v>
      </x:c>
      <x:c r="S155" t="s">
        <x:v>345</x:v>
      </x:c>
      <x:c r="T155" t="s">
        <x:v>24</x:v>
      </x:c>
      <x:c r="U155" t="s">
        <x:v>25</x:v>
      </x:c>
      <x:c r="V155">
        <x:v>6</x:v>
      </x:c>
      <x:c r="W155" s="5" t="n">
        <x:f>COUNTIF($C$2:$C$272,C155)</x:f>
        <x:v>1</x:v>
      </x:c>
      <x:c r="X155" t="str">
        <x:f>IF(W155&gt;=5,"Yes","No")</x:f>
        <x:v>No</x:v>
      </x:c>
      <x:c r="Y155" t="str">
        <x:f>INT(A155/10)*10&amp;"s"</x:f>
        <x:v>1940s</x:v>
      </x:c>
    </x:row>
    <x:row r="156">
      <x:c r="A156">
        <x:v>1948</x:v>
      </x:c>
      <x:c r="B156" t="s">
        <x:v>22</x:v>
      </x:c>
      <x:c r="C156" t="s">
        <x:v>335</x:v>
      </x:c>
      <x:c r="D156" t="s">
        <x:v>41</x:v>
      </x:c>
      <x:c r="E156" t="s">
        <x:v>42</x:v>
      </x:c>
      <x:c r="F156">
        <x:v>2</x:v>
      </x:c>
      <x:c r="G156">
        <x:v>76</x:v>
      </x:c>
      <x:c r="H156" t="s">
        <x:v>364</x:v>
      </x:c>
      <x:c r="I156">
        <x:v>6</x:v>
      </x:c>
      <x:c r="J156">
        <x:v>3</x:v>
      </x:c>
      <x:c r="K156">
        <x:v>8</x:v>
      </x:c>
      <x:c r="L156">
        <x:v>6</x:v>
      </x:c>
      <x:c r="M156"/>
      <x:c r="N156"/>
      <x:c r="O156"/>
      <x:c r="P156"/>
      <x:c r="Q156"/>
      <x:c r="R156"/>
      <x:c r="S156" t="s">
        <x:v>348</x:v>
      </x:c>
      <x:c r="T156" t="s">
        <x:v>41</x:v>
      </x:c>
      <x:c r="U156" t="s">
        <x:v>42</x:v>
      </x:c>
      <x:c r="V156">
        <x:v>4</x:v>
      </x:c>
      <x:c r="W156" s="5" t="n">
        <x:f>COUNTIF($C$2:$C$272,C156)</x:f>
        <x:v>4</x:v>
      </x:c>
      <x:c r="X156" t="str">
        <x:f>IF(W156&gt;=5,"Yes","No")</x:f>
        <x:v>No</x:v>
      </x:c>
      <x:c r="Y156" t="str">
        <x:f>INT(A156/10)*10&amp;"s"</x:f>
        <x:v>1940s</x:v>
      </x:c>
    </x:row>
    <x:row r="157">
      <x:c r="A157">
        <x:v>1948</x:v>
      </x:c>
      <x:c r="B157" t="s">
        <x:v>28</x:v>
      </x:c>
      <x:c r="C157" t="s">
        <x:v>365</x:v>
      </x:c>
      <x:c r="D157" t="s">
        <x:v>41</x:v>
      </x:c>
      <x:c r="E157" t="s">
        <x:v>42</x:v>
      </x:c>
      <x:c r="F157">
        <x:v>7</x:v>
      </x:c>
      <x:c r="G157">
        <x:v>125</x:v>
      </x:c>
      <x:c r="H157" t="s">
        <x:v>366</x:v>
      </x:c>
      <x:c r="I157">
        <x:v>7</x:v>
      </x:c>
      <x:c r="J157">
        <x:v>5</x:v>
      </x:c>
      <x:c r="K157">
        <x:v>0</x:v>
      </x:c>
      <x:c r="L157">
        <x:v>6</x:v>
      </x:c>
      <x:c r="M157">
        <x:v>6</x:v>
      </x:c>
      <x:c r="N157">
        <x:v>2</x:v>
      </x:c>
      <x:c r="O157">
        <x:v>3</x:v>
      </x:c>
      <x:c r="P157">
        <x:v>6</x:v>
      </x:c>
      <x:c r="Q157">
        <x:v>7</x:v>
      </x:c>
      <x:c r="R157">
        <x:v>5</x:v>
      </x:c>
      <x:c r="S157" t="s">
        <x:v>367</x:v>
      </x:c>
      <x:c r="T157" t="s">
        <x:v>73</x:v>
      </x:c>
      <x:c r="U157" t="s">
        <x:v>71</x:v>
      </x:c>
      <x:c r="V157">
        <x:v>2</x:v>
      </x:c>
      <x:c r="W157" s="5" t="n">
        <x:f>COUNTIF($C$2:$C$272,C157)</x:f>
        <x:v>1</x:v>
      </x:c>
      <x:c r="X157" t="str">
        <x:f>IF(W157&gt;=5,"Yes","No")</x:f>
        <x:v>No</x:v>
      </x:c>
      <x:c r="Y157" t="str">
        <x:f>INT(A157/10)*10&amp;"s"</x:f>
        <x:v>1940s</x:v>
      </x:c>
    </x:row>
    <x:row r="158">
      <x:c r="A158">
        <x:v>1947</x:v>
      </x:c>
      <x:c r="B158" t="s">
        <x:v>22</x:v>
      </x:c>
      <x:c r="C158" t="s">
        <x:v>368</x:v>
      </x:c>
      <x:c r="D158" t="s">
        <x:v>41</x:v>
      </x:c>
      <x:c r="E158" t="s">
        <x:v>42</x:v>
      </x:c>
      <x:c r="F158">
        <x:v>1</x:v>
      </x:c>
      <x:c r="G158"/>
      <x:c r="H158" t="s">
        <x:v>369</x:v>
      </x:c>
      <x:c r="I158">
        <x:v>6</x:v>
      </x:c>
      <x:c r="J158">
        <x:v>2</x:v>
      </x:c>
      <x:c r="K158">
        <x:v>6</x:v>
      </x:c>
      <x:c r="L158">
        <x:v>4</x:v>
      </x:c>
      <x:c r="M158"/>
      <x:c r="N158"/>
      <x:c r="O158"/>
      <x:c r="P158"/>
      <x:c r="Q158"/>
      <x:c r="R158"/>
      <x:c r="S158" t="s">
        <x:v>348</x:v>
      </x:c>
      <x:c r="T158" t="s">
        <x:v>41</x:v>
      </x:c>
      <x:c r="U158" t="s">
        <x:v>42</x:v>
      </x:c>
      <x:c r="V158">
        <x:v>3</x:v>
      </x:c>
      <x:c r="W158" s="5" t="n">
        <x:f>COUNTIF($C$2:$C$272,C158)</x:f>
        <x:v>1</x:v>
      </x:c>
      <x:c r="X158" t="str">
        <x:f>IF(W158&gt;=5,"Yes","No")</x:f>
        <x:v>No</x:v>
      </x:c>
      <x:c r="Y158" t="str">
        <x:f>INT(A158/10)*10&amp;"s"</x:f>
        <x:v>1940s</x:v>
      </x:c>
    </x:row>
    <x:row r="159">
      <x:c r="A159">
        <x:v>1947</x:v>
      </x:c>
      <x:c r="B159" t="s">
        <x:v>28</x:v>
      </x:c>
      <x:c r="C159" t="s">
        <x:v>370</x:v>
      </x:c>
      <x:c r="D159" t="s">
        <x:v>41</x:v>
      </x:c>
      <x:c r="E159" t="s">
        <x:v>42</x:v>
      </x:c>
      <x:c r="F159">
        <x:v>1</x:v>
      </x:c>
      <x:c r="G159">
        <x:v>45</x:v>
      </x:c>
      <x:c r="H159" t="s">
        <x:v>156</x:v>
      </x:c>
      <x:c r="I159">
        <x:v>6</x:v>
      </x:c>
      <x:c r="J159">
        <x:v>1</x:v>
      </x:c>
      <x:c r="K159">
        <x:v>6</x:v>
      </x:c>
      <x:c r="L159">
        <x:v>3</x:v>
      </x:c>
      <x:c r="M159">
        <x:v>6</x:v>
      </x:c>
      <x:c r="N159">
        <x:v>2</x:v>
      </x:c>
      <x:c r="O159"/>
      <x:c r="P159"/>
      <x:c r="Q159"/>
      <x:c r="R159"/>
      <x:c r="S159" t="s">
        <x:v>371</x:v>
      </x:c>
      <x:c r="T159" t="s">
        <x:v>41</x:v>
      </x:c>
      <x:c r="U159" t="s">
        <x:v>42</x:v>
      </x:c>
      <x:c r="V159">
        <x:v>3</x:v>
      </x:c>
      <x:c r="W159" s="5" t="n">
        <x:f>COUNTIF($C$2:$C$272,C159)</x:f>
        <x:v>1</x:v>
      </x:c>
      <x:c r="X159" t="str">
        <x:f>IF(W159&gt;=5,"Yes","No")</x:f>
        <x:v>No</x:v>
      </x:c>
      <x:c r="Y159" t="str">
        <x:f>INT(A159/10)*10&amp;"s"</x:f>
        <x:v>1940s</x:v>
      </x:c>
    </x:row>
    <x:row r="160">
      <x:c r="A160">
        <x:v>1946</x:v>
      </x:c>
      <x:c r="B160" t="s">
        <x:v>22</x:v>
      </x:c>
      <x:c r="C160" t="s">
        <x:v>372</x:v>
      </x:c>
      <x:c r="D160" t="s">
        <x:v>41</x:v>
      </x:c>
      <x:c r="E160" t="s">
        <x:v>42</x:v>
      </x:c>
      <x:c r="F160">
        <x:v>1</x:v>
      </x:c>
      <x:c r="G160"/>
      <x:c r="H160" t="s">
        <x:v>369</x:v>
      </x:c>
      <x:c r="I160">
        <x:v>6</x:v>
      </x:c>
      <x:c r="J160">
        <x:v>2</x:v>
      </x:c>
      <x:c r="K160">
        <x:v>6</x:v>
      </x:c>
      <x:c r="L160">
        <x:v>4</x:v>
      </x:c>
      <x:c r="M160"/>
      <x:c r="N160"/>
      <x:c r="O160"/>
      <x:c r="P160"/>
      <x:c r="Q160"/>
      <x:c r="R160"/>
      <x:c r="S160" t="s">
        <x:v>335</x:v>
      </x:c>
      <x:c r="T160" t="s">
        <x:v>41</x:v>
      </x:c>
      <x:c r="U160" t="s">
        <x:v>42</x:v>
      </x:c>
      <x:c r="V160">
        <x:v>3</x:v>
      </x:c>
      <x:c r="W160" s="5" t="n">
        <x:f>COUNTIF($C$2:$C$272,C160)</x:f>
        <x:v>1</x:v>
      </x:c>
      <x:c r="X160" t="str">
        <x:f>IF(W160&gt;=5,"Yes","No")</x:f>
        <x:v>No</x:v>
      </x:c>
      <x:c r="Y160" t="str">
        <x:f>INT(A160/10)*10&amp;"s"</x:f>
        <x:v>1940s</x:v>
      </x:c>
    </x:row>
    <x:row r="161">
      <x:c r="A161">
        <x:v>1946</x:v>
      </x:c>
      <x:c r="B161" t="s">
        <x:v>28</x:v>
      </x:c>
      <x:c r="C161" t="s">
        <x:v>373</x:v>
      </x:c>
      <x:c r="D161" t="s">
        <x:v>114</x:v>
      </x:c>
      <x:c r="E161" t="s">
        <x:v>115</x:v>
      </x:c>
      <x:c r="F161">
        <x:v>5</x:v>
      </x:c>
      <x:c r="G161"/>
      <x:c r="H161" t="s">
        <x:v>374</x:v>
      </x:c>
      <x:c r="I161">
        <x:v>6</x:v>
      </x:c>
      <x:c r="J161">
        <x:v>2</x:v>
      </x:c>
      <x:c r="K161">
        <x:v>6</x:v>
      </x:c>
      <x:c r="L161">
        <x:v>4</x:v>
      </x:c>
      <x:c r="M161">
        <x:v>7</x:v>
      </x:c>
      <x:c r="N161">
        <x:v>9</x:v>
      </x:c>
      <x:c r="O161">
        <x:v>5</x:v>
      </x:c>
      <x:c r="P161">
        <x:v>7</x:v>
      </x:c>
      <x:c r="Q161">
        <x:v>6</x:v>
      </x:c>
      <x:c r="R161">
        <x:v>4</x:v>
      </x:c>
      <x:c r="S161" t="s">
        <x:v>375</x:v>
      </x:c>
      <x:c r="T161" t="s">
        <x:v>73</x:v>
      </x:c>
      <x:c r="U161" t="s">
        <x:v>71</x:v>
      </x:c>
      <x:c r="V161">
        <x:v>3</x:v>
      </x:c>
      <x:c r="W161" s="5" t="n">
        <x:f>COUNTIF($C$2:$C$272,C161)</x:f>
        <x:v>1</x:v>
      </x:c>
      <x:c r="X161" t="str">
        <x:f>IF(W161&gt;=5,"Yes","No")</x:f>
        <x:v>No</x:v>
      </x:c>
      <x:c r="Y161" t="str">
        <x:f>INT(A161/10)*10&amp;"s"</x:f>
        <x:v>1940s</x:v>
      </x:c>
    </x:row>
    <x:row r="162">
      <x:c r="A162">
        <x:v>1939</x:v>
      </x:c>
      <x:c r="B162" t="s">
        <x:v>22</x:v>
      </x:c>
      <x:c r="C162" t="s">
        <x:v>376</x:v>
      </x:c>
      <x:c r="D162" t="s">
        <x:v>41</x:v>
      </x:c>
      <x:c r="E162" t="s">
        <x:v>42</x:v>
      </x:c>
      <x:c r="F162">
        <x:v>1</x:v>
      </x:c>
      <x:c r="G162">
        <x:v>30</x:v>
      </x:c>
      <x:c r="H162" t="s">
        <x:v>377</x:v>
      </x:c>
      <x:c r="I162">
        <x:v>6</x:v>
      </x:c>
      <x:c r="J162">
        <x:v>2</x:v>
      </x:c>
      <x:c r="K162">
        <x:v>6</x:v>
      </x:c>
      <x:c r="L162">
        <x:v>0</x:v>
      </x:c>
      <x:c r="M162"/>
      <x:c r="N162"/>
      <x:c r="O162"/>
      <x:c r="P162"/>
      <x:c r="Q162"/>
      <x:c r="R162"/>
      <x:c r="S162" t="s">
        <x:v>378</x:v>
      </x:c>
      <x:c r="T162" t="s">
        <x:v>102</x:v>
      </x:c>
      <x:c r="U162" t="s">
        <x:v>103</x:v>
      </x:c>
      <x:c r="V162">
        <x:v>6</x:v>
      </x:c>
      <x:c r="W162" s="5" t="n">
        <x:f>COUNTIF($C$2:$C$272,C162)</x:f>
        <x:v>1</x:v>
      </x:c>
      <x:c r="X162" t="str">
        <x:f>IF(W162&gt;=5,"Yes","No")</x:f>
        <x:v>No</x:v>
      </x:c>
      <x:c r="Y162" t="str">
        <x:f>INT(A162/10)*10&amp;"s"</x:f>
        <x:v>1930s</x:v>
      </x:c>
    </x:row>
    <x:row r="163">
      <x:c r="A163">
        <x:v>1939</x:v>
      </x:c>
      <x:c r="B163" t="s">
        <x:v>28</x:v>
      </x:c>
      <x:c r="C163" t="s">
        <x:v>379</x:v>
      </x:c>
      <x:c r="D163" t="s">
        <x:v>41</x:v>
      </x:c>
      <x:c r="E163" t="s">
        <x:v>42</x:v>
      </x:c>
      <x:c r="F163">
        <x:v>2</x:v>
      </x:c>
      <x:c r="G163">
        <x:v>135</x:v>
      </x:c>
      <x:c r="H163" t="s">
        <x:v>380</x:v>
      </x:c>
      <x:c r="I163">
        <x:v>2</x:v>
      </x:c>
      <x:c r="J163">
        <x:v>6</x:v>
      </x:c>
      <x:c r="K163">
        <x:v>8</x:v>
      </x:c>
      <x:c r="L163">
        <x:v>6</x:v>
      </x:c>
      <x:c r="M163">
        <x:v>3</x:v>
      </x:c>
      <x:c r="N163">
        <x:v>6</x:v>
      </x:c>
      <x:c r="O163">
        <x:v>6</x:v>
      </x:c>
      <x:c r="P163">
        <x:v>3</x:v>
      </x:c>
      <x:c r="Q163">
        <x:v>6</x:v>
      </x:c>
      <x:c r="R163">
        <x:v>2</x:v>
      </x:c>
      <x:c r="S163" t="s">
        <x:v>381</x:v>
      </x:c>
      <x:c r="T163" t="s">
        <x:v>41</x:v>
      </x:c>
      <x:c r="U163" t="s">
        <x:v>42</x:v>
      </x:c>
      <x:c r="V163">
        <x:v>6</x:v>
      </x:c>
      <x:c r="W163" s="5" t="n">
        <x:f>COUNTIF($C$2:$C$272,C163)</x:f>
        <x:v>1</x:v>
      </x:c>
      <x:c r="X163" t="str">
        <x:f>IF(W163&gt;=5,"Yes","No")</x:f>
        <x:v>No</x:v>
      </x:c>
      <x:c r="Y163" t="str">
        <x:f>INT(A163/10)*10&amp;"s"</x:f>
        <x:v>1930s</x:v>
      </x:c>
    </x:row>
    <x:row r="164">
      <x:c r="A164">
        <x:v>1938</x:v>
      </x:c>
      <x:c r="B164" t="s">
        <x:v>22</x:v>
      </x:c>
      <x:c r="C164" t="s">
        <x:v>382</x:v>
      </x:c>
      <x:c r="D164" t="s">
        <x:v>41</x:v>
      </x:c>
      <x:c r="E164" t="s">
        <x:v>42</x:v>
      </x:c>
      <x:c r="F164">
        <x:v>1</x:v>
      </x:c>
      <x:c r="G164"/>
      <x:c r="H164" t="s">
        <x:v>383</x:v>
      </x:c>
      <x:c r="I164">
        <x:v>6</x:v>
      </x:c>
      <x:c r="J164">
        <x:v>4</x:v>
      </x:c>
      <x:c r="K164">
        <x:v>6</x:v>
      </x:c>
      <x:c r="L164">
        <x:v>0</x:v>
      </x:c>
      <x:c r="M164"/>
      <x:c r="N164"/>
      <x:c r="O164"/>
      <x:c r="P164"/>
      <x:c r="Q164"/>
      <x:c r="R164"/>
      <x:c r="S164" t="s">
        <x:v>384</x:v>
      </x:c>
      <x:c r="T164" t="s">
        <x:v>41</x:v>
      </x:c>
      <x:c r="U164" t="s">
        <x:v>42</x:v>
      </x:c>
      <x:c r="V164" t="s">
        <x:v>55</x:v>
      </x:c>
      <x:c r="W164" s="5" t="n">
        <x:f>COUNTIF($C$2:$C$272,C164)</x:f>
        <x:v>8</x:v>
      </x:c>
      <x:c r="X164" t="str">
        <x:f>IF(W164&gt;=5,"Yes","No")</x:f>
        <x:v>Yes</x:v>
      </x:c>
      <x:c r="Y164" t="str">
        <x:f>INT(A164/10)*10&amp;"s"</x:f>
        <x:v>1930s</x:v>
      </x:c>
    </x:row>
    <x:row r="165">
      <x:c r="A165">
        <x:v>1938</x:v>
      </x:c>
      <x:c r="B165" t="s">
        <x:v>28</x:v>
      </x:c>
      <x:c r="C165" t="s">
        <x:v>385</x:v>
      </x:c>
      <x:c r="D165" t="s">
        <x:v>41</x:v>
      </x:c>
      <x:c r="E165" t="s">
        <x:v>42</x:v>
      </x:c>
      <x:c r="F165">
        <x:v>1</x:v>
      </x:c>
      <x:c r="G165">
        <x:v>59</x:v>
      </x:c>
      <x:c r="H165" t="s">
        <x:v>386</x:v>
      </x:c>
      <x:c r="I165">
        <x:v>6</x:v>
      </x:c>
      <x:c r="J165">
        <x:v>1</x:v>
      </x:c>
      <x:c r="K165">
        <x:v>6</x:v>
      </x:c>
      <x:c r="L165">
        <x:v>0</x:v>
      </x:c>
      <x:c r="M165">
        <x:v>6</x:v>
      </x:c>
      <x:c r="N165">
        <x:v>3</x:v>
      </x:c>
      <x:c r="O165"/>
      <x:c r="P165"/>
      <x:c r="Q165"/>
      <x:c r="R165"/>
      <x:c r="S165" t="s">
        <x:v>387</x:v>
      </x:c>
      <x:c r="T165" t="s">
        <x:v>102</x:v>
      </x:c>
      <x:c r="U165" t="s">
        <x:v>103</x:v>
      </x:c>
      <x:c r="V165">
        <x:v>2</x:v>
      </x:c>
      <x:c r="W165" s="5" t="n">
        <x:f>COUNTIF($C$2:$C$272,C165)</x:f>
        <x:v>2</x:v>
      </x:c>
      <x:c r="X165" t="str">
        <x:f>IF(W165&gt;=5,"Yes","No")</x:f>
        <x:v>No</x:v>
      </x:c>
      <x:c r="Y165" t="str">
        <x:f>INT(A165/10)*10&amp;"s"</x:f>
        <x:v>1930s</x:v>
      </x:c>
    </x:row>
    <x:row r="166">
      <x:c r="A166">
        <x:v>1937</x:v>
      </x:c>
      <x:c r="B166" t="s">
        <x:v>22</x:v>
      </x:c>
      <x:c r="C166" t="s">
        <x:v>388</x:v>
      </x:c>
      <x:c r="D166" t="s">
        <x:v>102</x:v>
      </x:c>
      <x:c r="E166" t="s">
        <x:v>103</x:v>
      </x:c>
      <x:c r="F166">
        <x:v>7</x:v>
      </x:c>
      <x:c r="G166">
        <x:v>60</x:v>
      </x:c>
      <x:c r="H166" t="s">
        <x:v>389</x:v>
      </x:c>
      <x:c r="I166">
        <x:v>6</x:v>
      </x:c>
      <x:c r="J166">
        <x:v>2</x:v>
      </x:c>
      <x:c r="K166">
        <x:v>2</x:v>
      </x:c>
      <x:c r="L166">
        <x:v>6</x:v>
      </x:c>
      <x:c r="M166">
        <x:v>7</x:v>
      </x:c>
      <x:c r="N166">
        <x:v>5</x:v>
      </x:c>
      <x:c r="O166"/>
      <x:c r="P166"/>
      <x:c r="Q166"/>
      <x:c r="R166"/>
      <x:c r="S166" t="s">
        <x:v>390</x:v>
      </x:c>
      <x:c r="T166" t="s">
        <x:v>37</x:v>
      </x:c>
      <x:c r="U166" t="s">
        <x:v>38</x:v>
      </x:c>
      <x:c r="V166">
        <x:v>4</x:v>
      </x:c>
      <x:c r="W166" s="5" t="n">
        <x:f>COUNTIF($C$2:$C$272,C166)</x:f>
        <x:v>2</x:v>
      </x:c>
      <x:c r="X166" t="str">
        <x:f>IF(W166&gt;=5,"Yes","No")</x:f>
        <x:v>No</x:v>
      </x:c>
      <x:c r="Y166" t="str">
        <x:f>INT(A166/10)*10&amp;"s"</x:f>
        <x:v>1930s</x:v>
      </x:c>
    </x:row>
    <x:row r="167">
      <x:c r="A167">
        <x:v>1937</x:v>
      </x:c>
      <x:c r="B167" t="s">
        <x:v>28</x:v>
      </x:c>
      <x:c r="C167" t="s">
        <x:v>385</x:v>
      </x:c>
      <x:c r="D167" t="s">
        <x:v>41</x:v>
      </x:c>
      <x:c r="E167" t="s">
        <x:v>42</x:v>
      </x:c>
      <x:c r="F167">
        <x:v>1</x:v>
      </x:c>
      <x:c r="G167">
        <x:v>65</x:v>
      </x:c>
      <x:c r="H167" t="s">
        <x:v>287</x:v>
      </x:c>
      <x:c r="I167">
        <x:v>6</x:v>
      </x:c>
      <x:c r="J167">
        <x:v>3</x:v>
      </x:c>
      <x:c r="K167">
        <x:v>6</x:v>
      </x:c>
      <x:c r="L167">
        <x:v>4</x:v>
      </x:c>
      <x:c r="M167">
        <x:v>6</x:v>
      </x:c>
      <x:c r="N167">
        <x:v>2</x:v>
      </x:c>
      <x:c r="O167"/>
      <x:c r="P167"/>
      <x:c r="Q167"/>
      <x:c r="R167"/>
      <x:c r="S167" t="s">
        <x:v>391</x:v>
      </x:c>
      <x:c r="T167" t="s">
        <x:v>34</x:v>
      </x:c>
      <x:c r="U167" t="s">
        <x:v>35</x:v>
      </x:c>
      <x:c r="V167">
        <x:v>2</x:v>
      </x:c>
      <x:c r="W167" s="5" t="n">
        <x:f>COUNTIF($C$2:$C$272,C167)</x:f>
        <x:v>2</x:v>
      </x:c>
      <x:c r="X167" t="str">
        <x:f>IF(W167&gt;=5,"Yes","No")</x:f>
        <x:v>No</x:v>
      </x:c>
      <x:c r="Y167" t="str">
        <x:f>INT(A167/10)*10&amp;"s"</x:f>
        <x:v>1930s</x:v>
      </x:c>
    </x:row>
    <x:row r="168">
      <x:c r="A168">
        <x:v>1936</x:v>
      </x:c>
      <x:c r="B168" t="s">
        <x:v>22</x:v>
      </x:c>
      <x:c r="C168" t="s">
        <x:v>384</x:v>
      </x:c>
      <x:c r="D168" t="s">
        <x:v>41</x:v>
      </x:c>
      <x:c r="E168" t="s">
        <x:v>42</x:v>
      </x:c>
      <x:c r="F168">
        <x:v>2</x:v>
      </x:c>
      <x:c r="G168">
        <x:v>101</x:v>
      </x:c>
      <x:c r="H168" t="s">
        <x:v>392</x:v>
      </x:c>
      <x:c r="I168">
        <x:v>6</x:v>
      </x:c>
      <x:c r="J168">
        <x:v>2</x:v>
      </x:c>
      <x:c r="K168">
        <x:v>4</x:v>
      </x:c>
      <x:c r="L168">
        <x:v>6</x:v>
      </x:c>
      <x:c r="M168">
        <x:v>7</x:v>
      </x:c>
      <x:c r="N168">
        <x:v>5</x:v>
      </x:c>
      <x:c r="O168"/>
      <x:c r="P168"/>
      <x:c r="Q168"/>
      <x:c r="R168"/>
      <x:c r="S168" t="s">
        <x:v>393</x:v>
      </x:c>
      <x:c r="T168" t="s">
        <x:v>34</x:v>
      </x:c>
      <x:c r="U168" t="s">
        <x:v>35</x:v>
      </x:c>
      <x:c r="V168">
        <x:v>5</x:v>
      </x:c>
      <x:c r="W168" s="5" t="n">
        <x:f>COUNTIF($C$2:$C$272,C168)</x:f>
        <x:v>1</x:v>
      </x:c>
      <x:c r="X168" t="str">
        <x:f>IF(W168&gt;=5,"Yes","No")</x:f>
        <x:v>No</x:v>
      </x:c>
      <x:c r="Y168" t="str">
        <x:f>INT(A168/10)*10&amp;"s"</x:f>
        <x:v>1930s</x:v>
      </x:c>
    </x:row>
    <x:row r="169">
      <x:c r="A169">
        <x:v>1936</x:v>
      </x:c>
      <x:c r="B169" t="s">
        <x:v>28</x:v>
      </x:c>
      <x:c r="C169" t="s">
        <x:v>394</x:v>
      </x:c>
      <x:c r="D169" t="s">
        <x:v>102</x:v>
      </x:c>
      <x:c r="E169" t="s">
        <x:v>103</x:v>
      </x:c>
      <x:c r="F169">
        <x:v>1</x:v>
      </x:c>
      <x:c r="G169">
        <x:v>40</x:v>
      </x:c>
      <x:c r="H169" t="s">
        <x:v>395</x:v>
      </x:c>
      <x:c r="I169">
        <x:v>6</x:v>
      </x:c>
      <x:c r="J169">
        <x:v>1</x:v>
      </x:c>
      <x:c r="K169">
        <x:v>6</x:v>
      </x:c>
      <x:c r="L169">
        <x:v>1</x:v>
      </x:c>
      <x:c r="M169">
        <x:v>6</x:v>
      </x:c>
      <x:c r="N169">
        <x:v>0</x:v>
      </x:c>
      <x:c r="O169"/>
      <x:c r="P169"/>
      <x:c r="Q169"/>
      <x:c r="R169"/>
      <x:c r="S169" t="s">
        <x:v>391</x:v>
      </x:c>
      <x:c r="T169" t="s">
        <x:v>34</x:v>
      </x:c>
      <x:c r="U169" t="s">
        <x:v>35</x:v>
      </x:c>
      <x:c r="V169">
        <x:v>2</x:v>
      </x:c>
      <x:c r="W169" s="5" t="n">
        <x:f>COUNTIF($C$2:$C$272,C169)</x:f>
        <x:v>3</x:v>
      </x:c>
      <x:c r="X169" t="str">
        <x:f>IF(W169&gt;=5,"Yes","No")</x:f>
        <x:v>No</x:v>
      </x:c>
      <x:c r="Y169" t="str">
        <x:f>INT(A169/10)*10&amp;"s"</x:f>
        <x:v>1930s</x:v>
      </x:c>
    </x:row>
    <x:row r="170">
      <x:c r="A170">
        <x:v>1935</x:v>
      </x:c>
      <x:c r="B170" t="s">
        <x:v>22</x:v>
      </x:c>
      <x:c r="C170" t="s">
        <x:v>382</x:v>
      </x:c>
      <x:c r="D170" t="s">
        <x:v>41</x:v>
      </x:c>
      <x:c r="E170" t="s">
        <x:v>42</x:v>
      </x:c>
      <x:c r="F170">
        <x:v>4</x:v>
      </x:c>
      <x:c r="G170">
        <x:v>100</x:v>
      </x:c>
      <x:c r="H170" t="s">
        <x:v>396</x:v>
      </x:c>
      <x:c r="I170">
        <x:v>6</x:v>
      </x:c>
      <x:c r="J170">
        <x:v>3</x:v>
      </x:c>
      <x:c r="K170">
        <x:v>3</x:v>
      </x:c>
      <x:c r="L170">
        <x:v>6</x:v>
      </x:c>
      <x:c r="M170">
        <x:v>7</x:v>
      </x:c>
      <x:c r="N170">
        <x:v>5</x:v>
      </x:c>
      <x:c r="O170"/>
      <x:c r="P170"/>
      <x:c r="Q170"/>
      <x:c r="R170"/>
      <x:c r="S170" t="s">
        <x:v>384</x:v>
      </x:c>
      <x:c r="T170" t="s">
        <x:v>41</x:v>
      </x:c>
      <x:c r="U170" t="s">
        <x:v>42</x:v>
      </x:c>
      <x:c r="V170">
        <x:v>3</x:v>
      </x:c>
      <x:c r="W170" s="5" t="n">
        <x:f>COUNTIF($C$2:$C$272,C170)</x:f>
        <x:v>8</x:v>
      </x:c>
      <x:c r="X170" t="str">
        <x:f>IF(W170&gt;=5,"Yes","No")</x:f>
        <x:v>Yes</x:v>
      </x:c>
      <x:c r="Y170" t="str">
        <x:f>INT(A170/10)*10&amp;"s"</x:f>
        <x:v>1930s</x:v>
      </x:c>
    </x:row>
    <x:row r="171">
      <x:c r="A171">
        <x:v>1935</x:v>
      </x:c>
      <x:c r="B171" t="s">
        <x:v>28</x:v>
      </x:c>
      <x:c r="C171" t="s">
        <x:v>394</x:v>
      </x:c>
      <x:c r="D171" t="s">
        <x:v>102</x:v>
      </x:c>
      <x:c r="E171" t="s">
        <x:v>103</x:v>
      </x:c>
      <x:c r="F171">
        <x:v>1</x:v>
      </x:c>
      <x:c r="G171">
        <x:v>80</x:v>
      </x:c>
      <x:c r="H171" t="s">
        <x:v>301</x:v>
      </x:c>
      <x:c r="I171">
        <x:v>6</x:v>
      </x:c>
      <x:c r="J171">
        <x:v>2</x:v>
      </x:c>
      <x:c r="K171">
        <x:v>6</x:v>
      </x:c>
      <x:c r="L171">
        <x:v>4</x:v>
      </x:c>
      <x:c r="M171">
        <x:v>6</x:v>
      </x:c>
      <x:c r="N171">
        <x:v>4</x:v>
      </x:c>
      <x:c r="O171"/>
      <x:c r="P171"/>
      <x:c r="Q171"/>
      <x:c r="R171"/>
      <x:c r="S171" t="s">
        <x:v>391</x:v>
      </x:c>
      <x:c r="T171" t="s">
        <x:v>34</x:v>
      </x:c>
      <x:c r="U171" t="s">
        <x:v>35</x:v>
      </x:c>
      <x:c r="V171">
        <x:v>2</x:v>
      </x:c>
      <x:c r="W171" s="5" t="n">
        <x:f>COUNTIF($C$2:$C$272,C171)</x:f>
        <x:v>3</x:v>
      </x:c>
      <x:c r="X171" t="str">
        <x:f>IF(W171&gt;=5,"Yes","No")</x:f>
        <x:v>No</x:v>
      </x:c>
      <x:c r="Y171" t="str">
        <x:f>INT(A171/10)*10&amp;"s"</x:f>
        <x:v>1930s</x:v>
      </x:c>
    </x:row>
    <x:row r="172">
      <x:c r="A172">
        <x:v>1934</x:v>
      </x:c>
      <x:c r="B172" t="s">
        <x:v>22</x:v>
      </x:c>
      <x:c r="C172" t="s">
        <x:v>388</x:v>
      </x:c>
      <x:c r="D172" t="s">
        <x:v>102</x:v>
      </x:c>
      <x:c r="E172" t="s">
        <x:v>103</x:v>
      </x:c>
      <x:c r="F172">
        <x:v>2</x:v>
      </x:c>
      <x:c r="G172"/>
      <x:c r="H172" t="s">
        <x:v>397</x:v>
      </x:c>
      <x:c r="I172">
        <x:v>6</x:v>
      </x:c>
      <x:c r="J172">
        <x:v>2</x:v>
      </x:c>
      <x:c r="K172">
        <x:v>5</x:v>
      </x:c>
      <x:c r="L172">
        <x:v>7</x:v>
      </x:c>
      <x:c r="M172">
        <x:v>6</x:v>
      </x:c>
      <x:c r="N172">
        <x:v>3</x:v>
      </x:c>
      <x:c r="O172"/>
      <x:c r="P172"/>
      <x:c r="Q172"/>
      <x:c r="R172"/>
      <x:c r="S172" t="s">
        <x:v>384</x:v>
      </x:c>
      <x:c r="T172" t="s">
        <x:v>41</x:v>
      </x:c>
      <x:c r="U172" t="s">
        <x:v>42</x:v>
      </x:c>
      <x:c r="V172">
        <x:v>1</x:v>
      </x:c>
      <x:c r="W172" s="5" t="n">
        <x:f>COUNTIF($C$2:$C$272,C172)</x:f>
        <x:v>2</x:v>
      </x:c>
      <x:c r="X172" t="str">
        <x:f>IF(W172&gt;=5,"Yes","No")</x:f>
        <x:v>No</x:v>
      </x:c>
      <x:c r="Y172" t="str">
        <x:f>INT(A172/10)*10&amp;"s"</x:f>
        <x:v>1930s</x:v>
      </x:c>
    </x:row>
    <x:row r="173">
      <x:c r="A173">
        <x:v>1934</x:v>
      </x:c>
      <x:c r="B173" t="s">
        <x:v>28</x:v>
      </x:c>
      <x:c r="C173" t="s">
        <x:v>394</x:v>
      </x:c>
      <x:c r="D173" t="s">
        <x:v>102</x:v>
      </x:c>
      <x:c r="E173" t="s">
        <x:v>103</x:v>
      </x:c>
      <x:c r="F173">
        <x:v>2</x:v>
      </x:c>
      <x:c r="G173">
        <x:v>72</x:v>
      </x:c>
      <x:c r="H173" t="s">
        <x:v>398</x:v>
      </x:c>
      <x:c r="I173">
        <x:v>6</x:v>
      </x:c>
      <x:c r="J173">
        <x:v>3</x:v>
      </x:c>
      <x:c r="K173">
        <x:v>6</x:v>
      </x:c>
      <x:c r="L173">
        <x:v>0</x:v>
      </x:c>
      <x:c r="M173">
        <x:v>7</x:v>
      </x:c>
      <x:c r="N173">
        <x:v>5</x:v>
      </x:c>
      <x:c r="O173"/>
      <x:c r="P173"/>
      <x:c r="Q173"/>
      <x:c r="R173"/>
      <x:c r="S173" t="s">
        <x:v>399</x:v>
      </x:c>
      <x:c r="T173" t="s">
        <x:v>73</x:v>
      </x:c>
      <x:c r="U173" t="s">
        <x:v>71</x:v>
      </x:c>
      <x:c r="V173">
        <x:v>1</x:v>
      </x:c>
      <x:c r="W173" s="5" t="n">
        <x:f>COUNTIF($C$2:$C$272,C173)</x:f>
        <x:v>3</x:v>
      </x:c>
      <x:c r="X173" t="str">
        <x:f>IF(W173&gt;=5,"Yes","No")</x:f>
        <x:v>No</x:v>
      </x:c>
      <x:c r="Y173" t="str">
        <x:f>INT(A173/10)*10&amp;"s"</x:f>
        <x:v>1930s</x:v>
      </x:c>
    </x:row>
    <x:row r="174">
      <x:c r="A174">
        <x:v>1933</x:v>
      </x:c>
      <x:c r="B174" t="s">
        <x:v>22</x:v>
      </x:c>
      <x:c r="C174" t="s">
        <x:v>382</x:v>
      </x:c>
      <x:c r="D174" t="s">
        <x:v>41</x:v>
      </x:c>
      <x:c r="E174" t="s">
        <x:v>42</x:v>
      </x:c>
      <x:c r="F174">
        <x:v>1</x:v>
      </x:c>
      <x:c r="G174">
        <x:v>120</x:v>
      </x:c>
      <x:c r="H174" t="s">
        <x:v>400</x:v>
      </x:c>
      <x:c r="I174">
        <x:v>6</x:v>
      </x:c>
      <x:c r="J174">
        <x:v>4</x:v>
      </x:c>
      <x:c r="K174">
        <x:v>6</x:v>
      </x:c>
      <x:c r="L174">
        <x:v>8</x:v>
      </x:c>
      <x:c r="M174">
        <x:v>6</x:v>
      </x:c>
      <x:c r="N174">
        <x:v>3</x:v>
      </x:c>
      <x:c r="O174"/>
      <x:c r="P174"/>
      <x:c r="Q174"/>
      <x:c r="R174"/>
      <x:c r="S174" t="s">
        <x:v>388</x:v>
      </x:c>
      <x:c r="T174" t="s">
        <x:v>102</x:v>
      </x:c>
      <x:c r="U174" t="s">
        <x:v>103</x:v>
      </x:c>
      <x:c r="V174">
        <x:v>2</x:v>
      </x:c>
      <x:c r="W174" s="5" t="n">
        <x:f>COUNTIF($C$2:$C$272,C174)</x:f>
        <x:v>8</x:v>
      </x:c>
      <x:c r="X174" t="str">
        <x:f>IF(W174&gt;=5,"Yes","No")</x:f>
        <x:v>Yes</x:v>
      </x:c>
      <x:c r="Y174" t="str">
        <x:f>INT(A174/10)*10&amp;"s"</x:f>
        <x:v>1930s</x:v>
      </x:c>
    </x:row>
    <x:row r="175">
      <x:c r="A175">
        <x:v>1933</x:v>
      </x:c>
      <x:c r="B175" t="s">
        <x:v>28</x:v>
      </x:c>
      <x:c r="C175" t="s">
        <x:v>399</x:v>
      </x:c>
      <x:c r="D175" t="s">
        <x:v>73</x:v>
      </x:c>
      <x:c r="E175" t="s">
        <x:v>71</x:v>
      </x:c>
      <x:c r="F175">
        <x:v>2</x:v>
      </x:c>
      <x:c r="G175">
        <x:v>120</x:v>
      </x:c>
      <x:c r="H175" t="s">
        <x:v>401</x:v>
      </x:c>
      <x:c r="I175">
        <x:v>4</x:v>
      </x:c>
      <x:c r="J175">
        <x:v>6</x:v>
      </x:c>
      <x:c r="K175">
        <x:v>11</x:v>
      </x:c>
      <x:c r="L175">
        <x:v>9</x:v>
      </x:c>
      <x:c r="M175">
        <x:v>6</x:v>
      </x:c>
      <x:c r="N175">
        <x:v>2</x:v>
      </x:c>
      <x:c r="O175">
        <x:v>2</x:v>
      </x:c>
      <x:c r="P175">
        <x:v>6</x:v>
      </x:c>
      <x:c r="Q175">
        <x:v>6</x:v>
      </x:c>
      <x:c r="R175">
        <x:v>4</x:v>
      </x:c>
      <x:c r="S175" t="s">
        <x:v>402</x:v>
      </x:c>
      <x:c r="T175" t="s">
        <x:v>41</x:v>
      </x:c>
      <x:c r="U175" t="s">
        <x:v>42</x:v>
      </x:c>
      <x:c r="V175">
        <x:v>1</x:v>
      </x:c>
      <x:c r="W175" s="5" t="n">
        <x:f>COUNTIF($C$2:$C$272,C175)</x:f>
        <x:v>1</x:v>
      </x:c>
      <x:c r="X175" t="str">
        <x:f>IF(W175&gt;=5,"Yes","No")</x:f>
        <x:v>No</x:v>
      </x:c>
      <x:c r="Y175" t="str">
        <x:f>INT(A175/10)*10&amp;"s"</x:f>
        <x:v>1930s</x:v>
      </x:c>
    </x:row>
    <x:row r="176">
      <x:c r="A176">
        <x:v>1932</x:v>
      </x:c>
      <x:c r="B176" t="s">
        <x:v>22</x:v>
      </x:c>
      <x:c r="C176" t="s">
        <x:v>382</x:v>
      </x:c>
      <x:c r="D176" t="s">
        <x:v>41</x:v>
      </x:c>
      <x:c r="E176" t="s">
        <x:v>42</x:v>
      </x:c>
      <x:c r="F176">
        <x:v>1</x:v>
      </x:c>
      <x:c r="G176">
        <x:v>50</x:v>
      </x:c>
      <x:c r="H176" t="s">
        <x:v>403</x:v>
      </x:c>
      <x:c r="I176">
        <x:v>6</x:v>
      </x:c>
      <x:c r="J176">
        <x:v>3</x:v>
      </x:c>
      <x:c r="K176">
        <x:v>6</x:v>
      </x:c>
      <x:c r="L176">
        <x:v>1</x:v>
      </x:c>
      <x:c r="M176"/>
      <x:c r="N176"/>
      <x:c r="O176"/>
      <x:c r="P176"/>
      <x:c r="Q176"/>
      <x:c r="R176"/>
      <x:c r="S176" t="s">
        <x:v>384</x:v>
      </x:c>
      <x:c r="T176" t="s">
        <x:v>41</x:v>
      </x:c>
      <x:c r="U176" t="s">
        <x:v>42</x:v>
      </x:c>
      <x:c r="V176">
        <x:v>5</x:v>
      </x:c>
      <x:c r="W176" s="5" t="n">
        <x:f>COUNTIF($C$2:$C$272,C176)</x:f>
        <x:v>8</x:v>
      </x:c>
      <x:c r="X176" t="str">
        <x:f>IF(W176&gt;=5,"Yes","No")</x:f>
        <x:v>Yes</x:v>
      </x:c>
      <x:c r="Y176" t="str">
        <x:f>INT(A176/10)*10&amp;"s"</x:f>
        <x:v>1930s</x:v>
      </x:c>
    </x:row>
    <x:row r="177">
      <x:c r="A177">
        <x:v>1932</x:v>
      </x:c>
      <x:c r="B177" t="s">
        <x:v>28</x:v>
      </x:c>
      <x:c r="C177" t="s">
        <x:v>402</x:v>
      </x:c>
      <x:c r="D177" t="s">
        <x:v>41</x:v>
      </x:c>
      <x:c r="E177" t="s">
        <x:v>42</x:v>
      </x:c>
      <x:c r="F177">
        <x:v>2</x:v>
      </x:c>
      <x:c r="G177">
        <x:v>50</x:v>
      </x:c>
      <x:c r="H177" t="s">
        <x:v>404</x:v>
      </x:c>
      <x:c r="I177">
        <x:v>6</x:v>
      </x:c>
      <x:c r="J177">
        <x:v>2</x:v>
      </x:c>
      <x:c r="K177">
        <x:v>6</x:v>
      </x:c>
      <x:c r="L177">
        <x:v>2</x:v>
      </x:c>
      <x:c r="M177">
        <x:v>6</x:v>
      </x:c>
      <x:c r="N177">
        <x:v>0</x:v>
      </x:c>
      <x:c r="O177"/>
      <x:c r="P177"/>
      <x:c r="Q177"/>
      <x:c r="R177"/>
      <x:c r="S177" t="s">
        <x:v>387</x:v>
      </x:c>
      <x:c r="T177" t="s">
        <x:v>102</x:v>
      </x:c>
      <x:c r="U177" t="s">
        <x:v>103</x:v>
      </x:c>
      <x:c r="V177">
        <x:v>6</x:v>
      </x:c>
      <x:c r="W177" s="5" t="n">
        <x:f>COUNTIF($C$2:$C$272,C177)</x:f>
        <x:v>1</x:v>
      </x:c>
      <x:c r="X177" t="str">
        <x:f>IF(W177&gt;=5,"Yes","No")</x:f>
        <x:v>No</x:v>
      </x:c>
      <x:c r="Y177" t="str">
        <x:f>INT(A177/10)*10&amp;"s"</x:f>
        <x:v>1930s</x:v>
      </x:c>
    </x:row>
    <x:row r="178">
      <x:c r="A178">
        <x:v>1931</x:v>
      </x:c>
      <x:c r="B178" t="s">
        <x:v>22</x:v>
      </x:c>
      <x:c r="C178" t="s">
        <x:v>405</x:v>
      </x:c>
      <x:c r="D178" t="s">
        <x:v>34</x:v>
      </x:c>
      <x:c r="E178" t="s">
        <x:v>35</x:v>
      </x:c>
      <x:c r="F178">
        <x:v>1</x:v>
      </x:c>
      <x:c r="G178"/>
      <x:c r="H178" t="s">
        <x:v>406</x:v>
      </x:c>
      <x:c r="I178">
        <x:v>6</x:v>
      </x:c>
      <x:c r="J178">
        <x:v>2</x:v>
      </x:c>
      <x:c r="K178">
        <x:v>7</x:v>
      </x:c>
      <x:c r="L178">
        <x:v>5</x:v>
      </x:c>
      <x:c r="M178"/>
      <x:c r="N178"/>
      <x:c r="O178"/>
      <x:c r="P178"/>
      <x:c r="Q178"/>
      <x:c r="R178"/>
      <x:c r="S178" t="s">
        <x:v>407</x:v>
      </x:c>
      <x:c r="T178" t="s">
        <x:v>34</x:v>
      </x:c>
      <x:c r="U178" t="s">
        <x:v>35</x:v>
      </x:c>
      <x:c r="V178">
        <x:v>4</x:v>
      </x:c>
      <x:c r="W178" s="5" t="n">
        <x:f>COUNTIF($C$2:$C$272,C178)</x:f>
        <x:v>1</x:v>
      </x:c>
      <x:c r="X178" t="str">
        <x:f>IF(W178&gt;=5,"Yes","No")</x:f>
        <x:v>No</x:v>
      </x:c>
      <x:c r="Y178" t="str">
        <x:f>INT(A178/10)*10&amp;"s"</x:f>
        <x:v>1930s</x:v>
      </x:c>
    </x:row>
    <x:row r="179">
      <x:c r="A179">
        <x:v>1931</x:v>
      </x:c>
      <x:c r="B179" t="s">
        <x:v>28</x:v>
      </x:c>
      <x:c r="C179" t="s">
        <x:v>408</x:v>
      </x:c>
      <x:c r="D179" t="s">
        <x:v>41</x:v>
      </x:c>
      <x:c r="E179" t="s">
        <x:v>42</x:v>
      </x:c>
      <x:c r="F179">
        <x:v>7</x:v>
      </x:c>
      <x:c r="G179"/>
      <x:c r="H179" t="s">
        <x:v>409</x:v>
      </x:c>
      <x:c r="I179" t="s">
        <x:v>410</x:v>
      </x:c>
      <x:c r="J179"/>
      <x:c r="K179"/>
      <x:c r="L179"/>
      <x:c r="M179"/>
      <x:c r="N179"/>
      <x:c r="O179"/>
      <x:c r="P179"/>
      <x:c r="Q179"/>
      <x:c r="R179"/>
      <x:c r="S179" t="s">
        <x:v>411</x:v>
      </x:c>
      <x:c r="T179" t="s">
        <x:v>41</x:v>
      </x:c>
      <x:c r="U179" t="s">
        <x:v>42</x:v>
      </x:c>
      <x:c r="V179">
        <x:v>3</x:v>
      </x:c>
      <x:c r="W179" s="5" t="n">
        <x:f>COUNTIF($C$2:$C$272,C179)</x:f>
        <x:v>1</x:v>
      </x:c>
      <x:c r="X179" t="str">
        <x:f>IF(W179&gt;=5,"Yes","No")</x:f>
        <x:v>No</x:v>
      </x:c>
      <x:c r="Y179" t="str">
        <x:f>INT(A179/10)*10&amp;"s"</x:f>
        <x:v>1930s</x:v>
      </x:c>
    </x:row>
    <x:row r="180">
      <x:c r="A180">
        <x:v>1930</x:v>
      </x:c>
      <x:c r="B180" t="s">
        <x:v>22</x:v>
      </x:c>
      <x:c r="C180" t="s">
        <x:v>382</x:v>
      </x:c>
      <x:c r="D180" t="s">
        <x:v>41</x:v>
      </x:c>
      <x:c r="E180" t="s">
        <x:v>42</x:v>
      </x:c>
      <x:c r="F180">
        <x:v>1</x:v>
      </x:c>
      <x:c r="G180"/>
      <x:c r="H180" t="s">
        <x:v>412</x:v>
      </x:c>
      <x:c r="I180">
        <x:v>6</x:v>
      </x:c>
      <x:c r="J180">
        <x:v>2</x:v>
      </x:c>
      <x:c r="K180">
        <x:v>6</x:v>
      </x:c>
      <x:c r="L180">
        <x:v>2</x:v>
      </x:c>
      <x:c r="M180"/>
      <x:c r="N180"/>
      <x:c r="O180"/>
      <x:c r="P180"/>
      <x:c r="Q180"/>
      <x:c r="R180"/>
      <x:c r="S180" t="s">
        <x:v>413</x:v>
      </x:c>
      <x:c r="T180" t="s">
        <x:v>41</x:v>
      </x:c>
      <x:c r="U180" t="s">
        <x:v>42</x:v>
      </x:c>
      <x:c r="V180">
        <x:v>8</x:v>
      </x:c>
      <x:c r="W180" s="5" t="n">
        <x:f>COUNTIF($C$2:$C$272,C180)</x:f>
        <x:v>8</x:v>
      </x:c>
      <x:c r="X180" t="str">
        <x:f>IF(W180&gt;=5,"Yes","No")</x:f>
        <x:v>Yes</x:v>
      </x:c>
      <x:c r="Y180" t="str">
        <x:f>INT(A180/10)*10&amp;"s"</x:f>
        <x:v>1930s</x:v>
      </x:c>
    </x:row>
    <x:row r="181">
      <x:c r="A181">
        <x:v>1930</x:v>
      </x:c>
      <x:c r="B181" t="s">
        <x:v>28</x:v>
      </x:c>
      <x:c r="C181" t="s">
        <x:v>414</x:v>
      </x:c>
      <x:c r="D181" t="s">
        <x:v>41</x:v>
      </x:c>
      <x:c r="E181" t="s">
        <x:v>42</x:v>
      </x:c>
      <x:c r="F181">
        <x:v>2</x:v>
      </x:c>
      <x:c r="G181">
        <x:v>70</x:v>
      </x:c>
      <x:c r="H181" t="s">
        <x:v>415</x:v>
      </x:c>
      <x:c r="I181">
        <x:v>6</x:v>
      </x:c>
      <x:c r="J181">
        <x:v>3</x:v>
      </x:c>
      <x:c r="K181">
        <x:v>9</x:v>
      </x:c>
      <x:c r="L181">
        <x:v>7</x:v>
      </x:c>
      <x:c r="M181">
        <x:v>6</x:v>
      </x:c>
      <x:c r="N181">
        <x:v>4</x:v>
      </x:c>
      <x:c r="O181"/>
      <x:c r="P181"/>
      <x:c r="Q181"/>
      <x:c r="R181"/>
      <x:c r="S181" t="s">
        <x:v>416</x:v>
      </x:c>
      <x:c r="T181" t="s">
        <x:v>41</x:v>
      </x:c>
      <x:c r="U181" t="s">
        <x:v>42</x:v>
      </x:c>
      <x:c r="V181" t="s">
        <x:v>55</x:v>
      </x:c>
      <x:c r="W181" s="5" t="n">
        <x:f>COUNTIF($C$2:$C$272,C181)</x:f>
        <x:v>3</x:v>
      </x:c>
      <x:c r="X181" t="str">
        <x:f>IF(W181&gt;=5,"Yes","No")</x:f>
        <x:v>No</x:v>
      </x:c>
      <x:c r="Y181" t="str">
        <x:f>INT(A181/10)*10&amp;"s"</x:f>
        <x:v>1930s</x:v>
      </x:c>
    </x:row>
    <x:row r="182">
      <x:c r="A182">
        <x:v>1929</x:v>
      </x:c>
      <x:c r="B182" t="s">
        <x:v>22</x:v>
      </x:c>
      <x:c r="C182" t="s">
        <x:v>382</x:v>
      </x:c>
      <x:c r="D182" t="s">
        <x:v>41</x:v>
      </x:c>
      <x:c r="E182" t="s">
        <x:v>42</x:v>
      </x:c>
      <x:c r="F182">
        <x:v>1</x:v>
      </x:c>
      <x:c r="G182"/>
      <x:c r="H182" t="s">
        <x:v>417</x:v>
      </x:c>
      <x:c r="I182">
        <x:v>6</x:v>
      </x:c>
      <x:c r="J182">
        <x:v>1</x:v>
      </x:c>
      <x:c r="K182">
        <x:v>6</x:v>
      </x:c>
      <x:c r="L182">
        <x:v>2</x:v>
      </x:c>
      <x:c r="M182"/>
      <x:c r="N182"/>
      <x:c r="O182"/>
      <x:c r="P182"/>
      <x:c r="Q182"/>
      <x:c r="R182"/>
      <x:c r="S182" t="s">
        <x:v>384</x:v>
      </x:c>
      <x:c r="T182" t="s">
        <x:v>41</x:v>
      </x:c>
      <x:c r="U182" t="s">
        <x:v>42</x:v>
      </x:c>
      <x:c r="V182">
        <x:v>5</x:v>
      </x:c>
      <x:c r="W182" s="5" t="n">
        <x:f>COUNTIF($C$2:$C$272,C182)</x:f>
        <x:v>8</x:v>
      </x:c>
      <x:c r="X182" t="str">
        <x:f>IF(W182&gt;=5,"Yes","No")</x:f>
        <x:v>Yes</x:v>
      </x:c>
      <x:c r="Y182" t="str">
        <x:f>INT(A182/10)*10&amp;"s"</x:f>
        <x:v>1920s</x:v>
      </x:c>
    </x:row>
    <x:row r="183">
      <x:c r="A183">
        <x:v>1929</x:v>
      </x:c>
      <x:c r="B183" t="s">
        <x:v>28</x:v>
      </x:c>
      <x:c r="C183" t="s">
        <x:v>418</x:v>
      </x:c>
      <x:c r="D183" t="s">
        <x:v>114</x:v>
      </x:c>
      <x:c r="E183" t="s">
        <x:v>115</x:v>
      </x:c>
      <x:c r="F183">
        <x:v>1</x:v>
      </x:c>
      <x:c r="G183">
        <x:v>60</x:v>
      </x:c>
      <x:c r="H183" t="s">
        <x:v>323</x:v>
      </x:c>
      <x:c r="I183">
        <x:v>6</x:v>
      </x:c>
      <x:c r="J183">
        <x:v>4</x:v>
      </x:c>
      <x:c r="K183">
        <x:v>6</x:v>
      </x:c>
      <x:c r="L183">
        <x:v>3</x:v>
      </x:c>
      <x:c r="M183">
        <x:v>6</x:v>
      </x:c>
      <x:c r="N183">
        <x:v>4</x:v>
      </x:c>
      <x:c r="O183"/>
      <x:c r="P183"/>
      <x:c r="Q183"/>
      <x:c r="R183"/>
      <x:c r="S183" t="s">
        <x:v>419</x:v>
      </x:c>
      <x:c r="T183" t="s">
        <x:v>114</x:v>
      </x:c>
      <x:c r="U183" t="s">
        <x:v>115</x:v>
      </x:c>
      <x:c r="V183">
        <x:v>2</x:v>
      </x:c>
      <x:c r="W183" s="5" t="n">
        <x:f>COUNTIF($C$2:$C$272,C183)</x:f>
        <x:v>2</x:v>
      </x:c>
      <x:c r="X183" t="str">
        <x:f>IF(W183&gt;=5,"Yes","No")</x:f>
        <x:v>No</x:v>
      </x:c>
      <x:c r="Y183" t="str">
        <x:f>INT(A183/10)*10&amp;"s"</x:f>
        <x:v>1920s</x:v>
      </x:c>
    </x:row>
    <x:row r="184">
      <x:c r="A184">
        <x:v>1928</x:v>
      </x:c>
      <x:c r="B184" t="s">
        <x:v>22</x:v>
      </x:c>
      <x:c r="C184" t="s">
        <x:v>382</x:v>
      </x:c>
      <x:c r="D184" t="s">
        <x:v>41</x:v>
      </x:c>
      <x:c r="E184" t="s">
        <x:v>42</x:v>
      </x:c>
      <x:c r="F184">
        <x:v>1</x:v>
      </x:c>
      <x:c r="G184"/>
      <x:c r="H184" t="s">
        <x:v>420</x:v>
      </x:c>
      <x:c r="I184">
        <x:v>6</x:v>
      </x:c>
      <x:c r="J184">
        <x:v>2</x:v>
      </x:c>
      <x:c r="K184">
        <x:v>6</x:v>
      </x:c>
      <x:c r="L184">
        <x:v>3</x:v>
      </x:c>
      <x:c r="M184"/>
      <x:c r="N184"/>
      <x:c r="O184"/>
      <x:c r="P184"/>
      <x:c r="Q184"/>
      <x:c r="R184"/>
      <x:c r="S184" t="s">
        <x:v>421</x:v>
      </x:c>
      <x:c r="T184" t="s">
        <x:v>45</x:v>
      </x:c>
      <x:c r="U184" t="s">
        <x:v>46</x:v>
      </x:c>
      <x:c r="V184">
        <x:v>2</x:v>
      </x:c>
      <x:c r="W184" s="5" t="n">
        <x:f>COUNTIF($C$2:$C$272,C184)</x:f>
        <x:v>8</x:v>
      </x:c>
      <x:c r="X184" t="str">
        <x:f>IF(W184&gt;=5,"Yes","No")</x:f>
        <x:v>Yes</x:v>
      </x:c>
      <x:c r="Y184" t="str">
        <x:f>INT(A184/10)*10&amp;"s"</x:f>
        <x:v>1920s</x:v>
      </x:c>
    </x:row>
    <x:row r="185">
      <x:c r="A185">
        <x:v>1928</x:v>
      </x:c>
      <x:c r="B185" t="s">
        <x:v>28</x:v>
      </x:c>
      <x:c r="C185" t="s">
        <x:v>422</x:v>
      </x:c>
      <x:c r="D185" t="s">
        <x:v>114</x:v>
      </x:c>
      <x:c r="E185" t="s">
        <x:v>115</x:v>
      </x:c>
      <x:c r="F185">
        <x:v>2</x:v>
      </x:c>
      <x:c r="G185"/>
      <x:c r="H185" t="s">
        <x:v>423</x:v>
      </x:c>
      <x:c r="I185">
        <x:v>6</x:v>
      </x:c>
      <x:c r="J185">
        <x:v>1</x:v>
      </x:c>
      <x:c r="K185">
        <x:v>4</x:v>
      </x:c>
      <x:c r="L185">
        <x:v>6</x:v>
      </x:c>
      <x:c r="M185">
        <x:v>6</x:v>
      </x:c>
      <x:c r="N185">
        <x:v>4</x:v>
      </x:c>
      <x:c r="O185">
        <x:v>6</x:v>
      </x:c>
      <x:c r="P185">
        <x:v>2</x:v>
      </x:c>
      <x:c r="Q185"/>
      <x:c r="R185"/>
      <x:c r="S185" t="s">
        <x:v>418</x:v>
      </x:c>
      <x:c r="T185" t="s">
        <x:v>114</x:v>
      </x:c>
      <x:c r="U185" t="s">
        <x:v>115</x:v>
      </x:c>
      <x:c r="V185">
        <x:v>1</x:v>
      </x:c>
      <x:c r="W185" s="5" t="n">
        <x:f>COUNTIF($C$2:$C$272,C185)</x:f>
        <x:v>2</x:v>
      </x:c>
      <x:c r="X185" t="str">
        <x:f>IF(W185&gt;=5,"Yes","No")</x:f>
        <x:v>No</x:v>
      </x:c>
      <x:c r="Y185" t="str">
        <x:f>INT(A185/10)*10&amp;"s"</x:f>
        <x:v>1920s</x:v>
      </x:c>
    </x:row>
    <x:row r="186">
      <x:c r="A186">
        <x:v>1927</x:v>
      </x:c>
      <x:c r="B186" t="s">
        <x:v>22</x:v>
      </x:c>
      <x:c r="C186" t="s">
        <x:v>382</x:v>
      </x:c>
      <x:c r="D186" t="s">
        <x:v>41</x:v>
      </x:c>
      <x:c r="E186" t="s">
        <x:v>42</x:v>
      </x:c>
      <x:c r="F186">
        <x:v>1</x:v>
      </x:c>
      <x:c r="G186"/>
      <x:c r="H186" t="s">
        <x:v>424</x:v>
      </x:c>
      <x:c r="I186">
        <x:v>6</x:v>
      </x:c>
      <x:c r="J186">
        <x:v>2</x:v>
      </x:c>
      <x:c r="K186">
        <x:v>6</x:v>
      </x:c>
      <x:c r="L186">
        <x:v>4</x:v>
      </x:c>
      <x:c r="M186"/>
      <x:c r="N186"/>
      <x:c r="O186"/>
      <x:c r="P186"/>
      <x:c r="Q186"/>
      <x:c r="R186"/>
      <x:c r="S186" t="s">
        <x:v>421</x:v>
      </x:c>
      <x:c r="T186" t="s">
        <x:v>45</x:v>
      </x:c>
      <x:c r="U186" t="s">
        <x:v>46</x:v>
      </x:c>
      <x:c r="V186">
        <x:v>4</x:v>
      </x:c>
      <x:c r="W186" s="5" t="n">
        <x:f>COUNTIF($C$2:$C$272,C186)</x:f>
        <x:v>8</x:v>
      </x:c>
      <x:c r="X186" t="str">
        <x:f>IF(W186&gt;=5,"Yes","No")</x:f>
        <x:v>Yes</x:v>
      </x:c>
      <x:c r="Y186" t="str">
        <x:f>INT(A186/10)*10&amp;"s"</x:f>
        <x:v>1920s</x:v>
      </x:c>
    </x:row>
    <x:row r="187">
      <x:c r="A187">
        <x:v>1927</x:v>
      </x:c>
      <x:c r="B187" t="s">
        <x:v>28</x:v>
      </x:c>
      <x:c r="C187" t="s">
        <x:v>418</x:v>
      </x:c>
      <x:c r="D187" t="s">
        <x:v>114</x:v>
      </x:c>
      <x:c r="E187" t="s">
        <x:v>115</x:v>
      </x:c>
      <x:c r="F187">
        <x:v>4</x:v>
      </x:c>
      <x:c r="G187"/>
      <x:c r="H187" t="s">
        <x:v>425</x:v>
      </x:c>
      <x:c r="I187">
        <x:v>4</x:v>
      </x:c>
      <x:c r="J187">
        <x:v>6</x:v>
      </x:c>
      <x:c r="K187">
        <x:v>4</x:v>
      </x:c>
      <x:c r="L187">
        <x:v>6</x:v>
      </x:c>
      <x:c r="M187">
        <x:v>6</x:v>
      </x:c>
      <x:c r="N187">
        <x:v>3</x:v>
      </x:c>
      <x:c r="O187">
        <x:v>6</x:v>
      </x:c>
      <x:c r="P187">
        <x:v>4</x:v>
      </x:c>
      <x:c r="Q187">
        <x:v>7</x:v>
      </x:c>
      <x:c r="R187">
        <x:v>5</x:v>
      </x:c>
      <x:c r="S187" t="s">
        <x:v>419</x:v>
      </x:c>
      <x:c r="T187" t="s">
        <x:v>114</x:v>
      </x:c>
      <x:c r="U187" t="s">
        <x:v>115</x:v>
      </x:c>
      <x:c r="V187">
        <x:v>3</x:v>
      </x:c>
      <x:c r="W187" s="5" t="n">
        <x:f>COUNTIF($C$2:$C$272,C187)</x:f>
        <x:v>2</x:v>
      </x:c>
      <x:c r="X187" t="str">
        <x:f>IF(W187&gt;=5,"Yes","No")</x:f>
        <x:v>No</x:v>
      </x:c>
      <x:c r="Y187" t="str">
        <x:f>INT(A187/10)*10&amp;"s"</x:f>
        <x:v>1920s</x:v>
      </x:c>
    </x:row>
    <x:row r="188">
      <x:c r="A188">
        <x:v>1926</x:v>
      </x:c>
      <x:c r="B188" t="s">
        <x:v>22</x:v>
      </x:c>
      <x:c r="C188" t="s">
        <x:v>426</x:v>
      </x:c>
      <x:c r="D188" t="s">
        <x:v>102</x:v>
      </x:c>
      <x:c r="E188" t="s">
        <x:v>103</x:v>
      </x:c>
      <x:c r="F188"/>
      <x:c r="G188">
        <x:v>60</x:v>
      </x:c>
      <x:c r="H188" t="s">
        <x:v>427</x:v>
      </x:c>
      <x:c r="I188">
        <x:v>6</x:v>
      </x:c>
      <x:c r="J188">
        <x:v>2</x:v>
      </x:c>
      <x:c r="K188">
        <x:v>4</x:v>
      </x:c>
      <x:c r="L188">
        <x:v>6</x:v>
      </x:c>
      <x:c r="M188">
        <x:v>6</x:v>
      </x:c>
      <x:c r="N188">
        <x:v>3</x:v>
      </x:c>
      <x:c r="O188"/>
      <x:c r="P188"/>
      <x:c r="Q188"/>
      <x:c r="R188"/>
      <x:c r="S188" t="s">
        <x:v>421</x:v>
      </x:c>
      <x:c r="T188" t="s">
        <x:v>45</x:v>
      </x:c>
      <x:c r="U188" t="s">
        <x:v>46</x:v>
      </x:c>
      <x:c r="V188"/>
      <x:c r="W188" s="5" t="n">
        <x:f>COUNTIF($C$2:$C$272,C188)</x:f>
        <x:v>1</x:v>
      </x:c>
      <x:c r="X188" t="str">
        <x:f>IF(W188&gt;=5,"Yes","No")</x:f>
        <x:v>No</x:v>
      </x:c>
      <x:c r="Y188" t="str">
        <x:f>INT(A188/10)*10&amp;"s"</x:f>
        <x:v>1920s</x:v>
      </x:c>
    </x:row>
    <x:row r="189">
      <x:c r="A189">
        <x:v>1926</x:v>
      </x:c>
      <x:c r="B189" t="s">
        <x:v>28</x:v>
      </x:c>
      <x:c r="C189" t="s">
        <x:v>419</x:v>
      </x:c>
      <x:c r="D189" t="s">
        <x:v>114</x:v>
      </x:c>
      <x:c r="E189" t="s">
        <x:v>115</x:v>
      </x:c>
      <x:c r="F189"/>
      <x:c r="G189">
        <x:v>65</x:v>
      </x:c>
      <x:c r="H189" t="s">
        <x:v>428</x:v>
      </x:c>
      <x:c r="I189">
        <x:v>8</x:v>
      </x:c>
      <x:c r="J189">
        <x:v>6</x:v>
      </x:c>
      <x:c r="K189">
        <x:v>6</x:v>
      </x:c>
      <x:c r="L189">
        <x:v>1</x:v>
      </x:c>
      <x:c r="M189">
        <x:v>6</x:v>
      </x:c>
      <x:c r="N189">
        <x:v>3</x:v>
      </x:c>
      <x:c r="O189"/>
      <x:c r="P189"/>
      <x:c r="Q189"/>
      <x:c r="R189"/>
      <x:c r="S189" t="s">
        <x:v>429</x:v>
      </x:c>
      <x:c r="T189" t="s">
        <x:v>41</x:v>
      </x:c>
      <x:c r="U189" t="s">
        <x:v>42</x:v>
      </x:c>
      <x:c r="V189"/>
      <x:c r="W189" s="5" t="n">
        <x:f>COUNTIF($C$2:$C$272,C189)</x:f>
        <x:v>2</x:v>
      </x:c>
      <x:c r="X189" t="str">
        <x:f>IF(W189&gt;=5,"Yes","No")</x:f>
        <x:v>No</x:v>
      </x:c>
      <x:c r="Y189" t="str">
        <x:f>INT(A189/10)*10&amp;"s"</x:f>
        <x:v>1920s</x:v>
      </x:c>
    </x:row>
    <x:row r="190">
      <x:c r="A190">
        <x:v>1925</x:v>
      </x:c>
      <x:c r="B190" t="s">
        <x:v>22</x:v>
      </x:c>
      <x:c r="C190" t="s">
        <x:v>430</x:v>
      </x:c>
      <x:c r="D190" t="s">
        <x:v>114</x:v>
      </x:c>
      <x:c r="E190" t="s">
        <x:v>115</x:v>
      </x:c>
      <x:c r="F190"/>
      <x:c r="G190">
        <x:v>25</x:v>
      </x:c>
      <x:c r="H190" t="s">
        <x:v>377</x:v>
      </x:c>
      <x:c r="I190">
        <x:v>6</x:v>
      </x:c>
      <x:c r="J190">
        <x:v>2</x:v>
      </x:c>
      <x:c r="K190">
        <x:v>6</x:v>
      </x:c>
      <x:c r="L190">
        <x:v>0</x:v>
      </x:c>
      <x:c r="M190"/>
      <x:c r="N190"/>
      <x:c r="O190"/>
      <x:c r="P190"/>
      <x:c r="Q190"/>
      <x:c r="R190"/>
      <x:c r="S190" t="s">
        <x:v>431</x:v>
      </x:c>
      <x:c r="T190" t="s">
        <x:v>102</x:v>
      </x:c>
      <x:c r="U190" t="s">
        <x:v>103</x:v>
      </x:c>
      <x:c r="V190"/>
      <x:c r="W190" s="5" t="n">
        <x:f>COUNTIF($C$2:$C$272,C190)</x:f>
        <x:v>6</x:v>
      </x:c>
      <x:c r="X190" t="str">
        <x:f>IF(W190&gt;=5,"Yes","No")</x:f>
        <x:v>Yes</x:v>
      </x:c>
      <x:c r="Y190" t="str">
        <x:f>INT(A190/10)*10&amp;"s"</x:f>
        <x:v>1920s</x:v>
      </x:c>
    </x:row>
    <x:row r="191">
      <x:c r="A191">
        <x:v>1925</x:v>
      </x:c>
      <x:c r="B191" t="s">
        <x:v>28</x:v>
      </x:c>
      <x:c r="C191" t="s">
        <x:v>422</x:v>
      </x:c>
      <x:c r="D191" t="s">
        <x:v>114</x:v>
      </x:c>
      <x:c r="E191" t="s">
        <x:v>115</x:v>
      </x:c>
      <x:c r="F191"/>
      <x:c r="G191"/>
      <x:c r="H191" t="s">
        <x:v>432</x:v>
      </x:c>
      <x:c r="I191">
        <x:v>6</x:v>
      </x:c>
      <x:c r="J191">
        <x:v>3</x:v>
      </x:c>
      <x:c r="K191">
        <x:v>6</x:v>
      </x:c>
      <x:c r="L191">
        <x:v>3</x:v>
      </x:c>
      <x:c r="M191">
        <x:v>4</x:v>
      </x:c>
      <x:c r="N191">
        <x:v>6</x:v>
      </x:c>
      <x:c r="O191">
        <x:v>8</x:v>
      </x:c>
      <x:c r="P191">
        <x:v>6</x:v>
      </x:c>
      <x:c r="Q191"/>
      <x:c r="R191"/>
      <x:c r="S191" t="s">
        <x:v>419</x:v>
      </x:c>
      <x:c r="T191" t="s">
        <x:v>114</x:v>
      </x:c>
      <x:c r="U191" t="s">
        <x:v>115</x:v>
      </x:c>
      <x:c r="V191"/>
      <x:c r="W191" s="5" t="n">
        <x:f>COUNTIF($C$2:$C$272,C191)</x:f>
        <x:v>2</x:v>
      </x:c>
      <x:c r="X191" t="str">
        <x:f>IF(W191&gt;=5,"Yes","No")</x:f>
        <x:v>No</x:v>
      </x:c>
      <x:c r="Y191" t="str">
        <x:f>INT(A191/10)*10&amp;"s"</x:f>
        <x:v>1920s</x:v>
      </x:c>
    </x:row>
    <x:row r="192">
      <x:c r="A192">
        <x:v>1924</x:v>
      </x:c>
      <x:c r="B192" t="s">
        <x:v>22</x:v>
      </x:c>
      <x:c r="C192" t="s">
        <x:v>433</x:v>
      </x:c>
      <x:c r="D192" t="s">
        <x:v>102</x:v>
      </x:c>
      <x:c r="E192" t="s">
        <x:v>103</x:v>
      </x:c>
      <x:c r="F192"/>
      <x:c r="G192">
        <x:v>75</x:v>
      </x:c>
      <x:c r="H192" t="s">
        <x:v>434</x:v>
      </x:c>
      <x:c r="I192">
        <x:v>4</x:v>
      </x:c>
      <x:c r="J192">
        <x:v>6</x:v>
      </x:c>
      <x:c r="K192">
        <x:v>6</x:v>
      </x:c>
      <x:c r="L192">
        <x:v>4</x:v>
      </x:c>
      <x:c r="M192">
        <x:v>6</x:v>
      </x:c>
      <x:c r="N192">
        <x:v>4</x:v>
      </x:c>
      <x:c r="O192"/>
      <x:c r="P192"/>
      <x:c r="Q192"/>
      <x:c r="R192"/>
      <x:c r="S192" t="s">
        <x:v>382</x:v>
      </x:c>
      <x:c r="T192" t="s">
        <x:v>41</x:v>
      </x:c>
      <x:c r="U192" t="s">
        <x:v>42</x:v>
      </x:c>
      <x:c r="V192"/>
      <x:c r="W192" s="5" t="n">
        <x:f>COUNTIF($C$2:$C$272,C192)</x:f>
        <x:v>1</x:v>
      </x:c>
      <x:c r="X192" t="str">
        <x:f>IF(W192&gt;=5,"Yes","No")</x:f>
        <x:v>No</x:v>
      </x:c>
      <x:c r="Y192" t="str">
        <x:f>INT(A192/10)*10&amp;"s"</x:f>
        <x:v>1920s</x:v>
      </x:c>
    </x:row>
    <x:row r="193">
      <x:c r="A193">
        <x:v>1924</x:v>
      </x:c>
      <x:c r="B193" t="s">
        <x:v>28</x:v>
      </x:c>
      <x:c r="C193" t="s">
        <x:v>419</x:v>
      </x:c>
      <x:c r="D193" t="s">
        <x:v>114</x:v>
      </x:c>
      <x:c r="E193" t="s">
        <x:v>115</x:v>
      </x:c>
      <x:c r="F193"/>
      <x:c r="G193">
        <x:v>80</x:v>
      </x:c>
      <x:c r="H193" t="s">
        <x:v>435</x:v>
      </x:c>
      <x:c r="I193">
        <x:v>6</x:v>
      </x:c>
      <x:c r="J193">
        <x:v>1</x:v>
      </x:c>
      <x:c r="K193">
        <x:v>3</x:v>
      </x:c>
      <x:c r="L193">
        <x:v>6</x:v>
      </x:c>
      <x:c r="M193">
        <x:v>6</x:v>
      </x:c>
      <x:c r="N193">
        <x:v>1</x:v>
      </x:c>
      <x:c r="O193">
        <x:v>3</x:v>
      </x:c>
      <x:c r="P193">
        <x:v>6</x:v>
      </x:c>
      <x:c r="Q193">
        <x:v>6</x:v>
      </x:c>
      <x:c r="R193">
        <x:v>4</x:v>
      </x:c>
      <x:c r="S193" t="s">
        <x:v>422</x:v>
      </x:c>
      <x:c r="T193" t="s">
        <x:v>114</x:v>
      </x:c>
      <x:c r="U193" t="s">
        <x:v>115</x:v>
      </x:c>
      <x:c r="V193"/>
      <x:c r="W193" s="5" t="n">
        <x:f>COUNTIF($C$2:$C$272,C193)</x:f>
        <x:v>2</x:v>
      </x:c>
      <x:c r="X193" t="str">
        <x:f>IF(W193&gt;=5,"Yes","No")</x:f>
        <x:v>No</x:v>
      </x:c>
      <x:c r="Y193" t="str">
        <x:f>INT(A193/10)*10&amp;"s"</x:f>
        <x:v>1920s</x:v>
      </x:c>
    </x:row>
    <x:row r="194">
      <x:c r="A194">
        <x:v>1923</x:v>
      </x:c>
      <x:c r="B194" t="s">
        <x:v>22</x:v>
      </x:c>
      <x:c r="C194" t="s">
        <x:v>430</x:v>
      </x:c>
      <x:c r="D194" t="s">
        <x:v>114</x:v>
      </x:c>
      <x:c r="E194" t="s">
        <x:v>115</x:v>
      </x:c>
      <x:c r="F194"/>
      <x:c r="G194"/>
      <x:c r="H194" t="s">
        <x:v>412</x:v>
      </x:c>
      <x:c r="I194">
        <x:v>6</x:v>
      </x:c>
      <x:c r="J194">
        <x:v>2</x:v>
      </x:c>
      <x:c r="K194">
        <x:v>6</x:v>
      </x:c>
      <x:c r="L194">
        <x:v>2</x:v>
      </x:c>
      <x:c r="M194"/>
      <x:c r="N194"/>
      <x:c r="O194"/>
      <x:c r="P194"/>
      <x:c r="Q194"/>
      <x:c r="R194"/>
      <x:c r="S194" t="s">
        <x:v>433</x:v>
      </x:c>
      <x:c r="T194" t="s">
        <x:v>102</x:v>
      </x:c>
      <x:c r="U194" t="s">
        <x:v>103</x:v>
      </x:c>
      <x:c r="V194"/>
      <x:c r="W194" s="5" t="n">
        <x:f>COUNTIF($C$2:$C$272,C194)</x:f>
        <x:v>6</x:v>
      </x:c>
      <x:c r="X194" t="str">
        <x:f>IF(W194&gt;=5,"Yes","No")</x:f>
        <x:v>Yes</x:v>
      </x:c>
      <x:c r="Y194" t="str">
        <x:f>INT(A194/10)*10&amp;"s"</x:f>
        <x:v>1920s</x:v>
      </x:c>
    </x:row>
    <x:row r="195">
      <x:c r="A195">
        <x:v>1923</x:v>
      </x:c>
      <x:c r="B195" t="s">
        <x:v>28</x:v>
      </x:c>
      <x:c r="C195" t="s">
        <x:v>436</x:v>
      </x:c>
      <x:c r="D195" t="s">
        <x:v>41</x:v>
      </x:c>
      <x:c r="E195" t="s">
        <x:v>42</x:v>
      </x:c>
      <x:c r="F195"/>
      <x:c r="G195">
        <x:v>46</x:v>
      </x:c>
      <x:c r="H195" t="s">
        <x:v>437</x:v>
      </x:c>
      <x:c r="I195">
        <x:v>6</x:v>
      </x:c>
      <x:c r="J195">
        <x:v>0</x:v>
      </x:c>
      <x:c r="K195">
        <x:v>6</x:v>
      </x:c>
      <x:c r="L195">
        <x:v>3</x:v>
      </x:c>
      <x:c r="M195">
        <x:v>6</x:v>
      </x:c>
      <x:c r="N195">
        <x:v>1</x:v>
      </x:c>
      <x:c r="O195"/>
      <x:c r="P195"/>
      <x:c r="Q195"/>
      <x:c r="R195"/>
      <x:c r="S195" t="s">
        <x:v>438</x:v>
      </x:c>
      <x:c r="T195" t="s">
        <x:v>41</x:v>
      </x:c>
      <x:c r="U195" t="s">
        <x:v>42</x:v>
      </x:c>
      <x:c r="V195"/>
      <x:c r="W195" s="5" t="n">
        <x:f>COUNTIF($C$2:$C$272,C195)</x:f>
        <x:v>1</x:v>
      </x:c>
      <x:c r="X195" t="str">
        <x:f>IF(W195&gt;=5,"Yes","No")</x:f>
        <x:v>No</x:v>
      </x:c>
      <x:c r="Y195" t="str">
        <x:f>INT(A195/10)*10&amp;"s"</x:f>
        <x:v>1920s</x:v>
      </x:c>
    </x:row>
    <x:row r="196">
      <x:c r="A196">
        <x:v>1922</x:v>
      </x:c>
      <x:c r="B196" t="s">
        <x:v>22</x:v>
      </x:c>
      <x:c r="C196" t="s">
        <x:v>430</x:v>
      </x:c>
      <x:c r="D196" t="s">
        <x:v>114</x:v>
      </x:c>
      <x:c r="E196" t="s">
        <x:v>115</x:v>
      </x:c>
      <x:c r="F196"/>
      <x:c r="G196">
        <x:v>23</x:v>
      </x:c>
      <x:c r="H196" t="s">
        <x:v>377</x:v>
      </x:c>
      <x:c r="I196">
        <x:v>6</x:v>
      </x:c>
      <x:c r="J196">
        <x:v>2</x:v>
      </x:c>
      <x:c r="K196">
        <x:v>6</x:v>
      </x:c>
      <x:c r="L196">
        <x:v>0</x:v>
      </x:c>
      <x:c r="M196"/>
      <x:c r="N196"/>
      <x:c r="O196"/>
      <x:c r="P196"/>
      <x:c r="Q196"/>
      <x:c r="R196"/>
      <x:c r="S196" t="s">
        <x:v>439</x:v>
      </x:c>
      <x:c r="T196" t="s">
        <x:v>41</x:v>
      </x:c>
      <x:c r="U196" t="s">
        <x:v>42</x:v>
      </x:c>
      <x:c r="V196"/>
      <x:c r="W196" s="5" t="n">
        <x:f>COUNTIF($C$2:$C$272,C196)</x:f>
        <x:v>6</x:v>
      </x:c>
      <x:c r="X196" t="str">
        <x:f>IF(W196&gt;=5,"Yes","No")</x:f>
        <x:v>Yes</x:v>
      </x:c>
      <x:c r="Y196" t="str">
        <x:f>INT(A196/10)*10&amp;"s"</x:f>
        <x:v>1920s</x:v>
      </x:c>
    </x:row>
    <x:row r="197">
      <x:c r="A197">
        <x:v>1922</x:v>
      </x:c>
      <x:c r="B197" t="s">
        <x:v>28</x:v>
      </x:c>
      <x:c r="C197" t="s">
        <x:v>440</x:v>
      </x:c>
      <x:c r="D197" t="s">
        <x:v>73</x:v>
      </x:c>
      <x:c r="E197" t="s">
        <x:v>71</x:v>
      </x:c>
      <x:c r="F197"/>
      <x:c r="G197"/>
      <x:c r="H197" t="s">
        <x:v>287</x:v>
      </x:c>
      <x:c r="I197">
        <x:v>6</x:v>
      </x:c>
      <x:c r="J197">
        <x:v>3</x:v>
      </x:c>
      <x:c r="K197">
        <x:v>6</x:v>
      </x:c>
      <x:c r="L197">
        <x:v>4</x:v>
      </x:c>
      <x:c r="M197">
        <x:v>6</x:v>
      </x:c>
      <x:c r="N197">
        <x:v>2</x:v>
      </x:c>
      <x:c r="O197"/>
      <x:c r="P197"/>
      <x:c r="Q197"/>
      <x:c r="R197"/>
      <x:c r="S197" t="s">
        <x:v>441</x:v>
      </x:c>
      <x:c r="T197" t="s">
        <x:v>102</x:v>
      </x:c>
      <x:c r="U197" t="s">
        <x:v>103</x:v>
      </x:c>
      <x:c r="V197"/>
      <x:c r="W197" s="5" t="n">
        <x:f>COUNTIF($C$2:$C$272,C197)</x:f>
        <x:v>2</x:v>
      </x:c>
      <x:c r="X197" t="str">
        <x:f>IF(W197&gt;=5,"Yes","No")</x:f>
        <x:v>No</x:v>
      </x:c>
      <x:c r="Y197" t="str">
        <x:f>INT(A197/10)*10&amp;"s"</x:f>
        <x:v>1920s</x:v>
      </x:c>
    </x:row>
    <x:row r="198">
      <x:c r="A198">
        <x:v>1921</x:v>
      </x:c>
      <x:c r="B198" t="s">
        <x:v>22</x:v>
      </x:c>
      <x:c r="C198" t="s">
        <x:v>430</x:v>
      </x:c>
      <x:c r="D198" t="s">
        <x:v>114</x:v>
      </x:c>
      <x:c r="E198" t="s">
        <x:v>115</x:v>
      </x:c>
      <x:c r="F198"/>
      <x:c r="G198"/>
      <x:c r="H198" t="s">
        <x:v>377</x:v>
      </x:c>
      <x:c r="I198">
        <x:v>6</x:v>
      </x:c>
      <x:c r="J198">
        <x:v>2</x:v>
      </x:c>
      <x:c r="K198">
        <x:v>6</x:v>
      </x:c>
      <x:c r="L198">
        <x:v>0</x:v>
      </x:c>
      <x:c r="M198"/>
      <x:c r="N198"/>
      <x:c r="O198"/>
      <x:c r="P198"/>
      <x:c r="Q198"/>
      <x:c r="R198"/>
      <x:c r="S198" t="s">
        <x:v>413</x:v>
      </x:c>
      <x:c r="T198" t="s">
        <x:v>41</x:v>
      </x:c>
      <x:c r="U198" t="s">
        <x:v>42</x:v>
      </x:c>
      <x:c r="V198"/>
      <x:c r="W198" s="5" t="n">
        <x:f>COUNTIF($C$2:$C$272,C198)</x:f>
        <x:v>6</x:v>
      </x:c>
      <x:c r="X198" t="str">
        <x:f>IF(W198&gt;=5,"Yes","No")</x:f>
        <x:v>Yes</x:v>
      </x:c>
      <x:c r="Y198" t="str">
        <x:f>INT(A198/10)*10&amp;"s"</x:f>
        <x:v>1920s</x:v>
      </x:c>
    </x:row>
    <x:row r="199">
      <x:c r="A199">
        <x:v>1921</x:v>
      </x:c>
      <x:c r="B199" t="s">
        <x:v>28</x:v>
      </x:c>
      <x:c r="C199" t="s">
        <x:v>414</x:v>
      </x:c>
      <x:c r="D199" t="s">
        <x:v>41</x:v>
      </x:c>
      <x:c r="E199" t="s">
        <x:v>42</x:v>
      </x:c>
      <x:c r="F199"/>
      <x:c r="G199"/>
      <x:c r="H199" t="s">
        <x:v>442</x:v>
      </x:c>
      <x:c r="I199">
        <x:v>4</x:v>
      </x:c>
      <x:c r="J199">
        <x:v>6</x:v>
      </x:c>
      <x:c r="K199">
        <x:v>2</x:v>
      </x:c>
      <x:c r="L199">
        <x:v>6</x:v>
      </x:c>
      <x:c r="M199">
        <x:v>6</x:v>
      </x:c>
      <x:c r="N199">
        <x:v>1</x:v>
      </x:c>
      <x:c r="O199">
        <x:v>6</x:v>
      </x:c>
      <x:c r="P199">
        <x:v>0</x:v>
      </x:c>
      <x:c r="Q199">
        <x:v>7</x:v>
      </x:c>
      <x:c r="R199">
        <x:v>5</x:v>
      </x:c>
      <x:c r="S199" t="s">
        <x:v>443</x:v>
      </x:c>
      <x:c r="T199" t="s">
        <x:v>91</x:v>
      </x:c>
      <x:c r="U199" t="s">
        <x:v>92</x:v>
      </x:c>
      <x:c r="V199"/>
      <x:c r="W199" s="5" t="n">
        <x:f>COUNTIF($C$2:$C$272,C199)</x:f>
        <x:v>3</x:v>
      </x:c>
      <x:c r="X199" t="str">
        <x:f>IF(W199&gt;=5,"Yes","No")</x:f>
        <x:v>No</x:v>
      </x:c>
      <x:c r="Y199" t="str">
        <x:f>INT(A199/10)*10&amp;"s"</x:f>
        <x:v>1920s</x:v>
      </x:c>
    </x:row>
    <x:row r="200">
      <x:c r="A200">
        <x:v>1920</x:v>
      </x:c>
      <x:c r="B200" t="s">
        <x:v>22</x:v>
      </x:c>
      <x:c r="C200" t="s">
        <x:v>430</x:v>
      </x:c>
      <x:c r="D200" t="s">
        <x:v>114</x:v>
      </x:c>
      <x:c r="E200" t="s">
        <x:v>115</x:v>
      </x:c>
      <x:c r="F200"/>
      <x:c r="G200"/>
      <x:c r="H200" t="s">
        <x:v>110</x:v>
      </x:c>
      <x:c r="I200">
        <x:v>6</x:v>
      </x:c>
      <x:c r="J200">
        <x:v>3</x:v>
      </x:c>
      <x:c r="K200">
        <x:v>6</x:v>
      </x:c>
      <x:c r="L200">
        <x:v>0</x:v>
      </x:c>
      <x:c r="M200"/>
      <x:c r="N200"/>
      <x:c r="O200"/>
      <x:c r="P200"/>
      <x:c r="Q200"/>
      <x:c r="R200"/>
      <x:c r="S200" t="s">
        <x:v>444</x:v>
      </x:c>
      <x:c r="T200" t="s">
        <x:v>102</x:v>
      </x:c>
      <x:c r="U200" t="s">
        <x:v>103</x:v>
      </x:c>
      <x:c r="V200"/>
      <x:c r="W200" s="5" t="n">
        <x:f>COUNTIF($C$2:$C$272,C200)</x:f>
        <x:v>6</x:v>
      </x:c>
      <x:c r="X200" t="str">
        <x:f>IF(W200&gt;=5,"Yes","No")</x:f>
        <x:v>Yes</x:v>
      </x:c>
      <x:c r="Y200" t="str">
        <x:f>INT(A200/10)*10&amp;"s"</x:f>
        <x:v>1920s</x:v>
      </x:c>
    </x:row>
    <x:row r="201">
      <x:c r="A201">
        <x:v>1920</x:v>
      </x:c>
      <x:c r="B201" t="s">
        <x:v>28</x:v>
      </x:c>
      <x:c r="C201" t="s">
        <x:v>414</x:v>
      </x:c>
      <x:c r="D201" t="s">
        <x:v>41</x:v>
      </x:c>
      <x:c r="E201" t="s">
        <x:v>42</x:v>
      </x:c>
      <x:c r="F201"/>
      <x:c r="G201"/>
      <x:c r="H201" t="s">
        <x:v>445</x:v>
      </x:c>
      <x:c r="I201">
        <x:v>2</x:v>
      </x:c>
      <x:c r="J201">
        <x:v>6</x:v>
      </x:c>
      <x:c r="K201">
        <x:v>6</x:v>
      </x:c>
      <x:c r="L201">
        <x:v>3</x:v>
      </x:c>
      <x:c r="M201">
        <x:v>6</x:v>
      </x:c>
      <x:c r="N201">
        <x:v>2</x:v>
      </x:c>
      <x:c r="O201">
        <x:v>6</x:v>
      </x:c>
      <x:c r="P201">
        <x:v>4</x:v>
      </x:c>
      <x:c r="Q201"/>
      <x:c r="R201"/>
      <x:c r="S201" t="s">
        <x:v>440</x:v>
      </x:c>
      <x:c r="T201" t="s">
        <x:v>73</x:v>
      </x:c>
      <x:c r="U201" t="s">
        <x:v>71</x:v>
      </x:c>
      <x:c r="V201"/>
      <x:c r="W201" s="5" t="n">
        <x:f>COUNTIF($C$2:$C$272,C201)</x:f>
        <x:v>3</x:v>
      </x:c>
      <x:c r="X201" t="str">
        <x:f>IF(W201&gt;=5,"Yes","No")</x:f>
        <x:v>No</x:v>
      </x:c>
      <x:c r="Y201" t="str">
        <x:f>INT(A201/10)*10&amp;"s"</x:f>
        <x:v>1920s</x:v>
      </x:c>
    </x:row>
    <x:row r="202">
      <x:c r="A202">
        <x:v>1919</x:v>
      </x:c>
      <x:c r="B202" t="s">
        <x:v>22</x:v>
      </x:c>
      <x:c r="C202" t="s">
        <x:v>430</x:v>
      </x:c>
      <x:c r="D202" t="s">
        <x:v>114</x:v>
      </x:c>
      <x:c r="E202" t="s">
        <x:v>115</x:v>
      </x:c>
      <x:c r="F202"/>
      <x:c r="G202">
        <x:v>125</x:v>
      </x:c>
      <x:c r="H202" t="s">
        <x:v>446</x:v>
      </x:c>
      <x:c r="I202">
        <x:v>10</x:v>
      </x:c>
      <x:c r="J202">
        <x:v>8</x:v>
      </x:c>
      <x:c r="K202">
        <x:v>4</x:v>
      </x:c>
      <x:c r="L202">
        <x:v>6</x:v>
      </x:c>
      <x:c r="M202">
        <x:v>9</x:v>
      </x:c>
      <x:c r="N202">
        <x:v>7</x:v>
      </x:c>
      <x:c r="O202"/>
      <x:c r="P202"/>
      <x:c r="Q202"/>
      <x:c r="R202"/>
      <x:c r="S202" t="s">
        <x:v>444</x:v>
      </x:c>
      <x:c r="T202" t="s">
        <x:v>102</x:v>
      </x:c>
      <x:c r="U202" t="s">
        <x:v>103</x:v>
      </x:c>
      <x:c r="V202"/>
      <x:c r="W202" s="5" t="n">
        <x:f>COUNTIF($C$2:$C$272,C202)</x:f>
        <x:v>6</x:v>
      </x:c>
      <x:c r="X202" t="str">
        <x:f>IF(W202&gt;=5,"Yes","No")</x:f>
        <x:v>Yes</x:v>
      </x:c>
      <x:c r="Y202" t="str">
        <x:f>INT(A202/10)*10&amp;"s"</x:f>
        <x:v>1910s</x:v>
      </x:c>
    </x:row>
    <x:row r="203">
      <x:c r="A203">
        <x:v>1919</x:v>
      </x:c>
      <x:c r="B203" t="s">
        <x:v>28</x:v>
      </x:c>
      <x:c r="C203" t="s">
        <x:v>440</x:v>
      </x:c>
      <x:c r="D203" t="s">
        <x:v>73</x:v>
      </x:c>
      <x:c r="E203" t="s">
        <x:v>71</x:v>
      </x:c>
      <x:c r="F203"/>
      <x:c r="G203"/>
      <x:c r="H203" t="s">
        <x:v>447</x:v>
      </x:c>
      <x:c r="I203">
        <x:v>6</x:v>
      </x:c>
      <x:c r="J203">
        <x:v>3</x:v>
      </x:c>
      <x:c r="K203">
        <x:v>7</x:v>
      </x:c>
      <x:c r="L203">
        <x:v>5</x:v>
      </x:c>
      <x:c r="M203">
        <x:v>6</x:v>
      </x:c>
      <x:c r="N203">
        <x:v>2</x:v>
      </x:c>
      <x:c r="O203"/>
      <x:c r="P203"/>
      <x:c r="Q203"/>
      <x:c r="R203"/>
      <x:c r="S203" t="s">
        <x:v>448</x:v>
      </x:c>
      <x:c r="T203" t="s">
        <x:v>73</x:v>
      </x:c>
      <x:c r="U203" t="s">
        <x:v>71</x:v>
      </x:c>
      <x:c r="V203"/>
      <x:c r="W203" s="5" t="n">
        <x:f>COUNTIF($C$2:$C$272,C203)</x:f>
        <x:v>2</x:v>
      </x:c>
      <x:c r="X203" t="str">
        <x:f>IF(W203&gt;=5,"Yes","No")</x:f>
        <x:v>No</x:v>
      </x:c>
      <x:c r="Y203" t="str">
        <x:f>INT(A203/10)*10&amp;"s"</x:f>
        <x:v>1910s</x:v>
      </x:c>
    </x:row>
    <x:row r="204">
      <x:c r="A204">
        <x:v>1914</x:v>
      </x:c>
      <x:c r="B204" t="s">
        <x:v>22</x:v>
      </x:c>
      <x:c r="C204" t="s">
        <x:v>444</x:v>
      </x:c>
      <x:c r="D204" t="s">
        <x:v>102</x:v>
      </x:c>
      <x:c r="E204" t="s">
        <x:v>103</x:v>
      </x:c>
      <x:c r="F204"/>
      <x:c r="G204"/>
      <x:c r="H204" t="s">
        <x:v>136</x:v>
      </x:c>
      <x:c r="I204">
        <x:v>7</x:v>
      </x:c>
      <x:c r="J204">
        <x:v>5</x:v>
      </x:c>
      <x:c r="K204">
        <x:v>6</x:v>
      </x:c>
      <x:c r="L204">
        <x:v>4</x:v>
      </x:c>
      <x:c r="M204"/>
      <x:c r="N204"/>
      <x:c r="O204"/>
      <x:c r="P204"/>
      <x:c r="Q204"/>
      <x:c r="R204"/>
      <x:c r="S204" t="s">
        <x:v>449</x:v>
      </x:c>
      <x:c r="T204" t="s">
        <x:v>102</x:v>
      </x:c>
      <x:c r="U204" t="s">
        <x:v>103</x:v>
      </x:c>
      <x:c r="V204"/>
      <x:c r="W204" s="5" t="n">
        <x:f>COUNTIF($C$2:$C$272,C204)</x:f>
        <x:v>7</x:v>
      </x:c>
      <x:c r="X204" t="str">
        <x:f>IF(W204&gt;=5,"Yes","No")</x:f>
        <x:v>Yes</x:v>
      </x:c>
      <x:c r="Y204" t="str">
        <x:f>INT(A204/10)*10&amp;"s"</x:f>
        <x:v>1910s</x:v>
      </x:c>
    </x:row>
    <x:row r="205">
      <x:c r="A205">
        <x:v>1914</x:v>
      </x:c>
      <x:c r="B205" t="s">
        <x:v>28</x:v>
      </x:c>
      <x:c r="C205" t="s">
        <x:v>448</x:v>
      </x:c>
      <x:c r="D205" t="s">
        <x:v>73</x:v>
      </x:c>
      <x:c r="E205" t="s">
        <x:v>71</x:v>
      </x:c>
      <x:c r="F205"/>
      <x:c r="G205"/>
      <x:c r="H205" t="s">
        <x:v>450</x:v>
      </x:c>
      <x:c r="I205">
        <x:v>6</x:v>
      </x:c>
      <x:c r="J205">
        <x:v>4</x:v>
      </x:c>
      <x:c r="K205">
        <x:v>6</x:v>
      </x:c>
      <x:c r="L205">
        <x:v>4</x:v>
      </x:c>
      <x:c r="M205">
        <x:v>7</x:v>
      </x:c>
      <x:c r="N205">
        <x:v>5</x:v>
      </x:c>
      <x:c r="O205"/>
      <x:c r="P205"/>
      <x:c r="Q205"/>
      <x:c r="R205"/>
      <x:c r="S205" t="s">
        <x:v>451</x:v>
      </x:c>
      <x:c r="T205" t="s">
        <x:v>234</x:v>
      </x:c>
      <x:c r="U205" t="s">
        <x:v>235</x:v>
      </x:c>
      <x:c r="V205"/>
      <x:c r="W205" s="5" t="n">
        <x:f>COUNTIF($C$2:$C$272,C205)</x:f>
        <x:v>2</x:v>
      </x:c>
      <x:c r="X205" t="str">
        <x:f>IF(W205&gt;=5,"Yes","No")</x:f>
        <x:v>No</x:v>
      </x:c>
      <x:c r="Y205" t="str">
        <x:f>INT(A205/10)*10&amp;"s"</x:f>
        <x:v>1910s</x:v>
      </x:c>
    </x:row>
    <x:row r="206">
      <x:c r="A206">
        <x:v>1913</x:v>
      </x:c>
      <x:c r="B206" t="s">
        <x:v>22</x:v>
      </x:c>
      <x:c r="C206" t="s">
        <x:v>444</x:v>
      </x:c>
      <x:c r="D206" t="s">
        <x:v>102</x:v>
      </x:c>
      <x:c r="E206" t="s">
        <x:v>103</x:v>
      </x:c>
      <x:c r="F206"/>
      <x:c r="G206"/>
      <x:c r="H206" t="s">
        <x:v>262</x:v>
      </x:c>
      <x:c r="I206">
        <x:v>6</x:v>
      </x:c>
      <x:c r="J206">
        <x:v>0</x:v>
      </x:c>
      <x:c r="K206">
        <x:v>6</x:v>
      </x:c>
      <x:c r="L206">
        <x:v>4</x:v>
      </x:c>
      <x:c r="M206"/>
      <x:c r="N206"/>
      <x:c r="O206"/>
      <x:c r="P206"/>
      <x:c r="Q206"/>
      <x:c r="R206"/>
      <x:c r="S206" t="s">
        <x:v>452</x:v>
      </x:c>
      <x:c r="T206" t="s">
        <x:v>102</x:v>
      </x:c>
      <x:c r="U206" t="s">
        <x:v>103</x:v>
      </x:c>
      <x:c r="V206"/>
      <x:c r="W206" s="5" t="n">
        <x:f>COUNTIF($C$2:$C$272,C206)</x:f>
        <x:v>7</x:v>
      </x:c>
      <x:c r="X206" t="str">
        <x:f>IF(W206&gt;=5,"Yes","No")</x:f>
        <x:v>Yes</x:v>
      </x:c>
      <x:c r="Y206" t="str">
        <x:f>INT(A206/10)*10&amp;"s"</x:f>
        <x:v>1910s</x:v>
      </x:c>
    </x:row>
    <x:row r="207">
      <x:c r="A207">
        <x:v>1913</x:v>
      </x:c>
      <x:c r="B207" t="s">
        <x:v>28</x:v>
      </x:c>
      <x:c r="C207" t="s">
        <x:v>451</x:v>
      </x:c>
      <x:c r="D207" t="s">
        <x:v>234</x:v>
      </x:c>
      <x:c r="E207" t="s">
        <x:v>235</x:v>
      </x:c>
      <x:c r="F207"/>
      <x:c r="G207"/>
      <x:c r="H207" t="s">
        <x:v>453</x:v>
      </x:c>
      <x:c r="I207">
        <x:v>8</x:v>
      </x:c>
      <x:c r="J207">
        <x:v>6</x:v>
      </x:c>
      <x:c r="K207">
        <x:v>6</x:v>
      </x:c>
      <x:c r="L207">
        <x:v>3</x:v>
      </x:c>
      <x:c r="M207">
        <x:v>10</x:v>
      </x:c>
      <x:c r="N207">
        <x:v>8</x:v>
      </x:c>
      <x:c r="O207"/>
      <x:c r="P207"/>
      <x:c r="Q207"/>
      <x:c r="R207"/>
      <x:c r="S207" t="s">
        <x:v>454</x:v>
      </x:c>
      <x:c r="T207" t="s">
        <x:v>41</x:v>
      </x:c>
      <x:c r="U207" t="s">
        <x:v>42</x:v>
      </x:c>
      <x:c r="V207"/>
      <x:c r="W207" s="5" t="n">
        <x:f>COUNTIF($C$2:$C$272,C207)</x:f>
        <x:v>4</x:v>
      </x:c>
      <x:c r="X207" t="str">
        <x:f>IF(W207&gt;=5,"Yes","No")</x:f>
        <x:v>No</x:v>
      </x:c>
      <x:c r="Y207" t="str">
        <x:f>INT(A207/10)*10&amp;"s"</x:f>
        <x:v>1910s</x:v>
      </x:c>
    </x:row>
    <x:row r="208">
      <x:c r="A208">
        <x:v>1912</x:v>
      </x:c>
      <x:c r="B208" t="s">
        <x:v>22</x:v>
      </x:c>
      <x:c r="C208" t="s">
        <x:v>449</x:v>
      </x:c>
      <x:c r="D208" t="s">
        <x:v>102</x:v>
      </x:c>
      <x:c r="E208" t="s">
        <x:v>103</x:v>
      </x:c>
      <x:c r="F208"/>
      <x:c r="G208"/>
      <x:c r="H208" t="s">
        <x:v>403</x:v>
      </x:c>
      <x:c r="I208">
        <x:v>6</x:v>
      </x:c>
      <x:c r="J208">
        <x:v>3</x:v>
      </x:c>
      <x:c r="K208">
        <x:v>6</x:v>
      </x:c>
      <x:c r="L208">
        <x:v>1</x:v>
      </x:c>
      <x:c r="M208"/>
      <x:c r="N208"/>
      <x:c r="O208"/>
      <x:c r="P208"/>
      <x:c r="Q208"/>
      <x:c r="R208"/>
      <x:c r="S208" t="s">
        <x:v>455</x:v>
      </x:c>
      <x:c r="T208" t="s">
        <x:v>102</x:v>
      </x:c>
      <x:c r="U208" t="s">
        <x:v>103</x:v>
      </x:c>
      <x:c r="V208"/>
      <x:c r="W208" s="5" t="n">
        <x:f>COUNTIF($C$2:$C$272,C208)</x:f>
        <x:v>1</x:v>
      </x:c>
      <x:c r="X208" t="str">
        <x:f>IF(W208&gt;=5,"Yes","No")</x:f>
        <x:v>No</x:v>
      </x:c>
      <x:c r="Y208" t="str">
        <x:f>INT(A208/10)*10&amp;"s"</x:f>
        <x:v>1910s</x:v>
      </x:c>
    </x:row>
    <x:row r="209">
      <x:c r="A209">
        <x:v>1912</x:v>
      </x:c>
      <x:c r="B209" t="s">
        <x:v>28</x:v>
      </x:c>
      <x:c r="C209" t="s">
        <x:v>451</x:v>
      </x:c>
      <x:c r="D209" t="s">
        <x:v>234</x:v>
      </x:c>
      <x:c r="E209" t="s">
        <x:v>235</x:v>
      </x:c>
      <x:c r="F209"/>
      <x:c r="G209"/>
      <x:c r="H209" t="s">
        <x:v>456</x:v>
      </x:c>
      <x:c r="I209">
        <x:v>6</x:v>
      </x:c>
      <x:c r="J209">
        <x:v>4</x:v>
      </x:c>
      <x:c r="K209">
        <x:v>6</x:v>
      </x:c>
      <x:c r="L209">
        <x:v>4</x:v>
      </x:c>
      <x:c r="M209">
        <x:v>4</x:v>
      </x:c>
      <x:c r="N209">
        <x:v>6</x:v>
      </x:c>
      <x:c r="O209">
        <x:v>6</x:v>
      </x:c>
      <x:c r="P209">
        <x:v>4</x:v>
      </x:c>
      <x:c r="Q209"/>
      <x:c r="R209"/>
      <x:c r="S209" t="s">
        <x:v>457</x:v>
      </x:c>
      <x:c r="T209" t="s">
        <x:v>102</x:v>
      </x:c>
      <x:c r="U209" t="s">
        <x:v>103</x:v>
      </x:c>
      <x:c r="V209"/>
      <x:c r="W209" s="5" t="n">
        <x:f>COUNTIF($C$2:$C$272,C209)</x:f>
        <x:v>4</x:v>
      </x:c>
      <x:c r="X209" t="str">
        <x:f>IF(W209&gt;=5,"Yes","No")</x:f>
        <x:v>No</x:v>
      </x:c>
      <x:c r="Y209" t="str">
        <x:f>INT(A209/10)*10&amp;"s"</x:f>
        <x:v>1910s</x:v>
      </x:c>
    </x:row>
    <x:row r="210">
      <x:c r="A210">
        <x:v>1911</x:v>
      </x:c>
      <x:c r="B210" t="s">
        <x:v>22</x:v>
      </x:c>
      <x:c r="C210" t="s">
        <x:v>444</x:v>
      </x:c>
      <x:c r="D210" t="s">
        <x:v>102</x:v>
      </x:c>
      <x:c r="E210" t="s">
        <x:v>103</x:v>
      </x:c>
      <x:c r="F210"/>
      <x:c r="G210">
        <x:v>25</x:v>
      </x:c>
      <x:c r="H210" t="s">
        <x:v>458</x:v>
      </x:c>
      <x:c r="I210">
        <x:v>6</x:v>
      </x:c>
      <x:c r="J210">
        <x:v>0</x:v>
      </x:c>
      <x:c r="K210">
        <x:v>6</x:v>
      </x:c>
      <x:c r="L210">
        <x:v>0</x:v>
      </x:c>
      <x:c r="M210"/>
      <x:c r="N210"/>
      <x:c r="O210"/>
      <x:c r="P210"/>
      <x:c r="Q210"/>
      <x:c r="R210"/>
      <x:c r="S210" t="s">
        <x:v>459</x:v>
      </x:c>
      <x:c r="T210" t="s">
        <x:v>102</x:v>
      </x:c>
      <x:c r="U210" t="s">
        <x:v>103</x:v>
      </x:c>
      <x:c r="V210"/>
      <x:c r="W210" s="5" t="n">
        <x:f>COUNTIF($C$2:$C$272,C210)</x:f>
        <x:v>7</x:v>
      </x:c>
      <x:c r="X210" t="str">
        <x:f>IF(W210&gt;=5,"Yes","No")</x:f>
        <x:v>Yes</x:v>
      </x:c>
      <x:c r="Y210" t="str">
        <x:f>INT(A210/10)*10&amp;"s"</x:f>
        <x:v>1910s</x:v>
      </x:c>
    </x:row>
    <x:row r="211">
      <x:c r="A211">
        <x:v>1911</x:v>
      </x:c>
      <x:c r="B211" t="s">
        <x:v>28</x:v>
      </x:c>
      <x:c r="C211" t="s">
        <x:v>451</x:v>
      </x:c>
      <x:c r="D211" t="s">
        <x:v>234</x:v>
      </x:c>
      <x:c r="E211" t="s">
        <x:v>235</x:v>
      </x:c>
      <x:c r="F211"/>
      <x:c r="G211"/>
      <x:c r="H211" t="s">
        <x:v>460</x:v>
      </x:c>
      <x:c r="I211">
        <x:v>6</x:v>
      </x:c>
      <x:c r="J211">
        <x:v>4</x:v>
      </x:c>
      <x:c r="K211">
        <x:v>4</x:v>
      </x:c>
      <x:c r="L211">
        <x:v>6</x:v>
      </x:c>
      <x:c r="M211">
        <x:v>2</x:v>
      </x:c>
      <x:c r="N211">
        <x:v>6</x:v>
      </x:c>
      <x:c r="O211">
        <x:v>6</x:v>
      </x:c>
      <x:c r="P211">
        <x:v>2</x:v>
      </x:c>
      <x:c r="Q211" t="s">
        <x:v>461</x:v>
      </x:c>
      <x:c r="R211"/>
      <x:c r="S211" t="s">
        <x:v>462</x:v>
      </x:c>
      <x:c r="T211" t="s">
        <x:v>102</x:v>
      </x:c>
      <x:c r="U211" t="s">
        <x:v>103</x:v>
      </x:c>
      <x:c r="V211"/>
      <x:c r="W211" s="5" t="n">
        <x:f>COUNTIF($C$2:$C$272,C211)</x:f>
        <x:v>4</x:v>
      </x:c>
      <x:c r="X211" t="str">
        <x:f>IF(W211&gt;=5,"Yes","No")</x:f>
        <x:v>No</x:v>
      </x:c>
      <x:c r="Y211" t="str">
        <x:f>INT(A211/10)*10&amp;"s"</x:f>
        <x:v>1910s</x:v>
      </x:c>
    </x:row>
    <x:row r="212">
      <x:c r="A212">
        <x:v>1910</x:v>
      </x:c>
      <x:c r="B212" t="s">
        <x:v>22</x:v>
      </x:c>
      <x:c r="C212" t="s">
        <x:v>444</x:v>
      </x:c>
      <x:c r="D212" t="s">
        <x:v>102</x:v>
      </x:c>
      <x:c r="E212" t="s">
        <x:v>103</x:v>
      </x:c>
      <x:c r="F212"/>
      <x:c r="G212"/>
      <x:c r="H212" t="s">
        <x:v>412</x:v>
      </x:c>
      <x:c r="I212">
        <x:v>6</x:v>
      </x:c>
      <x:c r="J212">
        <x:v>2</x:v>
      </x:c>
      <x:c r="K212">
        <x:v>6</x:v>
      </x:c>
      <x:c r="L212">
        <x:v>2</x:v>
      </x:c>
      <x:c r="M212"/>
      <x:c r="N212"/>
      <x:c r="O212"/>
      <x:c r="P212"/>
      <x:c r="Q212"/>
      <x:c r="R212"/>
      <x:c r="S212" t="s">
        <x:v>459</x:v>
      </x:c>
      <x:c r="T212" t="s">
        <x:v>102</x:v>
      </x:c>
      <x:c r="U212" t="s">
        <x:v>103</x:v>
      </x:c>
      <x:c r="V212"/>
      <x:c r="W212" s="5" t="n">
        <x:f>COUNTIF($C$2:$C$272,C212)</x:f>
        <x:v>7</x:v>
      </x:c>
      <x:c r="X212" t="str">
        <x:f>IF(W212&gt;=5,"Yes","No")</x:f>
        <x:v>Yes</x:v>
      </x:c>
      <x:c r="Y212" t="str">
        <x:f>INT(A212/10)*10&amp;"s"</x:f>
        <x:v>1910s</x:v>
      </x:c>
    </x:row>
    <x:row r="213">
      <x:c r="A213">
        <x:v>1910</x:v>
      </x:c>
      <x:c r="B213" t="s">
        <x:v>28</x:v>
      </x:c>
      <x:c r="C213" t="s">
        <x:v>451</x:v>
      </x:c>
      <x:c r="D213" t="s">
        <x:v>234</x:v>
      </x:c>
      <x:c r="E213" t="s">
        <x:v>235</x:v>
      </x:c>
      <x:c r="F213"/>
      <x:c r="G213"/>
      <x:c r="H213" t="s">
        <x:v>463</x:v>
      </x:c>
      <x:c r="I213">
        <x:v>6</x:v>
      </x:c>
      <x:c r="J213">
        <x:v>4</x:v>
      </x:c>
      <x:c r="K213">
        <x:v>7</x:v>
      </x:c>
      <x:c r="L213">
        <x:v>5</x:v>
      </x:c>
      <x:c r="M213">
        <x:v>4</x:v>
      </x:c>
      <x:c r="N213">
        <x:v>6</x:v>
      </x:c>
      <x:c r="O213">
        <x:v>6</x:v>
      </x:c>
      <x:c r="P213">
        <x:v>2</x:v>
      </x:c>
      <x:c r="Q213"/>
      <x:c r="R213"/>
      <x:c r="S213" t="s">
        <x:v>457</x:v>
      </x:c>
      <x:c r="T213" t="s">
        <x:v>102</x:v>
      </x:c>
      <x:c r="U213" t="s">
        <x:v>103</x:v>
      </x:c>
      <x:c r="V213"/>
      <x:c r="W213" s="5" t="n">
        <x:f>COUNTIF($C$2:$C$272,C213)</x:f>
        <x:v>4</x:v>
      </x:c>
      <x:c r="X213" t="str">
        <x:f>IF(W213&gt;=5,"Yes","No")</x:f>
        <x:v>No</x:v>
      </x:c>
      <x:c r="Y213" t="str">
        <x:f>INT(A213/10)*10&amp;"s"</x:f>
        <x:v>1910s</x:v>
      </x:c>
    </x:row>
    <x:row r="214">
      <x:c r="A214">
        <x:v>1909</x:v>
      </x:c>
      <x:c r="B214" t="s">
        <x:v>22</x:v>
      </x:c>
      <x:c r="C214" t="s">
        <x:v>459</x:v>
      </x:c>
      <x:c r="D214" t="s">
        <x:v>102</x:v>
      </x:c>
      <x:c r="E214" t="s">
        <x:v>103</x:v>
      </x:c>
      <x:c r="F214"/>
      <x:c r="G214"/>
      <x:c r="H214" t="s">
        <x:v>464</x:v>
      </x:c>
      <x:c r="I214">
        <x:v>6</x:v>
      </x:c>
      <x:c r="J214">
        <x:v>4</x:v>
      </x:c>
      <x:c r="K214">
        <x:v>4</x:v>
      </x:c>
      <x:c r="L214">
        <x:v>6</x:v>
      </x:c>
      <x:c r="M214">
        <x:v>8</x:v>
      </x:c>
      <x:c r="N214">
        <x:v>6</x:v>
      </x:c>
      <x:c r="O214"/>
      <x:c r="P214"/>
      <x:c r="Q214"/>
      <x:c r="R214"/>
      <x:c r="S214" t="s">
        <x:v>465</x:v>
      </x:c>
      <x:c r="T214" t="s">
        <x:v>102</x:v>
      </x:c>
      <x:c r="U214" t="s">
        <x:v>103</x:v>
      </x:c>
      <x:c r="V214"/>
      <x:c r="W214" s="5" t="n">
        <x:f>COUNTIF($C$2:$C$272,C214)</x:f>
        <x:v>1</x:v>
      </x:c>
      <x:c r="X214" t="str">
        <x:f>IF(W214&gt;=5,"Yes","No")</x:f>
        <x:v>No</x:v>
      </x:c>
      <x:c r="Y214" t="str">
        <x:f>INT(A214/10)*10&amp;"s"</x:f>
        <x:v>1900s</x:v>
      </x:c>
    </x:row>
    <x:row r="215">
      <x:c r="A215">
        <x:v>1909</x:v>
      </x:c>
      <x:c r="B215" t="s">
        <x:v>28</x:v>
      </x:c>
      <x:c r="C215" t="s">
        <x:v>457</x:v>
      </x:c>
      <x:c r="D215" t="s">
        <x:v>102</x:v>
      </x:c>
      <x:c r="E215" t="s">
        <x:v>103</x:v>
      </x:c>
      <x:c r="F215"/>
      <x:c r="G215">
        <x:v>95</x:v>
      </x:c>
      <x:c r="H215" t="s">
        <x:v>466</x:v>
      </x:c>
      <x:c r="I215">
        <x:v>6</x:v>
      </x:c>
      <x:c r="J215">
        <x:v>8</x:v>
      </x:c>
      <x:c r="K215">
        <x:v>1</x:v>
      </x:c>
      <x:c r="L215">
        <x:v>6</x:v>
      </x:c>
      <x:c r="M215">
        <x:v>6</x:v>
      </x:c>
      <x:c r="N215">
        <x:v>2</x:v>
      </x:c>
      <x:c r="O215">
        <x:v>6</x:v>
      </x:c>
      <x:c r="P215">
        <x:v>2</x:v>
      </x:c>
      <x:c r="Q215">
        <x:v>6</x:v>
      </x:c>
      <x:c r="R215">
        <x:v>2</x:v>
      </x:c>
      <x:c r="S215" t="s">
        <x:v>467</x:v>
      </x:c>
      <x:c r="T215" t="s">
        <x:v>102</x:v>
      </x:c>
      <x:c r="U215" t="s">
        <x:v>103</x:v>
      </x:c>
      <x:c r="V215"/>
      <x:c r="W215" s="5" t="n">
        <x:f>COUNTIF($C$2:$C$272,C215)</x:f>
        <x:v>3</x:v>
      </x:c>
      <x:c r="X215" t="str">
        <x:f>IF(W215&gt;=5,"Yes","No")</x:f>
        <x:v>No</x:v>
      </x:c>
      <x:c r="Y215" t="str">
        <x:f>INT(A215/10)*10&amp;"s"</x:f>
        <x:v>1900s</x:v>
      </x:c>
    </x:row>
    <x:row r="216">
      <x:c r="A216">
        <x:v>1908</x:v>
      </x:c>
      <x:c r="B216" t="s">
        <x:v>22</x:v>
      </x:c>
      <x:c r="C216" t="s">
        <x:v>455</x:v>
      </x:c>
      <x:c r="D216" t="s">
        <x:v>102</x:v>
      </x:c>
      <x:c r="E216" t="s">
        <x:v>103</x:v>
      </x:c>
      <x:c r="F216"/>
      <x:c r="G216"/>
      <x:c r="H216" t="s">
        <x:v>56</x:v>
      </x:c>
      <x:c r="I216">
        <x:v>6</x:v>
      </x:c>
      <x:c r="J216">
        <x:v>4</x:v>
      </x:c>
      <x:c r="K216">
        <x:v>6</x:v>
      </x:c>
      <x:c r="L216">
        <x:v>4</x:v>
      </x:c>
      <x:c r="M216"/>
      <x:c r="N216"/>
      <x:c r="O216"/>
      <x:c r="P216"/>
      <x:c r="Q216"/>
      <x:c r="R216"/>
      <x:c r="S216" t="s">
        <x:v>465</x:v>
      </x:c>
      <x:c r="T216" t="s">
        <x:v>102</x:v>
      </x:c>
      <x:c r="U216" t="s">
        <x:v>103</x:v>
      </x:c>
      <x:c r="V216"/>
      <x:c r="W216" s="5" t="n">
        <x:f>COUNTIF($C$2:$C$272,C216)</x:f>
        <x:v>5</x:v>
      </x:c>
      <x:c r="X216" t="str">
        <x:f>IF(W216&gt;=5,"Yes","No")</x:f>
        <x:v>Yes</x:v>
      </x:c>
      <x:c r="Y216" t="str">
        <x:f>INT(A216/10)*10&amp;"s"</x:f>
        <x:v>1900s</x:v>
      </x:c>
    </x:row>
    <x:row r="217">
      <x:c r="A217">
        <x:v>1908</x:v>
      </x:c>
      <x:c r="B217" t="s">
        <x:v>28</x:v>
      </x:c>
      <x:c r="C217" t="s">
        <x:v>457</x:v>
      </x:c>
      <x:c r="D217" t="s">
        <x:v>102</x:v>
      </x:c>
      <x:c r="E217" t="s">
        <x:v>103</x:v>
      </x:c>
      <x:c r="F217"/>
      <x:c r="G217"/>
      <x:c r="H217" t="s">
        <x:v>468</x:v>
      </x:c>
      <x:c r="I217">
        <x:v>6</x:v>
      </x:c>
      <x:c r="J217">
        <x:v>3</x:v>
      </x:c>
      <x:c r="K217">
        <x:v>6</x:v>
      </x:c>
      <x:c r="L217">
        <x:v>2</x:v>
      </x:c>
      <x:c r="M217">
        <x:v>4</x:v>
      </x:c>
      <x:c r="N217">
        <x:v>6</x:v>
      </x:c>
      <x:c r="O217">
        <x:v>3</x:v>
      </x:c>
      <x:c r="P217">
        <x:v>6</x:v>
      </x:c>
      <x:c r="Q217">
        <x:v>6</x:v>
      </x:c>
      <x:c r="R217">
        <x:v>4</x:v>
      </x:c>
      <x:c r="S217" t="s">
        <x:v>462</x:v>
      </x:c>
      <x:c r="T217" t="s">
        <x:v>102</x:v>
      </x:c>
      <x:c r="U217" t="s">
        <x:v>103</x:v>
      </x:c>
      <x:c r="V217"/>
      <x:c r="W217" s="5" t="n">
        <x:f>COUNTIF($C$2:$C$272,C217)</x:f>
        <x:v>3</x:v>
      </x:c>
      <x:c r="X217" t="str">
        <x:f>IF(W217&gt;=5,"Yes","No")</x:f>
        <x:v>No</x:v>
      </x:c>
      <x:c r="Y217" t="str">
        <x:f>INT(A217/10)*10&amp;"s"</x:f>
        <x:v>1900s</x:v>
      </x:c>
    </x:row>
    <x:row r="218">
      <x:c r="A218">
        <x:v>1907</x:v>
      </x:c>
      <x:c r="B218" t="s">
        <x:v>22</x:v>
      </x:c>
      <x:c r="C218" t="s">
        <x:v>469</x:v>
      </x:c>
      <x:c r="D218" t="s">
        <x:v>41</x:v>
      </x:c>
      <x:c r="E218" t="s">
        <x:v>42</x:v>
      </x:c>
      <x:c r="F218"/>
      <x:c r="G218"/>
      <x:c r="H218" t="s">
        <x:v>149</x:v>
      </x:c>
      <x:c r="I218">
        <x:v>6</x:v>
      </x:c>
      <x:c r="J218">
        <x:v>1</x:v>
      </x:c>
      <x:c r="K218">
        <x:v>6</x:v>
      </x:c>
      <x:c r="L218">
        <x:v>4</x:v>
      </x:c>
      <x:c r="M218"/>
      <x:c r="N218"/>
      <x:c r="O218"/>
      <x:c r="P218"/>
      <x:c r="Q218"/>
      <x:c r="R218"/>
      <x:c r="S218" t="s">
        <x:v>444</x:v>
      </x:c>
      <x:c r="T218" t="s">
        <x:v>102</x:v>
      </x:c>
      <x:c r="U218" t="s">
        <x:v>103</x:v>
      </x:c>
      <x:c r="V218"/>
      <x:c r="W218" s="5" t="n">
        <x:f>COUNTIF($C$2:$C$272,C218)</x:f>
        <x:v>2</x:v>
      </x:c>
      <x:c r="X218" t="str">
        <x:f>IF(W218&gt;=5,"Yes","No")</x:f>
        <x:v>No</x:v>
      </x:c>
      <x:c r="Y218" t="str">
        <x:f>INT(A218/10)*10&amp;"s"</x:f>
        <x:v>1900s</x:v>
      </x:c>
    </x:row>
    <x:row r="219">
      <x:c r="A219">
        <x:v>1907</x:v>
      </x:c>
      <x:c r="B219" t="s">
        <x:v>28</x:v>
      </x:c>
      <x:c r="C219" t="s">
        <x:v>448</x:v>
      </x:c>
      <x:c r="D219" t="s">
        <x:v>73</x:v>
      </x:c>
      <x:c r="E219" t="s">
        <x:v>71</x:v>
      </x:c>
      <x:c r="F219"/>
      <x:c r="G219"/>
      <x:c r="H219" t="s">
        <x:v>470</x:v>
      </x:c>
      <x:c r="I219">
        <x:v>6</x:v>
      </x:c>
      <x:c r="J219">
        <x:v>4</x:v>
      </x:c>
      <x:c r="K219">
        <x:v>6</x:v>
      </x:c>
      <x:c r="L219">
        <x:v>2</x:v>
      </x:c>
      <x:c r="M219">
        <x:v>6</x:v>
      </x:c>
      <x:c r="N219">
        <x:v>2</x:v>
      </x:c>
      <x:c r="O219"/>
      <x:c r="P219"/>
      <x:c r="Q219"/>
      <x:c r="R219"/>
      <x:c r="S219" t="s">
        <x:v>457</x:v>
      </x:c>
      <x:c r="T219" t="s">
        <x:v>102</x:v>
      </x:c>
      <x:c r="U219" t="s">
        <x:v>103</x:v>
      </x:c>
      <x:c r="V219"/>
      <x:c r="W219" s="5" t="n">
        <x:f>COUNTIF($C$2:$C$272,C219)</x:f>
        <x:v>2</x:v>
      </x:c>
      <x:c r="X219" t="str">
        <x:f>IF(W219&gt;=5,"Yes","No")</x:f>
        <x:v>No</x:v>
      </x:c>
      <x:c r="Y219" t="str">
        <x:f>INT(A219/10)*10&amp;"s"</x:f>
        <x:v>1900s</x:v>
      </x:c>
    </x:row>
    <x:row r="220">
      <x:c r="A220">
        <x:v>1906</x:v>
      </x:c>
      <x:c r="B220" t="s">
        <x:v>22</x:v>
      </x:c>
      <x:c r="C220" t="s">
        <x:v>444</x:v>
      </x:c>
      <x:c r="D220" t="s">
        <x:v>102</x:v>
      </x:c>
      <x:c r="E220" t="s">
        <x:v>103</x:v>
      </x:c>
      <x:c r="F220"/>
      <x:c r="G220">
        <x:v>57</x:v>
      </x:c>
      <x:c r="H220" t="s">
        <x:v>471</x:v>
      </x:c>
      <x:c r="I220">
        <x:v>6</x:v>
      </x:c>
      <x:c r="J220">
        <x:v>3</x:v>
      </x:c>
      <x:c r="K220">
        <x:v>9</x:v>
      </x:c>
      <x:c r="L220">
        <x:v>7</x:v>
      </x:c>
      <x:c r="M220"/>
      <x:c r="N220"/>
      <x:c r="O220"/>
      <x:c r="P220"/>
      <x:c r="Q220"/>
      <x:c r="R220"/>
      <x:c r="S220" t="s">
        <x:v>469</x:v>
      </x:c>
      <x:c r="T220" t="s">
        <x:v>41</x:v>
      </x:c>
      <x:c r="U220" t="s">
        <x:v>42</x:v>
      </x:c>
      <x:c r="V220"/>
      <x:c r="W220" s="5" t="n">
        <x:f>COUNTIF($C$2:$C$272,C220)</x:f>
        <x:v>7</x:v>
      </x:c>
      <x:c r="X220" t="str">
        <x:f>IF(W220&gt;=5,"Yes","No")</x:f>
        <x:v>Yes</x:v>
      </x:c>
      <x:c r="Y220" t="str">
        <x:f>INT(A220/10)*10&amp;"s"</x:f>
        <x:v>1900s</x:v>
      </x:c>
    </x:row>
    <x:row r="221">
      <x:c r="A221">
        <x:v>1906</x:v>
      </x:c>
      <x:c r="B221" t="s">
        <x:v>28</x:v>
      </x:c>
      <x:c r="C221" t="s">
        <x:v>472</x:v>
      </x:c>
      <x:c r="D221" t="s">
        <x:v>102</x:v>
      </x:c>
      <x:c r="E221" t="s">
        <x:v>103</x:v>
      </x:c>
      <x:c r="F221"/>
      <x:c r="G221">
        <x:v>74</x:v>
      </x:c>
      <x:c r="H221" t="s">
        <x:v>473</x:v>
      </x:c>
      <x:c r="I221">
        <x:v>6</x:v>
      </x:c>
      <x:c r="J221">
        <x:v>4</x:v>
      </x:c>
      <x:c r="K221">
        <x:v>4</x:v>
      </x:c>
      <x:c r="L221">
        <x:v>6</x:v>
      </x:c>
      <x:c r="M221">
        <x:v>6</x:v>
      </x:c>
      <x:c r="N221">
        <x:v>2</x:v>
      </x:c>
      <x:c r="O221">
        <x:v>6</x:v>
      </x:c>
      <x:c r="P221">
        <x:v>3</x:v>
      </x:c>
      <x:c r="Q221"/>
      <x:c r="R221"/>
      <x:c r="S221" t="s">
        <x:v>474</x:v>
      </x:c>
      <x:c r="T221" t="s">
        <x:v>102</x:v>
      </x:c>
      <x:c r="U221" t="s">
        <x:v>103</x:v>
      </x:c>
      <x:c r="V221"/>
      <x:c r="W221" s="5" t="n">
        <x:f>COUNTIF($C$2:$C$272,C221)</x:f>
        <x:v>5</x:v>
      </x:c>
      <x:c r="X221" t="str">
        <x:f>IF(W221&gt;=5,"Yes","No")</x:f>
        <x:v>Yes</x:v>
      </x:c>
      <x:c r="Y221" t="str">
        <x:f>INT(A221/10)*10&amp;"s"</x:f>
        <x:v>1900s</x:v>
      </x:c>
    </x:row>
    <x:row r="222">
      <x:c r="A222">
        <x:v>1905</x:v>
      </x:c>
      <x:c r="B222" t="s">
        <x:v>22</x:v>
      </x:c>
      <x:c r="C222" t="s">
        <x:v>469</x:v>
      </x:c>
      <x:c r="D222" t="s">
        <x:v>41</x:v>
      </x:c>
      <x:c r="E222" t="s">
        <x:v>42</x:v>
      </x:c>
      <x:c r="F222"/>
      <x:c r="G222"/>
      <x:c r="H222" t="s">
        <x:v>123</x:v>
      </x:c>
      <x:c r="I222">
        <x:v>6</x:v>
      </x:c>
      <x:c r="J222">
        <x:v>3</x:v>
      </x:c>
      <x:c r="K222">
        <x:v>6</x:v>
      </x:c>
      <x:c r="L222">
        <x:v>4</x:v>
      </x:c>
      <x:c r="M222"/>
      <x:c r="N222"/>
      <x:c r="O222"/>
      <x:c r="P222"/>
      <x:c r="Q222"/>
      <x:c r="R222"/>
      <x:c r="S222" t="s">
        <x:v>444</x:v>
      </x:c>
      <x:c r="T222" t="s">
        <x:v>102</x:v>
      </x:c>
      <x:c r="U222" t="s">
        <x:v>103</x:v>
      </x:c>
      <x:c r="V222"/>
      <x:c r="W222" s="5" t="n">
        <x:f>COUNTIF($C$2:$C$272,C222)</x:f>
        <x:v>2</x:v>
      </x:c>
      <x:c r="X222" t="str">
        <x:f>IF(W222&gt;=5,"Yes","No")</x:f>
        <x:v>No</x:v>
      </x:c>
      <x:c r="Y222" t="str">
        <x:f>INT(A222/10)*10&amp;"s"</x:f>
        <x:v>1900s</x:v>
      </x:c>
    </x:row>
    <x:row r="223">
      <x:c r="A223">
        <x:v>1905</x:v>
      </x:c>
      <x:c r="B223" t="s">
        <x:v>28</x:v>
      </x:c>
      <x:c r="C223" t="s">
        <x:v>472</x:v>
      </x:c>
      <x:c r="D223" t="s">
        <x:v>102</x:v>
      </x:c>
      <x:c r="E223" t="s">
        <x:v>103</x:v>
      </x:c>
      <x:c r="F223"/>
      <x:c r="G223">
        <x:v>65</x:v>
      </x:c>
      <x:c r="H223" t="s">
        <x:v>475</x:v>
      </x:c>
      <x:c r="I223">
        <x:v>8</x:v>
      </x:c>
      <x:c r="J223">
        <x:v>6</x:v>
      </x:c>
      <x:c r="K223">
        <x:v>6</x:v>
      </x:c>
      <x:c r="L223">
        <x:v>2</x:v>
      </x:c>
      <x:c r="M223">
        <x:v>6</x:v>
      </x:c>
      <x:c r="N223">
        <x:v>4</x:v>
      </x:c>
      <x:c r="O223"/>
      <x:c r="P223"/>
      <x:c r="Q223"/>
      <x:c r="R223"/>
      <x:c r="S223" t="s">
        <x:v>448</x:v>
      </x:c>
      <x:c r="T223" t="s">
        <x:v>73</x:v>
      </x:c>
      <x:c r="U223" t="s">
        <x:v>71</x:v>
      </x:c>
      <x:c r="V223"/>
      <x:c r="W223" s="5" t="n">
        <x:f>COUNTIF($C$2:$C$272,C223)</x:f>
        <x:v>5</x:v>
      </x:c>
      <x:c r="X223" t="str">
        <x:f>IF(W223&gt;=5,"Yes","No")</x:f>
        <x:v>Yes</x:v>
      </x:c>
      <x:c r="Y223" t="str">
        <x:f>INT(A223/10)*10&amp;"s"</x:f>
        <x:v>1900s</x:v>
      </x:c>
    </x:row>
    <x:row r="224">
      <x:c r="A224">
        <x:v>1904</x:v>
      </x:c>
      <x:c r="B224" t="s">
        <x:v>22</x:v>
      </x:c>
      <x:c r="C224" t="s">
        <x:v>444</x:v>
      </x:c>
      <x:c r="D224" t="s">
        <x:v>102</x:v>
      </x:c>
      <x:c r="E224" t="s">
        <x:v>103</x:v>
      </x:c>
      <x:c r="F224"/>
      <x:c r="G224"/>
      <x:c r="H224" t="s">
        <x:v>476</x:v>
      </x:c>
      <x:c r="I224">
        <x:v>6</x:v>
      </x:c>
      <x:c r="J224">
        <x:v>0</x:v>
      </x:c>
      <x:c r="K224">
        <x:v>6</x:v>
      </x:c>
      <x:c r="L224">
        <x:v>3</x:v>
      </x:c>
      <x:c r="M224"/>
      <x:c r="N224"/>
      <x:c r="O224"/>
      <x:c r="P224"/>
      <x:c r="Q224"/>
      <x:c r="R224"/>
      <x:c r="S224" t="s">
        <x:v>455</x:v>
      </x:c>
      <x:c r="T224" t="s">
        <x:v>102</x:v>
      </x:c>
      <x:c r="U224" t="s">
        <x:v>103</x:v>
      </x:c>
      <x:c r="V224"/>
      <x:c r="W224" s="5" t="n">
        <x:f>COUNTIF($C$2:$C$272,C224)</x:f>
        <x:v>7</x:v>
      </x:c>
      <x:c r="X224" t="str">
        <x:f>IF(W224&gt;=5,"Yes","No")</x:f>
        <x:v>Yes</x:v>
      </x:c>
      <x:c r="Y224" t="str">
        <x:f>INT(A224/10)*10&amp;"s"</x:f>
        <x:v>1900s</x:v>
      </x:c>
    </x:row>
    <x:row r="225">
      <x:c r="A225">
        <x:v>1904</x:v>
      </x:c>
      <x:c r="B225" t="s">
        <x:v>28</x:v>
      </x:c>
      <x:c r="C225" t="s">
        <x:v>472</x:v>
      </x:c>
      <x:c r="D225" t="s">
        <x:v>102</x:v>
      </x:c>
      <x:c r="E225" t="s">
        <x:v>103</x:v>
      </x:c>
      <x:c r="F225"/>
      <x:c r="G225"/>
      <x:c r="H225" t="s">
        <x:v>477</x:v>
      </x:c>
      <x:c r="I225">
        <x:v>6</x:v>
      </x:c>
      <x:c r="J225">
        <x:v>1</x:v>
      </x:c>
      <x:c r="K225">
        <x:v>7</x:v>
      </x:c>
      <x:c r="L225">
        <x:v>5</x:v>
      </x:c>
      <x:c r="M225">
        <x:v>8</x:v>
      </x:c>
      <x:c r="N225">
        <x:v>6</x:v>
      </x:c>
      <x:c r="O225"/>
      <x:c r="P225"/>
      <x:c r="Q225"/>
      <x:c r="R225"/>
      <x:c r="S225" t="s">
        <x:v>474</x:v>
      </x:c>
      <x:c r="T225" t="s">
        <x:v>102</x:v>
      </x:c>
      <x:c r="U225" t="s">
        <x:v>103</x:v>
      </x:c>
      <x:c r="V225"/>
      <x:c r="W225" s="5" t="n">
        <x:f>COUNTIF($C$2:$C$272,C225)</x:f>
        <x:v>5</x:v>
      </x:c>
      <x:c r="X225" t="str">
        <x:f>IF(W225&gt;=5,"Yes","No")</x:f>
        <x:v>Yes</x:v>
      </x:c>
      <x:c r="Y225" t="str">
        <x:f>INT(A225/10)*10&amp;"s"</x:f>
        <x:v>1900s</x:v>
      </x:c>
    </x:row>
    <x:row r="226">
      <x:c r="A226">
        <x:v>1903</x:v>
      </x:c>
      <x:c r="B226" t="s">
        <x:v>22</x:v>
      </x:c>
      <x:c r="C226" t="s">
        <x:v>444</x:v>
      </x:c>
      <x:c r="D226" t="s">
        <x:v>102</x:v>
      </x:c>
      <x:c r="E226" t="s">
        <x:v>103</x:v>
      </x:c>
      <x:c r="F226"/>
      <x:c r="G226"/>
      <x:c r="H226" t="s">
        <x:v>151</x:v>
      </x:c>
      <x:c r="I226">
        <x:v>4</x:v>
      </x:c>
      <x:c r="J226">
        <x:v>6</x:v>
      </x:c>
      <x:c r="K226">
        <x:v>6</x:v>
      </x:c>
      <x:c r="L226">
        <x:v>4</x:v>
      </x:c>
      <x:c r="M226">
        <x:v>6</x:v>
      </x:c>
      <x:c r="N226">
        <x:v>2</x:v>
      </x:c>
      <x:c r="O226"/>
      <x:c r="P226"/>
      <x:c r="Q226"/>
      <x:c r="R226"/>
      <x:c r="S226" t="s">
        <x:v>478</x:v>
      </x:c>
      <x:c r="T226" t="s">
        <x:v>102</x:v>
      </x:c>
      <x:c r="U226" t="s">
        <x:v>103</x:v>
      </x:c>
      <x:c r="V226"/>
      <x:c r="W226" s="5" t="n">
        <x:f>COUNTIF($C$2:$C$272,C226)</x:f>
        <x:v>7</x:v>
      </x:c>
      <x:c r="X226" t="str">
        <x:f>IF(W226&gt;=5,"Yes","No")</x:f>
        <x:v>Yes</x:v>
      </x:c>
      <x:c r="Y226" t="str">
        <x:f>INT(A226/10)*10&amp;"s"</x:f>
        <x:v>1900s</x:v>
      </x:c>
    </x:row>
    <x:row r="227">
      <x:c r="A227">
        <x:v>1903</x:v>
      </x:c>
      <x:c r="B227" t="s">
        <x:v>28</x:v>
      </x:c>
      <x:c r="C227" t="s">
        <x:v>472</x:v>
      </x:c>
      <x:c r="D227" t="s">
        <x:v>102</x:v>
      </x:c>
      <x:c r="E227" t="s">
        <x:v>103</x:v>
      </x:c>
      <x:c r="F227"/>
      <x:c r="G227"/>
      <x:c r="H227" t="s">
        <x:v>479</x:v>
      </x:c>
      <x:c r="I227">
        <x:v>7</x:v>
      </x:c>
      <x:c r="J227">
        <x:v>5</x:v>
      </x:c>
      <x:c r="K227">
        <x:v>6</x:v>
      </x:c>
      <x:c r="L227">
        <x:v>3</x:v>
      </x:c>
      <x:c r="M227">
        <x:v>6</x:v>
      </x:c>
      <x:c r="N227">
        <x:v>0</x:v>
      </x:c>
      <x:c r="O227"/>
      <x:c r="P227"/>
      <x:c r="Q227"/>
      <x:c r="R227"/>
      <x:c r="S227" t="s">
        <x:v>474</x:v>
      </x:c>
      <x:c r="T227" t="s">
        <x:v>102</x:v>
      </x:c>
      <x:c r="U227" t="s">
        <x:v>103</x:v>
      </x:c>
      <x:c r="V227"/>
      <x:c r="W227" s="5" t="n">
        <x:f>COUNTIF($C$2:$C$272,C227)</x:f>
        <x:v>5</x:v>
      </x:c>
      <x:c r="X227" t="str">
        <x:f>IF(W227&gt;=5,"Yes","No")</x:f>
        <x:v>Yes</x:v>
      </x:c>
      <x:c r="Y227" t="str">
        <x:f>INT(A227/10)*10&amp;"s"</x:f>
        <x:v>1900s</x:v>
      </x:c>
    </x:row>
    <x:row r="228">
      <x:c r="A228">
        <x:v>1902</x:v>
      </x:c>
      <x:c r="B228" t="s">
        <x:v>22</x:v>
      </x:c>
      <x:c r="C228" t="s">
        <x:v>480</x:v>
      </x:c>
      <x:c r="D228" t="s">
        <x:v>102</x:v>
      </x:c>
      <x:c r="E228" t="s">
        <x:v>103</x:v>
      </x:c>
      <x:c r="F228"/>
      <x:c r="G228"/>
      <x:c r="H228" t="s">
        <x:v>481</x:v>
      </x:c>
      <x:c r="I228">
        <x:v>7</x:v>
      </x:c>
      <x:c r="J228">
        <x:v>5</x:v>
      </x:c>
      <x:c r="K228">
        <x:v>6</x:v>
      </x:c>
      <x:c r="L228">
        <x:v>1</x:v>
      </x:c>
      <x:c r="M228"/>
      <x:c r="N228"/>
      <x:c r="O228"/>
      <x:c r="P228"/>
      <x:c r="Q228"/>
      <x:c r="R228"/>
      <x:c r="S228" t="s">
        <x:v>455</x:v>
      </x:c>
      <x:c r="T228" t="s">
        <x:v>102</x:v>
      </x:c>
      <x:c r="U228" t="s">
        <x:v>103</x:v>
      </x:c>
      <x:c r="V228"/>
      <x:c r="W228" s="5" t="n">
        <x:f>COUNTIF($C$2:$C$272,C228)</x:f>
        <x:v>1</x:v>
      </x:c>
      <x:c r="X228" t="str">
        <x:f>IF(W228&gt;=5,"Yes","No")</x:f>
        <x:v>No</x:v>
      </x:c>
      <x:c r="Y228" t="str">
        <x:f>INT(A228/10)*10&amp;"s"</x:f>
        <x:v>1900s</x:v>
      </x:c>
    </x:row>
    <x:row r="229">
      <x:c r="A229">
        <x:v>1902</x:v>
      </x:c>
      <x:c r="B229" t="s">
        <x:v>28</x:v>
      </x:c>
      <x:c r="C229" t="s">
        <x:v>472</x:v>
      </x:c>
      <x:c r="D229" t="s">
        <x:v>102</x:v>
      </x:c>
      <x:c r="E229" t="s">
        <x:v>103</x:v>
      </x:c>
      <x:c r="F229"/>
      <x:c r="G229">
        <x:v>84</x:v>
      </x:c>
      <x:c r="H229" t="s">
        <x:v>482</x:v>
      </x:c>
      <x:c r="I229">
        <x:v>6</x:v>
      </x:c>
      <x:c r="J229">
        <x:v>4</x:v>
      </x:c>
      <x:c r="K229">
        <x:v>6</x:v>
      </x:c>
      <x:c r="L229">
        <x:v>3</x:v>
      </x:c>
      <x:c r="M229">
        <x:v>3</x:v>
      </x:c>
      <x:c r="N229">
        <x:v>6</x:v>
      </x:c>
      <x:c r="O229">
        <x:v>6</x:v>
      </x:c>
      <x:c r="P229">
        <x:v>0</x:v>
      </x:c>
      <x:c r="Q229"/>
      <x:c r="R229"/>
      <x:c r="S229" t="s">
        <x:v>457</x:v>
      </x:c>
      <x:c r="T229" t="s">
        <x:v>102</x:v>
      </x:c>
      <x:c r="U229" t="s">
        <x:v>103</x:v>
      </x:c>
      <x:c r="V229"/>
      <x:c r="W229" s="5" t="n">
        <x:f>COUNTIF($C$2:$C$272,C229)</x:f>
        <x:v>5</x:v>
      </x:c>
      <x:c r="X229" t="str">
        <x:f>IF(W229&gt;=5,"Yes","No")</x:f>
        <x:v>Yes</x:v>
      </x:c>
      <x:c r="Y229" t="str">
        <x:f>INT(A229/10)*10&amp;"s"</x:f>
        <x:v>1900s</x:v>
      </x:c>
    </x:row>
    <x:row r="230">
      <x:c r="A230">
        <x:v>1901</x:v>
      </x:c>
      <x:c r="B230" t="s">
        <x:v>22</x:v>
      </x:c>
      <x:c r="C230" t="s">
        <x:v>455</x:v>
      </x:c>
      <x:c r="D230" t="s">
        <x:v>102</x:v>
      </x:c>
      <x:c r="E230" t="s">
        <x:v>103</x:v>
      </x:c>
      <x:c r="F230"/>
      <x:c r="G230"/>
      <x:c r="H230" t="s">
        <x:v>412</x:v>
      </x:c>
      <x:c r="I230">
        <x:v>6</x:v>
      </x:c>
      <x:c r="J230">
        <x:v>2</x:v>
      </x:c>
      <x:c r="K230">
        <x:v>6</x:v>
      </x:c>
      <x:c r="L230">
        <x:v>2</x:v>
      </x:c>
      <x:c r="M230"/>
      <x:c r="N230"/>
      <x:c r="O230"/>
      <x:c r="P230"/>
      <x:c r="Q230"/>
      <x:c r="R230"/>
      <x:c r="S230" t="s">
        <x:v>483</x:v>
      </x:c>
      <x:c r="T230" t="s">
        <x:v>102</x:v>
      </x:c>
      <x:c r="U230" t="s">
        <x:v>103</x:v>
      </x:c>
      <x:c r="V230"/>
      <x:c r="W230" s="5" t="n">
        <x:f>COUNTIF($C$2:$C$272,C230)</x:f>
        <x:v>5</x:v>
      </x:c>
      <x:c r="X230" t="str">
        <x:f>IF(W230&gt;=5,"Yes","No")</x:f>
        <x:v>Yes</x:v>
      </x:c>
      <x:c r="Y230" t="str">
        <x:f>INT(A230/10)*10&amp;"s"</x:f>
        <x:v>1900s</x:v>
      </x:c>
    </x:row>
    <x:row r="231">
      <x:c r="A231">
        <x:v>1901</x:v>
      </x:c>
      <x:c r="B231" t="s">
        <x:v>28</x:v>
      </x:c>
      <x:c r="C231" t="s">
        <x:v>457</x:v>
      </x:c>
      <x:c r="D231" t="s">
        <x:v>102</x:v>
      </x:c>
      <x:c r="E231" t="s">
        <x:v>103</x:v>
      </x:c>
      <x:c r="F231"/>
      <x:c r="G231">
        <x:v>95</x:v>
      </x:c>
      <x:c r="H231" t="s">
        <x:v>484</x:v>
      </x:c>
      <x:c r="I231">
        <x:v>4</x:v>
      </x:c>
      <x:c r="J231">
        <x:v>6</x:v>
      </x:c>
      <x:c r="K231">
        <x:v>7</x:v>
      </x:c>
      <x:c r="L231">
        <x:v>5</x:v>
      </x:c>
      <x:c r="M231">
        <x:v>6</x:v>
      </x:c>
      <x:c r="N231">
        <x:v>4</x:v>
      </x:c>
      <x:c r="O231">
        <x:v>6</x:v>
      </x:c>
      <x:c r="P231">
        <x:v>4</x:v>
      </x:c>
      <x:c r="Q231"/>
      <x:c r="R231"/>
      <x:c r="S231" t="s">
        <x:v>485</x:v>
      </x:c>
      <x:c r="T231" t="s">
        <x:v>102</x:v>
      </x:c>
      <x:c r="U231" t="s">
        <x:v>103</x:v>
      </x:c>
      <x:c r="V231"/>
      <x:c r="W231" s="5" t="n">
        <x:f>COUNTIF($C$2:$C$272,C231)</x:f>
        <x:v>3</x:v>
      </x:c>
      <x:c r="X231" t="str">
        <x:f>IF(W231&gt;=5,"Yes","No")</x:f>
        <x:v>No</x:v>
      </x:c>
      <x:c r="Y231" t="str">
        <x:f>INT(A231/10)*10&amp;"s"</x:f>
        <x:v>1900s</x:v>
      </x:c>
    </x:row>
    <x:row r="232">
      <x:c r="A232">
        <x:v>1900</x:v>
      </x:c>
      <x:c r="B232" t="s">
        <x:v>22</x:v>
      </x:c>
      <x:c r="C232" t="s">
        <x:v>483</x:v>
      </x:c>
      <x:c r="D232" t="s">
        <x:v>102</x:v>
      </x:c>
      <x:c r="E232" t="s">
        <x:v>103</x:v>
      </x:c>
      <x:c r="F232"/>
      <x:c r="G232"/>
      <x:c r="H232" t="s">
        <x:v>434</x:v>
      </x:c>
      <x:c r="I232">
        <x:v>4</x:v>
      </x:c>
      <x:c r="J232">
        <x:v>6</x:v>
      </x:c>
      <x:c r="K232">
        <x:v>6</x:v>
      </x:c>
      <x:c r="L232">
        <x:v>4</x:v>
      </x:c>
      <x:c r="M232">
        <x:v>6</x:v>
      </x:c>
      <x:c r="N232">
        <x:v>4</x:v>
      </x:c>
      <x:c r="O232"/>
      <x:c r="P232"/>
      <x:c r="Q232"/>
      <x:c r="R232"/>
      <x:c r="S232" t="s">
        <x:v>455</x:v>
      </x:c>
      <x:c r="T232" t="s">
        <x:v>102</x:v>
      </x:c>
      <x:c r="U232" t="s">
        <x:v>103</x:v>
      </x:c>
      <x:c r="V232"/>
      <x:c r="W232" s="5" t="n">
        <x:f>COUNTIF($C$2:$C$272,C232)</x:f>
        <x:v>6</x:v>
      </x:c>
      <x:c r="X232" t="str">
        <x:f>IF(W232&gt;=5,"Yes","No")</x:f>
        <x:v>Yes</x:v>
      </x:c>
      <x:c r="Y232" t="str">
        <x:f>INT(A232/10)*10&amp;"s"</x:f>
        <x:v>1900s</x:v>
      </x:c>
    </x:row>
    <x:row r="233">
      <x:c r="A233">
        <x:v>1900</x:v>
      </x:c>
      <x:c r="B233" t="s">
        <x:v>28</x:v>
      </x:c>
      <x:c r="C233" t="s">
        <x:v>485</x:v>
      </x:c>
      <x:c r="D233" t="s">
        <x:v>102</x:v>
      </x:c>
      <x:c r="E233" t="s">
        <x:v>103</x:v>
      </x:c>
      <x:c r="F233"/>
      <x:c r="G233"/>
      <x:c r="H233" t="s">
        <x:v>486</x:v>
      </x:c>
      <x:c r="I233">
        <x:v>6</x:v>
      </x:c>
      <x:c r="J233">
        <x:v>8</x:v>
      </x:c>
      <x:c r="K233">
        <x:v>6</x:v>
      </x:c>
      <x:c r="L233">
        <x:v>3</x:v>
      </x:c>
      <x:c r="M233">
        <x:v>6</x:v>
      </x:c>
      <x:c r="N233">
        <x:v>1</x:v>
      </x:c>
      <x:c r="O233">
        <x:v>6</x:v>
      </x:c>
      <x:c r="P233">
        <x:v>2</x:v>
      </x:c>
      <x:c r="Q233"/>
      <x:c r="R233"/>
      <x:c r="S233" t="s">
        <x:v>487</x:v>
      </x:c>
      <x:c r="T233" t="s">
        <x:v>102</x:v>
      </x:c>
      <x:c r="U233" t="s">
        <x:v>103</x:v>
      </x:c>
      <x:c r="V233"/>
      <x:c r="W233" s="5" t="n">
        <x:f>COUNTIF($C$2:$C$272,C233)</x:f>
        <x:v>4</x:v>
      </x:c>
      <x:c r="X233" t="str">
        <x:f>IF(W233&gt;=5,"Yes","No")</x:f>
        <x:v>No</x:v>
      </x:c>
      <x:c r="Y233" t="str">
        <x:f>INT(A233/10)*10&amp;"s"</x:f>
        <x:v>1900s</x:v>
      </x:c>
    </x:row>
    <x:row r="234">
      <x:c r="A234">
        <x:v>1899</x:v>
      </x:c>
      <x:c r="B234" t="s">
        <x:v>22</x:v>
      </x:c>
      <x:c r="C234" t="s">
        <x:v>483</x:v>
      </x:c>
      <x:c r="D234" t="s">
        <x:v>102</x:v>
      </x:c>
      <x:c r="E234" t="s">
        <x:v>103</x:v>
      </x:c>
      <x:c r="F234"/>
      <x:c r="G234"/>
      <x:c r="H234" t="s">
        <x:v>420</x:v>
      </x:c>
      <x:c r="I234">
        <x:v>6</x:v>
      </x:c>
      <x:c r="J234">
        <x:v>2</x:v>
      </x:c>
      <x:c r="K234">
        <x:v>6</x:v>
      </x:c>
      <x:c r="L234">
        <x:v>3</x:v>
      </x:c>
      <x:c r="M234"/>
      <x:c r="N234"/>
      <x:c r="O234"/>
      <x:c r="P234"/>
      <x:c r="Q234"/>
      <x:c r="R234"/>
      <x:c r="S234" t="s">
        <x:v>455</x:v>
      </x:c>
      <x:c r="T234" t="s">
        <x:v>102</x:v>
      </x:c>
      <x:c r="U234" t="s">
        <x:v>103</x:v>
      </x:c>
      <x:c r="V234"/>
      <x:c r="W234" s="5" t="n">
        <x:f>COUNTIF($C$2:$C$272,C234)</x:f>
        <x:v>6</x:v>
      </x:c>
      <x:c r="X234" t="str">
        <x:f>IF(W234&gt;=5,"Yes","No")</x:f>
        <x:v>Yes</x:v>
      </x:c>
      <x:c r="Y234" t="str">
        <x:f>INT(A234/10)*10&amp;"s"</x:f>
        <x:v>1890s</x:v>
      </x:c>
    </x:row>
    <x:row r="235">
      <x:c r="A235">
        <x:v>1899</x:v>
      </x:c>
      <x:c r="B235" t="s">
        <x:v>28</x:v>
      </x:c>
      <x:c r="C235" t="s">
        <x:v>485</x:v>
      </x:c>
      <x:c r="D235" t="s">
        <x:v>102</x:v>
      </x:c>
      <x:c r="E235" t="s">
        <x:v>103</x:v>
      </x:c>
      <x:c r="F235"/>
      <x:c r="G235"/>
      <x:c r="H235" t="s">
        <x:v>488</x:v>
      </x:c>
      <x:c r="I235">
        <x:v>1</x:v>
      </x:c>
      <x:c r="J235">
        <x:v>6</x:v>
      </x:c>
      <x:c r="K235">
        <x:v>4</x:v>
      </x:c>
      <x:c r="L235">
        <x:v>6</x:v>
      </x:c>
      <x:c r="M235">
        <x:v>6</x:v>
      </x:c>
      <x:c r="N235">
        <x:v>3</x:v>
      </x:c>
      <x:c r="O235">
        <x:v>6</x:v>
      </x:c>
      <x:c r="P235">
        <x:v>3</x:v>
      </x:c>
      <x:c r="Q235">
        <x:v>6</x:v>
      </x:c>
      <x:c r="R235">
        <x:v>3</x:v>
      </x:c>
      <x:c r="S235" t="s">
        <x:v>457</x:v>
      </x:c>
      <x:c r="T235" t="s">
        <x:v>102</x:v>
      </x:c>
      <x:c r="U235" t="s">
        <x:v>103</x:v>
      </x:c>
      <x:c r="V235"/>
      <x:c r="W235" s="5" t="n">
        <x:f>COUNTIF($C$2:$C$272,C235)</x:f>
        <x:v>4</x:v>
      </x:c>
      <x:c r="X235" t="str">
        <x:f>IF(W235&gt;=5,"Yes","No")</x:f>
        <x:v>No</x:v>
      </x:c>
      <x:c r="Y235" t="str">
        <x:f>INT(A235/10)*10&amp;"s"</x:f>
        <x:v>1890s</x:v>
      </x:c>
    </x:row>
    <x:row r="236">
      <x:c r="A236">
        <x:v>1898</x:v>
      </x:c>
      <x:c r="B236" t="s">
        <x:v>22</x:v>
      </x:c>
      <x:c r="C236" t="s">
        <x:v>455</x:v>
      </x:c>
      <x:c r="D236" t="s">
        <x:v>102</x:v>
      </x:c>
      <x:c r="E236" t="s">
        <x:v>103</x:v>
      </x:c>
      <x:c r="F236"/>
      <x:c r="G236"/>
      <x:c r="H236" t="s">
        <x:v>56</x:v>
      </x:c>
      <x:c r="I236">
        <x:v>6</x:v>
      </x:c>
      <x:c r="J236">
        <x:v>4</x:v>
      </x:c>
      <x:c r="K236">
        <x:v>6</x:v>
      </x:c>
      <x:c r="L236">
        <x:v>4</x:v>
      </x:c>
      <x:c r="M236"/>
      <x:c r="N236"/>
      <x:c r="O236"/>
      <x:c r="P236"/>
      <x:c r="Q236"/>
      <x:c r="R236"/>
      <x:c r="S236" t="s">
        <x:v>489</x:v>
      </x:c>
      <x:c r="T236" t="s">
        <x:v>102</x:v>
      </x:c>
      <x:c r="U236" t="s">
        <x:v>103</x:v>
      </x:c>
      <x:c r="V236"/>
      <x:c r="W236" s="5" t="n">
        <x:f>COUNTIF($C$2:$C$272,C236)</x:f>
        <x:v>5</x:v>
      </x:c>
      <x:c r="X236" t="str">
        <x:f>IF(W236&gt;=5,"Yes","No")</x:f>
        <x:v>Yes</x:v>
      </x:c>
      <x:c r="Y236" t="str">
        <x:f>INT(A236/10)*10&amp;"s"</x:f>
        <x:v>1890s</x:v>
      </x:c>
    </x:row>
    <x:row r="237">
      <x:c r="A237">
        <x:v>1898</x:v>
      </x:c>
      <x:c r="B237" t="s">
        <x:v>28</x:v>
      </x:c>
      <x:c r="C237" t="s">
        <x:v>485</x:v>
      </x:c>
      <x:c r="D237" t="s">
        <x:v>102</x:v>
      </x:c>
      <x:c r="E237" t="s">
        <x:v>103</x:v>
      </x:c>
      <x:c r="F237"/>
      <x:c r="G237">
        <x:v>55</x:v>
      </x:c>
      <x:c r="H237" t="s">
        <x:v>490</x:v>
      </x:c>
      <x:c r="I237">
        <x:v>6</x:v>
      </x:c>
      <x:c r="J237">
        <x:v>3</x:v>
      </x:c>
      <x:c r="K237">
        <x:v>6</x:v>
      </x:c>
      <x:c r="L237">
        <x:v>3</x:v>
      </x:c>
      <x:c r="M237">
        <x:v>2</x:v>
      </x:c>
      <x:c r="N237">
        <x:v>6</x:v>
      </x:c>
      <x:c r="O237">
        <x:v>5</x:v>
      </x:c>
      <x:c r="P237">
        <x:v>7</x:v>
      </x:c>
      <x:c r="Q237">
        <x:v>6</x:v>
      </x:c>
      <x:c r="R237">
        <x:v>1</x:v>
      </x:c>
      <x:c r="S237" t="s">
        <x:v>472</x:v>
      </x:c>
      <x:c r="T237" t="s">
        <x:v>102</x:v>
      </x:c>
      <x:c r="U237" t="s">
        <x:v>103</x:v>
      </x:c>
      <x:c r="V237"/>
      <x:c r="W237" s="5" t="n">
        <x:f>COUNTIF($C$2:$C$272,C237)</x:f>
        <x:v>4</x:v>
      </x:c>
      <x:c r="X237" t="str">
        <x:f>IF(W237&gt;=5,"Yes","No")</x:f>
        <x:v>No</x:v>
      </x:c>
      <x:c r="Y237" t="str">
        <x:f>INT(A237/10)*10&amp;"s"</x:f>
        <x:v>1890s</x:v>
      </x:c>
    </x:row>
    <x:row r="238">
      <x:c r="A238">
        <x:v>1897</x:v>
      </x:c>
      <x:c r="B238" t="s">
        <x:v>22</x:v>
      </x:c>
      <x:c r="C238" t="s">
        <x:v>483</x:v>
      </x:c>
      <x:c r="D238" t="s">
        <x:v>102</x:v>
      </x:c>
      <x:c r="E238" t="s">
        <x:v>103</x:v>
      </x:c>
      <x:c r="F238"/>
      <x:c r="G238"/>
      <x:c r="H238" t="s">
        <x:v>491</x:v>
      </x:c>
      <x:c r="I238">
        <x:v>5</x:v>
      </x:c>
      <x:c r="J238">
        <x:v>7</x:v>
      </x:c>
      <x:c r="K238">
        <x:v>7</x:v>
      </x:c>
      <x:c r="L238">
        <x:v>5</x:v>
      </x:c>
      <x:c r="M238">
        <x:v>6</x:v>
      </x:c>
      <x:c r="N238">
        <x:v>2</x:v>
      </x:c>
      <x:c r="O238"/>
      <x:c r="P238"/>
      <x:c r="Q238"/>
      <x:c r="R238"/>
      <x:c r="S238" t="s">
        <x:v>455</x:v>
      </x:c>
      <x:c r="T238" t="s">
        <x:v>102</x:v>
      </x:c>
      <x:c r="U238" t="s">
        <x:v>103</x:v>
      </x:c>
      <x:c r="V238"/>
      <x:c r="W238" s="5" t="n">
        <x:f>COUNTIF($C$2:$C$272,C238)</x:f>
        <x:v>6</x:v>
      </x:c>
      <x:c r="X238" t="str">
        <x:f>IF(W238&gt;=5,"Yes","No")</x:f>
        <x:v>Yes</x:v>
      </x:c>
      <x:c r="Y238" t="str">
        <x:f>INT(A238/10)*10&amp;"s"</x:f>
        <x:v>1890s</x:v>
      </x:c>
    </x:row>
    <x:row r="239">
      <x:c r="A239">
        <x:v>1897</x:v>
      </x:c>
      <x:c r="B239" t="s">
        <x:v>28</x:v>
      </x:c>
      <x:c r="C239" t="s">
        <x:v>485</x:v>
      </x:c>
      <x:c r="D239" t="s">
        <x:v>102</x:v>
      </x:c>
      <x:c r="E239" t="s">
        <x:v>103</x:v>
      </x:c>
      <x:c r="F239"/>
      <x:c r="G239">
        <x:v>67</x:v>
      </x:c>
      <x:c r="H239" t="s">
        <x:v>492</x:v>
      </x:c>
      <x:c r="I239">
        <x:v>6</x:v>
      </x:c>
      <x:c r="J239">
        <x:v>4</x:v>
      </x:c>
      <x:c r="K239">
        <x:v>6</x:v>
      </x:c>
      <x:c r="L239">
        <x:v>4</x:v>
      </x:c>
      <x:c r="M239">
        <x:v>6</x:v>
      </x:c>
      <x:c r="N239">
        <x:v>3</x:v>
      </x:c>
      <x:c r="O239"/>
      <x:c r="P239"/>
      <x:c r="Q239"/>
      <x:c r="R239"/>
      <x:c r="S239" t="s">
        <x:v>493</x:v>
      </x:c>
      <x:c r="T239" t="s">
        <x:v>102</x:v>
      </x:c>
      <x:c r="U239" t="s">
        <x:v>103</x:v>
      </x:c>
      <x:c r="V239"/>
      <x:c r="W239" s="5" t="n">
        <x:f>COUNTIF($C$2:$C$272,C239)</x:f>
        <x:v>4</x:v>
      </x:c>
      <x:c r="X239" t="str">
        <x:f>IF(W239&gt;=5,"Yes","No")</x:f>
        <x:v>No</x:v>
      </x:c>
      <x:c r="Y239" t="str">
        <x:f>INT(A239/10)*10&amp;"s"</x:f>
        <x:v>1890s</x:v>
      </x:c>
    </x:row>
    <x:row r="240">
      <x:c r="A240">
        <x:v>1896</x:v>
      </x:c>
      <x:c r="B240" t="s">
        <x:v>22</x:v>
      </x:c>
      <x:c r="C240" t="s">
        <x:v>455</x:v>
      </x:c>
      <x:c r="D240" t="s">
        <x:v>102</x:v>
      </x:c>
      <x:c r="E240" t="s">
        <x:v>103</x:v>
      </x:c>
      <x:c r="F240"/>
      <x:c r="G240"/>
      <x:c r="H240" t="s">
        <x:v>420</x:v>
      </x:c>
      <x:c r="I240">
        <x:v>6</x:v>
      </x:c>
      <x:c r="J240">
        <x:v>2</x:v>
      </x:c>
      <x:c r="K240">
        <x:v>6</x:v>
      </x:c>
      <x:c r="L240">
        <x:v>3</x:v>
      </x:c>
      <x:c r="M240"/>
      <x:c r="N240"/>
      <x:c r="O240"/>
      <x:c r="P240"/>
      <x:c r="Q240"/>
      <x:c r="R240"/>
      <x:c r="S240" t="s">
        <x:v>494</x:v>
      </x:c>
      <x:c r="T240" t="s">
        <x:v>102</x:v>
      </x:c>
      <x:c r="U240" t="s">
        <x:v>103</x:v>
      </x:c>
      <x:c r="V240"/>
      <x:c r="W240" s="5" t="n">
        <x:f>COUNTIF($C$2:$C$272,C240)</x:f>
        <x:v>5</x:v>
      </x:c>
      <x:c r="X240" t="str">
        <x:f>IF(W240&gt;=5,"Yes","No")</x:f>
        <x:v>Yes</x:v>
      </x:c>
      <x:c r="Y240" t="str">
        <x:f>INT(A240/10)*10&amp;"s"</x:f>
        <x:v>1890s</x:v>
      </x:c>
    </x:row>
    <x:row r="241">
      <x:c r="A241">
        <x:v>1896</x:v>
      </x:c>
      <x:c r="B241" t="s">
        <x:v>28</x:v>
      </x:c>
      <x:c r="C241" t="s">
        <x:v>493</x:v>
      </x:c>
      <x:c r="D241" t="s">
        <x:v>102</x:v>
      </x:c>
      <x:c r="E241" t="s">
        <x:v>103</x:v>
      </x:c>
      <x:c r="F241"/>
      <x:c r="G241">
        <x:v>120</x:v>
      </x:c>
      <x:c r="H241" t="s">
        <x:v>495</x:v>
      </x:c>
      <x:c r="I241">
        <x:v>6</x:v>
      </x:c>
      <x:c r="J241">
        <x:v>2</x:v>
      </x:c>
      <x:c r="K241">
        <x:v>6</x:v>
      </x:c>
      <x:c r="L241">
        <x:v>8</x:v>
      </x:c>
      <x:c r="M241">
        <x:v>5</x:v>
      </x:c>
      <x:c r="N241">
        <x:v>7</x:v>
      </x:c>
      <x:c r="O241">
        <x:v>8</x:v>
      </x:c>
      <x:c r="P241">
        <x:v>6</x:v>
      </x:c>
      <x:c r="Q241">
        <x:v>6</x:v>
      </x:c>
      <x:c r="R241">
        <x:v>3</x:v>
      </x:c>
      <x:c r="S241" t="s">
        <x:v>496</x:v>
      </x:c>
      <x:c r="T241" t="s">
        <x:v>102</x:v>
      </x:c>
      <x:c r="U241" t="s">
        <x:v>103</x:v>
      </x:c>
      <x:c r="V241"/>
      <x:c r="W241" s="5" t="n">
        <x:f>COUNTIF($C$2:$C$272,C241)</x:f>
        <x:v>1</x:v>
      </x:c>
      <x:c r="X241" t="str">
        <x:f>IF(W241&gt;=5,"Yes","No")</x:f>
        <x:v>No</x:v>
      </x:c>
      <x:c r="Y241" t="str">
        <x:f>INT(A241/10)*10&amp;"s"</x:f>
        <x:v>1890s</x:v>
      </x:c>
    </x:row>
    <x:row r="242">
      <x:c r="A242">
        <x:v>1895</x:v>
      </x:c>
      <x:c r="B242" t="s">
        <x:v>22</x:v>
      </x:c>
      <x:c r="C242" t="s">
        <x:v>455</x:v>
      </x:c>
      <x:c r="D242" t="s">
        <x:v>102</x:v>
      </x:c>
      <x:c r="E242" t="s">
        <x:v>103</x:v>
      </x:c>
      <x:c r="F242"/>
      <x:c r="G242"/>
      <x:c r="H242" t="s">
        <x:v>497</x:v>
      </x:c>
      <x:c r="I242">
        <x:v>7</x:v>
      </x:c>
      <x:c r="J242">
        <x:v>5</x:v>
      </x:c>
      <x:c r="K242">
        <x:v>8</x:v>
      </x:c>
      <x:c r="L242">
        <x:v>6</x:v>
      </x:c>
      <x:c r="M242"/>
      <x:c r="N242"/>
      <x:c r="O242"/>
      <x:c r="P242"/>
      <x:c r="Q242"/>
      <x:c r="R242"/>
      <x:c r="S242" t="s">
        <x:v>498</x:v>
      </x:c>
      <x:c r="T242" t="s">
        <x:v>102</x:v>
      </x:c>
      <x:c r="U242" t="s">
        <x:v>103</x:v>
      </x:c>
      <x:c r="V242"/>
      <x:c r="W242" s="5" t="n">
        <x:f>COUNTIF($C$2:$C$272,C242)</x:f>
        <x:v>5</x:v>
      </x:c>
      <x:c r="X242" t="str">
        <x:f>IF(W242&gt;=5,"Yes","No")</x:f>
        <x:v>Yes</x:v>
      </x:c>
      <x:c r="Y242" t="str">
        <x:f>INT(A242/10)*10&amp;"s"</x:f>
        <x:v>1890s</x:v>
      </x:c>
    </x:row>
    <x:row r="243">
      <x:c r="A243">
        <x:v>1895</x:v>
      </x:c>
      <x:c r="B243" t="s">
        <x:v>28</x:v>
      </x:c>
      <x:c r="C243" t="s">
        <x:v>496</x:v>
      </x:c>
      <x:c r="D243" t="s">
        <x:v>102</x:v>
      </x:c>
      <x:c r="E243" t="s">
        <x:v>103</x:v>
      </x:c>
      <x:c r="F243"/>
      <x:c r="G243">
        <x:v>95</x:v>
      </x:c>
      <x:c r="H243" t="s">
        <x:v>499</x:v>
      </x:c>
      <x:c r="I243">
        <x:v>4</x:v>
      </x:c>
      <x:c r="J243">
        <x:v>6</x:v>
      </x:c>
      <x:c r="K243">
        <x:v>2</x:v>
      </x:c>
      <x:c r="L243">
        <x:v>6</x:v>
      </x:c>
      <x:c r="M243">
        <x:v>8</x:v>
      </x:c>
      <x:c r="N243">
        <x:v>6</x:v>
      </x:c>
      <x:c r="O243">
        <x:v>6</x:v>
      </x:c>
      <x:c r="P243">
        <x:v>2</x:v>
      </x:c>
      <x:c r="Q243">
        <x:v>6</x:v>
      </x:c>
      <x:c r="R243">
        <x:v>3</x:v>
      </x:c>
      <x:c r="S243" t="s">
        <x:v>500</x:v>
      </x:c>
      <x:c r="T243" t="s">
        <x:v>102</x:v>
      </x:c>
      <x:c r="U243" t="s">
        <x:v>103</x:v>
      </x:c>
      <x:c r="V243"/>
      <x:c r="W243" s="5" t="n">
        <x:f>COUNTIF($C$2:$C$272,C243)</x:f>
        <x:v>3</x:v>
      </x:c>
      <x:c r="X243" t="str">
        <x:f>IF(W243&gt;=5,"Yes","No")</x:f>
        <x:v>No</x:v>
      </x:c>
      <x:c r="Y243" t="str">
        <x:f>INT(A243/10)*10&amp;"s"</x:f>
        <x:v>1890s</x:v>
      </x:c>
    </x:row>
    <x:row r="244">
      <x:c r="A244">
        <x:v>1894</x:v>
      </x:c>
      <x:c r="B244" t="s">
        <x:v>22</x:v>
      </x:c>
      <x:c r="C244" t="s">
        <x:v>483</x:v>
      </x:c>
      <x:c r="D244" t="s">
        <x:v>102</x:v>
      </x:c>
      <x:c r="E244" t="s">
        <x:v>103</x:v>
      </x:c>
      <x:c r="F244"/>
      <x:c r="G244"/>
      <x:c r="H244" t="s">
        <x:v>501</x:v>
      </x:c>
      <x:c r="I244">
        <x:v>6</x:v>
      </x:c>
      <x:c r="J244">
        <x:v>1</x:v>
      </x:c>
      <x:c r="K244">
        <x:v>6</x:v>
      </x:c>
      <x:c r="L244">
        <x:v>1</x:v>
      </x:c>
      <x:c r="M244"/>
      <x:c r="N244"/>
      <x:c r="O244"/>
      <x:c r="P244"/>
      <x:c r="Q244"/>
      <x:c r="R244"/>
      <x:c r="S244" t="s">
        <x:v>502</x:v>
      </x:c>
      <x:c r="T244" t="s">
        <x:v>102</x:v>
      </x:c>
      <x:c r="U244" t="s">
        <x:v>103</x:v>
      </x:c>
      <x:c r="V244"/>
      <x:c r="W244" s="5" t="n">
        <x:f>COUNTIF($C$2:$C$272,C244)</x:f>
        <x:v>6</x:v>
      </x:c>
      <x:c r="X244" t="str">
        <x:f>IF(W244&gt;=5,"Yes","No")</x:f>
        <x:v>Yes</x:v>
      </x:c>
      <x:c r="Y244" t="str">
        <x:f>INT(A244/10)*10&amp;"s"</x:f>
        <x:v>1890s</x:v>
      </x:c>
    </x:row>
    <x:row r="245">
      <x:c r="A245">
        <x:v>1894</x:v>
      </x:c>
      <x:c r="B245" t="s">
        <x:v>28</x:v>
      </x:c>
      <x:c r="C245" t="s">
        <x:v>503</x:v>
      </x:c>
      <x:c r="D245" t="s">
        <x:v>102</x:v>
      </x:c>
      <x:c r="E245" t="s">
        <x:v>103</x:v>
      </x:c>
      <x:c r="F245"/>
      <x:c r="G245">
        <x:v>117</x:v>
      </x:c>
      <x:c r="H245" t="s">
        <x:v>504</x:v>
      </x:c>
      <x:c r="I245">
        <x:v>10</x:v>
      </x:c>
      <x:c r="J245">
        <x:v>8</x:v>
      </x:c>
      <x:c r="K245">
        <x:v>6</x:v>
      </x:c>
      <x:c r="L245">
        <x:v>2</x:v>
      </x:c>
      <x:c r="M245">
        <x:v>8</x:v>
      </x:c>
      <x:c r="N245">
        <x:v>6</x:v>
      </x:c>
      <x:c r="O245"/>
      <x:c r="P245"/>
      <x:c r="Q245"/>
      <x:c r="R245"/>
      <x:c r="S245" t="s">
        <x:v>496</x:v>
      </x:c>
      <x:c r="T245" t="s">
        <x:v>102</x:v>
      </x:c>
      <x:c r="U245" t="s">
        <x:v>103</x:v>
      </x:c>
      <x:c r="V245"/>
      <x:c r="W245" s="5" t="n">
        <x:f>COUNTIF($C$2:$C$272,C245)</x:f>
        <x:v>2</x:v>
      </x:c>
      <x:c r="X245" t="str">
        <x:f>IF(W245&gt;=5,"Yes","No")</x:f>
        <x:v>No</x:v>
      </x:c>
      <x:c r="Y245" t="str">
        <x:f>INT(A245/10)*10&amp;"s"</x:f>
        <x:v>1890s</x:v>
      </x:c>
    </x:row>
    <x:row r="246">
      <x:c r="A246">
        <x:v>1893</x:v>
      </x:c>
      <x:c r="B246" t="s">
        <x:v>22</x:v>
      </x:c>
      <x:c r="C246" t="s">
        <x:v>505</x:v>
      </x:c>
      <x:c r="D246" t="s">
        <x:v>102</x:v>
      </x:c>
      <x:c r="E246" t="s">
        <x:v>103</x:v>
      </x:c>
      <x:c r="F246"/>
      <x:c r="G246"/>
      <x:c r="H246" t="s">
        <x:v>506</x:v>
      </x:c>
      <x:c r="I246">
        <x:v>6</x:v>
      </x:c>
      <x:c r="J246">
        <x:v>8</x:v>
      </x:c>
      <x:c r="K246">
        <x:v>6</x:v>
      </x:c>
      <x:c r="L246">
        <x:v>1</x:v>
      </x:c>
      <x:c r="M246">
        <x:v>6</x:v>
      </x:c>
      <x:c r="N246">
        <x:v>4</x:v>
      </x:c>
      <x:c r="O246"/>
      <x:c r="P246"/>
      <x:c r="Q246"/>
      <x:c r="R246"/>
      <x:c r="S246" t="s">
        <x:v>483</x:v>
      </x:c>
      <x:c r="T246" t="s">
        <x:v>102</x:v>
      </x:c>
      <x:c r="U246" t="s">
        <x:v>103</x:v>
      </x:c>
      <x:c r="V246"/>
      <x:c r="W246" s="5" t="n">
        <x:f>COUNTIF($C$2:$C$272,C246)</x:f>
        <x:v>5</x:v>
      </x:c>
      <x:c r="X246" t="str">
        <x:f>IF(W246&gt;=5,"Yes","No")</x:f>
        <x:v>Yes</x:v>
      </x:c>
      <x:c r="Y246" t="str">
        <x:f>INT(A246/10)*10&amp;"s"</x:f>
        <x:v>1890s</x:v>
      </x:c>
    </x:row>
    <x:row r="247">
      <x:c r="A247">
        <x:v>1893</x:v>
      </x:c>
      <x:c r="B247" t="s">
        <x:v>28</x:v>
      </x:c>
      <x:c r="C247" t="s">
        <x:v>503</x:v>
      </x:c>
      <x:c r="D247" t="s">
        <x:v>102</x:v>
      </x:c>
      <x:c r="E247" t="s">
        <x:v>103</x:v>
      </x:c>
      <x:c r="F247"/>
      <x:c r="G247">
        <x:v>65</x:v>
      </x:c>
      <x:c r="H247" t="s">
        <x:v>507</x:v>
      </x:c>
      <x:c r="I247">
        <x:v>3</x:v>
      </x:c>
      <x:c r="J247">
        <x:v>6</x:v>
      </x:c>
      <x:c r="K247">
        <x:v>6</x:v>
      </x:c>
      <x:c r="L247">
        <x:v>1</x:v>
      </x:c>
      <x:c r="M247">
        <x:v>6</x:v>
      </x:c>
      <x:c r="N247">
        <x:v>3</x:v>
      </x:c>
      <x:c r="O247">
        <x:v>6</x:v>
      </x:c>
      <x:c r="P247">
        <x:v>2</x:v>
      </x:c>
      <x:c r="Q247"/>
      <x:c r="R247"/>
      <x:c r="S247" t="s">
        <x:v>496</x:v>
      </x:c>
      <x:c r="T247" t="s">
        <x:v>102</x:v>
      </x:c>
      <x:c r="U247" t="s">
        <x:v>103</x:v>
      </x:c>
      <x:c r="V247"/>
      <x:c r="W247" s="5" t="n">
        <x:f>COUNTIF($C$2:$C$272,C247)</x:f>
        <x:v>2</x:v>
      </x:c>
      <x:c r="X247" t="str">
        <x:f>IF(W247&gt;=5,"Yes","No")</x:f>
        <x:v>No</x:v>
      </x:c>
      <x:c r="Y247" t="str">
        <x:f>INT(A247/10)*10&amp;"s"</x:f>
        <x:v>1890s</x:v>
      </x:c>
    </x:row>
    <x:row r="248">
      <x:c r="A248">
        <x:v>1892</x:v>
      </x:c>
      <x:c r="B248" t="s">
        <x:v>22</x:v>
      </x:c>
      <x:c r="C248" t="s">
        <x:v>505</x:v>
      </x:c>
      <x:c r="D248" t="s">
        <x:v>102</x:v>
      </x:c>
      <x:c r="E248" t="s">
        <x:v>103</x:v>
      </x:c>
      <x:c r="F248"/>
      <x:c r="G248"/>
      <x:c r="H248" t="s">
        <x:v>501</x:v>
      </x:c>
      <x:c r="I248">
        <x:v>6</x:v>
      </x:c>
      <x:c r="J248">
        <x:v>1</x:v>
      </x:c>
      <x:c r="K248">
        <x:v>6</x:v>
      </x:c>
      <x:c r="L248">
        <x:v>1</x:v>
      </x:c>
      <x:c r="M248"/>
      <x:c r="N248"/>
      <x:c r="O248"/>
      <x:c r="P248"/>
      <x:c r="Q248"/>
      <x:c r="R248"/>
      <x:c r="S248" t="s">
        <x:v>483</x:v>
      </x:c>
      <x:c r="T248" t="s">
        <x:v>102</x:v>
      </x:c>
      <x:c r="U248" t="s">
        <x:v>103</x:v>
      </x:c>
      <x:c r="V248"/>
      <x:c r="W248" s="5" t="n">
        <x:f>COUNTIF($C$2:$C$272,C248)</x:f>
        <x:v>5</x:v>
      </x:c>
      <x:c r="X248" t="str">
        <x:f>IF(W248&gt;=5,"Yes","No")</x:f>
        <x:v>Yes</x:v>
      </x:c>
      <x:c r="Y248" t="str">
        <x:f>INT(A248/10)*10&amp;"s"</x:f>
        <x:v>1890s</x:v>
      </x:c>
    </x:row>
    <x:row r="249">
      <x:c r="A249">
        <x:v>1892</x:v>
      </x:c>
      <x:c r="B249" t="s">
        <x:v>28</x:v>
      </x:c>
      <x:c r="C249" t="s">
        <x:v>496</x:v>
      </x:c>
      <x:c r="D249" t="s">
        <x:v>102</x:v>
      </x:c>
      <x:c r="E249" t="s">
        <x:v>103</x:v>
      </x:c>
      <x:c r="F249"/>
      <x:c r="G249">
        <x:v>75</x:v>
      </x:c>
      <x:c r="H249" t="s">
        <x:v>508</x:v>
      </x:c>
      <x:c r="I249">
        <x:v>4</x:v>
      </x:c>
      <x:c r="J249">
        <x:v>6</x:v>
      </x:c>
      <x:c r="K249">
        <x:v>6</x:v>
      </x:c>
      <x:c r="L249">
        <x:v>3</x:v>
      </x:c>
      <x:c r="M249">
        <x:v>6</x:v>
      </x:c>
      <x:c r="N249">
        <x:v>3</x:v>
      </x:c>
      <x:c r="O249">
        <x:v>6</x:v>
      </x:c>
      <x:c r="P249">
        <x:v>2</x:v>
      </x:c>
      <x:c r="Q249"/>
      <x:c r="R249"/>
      <x:c r="S249" t="s">
        <x:v>503</x:v>
      </x:c>
      <x:c r="T249" t="s">
        <x:v>102</x:v>
      </x:c>
      <x:c r="U249" t="s">
        <x:v>103</x:v>
      </x:c>
      <x:c r="V249"/>
      <x:c r="W249" s="5" t="n">
        <x:f>COUNTIF($C$2:$C$272,C249)</x:f>
        <x:v>3</x:v>
      </x:c>
      <x:c r="X249" t="str">
        <x:f>IF(W249&gt;=5,"Yes","No")</x:f>
        <x:v>No</x:v>
      </x:c>
      <x:c r="Y249" t="str">
        <x:f>INT(A249/10)*10&amp;"s"</x:f>
        <x:v>1890s</x:v>
      </x:c>
    </x:row>
    <x:row r="250">
      <x:c r="A250">
        <x:v>1891</x:v>
      </x:c>
      <x:c r="B250" t="s">
        <x:v>22</x:v>
      </x:c>
      <x:c r="C250" t="s">
        <x:v>505</x:v>
      </x:c>
      <x:c r="D250" t="s">
        <x:v>102</x:v>
      </x:c>
      <x:c r="E250" t="s">
        <x:v>103</x:v>
      </x:c>
      <x:c r="F250"/>
      <x:c r="G250"/>
      <x:c r="H250" t="s">
        <x:v>509</x:v>
      </x:c>
      <x:c r="I250">
        <x:v>6</x:v>
      </x:c>
      <x:c r="J250">
        <x:v>2</x:v>
      </x:c>
      <x:c r="K250">
        <x:v>6</x:v>
      </x:c>
      <x:c r="L250">
        <x:v>1</x:v>
      </x:c>
      <x:c r="M250"/>
      <x:c r="N250"/>
      <x:c r="O250"/>
      <x:c r="P250"/>
      <x:c r="Q250"/>
      <x:c r="R250"/>
      <x:c r="S250" t="s">
        <x:v>483</x:v>
      </x:c>
      <x:c r="T250" t="s">
        <x:v>102</x:v>
      </x:c>
      <x:c r="U250" t="s">
        <x:v>103</x:v>
      </x:c>
      <x:c r="V250"/>
      <x:c r="W250" s="5" t="n">
        <x:f>COUNTIF($C$2:$C$272,C250)</x:f>
        <x:v>5</x:v>
      </x:c>
      <x:c r="X250" t="str">
        <x:f>IF(W250&gt;=5,"Yes","No")</x:f>
        <x:v>Yes</x:v>
      </x:c>
      <x:c r="Y250" t="str">
        <x:f>INT(A250/10)*10&amp;"s"</x:f>
        <x:v>1890s</x:v>
      </x:c>
    </x:row>
    <x:row r="251">
      <x:c r="A251">
        <x:v>1891</x:v>
      </x:c>
      <x:c r="B251" t="s">
        <x:v>28</x:v>
      </x:c>
      <x:c r="C251" t="s">
        <x:v>496</x:v>
      </x:c>
      <x:c r="D251" t="s">
        <x:v>102</x:v>
      </x:c>
      <x:c r="E251" t="s">
        <x:v>103</x:v>
      </x:c>
      <x:c r="F251"/>
      <x:c r="G251"/>
      <x:c r="H251" t="s">
        <x:v>510</x:v>
      </x:c>
      <x:c r="I251">
        <x:v>6</x:v>
      </x:c>
      <x:c r="J251">
        <x:v>4</x:v>
      </x:c>
      <x:c r="K251">
        <x:v>1</x:v>
      </x:c>
      <x:c r="L251">
        <x:v>6</x:v>
      </x:c>
      <x:c r="M251">
        <x:v>7</x:v>
      </x:c>
      <x:c r="N251">
        <x:v>5</x:v>
      </x:c>
      <x:c r="O251">
        <x:v>6</x:v>
      </x:c>
      <x:c r="P251">
        <x:v>0</x:v>
      </x:c>
      <x:c r="Q251"/>
      <x:c r="R251"/>
      <x:c r="S251" t="s">
        <x:v>503</x:v>
      </x:c>
      <x:c r="T251" t="s">
        <x:v>102</x:v>
      </x:c>
      <x:c r="U251" t="s">
        <x:v>103</x:v>
      </x:c>
      <x:c r="V251"/>
      <x:c r="W251" s="5" t="n">
        <x:f>COUNTIF($C$2:$C$272,C251)</x:f>
        <x:v>3</x:v>
      </x:c>
      <x:c r="X251" t="str">
        <x:f>IF(W251&gt;=5,"Yes","No")</x:f>
        <x:v>No</x:v>
      </x:c>
      <x:c r="Y251" t="str">
        <x:f>INT(A251/10)*10&amp;"s"</x:f>
        <x:v>1890s</x:v>
      </x:c>
    </x:row>
    <x:row r="252">
      <x:c r="A252">
        <x:v>1890</x:v>
      </x:c>
      <x:c r="B252" t="s">
        <x:v>22</x:v>
      </x:c>
      <x:c r="C252" t="s">
        <x:v>511</x:v>
      </x:c>
      <x:c r="D252" t="s">
        <x:v>102</x:v>
      </x:c>
      <x:c r="E252" t="s">
        <x:v>103</x:v>
      </x:c>
      <x:c r="F252"/>
      <x:c r="G252"/>
      <x:c r="H252" t="s">
        <x:v>138</x:v>
      </x:c>
      <x:c r="I252">
        <x:v>6</x:v>
      </x:c>
      <x:c r="J252">
        <x:v>4</x:v>
      </x:c>
      <x:c r="K252">
        <x:v>6</x:v>
      </x:c>
      <x:c r="L252">
        <x:v>1</x:v>
      </x:c>
      <x:c r="M252"/>
      <x:c r="N252"/>
      <x:c r="O252"/>
      <x:c r="P252"/>
      <x:c r="Q252"/>
      <x:c r="R252"/>
      <x:c r="S252" t="s">
        <x:v>512</x:v>
      </x:c>
      <x:c r="T252" t="s">
        <x:v>102</x:v>
      </x:c>
      <x:c r="U252" t="s">
        <x:v>103</x:v>
      </x:c>
      <x:c r="V252"/>
      <x:c r="W252" s="5" t="n">
        <x:f>COUNTIF($C$2:$C$272,C252)</x:f>
        <x:v>1</x:v>
      </x:c>
      <x:c r="X252" t="str">
        <x:f>IF(W252&gt;=5,"Yes","No")</x:f>
        <x:v>No</x:v>
      </x:c>
      <x:c r="Y252" t="str">
        <x:f>INT(A252/10)*10&amp;"s"</x:f>
        <x:v>1890s</x:v>
      </x:c>
    </x:row>
    <x:row r="253">
      <x:c r="A253">
        <x:v>1890</x:v>
      </x:c>
      <x:c r="B253" t="s">
        <x:v>28</x:v>
      </x:c>
      <x:c r="C253" t="s">
        <x:v>513</x:v>
      </x:c>
      <x:c r="D253" t="s">
        <x:v>102</x:v>
      </x:c>
      <x:c r="E253" t="s">
        <x:v>103</x:v>
      </x:c>
      <x:c r="F253"/>
      <x:c r="G253">
        <x:v>96</x:v>
      </x:c>
      <x:c r="H253" t="s">
        <x:v>514</x:v>
      </x:c>
      <x:c r="I253">
        <x:v>6</x:v>
      </x:c>
      <x:c r="J253">
        <x:v>8</x:v>
      </x:c>
      <x:c r="K253">
        <x:v>6</x:v>
      </x:c>
      <x:c r="L253">
        <x:v>2</x:v>
      </x:c>
      <x:c r="M253">
        <x:v>3</x:v>
      </x:c>
      <x:c r="N253">
        <x:v>6</x:v>
      </x:c>
      <x:c r="O253">
        <x:v>6</x:v>
      </x:c>
      <x:c r="P253">
        <x:v>1</x:v>
      </x:c>
      <x:c r="Q253">
        <x:v>6</x:v>
      </x:c>
      <x:c r="R253">
        <x:v>1</x:v>
      </x:c>
      <x:c r="S253" t="s">
        <x:v>515</x:v>
      </x:c>
      <x:c r="T253" t="s">
        <x:v>102</x:v>
      </x:c>
      <x:c r="U253" t="s">
        <x:v>103</x:v>
      </x:c>
      <x:c r="V253"/>
      <x:c r="W253" s="5" t="n">
        <x:f>COUNTIF($C$2:$C$272,C253)</x:f>
        <x:v>1</x:v>
      </x:c>
      <x:c r="X253" t="str">
        <x:f>IF(W253&gt;=5,"Yes","No")</x:f>
        <x:v>No</x:v>
      </x:c>
      <x:c r="Y253" t="str">
        <x:f>INT(A253/10)*10&amp;"s"</x:f>
        <x:v>1890s</x:v>
      </x:c>
    </x:row>
    <x:row r="254">
      <x:c r="A254">
        <x:v>1889</x:v>
      </x:c>
      <x:c r="B254" t="s">
        <x:v>22</x:v>
      </x:c>
      <x:c r="C254" t="s">
        <x:v>483</x:v>
      </x:c>
      <x:c r="D254" t="s">
        <x:v>102</x:v>
      </x:c>
      <x:c r="E254" t="s">
        <x:v>103</x:v>
      </x:c>
      <x:c r="F254"/>
      <x:c r="G254"/>
      <x:c r="H254" t="s">
        <x:v>516</x:v>
      </x:c>
      <x:c r="I254">
        <x:v>4</x:v>
      </x:c>
      <x:c r="J254">
        <x:v>6</x:v>
      </x:c>
      <x:c r="K254">
        <x:v>8</x:v>
      </x:c>
      <x:c r="L254">
        <x:v>6</x:v>
      </x:c>
      <x:c r="M254">
        <x:v>6</x:v>
      </x:c>
      <x:c r="N254">
        <x:v>4</x:v>
      </x:c>
      <x:c r="O254"/>
      <x:c r="P254"/>
      <x:c r="Q254"/>
      <x:c r="R254"/>
      <x:c r="S254" t="s">
        <x:v>511</x:v>
      </x:c>
      <x:c r="T254" t="s">
        <x:v>102</x:v>
      </x:c>
      <x:c r="U254" t="s">
        <x:v>103</x:v>
      </x:c>
      <x:c r="V254"/>
      <x:c r="W254" s="5" t="n">
        <x:f>COUNTIF($C$2:$C$272,C254)</x:f>
        <x:v>6</x:v>
      </x:c>
      <x:c r="X254" t="str">
        <x:f>IF(W254&gt;=5,"Yes","No")</x:f>
        <x:v>Yes</x:v>
      </x:c>
      <x:c r="Y254" t="str">
        <x:f>INT(A254/10)*10&amp;"s"</x:f>
        <x:v>1880s</x:v>
      </x:c>
    </x:row>
    <x:row r="255">
      <x:c r="A255">
        <x:v>1889</x:v>
      </x:c>
      <x:c r="B255" t="s">
        <x:v>28</x:v>
      </x:c>
      <x:c r="C255" t="s">
        <x:v>515</x:v>
      </x:c>
      <x:c r="D255" t="s">
        <x:v>102</x:v>
      </x:c>
      <x:c r="E255" t="s">
        <x:v>103</x:v>
      </x:c>
      <x:c r="F255"/>
      <x:c r="G255">
        <x:v>63</x:v>
      </x:c>
      <x:c r="H255" t="s">
        <x:v>517</x:v>
      </x:c>
      <x:c r="I255">
        <x:v>6</x:v>
      </x:c>
      <x:c r="J255">
        <x:v>4</x:v>
      </x:c>
      <x:c r="K255">
        <x:v>6</x:v>
      </x:c>
      <x:c r="L255">
        <x:v>1</x:v>
      </x:c>
      <x:c r="M255">
        <x:v>3</x:v>
      </x:c>
      <x:c r="N255">
        <x:v>6</x:v>
      </x:c>
      <x:c r="O255">
        <x:v>6</x:v>
      </x:c>
      <x:c r="P255">
        <x:v>0</x:v>
      </x:c>
      <x:c r="Q255"/>
      <x:c r="R255"/>
      <x:c r="S255" t="s">
        <x:v>518</x:v>
      </x:c>
      <x:c r="T255" t="s">
        <x:v>102</x:v>
      </x:c>
      <x:c r="U255" t="s">
        <x:v>103</x:v>
      </x:c>
      <x:c r="V255"/>
      <x:c r="W255" s="5" t="n">
        <x:f>COUNTIF($C$2:$C$272,C255)</x:f>
        <x:v>7</x:v>
      </x:c>
      <x:c r="X255" t="str">
        <x:f>IF(W255&gt;=5,"Yes","No")</x:f>
        <x:v>Yes</x:v>
      </x:c>
      <x:c r="Y255" t="str">
        <x:f>INT(A255/10)*10&amp;"s"</x:f>
        <x:v>1880s</x:v>
      </x:c>
    </x:row>
    <x:row r="256">
      <x:c r="A256">
        <x:v>1888</x:v>
      </x:c>
      <x:c r="B256" t="s">
        <x:v>22</x:v>
      </x:c>
      <x:c r="C256" t="s">
        <x:v>505</x:v>
      </x:c>
      <x:c r="D256" t="s">
        <x:v>102</x:v>
      </x:c>
      <x:c r="E256" t="s">
        <x:v>103</x:v>
      </x:c>
      <x:c r="F256"/>
      <x:c r="G256"/>
      <x:c r="H256" t="s">
        <x:v>519</x:v>
      </x:c>
      <x:c r="I256">
        <x:v>6</x:v>
      </x:c>
      <x:c r="J256">
        <x:v>3</x:v>
      </x:c>
      <x:c r="K256">
        <x:v>6</x:v>
      </x:c>
      <x:c r="L256">
        <x:v>3</x:v>
      </x:c>
      <x:c r="M256"/>
      <x:c r="N256"/>
      <x:c r="O256"/>
      <x:c r="P256"/>
      <x:c r="Q256"/>
      <x:c r="R256"/>
      <x:c r="S256" t="s">
        <x:v>483</x:v>
      </x:c>
      <x:c r="T256" t="s">
        <x:v>102</x:v>
      </x:c>
      <x:c r="U256" t="s">
        <x:v>103</x:v>
      </x:c>
      <x:c r="V256"/>
      <x:c r="W256" s="5" t="n">
        <x:f>COUNTIF($C$2:$C$272,C256)</x:f>
        <x:v>5</x:v>
      </x:c>
      <x:c r="X256" t="str">
        <x:f>IF(W256&gt;=5,"Yes","No")</x:f>
        <x:v>Yes</x:v>
      </x:c>
      <x:c r="Y256" t="str">
        <x:f>INT(A256/10)*10&amp;"s"</x:f>
        <x:v>1880s</x:v>
      </x:c>
    </x:row>
    <x:row r="257">
      <x:c r="A257">
        <x:v>1888</x:v>
      </x:c>
      <x:c r="B257" t="s">
        <x:v>28</x:v>
      </x:c>
      <x:c r="C257" t="s">
        <x:v>518</x:v>
      </x:c>
      <x:c r="D257" t="s">
        <x:v>102</x:v>
      </x:c>
      <x:c r="E257" t="s">
        <x:v>103</x:v>
      </x:c>
      <x:c r="F257"/>
      <x:c r="G257">
        <x:v>51</x:v>
      </x:c>
      <x:c r="H257" t="s">
        <x:v>520</x:v>
      </x:c>
      <x:c r="I257">
        <x:v>6</x:v>
      </x:c>
      <x:c r="J257">
        <x:v>3</x:v>
      </x:c>
      <x:c r="K257">
        <x:v>7</x:v>
      </x:c>
      <x:c r="L257">
        <x:v>5</x:v>
      </x:c>
      <x:c r="M257">
        <x:v>6</x:v>
      </x:c>
      <x:c r="N257">
        <x:v>0</x:v>
      </x:c>
      <x:c r="O257"/>
      <x:c r="P257"/>
      <x:c r="Q257"/>
      <x:c r="R257"/>
      <x:c r="S257" t="s">
        <x:v>521</x:v>
      </x:c>
      <x:c r="T257" t="s">
        <x:v>102</x:v>
      </x:c>
      <x:c r="U257" t="s">
        <x:v>103</x:v>
      </x:c>
      <x:c r="V257"/>
      <x:c r="W257" s="5" t="n">
        <x:f>COUNTIF($C$2:$C$272,C257)</x:f>
        <x:v>1</x:v>
      </x:c>
      <x:c r="X257" t="str">
        <x:f>IF(W257&gt;=5,"Yes","No")</x:f>
        <x:v>No</x:v>
      </x:c>
      <x:c r="Y257" t="str">
        <x:f>INT(A257/10)*10&amp;"s"</x:f>
        <x:v>1880s</x:v>
      </x:c>
    </x:row>
    <x:row r="258">
      <x:c r="A258">
        <x:v>1887</x:v>
      </x:c>
      <x:c r="B258" t="s">
        <x:v>22</x:v>
      </x:c>
      <x:c r="C258" t="s">
        <x:v>505</x:v>
      </x:c>
      <x:c r="D258" t="s">
        <x:v>102</x:v>
      </x:c>
      <x:c r="E258" t="s">
        <x:v>103</x:v>
      </x:c>
      <x:c r="F258"/>
      <x:c r="G258"/>
      <x:c r="H258" t="s">
        <x:v>377</x:v>
      </x:c>
      <x:c r="I258">
        <x:v>6</x:v>
      </x:c>
      <x:c r="J258">
        <x:v>2</x:v>
      </x:c>
      <x:c r="K258">
        <x:v>6</x:v>
      </x:c>
      <x:c r="L258">
        <x:v>0</x:v>
      </x:c>
      <x:c r="M258"/>
      <x:c r="N258"/>
      <x:c r="O258"/>
      <x:c r="P258"/>
      <x:c r="Q258"/>
      <x:c r="R258"/>
      <x:c r="S258" t="s">
        <x:v>483</x:v>
      </x:c>
      <x:c r="T258" t="s">
        <x:v>102</x:v>
      </x:c>
      <x:c r="U258" t="s">
        <x:v>103</x:v>
      </x:c>
      <x:c r="V258"/>
      <x:c r="W258" s="5" t="n">
        <x:f>COUNTIF($C$2:$C$272,C258)</x:f>
        <x:v>5</x:v>
      </x:c>
      <x:c r="X258" t="str">
        <x:f>IF(W258&gt;=5,"Yes","No")</x:f>
        <x:v>Yes</x:v>
      </x:c>
      <x:c r="Y258" t="str">
        <x:f>INT(A258/10)*10&amp;"s"</x:f>
        <x:v>1880s</x:v>
      </x:c>
    </x:row>
    <x:row r="259">
      <x:c r="A259">
        <x:v>1887</x:v>
      </x:c>
      <x:c r="B259" t="s">
        <x:v>28</x:v>
      </x:c>
      <x:c r="C259" t="s">
        <x:v>521</x:v>
      </x:c>
      <x:c r="D259" t="s">
        <x:v>102</x:v>
      </x:c>
      <x:c r="E259" t="s">
        <x:v>103</x:v>
      </x:c>
      <x:c r="F259"/>
      <x:c r="G259">
        <x:v>120</x:v>
      </x:c>
      <x:c r="H259" t="s">
        <x:v>522</x:v>
      </x:c>
      <x:c r="I259">
        <x:v>1</x:v>
      </x:c>
      <x:c r="J259">
        <x:v>6</x:v>
      </x:c>
      <x:c r="K259">
        <x:v>6</x:v>
      </x:c>
      <x:c r="L259">
        <x:v>3</x:v>
      </x:c>
      <x:c r="M259">
        <x:v>3</x:v>
      </x:c>
      <x:c r="N259">
        <x:v>6</x:v>
      </x:c>
      <x:c r="O259">
        <x:v>6</x:v>
      </x:c>
      <x:c r="P259">
        <x:v>4</x:v>
      </x:c>
      <x:c r="Q259">
        <x:v>6</x:v>
      </x:c>
      <x:c r="R259">
        <x:v>4</x:v>
      </x:c>
      <x:c r="S259" t="s">
        <x:v>518</x:v>
      </x:c>
      <x:c r="T259" t="s">
        <x:v>102</x:v>
      </x:c>
      <x:c r="U259" t="s">
        <x:v>103</x:v>
      </x:c>
      <x:c r="V259"/>
      <x:c r="W259" s="5" t="n">
        <x:f>COUNTIF($C$2:$C$272,C259)</x:f>
        <x:v>1</x:v>
      </x:c>
      <x:c r="X259" t="str">
        <x:f>IF(W259&gt;=5,"Yes","No")</x:f>
        <x:v>No</x:v>
      </x:c>
      <x:c r="Y259" t="str">
        <x:f>INT(A259/10)*10&amp;"s"</x:f>
        <x:v>1880s</x:v>
      </x:c>
    </x:row>
    <x:row r="260">
      <x:c r="A260">
        <x:v>1886</x:v>
      </x:c>
      <x:c r="B260" t="s">
        <x:v>22</x:v>
      </x:c>
      <x:c r="C260" t="s">
        <x:v>483</x:v>
      </x:c>
      <x:c r="D260" t="s">
        <x:v>102</x:v>
      </x:c>
      <x:c r="E260" t="s">
        <x:v>103</x:v>
      </x:c>
      <x:c r="F260"/>
      <x:c r="G260"/>
      <x:c r="H260" t="s">
        <x:v>519</x:v>
      </x:c>
      <x:c r="I260">
        <x:v>6</x:v>
      </x:c>
      <x:c r="J260">
        <x:v>3</x:v>
      </x:c>
      <x:c r="K260">
        <x:v>6</x:v>
      </x:c>
      <x:c r="L260">
        <x:v>3</x:v>
      </x:c>
      <x:c r="M260"/>
      <x:c r="N260"/>
      <x:c r="O260"/>
      <x:c r="P260"/>
      <x:c r="Q260"/>
      <x:c r="R260"/>
      <x:c r="S260" t="s">
        <x:v>523</x:v>
      </x:c>
      <x:c r="T260" t="s">
        <x:v>102</x:v>
      </x:c>
      <x:c r="U260" t="s">
        <x:v>103</x:v>
      </x:c>
      <x:c r="V260"/>
      <x:c r="W260" s="5" t="n">
        <x:f>COUNTIF($C$2:$C$272,C260)</x:f>
        <x:v>6</x:v>
      </x:c>
      <x:c r="X260" t="str">
        <x:f>IF(W260&gt;=5,"Yes","No")</x:f>
        <x:v>Yes</x:v>
      </x:c>
      <x:c r="Y260" t="str">
        <x:f>INT(A260/10)*10&amp;"s"</x:f>
        <x:v>1880s</x:v>
      </x:c>
    </x:row>
    <x:row r="261">
      <x:c r="A261">
        <x:v>1886</x:v>
      </x:c>
      <x:c r="B261" t="s">
        <x:v>28</x:v>
      </x:c>
      <x:c r="C261" t="s">
        <x:v>515</x:v>
      </x:c>
      <x:c r="D261" t="s">
        <x:v>102</x:v>
      </x:c>
      <x:c r="E261" t="s">
        <x:v>103</x:v>
      </x:c>
      <x:c r="F261"/>
      <x:c r="G261">
        <x:v>96</x:v>
      </x:c>
      <x:c r="H261" t="s">
        <x:v>524</x:v>
      </x:c>
      <x:c r="I261">
        <x:v>6</x:v>
      </x:c>
      <x:c r="J261">
        <x:v>0</x:v>
      </x:c>
      <x:c r="K261">
        <x:v>5</x:v>
      </x:c>
      <x:c r="L261">
        <x:v>7</x:v>
      </x:c>
      <x:c r="M261">
        <x:v>6</x:v>
      </x:c>
      <x:c r="N261">
        <x:v>3</x:v>
      </x:c>
      <x:c r="O261">
        <x:v>6</x:v>
      </x:c>
      <x:c r="P261">
        <x:v>4</x:v>
      </x:c>
      <x:c r="Q261"/>
      <x:c r="R261"/>
      <x:c r="S261" t="s">
        <x:v>521</x:v>
      </x:c>
      <x:c r="T261" t="s">
        <x:v>102</x:v>
      </x:c>
      <x:c r="U261" t="s">
        <x:v>103</x:v>
      </x:c>
      <x:c r="V261"/>
      <x:c r="W261" s="5" t="n">
        <x:f>COUNTIF($C$2:$C$272,C261)</x:f>
        <x:v>7</x:v>
      </x:c>
      <x:c r="X261" t="str">
        <x:f>IF(W261&gt;=5,"Yes","No")</x:f>
        <x:v>Yes</x:v>
      </x:c>
      <x:c r="Y261" t="str">
        <x:f>INT(A261/10)*10&amp;"s"</x:f>
        <x:v>1880s</x:v>
      </x:c>
    </x:row>
    <x:row r="262">
      <x:c r="A262">
        <x:v>1885</x:v>
      </x:c>
      <x:c r="B262" t="s">
        <x:v>22</x:v>
      </x:c>
      <x:c r="C262" t="s">
        <x:v>523</x:v>
      </x:c>
      <x:c r="D262" t="s">
        <x:v>102</x:v>
      </x:c>
      <x:c r="E262" t="s">
        <x:v>103</x:v>
      </x:c>
      <x:c r="F262"/>
      <x:c r="G262"/>
      <x:c r="H262" t="s">
        <x:v>525</x:v>
      </x:c>
      <x:c r="I262">
        <x:v>6</x:v>
      </x:c>
      <x:c r="J262">
        <x:v>1</x:v>
      </x:c>
      <x:c r="K262">
        <x:v>7</x:v>
      </x:c>
      <x:c r="L262">
        <x:v>5</x:v>
      </x:c>
      <x:c r="M262"/>
      <x:c r="N262"/>
      <x:c r="O262"/>
      <x:c r="P262"/>
      <x:c r="Q262"/>
      <x:c r="R262"/>
      <x:c r="S262" t="s">
        <x:v>483</x:v>
      </x:c>
      <x:c r="T262" t="s">
        <x:v>102</x:v>
      </x:c>
      <x:c r="U262" t="s">
        <x:v>103</x:v>
      </x:c>
      <x:c r="V262"/>
      <x:c r="W262" s="5" t="n">
        <x:f>COUNTIF($C$2:$C$272,C262)</x:f>
        <x:v>2</x:v>
      </x:c>
      <x:c r="X262" t="str">
        <x:f>IF(W262&gt;=5,"Yes","No")</x:f>
        <x:v>No</x:v>
      </x:c>
      <x:c r="Y262" t="str">
        <x:f>INT(A262/10)*10&amp;"s"</x:f>
        <x:v>1880s</x:v>
      </x:c>
    </x:row>
    <x:row r="263">
      <x:c r="A263">
        <x:v>1885</x:v>
      </x:c>
      <x:c r="B263" t="s">
        <x:v>28</x:v>
      </x:c>
      <x:c r="C263" t="s">
        <x:v>515</x:v>
      </x:c>
      <x:c r="D263" t="s">
        <x:v>102</x:v>
      </x:c>
      <x:c r="E263" t="s">
        <x:v>103</x:v>
      </x:c>
      <x:c r="F263"/>
      <x:c r="G263">
        <x:v>122</x:v>
      </x:c>
      <x:c r="H263" t="s">
        <x:v>526</x:v>
      </x:c>
      <x:c r="I263">
        <x:v>7</x:v>
      </x:c>
      <x:c r="J263">
        <x:v>5</x:v>
      </x:c>
      <x:c r="K263">
        <x:v>6</x:v>
      </x:c>
      <x:c r="L263">
        <x:v>2</x:v>
      </x:c>
      <x:c r="M263">
        <x:v>4</x:v>
      </x:c>
      <x:c r="N263">
        <x:v>6</x:v>
      </x:c>
      <x:c r="O263">
        <x:v>7</x:v>
      </x:c>
      <x:c r="P263">
        <x:v>5</x:v>
      </x:c>
      <x:c r="Q263"/>
      <x:c r="R263"/>
      <x:c r="S263" t="s">
        <x:v>521</x:v>
      </x:c>
      <x:c r="T263" t="s">
        <x:v>102</x:v>
      </x:c>
      <x:c r="U263" t="s">
        <x:v>103</x:v>
      </x:c>
      <x:c r="V263"/>
      <x:c r="W263" s="5" t="n">
        <x:f>COUNTIF($C$2:$C$272,C263)</x:f>
        <x:v>7</x:v>
      </x:c>
      <x:c r="X263" t="str">
        <x:f>IF(W263&gt;=5,"Yes","No")</x:f>
        <x:v>Yes</x:v>
      </x:c>
      <x:c r="Y263" t="str">
        <x:f>INT(A263/10)*10&amp;"s"</x:f>
        <x:v>1880s</x:v>
      </x:c>
    </x:row>
    <x:row r="264">
      <x:c r="A264">
        <x:v>1884</x:v>
      </x:c>
      <x:c r="B264" t="s">
        <x:v>22</x:v>
      </x:c>
      <x:c r="C264" t="s">
        <x:v>523</x:v>
      </x:c>
      <x:c r="D264" t="s">
        <x:v>102</x:v>
      </x:c>
      <x:c r="E264" t="s">
        <x:v>103</x:v>
      </x:c>
      <x:c r="F264"/>
      <x:c r="G264"/>
      <x:c r="H264" t="s">
        <x:v>527</x:v>
      </x:c>
      <x:c r="I264">
        <x:v>6</x:v>
      </x:c>
      <x:c r="J264">
        <x:v>8</x:v>
      </x:c>
      <x:c r="K264">
        <x:v>6</x:v>
      </x:c>
      <x:c r="L264">
        <x:v>3</x:v>
      </x:c>
      <x:c r="M264">
        <x:v>6</x:v>
      </x:c>
      <x:c r="N264">
        <x:v>3</x:v>
      </x:c>
      <x:c r="O264"/>
      <x:c r="P264"/>
      <x:c r="Q264"/>
      <x:c r="R264"/>
      <x:c r="S264" t="s">
        <x:v>528</x:v>
      </x:c>
      <x:c r="T264" t="s">
        <x:v>102</x:v>
      </x:c>
      <x:c r="U264" t="s">
        <x:v>103</x:v>
      </x:c>
      <x:c r="V264"/>
      <x:c r="W264" s="5" t="n">
        <x:f>COUNTIF($C$2:$C$272,C264)</x:f>
        <x:v>2</x:v>
      </x:c>
      <x:c r="X264" t="str">
        <x:f>IF(W264&gt;=5,"Yes","No")</x:f>
        <x:v>No</x:v>
      </x:c>
      <x:c r="Y264" t="str">
        <x:f>INT(A264/10)*10&amp;"s"</x:f>
        <x:v>1880s</x:v>
      </x:c>
    </x:row>
    <x:row r="265">
      <x:c r="A265">
        <x:v>1884</x:v>
      </x:c>
      <x:c r="B265" t="s">
        <x:v>28</x:v>
      </x:c>
      <x:c r="C265" t="s">
        <x:v>515</x:v>
      </x:c>
      <x:c r="D265" t="s">
        <x:v>102</x:v>
      </x:c>
      <x:c r="E265" t="s">
        <x:v>103</x:v>
      </x:c>
      <x:c r="F265"/>
      <x:c r="G265">
        <x:v>69</x:v>
      </x:c>
      <x:c r="H265" t="s">
        <x:v>529</x:v>
      </x:c>
      <x:c r="I265">
        <x:v>6</x:v>
      </x:c>
      <x:c r="J265">
        <x:v>0</x:v>
      </x:c>
      <x:c r="K265">
        <x:v>6</x:v>
      </x:c>
      <x:c r="L265">
        <x:v>4</x:v>
      </x:c>
      <x:c r="M265">
        <x:v>9</x:v>
      </x:c>
      <x:c r="N265">
        <x:v>7</x:v>
      </x:c>
      <x:c r="O265"/>
      <x:c r="P265"/>
      <x:c r="Q265"/>
      <x:c r="R265"/>
      <x:c r="S265" t="s">
        <x:v>521</x:v>
      </x:c>
      <x:c r="T265" t="s">
        <x:v>102</x:v>
      </x:c>
      <x:c r="U265" t="s">
        <x:v>103</x:v>
      </x:c>
      <x:c r="V265"/>
      <x:c r="W265" s="5" t="n">
        <x:f>COUNTIF($C$2:$C$272,C265)</x:f>
        <x:v>7</x:v>
      </x:c>
      <x:c r="X265" t="str">
        <x:f>IF(W265&gt;=5,"Yes","No")</x:f>
        <x:v>Yes</x:v>
      </x:c>
      <x:c r="Y265" t="str">
        <x:f>INT(A265/10)*10&amp;"s"</x:f>
        <x:v>1880s</x:v>
      </x:c>
    </x:row>
    <x:row r="266">
      <x:c r="A266">
        <x:v>1883</x:v>
      </x:c>
      <x:c r="B266" t="s">
        <x:v>28</x:v>
      </x:c>
      <x:c r="C266" t="s">
        <x:v>515</x:v>
      </x:c>
      <x:c r="D266" t="s">
        <x:v>102</x:v>
      </x:c>
      <x:c r="E266" t="s">
        <x:v>103</x:v>
      </x:c>
      <x:c r="F266"/>
      <x:c r="G266">
        <x:v>89</x:v>
      </x:c>
      <x:c r="H266" t="s">
        <x:v>530</x:v>
      </x:c>
      <x:c r="I266">
        <x:v>2</x:v>
      </x:c>
      <x:c r="J266">
        <x:v>6</x:v>
      </x:c>
      <x:c r="K266">
        <x:v>6</x:v>
      </x:c>
      <x:c r="L266">
        <x:v>3</x:v>
      </x:c>
      <x:c r="M266">
        <x:v>6</x:v>
      </x:c>
      <x:c r="N266">
        <x:v>3</x:v>
      </x:c>
      <x:c r="O266">
        <x:v>4</x:v>
      </x:c>
      <x:c r="P266">
        <x:v>6</x:v>
      </x:c>
      <x:c r="Q266">
        <x:v>6</x:v>
      </x:c>
      <x:c r="R266">
        <x:v>3</x:v>
      </x:c>
      <x:c r="S266" t="s">
        <x:v>518</x:v>
      </x:c>
      <x:c r="T266" t="s">
        <x:v>102</x:v>
      </x:c>
      <x:c r="U266" t="s">
        <x:v>103</x:v>
      </x:c>
      <x:c r="V266"/>
      <x:c r="W266" s="5" t="n">
        <x:f>COUNTIF($C$2:$C$272,C266)</x:f>
        <x:v>7</x:v>
      </x:c>
      <x:c r="X266" t="str">
        <x:f>IF(W266&gt;=5,"Yes","No")</x:f>
        <x:v>Yes</x:v>
      </x:c>
      <x:c r="Y266" t="str">
        <x:f>INT(A266/10)*10&amp;"s"</x:f>
        <x:v>1880s</x:v>
      </x:c>
    </x:row>
    <x:row r="267">
      <x:c r="A267">
        <x:v>1882</x:v>
      </x:c>
      <x:c r="B267" t="s">
        <x:v>28</x:v>
      </x:c>
      <x:c r="C267" t="s">
        <x:v>515</x:v>
      </x:c>
      <x:c r="D267" t="s">
        <x:v>102</x:v>
      </x:c>
      <x:c r="E267" t="s">
        <x:v>103</x:v>
      </x:c>
      <x:c r="F267"/>
      <x:c r="G267">
        <x:v>85</x:v>
      </x:c>
      <x:c r="H267" t="s">
        <x:v>531</x:v>
      </x:c>
      <x:c r="I267">
        <x:v>6</x:v>
      </x:c>
      <x:c r="J267">
        <x:v>1</x:v>
      </x:c>
      <x:c r="K267">
        <x:v>2</x:v>
      </x:c>
      <x:c r="L267">
        <x:v>6</x:v>
      </x:c>
      <x:c r="M267">
        <x:v>4</x:v>
      </x:c>
      <x:c r="N267">
        <x:v>6</x:v>
      </x:c>
      <x:c r="O267">
        <x:v>6</x:v>
      </x:c>
      <x:c r="P267">
        <x:v>2</x:v>
      </x:c>
      <x:c r="Q267">
        <x:v>6</x:v>
      </x:c>
      <x:c r="R267">
        <x:v>2</x:v>
      </x:c>
      <x:c r="S267" t="s">
        <x:v>518</x:v>
      </x:c>
      <x:c r="T267" t="s">
        <x:v>102</x:v>
      </x:c>
      <x:c r="U267" t="s">
        <x:v>103</x:v>
      </x:c>
      <x:c r="V267"/>
      <x:c r="W267" s="5" t="n">
        <x:f>COUNTIF($C$2:$C$272,C267)</x:f>
        <x:v>7</x:v>
      </x:c>
      <x:c r="X267" t="str">
        <x:f>IF(W267&gt;=5,"Yes","No")</x:f>
        <x:v>Yes</x:v>
      </x:c>
      <x:c r="Y267" t="str">
        <x:f>INT(A267/10)*10&amp;"s"</x:f>
        <x:v>1880s</x:v>
      </x:c>
    </x:row>
    <x:row r="268">
      <x:c r="A268">
        <x:v>1881</x:v>
      </x:c>
      <x:c r="B268" t="s">
        <x:v>28</x:v>
      </x:c>
      <x:c r="C268" t="s">
        <x:v>515</x:v>
      </x:c>
      <x:c r="D268" t="s">
        <x:v>102</x:v>
      </x:c>
      <x:c r="E268" t="s">
        <x:v>103</x:v>
      </x:c>
      <x:c r="F268"/>
      <x:c r="G268">
        <x:v>37</x:v>
      </x:c>
      <x:c r="H268" t="s">
        <x:v>532</x:v>
      </x:c>
      <x:c r="I268">
        <x:v>6</x:v>
      </x:c>
      <x:c r="J268">
        <x:v>0</x:v>
      </x:c>
      <x:c r="K268">
        <x:v>6</x:v>
      </x:c>
      <x:c r="L268">
        <x:v>1</x:v>
      </x:c>
      <x:c r="M268">
        <x:v>6</x:v>
      </x:c>
      <x:c r="N268">
        <x:v>1</x:v>
      </x:c>
      <x:c r="O268"/>
      <x:c r="P268"/>
      <x:c r="Q268"/>
      <x:c r="R268"/>
      <x:c r="S268" t="s">
        <x:v>533</x:v>
      </x:c>
      <x:c r="T268" t="s">
        <x:v>102</x:v>
      </x:c>
      <x:c r="U268" t="s">
        <x:v>103</x:v>
      </x:c>
      <x:c r="V268"/>
      <x:c r="W268" s="5" t="n">
        <x:f>COUNTIF($C$2:$C$272,C268)</x:f>
        <x:v>7</x:v>
      </x:c>
      <x:c r="X268" t="str">
        <x:f>IF(W268&gt;=5,"Yes","No")</x:f>
        <x:v>Yes</x:v>
      </x:c>
      <x:c r="Y268" t="str">
        <x:f>INT(A268/10)*10&amp;"s"</x:f>
        <x:v>1880s</x:v>
      </x:c>
    </x:row>
    <x:row r="269">
      <x:c r="A269">
        <x:v>1880</x:v>
      </x:c>
      <x:c r="B269" t="s">
        <x:v>28</x:v>
      </x:c>
      <x:c r="C269" t="s">
        <x:v>533</x:v>
      </x:c>
      <x:c r="D269" t="s">
        <x:v>102</x:v>
      </x:c>
      <x:c r="E269" t="s">
        <x:v>103</x:v>
      </x:c>
      <x:c r="F269"/>
      <x:c r="G269"/>
      <x:c r="H269" t="s">
        <x:v>534</x:v>
      </x:c>
      <x:c r="I269">
        <x:v>6</x:v>
      </x:c>
      <x:c r="J269">
        <x:v>3</x:v>
      </x:c>
      <x:c r="K269">
        <x:v>6</x:v>
      </x:c>
      <x:c r="L269">
        <x:v>2</x:v>
      </x:c>
      <x:c r="M269">
        <x:v>2</x:v>
      </x:c>
      <x:c r="N269">
        <x:v>6</x:v>
      </x:c>
      <x:c r="O269">
        <x:v>6</x:v>
      </x:c>
      <x:c r="P269">
        <x:v>3</x:v>
      </x:c>
      <x:c r="Q269"/>
      <x:c r="R269"/>
      <x:c r="S269" t="s">
        <x:v>521</x:v>
      </x:c>
      <x:c r="T269" t="s">
        <x:v>102</x:v>
      </x:c>
      <x:c r="U269" t="s">
        <x:v>103</x:v>
      </x:c>
      <x:c r="V269"/>
      <x:c r="W269" s="5" t="n">
        <x:f>COUNTIF($C$2:$C$272,C269)</x:f>
        <x:v>2</x:v>
      </x:c>
      <x:c r="X269" t="str">
        <x:f>IF(W269&gt;=5,"Yes","No")</x:f>
        <x:v>No</x:v>
      </x:c>
      <x:c r="Y269" t="str">
        <x:f>INT(A269/10)*10&amp;"s"</x:f>
        <x:v>1880s</x:v>
      </x:c>
    </x:row>
    <x:row r="270">
      <x:c r="A270">
        <x:v>1879</x:v>
      </x:c>
      <x:c r="B270" t="s">
        <x:v>28</x:v>
      </x:c>
      <x:c r="C270" t="s">
        <x:v>533</x:v>
      </x:c>
      <x:c r="D270" t="s">
        <x:v>102</x:v>
      </x:c>
      <x:c r="E270" t="s">
        <x:v>103</x:v>
      </x:c>
      <x:c r="F270"/>
      <x:c r="G270"/>
      <x:c r="H270" t="s">
        <x:v>535</x:v>
      </x:c>
      <x:c r="I270">
        <x:v>6</x:v>
      </x:c>
      <x:c r="J270">
        <x:v>2</x:v>
      </x:c>
      <x:c r="K270">
        <x:v>6</x:v>
      </x:c>
      <x:c r="L270">
        <x:v>4</x:v>
      </x:c>
      <x:c r="M270">
        <x:v>6</x:v>
      </x:c>
      <x:c r="N270">
        <x:v>2</x:v>
      </x:c>
      <x:c r="O270"/>
      <x:c r="P270"/>
      <x:c r="Q270"/>
      <x:c r="R270"/>
      <x:c r="S270" t="s">
        <x:v>536</x:v>
      </x:c>
      <x:c r="T270" t="s">
        <x:v>102</x:v>
      </x:c>
      <x:c r="U270" t="s">
        <x:v>103</x:v>
      </x:c>
      <x:c r="V270"/>
      <x:c r="W270" s="5" t="n">
        <x:f>COUNTIF($C$2:$C$272,C270)</x:f>
        <x:v>2</x:v>
      </x:c>
      <x:c r="X270" t="str">
        <x:f>IF(W270&gt;=5,"Yes","No")</x:f>
        <x:v>No</x:v>
      </x:c>
      <x:c r="Y270" t="str">
        <x:f>INT(A270/10)*10&amp;"s"</x:f>
        <x:v>1870s</x:v>
      </x:c>
    </x:row>
    <x:row r="271">
      <x:c r="A271">
        <x:v>1878</x:v>
      </x:c>
      <x:c r="B271" t="s">
        <x:v>28</x:v>
      </x:c>
      <x:c r="C271" t="s">
        <x:v>537</x:v>
      </x:c>
      <x:c r="D271" t="s">
        <x:v>102</x:v>
      </x:c>
      <x:c r="E271" t="s">
        <x:v>103</x:v>
      </x:c>
      <x:c r="F271"/>
      <x:c r="G271"/>
      <x:c r="H271" t="s">
        <x:v>538</x:v>
      </x:c>
      <x:c r="I271">
        <x:v>7</x:v>
      </x:c>
      <x:c r="J271">
        <x:v>5</x:v>
      </x:c>
      <x:c r="K271">
        <x:v>6</x:v>
      </x:c>
      <x:c r="L271">
        <x:v>1</x:v>
      </x:c>
      <x:c r="M271">
        <x:v>9</x:v>
      </x:c>
      <x:c r="N271">
        <x:v>7</x:v>
      </x:c>
      <x:c r="O271"/>
      <x:c r="P271"/>
      <x:c r="Q271"/>
      <x:c r="R271"/>
      <x:c r="S271" t="s">
        <x:v>539</x:v>
      </x:c>
      <x:c r="T271" t="s">
        <x:v>102</x:v>
      </x:c>
      <x:c r="U271" t="s">
        <x:v>103</x:v>
      </x:c>
      <x:c r="V271"/>
      <x:c r="W271" s="5" t="n">
        <x:f>COUNTIF($C$2:$C$272,C271)</x:f>
        <x:v>1</x:v>
      </x:c>
      <x:c r="X271" t="str">
        <x:f>IF(W271&gt;=5,"Yes","No")</x:f>
        <x:v>No</x:v>
      </x:c>
      <x:c r="Y271" t="str">
        <x:f>INT(A271/10)*10&amp;"s"</x:f>
        <x:v>1870s</x:v>
      </x:c>
    </x:row>
    <x:row r="272">
      <x:c r="A272">
        <x:v>1877</x:v>
      </x:c>
      <x:c r="B272" t="s">
        <x:v>28</x:v>
      </x:c>
      <x:c r="C272" t="s">
        <x:v>539</x:v>
      </x:c>
      <x:c r="D272" t="s">
        <x:v>102</x:v>
      </x:c>
      <x:c r="E272" t="s">
        <x:v>103</x:v>
      </x:c>
      <x:c r="F272"/>
      <x:c r="G272">
        <x:v>48</x:v>
      </x:c>
      <x:c r="H272" t="s">
        <x:v>540</x:v>
      </x:c>
      <x:c r="I272">
        <x:v>6</x:v>
      </x:c>
      <x:c r="J272">
        <x:v>1</x:v>
      </x:c>
      <x:c r="K272">
        <x:v>6</x:v>
      </x:c>
      <x:c r="L272">
        <x:v>2</x:v>
      </x:c>
      <x:c r="M272">
        <x:v>6</x:v>
      </x:c>
      <x:c r="N272">
        <x:v>4</x:v>
      </x:c>
      <x:c r="O272"/>
      <x:c r="P272"/>
      <x:c r="Q272"/>
      <x:c r="R272"/>
      <x:c r="S272" t="s">
        <x:v>541</x:v>
      </x:c>
      <x:c r="T272" t="s">
        <x:v>102</x:v>
      </x:c>
      <x:c r="U272" t="s">
        <x:v>103</x:v>
      </x:c>
      <x:c r="V272"/>
      <x:c r="W272" s="5" t="n">
        <x:f>COUNTIF($C$2:$C$272,C272)</x:f>
        <x:v>1</x:v>
      </x:c>
      <x:c r="X272" t="str">
        <x:f>IF(W272&gt;=5,"Yes","No")</x:f>
        <x:v>No</x:v>
      </x:c>
      <x:c r="Y272" t="str">
        <x:f>INT(A272/10)*10&amp;"s"</x:f>
        <x:v>1870s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>
      <x:c r="A1" s="4" t="str">
        <x:v>Player</x:v>
      </x:c>
      <x:c r="B1" s="4" t="str">
        <x:v>Gender</x:v>
      </x:c>
      <x:c r="C1" s="4" t="str">
        <x:v>Champion Wins</x:v>
      </x:c>
      <x:c r="D1" s="4" t="str">
        <x:v>Runner-up Count</x:v>
      </x:c>
      <x:c r="E1" s="4" t="str">
        <x:v>Win Rate</x:v>
      </x:c>
      <x:c r="F1" s="4" t="str">
        <x:v>Avg Seed</x:v>
      </x:c>
      <x:c r="G1" s="4" t="str">
        <x:v>Avg Mins</x:v>
      </x:c>
      <x:c r="H1" s="4" t="str">
        <x:v>Normalised Champion Wins</x:v>
      </x:c>
      <x:c r="I1" s="4" t="str">
        <x:v>Normalised Runner-up Count</x:v>
      </x:c>
      <x:c r="J1" s="4" t="str">
        <x:v>Normalised Win Rate</x:v>
      </x:c>
      <x:c r="K1" s="4" t="str">
        <x:v>Normalised Avg Seed</x:v>
      </x:c>
      <x:c r="L1" s="4" t="str">
        <x:v>Normalised Avg Mins</x:v>
      </x:c>
      <x:c r="M1" s="4" t="str">
        <x:v>Champion Seed Sum</x:v>
      </x:c>
      <x:c r="N1" s="4" t="str">
        <x:v>Champion Seed Count</x:v>
      </x:c>
      <x:c r="O1" s="4" t="str">
        <x:v>Runner-up Seed Sum</x:v>
      </x:c>
      <x:c r="P1" s="4" t="str">
        <x:v>Runner-up Seed Count</x:v>
      </x:c>
      <x:c r="Q1" s="4" t="str">
        <x:v>Champion Mins Sum</x:v>
      </x:c>
      <x:c r="R1" s="4" t="str">
        <x:v>Champion Mins Count</x:v>
      </x:c>
      <x:c r="S1" s="4" t="str">
        <x:v>Runner-up Mins Sum</x:v>
      </x:c>
      <x:c r="T1" s="4" t="str">
        <x:v>Runner-up Mins Count</x:v>
      </x:c>
    </x:row>
    <x:row r="2">
      <x:c r="A2" s="7" t="str">
        <x:v>M. Navratilova</x:v>
      </x:c>
      <x:c r="B2" s="7" t="str">
        <x:v>Women's</x:v>
      </x:c>
      <x:c r="C2" s="8" t="n">
        <x:f>COUNTIF(wimbledons_champions!$C$2:$C$272,$A2)</x:f>
        <x:v>9</x:v>
      </x:c>
      <x:c r="D2" s="8" t="n">
        <x:f>COUNTIF(wimbledons_champions!$S$2:$S$272,$A2)</x:f>
        <x:v>3</x:v>
      </x:c>
      <x:c r="E2" s="9" t="n">
        <x:f>C2/(C2+D2)</x:f>
        <x:v>0.75</x:v>
      </x:c>
      <x:c r="F2" s="10" t="n">
        <x:f>IF((N2+P2)=0,"",(M2+O2)/(N2+P2))</x:f>
        <x:v>1.5833333333333333</x:v>
      </x:c>
      <x:c r="G2" s="10" t="n">
        <x:f>IF((R2+T2)=0,"",(Q2+S2)/(R2+T2))</x:f>
        <x:v>84.5</x:v>
      </x:c>
      <x:c r="H2" s="11" t="n">
        <x:f>IF(MAX($C$2:$C$18)=MIN($C$2:$C$18),0,(C2-MIN($C$2:$C$18))/(MAX($C$2:$C$18)-MIN($C$2:$C$18)))</x:f>
        <x:v>1</x:v>
      </x:c>
      <x:c r="I2" s="11" t="n">
        <x:f>IF(MAX($D$2:$D$18)=MIN($D$2:$D$18),0,(D2-MIN($D$2:$D$18))/(MAX($D$2:$D$18)-MIN($D$2:$D$18)))</x:f>
        <x:v>0.42857142857142855</x:v>
      </x:c>
      <x:c r="J2" s="11" t="n">
        <x:f>IF(MAX($E$2:$E$18)=MIN($E$2:$E$18),0,(E2-MIN($E$2:$E$18))/(MAX($E$2:$E$18)-MIN($E$2:$E$18)))</x:f>
        <x:v>0.5416666666666667</x:v>
      </x:c>
      <x:c r="K2" s="11" t="n">
        <x:f>IF(MAX($F$2:$F$18)=MIN($F$2:$F$18),0,(F2-MIN($F$2:$F$18))/(MAX($F$2:$F$18)-MIN($F$2:$F$18)))</x:f>
        <x:v>0.20652173913043476</x:v>
      </x:c>
      <x:c r="L2" s="11" t="n">
        <x:f>IF(MAX($G$2:$G$18)=MIN($G$2:$G$18),0,(G2-MIN($G$2:$G$18))/(MAX($G$2:$G$18)-MIN($G$2:$G$18)))</x:f>
        <x:v>0.43631669535283996</x:v>
      </x:c>
      <x:c r="M2" s="10" t="n">
        <x:f>SUMIF(wimbledons_champions!$C$2:$C$272,$A2,wimbledons_champions!$F$2:$F$272)</x:f>
        <x:v>11</x:v>
      </x:c>
      <x:c r="N2" s="10" t="n">
        <x:f>COUNTIFS(wimbledons_champions!$C$2:$C$272,$A2,wimbledons_champions!$F$2:$F$272,"&gt;=0")</x:f>
        <x:v>9</x:v>
      </x:c>
      <x:c r="O2" s="10" t="n">
        <x:f>SUMIF(wimbledons_champions!$S$2:$S$272,$A2,wimbledons_champions!$V$2:$V$272)</x:f>
        <x:v>8</x:v>
      </x:c>
      <x:c r="P2" s="10" t="n">
        <x:f>COUNTIFS(wimbledons_champions!$S$2:$S$272,$A2,wimbledons_champions!$V$2:$V$272,"&gt;=0")</x:f>
        <x:v>3</x:v>
      </x:c>
      <x:c r="Q2" s="10" t="n">
        <x:f>SUMIF(wimbledons_champions!$C$2:$C$272,$A2,wimbledons_champions!$G$2:$G$272)</x:f>
        <x:v>710</x:v>
      </x:c>
      <x:c r="R2" s="10" t="n">
        <x:f>COUNTIFS(wimbledons_champions!$C$2:$C$272,$A2,wimbledons_champions!$G$2:$G$272,"&gt;=0")</x:f>
        <x:v>9</x:v>
      </x:c>
      <x:c r="S2" s="10" t="n">
        <x:f>SUMIF(wimbledons_champions!$S$2:$S$272,$A2,wimbledons_champions!$G$2:$G$272)</x:f>
        <x:v>304</x:v>
      </x:c>
      <x:c r="T2" s="10" t="n">
        <x:f>COUNTIFS(wimbledons_champions!$S$2:$S$272,$A2,wimbledons_champions!$G$2:$G$272,"&gt;=0")</x:f>
        <x:v>3</x:v>
      </x:c>
    </x:row>
    <x:row r="3">
      <x:c r="A3" s="7" t="str">
        <x:v>H.W. Moody</x:v>
      </x:c>
      <x:c r="B3" s="7" t="str">
        <x:v>Women's</x:v>
      </x:c>
      <x:c r="C3" s="8" t="n">
        <x:f>COUNTIF(wimbledons_champions!$C$2:$C$272,$A3)</x:f>
        <x:v>8</x:v>
      </x:c>
      <x:c r="D3" s="8" t="n">
        <x:f>COUNTIF(wimbledons_champions!$S$2:$S$272,$A3)</x:f>
        <x:v>1</x:v>
      </x:c>
      <x:c r="E3" s="9" t="n">
        <x:f>C3/(C3+D3)</x:f>
        <x:v>0.8888888888888888</x:v>
      </x:c>
      <x:c r="F3" s="10" t="n">
        <x:f>IF((N3+P3)=0,"",(M3+O3)/(N3+P3))</x:f>
        <x:v>1.2222222222222223</x:v>
      </x:c>
      <x:c r="G3" s="10" t="n">
        <x:f>IF((R3+T3)=0,"",(Q3+S3)/(R3+T3))</x:f>
        <x:v>38.333333333333336</x:v>
      </x:c>
      <x:c r="H3" s="11" t="n">
        <x:f>IF(MAX($C$2:$C$18)=MIN($C$2:$C$18),0,(C3-MIN($C$2:$C$18))/(MAX($C$2:$C$18)-MIN($C$2:$C$18)))</x:f>
        <x:v>0.75</x:v>
      </x:c>
      <x:c r="I3" s="11" t="n">
        <x:f>IF(MAX($D$2:$D$18)=MIN($D$2:$D$18),0,(D3-MIN($D$2:$D$18))/(MAX($D$2:$D$18)-MIN($D$2:$D$18)))</x:f>
        <x:v>0.14285714285714285</x:v>
      </x:c>
      <x:c r="J3" s="11" t="n">
        <x:f>IF(MAX($E$2:$E$18)=MIN($E$2:$E$18),0,(E3-MIN($E$2:$E$18))/(MAX($E$2:$E$18)-MIN($E$2:$E$18)))</x:f>
        <x:v>0.7962962962962963</x:v>
      </x:c>
      <x:c r="K3" s="11" t="n">
        <x:f>IF(MAX($F$2:$F$18)=MIN($F$2:$F$18),0,(F3-MIN($F$2:$F$18))/(MAX($F$2:$F$18)-MIN($F$2:$F$18)))</x:f>
        <x:v>0.15942028985507248</x:v>
      </x:c>
      <x:c r="L3" s="11" t="n">
        <x:f>IF(MAX($G$2:$G$18)=MIN($G$2:$G$18),0,(G3-MIN($G$2:$G$18))/(MAX($G$2:$G$18)-MIN($G$2:$G$18)))</x:f>
        <x:v>0.19793459552495699</x:v>
      </x:c>
      <x:c r="M3" s="10" t="n">
        <x:f>SUMIF(wimbledons_champions!$C$2:$C$272,$A3,wimbledons_champions!$F$2:$F$272)</x:f>
        <x:v>11</x:v>
      </x:c>
      <x:c r="N3" s="10" t="n">
        <x:f>COUNTIFS(wimbledons_champions!$C$2:$C$272,$A3,wimbledons_champions!$F$2:$F$272,"&gt;=0")</x:f>
        <x:v>8</x:v>
      </x:c>
      <x:c r="O3" s="10" t="n">
        <x:f>SUMIF(wimbledons_champions!$S$2:$S$272,$A3,wimbledons_champions!$V$2:$V$272)</x:f>
        <x:v>0</x:v>
      </x:c>
      <x:c r="P3" s="10" t="n">
        <x:f>COUNTIFS(wimbledons_champions!$S$2:$S$272,$A3,wimbledons_champions!$V$2:$V$272,"&gt;=0")</x:f>
        <x:v>1</x:v>
      </x:c>
      <x:c r="Q3" s="10" t="n">
        <x:f>SUMIF(wimbledons_champions!$C$2:$C$272,$A3,wimbledons_champions!$G$2:$G$272)</x:f>
        <x:v>270</x:v>
      </x:c>
      <x:c r="R3" s="10" t="n">
        <x:f>COUNTIFS(wimbledons_champions!$C$2:$C$272,$A3,wimbledons_champions!$G$2:$G$272,"&gt;=0")</x:f>
        <x:v>8</x:v>
      </x:c>
      <x:c r="S3" s="10" t="n">
        <x:f>SUMIF(wimbledons_champions!$S$2:$S$272,$A3,wimbledons_champions!$G$2:$G$272)</x:f>
        <x:v>75</x:v>
      </x:c>
      <x:c r="T3" s="10" t="n">
        <x:f>COUNTIFS(wimbledons_champions!$S$2:$S$272,$A3,wimbledons_champions!$G$2:$G$272,"&gt;=0")</x:f>
        <x:v>1</x:v>
      </x:c>
    </x:row>
    <x:row r="4">
      <x:c r="A4" s="7" t="str">
        <x:v>R. Federer</x:v>
      </x:c>
      <x:c r="B4" s="7" t="str">
        <x:v>Men's</x:v>
      </x:c>
      <x:c r="C4" s="8" t="n">
        <x:f>COUNTIF(wimbledons_champions!$C$2:$C$272,$A4)</x:f>
        <x:v>8</x:v>
      </x:c>
      <x:c r="D4" s="8" t="n">
        <x:f>COUNTIF(wimbledons_champions!$S$2:$S$272,$A4)</x:f>
        <x:v>4</x:v>
      </x:c>
      <x:c r="E4" s="9" t="n">
        <x:f>C4/(C4+D4)</x:f>
        <x:v>0.6666666666666666</x:v>
      </x:c>
      <x:c r="F4" s="10" t="n">
        <x:f>IF((N4+P4)=0,"",(M4+O4)/(N4+P4))</x:f>
        <x:v>2.0833333333333335</x:v>
      </x:c>
      <x:c r="G4" s="10" t="n">
        <x:f>IF((R4+T4)=0,"",(Q4+S4)/(R4+T4))</x:f>
        <x:v>193.66666666666666</x:v>
      </x:c>
      <x:c r="H4" s="11" t="n">
        <x:f>IF(MAX($C$2:$C$18)=MIN($C$2:$C$18),0,(C4-MIN($C$2:$C$18))/(MAX($C$2:$C$18)-MIN($C$2:$C$18)))</x:f>
        <x:v>0.75</x:v>
      </x:c>
      <x:c r="I4" s="11" t="n">
        <x:f>IF(MAX($D$2:$D$18)=MIN($D$2:$D$18),0,(D4-MIN($D$2:$D$18))/(MAX($D$2:$D$18)-MIN($D$2:$D$18)))</x:f>
        <x:v>0.5714285714285714</x:v>
      </x:c>
      <x:c r="J4" s="11" t="n">
        <x:f>IF(MAX($E$2:$E$18)=MIN($E$2:$E$18),0,(E4-MIN($E$2:$E$18))/(MAX($E$2:$E$18)-MIN($E$2:$E$18)))</x:f>
        <x:v>0.3888888888888889</x:v>
      </x:c>
      <x:c r="K4" s="11" t="n">
        <x:f>IF(MAX($F$2:$F$18)=MIN($F$2:$F$18),0,(F4-MIN($F$2:$F$18))/(MAX($F$2:$F$18)-MIN($F$2:$F$18)))</x:f>
        <x:v>0.2717391304347826</x:v>
      </x:c>
      <x:c r="L4" s="11" t="n">
        <x:f>IF(MAX($G$2:$G$18)=MIN($G$2:$G$18),0,(G4-MIN($G$2:$G$18))/(MAX($G$2:$G$18)-MIN($G$2:$G$18)))</x:f>
        <x:v>1</x:v>
      </x:c>
      <x:c r="M4" s="10" t="n">
        <x:f>SUMIF(wimbledons_champions!$C$2:$C$272,$A4,wimbledons_champions!$F$2:$F$272)</x:f>
        <x:v>16</x:v>
      </x:c>
      <x:c r="N4" s="10" t="n">
        <x:f>COUNTIFS(wimbledons_champions!$C$2:$C$272,$A4,wimbledons_champions!$F$2:$F$272,"&gt;=0")</x:f>
        <x:v>8</x:v>
      </x:c>
      <x:c r="O4" s="10" t="n">
        <x:f>SUMIF(wimbledons_champions!$S$2:$S$272,$A4,wimbledons_champions!$V$2:$V$272)</x:f>
        <x:v>9</x:v>
      </x:c>
      <x:c r="P4" s="10" t="n">
        <x:f>COUNTIFS(wimbledons_champions!$S$2:$S$272,$A4,wimbledons_champions!$V$2:$V$272,"&gt;=0")</x:f>
        <x:v>4</x:v>
      </x:c>
      <x:c r="Q4" s="10" t="n">
        <x:f>SUMIF(wimbledons_champions!$C$2:$C$272,$A4,wimbledons_champions!$G$2:$G$272)</x:f>
        <x:v>1327</x:v>
      </x:c>
      <x:c r="R4" s="10" t="n">
        <x:f>COUNTIFS(wimbledons_champions!$C$2:$C$272,$A4,wimbledons_champions!$G$2:$G$272,"&gt;=0")</x:f>
        <x:v>8</x:v>
      </x:c>
      <x:c r="S4" s="10" t="n">
        <x:f>SUMIF(wimbledons_champions!$S$2:$S$272,$A4,wimbledons_champions!$G$2:$G$272)</x:f>
        <x:v>997</x:v>
      </x:c>
      <x:c r="T4" s="10" t="n">
        <x:f>COUNTIFS(wimbledons_champions!$S$2:$S$272,$A4,wimbledons_champions!$G$2:$G$272,"&gt;=0")</x:f>
        <x:v>4</x:v>
      </x:c>
    </x:row>
    <x:row r="5">
      <x:c r="A5" s="7" t="str">
        <x:v>D.L. Chambers</x:v>
      </x:c>
      <x:c r="B5" s="7" t="str">
        <x:v>Women's</x:v>
      </x:c>
      <x:c r="C5" s="8" t="n">
        <x:f>COUNTIF(wimbledons_champions!$C$2:$C$272,$A5)</x:f>
        <x:v>7</x:v>
      </x:c>
      <x:c r="D5" s="8" t="n">
        <x:f>COUNTIF(wimbledons_champions!$S$2:$S$272,$A5)</x:f>
        <x:v>4</x:v>
      </x:c>
      <x:c r="E5" s="9" t="n">
        <x:f>C5/(C5+D5)</x:f>
        <x:v>0.6363636363636364</x:v>
      </x:c>
      <x:c r="F5" s="10" t="n">
        <x:f>IF((N5+P5)=0,"",(M5+O5)/(N5+P5))</x:f>
        <x:v>0</x:v>
      </x:c>
      <x:c r="G5" s="10" t="n">
        <x:f>IF((R5+T5)=0,"",(Q5+S5)/(R5+T5))</x:f>
        <x:v>18.818181818181817</x:v>
      </x:c>
      <x:c r="H5" s="11" t="n">
        <x:f>IF(MAX($C$2:$C$18)=MIN($C$2:$C$18),0,(C5-MIN($C$2:$C$18))/(MAX($C$2:$C$18)-MIN($C$2:$C$18)))</x:f>
        <x:v>0.5</x:v>
      </x:c>
      <x:c r="I5" s="11" t="n">
        <x:f>IF(MAX($D$2:$D$18)=MIN($D$2:$D$18),0,(D5-MIN($D$2:$D$18))/(MAX($D$2:$D$18)-MIN($D$2:$D$18)))</x:f>
        <x:v>0.5714285714285714</x:v>
      </x:c>
      <x:c r="J5" s="11" t="n">
        <x:f>IF(MAX($E$2:$E$18)=MIN($E$2:$E$18),0,(E5-MIN($E$2:$E$18))/(MAX($E$2:$E$18)-MIN($E$2:$E$18)))</x:f>
        <x:v>0.33333333333333337</x:v>
      </x:c>
      <x:c r="K5" s="11" t="n">
        <x:f>IF(MAX($F$2:$F$18)=MIN($F$2:$F$18),0,(F5-MIN($F$2:$F$18))/(MAX($F$2:$F$18)-MIN($F$2:$F$18)))</x:f>
        <x:v>0</x:v>
      </x:c>
      <x:c r="L5" s="11" t="n">
        <x:f>IF(MAX($G$2:$G$18)=MIN($G$2:$G$18),0,(G5-MIN($G$2:$G$18))/(MAX($G$2:$G$18)-MIN($G$2:$G$18)))</x:f>
        <x:v>0.09716789234861524</x:v>
      </x:c>
      <x:c r="M5" s="10" t="n">
        <x:f>SUMIF(wimbledons_champions!$C$2:$C$272,$A5,wimbledons_champions!$F$2:$F$272)</x:f>
        <x:v>0</x:v>
      </x:c>
      <x:c r="N5" s="10" t="n">
        <x:f>COUNTIFS(wimbledons_champions!$C$2:$C$272,$A5,wimbledons_champions!$F$2:$F$272,"&gt;=0")</x:f>
        <x:v>7</x:v>
      </x:c>
      <x:c r="O5" s="10" t="n">
        <x:f>SUMIF(wimbledons_champions!$S$2:$S$272,$A5,wimbledons_champions!$V$2:$V$272)</x:f>
        <x:v>0</x:v>
      </x:c>
      <x:c r="P5" s="10" t="n">
        <x:f>COUNTIFS(wimbledons_champions!$S$2:$S$272,$A5,wimbledons_champions!$V$2:$V$272,"&gt;=0")</x:f>
        <x:v>4</x:v>
      </x:c>
      <x:c r="Q5" s="10" t="n">
        <x:f>SUMIF(wimbledons_champions!$C$2:$C$272,$A5,wimbledons_champions!$G$2:$G$272)</x:f>
        <x:v>82</x:v>
      </x:c>
      <x:c r="R5" s="10" t="n">
        <x:f>COUNTIFS(wimbledons_champions!$C$2:$C$272,$A5,wimbledons_champions!$G$2:$G$272,"&gt;=0")</x:f>
        <x:v>7</x:v>
      </x:c>
      <x:c r="S5" s="10" t="n">
        <x:f>SUMIF(wimbledons_champions!$S$2:$S$272,$A5,wimbledons_champions!$G$2:$G$272)</x:f>
        <x:v>125</x:v>
      </x:c>
      <x:c r="T5" s="10" t="n">
        <x:f>COUNTIFS(wimbledons_champions!$S$2:$S$272,$A5,wimbledons_champions!$G$2:$G$272,"&gt;=0")</x:f>
        <x:v>4</x:v>
      </x:c>
    </x:row>
    <x:row r="6">
      <x:c r="A6" s="7" t="str">
        <x:v>N. Djokovic</x:v>
      </x:c>
      <x:c r="B6" s="7" t="str">
        <x:v>Men's</x:v>
      </x:c>
      <x:c r="C6" s="8" t="n">
        <x:f>COUNTIF(wimbledons_champions!$C$2:$C$272,$A6)</x:f>
        <x:v>7</x:v>
      </x:c>
      <x:c r="D6" s="8" t="n">
        <x:f>COUNTIF(wimbledons_champions!$S$2:$S$272,$A6)</x:f>
        <x:v>2</x:v>
      </x:c>
      <x:c r="E6" s="9" t="n">
        <x:f>C6/(C6+D6)</x:f>
        <x:v>0.7777777777777778</x:v>
      </x:c>
      <x:c r="F6" s="10" t="n">
        <x:f>IF((N6+P6)=0,"",(M6+O6)/(N6+P6))</x:f>
        <x:v>2.4444444444444446</x:v>
      </x:c>
      <x:c r="G6" s="10" t="n">
        <x:f>IF((R6+T6)=0,"",(Q6+S6)/(R6+T6))</x:f>
        <x:v>188.11111111111111</x:v>
      </x:c>
      <x:c r="H6" s="11" t="n">
        <x:f>IF(MAX($C$2:$C$18)=MIN($C$2:$C$18),0,(C6-MIN($C$2:$C$18))/(MAX($C$2:$C$18)-MIN($C$2:$C$18)))</x:f>
        <x:v>0.5</x:v>
      </x:c>
      <x:c r="I6" s="11" t="n">
        <x:f>IF(MAX($D$2:$D$18)=MIN($D$2:$D$18),0,(D6-MIN($D$2:$D$18))/(MAX($D$2:$D$18)-MIN($D$2:$D$18)))</x:f>
        <x:v>0.2857142857142857</x:v>
      </x:c>
      <x:c r="J6" s="11" t="n">
        <x:f>IF(MAX($E$2:$E$18)=MIN($E$2:$E$18),0,(E6-MIN($E$2:$E$18))/(MAX($E$2:$E$18)-MIN($E$2:$E$18)))</x:f>
        <x:v>0.5925925925925927</x:v>
      </x:c>
      <x:c r="K6" s="11" t="n">
        <x:f>IF(MAX($F$2:$F$18)=MIN($F$2:$F$18),0,(F6-MIN($F$2:$F$18))/(MAX($F$2:$F$18)-MIN($F$2:$F$18)))</x:f>
        <x:v>0.31884057971014496</x:v>
      </x:c>
      <x:c r="L6" s="11" t="n">
        <x:f>IF(MAX($G$2:$G$18)=MIN($G$2:$G$18),0,(G6-MIN($G$2:$G$18))/(MAX($G$2:$G$18)-MIN($G$2:$G$18)))</x:f>
        <x:v>0.9713138267355136</x:v>
      </x:c>
      <x:c r="M6" s="10" t="n">
        <x:f>SUMIF(wimbledons_champions!$C$2:$C$272,$A6,wimbledons_champions!$F$2:$F$272)</x:f>
        <x:v>19</x:v>
      </x:c>
      <x:c r="N6" s="10" t="n">
        <x:f>COUNTIFS(wimbledons_champions!$C$2:$C$272,$A6,wimbledons_champions!$F$2:$F$272,"&gt;=0")</x:f>
        <x:v>7</x:v>
      </x:c>
      <x:c r="O6" s="10" t="n">
        <x:f>SUMIF(wimbledons_champions!$S$2:$S$272,$A6,wimbledons_champions!$V$2:$V$272)</x:f>
        <x:v>3</x:v>
      </x:c>
      <x:c r="P6" s="10" t="n">
        <x:f>COUNTIFS(wimbledons_champions!$S$2:$S$272,$A6,wimbledons_champions!$V$2:$V$272,"&gt;=0")</x:f>
        <x:v>2</x:v>
      </x:c>
      <x:c r="Q6" s="10" t="n">
        <x:f>SUMIF(wimbledons_champions!$C$2:$C$272,$A6,wimbledons_champions!$G$2:$G$272)</x:f>
        <x:v>1412</x:v>
      </x:c>
      <x:c r="R6" s="10" t="n">
        <x:f>COUNTIFS(wimbledons_champions!$C$2:$C$272,$A6,wimbledons_champions!$G$2:$G$272,"&gt;=0")</x:f>
        <x:v>7</x:v>
      </x:c>
      <x:c r="S6" s="10" t="n">
        <x:f>SUMIF(wimbledons_champions!$S$2:$S$272,$A6,wimbledons_champions!$G$2:$G$272)</x:f>
        <x:v>281</x:v>
      </x:c>
      <x:c r="T6" s="10" t="n">
        <x:f>COUNTIFS(wimbledons_champions!$S$2:$S$272,$A6,wimbledons_champions!$G$2:$G$272,"&gt;=0")</x:f>
        <x:v>2</x:v>
      </x:c>
    </x:row>
    <x:row r="7">
      <x:c r="A7" s="7" t="str">
        <x:v>P. Sampras</x:v>
      </x:c>
      <x:c r="B7" s="7" t="str">
        <x:v>Men's</x:v>
      </x:c>
      <x:c r="C7" s="8" t="n">
        <x:f>COUNTIF(wimbledons_champions!$C$2:$C$272,$A7)</x:f>
        <x:v>7</x:v>
      </x:c>
      <x:c r="D7" s="8" t="n">
        <x:f>COUNTIF(wimbledons_champions!$S$2:$S$272,$A7)</x:f>
        <x:v>0</x:v>
      </x:c>
      <x:c r="E7" s="9" t="n">
        <x:f>C7/(C7+D7)</x:f>
        <x:v>1</x:v>
      </x:c>
      <x:c r="F7" s="10" t="n">
        <x:f>IF((N7+P7)=0,"",(M7+O7)/(N7+P7))</x:f>
        <x:v>1.1428571428571428</x:v>
      </x:c>
      <x:c r="G7" s="10" t="n">
        <x:f>IF((R7+T7)=0,"",(Q7+S7)/(R7+T7))</x:f>
        <x:v>143.57142857142858</x:v>
      </x:c>
      <x:c r="H7" s="11" t="n">
        <x:f>IF(MAX($C$2:$C$18)=MIN($C$2:$C$18),0,(C7-MIN($C$2:$C$18))/(MAX($C$2:$C$18)-MIN($C$2:$C$18)))</x:f>
        <x:v>0.5</x:v>
      </x:c>
      <x:c r="I7" s="11" t="n">
        <x:f>IF(MAX($D$2:$D$18)=MIN($D$2:$D$18),0,(D7-MIN($D$2:$D$18))/(MAX($D$2:$D$18)-MIN($D$2:$D$18)))</x:f>
        <x:v>0</x:v>
      </x:c>
      <x:c r="J7" s="11" t="n">
        <x:f>IF(MAX($E$2:$E$18)=MIN($E$2:$E$18),0,(E7-MIN($E$2:$E$18))/(MAX($E$2:$E$18)-MIN($E$2:$E$18)))</x:f>
        <x:v>1</x:v>
      </x:c>
      <x:c r="K7" s="11" t="n">
        <x:f>IF(MAX($F$2:$F$18)=MIN($F$2:$F$18),0,(F7-MIN($F$2:$F$18))/(MAX($F$2:$F$18)-MIN($F$2:$F$18)))</x:f>
        <x:v>0.14906832298136644</x:v>
      </x:c>
      <x:c r="L7" s="11" t="n">
        <x:f>IF(MAX($G$2:$G$18)=MIN($G$2:$G$18),0,(G7-MIN($G$2:$G$18))/(MAX($G$2:$G$18)-MIN($G$2:$G$18)))</x:f>
        <x:v>0.741332677649373</x:v>
      </x:c>
      <x:c r="M7" s="10" t="n">
        <x:f>SUMIF(wimbledons_champions!$C$2:$C$272,$A7,wimbledons_champions!$F$2:$F$272)</x:f>
        <x:v>8</x:v>
      </x:c>
      <x:c r="N7" s="10" t="n">
        <x:f>COUNTIFS(wimbledons_champions!$C$2:$C$272,$A7,wimbledons_champions!$F$2:$F$272,"&gt;=0")</x:f>
        <x:v>7</x:v>
      </x:c>
      <x:c r="O7" s="10" t="n">
        <x:f>SUMIF(wimbledons_champions!$S$2:$S$272,$A7,wimbledons_champions!$V$2:$V$272)</x:f>
        <x:v>0</x:v>
      </x:c>
      <x:c r="P7" s="10" t="n">
        <x:f>COUNTIFS(wimbledons_champions!$S$2:$S$272,$A7,wimbledons_champions!$V$2:$V$272,"&gt;=0")</x:f>
        <x:v>0</x:v>
      </x:c>
      <x:c r="Q7" s="10" t="n">
        <x:f>SUMIF(wimbledons_champions!$C$2:$C$272,$A7,wimbledons_champions!$G$2:$G$272)</x:f>
        <x:v>1005</x:v>
      </x:c>
      <x:c r="R7" s="10" t="n">
        <x:f>COUNTIFS(wimbledons_champions!$C$2:$C$272,$A7,wimbledons_champions!$G$2:$G$272,"&gt;=0")</x:f>
        <x:v>7</x:v>
      </x:c>
      <x:c r="S7" s="10" t="n">
        <x:f>SUMIF(wimbledons_champions!$S$2:$S$272,$A7,wimbledons_champions!$G$2:$G$272)</x:f>
        <x:v>0</x:v>
      </x:c>
      <x:c r="T7" s="10" t="n">
        <x:f>COUNTIFS(wimbledons_champions!$S$2:$S$272,$A7,wimbledons_champions!$G$2:$G$272,"&gt;=0")</x:f>
        <x:v>0</x:v>
      </x:c>
    </x:row>
    <x:row r="8">
      <x:c r="A8" s="7" t="str">
        <x:v>S. Williams</x:v>
      </x:c>
      <x:c r="B8" s="7" t="str">
        <x:v>Women's</x:v>
      </x:c>
      <x:c r="C8" s="8" t="n">
        <x:f>COUNTIF(wimbledons_champions!$C$2:$C$272,$A8)</x:f>
        <x:v>7</x:v>
      </x:c>
      <x:c r="D8" s="8" t="n">
        <x:f>COUNTIF(wimbledons_champions!$S$2:$S$272,$A8)</x:f>
        <x:v>4</x:v>
      </x:c>
      <x:c r="E8" s="9" t="n">
        <x:f>C8/(C8+D8)</x:f>
        <x:v>0.6363636363636364</x:v>
      </x:c>
      <x:c r="F8" s="10" t="n">
        <x:f>IF((N8+P8)=0,"",(M8+O8)/(N8+P8))</x:f>
        <x:v>5.181818181818182</x:v>
      </x:c>
      <x:c r="G8" s="10" t="n">
        <x:f>IF((R8+T8)=0,"",(Q8+S8)/(R8+T8))</x:f>
        <x:v>86.18181818181819</x:v>
      </x:c>
      <x:c r="H8" s="11" t="n">
        <x:f>IF(MAX($C$2:$C$18)=MIN($C$2:$C$18),0,(C8-MIN($C$2:$C$18))/(MAX($C$2:$C$18)-MIN($C$2:$C$18)))</x:f>
        <x:v>0.5</x:v>
      </x:c>
      <x:c r="I8" s="11" t="n">
        <x:f>IF(MAX($D$2:$D$18)=MIN($D$2:$D$18),0,(D8-MIN($D$2:$D$18))/(MAX($D$2:$D$18)-MIN($D$2:$D$18)))</x:f>
        <x:v>0.5714285714285714</x:v>
      </x:c>
      <x:c r="J8" s="11" t="n">
        <x:f>IF(MAX($E$2:$E$18)=MIN($E$2:$E$18),0,(E8-MIN($E$2:$E$18))/(MAX($E$2:$E$18)-MIN($E$2:$E$18)))</x:f>
        <x:v>0.33333333333333337</x:v>
      </x:c>
      <x:c r="K8" s="11" t="n">
        <x:f>IF(MAX($F$2:$F$18)=MIN($F$2:$F$18),0,(F8-MIN($F$2:$F$18))/(MAX($F$2:$F$18)-MIN($F$2:$F$18)))</x:f>
        <x:v>0.6758893280632411</x:v>
      </x:c>
      <x:c r="L8" s="11" t="n">
        <x:f>IF(MAX($G$2:$G$18)=MIN($G$2:$G$18),0,(G8-MIN($G$2:$G$18))/(MAX($G$2:$G$18)-MIN($G$2:$G$18)))</x:f>
        <x:v>0.44500078235018</x:v>
      </x:c>
      <x:c r="M8" s="10" t="n">
        <x:f>SUMIF(wimbledons_champions!$C$2:$C$272,$A8,wimbledons_champions!$F$2:$F$272)</x:f>
        <x:v>14</x:v>
      </x:c>
      <x:c r="N8" s="10" t="n">
        <x:f>COUNTIFS(wimbledons_champions!$C$2:$C$272,$A8,wimbledons_champions!$F$2:$F$272,"&gt;=0")</x:f>
        <x:v>7</x:v>
      </x:c>
      <x:c r="O8" s="10" t="n">
        <x:f>SUMIF(wimbledons_champions!$S$2:$S$272,$A8,wimbledons_champions!$V$2:$V$272)</x:f>
        <x:v>43</x:v>
      </x:c>
      <x:c r="P8" s="10" t="n">
        <x:f>COUNTIFS(wimbledons_champions!$S$2:$S$272,$A8,wimbledons_champions!$V$2:$V$272,"&gt;=0")</x:f>
        <x:v>4</x:v>
      </x:c>
      <x:c r="Q8" s="10" t="n">
        <x:f>SUMIF(wimbledons_champions!$C$2:$C$272,$A8,wimbledons_champions!$G$2:$G$272)</x:f>
        <x:v>642</x:v>
      </x:c>
      <x:c r="R8" s="10" t="n">
        <x:f>COUNTIFS(wimbledons_champions!$C$2:$C$272,$A8,wimbledons_champions!$G$2:$G$272,"&gt;=0")</x:f>
        <x:v>7</x:v>
      </x:c>
      <x:c r="S8" s="10" t="n">
        <x:f>SUMIF(wimbledons_champions!$S$2:$S$272,$A8,wimbledons_champions!$G$2:$G$272)</x:f>
        <x:v>306</x:v>
      </x:c>
      <x:c r="T8" s="10" t="n">
        <x:f>COUNTIFS(wimbledons_champions!$S$2:$S$272,$A8,wimbledons_champions!$G$2:$G$272,"&gt;=0")</x:f>
        <x:v>4</x:v>
      </x:c>
    </x:row>
    <x:row r="9">
      <x:c r="A9" s="7" t="str">
        <x:v>S.M. Graf</x:v>
      </x:c>
      <x:c r="B9" s="7" t="str">
        <x:v>Women's</x:v>
      </x:c>
      <x:c r="C9" s="8" t="n">
        <x:f>COUNTIF(wimbledons_champions!$C$2:$C$272,$A9)</x:f>
        <x:v>7</x:v>
      </x:c>
      <x:c r="D9" s="8" t="n">
        <x:f>COUNTIF(wimbledons_champions!$S$2:$S$272,$A9)</x:f>
        <x:v>2</x:v>
      </x:c>
      <x:c r="E9" s="9" t="n">
        <x:f>C9/(C9+D9)</x:f>
        <x:v>0.7777777777777778</x:v>
      </x:c>
      <x:c r="F9" s="10" t="n">
        <x:f>IF((N9+P9)=0,"",(M9+O9)/(N9+P9))</x:f>
        <x:v>1.3333333333333333</x:v>
      </x:c>
      <x:c r="G9" s="10" t="n">
        <x:f>IF((R9+T9)=0,"",(Q9+S9)/(R9+T9))</x:f>
        <x:v>95.33333333333333</x:v>
      </x:c>
      <x:c r="H9" s="11" t="n">
        <x:f>IF(MAX($C$2:$C$18)=MIN($C$2:$C$18),0,(C9-MIN($C$2:$C$18))/(MAX($C$2:$C$18)-MIN($C$2:$C$18)))</x:f>
        <x:v>0.5</x:v>
      </x:c>
      <x:c r="I9" s="11" t="n">
        <x:f>IF(MAX($D$2:$D$18)=MIN($D$2:$D$18),0,(D9-MIN($D$2:$D$18))/(MAX($D$2:$D$18)-MIN($D$2:$D$18)))</x:f>
        <x:v>0.2857142857142857</x:v>
      </x:c>
      <x:c r="J9" s="11" t="n">
        <x:f>IF(MAX($E$2:$E$18)=MIN($E$2:$E$18),0,(E9-MIN($E$2:$E$18))/(MAX($E$2:$E$18)-MIN($E$2:$E$18)))</x:f>
        <x:v>0.5925925925925927</x:v>
      </x:c>
      <x:c r="K9" s="11" t="n">
        <x:f>IF(MAX($F$2:$F$18)=MIN($F$2:$F$18),0,(F9-MIN($F$2:$F$18))/(MAX($F$2:$F$18)-MIN($F$2:$F$18)))</x:f>
        <x:v>0.17391304347826086</x:v>
      </x:c>
      <x:c r="L9" s="11" t="n">
        <x:f>IF(MAX($G$2:$G$18)=MIN($G$2:$G$18),0,(G9-MIN($G$2:$G$18))/(MAX($G$2:$G$18)-MIN($G$2:$G$18)))</x:f>
        <x:v>0.49225473321858865</x:v>
      </x:c>
      <x:c r="M9" s="10" t="n">
        <x:f>SUMIF(wimbledons_champions!$C$2:$C$272,$A9,wimbledons_champions!$F$2:$F$272)</x:f>
        <x:v>8</x:v>
      </x:c>
      <x:c r="N9" s="10" t="n">
        <x:f>COUNTIFS(wimbledons_champions!$C$2:$C$272,$A9,wimbledons_champions!$F$2:$F$272,"&gt;=0")</x:f>
        <x:v>7</x:v>
      </x:c>
      <x:c r="O9" s="10" t="n">
        <x:f>SUMIF(wimbledons_champions!$S$2:$S$272,$A9,wimbledons_champions!$V$2:$V$272)</x:f>
        <x:v>4</x:v>
      </x:c>
      <x:c r="P9" s="10" t="n">
        <x:f>COUNTIFS(wimbledons_champions!$S$2:$S$272,$A9,wimbledons_champions!$V$2:$V$272,"&gt;=0")</x:f>
        <x:v>2</x:v>
      </x:c>
      <x:c r="Q9" s="10" t="n">
        <x:f>SUMIF(wimbledons_champions!$C$2:$C$272,$A9,wimbledons_champions!$G$2:$G$272)</x:f>
        <x:v>714</x:v>
      </x:c>
      <x:c r="R9" s="10" t="n">
        <x:f>COUNTIFS(wimbledons_champions!$C$2:$C$272,$A9,wimbledons_champions!$G$2:$G$272,"&gt;=0")</x:f>
        <x:v>7</x:v>
      </x:c>
      <x:c r="S9" s="10" t="n">
        <x:f>SUMIF(wimbledons_champions!$S$2:$S$272,$A9,wimbledons_champions!$G$2:$G$272)</x:f>
        <x:v>144</x:v>
      </x:c>
      <x:c r="T9" s="10" t="n">
        <x:f>COUNTIFS(wimbledons_champions!$S$2:$S$272,$A9,wimbledons_champions!$G$2:$G$272,"&gt;=0")</x:f>
        <x:v>2</x:v>
      </x:c>
    </x:row>
    <x:row r="10">
      <x:c r="A10" s="7" t="str">
        <x:v>W.C. Renshaw</x:v>
      </x:c>
      <x:c r="B10" s="7" t="str">
        <x:v>Men's</x:v>
      </x:c>
      <x:c r="C10" s="8" t="n">
        <x:f>COUNTIF(wimbledons_champions!$C$2:$C$272,$A10)</x:f>
        <x:v>7</x:v>
      </x:c>
      <x:c r="D10" s="8" t="n">
        <x:f>COUNTIF(wimbledons_champions!$S$2:$S$272,$A10)</x:f>
        <x:v>1</x:v>
      </x:c>
      <x:c r="E10" s="9" t="n">
        <x:f>C10/(C10+D10)</x:f>
        <x:v>0.875</x:v>
      </x:c>
      <x:c r="F10" s="10" t="n">
        <x:f>IF((N10+P10)=0,"",(M10+O10)/(N10+P10))</x:f>
        <x:v>0</x:v>
      </x:c>
      <x:c r="G10" s="10" t="n">
        <x:f>IF((R10+T10)=0,"",(Q10+S10)/(R10+T10))</x:f>
        <x:v>82.125</x:v>
      </x:c>
      <x:c r="H10" s="11" t="n">
        <x:f>IF(MAX($C$2:$C$18)=MIN($C$2:$C$18),0,(C10-MIN($C$2:$C$18))/(MAX($C$2:$C$18)-MIN($C$2:$C$18)))</x:f>
        <x:v>0.5</x:v>
      </x:c>
      <x:c r="I10" s="11" t="n">
        <x:f>IF(MAX($D$2:$D$18)=MIN($D$2:$D$18),0,(D10-MIN($D$2:$D$18))/(MAX($D$2:$D$18)-MIN($D$2:$D$18)))</x:f>
        <x:v>0.14285714285714285</x:v>
      </x:c>
      <x:c r="J10" s="11" t="n">
        <x:f>IF(MAX($E$2:$E$18)=MIN($E$2:$E$18),0,(E10-MIN($E$2:$E$18))/(MAX($E$2:$E$18)-MIN($E$2:$E$18)))</x:f>
        <x:v>0.7708333333333334</x:v>
      </x:c>
      <x:c r="K10" s="11" t="n">
        <x:f>IF(MAX($F$2:$F$18)=MIN($F$2:$F$18),0,(F10-MIN($F$2:$F$18))/(MAX($F$2:$F$18)-MIN($F$2:$F$18)))</x:f>
        <x:v>0</x:v>
      </x:c>
      <x:c r="L10" s="11" t="n">
        <x:f>IF(MAX($G$2:$G$18)=MIN($G$2:$G$18),0,(G10-MIN($G$2:$G$18))/(MAX($G$2:$G$18)-MIN($G$2:$G$18)))</x:f>
        <x:v>0.424053356282272</x:v>
      </x:c>
      <x:c r="M10" s="10" t="n">
        <x:f>SUMIF(wimbledons_champions!$C$2:$C$272,$A10,wimbledons_champions!$F$2:$F$272)</x:f>
        <x:v>0</x:v>
      </x:c>
      <x:c r="N10" s="10" t="n">
        <x:f>COUNTIFS(wimbledons_champions!$C$2:$C$272,$A10,wimbledons_champions!$F$2:$F$272,"&gt;=0")</x:f>
        <x:v>7</x:v>
      </x:c>
      <x:c r="O10" s="10" t="n">
        <x:f>SUMIF(wimbledons_champions!$S$2:$S$272,$A10,wimbledons_champions!$V$2:$V$272)</x:f>
        <x:v>0</x:v>
      </x:c>
      <x:c r="P10" s="10" t="n">
        <x:f>COUNTIFS(wimbledons_champions!$S$2:$S$272,$A10,wimbledons_champions!$V$2:$V$272,"&gt;=0")</x:f>
        <x:v>1</x:v>
      </x:c>
      <x:c r="Q10" s="10" t="n">
        <x:f>SUMIF(wimbledons_champions!$C$2:$C$272,$A10,wimbledons_champions!$G$2:$G$272)</x:f>
        <x:v>561</x:v>
      </x:c>
      <x:c r="R10" s="10" t="n">
        <x:f>COUNTIFS(wimbledons_champions!$C$2:$C$272,$A10,wimbledons_champions!$G$2:$G$272,"&gt;=0")</x:f>
        <x:v>7</x:v>
      </x:c>
      <x:c r="S10" s="10" t="n">
        <x:f>SUMIF(wimbledons_champions!$S$2:$S$272,$A10,wimbledons_champions!$G$2:$G$272)</x:f>
        <x:v>96</x:v>
      </x:c>
      <x:c r="T10" s="10" t="n">
        <x:f>COUNTIFS(wimbledons_champions!$S$2:$S$272,$A10,wimbledons_champions!$G$2:$G$272,"&gt;=0")</x:f>
        <x:v>1</x:v>
      </x:c>
    </x:row>
    <x:row r="11">
      <x:c r="A11" s="7" t="str">
        <x:v>G.W. Hillyard</x:v>
      </x:c>
      <x:c r="B11" s="7" t="str">
        <x:v>Women's</x:v>
      </x:c>
      <x:c r="C11" s="8" t="n">
        <x:f>COUNTIF(wimbledons_champions!$C$2:$C$272,$A11)</x:f>
        <x:v>6</x:v>
      </x:c>
      <x:c r="D11" s="8" t="n">
        <x:f>COUNTIF(wimbledons_champions!$S$2:$S$272,$A11)</x:f>
        <x:v>7</x:v>
      </x:c>
      <x:c r="E11" s="9" t="n">
        <x:f>C11/(C11+D11)</x:f>
        <x:v>0.46153846153846156</x:v>
      </x:c>
      <x:c r="F11" s="10" t="n">
        <x:f>IF((N11+P11)=0,"",(M11+O11)/(N11+P11))</x:f>
        <x:v>0</x:v>
      </x:c>
      <x:c r="G11" s="10" t="n">
        <x:f>IF((R11+T11)=0,"",(Q11+S11)/(R11+T11))</x:f>
        <x:v>0</x:v>
      </x:c>
      <x:c r="H11" s="11" t="n">
        <x:f>IF(MAX($C$2:$C$18)=MIN($C$2:$C$18),0,(C11-MIN($C$2:$C$18))/(MAX($C$2:$C$18)-MIN($C$2:$C$18)))</x:f>
        <x:v>0.25</x:v>
      </x:c>
      <x:c r="I11" s="11" t="n">
        <x:f>IF(MAX($D$2:$D$18)=MIN($D$2:$D$18),0,(D11-MIN($D$2:$D$18))/(MAX($D$2:$D$18)-MIN($D$2:$D$18)))</x:f>
        <x:v>1</x:v>
      </x:c>
      <x:c r="J11" s="11" t="n">
        <x:f>IF(MAX($E$2:$E$18)=MIN($E$2:$E$18),0,(E11-MIN($E$2:$E$18))/(MAX($E$2:$E$18)-MIN($E$2:$E$18)))</x:f>
        <x:v>0.012820512820512896</x:v>
      </x:c>
      <x:c r="K11" s="11" t="n">
        <x:f>IF(MAX($F$2:$F$18)=MIN($F$2:$F$18),0,(F11-MIN($F$2:$F$18))/(MAX($F$2:$F$18)-MIN($F$2:$F$18)))</x:f>
        <x:v>0</x:v>
      </x:c>
      <x:c r="L11" s="11" t="n">
        <x:f>IF(MAX($G$2:$G$18)=MIN($G$2:$G$18),0,(G11-MIN($G$2:$G$18))/(MAX($G$2:$G$18)-MIN($G$2:$G$18)))</x:f>
        <x:v>0</x:v>
      </x:c>
      <x:c r="M11" s="10" t="n">
        <x:f>SUMIF(wimbledons_champions!$C$2:$C$272,$A11,wimbledons_champions!$F$2:$F$272)</x:f>
        <x:v>0</x:v>
      </x:c>
      <x:c r="N11" s="10" t="n">
        <x:f>COUNTIFS(wimbledons_champions!$C$2:$C$272,$A11,wimbledons_champions!$F$2:$F$272,"&gt;=0")</x:f>
        <x:v>6</x:v>
      </x:c>
      <x:c r="O11" s="10" t="n">
        <x:f>SUMIF(wimbledons_champions!$S$2:$S$272,$A11,wimbledons_champions!$V$2:$V$272)</x:f>
        <x:v>0</x:v>
      </x:c>
      <x:c r="P11" s="10" t="n">
        <x:f>COUNTIFS(wimbledons_champions!$S$2:$S$272,$A11,wimbledons_champions!$V$2:$V$272,"&gt;=0")</x:f>
        <x:v>7</x:v>
      </x:c>
      <x:c r="Q11" s="10" t="n">
        <x:f>SUMIF(wimbledons_champions!$C$2:$C$272,$A11,wimbledons_champions!$G$2:$G$272)</x:f>
        <x:v>0</x:v>
      </x:c>
      <x:c r="R11" s="10" t="n">
        <x:f>COUNTIFS(wimbledons_champions!$C$2:$C$272,$A11,wimbledons_champions!$G$2:$G$272,"&gt;=0")</x:f>
        <x:v>6</x:v>
      </x:c>
      <x:c r="S11" s="10" t="n">
        <x:f>SUMIF(wimbledons_champions!$S$2:$S$272,$A11,wimbledons_champions!$G$2:$G$272)</x:f>
        <x:v>0</x:v>
      </x:c>
      <x:c r="T11" s="10" t="n">
        <x:f>COUNTIFS(wimbledons_champions!$S$2:$S$272,$A11,wimbledons_champions!$G$2:$G$272,"&gt;=0")</x:f>
        <x:v>7</x:v>
      </x:c>
    </x:row>
    <x:row r="12">
      <x:c r="A12" s="7" t="str">
        <x:v>L.W. King</x:v>
      </x:c>
      <x:c r="B12" s="7" t="str">
        <x:v>Women's</x:v>
      </x:c>
      <x:c r="C12" s="8" t="n">
        <x:f>COUNTIF(wimbledons_champions!$C$2:$C$272,$A12)</x:f>
        <x:v>6</x:v>
      </x:c>
      <x:c r="D12" s="8" t="n">
        <x:f>COUNTIF(wimbledons_champions!$S$2:$S$272,$A12)</x:f>
        <x:v>2</x:v>
      </x:c>
      <x:c r="E12" s="9" t="n">
        <x:f>C12/(C12+D12)</x:f>
        <x:v>0.75</x:v>
      </x:c>
      <x:c r="F12" s="10" t="n">
        <x:f>IF((N12+P12)=0,"",(M12+O12)/(N12+P12))</x:f>
        <x:v>2.125</x:v>
      </x:c>
      <x:c r="G12" s="10" t="n">
        <x:f>IF((R12+T12)=0,"",(Q12+S12)/(R12+T12))</x:f>
        <x:v>69.625</x:v>
      </x:c>
      <x:c r="H12" s="11" t="n">
        <x:f>IF(MAX($C$2:$C$18)=MIN($C$2:$C$18),0,(C12-MIN($C$2:$C$18))/(MAX($C$2:$C$18)-MIN($C$2:$C$18)))</x:f>
        <x:v>0.25</x:v>
      </x:c>
      <x:c r="I12" s="11" t="n">
        <x:f>IF(MAX($D$2:$D$18)=MIN($D$2:$D$18),0,(D12-MIN($D$2:$D$18))/(MAX($D$2:$D$18)-MIN($D$2:$D$18)))</x:f>
        <x:v>0.2857142857142857</x:v>
      </x:c>
      <x:c r="J12" s="11" t="n">
        <x:f>IF(MAX($E$2:$E$18)=MIN($E$2:$E$18),0,(E12-MIN($E$2:$E$18))/(MAX($E$2:$E$18)-MIN($E$2:$E$18)))</x:f>
        <x:v>0.5416666666666667</x:v>
      </x:c>
      <x:c r="K12" s="11" t="n">
        <x:f>IF(MAX($F$2:$F$18)=MIN($F$2:$F$18),0,(F12-MIN($F$2:$F$18))/(MAX($F$2:$F$18)-MIN($F$2:$F$18)))</x:f>
        <x:v>0.27717391304347827</x:v>
      </x:c>
      <x:c r="L12" s="11" t="n">
        <x:f>IF(MAX($G$2:$G$18)=MIN($G$2:$G$18),0,(G12-MIN($G$2:$G$18))/(MAX($G$2:$G$18)-MIN($G$2:$G$18)))</x:f>
        <x:v>0.3595094664371773</x:v>
      </x:c>
      <x:c r="M12" s="10" t="n">
        <x:f>SUMIF(wimbledons_champions!$C$2:$C$272,$A12,wimbledons_champions!$F$2:$F$272)</x:f>
        <x:v>13</x:v>
      </x:c>
      <x:c r="N12" s="10" t="n">
        <x:f>COUNTIFS(wimbledons_champions!$C$2:$C$272,$A12,wimbledons_champions!$F$2:$F$272,"&gt;=0")</x:f>
        <x:v>6</x:v>
      </x:c>
      <x:c r="O12" s="10" t="n">
        <x:f>SUMIF(wimbledons_champions!$S$2:$S$272,$A12,wimbledons_champions!$V$2:$V$272)</x:f>
        <x:v>4</x:v>
      </x:c>
      <x:c r="P12" s="10" t="n">
        <x:f>COUNTIFS(wimbledons_champions!$S$2:$S$272,$A12,wimbledons_champions!$V$2:$V$272,"&gt;=0")</x:f>
        <x:v>2</x:v>
      </x:c>
      <x:c r="Q12" s="10" t="n">
        <x:f>SUMIF(wimbledons_champions!$C$2:$C$272,$A12,wimbledons_champions!$G$2:$G$272)</x:f>
        <x:v>338</x:v>
      </x:c>
      <x:c r="R12" s="10" t="n">
        <x:f>COUNTIFS(wimbledons_champions!$C$2:$C$272,$A12,wimbledons_champions!$G$2:$G$272,"&gt;=0")</x:f>
        <x:v>6</x:v>
      </x:c>
      <x:c r="S12" s="10" t="n">
        <x:f>SUMIF(wimbledons_champions!$S$2:$S$272,$A12,wimbledons_champions!$G$2:$G$272)</x:f>
        <x:v>219</x:v>
      </x:c>
      <x:c r="T12" s="10" t="n">
        <x:f>COUNTIFS(wimbledons_champions!$S$2:$S$272,$A12,wimbledons_champions!$G$2:$G$272,"&gt;=0")</x:f>
        <x:v>2</x:v>
      </x:c>
    </x:row>
    <x:row r="13">
      <x:c r="A13" s="7" t="str">
        <x:v>S.R.F. Lenglen</x:v>
      </x:c>
      <x:c r="B13" s="7" t="str">
        <x:v>Women's</x:v>
      </x:c>
      <x:c r="C13" s="8" t="n">
        <x:f>COUNTIF(wimbledons_champions!$C$2:$C$272,$A13)</x:f>
        <x:v>6</x:v>
      </x:c>
      <x:c r="D13" s="8" t="n">
        <x:f>COUNTIF(wimbledons_champions!$S$2:$S$272,$A13)</x:f>
        <x:v>0</x:v>
      </x:c>
      <x:c r="E13" s="9" t="n">
        <x:f>C13/(C13+D13)</x:f>
        <x:v>1</x:v>
      </x:c>
      <x:c r="F13" s="10" t="n">
        <x:f>IF((N13+P13)=0,"",(M13+O13)/(N13+P13))</x:f>
        <x:v>0</x:v>
      </x:c>
      <x:c r="G13" s="10" t="n">
        <x:f>IF((R13+T13)=0,"",(Q13+S13)/(R13+T13))</x:f>
        <x:v>28.833333333333332</x:v>
      </x:c>
      <x:c r="H13" s="11" t="n">
        <x:f>IF(MAX($C$2:$C$18)=MIN($C$2:$C$18),0,(C13-MIN($C$2:$C$18))/(MAX($C$2:$C$18)-MIN($C$2:$C$18)))</x:f>
        <x:v>0.25</x:v>
      </x:c>
      <x:c r="I13" s="11" t="n">
        <x:f>IF(MAX($D$2:$D$18)=MIN($D$2:$D$18),0,(D13-MIN($D$2:$D$18))/(MAX($D$2:$D$18)-MIN($D$2:$D$18)))</x:f>
        <x:v>0</x:v>
      </x:c>
      <x:c r="J13" s="11" t="n">
        <x:f>IF(MAX($E$2:$E$18)=MIN($E$2:$E$18),0,(E13-MIN($E$2:$E$18))/(MAX($E$2:$E$18)-MIN($E$2:$E$18)))</x:f>
        <x:v>1</x:v>
      </x:c>
      <x:c r="K13" s="11" t="n">
        <x:f>IF(MAX($F$2:$F$18)=MIN($F$2:$F$18),0,(F13-MIN($F$2:$F$18))/(MAX($F$2:$F$18)-MIN($F$2:$F$18)))</x:f>
        <x:v>0</x:v>
      </x:c>
      <x:c r="L13" s="11" t="n">
        <x:f>IF(MAX($G$2:$G$18)=MIN($G$2:$G$18),0,(G13-MIN($G$2:$G$18))/(MAX($G$2:$G$18)-MIN($G$2:$G$18)))</x:f>
        <x:v>0.14888123924268504</x:v>
      </x:c>
      <x:c r="M13" s="10" t="n">
        <x:f>SUMIF(wimbledons_champions!$C$2:$C$272,$A13,wimbledons_champions!$F$2:$F$272)</x:f>
        <x:v>0</x:v>
      </x:c>
      <x:c r="N13" s="10" t="n">
        <x:f>COUNTIFS(wimbledons_champions!$C$2:$C$272,$A13,wimbledons_champions!$F$2:$F$272,"&gt;=0")</x:f>
        <x:v>6</x:v>
      </x:c>
      <x:c r="O13" s="10" t="n">
        <x:f>SUMIF(wimbledons_champions!$S$2:$S$272,$A13,wimbledons_champions!$V$2:$V$272)</x:f>
        <x:v>0</x:v>
      </x:c>
      <x:c r="P13" s="10" t="n">
        <x:f>COUNTIFS(wimbledons_champions!$S$2:$S$272,$A13,wimbledons_champions!$V$2:$V$272,"&gt;=0")</x:f>
        <x:v>0</x:v>
      </x:c>
      <x:c r="Q13" s="10" t="n">
        <x:f>SUMIF(wimbledons_champions!$C$2:$C$272,$A13,wimbledons_champions!$G$2:$G$272)</x:f>
        <x:v>173</x:v>
      </x:c>
      <x:c r="R13" s="10" t="n">
        <x:f>COUNTIFS(wimbledons_champions!$C$2:$C$272,$A13,wimbledons_champions!$G$2:$G$272,"&gt;=0")</x:f>
        <x:v>6</x:v>
      </x:c>
      <x:c r="S13" s="10" t="n">
        <x:f>SUMIF(wimbledons_champions!$S$2:$S$272,$A13,wimbledons_champions!$G$2:$G$272)</x:f>
        <x:v>0</x:v>
      </x:c>
      <x:c r="T13" s="10" t="n">
        <x:f>COUNTIFS(wimbledons_champions!$S$2:$S$272,$A13,wimbledons_champions!$G$2:$G$272,"&gt;=0")</x:f>
        <x:v>0</x:v>
      </x:c>
    </x:row>
    <x:row r="14">
      <x:c r="A14" s="7" t="str">
        <x:v>B.R. Borg</x:v>
      </x:c>
      <x:c r="B14" s="7" t="str">
        <x:v>Men's</x:v>
      </x:c>
      <x:c r="C14" s="8" t="n">
        <x:f>COUNTIF(wimbledons_champions!$C$2:$C$272,$A14)</x:f>
        <x:v>5</x:v>
      </x:c>
      <x:c r="D14" s="8" t="n">
        <x:f>COUNTIF(wimbledons_champions!$S$2:$S$272,$A14)</x:f>
        <x:v>1</x:v>
      </x:c>
      <x:c r="E14" s="9" t="n">
        <x:f>C14/(C14+D14)</x:f>
        <x:v>0.8333333333333334</x:v>
      </x:c>
      <x:c r="F14" s="10" t="n">
        <x:f>IF((N14+P14)=0,"",(M14+O14)/(N14+P14))</x:f>
        <x:v>1.6666666666666667</x:v>
      </x:c>
      <x:c r="G14" s="10" t="n">
        <x:f>IF((R14+T14)=0,"",(Q14+S14)/(R14+T14))</x:f>
        <x:v>169.33333333333334</x:v>
      </x:c>
      <x:c r="H14" s="11" t="n">
        <x:f>IF(MAX($C$2:$C$18)=MIN($C$2:$C$18),0,(C14-MIN($C$2:$C$18))/(MAX($C$2:$C$18)-MIN($C$2:$C$18)))</x:f>
        <x:v>0</x:v>
      </x:c>
      <x:c r="I14" s="11" t="n">
        <x:f>IF(MAX($D$2:$D$18)=MIN($D$2:$D$18),0,(D14-MIN($D$2:$D$18))/(MAX($D$2:$D$18)-MIN($D$2:$D$18)))</x:f>
        <x:v>0.14285714285714285</x:v>
      </x:c>
      <x:c r="J14" s="11" t="n">
        <x:f>IF(MAX($E$2:$E$18)=MIN($E$2:$E$18),0,(E14-MIN($E$2:$E$18))/(MAX($E$2:$E$18)-MIN($E$2:$E$18)))</x:f>
        <x:v>0.6944444444444446</x:v>
      </x:c>
      <x:c r="K14" s="11" t="n">
        <x:f>IF(MAX($F$2:$F$18)=MIN($F$2:$F$18),0,(F14-MIN($F$2:$F$18))/(MAX($F$2:$F$18)-MIN($F$2:$F$18)))</x:f>
        <x:v>0.21739130434782608</x:v>
      </x:c>
      <x:c r="L14" s="11" t="n">
        <x:f>IF(MAX($G$2:$G$18)=MIN($G$2:$G$18),0,(G14-MIN($G$2:$G$18))/(MAX($G$2:$G$18)-MIN($G$2:$G$18)))</x:f>
        <x:v>0.8743545611015492</x:v>
      </x:c>
      <x:c r="M14" s="10" t="n">
        <x:f>SUMIF(wimbledons_champions!$C$2:$C$272,$A14,wimbledons_champions!$F$2:$F$272)</x:f>
        <x:v>9</x:v>
      </x:c>
      <x:c r="N14" s="10" t="n">
        <x:f>COUNTIFS(wimbledons_champions!$C$2:$C$272,$A14,wimbledons_champions!$F$2:$F$272,"&gt;=0")</x:f>
        <x:v>5</x:v>
      </x:c>
      <x:c r="O14" s="10" t="n">
        <x:f>SUMIF(wimbledons_champions!$S$2:$S$272,$A14,wimbledons_champions!$V$2:$V$272)</x:f>
        <x:v>1</x:v>
      </x:c>
      <x:c r="P14" s="10" t="n">
        <x:f>COUNTIFS(wimbledons_champions!$S$2:$S$272,$A14,wimbledons_champions!$V$2:$V$272,"&gt;=0")</x:f>
        <x:v>1</x:v>
      </x:c>
      <x:c r="Q14" s="10" t="n">
        <x:f>SUMIF(wimbledons_champions!$C$2:$C$272,$A14,wimbledons_champions!$G$2:$G$272)</x:f>
        <x:v>814</x:v>
      </x:c>
      <x:c r="R14" s="10" t="n">
        <x:f>COUNTIFS(wimbledons_champions!$C$2:$C$272,$A14,wimbledons_champions!$G$2:$G$272,"&gt;=0")</x:f>
        <x:v>5</x:v>
      </x:c>
      <x:c r="S14" s="10" t="n">
        <x:f>SUMIF(wimbledons_champions!$S$2:$S$272,$A14,wimbledons_champions!$G$2:$G$272)</x:f>
        <x:v>202</x:v>
      </x:c>
      <x:c r="T14" s="10" t="n">
        <x:f>COUNTIFS(wimbledons_champions!$S$2:$S$272,$A14,wimbledons_champions!$G$2:$G$272,"&gt;=0")</x:f>
        <x:v>1</x:v>
      </x:c>
    </x:row>
    <x:row r="15">
      <x:c r="A15" s="7" t="str">
        <x:v>C. Dod</x:v>
      </x:c>
      <x:c r="B15" s="7" t="str">
        <x:v>Women's</x:v>
      </x:c>
      <x:c r="C15" s="8" t="n">
        <x:f>COUNTIF(wimbledons_champions!$C$2:$C$272,$A15)</x:f>
        <x:v>5</x:v>
      </x:c>
      <x:c r="D15" s="8" t="n">
        <x:f>COUNTIF(wimbledons_champions!$S$2:$S$272,$A15)</x:f>
        <x:v>0</x:v>
      </x:c>
      <x:c r="E15" s="9" t="n">
        <x:f>C15/(C15+D15)</x:f>
        <x:v>1</x:v>
      </x:c>
      <x:c r="F15" s="10" t="n">
        <x:f>IF((N15+P15)=0,"",(M15+O15)/(N15+P15))</x:f>
        <x:v>0</x:v>
      </x:c>
      <x:c r="G15" s="10" t="n">
        <x:f>IF((R15+T15)=0,"",(Q15+S15)/(R15+T15))</x:f>
        <x:v>0</x:v>
      </x:c>
      <x:c r="H15" s="11" t="n">
        <x:f>IF(MAX($C$2:$C$18)=MIN($C$2:$C$18),0,(C15-MIN($C$2:$C$18))/(MAX($C$2:$C$18)-MIN($C$2:$C$18)))</x:f>
        <x:v>0</x:v>
      </x:c>
      <x:c r="I15" s="11" t="n">
        <x:f>IF(MAX($D$2:$D$18)=MIN($D$2:$D$18),0,(D15-MIN($D$2:$D$18))/(MAX($D$2:$D$18)-MIN($D$2:$D$18)))</x:f>
        <x:v>0</x:v>
      </x:c>
      <x:c r="J15" s="11" t="n">
        <x:f>IF(MAX($E$2:$E$18)=MIN($E$2:$E$18),0,(E15-MIN($E$2:$E$18))/(MAX($E$2:$E$18)-MIN($E$2:$E$18)))</x:f>
        <x:v>1</x:v>
      </x:c>
      <x:c r="K15" s="11" t="n">
        <x:f>IF(MAX($F$2:$F$18)=MIN($F$2:$F$18),0,(F15-MIN($F$2:$F$18))/(MAX($F$2:$F$18)-MIN($F$2:$F$18)))</x:f>
        <x:v>0</x:v>
      </x:c>
      <x:c r="L15" s="11" t="n">
        <x:f>IF(MAX($G$2:$G$18)=MIN($G$2:$G$18),0,(G15-MIN($G$2:$G$18))/(MAX($G$2:$G$18)-MIN($G$2:$G$18)))</x:f>
        <x:v>0</x:v>
      </x:c>
      <x:c r="M15" s="10" t="n">
        <x:f>SUMIF(wimbledons_champions!$C$2:$C$272,$A15,wimbledons_champions!$F$2:$F$272)</x:f>
        <x:v>0</x:v>
      </x:c>
      <x:c r="N15" s="10" t="n">
        <x:f>COUNTIFS(wimbledons_champions!$C$2:$C$272,$A15,wimbledons_champions!$F$2:$F$272,"&gt;=0")</x:f>
        <x:v>5</x:v>
      </x:c>
      <x:c r="O15" s="10" t="n">
        <x:f>SUMIF(wimbledons_champions!$S$2:$S$272,$A15,wimbledons_champions!$V$2:$V$272)</x:f>
        <x:v>0</x:v>
      </x:c>
      <x:c r="P15" s="10" t="n">
        <x:f>COUNTIFS(wimbledons_champions!$S$2:$S$272,$A15,wimbledons_champions!$V$2:$V$272,"&gt;=0")</x:f>
        <x:v>0</x:v>
      </x:c>
      <x:c r="Q15" s="10" t="n">
        <x:f>SUMIF(wimbledons_champions!$C$2:$C$272,$A15,wimbledons_champions!$G$2:$G$272)</x:f>
        <x:v>0</x:v>
      </x:c>
      <x:c r="R15" s="10" t="n">
        <x:f>COUNTIFS(wimbledons_champions!$C$2:$C$272,$A15,wimbledons_champions!$G$2:$G$272,"&gt;=0")</x:f>
        <x:v>5</x:v>
      </x:c>
      <x:c r="S15" s="10" t="n">
        <x:f>SUMIF(wimbledons_champions!$S$2:$S$272,$A15,wimbledons_champions!$G$2:$G$272)</x:f>
        <x:v>0</x:v>
      </x:c>
      <x:c r="T15" s="10" t="n">
        <x:f>COUNTIFS(wimbledons_champions!$S$2:$S$272,$A15,wimbledons_champions!$G$2:$G$272,"&gt;=0")</x:f>
        <x:v>0</x:v>
      </x:c>
    </x:row>
    <x:row r="16">
      <x:c r="A16" s="7" t="str">
        <x:v>C.R. Cooper</x:v>
      </x:c>
      <x:c r="B16" s="7" t="str">
        <x:v>Women's</x:v>
      </x:c>
      <x:c r="C16" s="8" t="n">
        <x:f>COUNTIF(wimbledons_champions!$C$2:$C$272,$A16)</x:f>
        <x:v>5</x:v>
      </x:c>
      <x:c r="D16" s="8" t="n">
        <x:f>COUNTIF(wimbledons_champions!$S$2:$S$272,$A16)</x:f>
        <x:v>6</x:v>
      </x:c>
      <x:c r="E16" s="9" t="n">
        <x:f>C16/(C16+D16)</x:f>
        <x:v>0.45454545454545453</x:v>
      </x:c>
      <x:c r="F16" s="10" t="n">
        <x:f>IF((N16+P16)=0,"",(M16+O16)/(N16+P16))</x:f>
        <x:v>0</x:v>
      </x:c>
      <x:c r="G16" s="10" t="n">
        <x:f>IF((R16+T16)=0,"",(Q16+S16)/(R16+T16))</x:f>
        <x:v>0</x:v>
      </x:c>
      <x:c r="H16" s="11" t="n">
        <x:f>IF(MAX($C$2:$C$18)=MIN($C$2:$C$18),0,(C16-MIN($C$2:$C$18))/(MAX($C$2:$C$18)-MIN($C$2:$C$18)))</x:f>
        <x:v>0</x:v>
      </x:c>
      <x:c r="I16" s="11" t="n">
        <x:f>IF(MAX($D$2:$D$18)=MIN($D$2:$D$18),0,(D16-MIN($D$2:$D$18))/(MAX($D$2:$D$18)-MIN($D$2:$D$18)))</x:f>
        <x:v>0.8571428571428571</x:v>
      </x:c>
      <x:c r="J16" s="11" t="n">
        <x:f>IF(MAX($E$2:$E$18)=MIN($E$2:$E$18),0,(E16-MIN($E$2:$E$18))/(MAX($E$2:$E$18)-MIN($E$2:$E$18)))</x:f>
        <x:v>0</x:v>
      </x:c>
      <x:c r="K16" s="11" t="n">
        <x:f>IF(MAX($F$2:$F$18)=MIN($F$2:$F$18),0,(F16-MIN($F$2:$F$18))/(MAX($F$2:$F$18)-MIN($F$2:$F$18)))</x:f>
        <x:v>0</x:v>
      </x:c>
      <x:c r="L16" s="11" t="n">
        <x:f>IF(MAX($G$2:$G$18)=MIN($G$2:$G$18),0,(G16-MIN($G$2:$G$18))/(MAX($G$2:$G$18)-MIN($G$2:$G$18)))</x:f>
        <x:v>0</x:v>
      </x:c>
      <x:c r="M16" s="10" t="n">
        <x:f>SUMIF(wimbledons_champions!$C$2:$C$272,$A16,wimbledons_champions!$F$2:$F$272)</x:f>
        <x:v>0</x:v>
      </x:c>
      <x:c r="N16" s="10" t="n">
        <x:f>COUNTIFS(wimbledons_champions!$C$2:$C$272,$A16,wimbledons_champions!$F$2:$F$272,"&gt;=0")</x:f>
        <x:v>5</x:v>
      </x:c>
      <x:c r="O16" s="10" t="n">
        <x:f>SUMIF(wimbledons_champions!$S$2:$S$272,$A16,wimbledons_champions!$V$2:$V$272)</x:f>
        <x:v>0</x:v>
      </x:c>
      <x:c r="P16" s="10" t="n">
        <x:f>COUNTIFS(wimbledons_champions!$S$2:$S$272,$A16,wimbledons_champions!$V$2:$V$272,"&gt;=0")</x:f>
        <x:v>6</x:v>
      </x:c>
      <x:c r="Q16" s="10" t="n">
        <x:f>SUMIF(wimbledons_champions!$C$2:$C$272,$A16,wimbledons_champions!$G$2:$G$272)</x:f>
        <x:v>0</x:v>
      </x:c>
      <x:c r="R16" s="10" t="n">
        <x:f>COUNTIFS(wimbledons_champions!$C$2:$C$272,$A16,wimbledons_champions!$G$2:$G$272,"&gt;=0")</x:f>
        <x:v>5</x:v>
      </x:c>
      <x:c r="S16" s="10" t="n">
        <x:f>SUMIF(wimbledons_champions!$S$2:$S$272,$A16,wimbledons_champions!$G$2:$G$272)</x:f>
        <x:v>0</x:v>
      </x:c>
      <x:c r="T16" s="10" t="n">
        <x:f>COUNTIFS(wimbledons_champions!$S$2:$S$272,$A16,wimbledons_champions!$G$2:$G$272,"&gt;=0")</x:f>
        <x:v>6</x:v>
      </x:c>
    </x:row>
    <x:row r="17">
      <x:c r="A17" s="7" t="str">
        <x:v>H.L. Doherty</x:v>
      </x:c>
      <x:c r="B17" s="7" t="str">
        <x:v>Men's</x:v>
      </x:c>
      <x:c r="C17" s="8" t="n">
        <x:f>COUNTIF(wimbledons_champions!$C$2:$C$272,$A17)</x:f>
        <x:v>5</x:v>
      </x:c>
      <x:c r="D17" s="8" t="n">
        <x:f>COUNTIF(wimbledons_champions!$S$2:$S$272,$A17)</x:f>
        <x:v>1</x:v>
      </x:c>
      <x:c r="E17" s="9" t="n">
        <x:f>C17/(C17+D17)</x:f>
        <x:v>0.8333333333333334</x:v>
      </x:c>
      <x:c r="F17" s="10" t="n">
        <x:f>IF((N17+P17)=0,"",(M17+O17)/(N17+P17))</x:f>
        <x:v>0</x:v>
      </x:c>
      <x:c r="G17" s="10" t="n">
        <x:f>IF((R17+T17)=0,"",(Q17+S17)/(R17+T17))</x:f>
        <x:v>46.333333333333336</x:v>
      </x:c>
      <x:c r="H17" s="11" t="n">
        <x:f>IF(MAX($C$2:$C$18)=MIN($C$2:$C$18),0,(C17-MIN($C$2:$C$18))/(MAX($C$2:$C$18)-MIN($C$2:$C$18)))</x:f>
        <x:v>0</x:v>
      </x:c>
      <x:c r="I17" s="11" t="n">
        <x:f>IF(MAX($D$2:$D$18)=MIN($D$2:$D$18),0,(D17-MIN($D$2:$D$18))/(MAX($D$2:$D$18)-MIN($D$2:$D$18)))</x:f>
        <x:v>0.14285714285714285</x:v>
      </x:c>
      <x:c r="J17" s="11" t="n">
        <x:f>IF(MAX($E$2:$E$18)=MIN($E$2:$E$18),0,(E17-MIN($E$2:$E$18))/(MAX($E$2:$E$18)-MIN($E$2:$E$18)))</x:f>
        <x:v>0.6944444444444446</x:v>
      </x:c>
      <x:c r="K17" s="11" t="n">
        <x:f>IF(MAX($F$2:$F$18)=MIN($F$2:$F$18),0,(F17-MIN($F$2:$F$18))/(MAX($F$2:$F$18)-MIN($F$2:$F$18)))</x:f>
        <x:v>0</x:v>
      </x:c>
      <x:c r="L17" s="11" t="n">
        <x:f>IF(MAX($G$2:$G$18)=MIN($G$2:$G$18),0,(G17-MIN($G$2:$G$18))/(MAX($G$2:$G$18)-MIN($G$2:$G$18)))</x:f>
        <x:v>0.23924268502581758</x:v>
      </x:c>
      <x:c r="M17" s="10" t="n">
        <x:f>SUMIF(wimbledons_champions!$C$2:$C$272,$A17,wimbledons_champions!$F$2:$F$272)</x:f>
        <x:v>0</x:v>
      </x:c>
      <x:c r="N17" s="10" t="n">
        <x:f>COUNTIFS(wimbledons_champions!$C$2:$C$272,$A17,wimbledons_champions!$F$2:$F$272,"&gt;=0")</x:f>
        <x:v>5</x:v>
      </x:c>
      <x:c r="O17" s="10" t="n">
        <x:f>SUMIF(wimbledons_champions!$S$2:$S$272,$A17,wimbledons_champions!$V$2:$V$272)</x:f>
        <x:v>0</x:v>
      </x:c>
      <x:c r="P17" s="10" t="n">
        <x:f>COUNTIFS(wimbledons_champions!$S$2:$S$272,$A17,wimbledons_champions!$V$2:$V$272,"&gt;=0")</x:f>
        <x:v>1</x:v>
      </x:c>
      <x:c r="Q17" s="10" t="n">
        <x:f>SUMIF(wimbledons_champions!$C$2:$C$272,$A17,wimbledons_champions!$G$2:$G$272)</x:f>
        <x:v>223</x:v>
      </x:c>
      <x:c r="R17" s="10" t="n">
        <x:f>COUNTIFS(wimbledons_champions!$C$2:$C$272,$A17,wimbledons_champions!$G$2:$G$272,"&gt;=0")</x:f>
        <x:v>5</x:v>
      </x:c>
      <x:c r="S17" s="10" t="n">
        <x:f>SUMIF(wimbledons_champions!$S$2:$S$272,$A17,wimbledons_champions!$G$2:$G$272)</x:f>
        <x:v>55</x:v>
      </x:c>
      <x:c r="T17" s="10" t="n">
        <x:f>COUNTIFS(wimbledons_champions!$S$2:$S$272,$A17,wimbledons_champions!$G$2:$G$272,"&gt;=0")</x:f>
        <x:v>1</x:v>
      </x:c>
    </x:row>
    <x:row r="18">
      <x:c r="A18" s="7" t="str">
        <x:v>V.E.S. Williams</x:v>
      </x:c>
      <x:c r="B18" s="7" t="str">
        <x:v>Women's</x:v>
      </x:c>
      <x:c r="C18" s="8" t="n">
        <x:f>COUNTIF(wimbledons_champions!$C$2:$C$272,$A18)</x:f>
        <x:v>5</x:v>
      </x:c>
      <x:c r="D18" s="8" t="n">
        <x:f>COUNTIF(wimbledons_champions!$S$2:$S$272,$A18)</x:f>
        <x:v>4</x:v>
      </x:c>
      <x:c r="E18" s="9" t="n">
        <x:f>C18/(C18+D18)</x:f>
        <x:v>0.5555555555555556</x:v>
      </x:c>
      <x:c r="F18" s="10" t="n">
        <x:f>IF((N18+P18)=0,"",(M18+O18)/(N18+P18))</x:f>
        <x:v>7.666666666666667</x:v>
      </x:c>
      <x:c r="G18" s="10" t="n">
        <x:f>IF((R18+T18)=0,"",(Q18+S18)/(R18+T18))</x:f>
        <x:v>98.33333333333333</x:v>
      </x:c>
      <x:c r="H18" s="11" t="n">
        <x:f>IF(MAX($C$2:$C$18)=MIN($C$2:$C$18),0,(C18-MIN($C$2:$C$18))/(MAX($C$2:$C$18)-MIN($C$2:$C$18)))</x:f>
        <x:v>0</x:v>
      </x:c>
      <x:c r="I18" s="11" t="n">
        <x:f>IF(MAX($D$2:$D$18)=MIN($D$2:$D$18),0,(D18-MIN($D$2:$D$18))/(MAX($D$2:$D$18)-MIN($D$2:$D$18)))</x:f>
        <x:v>0.5714285714285714</x:v>
      </x:c>
      <x:c r="J18" s="11" t="n">
        <x:f>IF(MAX($E$2:$E$18)=MIN($E$2:$E$18),0,(E18-MIN($E$2:$E$18))/(MAX($E$2:$E$18)-MIN($E$2:$E$18)))</x:f>
        <x:v>0.18518518518518526</x:v>
      </x:c>
      <x:c r="K18" s="11" t="n">
        <x:f>IF(MAX($F$2:$F$18)=MIN($F$2:$F$18),0,(F18-MIN($F$2:$F$18))/(MAX($F$2:$F$18)-MIN($F$2:$F$18)))</x:f>
        <x:v>1</x:v>
      </x:c>
      <x:c r="L18" s="11" t="n">
        <x:f>IF(MAX($G$2:$G$18)=MIN($G$2:$G$18),0,(G18-MIN($G$2:$G$18))/(MAX($G$2:$G$18)-MIN($G$2:$G$18)))</x:f>
        <x:v>0.5077452667814114</x:v>
      </x:c>
      <x:c r="M18" s="10" t="n">
        <x:f>SUMIF(wimbledons_champions!$C$2:$C$272,$A18,wimbledons_champions!$F$2:$F$272)</x:f>
        <x:v>51</x:v>
      </x:c>
      <x:c r="N18" s="10" t="n">
        <x:f>COUNTIFS(wimbledons_champions!$C$2:$C$272,$A18,wimbledons_champions!$F$2:$F$272,"&gt;=0")</x:f>
        <x:v>5</x:v>
      </x:c>
      <x:c r="O18" s="10" t="n">
        <x:f>SUMIF(wimbledons_champions!$S$2:$S$272,$A18,wimbledons_champions!$V$2:$V$272)</x:f>
        <x:v>18</x:v>
      </x:c>
      <x:c r="P18" s="10" t="n">
        <x:f>COUNTIFS(wimbledons_champions!$S$2:$S$272,$A18,wimbledons_champions!$V$2:$V$272,"&gt;=0")</x:f>
        <x:v>4</x:v>
      </x:c>
      <x:c r="Q18" s="10" t="n">
        <x:f>SUMIF(wimbledons_champions!$C$2:$C$272,$A18,wimbledons_champions!$G$2:$G$272)</x:f>
        <x:v>520</x:v>
      </x:c>
      <x:c r="R18" s="10" t="n">
        <x:f>COUNTIFS(wimbledons_champions!$C$2:$C$272,$A18,wimbledons_champions!$G$2:$G$272,"&gt;=0")</x:f>
        <x:v>5</x:v>
      </x:c>
      <x:c r="S18" s="10" t="n">
        <x:f>SUMIF(wimbledons_champions!$S$2:$S$272,$A18,wimbledons_champions!$G$2:$G$272)</x:f>
        <x:v>365</x:v>
      </x:c>
      <x:c r="T18" s="10" t="n">
        <x:f>COUNTIFS(wimbledons_champions!$S$2:$S$272,$A18,wimbledons_champions!$G$2:$G$272,"&gt;=0")</x:f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2" hidden="0" customWidth="1"/>
  </x:cols>
  <x:sheetData>
    <x:row r="1">
      <x:c r="A1" s="4" t="str">
        <x:v>Country</x:v>
      </x:c>
      <x:c r="B1" s="4" t="str">
        <x:v>Result</x:v>
      </x:c>
      <x:c r="C1" s="4" t="str">
        <x:v>Count</x:v>
      </x:c>
    </x:row>
    <x:row r="2">
      <x:c r="A2" s="7" t="str">
        <x:v>United States</x:v>
      </x:c>
      <x:c r="B2" s="7" t="str">
        <x:v>Champion</x:v>
      </x:c>
      <x:c r="C2" s="8" t="n">
        <x:f>IF(B2="Champion",COUNTIF(wimbledons_champions!$E$2:$E$272,A2),COUNTIF(wimbledons_champions!$U$2:$U$272,A2))</x:f>
        <x:v>90</x:v>
      </x:c>
    </x:row>
    <x:row r="3">
      <x:c r="A3" s="7" t="str">
        <x:v>United States</x:v>
      </x:c>
      <x:c r="B3" s="7" t="str">
        <x:v>Runner-up</x:v>
      </x:c>
      <x:c r="C3" s="8" t="n">
        <x:f>IF(B3="Champion",COUNTIF(wimbledons_champions!$E$2:$E$272,A3),COUNTIF(wimbledons_champions!$U$2:$U$272,A3))</x:f>
        <x:v>73</x:v>
      </x:c>
    </x:row>
    <x:row r="4">
      <x:c r="A4" s="7" t="str">
        <x:v>United Kingdom</x:v>
      </x:c>
      <x:c r="B4" s="7" t="str">
        <x:v>Champion</x:v>
      </x:c>
      <x:c r="C4" s="8" t="n">
        <x:f>IF(B4="Champion",COUNTIF(wimbledons_champions!$E$2:$E$272,A4),COUNTIF(wimbledons_champions!$U$2:$U$272,A4))</x:f>
        <x:v>73</x:v>
      </x:c>
    </x:row>
    <x:row r="5">
      <x:c r="A5" s="7" t="str">
        <x:v>United Kingdom</x:v>
      </x:c>
      <x:c r="B5" s="7" t="str">
        <x:v>Runner-up</x:v>
      </x:c>
      <x:c r="C5" s="8" t="n">
        <x:f>IF(B5="Champion",COUNTIF(wimbledons_champions!$E$2:$E$272,A5),COUNTIF(wimbledons_champions!$U$2:$U$272,A5))</x:f>
        <x:v>79</x:v>
      </x:c>
    </x:row>
    <x:row r="6">
      <x:c r="A6" s="7" t="str">
        <x:v>Australia</x:v>
      </x:c>
      <x:c r="B6" s="7" t="str">
        <x:v>Champion</x:v>
      </x:c>
      <x:c r="C6" s="8" t="n">
        <x:f>IF(B6="Champion",COUNTIF(wimbledons_champions!$E$2:$E$272,A6),COUNTIF(wimbledons_champions!$U$2:$U$272,A6))</x:f>
        <x:v>27</x:v>
      </x:c>
    </x:row>
    <x:row r="7">
      <x:c r="A7" s="7" t="str">
        <x:v>Australia</x:v>
      </x:c>
      <x:c r="B7" s="7" t="str">
        <x:v>Runner-up</x:v>
      </x:c>
      <x:c r="C7" s="8" t="n">
        <x:f>IF(B7="Champion",COUNTIF(wimbledons_champions!$E$2:$E$272,A7),COUNTIF(wimbledons_champions!$U$2:$U$272,A7))</x:f>
        <x:v>32</x:v>
      </x:c>
    </x:row>
    <x:row r="8">
      <x:c r="A8" s="7" t="str">
        <x:v>Germany</x:v>
      </x:c>
      <x:c r="B8" s="7" t="str">
        <x:v>Champion</x:v>
      </x:c>
      <x:c r="C8" s="8" t="n">
        <x:f>IF(B8="Champion",COUNTIF(wimbledons_champions!$E$2:$E$272,A8),COUNTIF(wimbledons_champions!$U$2:$U$272,A8))</x:f>
        <x:v>13</x:v>
      </x:c>
    </x:row>
    <x:row r="9">
      <x:c r="A9" s="7" t="str">
        <x:v>Germany</x:v>
      </x:c>
      <x:c r="B9" s="7" t="str">
        <x:v>Runner-up</x:v>
      </x:c>
      <x:c r="C9" s="8" t="n">
        <x:f>IF(B9="Champion",COUNTIF(wimbledons_champions!$E$2:$E$272,A9),COUNTIF(wimbledons_champions!$U$2:$U$272,A9))</x:f>
        <x:v>15</x:v>
      </x:c>
    </x:row>
    <x:row r="10">
      <x:c r="A10" s="7" t="str">
        <x:v>France</x:v>
      </x:c>
      <x:c r="B10" s="7" t="str">
        <x:v>Champion</x:v>
      </x:c>
      <x:c r="C10" s="8" t="n">
        <x:f>IF(B10="Champion",COUNTIF(wimbledons_champions!$E$2:$E$272,A10),COUNTIF(wimbledons_champions!$U$2:$U$272,A10))</x:f>
        <x:v>15</x:v>
      </x:c>
    </x:row>
    <x:row r="11">
      <x:c r="A11" s="7" t="str">
        <x:v>France</x:v>
      </x:c>
      <x:c r="B11" s="7" t="str">
        <x:v>Runner-up</x:v>
      </x:c>
      <x:c r="C11" s="8" t="n">
        <x:f>IF(B11="Champion",COUNTIF(wimbledons_champions!$E$2:$E$272,A11),COUNTIF(wimbledons_champions!$U$2:$U$272,A11))</x:f>
        <x:v>8</x:v>
      </x:c>
    </x:row>
    <x:row r="12">
      <x:c r="A12" s="7" t="str">
        <x:v>Czechia</x:v>
      </x:c>
      <x:c r="B12" s="7" t="str">
        <x:v>Champion</x:v>
      </x:c>
      <x:c r="C12" s="8" t="n">
        <x:f>IF(B12="Champion",COUNTIF(wimbledons_champions!$E$2:$E$272,A12),COUNTIF(wimbledons_champions!$U$2:$U$272,A12))</x:f>
        <x:v>8</x:v>
      </x:c>
    </x:row>
    <x:row r="13">
      <x:c r="A13" s="7" t="str">
        <x:v>Czechia</x:v>
      </x:c>
      <x:c r="B13" s="7" t="str">
        <x:v>Runner-up</x:v>
      </x:c>
      <x:c r="C13" s="8" t="n">
        <x:f>IF(B13="Champion",COUNTIF(wimbledons_champions!$E$2:$E$272,A13),COUNTIF(wimbledons_champions!$U$2:$U$272,A13))</x:f>
        <x:v>12</x:v>
      </x:c>
    </x:row>
    <x:row r="14">
      <x:c r="A14" s="7" t="str">
        <x:v>Spain</x:v>
      </x:c>
      <x:c r="B14" s="7" t="str">
        <x:v>Champion</x:v>
      </x:c>
      <x:c r="C14" s="8" t="n">
        <x:f>IF(B14="Champion",COUNTIF(wimbledons_champions!$E$2:$E$272,A14),COUNTIF(wimbledons_champions!$U$2:$U$272,A14))</x:f>
        <x:v>7</x:v>
      </x:c>
    </x:row>
    <x:row r="15">
      <x:c r="A15" s="7" t="str">
        <x:v>Spain</x:v>
      </x:c>
      <x:c r="B15" s="7" t="str">
        <x:v>Runner-up</x:v>
      </x:c>
      <x:c r="C15" s="8" t="n">
        <x:f>IF(B15="Champion",COUNTIF(wimbledons_champions!$E$2:$E$272,A15),COUNTIF(wimbledons_champions!$U$2:$U$272,A15))</x:f>
        <x:v>10</x:v>
      </x:c>
    </x:row>
    <x:row r="16">
      <x:c r="A16" s="7" t="str">
        <x:v>Switzerland</x:v>
      </x:c>
      <x:c r="B16" s="7" t="str">
        <x:v>Champion</x:v>
      </x:c>
      <x:c r="C16" s="8" t="n">
        <x:f>IF(B16="Champion",COUNTIF(wimbledons_champions!$E$2:$E$272,A16),COUNTIF(wimbledons_champions!$U$2:$U$272,A16))</x:f>
        <x:v>9</x:v>
      </x:c>
    </x:row>
    <x:row r="17">
      <x:c r="A17" s="7" t="str">
        <x:v>Switzerland</x:v>
      </x:c>
      <x:c r="B17" s="7" t="str">
        <x:v>Runner-up</x:v>
      </x:c>
      <x:c r="C17" s="8" t="n">
        <x:f>IF(B17="Champion",COUNTIF(wimbledons_champions!$E$2:$E$272,A17),COUNTIF(wimbledons_champions!$U$2:$U$272,A17))</x:f>
        <x:v>4</x:v>
      </x:c>
    </x:row>
    <x:row r="18">
      <x:c r="A18" s="7" t="str">
        <x:v>Serbia</x:v>
      </x:c>
      <x:c r="B18" s="7" t="str">
        <x:v>Champion</x:v>
      </x:c>
      <x:c r="C18" s="8" t="n">
        <x:f>IF(B18="Champion",COUNTIF(wimbledons_champions!$E$2:$E$272,A18),COUNTIF(wimbledons_champions!$U$2:$U$272,A18))</x:f>
        <x:v>7</x:v>
      </x:c>
    </x:row>
    <x:row r="19">
      <x:c r="A19" s="7" t="str">
        <x:v>Serbia</x:v>
      </x:c>
      <x:c r="B19" s="7" t="str">
        <x:v>Runner-up</x:v>
      </x:c>
      <x:c r="C19" s="8" t="n">
        <x:f>IF(B19="Champion",COUNTIF(wimbledons_champions!$E$2:$E$272,A19),COUNTIF(wimbledons_champions!$U$2:$U$272,A19))</x:f>
        <x:v>4</x:v>
      </x:c>
    </x:row>
    <x:row r="20">
      <x:c r="A20" s="7" t="str">
        <x:v>Sweden</x:v>
      </x:c>
      <x:c r="B20" s="7" t="str">
        <x:v>Champion</x:v>
      </x:c>
      <x:c r="C20" s="8" t="n">
        <x:f>IF(B20="Champion",COUNTIF(wimbledons_champions!$E$2:$E$272,A20),COUNTIF(wimbledons_champions!$U$2:$U$272,A20))</x:f>
        <x:v>7</x:v>
      </x:c>
    </x:row>
    <x:row r="21">
      <x:c r="A21" s="7" t="str">
        <x:v>Sweden</x:v>
      </x:c>
      <x:c r="B21" s="7" t="str">
        <x:v>Runner-up</x:v>
      </x:c>
      <x:c r="C21" s="8" t="n">
        <x:f>IF(B21="Champion",COUNTIF(wimbledons_champions!$E$2:$E$272,A21),COUNTIF(wimbledons_champions!$U$2:$U$272,A21))</x:f>
        <x:v>2</x:v>
      </x:c>
    </x:row>
    <x:row r="22">
      <x:c r="A22" s="7" t="str">
        <x:v>New Zealand</x:v>
      </x:c>
      <x:c r="B22" s="7" t="str">
        <x:v>Champion</x:v>
      </x:c>
      <x:c r="C22" s="8" t="n">
        <x:f>IF(B22="Champion",COUNTIF(wimbledons_champions!$E$2:$E$272,A22),COUNTIF(wimbledons_champions!$U$2:$U$272,A22))</x:f>
        <x:v>4</x:v>
      </x:c>
    </x:row>
    <x:row r="23">
      <x:c r="A23" s="7" t="str">
        <x:v>New Zealand</x:v>
      </x:c>
      <x:c r="B23" s="7" t="str">
        <x:v>Runner-up</x:v>
      </x:c>
      <x:c r="C23" s="8" t="n">
        <x:f>IF(B23="Champion",COUNTIF(wimbledons_champions!$E$2:$E$272,A23),COUNTIF(wimbledons_champions!$U$2:$U$272,A23))</x:f>
        <x:v>2</x:v>
      </x:c>
    </x:row>
    <x:row r="24">
      <x:c r="A24" s="7" t="str">
        <x:v>Brazil</x:v>
      </x:c>
      <x:c r="B24" s="7" t="str">
        <x:v>Champion</x:v>
      </x:c>
      <x:c r="C24" s="8" t="n">
        <x:f>IF(B24="Champion",COUNTIF(wimbledons_champions!$E$2:$E$272,A24),COUNTIF(wimbledons_champions!$U$2:$U$272,A24))</x:f>
        <x:v>3</x:v>
      </x:c>
    </x:row>
    <x:row r="25">
      <x:c r="A25" s="7" t="str">
        <x:v>Brazil</x:v>
      </x:c>
      <x:c r="B25" s="7" t="str">
        <x:v>Runner-up</x:v>
      </x:c>
      <x:c r="C25" s="8" t="n">
        <x:f>IF(B25="Champion",COUNTIF(wimbledons_champions!$E$2:$E$272,A25),COUNTIF(wimbledons_champions!$U$2:$U$272,A25))</x:f>
        <x:v>2</x:v>
      </x:c>
    </x:row>
    <x:row r="26">
      <x:c r="A26" s="7" t="str">
        <x:v>Croatia</x:v>
      </x:c>
      <x:c r="B26" s="7" t="str">
        <x:v>Champion</x:v>
      </x:c>
      <x:c r="C26" s="8" t="n">
        <x:f>IF(B26="Champion",COUNTIF(wimbledons_champions!$E$2:$E$272,A26),COUNTIF(wimbledons_champions!$U$2:$U$272,A26))</x:f>
        <x:v>1</x:v>
      </x:c>
    </x:row>
    <x:row r="27">
      <x:c r="A27" s="7" t="str">
        <x:v>Croatia</x:v>
      </x:c>
      <x:c r="B27" s="7" t="str">
        <x:v>Runner-up</x:v>
      </x:c>
      <x:c r="C27" s="8" t="n">
        <x:f>IF(B27="Champion",COUNTIF(wimbledons_champions!$E$2:$E$272,A27),COUNTIF(wimbledons_champions!$U$2:$U$272,A27))</x:f>
        <x:v>4</x:v>
      </x:c>
    </x:row>
    <x:row r="28">
      <x:c r="A28" s="7" t="str">
        <x:v>Italy</x:v>
      </x:c>
      <x:c r="B28" s="7" t="str">
        <x:v>Champion</x:v>
      </x:c>
      <x:c r="C28" s="8" t="n">
        <x:f>IF(B28="Champion",COUNTIF(wimbledons_champions!$E$2:$E$272,A28),COUNTIF(wimbledons_champions!$U$2:$U$272,A28))</x:f>
        <x:v>2</x:v>
      </x:c>
    </x:row>
    <x:row r="29">
      <x:c r="A29" s="7" t="str">
        <x:v>Italy</x:v>
      </x:c>
      <x:c r="B29" s="7" t="str">
        <x:v>Runner-up</x:v>
      </x:c>
      <x:c r="C29" s="8" t="n">
        <x:f>IF(B29="Champion",COUNTIF(wimbledons_champions!$E$2:$E$272,A29),COUNTIF(wimbledons_champions!$U$2:$U$272,A29))</x:f>
        <x:v>2</x:v>
      </x:c>
    </x:row>
    <x:row r="30">
      <x:c r="A30" s="7" t="str">
        <x:v>Poland</x:v>
      </x:c>
      <x:c r="B30" s="7" t="str">
        <x:v>Champion</x:v>
      </x:c>
      <x:c r="C30" s="8" t="n">
        <x:f>IF(B30="Champion",COUNTIF(wimbledons_champions!$E$2:$E$272,A30),COUNTIF(wimbledons_champions!$U$2:$U$272,A30))</x:f>
        <x:v>1</x:v>
      </x:c>
    </x:row>
    <x:row r="31">
      <x:c r="A31" s="7" t="str">
        <x:v>Poland</x:v>
      </x:c>
      <x:c r="B31" s="7" t="str">
        <x:v>Runner-up</x:v>
      </x:c>
      <x:c r="C31" s="8" t="n">
        <x:f>IF(B31="Champion",COUNTIF(wimbledons_champions!$E$2:$E$272,A31),COUNTIF(wimbledons_champions!$U$2:$U$272,A31))</x:f>
        <x:v>2</x:v>
      </x:c>
    </x:row>
    <x:row r="32">
      <x:c r="A32" s="7" t="str">
        <x:v>Romania</x:v>
      </x:c>
      <x:c r="B32" s="7" t="str">
        <x:v>Champion</x:v>
      </x:c>
      <x:c r="C32" s="8" t="n">
        <x:f>IF(B32="Champion",COUNTIF(wimbledons_champions!$E$2:$E$272,A32),COUNTIF(wimbledons_champions!$U$2:$U$272,A32))</x:f>
        <x:v>1</x:v>
      </x:c>
    </x:row>
    <x:row r="33">
      <x:c r="A33" s="7" t="str">
        <x:v>Romania</x:v>
      </x:c>
      <x:c r="B33" s="7" t="str">
        <x:v>Runner-up</x:v>
      </x:c>
      <x:c r="C33" s="8" t="n">
        <x:f>IF(B33="Champion",COUNTIF(wimbledons_champions!$E$2:$E$272,A33),COUNTIF(wimbledons_champions!$U$2:$U$272,A33))</x:f>
        <x:v>2</x:v>
      </x:c>
    </x:row>
    <x:row r="34">
      <x:c r="A34" s="7" t="str">
        <x:v>Russia</x:v>
      </x:c>
      <x:c r="B34" s="7" t="str">
        <x:v>Champion</x:v>
      </x:c>
      <x:c r="C34" s="8" t="n">
        <x:f>IF(B34="Champion",COUNTIF(wimbledons_champions!$E$2:$E$272,A34),COUNTIF(wimbledons_champions!$U$2:$U$272,A34))</x:f>
        <x:v>1</x:v>
      </x:c>
    </x:row>
    <x:row r="35">
      <x:c r="A35" s="7" t="str">
        <x:v>Russia</x:v>
      </x:c>
      <x:c r="B35" s="7" t="str">
        <x:v>Runner-up</x:v>
      </x:c>
      <x:c r="C35" s="8" t="n">
        <x:f>IF(B35="Champion",COUNTIF(wimbledons_champions!$E$2:$E$272,A35),COUNTIF(wimbledons_champions!$U$2:$U$272,A35))</x:f>
        <x:v>2</x:v>
      </x:c>
    </x:row>
    <x:row r="36">
      <x:c r="A36" s="7" t="str">
        <x:v>South Africa</x:v>
      </x:c>
      <x:c r="B36" s="7" t="str">
        <x:v>Champion</x:v>
      </x:c>
      <x:c r="C36" s="8" t="n">
        <x:f>IF(B36="Champion",COUNTIF(wimbledons_champions!$E$2:$E$272,A36),COUNTIF(wimbledons_champions!$U$2:$U$272,A36))</x:f>
        <x:v>0</x:v>
      </x:c>
    </x:row>
    <x:row r="37">
      <x:c r="A37" s="7" t="str">
        <x:v>South Africa</x:v>
      </x:c>
      <x:c r="B37" s="7" t="str">
        <x:v>Runner-up</x:v>
      </x:c>
      <x:c r="C37" s="8" t="n">
        <x:f>IF(B37="Champion",COUNTIF(wimbledons_champions!$E$2:$E$272,A37),COUNTIF(wimbledons_champions!$U$2:$U$272,A37))</x:f>
        <x:v>3</x:v>
      </x:c>
    </x:row>
    <x:row r="38">
      <x:c r="A38" s="7" t="str">
        <x:v>Argentina</x:v>
      </x:c>
      <x:c r="B38" s="7" t="str">
        <x:v>Champion</x:v>
      </x:c>
      <x:c r="C38" s="8" t="n">
        <x:f>IF(B38="Champion",COUNTIF(wimbledons_champions!$E$2:$E$272,A38),COUNTIF(wimbledons_champions!$U$2:$U$272,A38))</x:f>
        <x:v>0</x:v>
      </x:c>
    </x:row>
    <x:row r="39">
      <x:c r="A39" s="7" t="str">
        <x:v>Argentina</x:v>
      </x:c>
      <x:c r="B39" s="7" t="str">
        <x:v>Runner-up</x:v>
      </x:c>
      <x:c r="C39" s="8" t="n">
        <x:f>IF(B39="Champion",COUNTIF(wimbledons_champions!$E$2:$E$272,A39),COUNTIF(wimbledons_champions!$U$2:$U$272,A39))</x:f>
        <x:v>2</x:v>
      </x:c>
    </x:row>
    <x:row r="40">
      <x:c r="A40" s="7" t="str">
        <x:v>Belgium</x:v>
      </x:c>
      <x:c r="B40" s="7" t="str">
        <x:v>Champion</x:v>
      </x:c>
      <x:c r="C40" s="8" t="n">
        <x:f>IF(B40="Champion",COUNTIF(wimbledons_champions!$E$2:$E$272,A40),COUNTIF(wimbledons_champions!$U$2:$U$272,A40))</x:f>
        <x:v>0</x:v>
      </x:c>
    </x:row>
    <x:row r="41">
      <x:c r="A41" s="7" t="str">
        <x:v>Belgium</x:v>
      </x:c>
      <x:c r="B41" s="7" t="str">
        <x:v>Runner-up</x:v>
      </x:c>
      <x:c r="C41" s="8" t="n">
        <x:f>IF(B41="Champion",COUNTIF(wimbledons_champions!$E$2:$E$272,A41),COUNTIF(wimbledons_champions!$U$2:$U$272,A41))</x:f>
        <x:v>2</x:v>
      </x:c>
    </x:row>
    <x:row r="42">
      <x:c r="A42" s="7" t="str">
        <x:v>Canada</x:v>
      </x:c>
      <x:c r="B42" s="7" t="str">
        <x:v>Champion</x:v>
      </x:c>
      <x:c r="C42" s="8" t="n">
        <x:f>IF(B42="Champion",COUNTIF(wimbledons_champions!$E$2:$E$272,A42),COUNTIF(wimbledons_champions!$U$2:$U$272,A42))</x:f>
        <x:v>0</x:v>
      </x:c>
    </x:row>
    <x:row r="43">
      <x:c r="A43" s="7" t="str">
        <x:v>Canada</x:v>
      </x:c>
      <x:c r="B43" s="7" t="str">
        <x:v>Runner-up</x:v>
      </x:c>
      <x:c r="C43" s="8" t="n">
        <x:f>IF(B43="Champion",COUNTIF(wimbledons_champions!$E$2:$E$272,A43),COUNTIF(wimbledons_champions!$U$2:$U$272,A43))</x:f>
        <x:v>2</x:v>
      </x:c>
    </x:row>
    <x:row r="44">
      <x:c r="A44" s="7" t="str">
        <x:v>Denmark</x:v>
      </x:c>
      <x:c r="B44" s="7" t="str">
        <x:v>Champion</x:v>
      </x:c>
      <x:c r="C44" s="8" t="n">
        <x:f>IF(B44="Champion",COUNTIF(wimbledons_champions!$E$2:$E$272,A44),COUNTIF(wimbledons_champions!$U$2:$U$272,A44))</x:f>
        <x:v>0</x:v>
      </x:c>
    </x:row>
    <x:row r="45">
      <x:c r="A45" s="7" t="str">
        <x:v>Denmark</x:v>
      </x:c>
      <x:c r="B45" s="7" t="str">
        <x:v>Runner-up</x:v>
      </x:c>
      <x:c r="C45" s="8" t="n">
        <x:f>IF(B45="Champion",COUNTIF(wimbledons_champions!$E$2:$E$272,A45),COUNTIF(wimbledons_champions!$U$2:$U$272,A45))</x:f>
        <x:v>2</x:v>
      </x:c>
    </x:row>
    <x:row r="46">
      <x:c r="A46" s="7" t="str">
        <x:v>Netherlands</x:v>
      </x:c>
      <x:c r="B46" s="7" t="str">
        <x:v>Champion</x:v>
      </x:c>
      <x:c r="C46" s="8" t="n">
        <x:f>IF(B46="Champion",COUNTIF(wimbledons_champions!$E$2:$E$272,A46),COUNTIF(wimbledons_champions!$U$2:$U$272,A46))</x:f>
        <x:v>1</x:v>
      </x:c>
    </x:row>
    <x:row r="47">
      <x:c r="A47" s="7" t="str">
        <x:v>Netherlands</x:v>
      </x:c>
      <x:c r="B47" s="7" t="str">
        <x:v>Runner-up</x:v>
      </x:c>
      <x:c r="C47" s="8" t="n">
        <x:f>IF(B47="Champion",COUNTIF(wimbledons_champions!$E$2:$E$272,A47),COUNTIF(wimbledons_champions!$U$2:$U$272,A47))</x:f>
        <x:v>1</x:v>
      </x:c>
    </x:row>
    <x:row r="48">
      <x:c r="A48" s="7" t="str">
        <x:v>Soviet Union</x:v>
      </x:c>
      <x:c r="B48" s="7" t="str">
        <x:v>Champion</x:v>
      </x:c>
      <x:c r="C48" s="8" t="n">
        <x:f>IF(B48="Champion",COUNTIF(wimbledons_champions!$E$2:$E$272,A48),COUNTIF(wimbledons_champions!$U$2:$U$272,A48))</x:f>
        <x:v>0</x:v>
      </x:c>
    </x:row>
    <x:row r="49">
      <x:c r="A49" s="7" t="str">
        <x:v>Soviet Union</x:v>
      </x:c>
      <x:c r="B49" s="7" t="str">
        <x:v>Runner-up</x:v>
      </x:c>
      <x:c r="C49" s="8" t="n">
        <x:f>IF(B49="Champion",COUNTIF(wimbledons_champions!$E$2:$E$272,A49),COUNTIF(wimbledons_champions!$U$2:$U$272,A49))</x:f>
        <x:v>2</x:v>
      </x:c>
    </x:row>
    <x:row r="50">
      <x:c r="A50" s="7" t="str">
        <x:v>Tunisia</x:v>
      </x:c>
      <x:c r="B50" s="7" t="str">
        <x:v>Champion</x:v>
      </x:c>
      <x:c r="C50" s="8" t="n">
        <x:f>IF(B50="Champion",COUNTIF(wimbledons_champions!$E$2:$E$272,A50),COUNTIF(wimbledons_champions!$U$2:$U$272,A50))</x:f>
        <x:v>0</x:v>
      </x:c>
    </x:row>
    <x:row r="51">
      <x:c r="A51" s="7" t="str">
        <x:v>Tunisia</x:v>
      </x:c>
      <x:c r="B51" s="7" t="str">
        <x:v>Runner-up</x:v>
      </x:c>
      <x:c r="C51" s="8" t="n">
        <x:f>IF(B51="Champion",COUNTIF(wimbledons_champions!$E$2:$E$272,A51),COUNTIF(wimbledons_champions!$U$2:$U$272,A51))</x:f>
        <x:v>2</x:v>
      </x:c>
    </x:row>
    <x:row r="52">
      <x:c r="A52" s="7" t="str">
        <x:v>Kazakhstan</x:v>
      </x:c>
      <x:c r="B52" s="7" t="str">
        <x:v>Champion</x:v>
      </x:c>
      <x:c r="C52" s="8" t="n">
        <x:f>IF(B52="Champion",COUNTIF(wimbledons_champions!$E$2:$E$272,A52),COUNTIF(wimbledons_champions!$U$2:$U$272,A52))</x:f>
        <x:v>1</x:v>
      </x:c>
    </x:row>
    <x:row r="53">
      <x:c r="A53" s="7" t="str">
        <x:v>Kazakhstan</x:v>
      </x:c>
      <x:c r="B53" s="7" t="str">
        <x:v>Runner-up</x:v>
      </x:c>
      <x:c r="C53" s="8" t="n">
        <x:f>IF(B53="Champion",COUNTIF(wimbledons_champions!$E$2:$E$272,A53),COUNTIF(wimbledons_champions!$U$2:$U$272,A53))</x:f>
        <x:v>0</x:v>
      </x:c>
    </x:row>
  </x:sheetData>
  <x:pageMargins left="0.7" right="0.7" top="0.75" bottom="0.75" header="0.3" footer="0.3"/>
</x:worksheet>
</file>