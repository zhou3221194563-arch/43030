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7895" activeTab="11"/>
  </bookViews>
  <sheets>
    <sheet name="README" sheetId="1" r:id="rId1"/>
    <sheet name="Raw_Data" sheetId="2" r:id="rId2"/>
    <sheet name="Clean_Data" sheetId="3" r:id="rId3"/>
    <sheet name="EDA" sheetId="4" r:id="rId4"/>
    <sheet name="Calculations" sheetId="5" r:id="rId5"/>
    <sheet name="Charts" sheetId="6" r:id="rId6"/>
    <sheet name="EDA_Summary" sheetId="7" r:id="rId7"/>
    <sheet name="Data_Dictionary" sheetId="8" r:id="rId8"/>
    <sheet name="Descriptive_Stats" sheetId="9" r:id="rId9"/>
    <sheet name="EDA_Questions" sheetId="10" r:id="rId10"/>
    <sheet name="Daily_Analysis" sheetId="11" r:id="rId11"/>
    <sheet name="Sources" sheetId="12" r:id="rId12"/>
    <sheet name="Summary" sheetId="13" r:id="rId13"/>
  </sheets>
  <definedNames>
    <definedName name="_xlnm._FilterDatabase" localSheetId="0" hidden="1">README!$A$1:$B$13</definedName>
    <definedName name="_xlnm._FilterDatabase" localSheetId="1" hidden="1">Raw_Data!$A$1:$K$93</definedName>
    <definedName name="_xlnm._FilterDatabase" localSheetId="2" hidden="1">Clean_Data!$A$1:$X$93</definedName>
    <definedName name="_xlnm._FilterDatabase" localSheetId="3" hidden="1">EDA!$A$1:$C$12</definedName>
    <definedName name="_xlnm._FilterDatabase" localSheetId="4" hidden="1">Calculations!$A$2:$M$94</definedName>
    <definedName name="_xlnm._FilterDatabase" localSheetId="11" hidden="1">Sources!$A$1:$B$10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<sst xmlns="http://schemas.openxmlformats.org/spreadsheetml/2006/main" count="1088" uniqueCount="234">
  <si>
    <t>Item</t>
  </si>
  <si>
    <t>Description</t>
  </si>
  <si>
    <t>Company</t>
  </si>
  <si>
    <t>Pacific Smiles Group Ltd</t>
  </si>
  <si>
    <t>ASX Code</t>
  </si>
  <si>
    <t>PSQ</t>
  </si>
  <si>
    <t>Assessment</t>
  </si>
  <si>
    <t>32146 Data Visualisation Foundations - AT1</t>
  </si>
  <si>
    <t>Requested period</t>
  </si>
  <si>
    <t>2025-07-01 to 2026-06-30</t>
  </si>
  <si>
    <t>Available price period</t>
  </si>
  <si>
    <t>2025-07-01 to 2025-11-05</t>
  </si>
  <si>
    <t>Data source</t>
  </si>
  <si>
    <t>DatAnalysis export: pricehistory-dailyadj.csv and dividendhistory.csv</t>
  </si>
  <si>
    <t>Coverage note</t>
  </si>
  <si>
    <t>The supplied price file ends on 05/11/2025; FY2025-26 is incomplete.</t>
  </si>
  <si>
    <t>Dividend records in requested period</t>
  </si>
  <si>
    <t>Dividend treatment</t>
  </si>
  <si>
    <t>Blank where no FY2025-26 dividend record is supplied.</t>
  </si>
  <si>
    <t>PE treatment</t>
  </si>
  <si>
    <t>Blank because no PE field is supplied in the source data.</t>
  </si>
  <si>
    <t>Zero-volume treatment</t>
  </si>
  <si>
    <t>Zero-volume rows are retained and flagged; raw OHLC values are not overwritten.</t>
  </si>
  <si>
    <t>Workbook structure</t>
  </si>
  <si>
    <t>Raw_Data is unchanged source data; Clean_Data adds analysis flags; later sheets contain EDA, calculations and charts.</t>
  </si>
  <si>
    <t>Time Series</t>
  </si>
  <si>
    <t>Company Name</t>
  </si>
  <si>
    <t>Open</t>
  </si>
  <si>
    <t>High</t>
  </si>
  <si>
    <t>Low</t>
  </si>
  <si>
    <t>Close</t>
  </si>
  <si>
    <t>Daily Volume</t>
  </si>
  <si>
    <t>Stock Issued</t>
  </si>
  <si>
    <t>Dividend</t>
  </si>
  <si>
    <t>PE</t>
  </si>
  <si>
    <t>Pacific Smiles Group Limited</t>
  </si>
  <si>
    <t>Original Open</t>
  </si>
  <si>
    <t>Original High</t>
  </si>
  <si>
    <t>Original Low</t>
  </si>
  <si>
    <t>Zero Volume Flag</t>
  </si>
  <si>
    <t>Price Adjusted Flag</t>
  </si>
  <si>
    <t>Price Adjustment Rule</t>
  </si>
  <si>
    <t>Previous Close</t>
  </si>
  <si>
    <t>Daily Return</t>
  </si>
  <si>
    <t>Price Change</t>
  </si>
  <si>
    <t>Market Capitalisation</t>
  </si>
  <si>
    <t>Dividend Yield</t>
  </si>
  <si>
    <t>5-Day Moving Average</t>
  </si>
  <si>
    <t>Cumulative Return</t>
  </si>
  <si>
    <t>No</t>
  </si>
  <si>
    <t>For each of Open, High and Low: if the raw value equals 0, replace it with the same-day Close; otherwise retain the raw value.</t>
  </si>
  <si>
    <t>Yes</t>
  </si>
  <si>
    <t>Metric</t>
  </si>
  <si>
    <t>Value</t>
  </si>
  <si>
    <t>Note</t>
  </si>
  <si>
    <t>Price records</t>
  </si>
  <si>
    <t>Rows within the requested date range</t>
  </si>
  <si>
    <t>First available date</t>
  </si>
  <si>
    <t>From supplied price file</t>
  </si>
  <si>
    <t>Last available date</t>
  </si>
  <si>
    <t>Minimum close</t>
  </si>
  <si>
    <t>Currency per share</t>
  </si>
  <si>
    <t>Maximum close</t>
  </si>
  <si>
    <t>Average close</t>
  </si>
  <si>
    <t>Total volume</t>
  </si>
  <si>
    <t>Shares traded in supplied records</t>
  </si>
  <si>
    <t>Average daily volume</t>
  </si>
  <si>
    <t>Includes zero-volume records</t>
  </si>
  <si>
    <t>Zero-volume records</t>
  </si>
  <si>
    <t>Retained and flagged in Clean_Data</t>
  </si>
  <si>
    <t>Dividend missing values</t>
  </si>
  <si>
    <t>No dividend field supplied in price source</t>
  </si>
  <si>
    <t>PE missing values</t>
  </si>
  <si>
    <t>No PE field supplied in price source</t>
  </si>
  <si>
    <t>Daily analysis uses Clean_Data. Return and market capitalisation are formula fields; trade rows exclude zero-volume records.</t>
  </si>
  <si>
    <t>Date</t>
  </si>
  <si>
    <t>Shares Issued</t>
  </si>
  <si>
    <t>Tradable Record</t>
  </si>
  <si>
    <t>$1,000 Buy-and-Hold Portfolio</t>
  </si>
  <si>
    <t>Initial capital</t>
  </si>
  <si>
    <t>Assumption</t>
  </si>
  <si>
    <t>Buy date</t>
  </si>
  <si>
    <t>First tradable record</t>
  </si>
  <si>
    <t>Buy price</t>
  </si>
  <si>
    <t>Close price</t>
  </si>
  <si>
    <t>Shares purchased</t>
  </si>
  <si>
    <t>INT(Initial capital / Buy price)</t>
  </si>
  <si>
    <t>Remaining cash</t>
  </si>
  <si>
    <t>Initial capital - Shares x Buy price</t>
  </si>
  <si>
    <t>Valuation date</t>
  </si>
  <si>
    <t>Last tradable record available</t>
  </si>
  <si>
    <t>Ending close</t>
  </si>
  <si>
    <t>Ending portfolio value</t>
  </si>
  <si>
    <t>Shares x Ending close + Remaining cash</t>
  </si>
  <si>
    <t>Portfolio profit</t>
  </si>
  <si>
    <t>Ending value - Initial capital</t>
  </si>
  <si>
    <t>Portfolio return</t>
  </si>
  <si>
    <t>Ending value / Initial capital - 1</t>
  </si>
  <si>
    <t>No dividend added</t>
  </si>
  <si>
    <t>No FY2025-26 dividend record supplied</t>
  </si>
  <si>
    <t>Single Trade Maximum Profit</t>
  </si>
  <si>
    <t>Buy Date</t>
  </si>
  <si>
    <t>Uses close prices, $1,000 limit, no fees or slippage</t>
  </si>
  <si>
    <t>Buy Price</t>
  </si>
  <si>
    <t>Sell Date</t>
  </si>
  <si>
    <t>Sell Price</t>
  </si>
  <si>
    <t>Shares</t>
  </si>
  <si>
    <t>Initial Cash</t>
  </si>
  <si>
    <t>Profit</t>
  </si>
  <si>
    <t>Return</t>
  </si>
  <si>
    <t>Multiple Trades</t>
  </si>
  <si>
    <t>Trade</t>
  </si>
  <si>
    <t>Starting Cash</t>
  </si>
  <si>
    <t>Ending Cash</t>
  </si>
  <si>
    <t>PSQ AT1 Visualisations</t>
  </si>
  <si>
    <t>All eight required visualisations are embedded below. Source data and calculations are provided in the other worksheets.</t>
  </si>
  <si>
    <t>Figure 1 - Close price versus volume</t>
  </si>
  <si>
    <t>Figure 2 - OHLC stock movement</t>
  </si>
  <si>
    <t>Figure 3 - Capitalisation versus issued shares</t>
  </si>
  <si>
    <t>Figure 4 - Close price and dividend alternative</t>
  </si>
  <si>
    <t>Figure 5 - Daily return volatility</t>
  </si>
  <si>
    <t>Figure 6 - $1,000 buy-and-hold portfolio</t>
  </si>
  <si>
    <t>Figure 7 - Single-trade maximum profit</t>
  </si>
  <si>
    <t>Figure 8 - Multiple-trade equity</t>
  </si>
  <si>
    <t>PSQ Exploratory Data Analysis Summary</t>
  </si>
  <si>
    <t>Interpretation</t>
  </si>
  <si>
    <t>Company assigned for AT1</t>
  </si>
  <si>
    <t>Security identifier</t>
  </si>
  <si>
    <t>Assessment period</t>
  </si>
  <si>
    <t>Available period</t>
  </si>
  <si>
    <t>Available source-data period</t>
  </si>
  <si>
    <t>Coverage status</t>
  </si>
  <si>
    <t>Incomplete</t>
  </si>
  <si>
    <t>Source file ends before 30 June 2026</t>
  </si>
  <si>
    <t>Total records</t>
  </si>
  <si>
    <t>Rows within the requested period</t>
  </si>
  <si>
    <t>Tradable records</t>
  </si>
  <si>
    <t>Daily Volume &gt; 0 and Close &gt; 0</t>
  </si>
  <si>
    <t>Retained for data-quality review</t>
  </si>
  <si>
    <t>Close minimum</t>
  </si>
  <si>
    <t>Price per share</t>
  </si>
  <si>
    <t>Close maximum</t>
  </si>
  <si>
    <t>Close mean</t>
  </si>
  <si>
    <t>Close median</t>
  </si>
  <si>
    <t>Shares recorded in the source data</t>
  </si>
  <si>
    <t>Shares issued minimum</t>
  </si>
  <si>
    <t>Issued shares</t>
  </si>
  <si>
    <t>Shares issued maximum</t>
  </si>
  <si>
    <t>Dividend available</t>
  </si>
  <si>
    <t>Dividend field is not supplied in the price source</t>
  </si>
  <si>
    <t>PE available</t>
  </si>
  <si>
    <t>PE field is not supplied in the price source</t>
  </si>
  <si>
    <t>Dataset Fields and Measurement Types</t>
  </si>
  <si>
    <t>Field</t>
  </si>
  <si>
    <t>Data type</t>
  </si>
  <si>
    <t>Measurement</t>
  </si>
  <si>
    <t>EDA use</t>
  </si>
  <si>
    <t>Trading date</t>
  </si>
  <si>
    <t>Time ordering and coverage</t>
  </si>
  <si>
    <t>Text</t>
  </si>
  <si>
    <t>Company identification</t>
  </si>
  <si>
    <t>Company name</t>
  </si>
  <si>
    <t>Numeric</t>
  </si>
  <si>
    <t>Opening price distribution</t>
  </si>
  <si>
    <t>Intraday high and range</t>
  </si>
  <si>
    <t>Intraday low and range</t>
  </si>
  <si>
    <t>Price trend and returns</t>
  </si>
  <si>
    <t>Integer</t>
  </si>
  <si>
    <t>Shares traded</t>
  </si>
  <si>
    <t>Liquidity and activity</t>
  </si>
  <si>
    <t>Shares on issue</t>
  </si>
  <si>
    <t>Capitalisation analysis</t>
  </si>
  <si>
    <t>Percentage</t>
  </si>
  <si>
    <t>Price movement and outliers</t>
  </si>
  <si>
    <t>Currency</t>
  </si>
  <si>
    <t>Close x Shares Issued</t>
  </si>
  <si>
    <t>Performance from first close</t>
  </si>
  <si>
    <t>Descriptive Statistics</t>
  </si>
  <si>
    <t>Count</t>
  </si>
  <si>
    <t>Missing</t>
  </si>
  <si>
    <t>Minimum</t>
  </si>
  <si>
    <t>Q1</t>
  </si>
  <si>
    <t>Mean</t>
  </si>
  <si>
    <t>Median</t>
  </si>
  <si>
    <t>Q3</t>
  </si>
  <si>
    <t>Maximum</t>
  </si>
  <si>
    <t>Answers to EDA Questions</t>
  </si>
  <si>
    <t>Question</t>
  </si>
  <si>
    <t>Answer</t>
  </si>
  <si>
    <t>Evidence / analysis basis</t>
  </si>
  <si>
    <t>1. How many calendar days and valid trading records are covered?</t>
  </si>
  <si>
    <t>The price data covers 2025-07-01 to 2025-11-05, with 92 records in total. 39 records are classified as tradable. The dataset does not cover the complete financial year because the last available date is before 30 June 2026.</t>
  </si>
  <si>
    <t>A tradable record is defined as Daily Volume &gt; 0 and Close &gt; 0.</t>
  </si>
  <si>
    <t>2. Are there suspended, delisted, zero-volume or zero-price records?</t>
  </si>
  <si>
    <t xml:space="preserve">There are 53 zero-volume records. </t>
  </si>
  <si>
    <t>Zero-volume records are treated as data states requiring interpretation, not automatically as normal trades.</t>
  </si>
  <si>
    <t>3. What are the ranges and volatility of Open, High, Low and Close prices?</t>
  </si>
  <si>
    <t>The Close price ranges from $1.480 to $2.190. The mean is $1.720 and the median is $1.615. The mean daily return is 0.50%. The dates with the largest absolute movements are: 2025-10-13: 36.25%; 2025-08-05: -10.18%; 2025-07-02: 10.14%; 2025-07-16: -7.65%; 2025-10-03: 4.92%.</t>
  </si>
  <si>
    <t>Price ranges are calculated from all records; returns are calculated from changes between consecutive Close prices.</t>
  </si>
  <si>
    <t>4. Which dates show unusual volume or price movements?</t>
  </si>
  <si>
    <t xml:space="preserve">The dates with the highest trading volumes are: 2025-10-13: 23,082; 2025-08-05: 11,926; 2025-07-04: 8,431; 2025-07-02: 5,059; 2025-07-07: 4,914. The dates with the largest absolute price movements are: 2025-10-13: 36.25%; 2025-08-05: -10.18%; 2025-07-02: 10.14%; 2025-07-16: -7.65%; 2025-10-03: 4.92%. </t>
  </si>
  <si>
    <t>Candidate anomalies are ranked by highest volume and largest absolute daily return; they are not automatically treated as data errors.</t>
  </si>
  <si>
    <t>5. Are Shares Issued stable, and are capitalisation changes mainly caused by price or share count?</t>
  </si>
  <si>
    <t>Shares Issued range from 161,615,445 to 161,623,972 and change during the available period. Market Capitalisation = Close x Shares Issued. Therefore, if the share count remains constant, changes in market capitalisation are mainly caused by changes in the Close price.</t>
  </si>
  <si>
    <t>Market capitalisation is calculated as closing price multiplied by shares issued.</t>
  </si>
  <si>
    <t>6. Are Dividend and PE data available for the financial year? If not, which analyses require alternatives?</t>
  </si>
  <si>
    <t>Dividend and PE are not provided in the current price dataset. Direct empirical analysis of Dividend Yield and PE cannot be performed, and the report should explain this limitation. Dividend analysis can use Close price trends or buy-and-hold portfolio value as an alternative. PE analysis should be labelled Not available; blank values must not be changed to zero.</t>
  </si>
  <si>
    <t>Dividend and PE are treated as unavailable fields in the standalone EDA workbook.</t>
  </si>
  <si>
    <t>Daily EDA Analysis Data</t>
  </si>
  <si>
    <t>Details</t>
  </si>
  <si>
    <t>Primary source</t>
  </si>
  <si>
    <t>DatAnalysis export supplied for Pacific Smiles Group Ltd (ASX: PSQ)</t>
  </si>
  <si>
    <t>Price source file</t>
  </si>
  <si>
    <t>Dividend source file</t>
  </si>
  <si>
    <t>01/07/2025 to 30/06/2026</t>
  </si>
  <si>
    <t>01/07/2025 to 05/11/2025; PSQ was acquired and delisted</t>
  </si>
  <si>
    <t>Raw-data treatment</t>
  </si>
  <si>
    <t>Raw_Data preserves source OHLC values, including zero values and zero-volume records.</t>
  </si>
  <si>
    <t>Cleaning treatment</t>
  </si>
  <si>
    <t>Clean_Data replaces zero Open, High and Low values with same-day Close for display calculations and flags the adjustment.</t>
  </si>
  <si>
    <t>Missing fields</t>
  </si>
  <si>
    <t>Dividend and PE are blank because no usable values are supplied in the source data.</t>
  </si>
  <si>
    <t>Embedded analysis</t>
  </si>
  <si>
    <t>EDA_Summary, Data_Dictionary, Descriptive_Stats, EDA_Questions and Daily_Analysis were copied from eda_analysis.xlsx.</t>
  </si>
  <si>
    <t>PSQ Pacific Smiles Group - 32146 AT1 first draft</t>
  </si>
  <si>
    <t>Rows</t>
  </si>
  <si>
    <t>Starting close</t>
  </si>
  <si>
    <t>Price return</t>
  </si>
  <si>
    <t>Zero-volume / suspension rows</t>
  </si>
  <si>
    <t>FY dividend records</t>
  </si>
  <si>
    <t>Blank: no FY2025-26 dividend record was supplied.</t>
  </si>
  <si>
    <t>Blank: no PE field was supplied in the source data.</t>
  </si>
  <si>
    <t>OHLC treatment</t>
  </si>
  <si>
    <t>Raw Open/High/Low values are preserved. Zero-volume rows are marked separately and must not be interpreted as trades.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</si>
</sst>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23" formatCode="\$#,##0_);\(\$#,##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_);\(\$#,##0.000\)"/>
    <numFmt numFmtId="178" formatCode="#,##0.00%"/>
    <numFmt numFmtId="179" formatCode="dd/mm/yyyy"/>
    <numFmt numFmtId="180" formatCode="#,##0.000"/>
    <numFmt numFmtId="181" formatCode="\$0.000"/>
    <numFmt numFmtId="182" formatCode="\$#,##0"/>
    <numFmt numFmtId="183" formatCode="yyyy\-mm\-dd"/>
    <numFmt numFmtId="184" formatCode="\$#,##0.00"/>
  </numFmts>
  <fonts count="29">
    <font>
      <sz val="11"/>
      <color theme="1"/>
      <name val="宋体"/>
      <charset val="134"/>
      <scheme val="minor"/>
    </font>
    <font>
      <b/>
      <sz val="14"/>
      <color rgb="FFFFFFFF"/>
      <name val="宋体"/>
      <charset val="134"/>
      <scheme val="minor"/>
    </font>
    <font>
      <b/>
      <sz val="11"/>
      <name val="宋体"/>
      <charset val="134"/>
      <scheme val="minor"/>
    </font>
    <font>
      <b/>
      <sz val="11"/>
      <color rgb="FFFFFFFF"/>
      <name val="宋体"/>
      <charset val="134"/>
      <scheme val="minor"/>
    </font>
    <font>
      <sz val="14"/>
      <color rgb="FFFFFFFF"/>
      <name val="Calibri"/>
      <charset val="134"/>
    </font>
    <font>
      <sz val="11"/>
      <color rgb="FFFFFFFF"/>
      <name val="Calibri"/>
      <charset val="134"/>
    </font>
    <font>
      <sz val="11"/>
      <color theme="1"/>
      <name val="Calibri"/>
      <charset val="134"/>
    </font>
    <font>
      <b/>
      <sz val="16"/>
      <color rgb="FFFFFFFF"/>
      <name val="宋体"/>
      <charset val="134"/>
      <scheme val="minor"/>
    </font>
    <font>
      <b/>
      <sz val="12"/>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1F4E78"/>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C6C6C6"/>
      </left>
      <right style="thin">
        <color rgb="FFC6C6C6"/>
      </right>
      <top style="thin">
        <color rgb="FFC6C6C6"/>
      </top>
      <bottom style="thin">
        <color rgb="FFC6C6C6"/>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4" borderId="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5" applyNumberFormat="0" applyFill="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7" fillId="0" borderId="0" applyNumberFormat="0" applyFill="0" applyBorder="0" applyAlignment="0" applyProtection="0">
      <alignment vertical="center"/>
    </xf>
    <xf numFmtId="0" fontId="18" fillId="5" borderId="7" applyNumberFormat="0" applyAlignment="0" applyProtection="0">
      <alignment vertical="center"/>
    </xf>
    <xf numFmtId="0" fontId="19" fillId="6" borderId="8" applyNumberFormat="0" applyAlignment="0" applyProtection="0">
      <alignment vertical="center"/>
    </xf>
    <xf numFmtId="0" fontId="20" fillId="6" borderId="7" applyNumberFormat="0" applyAlignment="0" applyProtection="0">
      <alignment vertical="center"/>
    </xf>
    <xf numFmtId="0" fontId="21" fillId="7" borderId="9" applyNumberFormat="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45">
    <xf numFmtId="0" fontId="0" fillId="0" borderId="0" xfId="0"/>
    <xf numFmtId="0" fontId="1" fillId="2" borderId="0" xfId="0" applyFont="1" applyFill="1"/>
    <xf numFmtId="0" fontId="2" fillId="0" borderId="0" xfId="0" applyFont="1" applyAlignment="1">
      <alignment vertical="top" wrapText="1"/>
    </xf>
    <xf numFmtId="0" fontId="0" fillId="0" borderId="0" xfId="0" applyAlignment="1">
      <alignment vertical="top" wrapText="1"/>
    </xf>
    <xf numFmtId="176" fontId="0" fillId="0" borderId="0" xfId="0" applyNumberFormat="1" applyAlignment="1">
      <alignment vertical="top" wrapText="1"/>
    </xf>
    <xf numFmtId="10" fontId="0" fillId="0" borderId="0" xfId="0" applyNumberFormat="1" applyAlignment="1">
      <alignment vertical="top" wrapText="1"/>
    </xf>
    <xf numFmtId="0" fontId="3" fillId="2" borderId="0" xfId="0" applyFont="1" applyFill="1" applyAlignment="1">
      <alignment horizontal="center" vertical="center"/>
    </xf>
    <xf numFmtId="0" fontId="2" fillId="0" borderId="0" xfId="0" applyFont="1"/>
    <xf numFmtId="1" fontId="4" fillId="2" borderId="1" xfId="0" applyNumberFormat="1" applyFont="1" applyFill="1" applyBorder="1" applyAlignment="1">
      <alignment horizontal="left"/>
    </xf>
    <xf numFmtId="0" fontId="0" fillId="0" borderId="2" xfId="0" applyBorder="1"/>
    <xf numFmtId="0" fontId="0" fillId="0" borderId="3" xfId="0" applyBorder="1"/>
    <xf numFmtId="1" fontId="5" fillId="3" borderId="1" xfId="0" applyNumberFormat="1" applyFont="1" applyFill="1" applyBorder="1" applyAlignment="1">
      <alignment horizontal="center"/>
    </xf>
    <xf numFmtId="177" fontId="5" fillId="3" borderId="1" xfId="0" applyNumberFormat="1" applyFont="1" applyFill="1" applyBorder="1" applyAlignment="1">
      <alignment horizontal="center"/>
    </xf>
    <xf numFmtId="3" fontId="5" fillId="3" borderId="1" xfId="0" applyNumberFormat="1" applyFont="1" applyFill="1" applyBorder="1" applyAlignment="1">
      <alignment horizontal="center"/>
    </xf>
    <xf numFmtId="178" fontId="5" fillId="3" borderId="1" xfId="0" applyNumberFormat="1" applyFont="1" applyFill="1" applyBorder="1" applyAlignment="1">
      <alignment horizontal="center"/>
    </xf>
    <xf numFmtId="23" fontId="5" fillId="3" borderId="1" xfId="0" applyNumberFormat="1" applyFont="1" applyFill="1" applyBorder="1" applyAlignment="1">
      <alignment horizontal="center"/>
    </xf>
    <xf numFmtId="179" fontId="6" fillId="0" borderId="0" xfId="0" applyNumberFormat="1" applyAlignment="1">
      <alignment horizontal="right"/>
    </xf>
    <xf numFmtId="177" fontId="6" fillId="0" borderId="0" xfId="0" applyNumberFormat="1" applyAlignment="1">
      <alignment horizontal="right"/>
    </xf>
    <xf numFmtId="3" fontId="6" fillId="0" borderId="0" xfId="0" applyNumberFormat="1" applyAlignment="1">
      <alignment horizontal="right"/>
    </xf>
    <xf numFmtId="178" fontId="6" fillId="0" borderId="0" xfId="0" applyNumberFormat="1" applyAlignment="1">
      <alignment horizontal="right"/>
    </xf>
    <xf numFmtId="23" fontId="6" fillId="0" borderId="0" xfId="0" applyNumberFormat="1" applyAlignment="1">
      <alignment horizontal="right"/>
    </xf>
    <xf numFmtId="0" fontId="4" fillId="2" borderId="1" xfId="0" applyFont="1" applyFill="1" applyBorder="1" applyAlignment="1">
      <alignment horizontal="left"/>
    </xf>
    <xf numFmtId="0" fontId="5" fillId="3" borderId="1" xfId="0" applyFont="1" applyFill="1" applyBorder="1" applyAlignment="1">
      <alignment horizontal="center"/>
    </xf>
    <xf numFmtId="0" fontId="0" fillId="0" borderId="0" xfId="0" applyAlignment="1">
      <alignment wrapText="1"/>
    </xf>
    <xf numFmtId="0" fontId="6" fillId="0" borderId="0" xfId="0" applyAlignment="1">
      <alignment horizontal="left" wrapText="1"/>
    </xf>
    <xf numFmtId="180" fontId="5" fillId="3" borderId="1" xfId="0" applyNumberFormat="1" applyFont="1" applyFill="1" applyBorder="1" applyAlignment="1">
      <alignment horizontal="center"/>
    </xf>
    <xf numFmtId="0" fontId="0" fillId="0" borderId="0" xfId="0" applyAlignment="1"/>
    <xf numFmtId="180" fontId="6" fillId="0" borderId="0" xfId="0" applyNumberFormat="1" applyAlignment="1">
      <alignment horizontal="right"/>
    </xf>
    <xf numFmtId="3" fontId="0" fillId="0" borderId="0" xfId="0" applyNumberFormat="1" applyAlignment="1">
      <alignment wrapText="1"/>
    </xf>
    <xf numFmtId="4" fontId="6" fillId="0" borderId="0" xfId="0" applyNumberFormat="1" applyAlignment="1">
      <alignment horizontal="right"/>
    </xf>
    <xf numFmtId="0" fontId="7" fillId="2" borderId="0" xfId="0" applyFont="1" applyFill="1"/>
    <xf numFmtId="0" fontId="2" fillId="0" borderId="0" xfId="0" applyFont="1" applyAlignment="1">
      <alignment wrapText="1"/>
    </xf>
    <xf numFmtId="179" fontId="0" fillId="0" borderId="0" xfId="0" applyNumberFormat="1"/>
    <xf numFmtId="181" fontId="0" fillId="0" borderId="0" xfId="0" applyNumberFormat="1"/>
    <xf numFmtId="3" fontId="0" fillId="0" borderId="0" xfId="0" applyNumberFormat="1"/>
    <xf numFmtId="10" fontId="0" fillId="0" borderId="0" xfId="0" applyNumberFormat="1"/>
    <xf numFmtId="182" fontId="0" fillId="0" borderId="0" xfId="0" applyNumberFormat="1"/>
    <xf numFmtId="0" fontId="8" fillId="0" borderId="0" xfId="0" applyFont="1"/>
    <xf numFmtId="183" fontId="0" fillId="0" borderId="0" xfId="0" applyNumberFormat="1"/>
    <xf numFmtId="184" fontId="0" fillId="0" borderId="0" xfId="0" applyNumberFormat="1"/>
    <xf numFmtId="181" fontId="0" fillId="0" borderId="0" xfId="0" applyNumberFormat="1" applyAlignment="1">
      <alignment vertical="top" wrapText="1"/>
    </xf>
    <xf numFmtId="184" fontId="0" fillId="0" borderId="0" xfId="0" applyNumberFormat="1" applyAlignment="1">
      <alignment vertical="top" wrapText="1"/>
    </xf>
    <xf numFmtId="183" fontId="0" fillId="0" borderId="0" xfId="0" applyNumberFormat="1" applyAlignment="1">
      <alignment vertical="top" wrapText="1"/>
    </xf>
    <xf numFmtId="176" fontId="0" fillId="0" borderId="0" xfId="0" applyNumberFormat="1"/>
    <xf numFmtId="2"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4</xdr:row>
      <xdr:rowOff>0</xdr:rowOff>
    </xdr:from>
    <xdr:ext cx="6096000" cy="3048000"/>
    <xdr:pic>
      <xdr:nvPicPr>
        <xdr:cNvPr id="2" name="Image 1" descr="Picture"/>
        <xdr:cNvPicPr/>
      </xdr:nvPicPr>
      <xdr:blipFill>
        <a:blip r:embed="rId1" cstate="print"/>
        <a:stretch>
          <a:fillRect/>
        </a:stretch>
      </xdr:blipFill>
      <xdr:spPr>
        <a:xfrm>
          <a:off x="0" y="1904365"/>
          <a:ext cx="6096000" cy="3048000"/>
        </a:xfrm>
        <a:prstGeom prst="rect">
          <a:avLst/>
        </a:prstGeom>
      </xdr:spPr>
    </xdr:pic>
    <xdr:clientData/>
  </xdr:oneCellAnchor>
  <xdr:oneCellAnchor>
    <xdr:from>
      <xdr:col>9</xdr:col>
      <xdr:colOff>0</xdr:colOff>
      <xdr:row>4</xdr:row>
      <xdr:rowOff>0</xdr:rowOff>
    </xdr:from>
    <xdr:ext cx="6096000" cy="3048000"/>
    <xdr:pic>
      <xdr:nvPicPr>
        <xdr:cNvPr id="3" name="Image 2" descr="Picture"/>
        <xdr:cNvPicPr/>
      </xdr:nvPicPr>
      <xdr:blipFill>
        <a:blip r:embed="rId2" cstate="print"/>
        <a:stretch>
          <a:fillRect/>
        </a:stretch>
      </xdr:blipFill>
      <xdr:spPr>
        <a:xfrm>
          <a:off x="7315200" y="1904365"/>
          <a:ext cx="6096000" cy="3048000"/>
        </a:xfrm>
        <a:prstGeom prst="rect">
          <a:avLst/>
        </a:prstGeom>
      </xdr:spPr>
    </xdr:pic>
    <xdr:clientData/>
  </xdr:oneCellAnchor>
  <xdr:oneCellAnchor>
    <xdr:from>
      <xdr:col>0</xdr:col>
      <xdr:colOff>0</xdr:colOff>
      <xdr:row>34</xdr:row>
      <xdr:rowOff>0</xdr:rowOff>
    </xdr:from>
    <xdr:ext cx="6096000" cy="3048000"/>
    <xdr:pic>
      <xdr:nvPicPr>
        <xdr:cNvPr id="4" name="Image 3" descr="Picture"/>
        <xdr:cNvPicPr/>
      </xdr:nvPicPr>
      <xdr:blipFill>
        <a:blip r:embed="rId3" cstate="print"/>
        <a:stretch>
          <a:fillRect/>
        </a:stretch>
      </xdr:blipFill>
      <xdr:spPr>
        <a:xfrm>
          <a:off x="0" y="9953625"/>
          <a:ext cx="6096000" cy="3048000"/>
        </a:xfrm>
        <a:prstGeom prst="rect">
          <a:avLst/>
        </a:prstGeom>
      </xdr:spPr>
    </xdr:pic>
    <xdr:clientData/>
  </xdr:oneCellAnchor>
  <xdr:oneCellAnchor>
    <xdr:from>
      <xdr:col>9</xdr:col>
      <xdr:colOff>0</xdr:colOff>
      <xdr:row>34</xdr:row>
      <xdr:rowOff>0</xdr:rowOff>
    </xdr:from>
    <xdr:ext cx="6096000" cy="3048000"/>
    <xdr:pic>
      <xdr:nvPicPr>
        <xdr:cNvPr id="5" name="Image 4" descr="Picture"/>
        <xdr:cNvPicPr/>
      </xdr:nvPicPr>
      <xdr:blipFill>
        <a:blip r:embed="rId4" cstate="print"/>
        <a:stretch>
          <a:fillRect/>
        </a:stretch>
      </xdr:blipFill>
      <xdr:spPr>
        <a:xfrm>
          <a:off x="7315200" y="9953625"/>
          <a:ext cx="6096000" cy="3048000"/>
        </a:xfrm>
        <a:prstGeom prst="rect">
          <a:avLst/>
        </a:prstGeom>
      </xdr:spPr>
    </xdr:pic>
    <xdr:clientData/>
  </xdr:oneCellAnchor>
  <xdr:oneCellAnchor>
    <xdr:from>
      <xdr:col>0</xdr:col>
      <xdr:colOff>0</xdr:colOff>
      <xdr:row>64</xdr:row>
      <xdr:rowOff>0</xdr:rowOff>
    </xdr:from>
    <xdr:ext cx="6096000" cy="3048000"/>
    <xdr:pic>
      <xdr:nvPicPr>
        <xdr:cNvPr id="6" name="Image 5" descr="Picture"/>
        <xdr:cNvPicPr/>
      </xdr:nvPicPr>
      <xdr:blipFill>
        <a:blip r:embed="rId5" cstate="print"/>
        <a:stretch>
          <a:fillRect/>
        </a:stretch>
      </xdr:blipFill>
      <xdr:spPr>
        <a:xfrm>
          <a:off x="0" y="17778730"/>
          <a:ext cx="6096000" cy="3048000"/>
        </a:xfrm>
        <a:prstGeom prst="rect">
          <a:avLst/>
        </a:prstGeom>
      </xdr:spPr>
    </xdr:pic>
    <xdr:clientData/>
  </xdr:oneCellAnchor>
  <xdr:oneCellAnchor>
    <xdr:from>
      <xdr:col>9</xdr:col>
      <xdr:colOff>0</xdr:colOff>
      <xdr:row>64</xdr:row>
      <xdr:rowOff>0</xdr:rowOff>
    </xdr:from>
    <xdr:ext cx="6096000" cy="3048000"/>
    <xdr:pic>
      <xdr:nvPicPr>
        <xdr:cNvPr id="7" name="Image 6" descr="Picture"/>
        <xdr:cNvPicPr/>
      </xdr:nvPicPr>
      <xdr:blipFill>
        <a:blip r:embed="rId6" cstate="print"/>
        <a:stretch>
          <a:fillRect/>
        </a:stretch>
      </xdr:blipFill>
      <xdr:spPr>
        <a:xfrm>
          <a:off x="7315200" y="17778730"/>
          <a:ext cx="6096000" cy="3048000"/>
        </a:xfrm>
        <a:prstGeom prst="rect">
          <a:avLst/>
        </a:prstGeom>
      </xdr:spPr>
    </xdr:pic>
    <xdr:clientData/>
  </xdr:oneCellAnchor>
  <xdr:oneCellAnchor>
    <xdr:from>
      <xdr:col>0</xdr:col>
      <xdr:colOff>0</xdr:colOff>
      <xdr:row>94</xdr:row>
      <xdr:rowOff>0</xdr:rowOff>
    </xdr:from>
    <xdr:ext cx="6096000" cy="3048000"/>
    <xdr:pic>
      <xdr:nvPicPr>
        <xdr:cNvPr id="8" name="Image 7" descr="Picture"/>
        <xdr:cNvPicPr/>
      </xdr:nvPicPr>
      <xdr:blipFill>
        <a:blip r:embed="rId7" cstate="print"/>
        <a:stretch>
          <a:fillRect/>
        </a:stretch>
      </xdr:blipFill>
      <xdr:spPr>
        <a:xfrm>
          <a:off x="0" y="25380315"/>
          <a:ext cx="6096000" cy="3048000"/>
        </a:xfrm>
        <a:prstGeom prst="rect">
          <a:avLst/>
        </a:prstGeom>
      </xdr:spPr>
    </xdr:pic>
    <xdr:clientData/>
  </xdr:oneCellAnchor>
  <xdr:oneCellAnchor>
    <xdr:from>
      <xdr:col>9</xdr:col>
      <xdr:colOff>0</xdr:colOff>
      <xdr:row>94</xdr:row>
      <xdr:rowOff>0</xdr:rowOff>
    </xdr:from>
    <xdr:ext cx="6096000" cy="3048000"/>
    <xdr:pic>
      <xdr:nvPicPr>
        <xdr:cNvPr id="9" name="Image 8" descr="Picture"/>
        <xdr:cNvPicPr/>
      </xdr:nvPicPr>
      <xdr:blipFill>
        <a:blip r:embed="rId8" cstate="print"/>
        <a:stretch>
          <a:fillRect/>
        </a:stretch>
      </xdr:blipFill>
      <xdr:spPr>
        <a:xfrm>
          <a:off x="7315200" y="25380315"/>
          <a:ext cx="6096000" cy="30480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pane ySplit="1" topLeftCell="A2" activePane="bottomLeft" state="frozen"/>
      <selection/>
      <selection pane="bottomLeft" activeCell="A1" sqref="A1"/>
    </sheetView>
  </sheetViews>
  <sheetFormatPr defaultColWidth="9" defaultRowHeight="17.6" outlineLevelCol="1"/>
  <cols>
    <col min="1" max="1" width="32" customWidth="1"/>
    <col min="2" max="2" width="100" customWidth="1"/>
  </cols>
  <sheetData>
    <row r="1" ht="32" customHeight="1" spans="1:2">
      <c r="A1" s="6" t="s">
        <v>0</v>
      </c>
      <c r="B1" s="6" t="s">
        <v>1</v>
      </c>
    </row>
    <row r="2" ht="17.65" spans="1:2">
      <c r="A2" s="7" t="s">
        <v>2</v>
      </c>
      <c r="B2" s="3" t="s">
        <v>3</v>
      </c>
    </row>
    <row r="3" ht="17.65" spans="1:2">
      <c r="A3" s="7" t="s">
        <v>4</v>
      </c>
      <c r="B3" s="3" t="s">
        <v>5</v>
      </c>
    </row>
    <row r="4" ht="17.65" spans="1:2">
      <c r="A4" s="7" t="s">
        <v>6</v>
      </c>
      <c r="B4" s="3" t="s">
        <v>7</v>
      </c>
    </row>
    <row r="5" ht="17.65" spans="1:2">
      <c r="A5" s="7" t="s">
        <v>8</v>
      </c>
      <c r="B5" s="3" t="s">
        <v>9</v>
      </c>
    </row>
    <row r="6" ht="17.65" spans="1:2">
      <c r="A6" s="7" t="s">
        <v>10</v>
      </c>
      <c r="B6" s="3" t="s">
        <v>11</v>
      </c>
    </row>
    <row r="7" ht="17.65" spans="1:2">
      <c r="A7" s="7" t="s">
        <v>12</v>
      </c>
      <c r="B7" s="3" t="s">
        <v>13</v>
      </c>
    </row>
    <row r="8" ht="17.65" spans="1:2">
      <c r="A8" s="7" t="s">
        <v>14</v>
      </c>
      <c r="B8" s="3" t="s">
        <v>15</v>
      </c>
    </row>
    <row r="9" spans="1:2">
      <c r="A9" s="7" t="s">
        <v>16</v>
      </c>
      <c r="B9" s="3">
        <v>0</v>
      </c>
    </row>
    <row r="10" ht="17.65" spans="1:2">
      <c r="A10" s="7" t="s">
        <v>17</v>
      </c>
      <c r="B10" s="3" t="s">
        <v>18</v>
      </c>
    </row>
    <row r="11" ht="17.65" spans="1:2">
      <c r="A11" s="7" t="s">
        <v>19</v>
      </c>
      <c r="B11" s="3" t="s">
        <v>20</v>
      </c>
    </row>
    <row r="12" ht="17.65" spans="1:2">
      <c r="A12" s="7" t="s">
        <v>21</v>
      </c>
      <c r="B12" s="3" t="s">
        <v>22</v>
      </c>
    </row>
    <row r="13" ht="35.25" spans="1:2">
      <c r="A13" s="7" t="s">
        <v>23</v>
      </c>
      <c r="B13" s="3" t="s">
        <v>24</v>
      </c>
    </row>
  </sheetData>
  <autoFilter xmlns:etc="http://www.wps.cn/officeDocument/2017/etCustomData" ref="A1:B13"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3"/>
  <sheetViews>
    <sheetView workbookViewId="0">
      <pane ySplit="1" topLeftCell="A2" activePane="bottomLeft" state="frozen"/>
      <selection/>
      <selection pane="bottomLeft" activeCell="A1" sqref="A1"/>
    </sheetView>
  </sheetViews>
  <sheetFormatPr defaultColWidth="9" defaultRowHeight="17.6"/>
  <cols>
    <col min="1" max="1" width="13" customWidth="1"/>
    <col min="2" max="2" width="10" customWidth="1"/>
    <col min="3" max="3" width="28" customWidth="1"/>
    <col min="4" max="7" width="7" customWidth="1"/>
    <col min="8" max="9" width="14" customWidth="1"/>
    <col min="10" max="10" width="10" customWidth="1"/>
    <col min="11" max="11" width="4" customWidth="1"/>
  </cols>
  <sheetData>
    <row r="1" ht="32" customHeight="1" spans="1:11">
      <c r="A1" s="6" t="s">
        <v>25</v>
      </c>
      <c r="B1" s="6" t="s">
        <v>4</v>
      </c>
      <c r="C1" s="6" t="s">
        <v>26</v>
      </c>
      <c r="D1" s="6" t="s">
        <v>27</v>
      </c>
      <c r="E1" s="6" t="s">
        <v>28</v>
      </c>
      <c r="F1" s="6" t="s">
        <v>29</v>
      </c>
      <c r="G1" s="6" t="s">
        <v>30</v>
      </c>
      <c r="H1" s="6" t="s">
        <v>31</v>
      </c>
      <c r="I1" s="6" t="s">
        <v>32</v>
      </c>
      <c r="J1" s="6" t="s">
        <v>33</v>
      </c>
      <c r="K1" s="6" t="s">
        <v>34</v>
      </c>
    </row>
    <row r="2" spans="1:11">
      <c r="A2" s="32">
        <v>45839</v>
      </c>
      <c r="B2" t="s">
        <v>5</v>
      </c>
      <c r="C2" t="s">
        <v>35</v>
      </c>
      <c r="D2" s="43">
        <v>1.535</v>
      </c>
      <c r="E2" s="43">
        <v>1.535</v>
      </c>
      <c r="F2" s="43">
        <v>1.45</v>
      </c>
      <c r="G2" s="43">
        <v>1.48</v>
      </c>
      <c r="H2" s="34">
        <v>727</v>
      </c>
      <c r="I2" s="34">
        <v>161623972</v>
      </c>
      <c r="J2" s="44"/>
      <c r="K2" s="44"/>
    </row>
    <row r="3" spans="1:11">
      <c r="A3" s="32">
        <v>45840</v>
      </c>
      <c r="B3" t="s">
        <v>5</v>
      </c>
      <c r="C3" t="s">
        <v>35</v>
      </c>
      <c r="D3" s="43">
        <v>1.47</v>
      </c>
      <c r="E3" s="43">
        <v>1.63</v>
      </c>
      <c r="F3" s="43">
        <v>1.46</v>
      </c>
      <c r="G3" s="43">
        <v>1.63</v>
      </c>
      <c r="H3" s="34">
        <v>5059</v>
      </c>
      <c r="I3" s="34">
        <v>161623972</v>
      </c>
      <c r="J3" s="44"/>
      <c r="K3" s="44"/>
    </row>
    <row r="4" spans="1:11">
      <c r="A4" s="32">
        <v>45841</v>
      </c>
      <c r="B4" t="s">
        <v>5</v>
      </c>
      <c r="C4" t="s">
        <v>35</v>
      </c>
      <c r="D4" s="43">
        <v>1.625</v>
      </c>
      <c r="E4" s="43">
        <v>1.7</v>
      </c>
      <c r="F4" s="43">
        <v>1.625</v>
      </c>
      <c r="G4" s="43">
        <v>1.68</v>
      </c>
      <c r="H4" s="34">
        <v>72</v>
      </c>
      <c r="I4" s="34">
        <v>161623972</v>
      </c>
      <c r="J4" s="44"/>
      <c r="K4" s="44"/>
    </row>
    <row r="5" spans="1:11">
      <c r="A5" s="32">
        <v>45842</v>
      </c>
      <c r="B5" t="s">
        <v>5</v>
      </c>
      <c r="C5" t="s">
        <v>35</v>
      </c>
      <c r="D5" s="43">
        <v>1.7</v>
      </c>
      <c r="E5" s="43">
        <v>1.77</v>
      </c>
      <c r="F5" s="43">
        <v>1.7</v>
      </c>
      <c r="G5" s="43">
        <v>1.7</v>
      </c>
      <c r="H5" s="34">
        <v>8431</v>
      </c>
      <c r="I5" s="34">
        <v>161623972</v>
      </c>
      <c r="J5" s="44"/>
      <c r="K5" s="44"/>
    </row>
    <row r="6" spans="1:11">
      <c r="A6" s="32">
        <v>45845</v>
      </c>
      <c r="B6" t="s">
        <v>5</v>
      </c>
      <c r="C6" t="s">
        <v>35</v>
      </c>
      <c r="D6" s="43">
        <v>1.7</v>
      </c>
      <c r="E6" s="43">
        <v>1.77</v>
      </c>
      <c r="F6" s="43">
        <v>1.7</v>
      </c>
      <c r="G6" s="43">
        <v>1.765</v>
      </c>
      <c r="H6" s="34">
        <v>4914</v>
      </c>
      <c r="I6" s="34">
        <v>161623972</v>
      </c>
      <c r="J6" s="44"/>
      <c r="K6" s="44"/>
    </row>
    <row r="7" spans="1:11">
      <c r="A7" s="32">
        <v>45846</v>
      </c>
      <c r="B7" t="s">
        <v>5</v>
      </c>
      <c r="C7" t="s">
        <v>35</v>
      </c>
      <c r="D7" s="43">
        <v>0</v>
      </c>
      <c r="E7" s="43">
        <v>0</v>
      </c>
      <c r="F7" s="43">
        <v>0</v>
      </c>
      <c r="G7" s="43">
        <v>1.765</v>
      </c>
      <c r="H7" s="34">
        <v>0</v>
      </c>
      <c r="I7" s="34">
        <v>161623972</v>
      </c>
      <c r="J7" s="44"/>
      <c r="K7" s="44"/>
    </row>
    <row r="8" spans="1:11">
      <c r="A8" s="32">
        <v>45847</v>
      </c>
      <c r="B8" t="s">
        <v>5</v>
      </c>
      <c r="C8" t="s">
        <v>35</v>
      </c>
      <c r="D8" s="43">
        <v>0</v>
      </c>
      <c r="E8" s="43">
        <v>0</v>
      </c>
      <c r="F8" s="43">
        <v>0</v>
      </c>
      <c r="G8" s="43">
        <v>1.765</v>
      </c>
      <c r="H8" s="34">
        <v>0</v>
      </c>
      <c r="I8" s="34">
        <v>161623972</v>
      </c>
      <c r="J8" s="44"/>
      <c r="K8" s="44"/>
    </row>
    <row r="9" spans="1:11">
      <c r="A9" s="32">
        <v>45848</v>
      </c>
      <c r="B9" t="s">
        <v>5</v>
      </c>
      <c r="C9" t="s">
        <v>35</v>
      </c>
      <c r="D9" s="43">
        <v>0</v>
      </c>
      <c r="E9" s="43">
        <v>0</v>
      </c>
      <c r="F9" s="43">
        <v>0</v>
      </c>
      <c r="G9" s="43">
        <v>1.765</v>
      </c>
      <c r="H9" s="34">
        <v>0</v>
      </c>
      <c r="I9" s="34">
        <v>161623972</v>
      </c>
      <c r="J9" s="44"/>
      <c r="K9" s="44"/>
    </row>
    <row r="10" spans="1:11">
      <c r="A10" s="32">
        <v>45849</v>
      </c>
      <c r="B10" t="s">
        <v>5</v>
      </c>
      <c r="C10" t="s">
        <v>35</v>
      </c>
      <c r="D10" s="43">
        <v>0</v>
      </c>
      <c r="E10" s="43">
        <v>0</v>
      </c>
      <c r="F10" s="43">
        <v>0</v>
      </c>
      <c r="G10" s="43">
        <v>1.765</v>
      </c>
      <c r="H10" s="34">
        <v>0</v>
      </c>
      <c r="I10" s="34">
        <v>161623972</v>
      </c>
      <c r="J10" s="44"/>
      <c r="K10" s="44"/>
    </row>
    <row r="11" spans="1:11">
      <c r="A11" s="32">
        <v>45852</v>
      </c>
      <c r="B11" t="s">
        <v>5</v>
      </c>
      <c r="C11" t="s">
        <v>35</v>
      </c>
      <c r="D11" s="43">
        <v>1.75</v>
      </c>
      <c r="E11" s="43">
        <v>1.765</v>
      </c>
      <c r="F11" s="43">
        <v>1.73</v>
      </c>
      <c r="G11" s="43">
        <v>1.765</v>
      </c>
      <c r="H11" s="34">
        <v>1161</v>
      </c>
      <c r="I11" s="34">
        <v>161623972</v>
      </c>
      <c r="J11" s="44"/>
      <c r="K11" s="44"/>
    </row>
    <row r="12" spans="1:11">
      <c r="A12" s="32">
        <v>45853</v>
      </c>
      <c r="B12" t="s">
        <v>5</v>
      </c>
      <c r="C12" t="s">
        <v>35</v>
      </c>
      <c r="D12" s="43">
        <v>0</v>
      </c>
      <c r="E12" s="43">
        <v>0</v>
      </c>
      <c r="F12" s="43">
        <v>0</v>
      </c>
      <c r="G12" s="43">
        <v>1.765</v>
      </c>
      <c r="H12" s="34">
        <v>0</v>
      </c>
      <c r="I12" s="34">
        <v>161623972</v>
      </c>
      <c r="J12" s="44"/>
      <c r="K12" s="44"/>
    </row>
    <row r="13" spans="1:11">
      <c r="A13" s="32">
        <v>45854</v>
      </c>
      <c r="B13" t="s">
        <v>5</v>
      </c>
      <c r="C13" t="s">
        <v>35</v>
      </c>
      <c r="D13" s="43">
        <v>1.63</v>
      </c>
      <c r="E13" s="43">
        <v>1.63</v>
      </c>
      <c r="F13" s="43">
        <v>1.63</v>
      </c>
      <c r="G13" s="43">
        <v>1.63</v>
      </c>
      <c r="H13" s="34">
        <v>100</v>
      </c>
      <c r="I13" s="34">
        <v>161623972</v>
      </c>
      <c r="J13" s="44"/>
      <c r="K13" s="44"/>
    </row>
    <row r="14" spans="1:11">
      <c r="A14" s="32">
        <v>45855</v>
      </c>
      <c r="B14" t="s">
        <v>5</v>
      </c>
      <c r="C14" t="s">
        <v>35</v>
      </c>
      <c r="D14" s="43">
        <v>1.645</v>
      </c>
      <c r="E14" s="43">
        <v>1.645</v>
      </c>
      <c r="F14" s="43">
        <v>1.645</v>
      </c>
      <c r="G14" s="43">
        <v>1.645</v>
      </c>
      <c r="H14" s="34">
        <v>70</v>
      </c>
      <c r="I14" s="34">
        <v>161623972</v>
      </c>
      <c r="J14" s="44"/>
      <c r="K14" s="44"/>
    </row>
    <row r="15" spans="1:11">
      <c r="A15" s="32">
        <v>45856</v>
      </c>
      <c r="B15" t="s">
        <v>5</v>
      </c>
      <c r="C15" t="s">
        <v>35</v>
      </c>
      <c r="D15" s="43">
        <v>0</v>
      </c>
      <c r="E15" s="43">
        <v>0</v>
      </c>
      <c r="F15" s="43">
        <v>0</v>
      </c>
      <c r="G15" s="43">
        <v>1.645</v>
      </c>
      <c r="H15" s="34">
        <v>0</v>
      </c>
      <c r="I15" s="34">
        <v>161623972</v>
      </c>
      <c r="J15" s="44"/>
      <c r="K15" s="44"/>
    </row>
    <row r="16" spans="1:11">
      <c r="A16" s="32">
        <v>45859</v>
      </c>
      <c r="B16" t="s">
        <v>5</v>
      </c>
      <c r="C16" t="s">
        <v>35</v>
      </c>
      <c r="D16" s="43">
        <v>1.67</v>
      </c>
      <c r="E16" s="43">
        <v>1.67</v>
      </c>
      <c r="F16" s="43">
        <v>1.67</v>
      </c>
      <c r="G16" s="43">
        <v>1.67</v>
      </c>
      <c r="H16" s="34">
        <v>318</v>
      </c>
      <c r="I16" s="34">
        <v>161623972</v>
      </c>
      <c r="J16" s="44"/>
      <c r="K16" s="44"/>
    </row>
    <row r="17" spans="1:11">
      <c r="A17" s="32">
        <v>45860</v>
      </c>
      <c r="B17" t="s">
        <v>5</v>
      </c>
      <c r="C17" t="s">
        <v>35</v>
      </c>
      <c r="D17" s="43">
        <v>0</v>
      </c>
      <c r="E17" s="43">
        <v>0</v>
      </c>
      <c r="F17" s="43">
        <v>0</v>
      </c>
      <c r="G17" s="43">
        <v>1.67</v>
      </c>
      <c r="H17" s="34">
        <v>0</v>
      </c>
      <c r="I17" s="34">
        <v>161623972</v>
      </c>
      <c r="J17" s="44"/>
      <c r="K17" s="44"/>
    </row>
    <row r="18" spans="1:11">
      <c r="A18" s="32">
        <v>45861</v>
      </c>
      <c r="B18" t="s">
        <v>5</v>
      </c>
      <c r="C18" t="s">
        <v>35</v>
      </c>
      <c r="D18" s="43">
        <v>0</v>
      </c>
      <c r="E18" s="43">
        <v>0</v>
      </c>
      <c r="F18" s="43">
        <v>0</v>
      </c>
      <c r="G18" s="43">
        <v>1.67</v>
      </c>
      <c r="H18" s="34">
        <v>0</v>
      </c>
      <c r="I18" s="34">
        <v>161623972</v>
      </c>
      <c r="J18" s="44"/>
      <c r="K18" s="44"/>
    </row>
    <row r="19" spans="1:11">
      <c r="A19" s="32">
        <v>45862</v>
      </c>
      <c r="B19" t="s">
        <v>5</v>
      </c>
      <c r="C19" t="s">
        <v>35</v>
      </c>
      <c r="D19" s="43">
        <v>0</v>
      </c>
      <c r="E19" s="43">
        <v>0</v>
      </c>
      <c r="F19" s="43">
        <v>0</v>
      </c>
      <c r="G19" s="43">
        <v>1.67</v>
      </c>
      <c r="H19" s="34">
        <v>0</v>
      </c>
      <c r="I19" s="34">
        <v>161623972</v>
      </c>
      <c r="J19" s="44"/>
      <c r="K19" s="44"/>
    </row>
    <row r="20" spans="1:11">
      <c r="A20" s="32">
        <v>45863</v>
      </c>
      <c r="B20" t="s">
        <v>5</v>
      </c>
      <c r="C20" t="s">
        <v>35</v>
      </c>
      <c r="D20" s="43">
        <v>0</v>
      </c>
      <c r="E20" s="43">
        <v>0</v>
      </c>
      <c r="F20" s="43">
        <v>0</v>
      </c>
      <c r="G20" s="43">
        <v>1.67</v>
      </c>
      <c r="H20" s="34">
        <v>0</v>
      </c>
      <c r="I20" s="34">
        <v>161623972</v>
      </c>
      <c r="J20" s="44"/>
      <c r="K20" s="44"/>
    </row>
    <row r="21" spans="1:11">
      <c r="A21" s="32">
        <v>45866</v>
      </c>
      <c r="B21" t="s">
        <v>5</v>
      </c>
      <c r="C21" t="s">
        <v>35</v>
      </c>
      <c r="D21" s="43">
        <v>1.685</v>
      </c>
      <c r="E21" s="43">
        <v>1.685</v>
      </c>
      <c r="F21" s="43">
        <v>1.67</v>
      </c>
      <c r="G21" s="43">
        <v>1.67</v>
      </c>
      <c r="H21" s="34">
        <v>7</v>
      </c>
      <c r="I21" s="34">
        <v>161623972</v>
      </c>
      <c r="J21" s="44"/>
      <c r="K21" s="44"/>
    </row>
    <row r="22" spans="1:11">
      <c r="A22" s="32">
        <v>45867</v>
      </c>
      <c r="B22" t="s">
        <v>5</v>
      </c>
      <c r="C22" t="s">
        <v>35</v>
      </c>
      <c r="D22" s="43">
        <v>0</v>
      </c>
      <c r="E22" s="43">
        <v>0</v>
      </c>
      <c r="F22" s="43">
        <v>0</v>
      </c>
      <c r="G22" s="43">
        <v>1.67</v>
      </c>
      <c r="H22" s="34">
        <v>0</v>
      </c>
      <c r="I22" s="34">
        <v>161623972</v>
      </c>
      <c r="J22" s="44"/>
      <c r="K22" s="44"/>
    </row>
    <row r="23" spans="1:11">
      <c r="A23" s="32">
        <v>45868</v>
      </c>
      <c r="B23" t="s">
        <v>5</v>
      </c>
      <c r="C23" t="s">
        <v>35</v>
      </c>
      <c r="D23" s="43">
        <v>1.67</v>
      </c>
      <c r="E23" s="43">
        <v>1.67</v>
      </c>
      <c r="F23" s="43">
        <v>1.67</v>
      </c>
      <c r="G23" s="43">
        <v>1.67</v>
      </c>
      <c r="H23" s="34">
        <v>6</v>
      </c>
      <c r="I23" s="34">
        <v>161623972</v>
      </c>
      <c r="J23" s="44"/>
      <c r="K23" s="44"/>
    </row>
    <row r="24" spans="1:11">
      <c r="A24" s="32">
        <v>45869</v>
      </c>
      <c r="B24" t="s">
        <v>5</v>
      </c>
      <c r="C24" t="s">
        <v>35</v>
      </c>
      <c r="D24" s="43">
        <v>0</v>
      </c>
      <c r="E24" s="43">
        <v>0</v>
      </c>
      <c r="F24" s="43">
        <v>0</v>
      </c>
      <c r="G24" s="43">
        <v>1.67</v>
      </c>
      <c r="H24" s="34">
        <v>0</v>
      </c>
      <c r="I24" s="34">
        <v>161623972</v>
      </c>
      <c r="J24" s="44"/>
      <c r="K24" s="44"/>
    </row>
    <row r="25" spans="1:11">
      <c r="A25" s="32">
        <v>45870</v>
      </c>
      <c r="B25" t="s">
        <v>5</v>
      </c>
      <c r="C25" t="s">
        <v>35</v>
      </c>
      <c r="D25" s="43">
        <v>0</v>
      </c>
      <c r="E25" s="43">
        <v>0</v>
      </c>
      <c r="F25" s="43">
        <v>0</v>
      </c>
      <c r="G25" s="43">
        <v>1.67</v>
      </c>
      <c r="H25" s="34">
        <v>0</v>
      </c>
      <c r="I25" s="34">
        <v>161623972</v>
      </c>
      <c r="J25" s="44"/>
      <c r="K25" s="44"/>
    </row>
    <row r="26" spans="1:11">
      <c r="A26" s="32">
        <v>45873</v>
      </c>
      <c r="B26" t="s">
        <v>5</v>
      </c>
      <c r="C26" t="s">
        <v>35</v>
      </c>
      <c r="D26" s="43">
        <v>1.67</v>
      </c>
      <c r="E26" s="43">
        <v>1.67</v>
      </c>
      <c r="F26" s="43">
        <v>1.67</v>
      </c>
      <c r="G26" s="43">
        <v>1.67</v>
      </c>
      <c r="H26" s="34">
        <v>1</v>
      </c>
      <c r="I26" s="34">
        <v>161623972</v>
      </c>
      <c r="J26" s="44"/>
      <c r="K26" s="44"/>
    </row>
    <row r="27" spans="1:11">
      <c r="A27" s="32">
        <v>45874</v>
      </c>
      <c r="B27" t="s">
        <v>5</v>
      </c>
      <c r="C27" t="s">
        <v>35</v>
      </c>
      <c r="D27" s="43">
        <v>1.505</v>
      </c>
      <c r="E27" s="43">
        <v>1.505</v>
      </c>
      <c r="F27" s="43">
        <v>1.5</v>
      </c>
      <c r="G27" s="43">
        <v>1.5</v>
      </c>
      <c r="H27" s="34">
        <v>11926</v>
      </c>
      <c r="I27" s="34">
        <v>161623972</v>
      </c>
      <c r="J27" s="44"/>
      <c r="K27" s="44"/>
    </row>
    <row r="28" spans="1:11">
      <c r="A28" s="32">
        <v>45875</v>
      </c>
      <c r="B28" t="s">
        <v>5</v>
      </c>
      <c r="C28" t="s">
        <v>35</v>
      </c>
      <c r="D28" s="43">
        <v>1.51</v>
      </c>
      <c r="E28" s="43">
        <v>1.51</v>
      </c>
      <c r="F28" s="43">
        <v>1.51</v>
      </c>
      <c r="G28" s="43">
        <v>1.51</v>
      </c>
      <c r="H28" s="34">
        <v>502</v>
      </c>
      <c r="I28" s="34">
        <v>161623972</v>
      </c>
      <c r="J28" s="44"/>
      <c r="K28" s="44"/>
    </row>
    <row r="29" spans="1:11">
      <c r="A29" s="32">
        <v>45876</v>
      </c>
      <c r="B29" t="s">
        <v>5</v>
      </c>
      <c r="C29" t="s">
        <v>35</v>
      </c>
      <c r="D29" s="43">
        <v>0</v>
      </c>
      <c r="E29" s="43">
        <v>0</v>
      </c>
      <c r="F29" s="43">
        <v>0</v>
      </c>
      <c r="G29" s="43">
        <v>1.51</v>
      </c>
      <c r="H29" s="34">
        <v>0</v>
      </c>
      <c r="I29" s="34">
        <v>161623972</v>
      </c>
      <c r="J29" s="44"/>
      <c r="K29" s="44"/>
    </row>
    <row r="30" spans="1:11">
      <c r="A30" s="32">
        <v>45877</v>
      </c>
      <c r="B30" t="s">
        <v>5</v>
      </c>
      <c r="C30" t="s">
        <v>35</v>
      </c>
      <c r="D30" s="43">
        <v>1.51</v>
      </c>
      <c r="E30" s="43">
        <v>1.51</v>
      </c>
      <c r="F30" s="43">
        <v>1.5</v>
      </c>
      <c r="G30" s="43">
        <v>1.5</v>
      </c>
      <c r="H30" s="34">
        <v>4876</v>
      </c>
      <c r="I30" s="34">
        <v>161623972</v>
      </c>
      <c r="J30" s="44"/>
      <c r="K30" s="44"/>
    </row>
    <row r="31" spans="1:11">
      <c r="A31" s="32">
        <v>45880</v>
      </c>
      <c r="B31" t="s">
        <v>5</v>
      </c>
      <c r="C31" t="s">
        <v>35</v>
      </c>
      <c r="D31" s="43">
        <v>1.51</v>
      </c>
      <c r="E31" s="43">
        <v>1.51</v>
      </c>
      <c r="F31" s="43">
        <v>1.51</v>
      </c>
      <c r="G31" s="43">
        <v>1.51</v>
      </c>
      <c r="H31" s="34">
        <v>1</v>
      </c>
      <c r="I31" s="34">
        <v>161623972</v>
      </c>
      <c r="J31" s="44"/>
      <c r="K31" s="44"/>
    </row>
    <row r="32" spans="1:11">
      <c r="A32" s="32">
        <v>45881</v>
      </c>
      <c r="B32" t="s">
        <v>5</v>
      </c>
      <c r="C32" t="s">
        <v>35</v>
      </c>
      <c r="D32" s="43">
        <v>0</v>
      </c>
      <c r="E32" s="43">
        <v>0</v>
      </c>
      <c r="F32" s="43">
        <v>0</v>
      </c>
      <c r="G32" s="43">
        <v>1.51</v>
      </c>
      <c r="H32" s="34">
        <v>0</v>
      </c>
      <c r="I32" s="34">
        <v>161623972</v>
      </c>
      <c r="J32" s="44"/>
      <c r="K32" s="44"/>
    </row>
    <row r="33" spans="1:11">
      <c r="A33" s="32">
        <v>45882</v>
      </c>
      <c r="B33" t="s">
        <v>5</v>
      </c>
      <c r="C33" t="s">
        <v>35</v>
      </c>
      <c r="D33" s="43">
        <v>1.55</v>
      </c>
      <c r="E33" s="43">
        <v>1.55</v>
      </c>
      <c r="F33" s="43">
        <v>1.55</v>
      </c>
      <c r="G33" s="43">
        <v>1.55</v>
      </c>
      <c r="H33" s="34">
        <v>652</v>
      </c>
      <c r="I33" s="34">
        <v>161623972</v>
      </c>
      <c r="J33" s="44"/>
      <c r="K33" s="44"/>
    </row>
    <row r="34" spans="1:11">
      <c r="A34" s="32">
        <v>45883</v>
      </c>
      <c r="B34" t="s">
        <v>5</v>
      </c>
      <c r="C34" t="s">
        <v>35</v>
      </c>
      <c r="D34" s="43">
        <v>1.555</v>
      </c>
      <c r="E34" s="43">
        <v>1.555</v>
      </c>
      <c r="F34" s="43">
        <v>1.555</v>
      </c>
      <c r="G34" s="43">
        <v>1.555</v>
      </c>
      <c r="H34" s="34">
        <v>3935</v>
      </c>
      <c r="I34" s="34">
        <v>161623972</v>
      </c>
      <c r="J34" s="44"/>
      <c r="K34" s="44"/>
    </row>
    <row r="35" spans="1:11">
      <c r="A35" s="32">
        <v>45884</v>
      </c>
      <c r="B35" t="s">
        <v>5</v>
      </c>
      <c r="C35" t="s">
        <v>35</v>
      </c>
      <c r="D35" s="43">
        <v>1.575</v>
      </c>
      <c r="E35" s="43">
        <v>1.575</v>
      </c>
      <c r="F35" s="43">
        <v>1.575</v>
      </c>
      <c r="G35" s="43">
        <v>1.575</v>
      </c>
      <c r="H35" s="34">
        <v>2</v>
      </c>
      <c r="I35" s="34">
        <v>161623972</v>
      </c>
      <c r="J35" s="44"/>
      <c r="K35" s="44"/>
    </row>
    <row r="36" spans="1:11">
      <c r="A36" s="32">
        <v>45887</v>
      </c>
      <c r="B36" t="s">
        <v>5</v>
      </c>
      <c r="C36" t="s">
        <v>35</v>
      </c>
      <c r="D36" s="43">
        <v>0</v>
      </c>
      <c r="E36" s="43">
        <v>0</v>
      </c>
      <c r="F36" s="43">
        <v>0</v>
      </c>
      <c r="G36" s="43">
        <v>1.575</v>
      </c>
      <c r="H36" s="34">
        <v>0</v>
      </c>
      <c r="I36" s="34">
        <v>161615445</v>
      </c>
      <c r="J36" s="44"/>
      <c r="K36" s="44"/>
    </row>
    <row r="37" spans="1:11">
      <c r="A37" s="32">
        <v>45888</v>
      </c>
      <c r="B37" t="s">
        <v>5</v>
      </c>
      <c r="C37" t="s">
        <v>35</v>
      </c>
      <c r="D37" s="43">
        <v>0</v>
      </c>
      <c r="E37" s="43">
        <v>0</v>
      </c>
      <c r="F37" s="43">
        <v>0</v>
      </c>
      <c r="G37" s="43">
        <v>1.575</v>
      </c>
      <c r="H37" s="34">
        <v>0</v>
      </c>
      <c r="I37" s="34">
        <v>161615445</v>
      </c>
      <c r="J37" s="44"/>
      <c r="K37" s="44"/>
    </row>
    <row r="38" spans="1:11">
      <c r="A38" s="32">
        <v>45889</v>
      </c>
      <c r="B38" t="s">
        <v>5</v>
      </c>
      <c r="C38" t="s">
        <v>35</v>
      </c>
      <c r="D38" s="43">
        <v>0</v>
      </c>
      <c r="E38" s="43">
        <v>0</v>
      </c>
      <c r="F38" s="43">
        <v>0</v>
      </c>
      <c r="G38" s="43">
        <v>1.575</v>
      </c>
      <c r="H38" s="34">
        <v>0</v>
      </c>
      <c r="I38" s="34">
        <v>161615445</v>
      </c>
      <c r="J38" s="44"/>
      <c r="K38" s="44"/>
    </row>
    <row r="39" spans="1:11">
      <c r="A39" s="32">
        <v>45890</v>
      </c>
      <c r="B39" t="s">
        <v>5</v>
      </c>
      <c r="C39" t="s">
        <v>35</v>
      </c>
      <c r="D39" s="43">
        <v>0</v>
      </c>
      <c r="E39" s="43">
        <v>0</v>
      </c>
      <c r="F39" s="43">
        <v>0</v>
      </c>
      <c r="G39" s="43">
        <v>1.575</v>
      </c>
      <c r="H39" s="34">
        <v>0</v>
      </c>
      <c r="I39" s="34">
        <v>161615445</v>
      </c>
      <c r="J39" s="44"/>
      <c r="K39" s="44"/>
    </row>
    <row r="40" spans="1:11">
      <c r="A40" s="32">
        <v>45891</v>
      </c>
      <c r="B40" t="s">
        <v>5</v>
      </c>
      <c r="C40" t="s">
        <v>35</v>
      </c>
      <c r="D40" s="43">
        <v>1.615</v>
      </c>
      <c r="E40" s="43">
        <v>1.615</v>
      </c>
      <c r="F40" s="43">
        <v>1.615</v>
      </c>
      <c r="G40" s="43">
        <v>1.615</v>
      </c>
      <c r="H40" s="34">
        <v>6</v>
      </c>
      <c r="I40" s="34">
        <v>161615445</v>
      </c>
      <c r="J40" s="44"/>
      <c r="K40" s="44"/>
    </row>
    <row r="41" spans="1:11">
      <c r="A41" s="32">
        <v>45894</v>
      </c>
      <c r="B41" t="s">
        <v>5</v>
      </c>
      <c r="C41" t="s">
        <v>35</v>
      </c>
      <c r="D41" s="43">
        <v>0</v>
      </c>
      <c r="E41" s="43">
        <v>0</v>
      </c>
      <c r="F41" s="43">
        <v>0</v>
      </c>
      <c r="G41" s="43">
        <v>1.615</v>
      </c>
      <c r="H41" s="34">
        <v>0</v>
      </c>
      <c r="I41" s="34">
        <v>161615445</v>
      </c>
      <c r="J41" s="44"/>
      <c r="K41" s="44"/>
    </row>
    <row r="42" spans="1:11">
      <c r="A42" s="32">
        <v>45895</v>
      </c>
      <c r="B42" t="s">
        <v>5</v>
      </c>
      <c r="C42" t="s">
        <v>35</v>
      </c>
      <c r="D42" s="43">
        <v>0</v>
      </c>
      <c r="E42" s="43">
        <v>0</v>
      </c>
      <c r="F42" s="43">
        <v>0</v>
      </c>
      <c r="G42" s="43">
        <v>1.615</v>
      </c>
      <c r="H42" s="34">
        <v>0</v>
      </c>
      <c r="I42" s="34">
        <v>161615445</v>
      </c>
      <c r="J42" s="44"/>
      <c r="K42" s="44"/>
    </row>
    <row r="43" spans="1:11">
      <c r="A43" s="32">
        <v>45896</v>
      </c>
      <c r="B43" t="s">
        <v>5</v>
      </c>
      <c r="C43" t="s">
        <v>35</v>
      </c>
      <c r="D43" s="43">
        <v>0</v>
      </c>
      <c r="E43" s="43">
        <v>0</v>
      </c>
      <c r="F43" s="43">
        <v>0</v>
      </c>
      <c r="G43" s="43">
        <v>1.615</v>
      </c>
      <c r="H43" s="34">
        <v>0</v>
      </c>
      <c r="I43" s="34">
        <v>161615445</v>
      </c>
      <c r="J43" s="44"/>
      <c r="K43" s="44"/>
    </row>
    <row r="44" spans="1:11">
      <c r="A44" s="32">
        <v>45897</v>
      </c>
      <c r="B44" t="s">
        <v>5</v>
      </c>
      <c r="C44" t="s">
        <v>35</v>
      </c>
      <c r="D44" s="43">
        <v>0</v>
      </c>
      <c r="E44" s="43">
        <v>0</v>
      </c>
      <c r="F44" s="43">
        <v>0</v>
      </c>
      <c r="G44" s="43">
        <v>1.615</v>
      </c>
      <c r="H44" s="34">
        <v>0</v>
      </c>
      <c r="I44" s="34">
        <v>161615445</v>
      </c>
      <c r="J44" s="44"/>
      <c r="K44" s="44"/>
    </row>
    <row r="45" spans="1:11">
      <c r="A45" s="32">
        <v>45898</v>
      </c>
      <c r="B45" t="s">
        <v>5</v>
      </c>
      <c r="C45" t="s">
        <v>35</v>
      </c>
      <c r="D45" s="43">
        <v>1.615</v>
      </c>
      <c r="E45" s="43">
        <v>1.615</v>
      </c>
      <c r="F45" s="43">
        <v>1.575</v>
      </c>
      <c r="G45" s="43">
        <v>1.575</v>
      </c>
      <c r="H45" s="34">
        <v>2226</v>
      </c>
      <c r="I45" s="34">
        <v>161615445</v>
      </c>
      <c r="J45" s="44"/>
      <c r="K45" s="44"/>
    </row>
    <row r="46" spans="1:11">
      <c r="A46" s="32">
        <v>45901</v>
      </c>
      <c r="B46" t="s">
        <v>5</v>
      </c>
      <c r="C46" t="s">
        <v>35</v>
      </c>
      <c r="D46" s="43">
        <v>0</v>
      </c>
      <c r="E46" s="43">
        <v>0</v>
      </c>
      <c r="F46" s="43">
        <v>0</v>
      </c>
      <c r="G46" s="43">
        <v>1.575</v>
      </c>
      <c r="H46" s="34">
        <v>0</v>
      </c>
      <c r="I46" s="34">
        <v>161615445</v>
      </c>
      <c r="J46" s="44"/>
      <c r="K46" s="44"/>
    </row>
    <row r="47" spans="1:11">
      <c r="A47" s="32">
        <v>45902</v>
      </c>
      <c r="B47" t="s">
        <v>5</v>
      </c>
      <c r="C47" t="s">
        <v>35</v>
      </c>
      <c r="D47" s="43">
        <v>0</v>
      </c>
      <c r="E47" s="43">
        <v>0</v>
      </c>
      <c r="F47" s="43">
        <v>0</v>
      </c>
      <c r="G47" s="43">
        <v>1.575</v>
      </c>
      <c r="H47" s="34">
        <v>0</v>
      </c>
      <c r="I47" s="34">
        <v>161615445</v>
      </c>
      <c r="J47" s="44"/>
      <c r="K47" s="44"/>
    </row>
    <row r="48" spans="1:11">
      <c r="A48" s="32">
        <v>45903</v>
      </c>
      <c r="B48" t="s">
        <v>5</v>
      </c>
      <c r="C48" t="s">
        <v>35</v>
      </c>
      <c r="D48" s="43">
        <v>0</v>
      </c>
      <c r="E48" s="43">
        <v>0</v>
      </c>
      <c r="F48" s="43">
        <v>0</v>
      </c>
      <c r="G48" s="43">
        <v>1.575</v>
      </c>
      <c r="H48" s="34">
        <v>0</v>
      </c>
      <c r="I48" s="34">
        <v>161615445</v>
      </c>
      <c r="J48" s="44"/>
      <c r="K48" s="44"/>
    </row>
    <row r="49" spans="1:11">
      <c r="A49" s="32">
        <v>45904</v>
      </c>
      <c r="B49" t="s">
        <v>5</v>
      </c>
      <c r="C49" t="s">
        <v>35</v>
      </c>
      <c r="D49" s="43">
        <v>0</v>
      </c>
      <c r="E49" s="43">
        <v>0</v>
      </c>
      <c r="F49" s="43">
        <v>0</v>
      </c>
      <c r="G49" s="43">
        <v>1.575</v>
      </c>
      <c r="H49" s="34">
        <v>0</v>
      </c>
      <c r="I49" s="34">
        <v>161615445</v>
      </c>
      <c r="J49" s="44"/>
      <c r="K49" s="44"/>
    </row>
    <row r="50" spans="1:11">
      <c r="A50" s="32">
        <v>45905</v>
      </c>
      <c r="B50" t="s">
        <v>5</v>
      </c>
      <c r="C50" t="s">
        <v>35</v>
      </c>
      <c r="D50" s="43">
        <v>0</v>
      </c>
      <c r="E50" s="43">
        <v>0</v>
      </c>
      <c r="F50" s="43">
        <v>0</v>
      </c>
      <c r="G50" s="43">
        <v>1.575</v>
      </c>
      <c r="H50" s="34">
        <v>0</v>
      </c>
      <c r="I50" s="34">
        <v>161615445</v>
      </c>
      <c r="J50" s="44"/>
      <c r="K50" s="44"/>
    </row>
    <row r="51" spans="1:11">
      <c r="A51" s="32">
        <v>45908</v>
      </c>
      <c r="B51" t="s">
        <v>5</v>
      </c>
      <c r="C51" t="s">
        <v>35</v>
      </c>
      <c r="D51" s="43">
        <v>0</v>
      </c>
      <c r="E51" s="43">
        <v>0</v>
      </c>
      <c r="F51" s="43">
        <v>0</v>
      </c>
      <c r="G51" s="43">
        <v>1.575</v>
      </c>
      <c r="H51" s="34">
        <v>0</v>
      </c>
      <c r="I51" s="34">
        <v>161615445</v>
      </c>
      <c r="J51" s="44"/>
      <c r="K51" s="44"/>
    </row>
    <row r="52" spans="1:11">
      <c r="A52" s="32">
        <v>45909</v>
      </c>
      <c r="B52" t="s">
        <v>5</v>
      </c>
      <c r="C52" t="s">
        <v>35</v>
      </c>
      <c r="D52" s="43">
        <v>0</v>
      </c>
      <c r="E52" s="43">
        <v>0</v>
      </c>
      <c r="F52" s="43">
        <v>0</v>
      </c>
      <c r="G52" s="43">
        <v>1.575</v>
      </c>
      <c r="H52" s="34">
        <v>0</v>
      </c>
      <c r="I52" s="34">
        <v>161615445</v>
      </c>
      <c r="J52" s="44"/>
      <c r="K52" s="44"/>
    </row>
    <row r="53" spans="1:11">
      <c r="A53" s="32">
        <v>45910</v>
      </c>
      <c r="B53" t="s">
        <v>5</v>
      </c>
      <c r="C53" t="s">
        <v>35</v>
      </c>
      <c r="D53" s="43">
        <v>1.58</v>
      </c>
      <c r="E53" s="43">
        <v>1.58</v>
      </c>
      <c r="F53" s="43">
        <v>1.58</v>
      </c>
      <c r="G53" s="43">
        <v>1.58</v>
      </c>
      <c r="H53" s="34">
        <v>34</v>
      </c>
      <c r="I53" s="34">
        <v>161615445</v>
      </c>
      <c r="J53" s="44"/>
      <c r="K53" s="44"/>
    </row>
    <row r="54" spans="1:11">
      <c r="A54" s="32">
        <v>45911</v>
      </c>
      <c r="B54" t="s">
        <v>5</v>
      </c>
      <c r="C54" t="s">
        <v>35</v>
      </c>
      <c r="D54" s="43">
        <v>1.58</v>
      </c>
      <c r="E54" s="43">
        <v>1.58</v>
      </c>
      <c r="F54" s="43">
        <v>1.58</v>
      </c>
      <c r="G54" s="43">
        <v>1.58</v>
      </c>
      <c r="H54" s="34">
        <v>32</v>
      </c>
      <c r="I54" s="34">
        <v>161615445</v>
      </c>
      <c r="J54" s="44"/>
      <c r="K54" s="44"/>
    </row>
    <row r="55" spans="1:11">
      <c r="A55" s="32">
        <v>45912</v>
      </c>
      <c r="B55" t="s">
        <v>5</v>
      </c>
      <c r="C55" t="s">
        <v>35</v>
      </c>
      <c r="D55" s="43">
        <v>0</v>
      </c>
      <c r="E55" s="43">
        <v>0</v>
      </c>
      <c r="F55" s="43">
        <v>0</v>
      </c>
      <c r="G55" s="43">
        <v>1.58</v>
      </c>
      <c r="H55" s="34">
        <v>0</v>
      </c>
      <c r="I55" s="34">
        <v>161615445</v>
      </c>
      <c r="J55" s="44"/>
      <c r="K55" s="44"/>
    </row>
    <row r="56" spans="1:11">
      <c r="A56" s="32">
        <v>45915</v>
      </c>
      <c r="B56" t="s">
        <v>5</v>
      </c>
      <c r="C56" t="s">
        <v>35</v>
      </c>
      <c r="D56" s="43">
        <v>0</v>
      </c>
      <c r="E56" s="43">
        <v>0</v>
      </c>
      <c r="F56" s="43">
        <v>0</v>
      </c>
      <c r="G56" s="43">
        <v>1.58</v>
      </c>
      <c r="H56" s="34">
        <v>0</v>
      </c>
      <c r="I56" s="34">
        <v>161615445</v>
      </c>
      <c r="J56" s="44"/>
      <c r="K56" s="44"/>
    </row>
    <row r="57" spans="1:11">
      <c r="A57" s="32">
        <v>45916</v>
      </c>
      <c r="B57" t="s">
        <v>5</v>
      </c>
      <c r="C57" t="s">
        <v>35</v>
      </c>
      <c r="D57" s="43">
        <v>0</v>
      </c>
      <c r="E57" s="43">
        <v>0</v>
      </c>
      <c r="F57" s="43">
        <v>0</v>
      </c>
      <c r="G57" s="43">
        <v>1.58</v>
      </c>
      <c r="H57" s="34">
        <v>0</v>
      </c>
      <c r="I57" s="34">
        <v>161615445</v>
      </c>
      <c r="J57" s="44"/>
      <c r="K57" s="44"/>
    </row>
    <row r="58" spans="1:11">
      <c r="A58" s="32">
        <v>45917</v>
      </c>
      <c r="B58" t="s">
        <v>5</v>
      </c>
      <c r="C58" t="s">
        <v>35</v>
      </c>
      <c r="D58" s="43">
        <v>0</v>
      </c>
      <c r="E58" s="43">
        <v>0</v>
      </c>
      <c r="F58" s="43">
        <v>0</v>
      </c>
      <c r="G58" s="43">
        <v>1.58</v>
      </c>
      <c r="H58" s="34">
        <v>0</v>
      </c>
      <c r="I58" s="34">
        <v>161615445</v>
      </c>
      <c r="J58" s="44"/>
      <c r="K58" s="44"/>
    </row>
    <row r="59" spans="1:11">
      <c r="A59" s="32">
        <v>45918</v>
      </c>
      <c r="B59" t="s">
        <v>5</v>
      </c>
      <c r="C59" t="s">
        <v>35</v>
      </c>
      <c r="D59" s="43">
        <v>0</v>
      </c>
      <c r="E59" s="43">
        <v>0</v>
      </c>
      <c r="F59" s="43">
        <v>0</v>
      </c>
      <c r="G59" s="43">
        <v>1.58</v>
      </c>
      <c r="H59" s="34">
        <v>0</v>
      </c>
      <c r="I59" s="34">
        <v>161615445</v>
      </c>
      <c r="J59" s="44"/>
      <c r="K59" s="44"/>
    </row>
    <row r="60" spans="1:11">
      <c r="A60" s="32">
        <v>45919</v>
      </c>
      <c r="B60" t="s">
        <v>5</v>
      </c>
      <c r="C60" t="s">
        <v>35</v>
      </c>
      <c r="D60" s="43">
        <v>0</v>
      </c>
      <c r="E60" s="43">
        <v>0</v>
      </c>
      <c r="F60" s="43">
        <v>0</v>
      </c>
      <c r="G60" s="43">
        <v>1.58</v>
      </c>
      <c r="H60" s="34">
        <v>0</v>
      </c>
      <c r="I60" s="34">
        <v>161615445</v>
      </c>
      <c r="J60" s="44"/>
      <c r="K60" s="44"/>
    </row>
    <row r="61" spans="1:11">
      <c r="A61" s="32">
        <v>45922</v>
      </c>
      <c r="B61" t="s">
        <v>5</v>
      </c>
      <c r="C61" t="s">
        <v>35</v>
      </c>
      <c r="D61" s="43">
        <v>0</v>
      </c>
      <c r="E61" s="43">
        <v>0</v>
      </c>
      <c r="F61" s="43">
        <v>0</v>
      </c>
      <c r="G61" s="43">
        <v>1.58</v>
      </c>
      <c r="H61" s="34">
        <v>0</v>
      </c>
      <c r="I61" s="34">
        <v>161615445</v>
      </c>
      <c r="J61" s="44"/>
      <c r="K61" s="44"/>
    </row>
    <row r="62" spans="1:11">
      <c r="A62" s="32">
        <v>45923</v>
      </c>
      <c r="B62" t="s">
        <v>5</v>
      </c>
      <c r="C62" t="s">
        <v>35</v>
      </c>
      <c r="D62" s="43">
        <v>0</v>
      </c>
      <c r="E62" s="43">
        <v>0</v>
      </c>
      <c r="F62" s="43">
        <v>0</v>
      </c>
      <c r="G62" s="43">
        <v>1.58</v>
      </c>
      <c r="H62" s="34">
        <v>0</v>
      </c>
      <c r="I62" s="34">
        <v>161615445</v>
      </c>
      <c r="J62" s="44"/>
      <c r="K62" s="44"/>
    </row>
    <row r="63" spans="1:11">
      <c r="A63" s="32">
        <v>45924</v>
      </c>
      <c r="B63" t="s">
        <v>5</v>
      </c>
      <c r="C63" t="s">
        <v>35</v>
      </c>
      <c r="D63" s="43">
        <v>0</v>
      </c>
      <c r="E63" s="43">
        <v>0</v>
      </c>
      <c r="F63" s="43">
        <v>0</v>
      </c>
      <c r="G63" s="43">
        <v>1.58</v>
      </c>
      <c r="H63" s="34">
        <v>0</v>
      </c>
      <c r="I63" s="34">
        <v>161615445</v>
      </c>
      <c r="J63" s="44"/>
      <c r="K63" s="44"/>
    </row>
    <row r="64" spans="1:11">
      <c r="A64" s="32">
        <v>45925</v>
      </c>
      <c r="B64" t="s">
        <v>5</v>
      </c>
      <c r="C64" t="s">
        <v>35</v>
      </c>
      <c r="D64" s="43">
        <v>1.625</v>
      </c>
      <c r="E64" s="43">
        <v>1.625</v>
      </c>
      <c r="F64" s="43">
        <v>1.525</v>
      </c>
      <c r="G64" s="43">
        <v>1.525</v>
      </c>
      <c r="H64" s="34">
        <v>980</v>
      </c>
      <c r="I64" s="34">
        <v>161615445</v>
      </c>
      <c r="J64" s="44"/>
      <c r="K64" s="44"/>
    </row>
    <row r="65" spans="1:11">
      <c r="A65" s="32">
        <v>45926</v>
      </c>
      <c r="B65" t="s">
        <v>5</v>
      </c>
      <c r="C65" t="s">
        <v>35</v>
      </c>
      <c r="D65" s="43">
        <v>0</v>
      </c>
      <c r="E65" s="43">
        <v>0</v>
      </c>
      <c r="F65" s="43">
        <v>0</v>
      </c>
      <c r="G65" s="43">
        <v>1.525</v>
      </c>
      <c r="H65" s="34">
        <v>0</v>
      </c>
      <c r="I65" s="34">
        <v>161615445</v>
      </c>
      <c r="J65" s="44"/>
      <c r="K65" s="44"/>
    </row>
    <row r="66" spans="1:11">
      <c r="A66" s="32">
        <v>45929</v>
      </c>
      <c r="B66" t="s">
        <v>5</v>
      </c>
      <c r="C66" t="s">
        <v>35</v>
      </c>
      <c r="D66" s="43">
        <v>0</v>
      </c>
      <c r="E66" s="43">
        <v>0</v>
      </c>
      <c r="F66" s="43">
        <v>0</v>
      </c>
      <c r="G66" s="43">
        <v>1.525</v>
      </c>
      <c r="H66" s="34">
        <v>0</v>
      </c>
      <c r="I66" s="34">
        <v>161615445</v>
      </c>
      <c r="J66" s="44"/>
      <c r="K66" s="44"/>
    </row>
    <row r="67" spans="1:11">
      <c r="A67" s="32">
        <v>45930</v>
      </c>
      <c r="B67" t="s">
        <v>5</v>
      </c>
      <c r="C67" t="s">
        <v>35</v>
      </c>
      <c r="D67" s="43">
        <v>0</v>
      </c>
      <c r="E67" s="43">
        <v>0</v>
      </c>
      <c r="F67" s="43">
        <v>0</v>
      </c>
      <c r="G67" s="43">
        <v>1.525</v>
      </c>
      <c r="H67" s="34">
        <v>0</v>
      </c>
      <c r="I67" s="34">
        <v>161615445</v>
      </c>
      <c r="J67" s="44"/>
      <c r="K67" s="44"/>
    </row>
    <row r="68" spans="1:11">
      <c r="A68" s="32">
        <v>45931</v>
      </c>
      <c r="B68" t="s">
        <v>5</v>
      </c>
      <c r="C68" t="s">
        <v>35</v>
      </c>
      <c r="D68" s="43">
        <v>0</v>
      </c>
      <c r="E68" s="43">
        <v>0</v>
      </c>
      <c r="F68" s="43">
        <v>0</v>
      </c>
      <c r="G68" s="43">
        <v>1.525</v>
      </c>
      <c r="H68" s="34">
        <v>0</v>
      </c>
      <c r="I68" s="34">
        <v>161615445</v>
      </c>
      <c r="J68" s="44"/>
      <c r="K68" s="44"/>
    </row>
    <row r="69" spans="1:11">
      <c r="A69" s="32">
        <v>45932</v>
      </c>
      <c r="B69" t="s">
        <v>5</v>
      </c>
      <c r="C69" t="s">
        <v>35</v>
      </c>
      <c r="D69" s="43">
        <v>0</v>
      </c>
      <c r="E69" s="43">
        <v>0</v>
      </c>
      <c r="F69" s="43">
        <v>0</v>
      </c>
      <c r="G69" s="43">
        <v>1.525</v>
      </c>
      <c r="H69" s="34">
        <v>0</v>
      </c>
      <c r="I69" s="34">
        <v>161615445</v>
      </c>
      <c r="J69" s="44"/>
      <c r="K69" s="44"/>
    </row>
    <row r="70" spans="1:11">
      <c r="A70" s="32">
        <v>45933</v>
      </c>
      <c r="B70" t="s">
        <v>5</v>
      </c>
      <c r="C70" t="s">
        <v>35</v>
      </c>
      <c r="D70" s="43">
        <v>1.6</v>
      </c>
      <c r="E70" s="43">
        <v>1.6</v>
      </c>
      <c r="F70" s="43">
        <v>1.6</v>
      </c>
      <c r="G70" s="43">
        <v>1.6</v>
      </c>
      <c r="H70" s="34">
        <v>8</v>
      </c>
      <c r="I70" s="34">
        <v>161615445</v>
      </c>
      <c r="J70" s="44"/>
      <c r="K70" s="44"/>
    </row>
    <row r="71" spans="1:11">
      <c r="A71" s="32">
        <v>45936</v>
      </c>
      <c r="B71" t="s">
        <v>5</v>
      </c>
      <c r="C71" t="s">
        <v>35</v>
      </c>
      <c r="D71" s="43">
        <v>1.6</v>
      </c>
      <c r="E71" s="43">
        <v>1.6</v>
      </c>
      <c r="F71" s="43">
        <v>1.6</v>
      </c>
      <c r="G71" s="43">
        <v>1.6</v>
      </c>
      <c r="H71" s="34">
        <v>350</v>
      </c>
      <c r="I71" s="34">
        <v>161615445</v>
      </c>
      <c r="J71" s="44"/>
      <c r="K71" s="44"/>
    </row>
    <row r="72" spans="1:11">
      <c r="A72" s="32">
        <v>45937</v>
      </c>
      <c r="B72" t="s">
        <v>5</v>
      </c>
      <c r="C72" t="s">
        <v>35</v>
      </c>
      <c r="D72" s="43">
        <v>0</v>
      </c>
      <c r="E72" s="43">
        <v>0</v>
      </c>
      <c r="F72" s="43">
        <v>0</v>
      </c>
      <c r="G72" s="43">
        <v>1.6</v>
      </c>
      <c r="H72" s="34">
        <v>0</v>
      </c>
      <c r="I72" s="34">
        <v>161615445</v>
      </c>
      <c r="J72" s="44"/>
      <c r="K72" s="44"/>
    </row>
    <row r="73" spans="1:11">
      <c r="A73" s="32">
        <v>45938</v>
      </c>
      <c r="B73" t="s">
        <v>5</v>
      </c>
      <c r="C73" t="s">
        <v>35</v>
      </c>
      <c r="D73" s="43">
        <v>0</v>
      </c>
      <c r="E73" s="43">
        <v>0</v>
      </c>
      <c r="F73" s="43">
        <v>0</v>
      </c>
      <c r="G73" s="43">
        <v>1.6</v>
      </c>
      <c r="H73" s="34">
        <v>0</v>
      </c>
      <c r="I73" s="34">
        <v>161615445</v>
      </c>
      <c r="J73" s="44"/>
      <c r="K73" s="44"/>
    </row>
    <row r="74" spans="1:11">
      <c r="A74" s="32">
        <v>45939</v>
      </c>
      <c r="B74" t="s">
        <v>5</v>
      </c>
      <c r="C74" t="s">
        <v>35</v>
      </c>
      <c r="D74" s="43">
        <v>0</v>
      </c>
      <c r="E74" s="43">
        <v>0</v>
      </c>
      <c r="F74" s="43">
        <v>0</v>
      </c>
      <c r="G74" s="43">
        <v>1.6</v>
      </c>
      <c r="H74" s="34">
        <v>0</v>
      </c>
      <c r="I74" s="34">
        <v>161615445</v>
      </c>
      <c r="J74" s="44"/>
      <c r="K74" s="44"/>
    </row>
    <row r="75" spans="1:11">
      <c r="A75" s="32">
        <v>45940</v>
      </c>
      <c r="B75" t="s">
        <v>5</v>
      </c>
      <c r="C75" t="s">
        <v>35</v>
      </c>
      <c r="D75" s="43">
        <v>0</v>
      </c>
      <c r="E75" s="43">
        <v>0</v>
      </c>
      <c r="F75" s="43">
        <v>0</v>
      </c>
      <c r="G75" s="43">
        <v>1.6</v>
      </c>
      <c r="H75" s="34">
        <v>0</v>
      </c>
      <c r="I75" s="34">
        <v>161615445</v>
      </c>
      <c r="J75" s="44"/>
      <c r="K75" s="44"/>
    </row>
    <row r="76" spans="1:11">
      <c r="A76" s="32">
        <v>45943</v>
      </c>
      <c r="B76" t="s">
        <v>5</v>
      </c>
      <c r="C76" t="s">
        <v>35</v>
      </c>
      <c r="D76" s="43">
        <v>2.185</v>
      </c>
      <c r="E76" s="43">
        <v>2.19</v>
      </c>
      <c r="F76" s="43">
        <v>2.18</v>
      </c>
      <c r="G76" s="43">
        <v>2.18</v>
      </c>
      <c r="H76" s="34">
        <v>23082</v>
      </c>
      <c r="I76" s="34">
        <v>161615445</v>
      </c>
      <c r="J76" s="44"/>
      <c r="K76" s="44"/>
    </row>
    <row r="77" spans="1:11">
      <c r="A77" s="32">
        <v>45944</v>
      </c>
      <c r="B77" t="s">
        <v>5</v>
      </c>
      <c r="C77" t="s">
        <v>35</v>
      </c>
      <c r="D77" s="43">
        <v>2.18</v>
      </c>
      <c r="E77" s="43">
        <v>2.19</v>
      </c>
      <c r="F77" s="43">
        <v>2.18</v>
      </c>
      <c r="G77" s="43">
        <v>2.18</v>
      </c>
      <c r="H77" s="34">
        <v>2881</v>
      </c>
      <c r="I77" s="34">
        <v>161615445</v>
      </c>
      <c r="J77" s="44"/>
      <c r="K77" s="44"/>
    </row>
    <row r="78" spans="1:11">
      <c r="A78" s="32">
        <v>45945</v>
      </c>
      <c r="B78" t="s">
        <v>5</v>
      </c>
      <c r="C78" t="s">
        <v>35</v>
      </c>
      <c r="D78" s="43">
        <v>2.19</v>
      </c>
      <c r="E78" s="43">
        <v>2.19</v>
      </c>
      <c r="F78" s="43">
        <v>2.19</v>
      </c>
      <c r="G78" s="43">
        <v>2.19</v>
      </c>
      <c r="H78" s="34">
        <v>8</v>
      </c>
      <c r="I78" s="34">
        <v>161615445</v>
      </c>
      <c r="J78" s="44"/>
      <c r="K78" s="44"/>
    </row>
    <row r="79" spans="1:11">
      <c r="A79" s="32">
        <v>45946</v>
      </c>
      <c r="B79" t="s">
        <v>5</v>
      </c>
      <c r="C79" t="s">
        <v>35</v>
      </c>
      <c r="D79" s="43">
        <v>0</v>
      </c>
      <c r="E79" s="43">
        <v>0</v>
      </c>
      <c r="F79" s="43">
        <v>0</v>
      </c>
      <c r="G79" s="43">
        <v>2.19</v>
      </c>
      <c r="H79" s="34">
        <v>0</v>
      </c>
      <c r="I79" s="34">
        <v>161615445</v>
      </c>
      <c r="J79" s="44"/>
      <c r="K79" s="44"/>
    </row>
    <row r="80" spans="1:11">
      <c r="A80" s="32">
        <v>45947</v>
      </c>
      <c r="B80" t="s">
        <v>5</v>
      </c>
      <c r="C80" t="s">
        <v>35</v>
      </c>
      <c r="D80" s="43">
        <v>2.19</v>
      </c>
      <c r="E80" s="43">
        <v>2.19</v>
      </c>
      <c r="F80" s="43">
        <v>2.18</v>
      </c>
      <c r="G80" s="43">
        <v>2.18</v>
      </c>
      <c r="H80" s="34">
        <v>17</v>
      </c>
      <c r="I80" s="34">
        <v>161615445</v>
      </c>
      <c r="J80" s="44"/>
      <c r="K80" s="44"/>
    </row>
    <row r="81" spans="1:11">
      <c r="A81" s="32">
        <v>45950</v>
      </c>
      <c r="B81" t="s">
        <v>5</v>
      </c>
      <c r="C81" t="s">
        <v>35</v>
      </c>
      <c r="D81" s="43">
        <v>2.19</v>
      </c>
      <c r="E81" s="43">
        <v>2.19</v>
      </c>
      <c r="F81" s="43">
        <v>2.18</v>
      </c>
      <c r="G81" s="43">
        <v>2.18</v>
      </c>
      <c r="H81" s="34">
        <v>2</v>
      </c>
      <c r="I81" s="34">
        <v>161615445</v>
      </c>
      <c r="J81" s="44"/>
      <c r="K81" s="44"/>
    </row>
    <row r="82" spans="1:11">
      <c r="A82" s="32">
        <v>45951</v>
      </c>
      <c r="B82" t="s">
        <v>5</v>
      </c>
      <c r="C82" t="s">
        <v>35</v>
      </c>
      <c r="D82" s="43">
        <v>2.18</v>
      </c>
      <c r="E82" s="43">
        <v>2.18</v>
      </c>
      <c r="F82" s="43">
        <v>2.18</v>
      </c>
      <c r="G82" s="43">
        <v>2.18</v>
      </c>
      <c r="H82" s="34">
        <v>37</v>
      </c>
      <c r="I82" s="34">
        <v>161615445</v>
      </c>
      <c r="J82" s="44"/>
      <c r="K82" s="44"/>
    </row>
    <row r="83" spans="1:11">
      <c r="A83" s="32">
        <v>45952</v>
      </c>
      <c r="B83" t="s">
        <v>5</v>
      </c>
      <c r="C83" t="s">
        <v>35</v>
      </c>
      <c r="D83" s="43">
        <v>2.19</v>
      </c>
      <c r="E83" s="43">
        <v>2.19</v>
      </c>
      <c r="F83" s="43">
        <v>2.19</v>
      </c>
      <c r="G83" s="43">
        <v>2.19</v>
      </c>
      <c r="H83" s="34">
        <v>5</v>
      </c>
      <c r="I83" s="34">
        <v>161615445</v>
      </c>
      <c r="J83" s="44"/>
      <c r="K83" s="44"/>
    </row>
    <row r="84" spans="1:11">
      <c r="A84" s="32">
        <v>45953</v>
      </c>
      <c r="B84" t="s">
        <v>5</v>
      </c>
      <c r="C84" t="s">
        <v>35</v>
      </c>
      <c r="D84" s="43">
        <v>0</v>
      </c>
      <c r="E84" s="43">
        <v>0</v>
      </c>
      <c r="F84" s="43">
        <v>0</v>
      </c>
      <c r="G84" s="43">
        <v>2.19</v>
      </c>
      <c r="H84" s="34">
        <v>0</v>
      </c>
      <c r="I84" s="34">
        <v>161615445</v>
      </c>
      <c r="J84" s="44"/>
      <c r="K84" s="44"/>
    </row>
    <row r="85" spans="1:11">
      <c r="A85" s="32">
        <v>45954</v>
      </c>
      <c r="B85" t="s">
        <v>5</v>
      </c>
      <c r="C85" t="s">
        <v>35</v>
      </c>
      <c r="D85" s="43">
        <v>2.19</v>
      </c>
      <c r="E85" s="43">
        <v>2.19</v>
      </c>
      <c r="F85" s="43">
        <v>2.18</v>
      </c>
      <c r="G85" s="43">
        <v>2.18</v>
      </c>
      <c r="H85" s="34">
        <v>5</v>
      </c>
      <c r="I85" s="34">
        <v>161615445</v>
      </c>
      <c r="J85" s="44"/>
      <c r="K85" s="44"/>
    </row>
    <row r="86" spans="1:11">
      <c r="A86" s="32">
        <v>45957</v>
      </c>
      <c r="B86" t="s">
        <v>5</v>
      </c>
      <c r="C86" t="s">
        <v>35</v>
      </c>
      <c r="D86" s="43">
        <v>2.19</v>
      </c>
      <c r="E86" s="43">
        <v>2.19</v>
      </c>
      <c r="F86" s="43">
        <v>2.18</v>
      </c>
      <c r="G86" s="43">
        <v>2.18</v>
      </c>
      <c r="H86" s="34">
        <v>2</v>
      </c>
      <c r="I86" s="34">
        <v>161615445</v>
      </c>
      <c r="J86" s="44"/>
      <c r="K86" s="44"/>
    </row>
    <row r="87" spans="1:11">
      <c r="A87" s="32">
        <v>45958</v>
      </c>
      <c r="B87" t="s">
        <v>5</v>
      </c>
      <c r="C87" t="s">
        <v>35</v>
      </c>
      <c r="D87" s="43">
        <v>2.19</v>
      </c>
      <c r="E87" s="43">
        <v>2.19</v>
      </c>
      <c r="F87" s="43">
        <v>2.18</v>
      </c>
      <c r="G87" s="43">
        <v>2.18</v>
      </c>
      <c r="H87" s="34">
        <v>920</v>
      </c>
      <c r="I87" s="34">
        <v>161615445</v>
      </c>
      <c r="J87" s="44"/>
      <c r="K87" s="44"/>
    </row>
    <row r="88" spans="1:11">
      <c r="A88" s="32">
        <v>45959</v>
      </c>
      <c r="B88" t="s">
        <v>5</v>
      </c>
      <c r="C88" t="s">
        <v>35</v>
      </c>
      <c r="D88" s="43">
        <v>2.18</v>
      </c>
      <c r="E88" s="43">
        <v>2.18</v>
      </c>
      <c r="F88" s="43">
        <v>2.18</v>
      </c>
      <c r="G88" s="43">
        <v>2.18</v>
      </c>
      <c r="H88" s="34">
        <v>56</v>
      </c>
      <c r="I88" s="34">
        <v>161615445</v>
      </c>
      <c r="J88" s="44"/>
      <c r="K88" s="44"/>
    </row>
    <row r="89" spans="1:11">
      <c r="A89" s="32">
        <v>45960</v>
      </c>
      <c r="B89" t="s">
        <v>5</v>
      </c>
      <c r="C89" t="s">
        <v>35</v>
      </c>
      <c r="D89" s="43">
        <v>2.19</v>
      </c>
      <c r="E89" s="43">
        <v>2.19</v>
      </c>
      <c r="F89" s="43">
        <v>2.19</v>
      </c>
      <c r="G89" s="43">
        <v>2.19</v>
      </c>
      <c r="H89" s="34">
        <v>2396</v>
      </c>
      <c r="I89" s="34">
        <v>161615445</v>
      </c>
      <c r="J89" s="44"/>
      <c r="K89" s="44"/>
    </row>
    <row r="90" spans="1:11">
      <c r="A90" s="32">
        <v>45961</v>
      </c>
      <c r="B90" t="s">
        <v>5</v>
      </c>
      <c r="C90" t="s">
        <v>35</v>
      </c>
      <c r="D90" s="43">
        <v>2.18</v>
      </c>
      <c r="E90" s="43">
        <v>2.18</v>
      </c>
      <c r="F90" s="43">
        <v>2.18</v>
      </c>
      <c r="G90" s="43">
        <v>2.18</v>
      </c>
      <c r="H90" s="34">
        <v>745</v>
      </c>
      <c r="I90" s="34">
        <v>161615445</v>
      </c>
      <c r="J90" s="44"/>
      <c r="K90" s="44"/>
    </row>
    <row r="91" spans="1:11">
      <c r="A91" s="32">
        <v>45964</v>
      </c>
      <c r="B91" t="s">
        <v>5</v>
      </c>
      <c r="C91" t="s">
        <v>35</v>
      </c>
      <c r="D91" s="43">
        <v>0</v>
      </c>
      <c r="E91" s="43">
        <v>0</v>
      </c>
      <c r="F91" s="43">
        <v>0</v>
      </c>
      <c r="G91" s="43">
        <v>2.18</v>
      </c>
      <c r="H91" s="34">
        <v>0</v>
      </c>
      <c r="I91" s="34">
        <v>161615445</v>
      </c>
      <c r="J91" s="44"/>
      <c r="K91" s="44"/>
    </row>
    <row r="92" spans="1:11">
      <c r="A92" s="32">
        <v>45965</v>
      </c>
      <c r="B92" t="s">
        <v>5</v>
      </c>
      <c r="C92" t="s">
        <v>35</v>
      </c>
      <c r="D92" s="43">
        <v>0</v>
      </c>
      <c r="E92" s="43">
        <v>0</v>
      </c>
      <c r="F92" s="43">
        <v>0</v>
      </c>
      <c r="G92" s="43">
        <v>2.18</v>
      </c>
      <c r="H92" s="34">
        <v>0</v>
      </c>
      <c r="I92" s="34">
        <v>161615445</v>
      </c>
      <c r="J92" s="44"/>
      <c r="K92" s="44"/>
    </row>
    <row r="93" spans="1:11">
      <c r="A93" s="32">
        <v>45966</v>
      </c>
      <c r="B93" t="s">
        <v>5</v>
      </c>
      <c r="C93" t="s">
        <v>35</v>
      </c>
      <c r="D93" s="43">
        <v>0</v>
      </c>
      <c r="E93" s="43">
        <v>0</v>
      </c>
      <c r="F93" s="43">
        <v>0</v>
      </c>
      <c r="G93" s="43">
        <v>2.18</v>
      </c>
      <c r="H93" s="34">
        <v>0</v>
      </c>
      <c r="I93" s="34">
        <v>161615445</v>
      </c>
      <c r="J93" s="44"/>
      <c r="K93" s="44"/>
    </row>
  </sheetData>
  <autoFilter xmlns:etc="http://www.wps.cn/officeDocument/2017/etCustomData" ref="A1:K93"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93"/>
  <sheetViews>
    <sheetView workbookViewId="0">
      <pane ySplit="1" topLeftCell="A2" activePane="bottomLeft" state="frozen"/>
      <selection/>
      <selection pane="bottomLeft" activeCell="A1" sqref="A1"/>
    </sheetView>
  </sheetViews>
  <sheetFormatPr defaultColWidth="9" defaultRowHeight="17.6"/>
  <cols>
    <col min="1" max="1" width="13" customWidth="1"/>
    <col min="2" max="2" width="10" customWidth="1"/>
    <col min="3" max="3" width="28" customWidth="1"/>
    <col min="4" max="5" width="15" customWidth="1"/>
    <col min="6" max="6" width="14" customWidth="1"/>
    <col min="7" max="7" width="7" customWidth="1"/>
    <col min="8" max="9" width="14" customWidth="1"/>
    <col min="10" max="10" width="10" customWidth="1"/>
    <col min="11" max="11" width="4" customWidth="1"/>
    <col min="12" max="14" width="7" customWidth="1"/>
    <col min="15" max="15" width="18" customWidth="1"/>
    <col min="16" max="16" width="21" customWidth="1"/>
    <col min="17" max="17" width="28" customWidth="1"/>
    <col min="18" max="18" width="16" customWidth="1"/>
    <col min="19" max="19" width="24" customWidth="1"/>
    <col min="20" max="21" width="23" customWidth="1"/>
    <col min="22" max="22" width="16" customWidth="1"/>
    <col min="23" max="24" width="22" customWidth="1"/>
  </cols>
  <sheetData>
    <row r="1" ht="32" customHeight="1" spans="1:24">
      <c r="A1" s="6" t="s">
        <v>25</v>
      </c>
      <c r="B1" s="6" t="s">
        <v>4</v>
      </c>
      <c r="C1" s="6" t="s">
        <v>26</v>
      </c>
      <c r="D1" s="6" t="s">
        <v>36</v>
      </c>
      <c r="E1" s="6" t="s">
        <v>37</v>
      </c>
      <c r="F1" s="6" t="s">
        <v>38</v>
      </c>
      <c r="G1" s="6" t="s">
        <v>30</v>
      </c>
      <c r="H1" s="6" t="s">
        <v>31</v>
      </c>
      <c r="I1" s="6" t="s">
        <v>32</v>
      </c>
      <c r="J1" s="6" t="s">
        <v>33</v>
      </c>
      <c r="K1" s="6" t="s">
        <v>34</v>
      </c>
      <c r="L1" s="6" t="s">
        <v>27</v>
      </c>
      <c r="M1" s="6" t="s">
        <v>28</v>
      </c>
      <c r="N1" s="6" t="s">
        <v>29</v>
      </c>
      <c r="O1" s="6" t="s">
        <v>39</v>
      </c>
      <c r="P1" s="6" t="s">
        <v>40</v>
      </c>
      <c r="Q1" s="6" t="s">
        <v>41</v>
      </c>
      <c r="R1" s="6" t="s">
        <v>42</v>
      </c>
      <c r="S1" s="6" t="s">
        <v>43</v>
      </c>
      <c r="T1" s="6" t="s">
        <v>44</v>
      </c>
      <c r="U1" s="6" t="s">
        <v>45</v>
      </c>
      <c r="V1" s="6" t="s">
        <v>46</v>
      </c>
      <c r="W1" s="6" t="s">
        <v>47</v>
      </c>
      <c r="X1" s="6" t="s">
        <v>48</v>
      </c>
    </row>
    <row r="2" spans="1:24">
      <c r="A2" s="32">
        <v>45839</v>
      </c>
      <c r="B2" t="s">
        <v>5</v>
      </c>
      <c r="C2" t="s">
        <v>35</v>
      </c>
      <c r="D2" s="43">
        <v>1.535</v>
      </c>
      <c r="E2" s="43">
        <v>1.535</v>
      </c>
      <c r="F2" s="43">
        <v>1.45</v>
      </c>
      <c r="G2" s="43">
        <v>1.48</v>
      </c>
      <c r="H2" s="43">
        <v>727</v>
      </c>
      <c r="I2" s="34">
        <v>161623972</v>
      </c>
      <c r="J2" s="34"/>
      <c r="K2" s="44"/>
      <c r="L2" s="43">
        <v>1.535</v>
      </c>
      <c r="M2" s="43">
        <v>1.535</v>
      </c>
      <c r="N2" s="43">
        <v>1.45</v>
      </c>
      <c r="O2" t="s">
        <v>49</v>
      </c>
      <c r="P2" t="s">
        <v>49</v>
      </c>
      <c r="Q2" t="s">
        <v>50</v>
      </c>
      <c r="R2" s="43"/>
      <c r="S2" s="35"/>
      <c r="T2" s="43"/>
      <c r="U2" s="36">
        <v>239203478.56</v>
      </c>
      <c r="V2" s="35"/>
      <c r="W2" s="43">
        <v>1.48</v>
      </c>
      <c r="X2" s="35">
        <v>0</v>
      </c>
    </row>
    <row r="3" spans="1:24">
      <c r="A3" s="32">
        <v>45840</v>
      </c>
      <c r="B3" t="s">
        <v>5</v>
      </c>
      <c r="C3" t="s">
        <v>35</v>
      </c>
      <c r="D3" s="43">
        <v>1.47</v>
      </c>
      <c r="E3" s="43">
        <v>1.63</v>
      </c>
      <c r="F3" s="43">
        <v>1.46</v>
      </c>
      <c r="G3" s="43">
        <v>1.63</v>
      </c>
      <c r="H3" s="43">
        <v>5059</v>
      </c>
      <c r="I3" s="34">
        <v>161623972</v>
      </c>
      <c r="J3" s="34"/>
      <c r="K3" s="44"/>
      <c r="L3" s="43">
        <v>1.47</v>
      </c>
      <c r="M3" s="43">
        <v>1.63</v>
      </c>
      <c r="N3" s="43">
        <v>1.46</v>
      </c>
      <c r="O3" t="s">
        <v>49</v>
      </c>
      <c r="P3" t="s">
        <v>49</v>
      </c>
      <c r="Q3" t="s">
        <v>50</v>
      </c>
      <c r="R3" s="43">
        <v>1.48</v>
      </c>
      <c r="S3" s="35">
        <v>0.101351351351351</v>
      </c>
      <c r="T3" s="43">
        <v>0.15</v>
      </c>
      <c r="U3" s="36">
        <v>263447074.36</v>
      </c>
      <c r="V3" s="35"/>
      <c r="W3" s="43">
        <v>1.555</v>
      </c>
      <c r="X3" s="35">
        <v>0.101351351351351</v>
      </c>
    </row>
    <row r="4" spans="1:24">
      <c r="A4" s="32">
        <v>45841</v>
      </c>
      <c r="B4" t="s">
        <v>5</v>
      </c>
      <c r="C4" t="s">
        <v>35</v>
      </c>
      <c r="D4" s="43">
        <v>1.625</v>
      </c>
      <c r="E4" s="43">
        <v>1.7</v>
      </c>
      <c r="F4" s="43">
        <v>1.625</v>
      </c>
      <c r="G4" s="43">
        <v>1.68</v>
      </c>
      <c r="H4" s="43">
        <v>72</v>
      </c>
      <c r="I4" s="34">
        <v>161623972</v>
      </c>
      <c r="J4" s="34"/>
      <c r="K4" s="44"/>
      <c r="L4" s="43">
        <v>1.625</v>
      </c>
      <c r="M4" s="43">
        <v>1.7</v>
      </c>
      <c r="N4" s="43">
        <v>1.625</v>
      </c>
      <c r="O4" t="s">
        <v>49</v>
      </c>
      <c r="P4" t="s">
        <v>49</v>
      </c>
      <c r="Q4" t="s">
        <v>50</v>
      </c>
      <c r="R4" s="43">
        <v>1.63</v>
      </c>
      <c r="S4" s="35">
        <v>0.0306748466257669</v>
      </c>
      <c r="T4" s="43">
        <v>0.05</v>
      </c>
      <c r="U4" s="36">
        <v>271528272.96</v>
      </c>
      <c r="V4" s="35"/>
      <c r="W4" s="43">
        <v>1.59666666666667</v>
      </c>
      <c r="X4" s="35">
        <v>0.135135135135135</v>
      </c>
    </row>
    <row r="5" spans="1:24">
      <c r="A5" s="32">
        <v>45842</v>
      </c>
      <c r="B5" t="s">
        <v>5</v>
      </c>
      <c r="C5" t="s">
        <v>35</v>
      </c>
      <c r="D5" s="43">
        <v>1.7</v>
      </c>
      <c r="E5" s="43">
        <v>1.77</v>
      </c>
      <c r="F5" s="43">
        <v>1.7</v>
      </c>
      <c r="G5" s="43">
        <v>1.7</v>
      </c>
      <c r="H5" s="43">
        <v>8431</v>
      </c>
      <c r="I5" s="34">
        <v>161623972</v>
      </c>
      <c r="J5" s="34"/>
      <c r="K5" s="44"/>
      <c r="L5" s="43">
        <v>1.7</v>
      </c>
      <c r="M5" s="43">
        <v>1.77</v>
      </c>
      <c r="N5" s="43">
        <v>1.7</v>
      </c>
      <c r="O5" t="s">
        <v>49</v>
      </c>
      <c r="P5" t="s">
        <v>49</v>
      </c>
      <c r="Q5" t="s">
        <v>50</v>
      </c>
      <c r="R5" s="43">
        <v>1.68</v>
      </c>
      <c r="S5" s="35">
        <v>0.0119047619047619</v>
      </c>
      <c r="T5" s="43">
        <v>0.02</v>
      </c>
      <c r="U5" s="36">
        <v>274760752.4</v>
      </c>
      <c r="V5" s="35"/>
      <c r="W5" s="43">
        <v>1.6225</v>
      </c>
      <c r="X5" s="35">
        <v>0.148648648648649</v>
      </c>
    </row>
    <row r="6" spans="1:24">
      <c r="A6" s="32">
        <v>45845</v>
      </c>
      <c r="B6" t="s">
        <v>5</v>
      </c>
      <c r="C6" t="s">
        <v>35</v>
      </c>
      <c r="D6" s="43">
        <v>1.7</v>
      </c>
      <c r="E6" s="43">
        <v>1.77</v>
      </c>
      <c r="F6" s="43">
        <v>1.7</v>
      </c>
      <c r="G6" s="43">
        <v>1.765</v>
      </c>
      <c r="H6" s="43">
        <v>4914</v>
      </c>
      <c r="I6" s="34">
        <v>161623972</v>
      </c>
      <c r="J6" s="34"/>
      <c r="K6" s="44"/>
      <c r="L6" s="43">
        <v>1.7</v>
      </c>
      <c r="M6" s="43">
        <v>1.77</v>
      </c>
      <c r="N6" s="43">
        <v>1.7</v>
      </c>
      <c r="O6" t="s">
        <v>49</v>
      </c>
      <c r="P6" t="s">
        <v>49</v>
      </c>
      <c r="Q6" t="s">
        <v>50</v>
      </c>
      <c r="R6" s="43">
        <v>1.7</v>
      </c>
      <c r="S6" s="35">
        <v>0.0382352941176469</v>
      </c>
      <c r="T6" s="43">
        <v>0.0649999999999999</v>
      </c>
      <c r="U6" s="36">
        <v>285266310.58</v>
      </c>
      <c r="V6" s="35"/>
      <c r="W6" s="43">
        <v>1.651</v>
      </c>
      <c r="X6" s="35">
        <v>0.192567567567567</v>
      </c>
    </row>
    <row r="7" spans="1:24">
      <c r="A7" s="32">
        <v>45846</v>
      </c>
      <c r="B7" t="s">
        <v>5</v>
      </c>
      <c r="C7" t="s">
        <v>35</v>
      </c>
      <c r="D7" s="43">
        <v>0</v>
      </c>
      <c r="E7" s="43">
        <v>0</v>
      </c>
      <c r="F7" s="43">
        <v>0</v>
      </c>
      <c r="G7" s="43">
        <v>1.765</v>
      </c>
      <c r="H7" s="43">
        <v>0</v>
      </c>
      <c r="I7" s="34">
        <v>161623972</v>
      </c>
      <c r="J7" s="34"/>
      <c r="K7" s="44"/>
      <c r="L7" s="43">
        <v>1.765</v>
      </c>
      <c r="M7" s="43">
        <v>1.765</v>
      </c>
      <c r="N7" s="43">
        <v>1.765</v>
      </c>
      <c r="O7" t="s">
        <v>51</v>
      </c>
      <c r="P7" t="s">
        <v>51</v>
      </c>
      <c r="Q7" t="s">
        <v>50</v>
      </c>
      <c r="R7" s="43">
        <v>1.765</v>
      </c>
      <c r="S7" s="35">
        <v>0</v>
      </c>
      <c r="T7" s="43">
        <v>0</v>
      </c>
      <c r="U7" s="36">
        <v>285266310.58</v>
      </c>
      <c r="V7" s="35"/>
      <c r="W7" s="43">
        <v>1.708</v>
      </c>
      <c r="X7" s="35">
        <v>0.192567567567567</v>
      </c>
    </row>
    <row r="8" spans="1:24">
      <c r="A8" s="32">
        <v>45847</v>
      </c>
      <c r="B8" t="s">
        <v>5</v>
      </c>
      <c r="C8" t="s">
        <v>35</v>
      </c>
      <c r="D8" s="43">
        <v>0</v>
      </c>
      <c r="E8" s="43">
        <v>0</v>
      </c>
      <c r="F8" s="43">
        <v>0</v>
      </c>
      <c r="G8" s="43">
        <v>1.765</v>
      </c>
      <c r="H8" s="43">
        <v>0</v>
      </c>
      <c r="I8" s="34">
        <v>161623972</v>
      </c>
      <c r="J8" s="34"/>
      <c r="K8" s="44"/>
      <c r="L8" s="43">
        <v>1.765</v>
      </c>
      <c r="M8" s="43">
        <v>1.765</v>
      </c>
      <c r="N8" s="43">
        <v>1.765</v>
      </c>
      <c r="O8" t="s">
        <v>51</v>
      </c>
      <c r="P8" t="s">
        <v>51</v>
      </c>
      <c r="Q8" t="s">
        <v>50</v>
      </c>
      <c r="R8" s="43">
        <v>1.765</v>
      </c>
      <c r="S8" s="35">
        <v>0</v>
      </c>
      <c r="T8" s="43">
        <v>0</v>
      </c>
      <c r="U8" s="36">
        <v>285266310.58</v>
      </c>
      <c r="V8" s="35"/>
      <c r="W8" s="43">
        <v>1.735</v>
      </c>
      <c r="X8" s="35">
        <v>0.192567567567567</v>
      </c>
    </row>
    <row r="9" spans="1:24">
      <c r="A9" s="32">
        <v>45848</v>
      </c>
      <c r="B9" t="s">
        <v>5</v>
      </c>
      <c r="C9" t="s">
        <v>35</v>
      </c>
      <c r="D9" s="43">
        <v>0</v>
      </c>
      <c r="E9" s="43">
        <v>0</v>
      </c>
      <c r="F9" s="43">
        <v>0</v>
      </c>
      <c r="G9" s="43">
        <v>1.765</v>
      </c>
      <c r="H9" s="43">
        <v>0</v>
      </c>
      <c r="I9" s="34">
        <v>161623972</v>
      </c>
      <c r="J9" s="34"/>
      <c r="K9" s="44"/>
      <c r="L9" s="43">
        <v>1.765</v>
      </c>
      <c r="M9" s="43">
        <v>1.765</v>
      </c>
      <c r="N9" s="43">
        <v>1.765</v>
      </c>
      <c r="O9" t="s">
        <v>51</v>
      </c>
      <c r="P9" t="s">
        <v>51</v>
      </c>
      <c r="Q9" t="s">
        <v>50</v>
      </c>
      <c r="R9" s="43">
        <v>1.765</v>
      </c>
      <c r="S9" s="35">
        <v>0</v>
      </c>
      <c r="T9" s="43">
        <v>0</v>
      </c>
      <c r="U9" s="36">
        <v>285266310.58</v>
      </c>
      <c r="V9" s="35"/>
      <c r="W9" s="43">
        <v>1.752</v>
      </c>
      <c r="X9" s="35">
        <v>0.192567567567567</v>
      </c>
    </row>
    <row r="10" spans="1:24">
      <c r="A10" s="32">
        <v>45849</v>
      </c>
      <c r="B10" t="s">
        <v>5</v>
      </c>
      <c r="C10" t="s">
        <v>35</v>
      </c>
      <c r="D10" s="43">
        <v>0</v>
      </c>
      <c r="E10" s="43">
        <v>0</v>
      </c>
      <c r="F10" s="43">
        <v>0</v>
      </c>
      <c r="G10" s="43">
        <v>1.765</v>
      </c>
      <c r="H10" s="43">
        <v>0</v>
      </c>
      <c r="I10" s="34">
        <v>161623972</v>
      </c>
      <c r="J10" s="34"/>
      <c r="K10" s="44"/>
      <c r="L10" s="43">
        <v>1.765</v>
      </c>
      <c r="M10" s="43">
        <v>1.765</v>
      </c>
      <c r="N10" s="43">
        <v>1.765</v>
      </c>
      <c r="O10" t="s">
        <v>51</v>
      </c>
      <c r="P10" t="s">
        <v>51</v>
      </c>
      <c r="Q10" t="s">
        <v>50</v>
      </c>
      <c r="R10" s="43">
        <v>1.765</v>
      </c>
      <c r="S10" s="35">
        <v>0</v>
      </c>
      <c r="T10" s="43">
        <v>0</v>
      </c>
      <c r="U10" s="36">
        <v>285266310.58</v>
      </c>
      <c r="V10" s="35"/>
      <c r="W10" s="43">
        <v>1.765</v>
      </c>
      <c r="X10" s="35">
        <v>0.192567567567567</v>
      </c>
    </row>
    <row r="11" spans="1:24">
      <c r="A11" s="32">
        <v>45852</v>
      </c>
      <c r="B11" t="s">
        <v>5</v>
      </c>
      <c r="C11" t="s">
        <v>35</v>
      </c>
      <c r="D11" s="43">
        <v>1.75</v>
      </c>
      <c r="E11" s="43">
        <v>1.765</v>
      </c>
      <c r="F11" s="43">
        <v>1.73</v>
      </c>
      <c r="G11" s="43">
        <v>1.765</v>
      </c>
      <c r="H11" s="43">
        <v>1161</v>
      </c>
      <c r="I11" s="34">
        <v>161623972</v>
      </c>
      <c r="J11" s="34"/>
      <c r="K11" s="44"/>
      <c r="L11" s="43">
        <v>1.75</v>
      </c>
      <c r="M11" s="43">
        <v>1.765</v>
      </c>
      <c r="N11" s="43">
        <v>1.73</v>
      </c>
      <c r="O11" t="s">
        <v>49</v>
      </c>
      <c r="P11" t="s">
        <v>49</v>
      </c>
      <c r="Q11" t="s">
        <v>50</v>
      </c>
      <c r="R11" s="43">
        <v>1.765</v>
      </c>
      <c r="S11" s="35">
        <v>0</v>
      </c>
      <c r="T11" s="43">
        <v>0</v>
      </c>
      <c r="U11" s="36">
        <v>285266310.58</v>
      </c>
      <c r="V11" s="35"/>
      <c r="W11" s="43">
        <v>1.765</v>
      </c>
      <c r="X11" s="35">
        <v>0.192567567567567</v>
      </c>
    </row>
    <row r="12" spans="1:24">
      <c r="A12" s="32">
        <v>45853</v>
      </c>
      <c r="B12" t="s">
        <v>5</v>
      </c>
      <c r="C12" t="s">
        <v>35</v>
      </c>
      <c r="D12" s="43">
        <v>0</v>
      </c>
      <c r="E12" s="43">
        <v>0</v>
      </c>
      <c r="F12" s="43">
        <v>0</v>
      </c>
      <c r="G12" s="43">
        <v>1.765</v>
      </c>
      <c r="H12" s="43">
        <v>0</v>
      </c>
      <c r="I12" s="34">
        <v>161623972</v>
      </c>
      <c r="J12" s="34"/>
      <c r="K12" s="44"/>
      <c r="L12" s="43">
        <v>1.765</v>
      </c>
      <c r="M12" s="43">
        <v>1.765</v>
      </c>
      <c r="N12" s="43">
        <v>1.765</v>
      </c>
      <c r="O12" t="s">
        <v>51</v>
      </c>
      <c r="P12" t="s">
        <v>51</v>
      </c>
      <c r="Q12" t="s">
        <v>50</v>
      </c>
      <c r="R12" s="43">
        <v>1.765</v>
      </c>
      <c r="S12" s="35">
        <v>0</v>
      </c>
      <c r="T12" s="43">
        <v>0</v>
      </c>
      <c r="U12" s="36">
        <v>285266310.58</v>
      </c>
      <c r="V12" s="35"/>
      <c r="W12" s="43">
        <v>1.765</v>
      </c>
      <c r="X12" s="35">
        <v>0.192567567567567</v>
      </c>
    </row>
    <row r="13" spans="1:24">
      <c r="A13" s="32">
        <v>45854</v>
      </c>
      <c r="B13" t="s">
        <v>5</v>
      </c>
      <c r="C13" t="s">
        <v>35</v>
      </c>
      <c r="D13" s="43">
        <v>1.63</v>
      </c>
      <c r="E13" s="43">
        <v>1.63</v>
      </c>
      <c r="F13" s="43">
        <v>1.63</v>
      </c>
      <c r="G13" s="43">
        <v>1.63</v>
      </c>
      <c r="H13" s="43">
        <v>100</v>
      </c>
      <c r="I13" s="34">
        <v>161623972</v>
      </c>
      <c r="J13" s="34"/>
      <c r="K13" s="44"/>
      <c r="L13" s="43">
        <v>1.63</v>
      </c>
      <c r="M13" s="43">
        <v>1.63</v>
      </c>
      <c r="N13" s="43">
        <v>1.63</v>
      </c>
      <c r="O13" t="s">
        <v>49</v>
      </c>
      <c r="P13" t="s">
        <v>49</v>
      </c>
      <c r="Q13" t="s">
        <v>50</v>
      </c>
      <c r="R13" s="43">
        <v>1.765</v>
      </c>
      <c r="S13" s="35">
        <v>-0.0764872521246459</v>
      </c>
      <c r="T13" s="43">
        <v>-0.135</v>
      </c>
      <c r="U13" s="36">
        <v>263447074.36</v>
      </c>
      <c r="V13" s="35"/>
      <c r="W13" s="43">
        <v>1.738</v>
      </c>
      <c r="X13" s="35">
        <v>0.101351351351351</v>
      </c>
    </row>
    <row r="14" spans="1:24">
      <c r="A14" s="32">
        <v>45855</v>
      </c>
      <c r="B14" t="s">
        <v>5</v>
      </c>
      <c r="C14" t="s">
        <v>35</v>
      </c>
      <c r="D14" s="43">
        <v>1.645</v>
      </c>
      <c r="E14" s="43">
        <v>1.645</v>
      </c>
      <c r="F14" s="43">
        <v>1.645</v>
      </c>
      <c r="G14" s="43">
        <v>1.645</v>
      </c>
      <c r="H14" s="43">
        <v>70</v>
      </c>
      <c r="I14" s="34">
        <v>161623972</v>
      </c>
      <c r="J14" s="34"/>
      <c r="K14" s="44"/>
      <c r="L14" s="43">
        <v>1.645</v>
      </c>
      <c r="M14" s="43">
        <v>1.645</v>
      </c>
      <c r="N14" s="43">
        <v>1.645</v>
      </c>
      <c r="O14" t="s">
        <v>49</v>
      </c>
      <c r="P14" t="s">
        <v>49</v>
      </c>
      <c r="Q14" t="s">
        <v>50</v>
      </c>
      <c r="R14" s="43">
        <v>1.63</v>
      </c>
      <c r="S14" s="35">
        <v>0.00920245398773023</v>
      </c>
      <c r="T14" s="43">
        <v>0.0150000000000001</v>
      </c>
      <c r="U14" s="36">
        <v>265871433.94</v>
      </c>
      <c r="V14" s="35"/>
      <c r="W14" s="43">
        <v>1.714</v>
      </c>
      <c r="X14" s="35">
        <v>0.111486486486486</v>
      </c>
    </row>
    <row r="15" spans="1:24">
      <c r="A15" s="32">
        <v>45856</v>
      </c>
      <c r="B15" t="s">
        <v>5</v>
      </c>
      <c r="C15" t="s">
        <v>35</v>
      </c>
      <c r="D15" s="43">
        <v>0</v>
      </c>
      <c r="E15" s="43">
        <v>0</v>
      </c>
      <c r="F15" s="43">
        <v>0</v>
      </c>
      <c r="G15" s="43">
        <v>1.645</v>
      </c>
      <c r="H15" s="43">
        <v>0</v>
      </c>
      <c r="I15" s="34">
        <v>161623972</v>
      </c>
      <c r="J15" s="34"/>
      <c r="K15" s="44"/>
      <c r="L15" s="43">
        <v>1.645</v>
      </c>
      <c r="M15" s="43">
        <v>1.645</v>
      </c>
      <c r="N15" s="43">
        <v>1.645</v>
      </c>
      <c r="O15" t="s">
        <v>51</v>
      </c>
      <c r="P15" t="s">
        <v>51</v>
      </c>
      <c r="Q15" t="s">
        <v>50</v>
      </c>
      <c r="R15" s="43">
        <v>1.645</v>
      </c>
      <c r="S15" s="35">
        <v>0</v>
      </c>
      <c r="T15" s="43">
        <v>0</v>
      </c>
      <c r="U15" s="36">
        <v>265871433.94</v>
      </c>
      <c r="V15" s="35"/>
      <c r="W15" s="43">
        <v>1.69</v>
      </c>
      <c r="X15" s="35">
        <v>0.111486486486486</v>
      </c>
    </row>
    <row r="16" spans="1:24">
      <c r="A16" s="32">
        <v>45859</v>
      </c>
      <c r="B16" t="s">
        <v>5</v>
      </c>
      <c r="C16" t="s">
        <v>35</v>
      </c>
      <c r="D16" s="43">
        <v>1.67</v>
      </c>
      <c r="E16" s="43">
        <v>1.67</v>
      </c>
      <c r="F16" s="43">
        <v>1.67</v>
      </c>
      <c r="G16" s="43">
        <v>1.67</v>
      </c>
      <c r="H16" s="43">
        <v>318</v>
      </c>
      <c r="I16" s="34">
        <v>161623972</v>
      </c>
      <c r="J16" s="34"/>
      <c r="K16" s="44"/>
      <c r="L16" s="43">
        <v>1.67</v>
      </c>
      <c r="M16" s="43">
        <v>1.67</v>
      </c>
      <c r="N16" s="43">
        <v>1.67</v>
      </c>
      <c r="O16" t="s">
        <v>49</v>
      </c>
      <c r="P16" t="s">
        <v>49</v>
      </c>
      <c r="Q16" t="s">
        <v>50</v>
      </c>
      <c r="R16" s="43">
        <v>1.645</v>
      </c>
      <c r="S16" s="35">
        <v>0.0151975683890577</v>
      </c>
      <c r="T16" s="43">
        <v>0.0249999999999999</v>
      </c>
      <c r="U16" s="36">
        <v>269912033.24</v>
      </c>
      <c r="V16" s="35"/>
      <c r="W16" s="43">
        <v>1.671</v>
      </c>
      <c r="X16" s="35">
        <v>0.128378378378378</v>
      </c>
    </row>
    <row r="17" spans="1:24">
      <c r="A17" s="32">
        <v>45860</v>
      </c>
      <c r="B17" t="s">
        <v>5</v>
      </c>
      <c r="C17" t="s">
        <v>35</v>
      </c>
      <c r="D17" s="43">
        <v>0</v>
      </c>
      <c r="E17" s="43">
        <v>0</v>
      </c>
      <c r="F17" s="43">
        <v>0</v>
      </c>
      <c r="G17" s="43">
        <v>1.67</v>
      </c>
      <c r="H17" s="43">
        <v>0</v>
      </c>
      <c r="I17" s="34">
        <v>161623972</v>
      </c>
      <c r="J17" s="34"/>
      <c r="K17" s="44"/>
      <c r="L17" s="43">
        <v>1.67</v>
      </c>
      <c r="M17" s="43">
        <v>1.67</v>
      </c>
      <c r="N17" s="43">
        <v>1.67</v>
      </c>
      <c r="O17" t="s">
        <v>51</v>
      </c>
      <c r="P17" t="s">
        <v>51</v>
      </c>
      <c r="Q17" t="s">
        <v>50</v>
      </c>
      <c r="R17" s="43">
        <v>1.67</v>
      </c>
      <c r="S17" s="35">
        <v>0</v>
      </c>
      <c r="T17" s="43">
        <v>0</v>
      </c>
      <c r="U17" s="36">
        <v>269912033.24</v>
      </c>
      <c r="V17" s="35"/>
      <c r="W17" s="43">
        <v>1.652</v>
      </c>
      <c r="X17" s="35">
        <v>0.128378378378378</v>
      </c>
    </row>
    <row r="18" spans="1:24">
      <c r="A18" s="32">
        <v>45861</v>
      </c>
      <c r="B18" t="s">
        <v>5</v>
      </c>
      <c r="C18" t="s">
        <v>35</v>
      </c>
      <c r="D18" s="43">
        <v>0</v>
      </c>
      <c r="E18" s="43">
        <v>0</v>
      </c>
      <c r="F18" s="43">
        <v>0</v>
      </c>
      <c r="G18" s="43">
        <v>1.67</v>
      </c>
      <c r="H18" s="43">
        <v>0</v>
      </c>
      <c r="I18" s="34">
        <v>161623972</v>
      </c>
      <c r="J18" s="34"/>
      <c r="K18" s="44"/>
      <c r="L18" s="43">
        <v>1.67</v>
      </c>
      <c r="M18" s="43">
        <v>1.67</v>
      </c>
      <c r="N18" s="43">
        <v>1.67</v>
      </c>
      <c r="O18" t="s">
        <v>51</v>
      </c>
      <c r="P18" t="s">
        <v>51</v>
      </c>
      <c r="Q18" t="s">
        <v>50</v>
      </c>
      <c r="R18" s="43">
        <v>1.67</v>
      </c>
      <c r="S18" s="35">
        <v>0</v>
      </c>
      <c r="T18" s="43">
        <v>0</v>
      </c>
      <c r="U18" s="36">
        <v>269912033.24</v>
      </c>
      <c r="V18" s="35"/>
      <c r="W18" s="43">
        <v>1.66</v>
      </c>
      <c r="X18" s="35">
        <v>0.128378378378378</v>
      </c>
    </row>
    <row r="19" spans="1:24">
      <c r="A19" s="32">
        <v>45862</v>
      </c>
      <c r="B19" t="s">
        <v>5</v>
      </c>
      <c r="C19" t="s">
        <v>35</v>
      </c>
      <c r="D19" s="43">
        <v>0</v>
      </c>
      <c r="E19" s="43">
        <v>0</v>
      </c>
      <c r="F19" s="43">
        <v>0</v>
      </c>
      <c r="G19" s="43">
        <v>1.67</v>
      </c>
      <c r="H19" s="43">
        <v>0</v>
      </c>
      <c r="I19" s="34">
        <v>161623972</v>
      </c>
      <c r="J19" s="34"/>
      <c r="K19" s="44"/>
      <c r="L19" s="43">
        <v>1.67</v>
      </c>
      <c r="M19" s="43">
        <v>1.67</v>
      </c>
      <c r="N19" s="43">
        <v>1.67</v>
      </c>
      <c r="O19" t="s">
        <v>51</v>
      </c>
      <c r="P19" t="s">
        <v>51</v>
      </c>
      <c r="Q19" t="s">
        <v>50</v>
      </c>
      <c r="R19" s="43">
        <v>1.67</v>
      </c>
      <c r="S19" s="35">
        <v>0</v>
      </c>
      <c r="T19" s="43">
        <v>0</v>
      </c>
      <c r="U19" s="36">
        <v>269912033.24</v>
      </c>
      <c r="V19" s="35"/>
      <c r="W19" s="43">
        <v>1.665</v>
      </c>
      <c r="X19" s="35">
        <v>0.128378378378378</v>
      </c>
    </row>
    <row r="20" spans="1:24">
      <c r="A20" s="32">
        <v>45863</v>
      </c>
      <c r="B20" t="s">
        <v>5</v>
      </c>
      <c r="C20" t="s">
        <v>35</v>
      </c>
      <c r="D20" s="43">
        <v>0</v>
      </c>
      <c r="E20" s="43">
        <v>0</v>
      </c>
      <c r="F20" s="43">
        <v>0</v>
      </c>
      <c r="G20" s="43">
        <v>1.67</v>
      </c>
      <c r="H20" s="43">
        <v>0</v>
      </c>
      <c r="I20" s="34">
        <v>161623972</v>
      </c>
      <c r="J20" s="34"/>
      <c r="K20" s="44"/>
      <c r="L20" s="43">
        <v>1.67</v>
      </c>
      <c r="M20" s="43">
        <v>1.67</v>
      </c>
      <c r="N20" s="43">
        <v>1.67</v>
      </c>
      <c r="O20" t="s">
        <v>51</v>
      </c>
      <c r="P20" t="s">
        <v>51</v>
      </c>
      <c r="Q20" t="s">
        <v>50</v>
      </c>
      <c r="R20" s="43">
        <v>1.67</v>
      </c>
      <c r="S20" s="35">
        <v>0</v>
      </c>
      <c r="T20" s="43">
        <v>0</v>
      </c>
      <c r="U20" s="36">
        <v>269912033.24</v>
      </c>
      <c r="V20" s="35"/>
      <c r="W20" s="43">
        <v>1.67</v>
      </c>
      <c r="X20" s="35">
        <v>0.128378378378378</v>
      </c>
    </row>
    <row r="21" spans="1:24">
      <c r="A21" s="32">
        <v>45866</v>
      </c>
      <c r="B21" t="s">
        <v>5</v>
      </c>
      <c r="C21" t="s">
        <v>35</v>
      </c>
      <c r="D21" s="43">
        <v>1.685</v>
      </c>
      <c r="E21" s="43">
        <v>1.685</v>
      </c>
      <c r="F21" s="43">
        <v>1.67</v>
      </c>
      <c r="G21" s="43">
        <v>1.67</v>
      </c>
      <c r="H21" s="43">
        <v>7</v>
      </c>
      <c r="I21" s="34">
        <v>161623972</v>
      </c>
      <c r="J21" s="34"/>
      <c r="K21" s="44"/>
      <c r="L21" s="43">
        <v>1.685</v>
      </c>
      <c r="M21" s="43">
        <v>1.685</v>
      </c>
      <c r="N21" s="43">
        <v>1.67</v>
      </c>
      <c r="O21" t="s">
        <v>49</v>
      </c>
      <c r="P21" t="s">
        <v>49</v>
      </c>
      <c r="Q21" t="s">
        <v>50</v>
      </c>
      <c r="R21" s="43">
        <v>1.67</v>
      </c>
      <c r="S21" s="35">
        <v>0</v>
      </c>
      <c r="T21" s="43">
        <v>0</v>
      </c>
      <c r="U21" s="36">
        <v>269912033.24</v>
      </c>
      <c r="V21" s="35"/>
      <c r="W21" s="43">
        <v>1.67</v>
      </c>
      <c r="X21" s="35">
        <v>0.128378378378378</v>
      </c>
    </row>
    <row r="22" spans="1:24">
      <c r="A22" s="32">
        <v>45867</v>
      </c>
      <c r="B22" t="s">
        <v>5</v>
      </c>
      <c r="C22" t="s">
        <v>35</v>
      </c>
      <c r="D22" s="43">
        <v>0</v>
      </c>
      <c r="E22" s="43">
        <v>0</v>
      </c>
      <c r="F22" s="43">
        <v>0</v>
      </c>
      <c r="G22" s="43">
        <v>1.67</v>
      </c>
      <c r="H22" s="43">
        <v>0</v>
      </c>
      <c r="I22" s="34">
        <v>161623972</v>
      </c>
      <c r="J22" s="34"/>
      <c r="K22" s="44"/>
      <c r="L22" s="43">
        <v>1.67</v>
      </c>
      <c r="M22" s="43">
        <v>1.67</v>
      </c>
      <c r="N22" s="43">
        <v>1.67</v>
      </c>
      <c r="O22" t="s">
        <v>51</v>
      </c>
      <c r="P22" t="s">
        <v>51</v>
      </c>
      <c r="Q22" t="s">
        <v>50</v>
      </c>
      <c r="R22" s="43">
        <v>1.67</v>
      </c>
      <c r="S22" s="35">
        <v>0</v>
      </c>
      <c r="T22" s="43">
        <v>0</v>
      </c>
      <c r="U22" s="36">
        <v>269912033.24</v>
      </c>
      <c r="V22" s="35"/>
      <c r="W22" s="43">
        <v>1.67</v>
      </c>
      <c r="X22" s="35">
        <v>0.128378378378378</v>
      </c>
    </row>
    <row r="23" spans="1:24">
      <c r="A23" s="32">
        <v>45868</v>
      </c>
      <c r="B23" t="s">
        <v>5</v>
      </c>
      <c r="C23" t="s">
        <v>35</v>
      </c>
      <c r="D23" s="43">
        <v>1.67</v>
      </c>
      <c r="E23" s="43">
        <v>1.67</v>
      </c>
      <c r="F23" s="43">
        <v>1.67</v>
      </c>
      <c r="G23" s="43">
        <v>1.67</v>
      </c>
      <c r="H23" s="43">
        <v>6</v>
      </c>
      <c r="I23" s="34">
        <v>161623972</v>
      </c>
      <c r="J23" s="34"/>
      <c r="K23" s="44"/>
      <c r="L23" s="43">
        <v>1.67</v>
      </c>
      <c r="M23" s="43">
        <v>1.67</v>
      </c>
      <c r="N23" s="43">
        <v>1.67</v>
      </c>
      <c r="O23" t="s">
        <v>49</v>
      </c>
      <c r="P23" t="s">
        <v>49</v>
      </c>
      <c r="Q23" t="s">
        <v>50</v>
      </c>
      <c r="R23" s="43">
        <v>1.67</v>
      </c>
      <c r="S23" s="35">
        <v>0</v>
      </c>
      <c r="T23" s="43">
        <v>0</v>
      </c>
      <c r="U23" s="36">
        <v>269912033.24</v>
      </c>
      <c r="V23" s="35"/>
      <c r="W23" s="43">
        <v>1.67</v>
      </c>
      <c r="X23" s="35">
        <v>0.128378378378378</v>
      </c>
    </row>
    <row r="24" spans="1:24">
      <c r="A24" s="32">
        <v>45869</v>
      </c>
      <c r="B24" t="s">
        <v>5</v>
      </c>
      <c r="C24" t="s">
        <v>35</v>
      </c>
      <c r="D24" s="43">
        <v>0</v>
      </c>
      <c r="E24" s="43">
        <v>0</v>
      </c>
      <c r="F24" s="43">
        <v>0</v>
      </c>
      <c r="G24" s="43">
        <v>1.67</v>
      </c>
      <c r="H24" s="43">
        <v>0</v>
      </c>
      <c r="I24" s="34">
        <v>161623972</v>
      </c>
      <c r="J24" s="34"/>
      <c r="K24" s="44"/>
      <c r="L24" s="43">
        <v>1.67</v>
      </c>
      <c r="M24" s="43">
        <v>1.67</v>
      </c>
      <c r="N24" s="43">
        <v>1.67</v>
      </c>
      <c r="O24" t="s">
        <v>51</v>
      </c>
      <c r="P24" t="s">
        <v>51</v>
      </c>
      <c r="Q24" t="s">
        <v>50</v>
      </c>
      <c r="R24" s="43">
        <v>1.67</v>
      </c>
      <c r="S24" s="35">
        <v>0</v>
      </c>
      <c r="T24" s="43">
        <v>0</v>
      </c>
      <c r="U24" s="36">
        <v>269912033.24</v>
      </c>
      <c r="V24" s="35"/>
      <c r="W24" s="43">
        <v>1.67</v>
      </c>
      <c r="X24" s="35">
        <v>0.128378378378378</v>
      </c>
    </row>
    <row r="25" spans="1:24">
      <c r="A25" s="32">
        <v>45870</v>
      </c>
      <c r="B25" t="s">
        <v>5</v>
      </c>
      <c r="C25" t="s">
        <v>35</v>
      </c>
      <c r="D25" s="43">
        <v>0</v>
      </c>
      <c r="E25" s="43">
        <v>0</v>
      </c>
      <c r="F25" s="43">
        <v>0</v>
      </c>
      <c r="G25" s="43">
        <v>1.67</v>
      </c>
      <c r="H25" s="43">
        <v>0</v>
      </c>
      <c r="I25" s="34">
        <v>161623972</v>
      </c>
      <c r="J25" s="34"/>
      <c r="K25" s="44"/>
      <c r="L25" s="43">
        <v>1.67</v>
      </c>
      <c r="M25" s="43">
        <v>1.67</v>
      </c>
      <c r="N25" s="43">
        <v>1.67</v>
      </c>
      <c r="O25" t="s">
        <v>51</v>
      </c>
      <c r="P25" t="s">
        <v>51</v>
      </c>
      <c r="Q25" t="s">
        <v>50</v>
      </c>
      <c r="R25" s="43">
        <v>1.67</v>
      </c>
      <c r="S25" s="35">
        <v>0</v>
      </c>
      <c r="T25" s="43">
        <v>0</v>
      </c>
      <c r="U25" s="36">
        <v>269912033.24</v>
      </c>
      <c r="V25" s="35"/>
      <c r="W25" s="43">
        <v>1.67</v>
      </c>
      <c r="X25" s="35">
        <v>0.128378378378378</v>
      </c>
    </row>
    <row r="26" spans="1:24">
      <c r="A26" s="32">
        <v>45873</v>
      </c>
      <c r="B26" t="s">
        <v>5</v>
      </c>
      <c r="C26" t="s">
        <v>35</v>
      </c>
      <c r="D26" s="43">
        <v>1.67</v>
      </c>
      <c r="E26" s="43">
        <v>1.67</v>
      </c>
      <c r="F26" s="43">
        <v>1.67</v>
      </c>
      <c r="G26" s="43">
        <v>1.67</v>
      </c>
      <c r="H26" s="43">
        <v>1</v>
      </c>
      <c r="I26" s="34">
        <v>161623972</v>
      </c>
      <c r="J26" s="34"/>
      <c r="K26" s="44"/>
      <c r="L26" s="43">
        <v>1.67</v>
      </c>
      <c r="M26" s="43">
        <v>1.67</v>
      </c>
      <c r="N26" s="43">
        <v>1.67</v>
      </c>
      <c r="O26" t="s">
        <v>49</v>
      </c>
      <c r="P26" t="s">
        <v>49</v>
      </c>
      <c r="Q26" t="s">
        <v>50</v>
      </c>
      <c r="R26" s="43">
        <v>1.67</v>
      </c>
      <c r="S26" s="35">
        <v>0</v>
      </c>
      <c r="T26" s="43">
        <v>0</v>
      </c>
      <c r="U26" s="36">
        <v>269912033.24</v>
      </c>
      <c r="V26" s="35"/>
      <c r="W26" s="43">
        <v>1.67</v>
      </c>
      <c r="X26" s="35">
        <v>0.128378378378378</v>
      </c>
    </row>
    <row r="27" spans="1:24">
      <c r="A27" s="32">
        <v>45874</v>
      </c>
      <c r="B27" t="s">
        <v>5</v>
      </c>
      <c r="C27" t="s">
        <v>35</v>
      </c>
      <c r="D27" s="43">
        <v>1.505</v>
      </c>
      <c r="E27" s="43">
        <v>1.505</v>
      </c>
      <c r="F27" s="43">
        <v>1.5</v>
      </c>
      <c r="G27" s="43">
        <v>1.5</v>
      </c>
      <c r="H27" s="43">
        <v>11926</v>
      </c>
      <c r="I27" s="34">
        <v>161623972</v>
      </c>
      <c r="J27" s="34"/>
      <c r="K27" s="44"/>
      <c r="L27" s="43">
        <v>1.505</v>
      </c>
      <c r="M27" s="43">
        <v>1.505</v>
      </c>
      <c r="N27" s="43">
        <v>1.5</v>
      </c>
      <c r="O27" t="s">
        <v>49</v>
      </c>
      <c r="P27" t="s">
        <v>49</v>
      </c>
      <c r="Q27" t="s">
        <v>50</v>
      </c>
      <c r="R27" s="43">
        <v>1.67</v>
      </c>
      <c r="S27" s="35">
        <v>-0.101796407185629</v>
      </c>
      <c r="T27" s="43">
        <v>-0.17</v>
      </c>
      <c r="U27" s="36">
        <v>242435958</v>
      </c>
      <c r="V27" s="35"/>
      <c r="W27" s="43">
        <v>1.636</v>
      </c>
      <c r="X27" s="35">
        <v>0.0135135135135136</v>
      </c>
    </row>
    <row r="28" spans="1:24">
      <c r="A28" s="32">
        <v>45875</v>
      </c>
      <c r="B28" t="s">
        <v>5</v>
      </c>
      <c r="C28" t="s">
        <v>35</v>
      </c>
      <c r="D28" s="43">
        <v>1.51</v>
      </c>
      <c r="E28" s="43">
        <v>1.51</v>
      </c>
      <c r="F28" s="43">
        <v>1.51</v>
      </c>
      <c r="G28" s="43">
        <v>1.51</v>
      </c>
      <c r="H28" s="43">
        <v>502</v>
      </c>
      <c r="I28" s="34">
        <v>161623972</v>
      </c>
      <c r="J28" s="34"/>
      <c r="K28" s="44"/>
      <c r="L28" s="43">
        <v>1.51</v>
      </c>
      <c r="M28" s="43">
        <v>1.51</v>
      </c>
      <c r="N28" s="43">
        <v>1.51</v>
      </c>
      <c r="O28" t="s">
        <v>49</v>
      </c>
      <c r="P28" t="s">
        <v>49</v>
      </c>
      <c r="Q28" t="s">
        <v>50</v>
      </c>
      <c r="R28" s="43">
        <v>1.5</v>
      </c>
      <c r="S28" s="35">
        <v>0.0066666666666666</v>
      </c>
      <c r="T28" s="43">
        <v>0.01</v>
      </c>
      <c r="U28" s="36">
        <v>244052197.72</v>
      </c>
      <c r="V28" s="35"/>
      <c r="W28" s="43">
        <v>1.604</v>
      </c>
      <c r="X28" s="35">
        <v>0.0202702702702704</v>
      </c>
    </row>
    <row r="29" spans="1:24">
      <c r="A29" s="32">
        <v>45876</v>
      </c>
      <c r="B29" t="s">
        <v>5</v>
      </c>
      <c r="C29" t="s">
        <v>35</v>
      </c>
      <c r="D29" s="43">
        <v>0</v>
      </c>
      <c r="E29" s="43">
        <v>0</v>
      </c>
      <c r="F29" s="43">
        <v>0</v>
      </c>
      <c r="G29" s="43">
        <v>1.51</v>
      </c>
      <c r="H29" s="43">
        <v>0</v>
      </c>
      <c r="I29" s="34">
        <v>161623972</v>
      </c>
      <c r="J29" s="34"/>
      <c r="K29" s="44"/>
      <c r="L29" s="43">
        <v>1.51</v>
      </c>
      <c r="M29" s="43">
        <v>1.51</v>
      </c>
      <c r="N29" s="43">
        <v>1.51</v>
      </c>
      <c r="O29" t="s">
        <v>51</v>
      </c>
      <c r="P29" t="s">
        <v>51</v>
      </c>
      <c r="Q29" t="s">
        <v>50</v>
      </c>
      <c r="R29" s="43">
        <v>1.51</v>
      </c>
      <c r="S29" s="35">
        <v>0</v>
      </c>
      <c r="T29" s="43">
        <v>0</v>
      </c>
      <c r="U29" s="36">
        <v>244052197.72</v>
      </c>
      <c r="V29" s="35"/>
      <c r="W29" s="43">
        <v>1.572</v>
      </c>
      <c r="X29" s="35">
        <v>0.0202702702702704</v>
      </c>
    </row>
    <row r="30" spans="1:24">
      <c r="A30" s="32">
        <v>45877</v>
      </c>
      <c r="B30" t="s">
        <v>5</v>
      </c>
      <c r="C30" t="s">
        <v>35</v>
      </c>
      <c r="D30" s="43">
        <v>1.51</v>
      </c>
      <c r="E30" s="43">
        <v>1.51</v>
      </c>
      <c r="F30" s="43">
        <v>1.5</v>
      </c>
      <c r="G30" s="43">
        <v>1.5</v>
      </c>
      <c r="H30" s="43">
        <v>4876</v>
      </c>
      <c r="I30" s="34">
        <v>161623972</v>
      </c>
      <c r="J30" s="34"/>
      <c r="K30" s="44"/>
      <c r="L30" s="43">
        <v>1.51</v>
      </c>
      <c r="M30" s="43">
        <v>1.51</v>
      </c>
      <c r="N30" s="43">
        <v>1.5</v>
      </c>
      <c r="O30" t="s">
        <v>49</v>
      </c>
      <c r="P30" t="s">
        <v>49</v>
      </c>
      <c r="Q30" t="s">
        <v>50</v>
      </c>
      <c r="R30" s="43">
        <v>1.51</v>
      </c>
      <c r="S30" s="35">
        <v>-0.00662251655629143</v>
      </c>
      <c r="T30" s="43">
        <v>-0.01</v>
      </c>
      <c r="U30" s="36">
        <v>242435958</v>
      </c>
      <c r="V30" s="35"/>
      <c r="W30" s="43">
        <v>1.538</v>
      </c>
      <c r="X30" s="35">
        <v>0.0135135135135136</v>
      </c>
    </row>
    <row r="31" spans="1:24">
      <c r="A31" s="32">
        <v>45880</v>
      </c>
      <c r="B31" t="s">
        <v>5</v>
      </c>
      <c r="C31" t="s">
        <v>35</v>
      </c>
      <c r="D31" s="43">
        <v>1.51</v>
      </c>
      <c r="E31" s="43">
        <v>1.51</v>
      </c>
      <c r="F31" s="43">
        <v>1.51</v>
      </c>
      <c r="G31" s="43">
        <v>1.51</v>
      </c>
      <c r="H31" s="43">
        <v>1</v>
      </c>
      <c r="I31" s="34">
        <v>161623972</v>
      </c>
      <c r="J31" s="34"/>
      <c r="K31" s="44"/>
      <c r="L31" s="43">
        <v>1.51</v>
      </c>
      <c r="M31" s="43">
        <v>1.51</v>
      </c>
      <c r="N31" s="43">
        <v>1.51</v>
      </c>
      <c r="O31" t="s">
        <v>49</v>
      </c>
      <c r="P31" t="s">
        <v>49</v>
      </c>
      <c r="Q31" t="s">
        <v>50</v>
      </c>
      <c r="R31" s="43">
        <v>1.5</v>
      </c>
      <c r="S31" s="35">
        <v>0.0066666666666666</v>
      </c>
      <c r="T31" s="43">
        <v>0.01</v>
      </c>
      <c r="U31" s="36">
        <v>244052197.72</v>
      </c>
      <c r="V31" s="35"/>
      <c r="W31" s="43">
        <v>1.506</v>
      </c>
      <c r="X31" s="35">
        <v>0.0202702702702704</v>
      </c>
    </row>
    <row r="32" spans="1:24">
      <c r="A32" s="32">
        <v>45881</v>
      </c>
      <c r="B32" t="s">
        <v>5</v>
      </c>
      <c r="C32" t="s">
        <v>35</v>
      </c>
      <c r="D32" s="43">
        <v>0</v>
      </c>
      <c r="E32" s="43">
        <v>0</v>
      </c>
      <c r="F32" s="43">
        <v>0</v>
      </c>
      <c r="G32" s="43">
        <v>1.51</v>
      </c>
      <c r="H32" s="43">
        <v>0</v>
      </c>
      <c r="I32" s="34">
        <v>161623972</v>
      </c>
      <c r="J32" s="34"/>
      <c r="K32" s="44"/>
      <c r="L32" s="43">
        <v>1.51</v>
      </c>
      <c r="M32" s="43">
        <v>1.51</v>
      </c>
      <c r="N32" s="43">
        <v>1.51</v>
      </c>
      <c r="O32" t="s">
        <v>51</v>
      </c>
      <c r="P32" t="s">
        <v>51</v>
      </c>
      <c r="Q32" t="s">
        <v>50</v>
      </c>
      <c r="R32" s="43">
        <v>1.51</v>
      </c>
      <c r="S32" s="35">
        <v>0</v>
      </c>
      <c r="T32" s="43">
        <v>0</v>
      </c>
      <c r="U32" s="36">
        <v>244052197.72</v>
      </c>
      <c r="V32" s="35"/>
      <c r="W32" s="43">
        <v>1.508</v>
      </c>
      <c r="X32" s="35">
        <v>0.0202702702702704</v>
      </c>
    </row>
    <row r="33" spans="1:24">
      <c r="A33" s="32">
        <v>45882</v>
      </c>
      <c r="B33" t="s">
        <v>5</v>
      </c>
      <c r="C33" t="s">
        <v>35</v>
      </c>
      <c r="D33" s="43">
        <v>1.55</v>
      </c>
      <c r="E33" s="43">
        <v>1.55</v>
      </c>
      <c r="F33" s="43">
        <v>1.55</v>
      </c>
      <c r="G33" s="43">
        <v>1.55</v>
      </c>
      <c r="H33" s="43">
        <v>652</v>
      </c>
      <c r="I33" s="34">
        <v>161623972</v>
      </c>
      <c r="J33" s="34"/>
      <c r="K33" s="44"/>
      <c r="L33" s="43">
        <v>1.55</v>
      </c>
      <c r="M33" s="43">
        <v>1.55</v>
      </c>
      <c r="N33" s="43">
        <v>1.55</v>
      </c>
      <c r="O33" t="s">
        <v>49</v>
      </c>
      <c r="P33" t="s">
        <v>49</v>
      </c>
      <c r="Q33" t="s">
        <v>50</v>
      </c>
      <c r="R33" s="43">
        <v>1.51</v>
      </c>
      <c r="S33" s="35">
        <v>0.0264900662251655</v>
      </c>
      <c r="T33" s="43">
        <v>0.04</v>
      </c>
      <c r="U33" s="36">
        <v>250517156.6</v>
      </c>
      <c r="V33" s="35"/>
      <c r="W33" s="43">
        <v>1.516</v>
      </c>
      <c r="X33" s="35">
        <v>0.0472972972972974</v>
      </c>
    </row>
    <row r="34" spans="1:24">
      <c r="A34" s="32">
        <v>45883</v>
      </c>
      <c r="B34" t="s">
        <v>5</v>
      </c>
      <c r="C34" t="s">
        <v>35</v>
      </c>
      <c r="D34" s="43">
        <v>1.555</v>
      </c>
      <c r="E34" s="43">
        <v>1.555</v>
      </c>
      <c r="F34" s="43">
        <v>1.555</v>
      </c>
      <c r="G34" s="43">
        <v>1.555</v>
      </c>
      <c r="H34" s="43">
        <v>3935</v>
      </c>
      <c r="I34" s="34">
        <v>161623972</v>
      </c>
      <c r="J34" s="34"/>
      <c r="K34" s="44"/>
      <c r="L34" s="43">
        <v>1.555</v>
      </c>
      <c r="M34" s="43">
        <v>1.555</v>
      </c>
      <c r="N34" s="43">
        <v>1.555</v>
      </c>
      <c r="O34" t="s">
        <v>49</v>
      </c>
      <c r="P34" t="s">
        <v>49</v>
      </c>
      <c r="Q34" t="s">
        <v>50</v>
      </c>
      <c r="R34" s="43">
        <v>1.55</v>
      </c>
      <c r="S34" s="35">
        <v>0.00322580645161286</v>
      </c>
      <c r="T34" s="43">
        <v>0.00499999999999989</v>
      </c>
      <c r="U34" s="36">
        <v>251325276.46</v>
      </c>
      <c r="V34" s="35"/>
      <c r="W34" s="43">
        <v>1.525</v>
      </c>
      <c r="X34" s="35">
        <v>0.0506756756756757</v>
      </c>
    </row>
    <row r="35" spans="1:24">
      <c r="A35" s="32">
        <v>45884</v>
      </c>
      <c r="B35" t="s">
        <v>5</v>
      </c>
      <c r="C35" t="s">
        <v>35</v>
      </c>
      <c r="D35" s="43">
        <v>1.575</v>
      </c>
      <c r="E35" s="43">
        <v>1.575</v>
      </c>
      <c r="F35" s="43">
        <v>1.575</v>
      </c>
      <c r="G35" s="43">
        <v>1.575</v>
      </c>
      <c r="H35" s="43">
        <v>2</v>
      </c>
      <c r="I35" s="34">
        <v>161623972</v>
      </c>
      <c r="J35" s="34"/>
      <c r="K35" s="44"/>
      <c r="L35" s="43">
        <v>1.575</v>
      </c>
      <c r="M35" s="43">
        <v>1.575</v>
      </c>
      <c r="N35" s="43">
        <v>1.575</v>
      </c>
      <c r="O35" t="s">
        <v>49</v>
      </c>
      <c r="P35" t="s">
        <v>49</v>
      </c>
      <c r="Q35" t="s">
        <v>50</v>
      </c>
      <c r="R35" s="43">
        <v>1.555</v>
      </c>
      <c r="S35" s="35">
        <v>0.0128617363344052</v>
      </c>
      <c r="T35" s="43">
        <v>0.02</v>
      </c>
      <c r="U35" s="36">
        <v>254557755.9</v>
      </c>
      <c r="V35" s="35"/>
      <c r="W35" s="43">
        <v>1.54</v>
      </c>
      <c r="X35" s="35">
        <v>0.0641891891891893</v>
      </c>
    </row>
    <row r="36" spans="1:24">
      <c r="A36" s="32">
        <v>45887</v>
      </c>
      <c r="B36" t="s">
        <v>5</v>
      </c>
      <c r="C36" t="s">
        <v>35</v>
      </c>
      <c r="D36" s="43">
        <v>0</v>
      </c>
      <c r="E36" s="43">
        <v>0</v>
      </c>
      <c r="F36" s="43">
        <v>0</v>
      </c>
      <c r="G36" s="43">
        <v>1.575</v>
      </c>
      <c r="H36" s="43">
        <v>0</v>
      </c>
      <c r="I36" s="34">
        <v>161615445</v>
      </c>
      <c r="J36" s="34"/>
      <c r="K36" s="44"/>
      <c r="L36" s="43">
        <v>1.575</v>
      </c>
      <c r="M36" s="43">
        <v>1.575</v>
      </c>
      <c r="N36" s="43">
        <v>1.575</v>
      </c>
      <c r="O36" t="s">
        <v>51</v>
      </c>
      <c r="P36" t="s">
        <v>51</v>
      </c>
      <c r="Q36" t="s">
        <v>50</v>
      </c>
      <c r="R36" s="43">
        <v>1.575</v>
      </c>
      <c r="S36" s="35">
        <v>0</v>
      </c>
      <c r="T36" s="43">
        <v>0</v>
      </c>
      <c r="U36" s="36">
        <v>254544325.875</v>
      </c>
      <c r="V36" s="35"/>
      <c r="W36" s="43">
        <v>1.553</v>
      </c>
      <c r="X36" s="35">
        <v>0.0641891891891893</v>
      </c>
    </row>
    <row r="37" spans="1:24">
      <c r="A37" s="32">
        <v>45888</v>
      </c>
      <c r="B37" t="s">
        <v>5</v>
      </c>
      <c r="C37" t="s">
        <v>35</v>
      </c>
      <c r="D37" s="43">
        <v>0</v>
      </c>
      <c r="E37" s="43">
        <v>0</v>
      </c>
      <c r="F37" s="43">
        <v>0</v>
      </c>
      <c r="G37" s="43">
        <v>1.575</v>
      </c>
      <c r="H37" s="43">
        <v>0</v>
      </c>
      <c r="I37" s="34">
        <v>161615445</v>
      </c>
      <c r="J37" s="34"/>
      <c r="K37" s="44"/>
      <c r="L37" s="43">
        <v>1.575</v>
      </c>
      <c r="M37" s="43">
        <v>1.575</v>
      </c>
      <c r="N37" s="43">
        <v>1.575</v>
      </c>
      <c r="O37" t="s">
        <v>51</v>
      </c>
      <c r="P37" t="s">
        <v>51</v>
      </c>
      <c r="Q37" t="s">
        <v>50</v>
      </c>
      <c r="R37" s="43">
        <v>1.575</v>
      </c>
      <c r="S37" s="35">
        <v>0</v>
      </c>
      <c r="T37" s="43">
        <v>0</v>
      </c>
      <c r="U37" s="36">
        <v>254544325.875</v>
      </c>
      <c r="V37" s="35"/>
      <c r="W37" s="43">
        <v>1.566</v>
      </c>
      <c r="X37" s="35">
        <v>0.0641891891891893</v>
      </c>
    </row>
    <row r="38" spans="1:24">
      <c r="A38" s="32">
        <v>45889</v>
      </c>
      <c r="B38" t="s">
        <v>5</v>
      </c>
      <c r="C38" t="s">
        <v>35</v>
      </c>
      <c r="D38" s="43">
        <v>0</v>
      </c>
      <c r="E38" s="43">
        <v>0</v>
      </c>
      <c r="F38" s="43">
        <v>0</v>
      </c>
      <c r="G38" s="43">
        <v>1.575</v>
      </c>
      <c r="H38" s="43">
        <v>0</v>
      </c>
      <c r="I38" s="34">
        <v>161615445</v>
      </c>
      <c r="J38" s="34"/>
      <c r="K38" s="44"/>
      <c r="L38" s="43">
        <v>1.575</v>
      </c>
      <c r="M38" s="43">
        <v>1.575</v>
      </c>
      <c r="N38" s="43">
        <v>1.575</v>
      </c>
      <c r="O38" t="s">
        <v>51</v>
      </c>
      <c r="P38" t="s">
        <v>51</v>
      </c>
      <c r="Q38" t="s">
        <v>50</v>
      </c>
      <c r="R38" s="43">
        <v>1.575</v>
      </c>
      <c r="S38" s="35">
        <v>0</v>
      </c>
      <c r="T38" s="43">
        <v>0</v>
      </c>
      <c r="U38" s="36">
        <v>254544325.875</v>
      </c>
      <c r="V38" s="35"/>
      <c r="W38" s="43">
        <v>1.571</v>
      </c>
      <c r="X38" s="35">
        <v>0.0641891891891893</v>
      </c>
    </row>
    <row r="39" spans="1:24">
      <c r="A39" s="32">
        <v>45890</v>
      </c>
      <c r="B39" t="s">
        <v>5</v>
      </c>
      <c r="C39" t="s">
        <v>35</v>
      </c>
      <c r="D39" s="43">
        <v>0</v>
      </c>
      <c r="E39" s="43">
        <v>0</v>
      </c>
      <c r="F39" s="43">
        <v>0</v>
      </c>
      <c r="G39" s="43">
        <v>1.575</v>
      </c>
      <c r="H39" s="43">
        <v>0</v>
      </c>
      <c r="I39" s="34">
        <v>161615445</v>
      </c>
      <c r="J39" s="34"/>
      <c r="K39" s="44"/>
      <c r="L39" s="43">
        <v>1.575</v>
      </c>
      <c r="M39" s="43">
        <v>1.575</v>
      </c>
      <c r="N39" s="43">
        <v>1.575</v>
      </c>
      <c r="O39" t="s">
        <v>51</v>
      </c>
      <c r="P39" t="s">
        <v>51</v>
      </c>
      <c r="Q39" t="s">
        <v>50</v>
      </c>
      <c r="R39" s="43">
        <v>1.575</v>
      </c>
      <c r="S39" s="35">
        <v>0</v>
      </c>
      <c r="T39" s="43">
        <v>0</v>
      </c>
      <c r="U39" s="36">
        <v>254544325.875</v>
      </c>
      <c r="V39" s="35"/>
      <c r="W39" s="43">
        <v>1.575</v>
      </c>
      <c r="X39" s="35">
        <v>0.0641891891891893</v>
      </c>
    </row>
    <row r="40" spans="1:24">
      <c r="A40" s="32">
        <v>45891</v>
      </c>
      <c r="B40" t="s">
        <v>5</v>
      </c>
      <c r="C40" t="s">
        <v>35</v>
      </c>
      <c r="D40" s="43">
        <v>1.615</v>
      </c>
      <c r="E40" s="43">
        <v>1.615</v>
      </c>
      <c r="F40" s="43">
        <v>1.615</v>
      </c>
      <c r="G40" s="43">
        <v>1.615</v>
      </c>
      <c r="H40" s="43">
        <v>6</v>
      </c>
      <c r="I40" s="34">
        <v>161615445</v>
      </c>
      <c r="J40" s="34"/>
      <c r="K40" s="44"/>
      <c r="L40" s="43">
        <v>1.615</v>
      </c>
      <c r="M40" s="43">
        <v>1.615</v>
      </c>
      <c r="N40" s="43">
        <v>1.615</v>
      </c>
      <c r="O40" t="s">
        <v>49</v>
      </c>
      <c r="P40" t="s">
        <v>49</v>
      </c>
      <c r="Q40" t="s">
        <v>50</v>
      </c>
      <c r="R40" s="43">
        <v>1.575</v>
      </c>
      <c r="S40" s="35">
        <v>0.0253968253968255</v>
      </c>
      <c r="T40" s="43">
        <v>0.04</v>
      </c>
      <c r="U40" s="36">
        <v>261008943.675</v>
      </c>
      <c r="V40" s="35"/>
      <c r="W40" s="43">
        <v>1.583</v>
      </c>
      <c r="X40" s="35">
        <v>0.0912162162162162</v>
      </c>
    </row>
    <row r="41" spans="1:24">
      <c r="A41" s="32">
        <v>45894</v>
      </c>
      <c r="B41" t="s">
        <v>5</v>
      </c>
      <c r="C41" t="s">
        <v>35</v>
      </c>
      <c r="D41" s="43">
        <v>0</v>
      </c>
      <c r="E41" s="43">
        <v>0</v>
      </c>
      <c r="F41" s="43">
        <v>0</v>
      </c>
      <c r="G41" s="43">
        <v>1.615</v>
      </c>
      <c r="H41" s="43">
        <v>0</v>
      </c>
      <c r="I41" s="34">
        <v>161615445</v>
      </c>
      <c r="J41" s="34"/>
      <c r="K41" s="44"/>
      <c r="L41" s="43">
        <v>1.615</v>
      </c>
      <c r="M41" s="43">
        <v>1.615</v>
      </c>
      <c r="N41" s="43">
        <v>1.615</v>
      </c>
      <c r="O41" t="s">
        <v>51</v>
      </c>
      <c r="P41" t="s">
        <v>51</v>
      </c>
      <c r="Q41" t="s">
        <v>50</v>
      </c>
      <c r="R41" s="43">
        <v>1.615</v>
      </c>
      <c r="S41" s="35">
        <v>0</v>
      </c>
      <c r="T41" s="43">
        <v>0</v>
      </c>
      <c r="U41" s="36">
        <v>261008943.675</v>
      </c>
      <c r="V41" s="35"/>
      <c r="W41" s="43">
        <v>1.591</v>
      </c>
      <c r="X41" s="35">
        <v>0.0912162162162162</v>
      </c>
    </row>
    <row r="42" spans="1:24">
      <c r="A42" s="32">
        <v>45895</v>
      </c>
      <c r="B42" t="s">
        <v>5</v>
      </c>
      <c r="C42" t="s">
        <v>35</v>
      </c>
      <c r="D42" s="43">
        <v>0</v>
      </c>
      <c r="E42" s="43">
        <v>0</v>
      </c>
      <c r="F42" s="43">
        <v>0</v>
      </c>
      <c r="G42" s="43">
        <v>1.615</v>
      </c>
      <c r="H42" s="43">
        <v>0</v>
      </c>
      <c r="I42" s="34">
        <v>161615445</v>
      </c>
      <c r="J42" s="34"/>
      <c r="K42" s="44"/>
      <c r="L42" s="43">
        <v>1.615</v>
      </c>
      <c r="M42" s="43">
        <v>1.615</v>
      </c>
      <c r="N42" s="43">
        <v>1.615</v>
      </c>
      <c r="O42" t="s">
        <v>51</v>
      </c>
      <c r="P42" t="s">
        <v>51</v>
      </c>
      <c r="Q42" t="s">
        <v>50</v>
      </c>
      <c r="R42" s="43">
        <v>1.615</v>
      </c>
      <c r="S42" s="35">
        <v>0</v>
      </c>
      <c r="T42" s="43">
        <v>0</v>
      </c>
      <c r="U42" s="36">
        <v>261008943.675</v>
      </c>
      <c r="V42" s="35"/>
      <c r="W42" s="43">
        <v>1.599</v>
      </c>
      <c r="X42" s="35">
        <v>0.0912162162162162</v>
      </c>
    </row>
    <row r="43" spans="1:24">
      <c r="A43" s="32">
        <v>45896</v>
      </c>
      <c r="B43" t="s">
        <v>5</v>
      </c>
      <c r="C43" t="s">
        <v>35</v>
      </c>
      <c r="D43" s="43">
        <v>0</v>
      </c>
      <c r="E43" s="43">
        <v>0</v>
      </c>
      <c r="F43" s="43">
        <v>0</v>
      </c>
      <c r="G43" s="43">
        <v>1.615</v>
      </c>
      <c r="H43" s="43">
        <v>0</v>
      </c>
      <c r="I43" s="34">
        <v>161615445</v>
      </c>
      <c r="J43" s="34"/>
      <c r="K43" s="44"/>
      <c r="L43" s="43">
        <v>1.615</v>
      </c>
      <c r="M43" s="43">
        <v>1.615</v>
      </c>
      <c r="N43" s="43">
        <v>1.615</v>
      </c>
      <c r="O43" t="s">
        <v>51</v>
      </c>
      <c r="P43" t="s">
        <v>51</v>
      </c>
      <c r="Q43" t="s">
        <v>50</v>
      </c>
      <c r="R43" s="43">
        <v>1.615</v>
      </c>
      <c r="S43" s="35">
        <v>0</v>
      </c>
      <c r="T43" s="43">
        <v>0</v>
      </c>
      <c r="U43" s="36">
        <v>261008943.675</v>
      </c>
      <c r="V43" s="35"/>
      <c r="W43" s="43">
        <v>1.607</v>
      </c>
      <c r="X43" s="35">
        <v>0.0912162162162162</v>
      </c>
    </row>
    <row r="44" spans="1:24">
      <c r="A44" s="32">
        <v>45897</v>
      </c>
      <c r="B44" t="s">
        <v>5</v>
      </c>
      <c r="C44" t="s">
        <v>35</v>
      </c>
      <c r="D44" s="43">
        <v>0</v>
      </c>
      <c r="E44" s="43">
        <v>0</v>
      </c>
      <c r="F44" s="43">
        <v>0</v>
      </c>
      <c r="G44" s="43">
        <v>1.615</v>
      </c>
      <c r="H44" s="43">
        <v>0</v>
      </c>
      <c r="I44" s="34">
        <v>161615445</v>
      </c>
      <c r="J44" s="34"/>
      <c r="K44" s="44"/>
      <c r="L44" s="43">
        <v>1.615</v>
      </c>
      <c r="M44" s="43">
        <v>1.615</v>
      </c>
      <c r="N44" s="43">
        <v>1.615</v>
      </c>
      <c r="O44" t="s">
        <v>51</v>
      </c>
      <c r="P44" t="s">
        <v>51</v>
      </c>
      <c r="Q44" t="s">
        <v>50</v>
      </c>
      <c r="R44" s="43">
        <v>1.615</v>
      </c>
      <c r="S44" s="35">
        <v>0</v>
      </c>
      <c r="T44" s="43">
        <v>0</v>
      </c>
      <c r="U44" s="36">
        <v>261008943.675</v>
      </c>
      <c r="V44" s="35"/>
      <c r="W44" s="43">
        <v>1.615</v>
      </c>
      <c r="X44" s="35">
        <v>0.0912162162162162</v>
      </c>
    </row>
    <row r="45" spans="1:24">
      <c r="A45" s="32">
        <v>45898</v>
      </c>
      <c r="B45" t="s">
        <v>5</v>
      </c>
      <c r="C45" t="s">
        <v>35</v>
      </c>
      <c r="D45" s="43">
        <v>1.615</v>
      </c>
      <c r="E45" s="43">
        <v>1.615</v>
      </c>
      <c r="F45" s="43">
        <v>1.575</v>
      </c>
      <c r="G45" s="43">
        <v>1.575</v>
      </c>
      <c r="H45" s="43">
        <v>2226</v>
      </c>
      <c r="I45" s="34">
        <v>161615445</v>
      </c>
      <c r="J45" s="34"/>
      <c r="K45" s="44"/>
      <c r="L45" s="43">
        <v>1.615</v>
      </c>
      <c r="M45" s="43">
        <v>1.615</v>
      </c>
      <c r="N45" s="43">
        <v>1.575</v>
      </c>
      <c r="O45" t="s">
        <v>49</v>
      </c>
      <c r="P45" t="s">
        <v>49</v>
      </c>
      <c r="Q45" t="s">
        <v>50</v>
      </c>
      <c r="R45" s="43">
        <v>1.615</v>
      </c>
      <c r="S45" s="35">
        <v>-0.0247678018575852</v>
      </c>
      <c r="T45" s="43">
        <v>-0.04</v>
      </c>
      <c r="U45" s="36">
        <v>254544325.875</v>
      </c>
      <c r="V45" s="35"/>
      <c r="W45" s="43">
        <v>1.607</v>
      </c>
      <c r="X45" s="35">
        <v>0.0641891891891893</v>
      </c>
    </row>
    <row r="46" spans="1:24">
      <c r="A46" s="32">
        <v>45901</v>
      </c>
      <c r="B46" t="s">
        <v>5</v>
      </c>
      <c r="C46" t="s">
        <v>35</v>
      </c>
      <c r="D46" s="43">
        <v>0</v>
      </c>
      <c r="E46" s="43">
        <v>0</v>
      </c>
      <c r="F46" s="43">
        <v>0</v>
      </c>
      <c r="G46" s="43">
        <v>1.575</v>
      </c>
      <c r="H46" s="43">
        <v>0</v>
      </c>
      <c r="I46" s="34">
        <v>161615445</v>
      </c>
      <c r="J46" s="34"/>
      <c r="K46" s="44"/>
      <c r="L46" s="43">
        <v>1.575</v>
      </c>
      <c r="M46" s="43">
        <v>1.575</v>
      </c>
      <c r="N46" s="43">
        <v>1.575</v>
      </c>
      <c r="O46" t="s">
        <v>51</v>
      </c>
      <c r="P46" t="s">
        <v>51</v>
      </c>
      <c r="Q46" t="s">
        <v>50</v>
      </c>
      <c r="R46" s="43">
        <v>1.575</v>
      </c>
      <c r="S46" s="35">
        <v>0</v>
      </c>
      <c r="T46" s="43">
        <v>0</v>
      </c>
      <c r="U46" s="36">
        <v>254544325.875</v>
      </c>
      <c r="V46" s="35"/>
      <c r="W46" s="43">
        <v>1.599</v>
      </c>
      <c r="X46" s="35">
        <v>0.0641891891891893</v>
      </c>
    </row>
    <row r="47" spans="1:24">
      <c r="A47" s="32">
        <v>45902</v>
      </c>
      <c r="B47" t="s">
        <v>5</v>
      </c>
      <c r="C47" t="s">
        <v>35</v>
      </c>
      <c r="D47" s="43">
        <v>0</v>
      </c>
      <c r="E47" s="43">
        <v>0</v>
      </c>
      <c r="F47" s="43">
        <v>0</v>
      </c>
      <c r="G47" s="43">
        <v>1.575</v>
      </c>
      <c r="H47" s="43">
        <v>0</v>
      </c>
      <c r="I47" s="34">
        <v>161615445</v>
      </c>
      <c r="J47" s="34"/>
      <c r="K47" s="44"/>
      <c r="L47" s="43">
        <v>1.575</v>
      </c>
      <c r="M47" s="43">
        <v>1.575</v>
      </c>
      <c r="N47" s="43">
        <v>1.575</v>
      </c>
      <c r="O47" t="s">
        <v>51</v>
      </c>
      <c r="P47" t="s">
        <v>51</v>
      </c>
      <c r="Q47" t="s">
        <v>50</v>
      </c>
      <c r="R47" s="43">
        <v>1.575</v>
      </c>
      <c r="S47" s="35">
        <v>0</v>
      </c>
      <c r="T47" s="43">
        <v>0</v>
      </c>
      <c r="U47" s="36">
        <v>254544325.875</v>
      </c>
      <c r="V47" s="35"/>
      <c r="W47" s="43">
        <v>1.591</v>
      </c>
      <c r="X47" s="35">
        <v>0.0641891891891893</v>
      </c>
    </row>
    <row r="48" spans="1:24">
      <c r="A48" s="32">
        <v>45903</v>
      </c>
      <c r="B48" t="s">
        <v>5</v>
      </c>
      <c r="C48" t="s">
        <v>35</v>
      </c>
      <c r="D48" s="43">
        <v>0</v>
      </c>
      <c r="E48" s="43">
        <v>0</v>
      </c>
      <c r="F48" s="43">
        <v>0</v>
      </c>
      <c r="G48" s="43">
        <v>1.575</v>
      </c>
      <c r="H48" s="43">
        <v>0</v>
      </c>
      <c r="I48" s="34">
        <v>161615445</v>
      </c>
      <c r="J48" s="34"/>
      <c r="K48" s="44"/>
      <c r="L48" s="43">
        <v>1.575</v>
      </c>
      <c r="M48" s="43">
        <v>1.575</v>
      </c>
      <c r="N48" s="43">
        <v>1.575</v>
      </c>
      <c r="O48" t="s">
        <v>51</v>
      </c>
      <c r="P48" t="s">
        <v>51</v>
      </c>
      <c r="Q48" t="s">
        <v>50</v>
      </c>
      <c r="R48" s="43">
        <v>1.575</v>
      </c>
      <c r="S48" s="35">
        <v>0</v>
      </c>
      <c r="T48" s="43">
        <v>0</v>
      </c>
      <c r="U48" s="36">
        <v>254544325.875</v>
      </c>
      <c r="V48" s="35"/>
      <c r="W48" s="43">
        <v>1.583</v>
      </c>
      <c r="X48" s="35">
        <v>0.0641891891891893</v>
      </c>
    </row>
    <row r="49" spans="1:24">
      <c r="A49" s="32">
        <v>45904</v>
      </c>
      <c r="B49" t="s">
        <v>5</v>
      </c>
      <c r="C49" t="s">
        <v>35</v>
      </c>
      <c r="D49" s="43">
        <v>0</v>
      </c>
      <c r="E49" s="43">
        <v>0</v>
      </c>
      <c r="F49" s="43">
        <v>0</v>
      </c>
      <c r="G49" s="43">
        <v>1.575</v>
      </c>
      <c r="H49" s="43">
        <v>0</v>
      </c>
      <c r="I49" s="34">
        <v>161615445</v>
      </c>
      <c r="J49" s="34"/>
      <c r="K49" s="44"/>
      <c r="L49" s="43">
        <v>1.575</v>
      </c>
      <c r="M49" s="43">
        <v>1.575</v>
      </c>
      <c r="N49" s="43">
        <v>1.575</v>
      </c>
      <c r="O49" t="s">
        <v>51</v>
      </c>
      <c r="P49" t="s">
        <v>51</v>
      </c>
      <c r="Q49" t="s">
        <v>50</v>
      </c>
      <c r="R49" s="43">
        <v>1.575</v>
      </c>
      <c r="S49" s="35">
        <v>0</v>
      </c>
      <c r="T49" s="43">
        <v>0</v>
      </c>
      <c r="U49" s="36">
        <v>254544325.875</v>
      </c>
      <c r="V49" s="35"/>
      <c r="W49" s="43">
        <v>1.575</v>
      </c>
      <c r="X49" s="35">
        <v>0.0641891891891893</v>
      </c>
    </row>
    <row r="50" spans="1:24">
      <c r="A50" s="32">
        <v>45905</v>
      </c>
      <c r="B50" t="s">
        <v>5</v>
      </c>
      <c r="C50" t="s">
        <v>35</v>
      </c>
      <c r="D50" s="43">
        <v>0</v>
      </c>
      <c r="E50" s="43">
        <v>0</v>
      </c>
      <c r="F50" s="43">
        <v>0</v>
      </c>
      <c r="G50" s="43">
        <v>1.575</v>
      </c>
      <c r="H50" s="43">
        <v>0</v>
      </c>
      <c r="I50" s="34">
        <v>161615445</v>
      </c>
      <c r="J50" s="34"/>
      <c r="K50" s="44"/>
      <c r="L50" s="43">
        <v>1.575</v>
      </c>
      <c r="M50" s="43">
        <v>1.575</v>
      </c>
      <c r="N50" s="43">
        <v>1.575</v>
      </c>
      <c r="O50" t="s">
        <v>51</v>
      </c>
      <c r="P50" t="s">
        <v>51</v>
      </c>
      <c r="Q50" t="s">
        <v>50</v>
      </c>
      <c r="R50" s="43">
        <v>1.575</v>
      </c>
      <c r="S50" s="35">
        <v>0</v>
      </c>
      <c r="T50" s="43">
        <v>0</v>
      </c>
      <c r="U50" s="36">
        <v>254544325.875</v>
      </c>
      <c r="V50" s="35"/>
      <c r="W50" s="43">
        <v>1.575</v>
      </c>
      <c r="X50" s="35">
        <v>0.0641891891891893</v>
      </c>
    </row>
    <row r="51" spans="1:24">
      <c r="A51" s="32">
        <v>45908</v>
      </c>
      <c r="B51" t="s">
        <v>5</v>
      </c>
      <c r="C51" t="s">
        <v>35</v>
      </c>
      <c r="D51" s="43">
        <v>0</v>
      </c>
      <c r="E51" s="43">
        <v>0</v>
      </c>
      <c r="F51" s="43">
        <v>0</v>
      </c>
      <c r="G51" s="43">
        <v>1.575</v>
      </c>
      <c r="H51" s="43">
        <v>0</v>
      </c>
      <c r="I51" s="34">
        <v>161615445</v>
      </c>
      <c r="J51" s="34"/>
      <c r="K51" s="44"/>
      <c r="L51" s="43">
        <v>1.575</v>
      </c>
      <c r="M51" s="43">
        <v>1.575</v>
      </c>
      <c r="N51" s="43">
        <v>1.575</v>
      </c>
      <c r="O51" t="s">
        <v>51</v>
      </c>
      <c r="P51" t="s">
        <v>51</v>
      </c>
      <c r="Q51" t="s">
        <v>50</v>
      </c>
      <c r="R51" s="43">
        <v>1.575</v>
      </c>
      <c r="S51" s="35">
        <v>0</v>
      </c>
      <c r="T51" s="43">
        <v>0</v>
      </c>
      <c r="U51" s="36">
        <v>254544325.875</v>
      </c>
      <c r="V51" s="35"/>
      <c r="W51" s="43">
        <v>1.575</v>
      </c>
      <c r="X51" s="35">
        <v>0.0641891891891893</v>
      </c>
    </row>
    <row r="52" spans="1:24">
      <c r="A52" s="32">
        <v>45909</v>
      </c>
      <c r="B52" t="s">
        <v>5</v>
      </c>
      <c r="C52" t="s">
        <v>35</v>
      </c>
      <c r="D52" s="43">
        <v>0</v>
      </c>
      <c r="E52" s="43">
        <v>0</v>
      </c>
      <c r="F52" s="43">
        <v>0</v>
      </c>
      <c r="G52" s="43">
        <v>1.575</v>
      </c>
      <c r="H52" s="43">
        <v>0</v>
      </c>
      <c r="I52" s="34">
        <v>161615445</v>
      </c>
      <c r="J52" s="34"/>
      <c r="K52" s="44"/>
      <c r="L52" s="43">
        <v>1.575</v>
      </c>
      <c r="M52" s="43">
        <v>1.575</v>
      </c>
      <c r="N52" s="43">
        <v>1.575</v>
      </c>
      <c r="O52" t="s">
        <v>51</v>
      </c>
      <c r="P52" t="s">
        <v>51</v>
      </c>
      <c r="Q52" t="s">
        <v>50</v>
      </c>
      <c r="R52" s="43">
        <v>1.575</v>
      </c>
      <c r="S52" s="35">
        <v>0</v>
      </c>
      <c r="T52" s="43">
        <v>0</v>
      </c>
      <c r="U52" s="36">
        <v>254544325.875</v>
      </c>
      <c r="V52" s="35"/>
      <c r="W52" s="43">
        <v>1.575</v>
      </c>
      <c r="X52" s="35">
        <v>0.0641891891891893</v>
      </c>
    </row>
    <row r="53" spans="1:24">
      <c r="A53" s="32">
        <v>45910</v>
      </c>
      <c r="B53" t="s">
        <v>5</v>
      </c>
      <c r="C53" t="s">
        <v>35</v>
      </c>
      <c r="D53" s="43">
        <v>1.58</v>
      </c>
      <c r="E53" s="43">
        <v>1.58</v>
      </c>
      <c r="F53" s="43">
        <v>1.58</v>
      </c>
      <c r="G53" s="43">
        <v>1.58</v>
      </c>
      <c r="H53" s="43">
        <v>34</v>
      </c>
      <c r="I53" s="34">
        <v>161615445</v>
      </c>
      <c r="J53" s="34"/>
      <c r="K53" s="44"/>
      <c r="L53" s="43">
        <v>1.58</v>
      </c>
      <c r="M53" s="43">
        <v>1.58</v>
      </c>
      <c r="N53" s="43">
        <v>1.58</v>
      </c>
      <c r="O53" t="s">
        <v>49</v>
      </c>
      <c r="P53" t="s">
        <v>49</v>
      </c>
      <c r="Q53" t="s">
        <v>50</v>
      </c>
      <c r="R53" s="43">
        <v>1.575</v>
      </c>
      <c r="S53" s="35">
        <v>0.00317460317460316</v>
      </c>
      <c r="T53" s="43">
        <v>0.00500000000000011</v>
      </c>
      <c r="U53" s="36">
        <v>255352403.1</v>
      </c>
      <c r="V53" s="35"/>
      <c r="W53" s="43">
        <v>1.576</v>
      </c>
      <c r="X53" s="35">
        <v>0.0675675675675675</v>
      </c>
    </row>
    <row r="54" spans="1:24">
      <c r="A54" s="32">
        <v>45911</v>
      </c>
      <c r="B54" t="s">
        <v>5</v>
      </c>
      <c r="C54" t="s">
        <v>35</v>
      </c>
      <c r="D54" s="43">
        <v>1.58</v>
      </c>
      <c r="E54" s="43">
        <v>1.58</v>
      </c>
      <c r="F54" s="43">
        <v>1.58</v>
      </c>
      <c r="G54" s="43">
        <v>1.58</v>
      </c>
      <c r="H54" s="43">
        <v>32</v>
      </c>
      <c r="I54" s="34">
        <v>161615445</v>
      </c>
      <c r="J54" s="34"/>
      <c r="K54" s="44"/>
      <c r="L54" s="43">
        <v>1.58</v>
      </c>
      <c r="M54" s="43">
        <v>1.58</v>
      </c>
      <c r="N54" s="43">
        <v>1.58</v>
      </c>
      <c r="O54" t="s">
        <v>49</v>
      </c>
      <c r="P54" t="s">
        <v>49</v>
      </c>
      <c r="Q54" t="s">
        <v>50</v>
      </c>
      <c r="R54" s="43">
        <v>1.58</v>
      </c>
      <c r="S54" s="35">
        <v>0</v>
      </c>
      <c r="T54" s="43">
        <v>0</v>
      </c>
      <c r="U54" s="36">
        <v>255352403.1</v>
      </c>
      <c r="V54" s="35"/>
      <c r="W54" s="43">
        <v>1.577</v>
      </c>
      <c r="X54" s="35">
        <v>0.0675675675675675</v>
      </c>
    </row>
    <row r="55" spans="1:24">
      <c r="A55" s="32">
        <v>45912</v>
      </c>
      <c r="B55" t="s">
        <v>5</v>
      </c>
      <c r="C55" t="s">
        <v>35</v>
      </c>
      <c r="D55" s="43">
        <v>0</v>
      </c>
      <c r="E55" s="43">
        <v>0</v>
      </c>
      <c r="F55" s="43">
        <v>0</v>
      </c>
      <c r="G55" s="43">
        <v>1.58</v>
      </c>
      <c r="H55" s="43">
        <v>0</v>
      </c>
      <c r="I55" s="34">
        <v>161615445</v>
      </c>
      <c r="J55" s="34"/>
      <c r="K55" s="44"/>
      <c r="L55" s="43">
        <v>1.58</v>
      </c>
      <c r="M55" s="43">
        <v>1.58</v>
      </c>
      <c r="N55" s="43">
        <v>1.58</v>
      </c>
      <c r="O55" t="s">
        <v>51</v>
      </c>
      <c r="P55" t="s">
        <v>51</v>
      </c>
      <c r="Q55" t="s">
        <v>50</v>
      </c>
      <c r="R55" s="43">
        <v>1.58</v>
      </c>
      <c r="S55" s="35">
        <v>0</v>
      </c>
      <c r="T55" s="43">
        <v>0</v>
      </c>
      <c r="U55" s="36">
        <v>255352403.1</v>
      </c>
      <c r="V55" s="35"/>
      <c r="W55" s="43">
        <v>1.578</v>
      </c>
      <c r="X55" s="35">
        <v>0.0675675675675675</v>
      </c>
    </row>
    <row r="56" spans="1:24">
      <c r="A56" s="32">
        <v>45915</v>
      </c>
      <c r="B56" t="s">
        <v>5</v>
      </c>
      <c r="C56" t="s">
        <v>35</v>
      </c>
      <c r="D56" s="43">
        <v>0</v>
      </c>
      <c r="E56" s="43">
        <v>0</v>
      </c>
      <c r="F56" s="43">
        <v>0</v>
      </c>
      <c r="G56" s="43">
        <v>1.58</v>
      </c>
      <c r="H56" s="43">
        <v>0</v>
      </c>
      <c r="I56" s="34">
        <v>161615445</v>
      </c>
      <c r="J56" s="34"/>
      <c r="K56" s="44"/>
      <c r="L56" s="43">
        <v>1.58</v>
      </c>
      <c r="M56" s="43">
        <v>1.58</v>
      </c>
      <c r="N56" s="43">
        <v>1.58</v>
      </c>
      <c r="O56" t="s">
        <v>51</v>
      </c>
      <c r="P56" t="s">
        <v>51</v>
      </c>
      <c r="Q56" t="s">
        <v>50</v>
      </c>
      <c r="R56" s="43">
        <v>1.58</v>
      </c>
      <c r="S56" s="35">
        <v>0</v>
      </c>
      <c r="T56" s="43">
        <v>0</v>
      </c>
      <c r="U56" s="36">
        <v>255352403.1</v>
      </c>
      <c r="V56" s="35"/>
      <c r="W56" s="43">
        <v>1.579</v>
      </c>
      <c r="X56" s="35">
        <v>0.0675675675675675</v>
      </c>
    </row>
    <row r="57" spans="1:24">
      <c r="A57" s="32">
        <v>45916</v>
      </c>
      <c r="B57" t="s">
        <v>5</v>
      </c>
      <c r="C57" t="s">
        <v>35</v>
      </c>
      <c r="D57" s="43">
        <v>0</v>
      </c>
      <c r="E57" s="43">
        <v>0</v>
      </c>
      <c r="F57" s="43">
        <v>0</v>
      </c>
      <c r="G57" s="43">
        <v>1.58</v>
      </c>
      <c r="H57" s="43">
        <v>0</v>
      </c>
      <c r="I57" s="34">
        <v>161615445</v>
      </c>
      <c r="J57" s="34"/>
      <c r="K57" s="44"/>
      <c r="L57" s="43">
        <v>1.58</v>
      </c>
      <c r="M57" s="43">
        <v>1.58</v>
      </c>
      <c r="N57" s="43">
        <v>1.58</v>
      </c>
      <c r="O57" t="s">
        <v>51</v>
      </c>
      <c r="P57" t="s">
        <v>51</v>
      </c>
      <c r="Q57" t="s">
        <v>50</v>
      </c>
      <c r="R57" s="43">
        <v>1.58</v>
      </c>
      <c r="S57" s="35">
        <v>0</v>
      </c>
      <c r="T57" s="43">
        <v>0</v>
      </c>
      <c r="U57" s="36">
        <v>255352403.1</v>
      </c>
      <c r="V57" s="35"/>
      <c r="W57" s="43">
        <v>1.58</v>
      </c>
      <c r="X57" s="35">
        <v>0.0675675675675675</v>
      </c>
    </row>
    <row r="58" spans="1:24">
      <c r="A58" s="32">
        <v>45917</v>
      </c>
      <c r="B58" t="s">
        <v>5</v>
      </c>
      <c r="C58" t="s">
        <v>35</v>
      </c>
      <c r="D58" s="43">
        <v>0</v>
      </c>
      <c r="E58" s="43">
        <v>0</v>
      </c>
      <c r="F58" s="43">
        <v>0</v>
      </c>
      <c r="G58" s="43">
        <v>1.58</v>
      </c>
      <c r="H58" s="43">
        <v>0</v>
      </c>
      <c r="I58" s="34">
        <v>161615445</v>
      </c>
      <c r="J58" s="34"/>
      <c r="K58" s="44"/>
      <c r="L58" s="43">
        <v>1.58</v>
      </c>
      <c r="M58" s="43">
        <v>1.58</v>
      </c>
      <c r="N58" s="43">
        <v>1.58</v>
      </c>
      <c r="O58" t="s">
        <v>51</v>
      </c>
      <c r="P58" t="s">
        <v>51</v>
      </c>
      <c r="Q58" t="s">
        <v>50</v>
      </c>
      <c r="R58" s="43">
        <v>1.58</v>
      </c>
      <c r="S58" s="35">
        <v>0</v>
      </c>
      <c r="T58" s="43">
        <v>0</v>
      </c>
      <c r="U58" s="36">
        <v>255352403.1</v>
      </c>
      <c r="V58" s="35"/>
      <c r="W58" s="43">
        <v>1.58</v>
      </c>
      <c r="X58" s="35">
        <v>0.0675675675675675</v>
      </c>
    </row>
    <row r="59" spans="1:24">
      <c r="A59" s="32">
        <v>45918</v>
      </c>
      <c r="B59" t="s">
        <v>5</v>
      </c>
      <c r="C59" t="s">
        <v>35</v>
      </c>
      <c r="D59" s="43">
        <v>0</v>
      </c>
      <c r="E59" s="43">
        <v>0</v>
      </c>
      <c r="F59" s="43">
        <v>0</v>
      </c>
      <c r="G59" s="43">
        <v>1.58</v>
      </c>
      <c r="H59" s="43">
        <v>0</v>
      </c>
      <c r="I59" s="34">
        <v>161615445</v>
      </c>
      <c r="J59" s="34"/>
      <c r="K59" s="44"/>
      <c r="L59" s="43">
        <v>1.58</v>
      </c>
      <c r="M59" s="43">
        <v>1.58</v>
      </c>
      <c r="N59" s="43">
        <v>1.58</v>
      </c>
      <c r="O59" t="s">
        <v>51</v>
      </c>
      <c r="P59" t="s">
        <v>51</v>
      </c>
      <c r="Q59" t="s">
        <v>50</v>
      </c>
      <c r="R59" s="43">
        <v>1.58</v>
      </c>
      <c r="S59" s="35">
        <v>0</v>
      </c>
      <c r="T59" s="43">
        <v>0</v>
      </c>
      <c r="U59" s="36">
        <v>255352403.1</v>
      </c>
      <c r="V59" s="35"/>
      <c r="W59" s="43">
        <v>1.58</v>
      </c>
      <c r="X59" s="35">
        <v>0.0675675675675675</v>
      </c>
    </row>
    <row r="60" spans="1:24">
      <c r="A60" s="32">
        <v>45919</v>
      </c>
      <c r="B60" t="s">
        <v>5</v>
      </c>
      <c r="C60" t="s">
        <v>35</v>
      </c>
      <c r="D60" s="43">
        <v>0</v>
      </c>
      <c r="E60" s="43">
        <v>0</v>
      </c>
      <c r="F60" s="43">
        <v>0</v>
      </c>
      <c r="G60" s="43">
        <v>1.58</v>
      </c>
      <c r="H60" s="43">
        <v>0</v>
      </c>
      <c r="I60" s="34">
        <v>161615445</v>
      </c>
      <c r="J60" s="34"/>
      <c r="K60" s="44"/>
      <c r="L60" s="43">
        <v>1.58</v>
      </c>
      <c r="M60" s="43">
        <v>1.58</v>
      </c>
      <c r="N60" s="43">
        <v>1.58</v>
      </c>
      <c r="O60" t="s">
        <v>51</v>
      </c>
      <c r="P60" t="s">
        <v>51</v>
      </c>
      <c r="Q60" t="s">
        <v>50</v>
      </c>
      <c r="R60" s="43">
        <v>1.58</v>
      </c>
      <c r="S60" s="35">
        <v>0</v>
      </c>
      <c r="T60" s="43">
        <v>0</v>
      </c>
      <c r="U60" s="36">
        <v>255352403.1</v>
      </c>
      <c r="V60" s="35"/>
      <c r="W60" s="43">
        <v>1.58</v>
      </c>
      <c r="X60" s="35">
        <v>0.0675675675675675</v>
      </c>
    </row>
    <row r="61" spans="1:24">
      <c r="A61" s="32">
        <v>45922</v>
      </c>
      <c r="B61" t="s">
        <v>5</v>
      </c>
      <c r="C61" t="s">
        <v>35</v>
      </c>
      <c r="D61" s="43">
        <v>0</v>
      </c>
      <c r="E61" s="43">
        <v>0</v>
      </c>
      <c r="F61" s="43">
        <v>0</v>
      </c>
      <c r="G61" s="43">
        <v>1.58</v>
      </c>
      <c r="H61" s="43">
        <v>0</v>
      </c>
      <c r="I61" s="34">
        <v>161615445</v>
      </c>
      <c r="J61" s="34"/>
      <c r="K61" s="44"/>
      <c r="L61" s="43">
        <v>1.58</v>
      </c>
      <c r="M61" s="43">
        <v>1.58</v>
      </c>
      <c r="N61" s="43">
        <v>1.58</v>
      </c>
      <c r="O61" t="s">
        <v>51</v>
      </c>
      <c r="P61" t="s">
        <v>51</v>
      </c>
      <c r="Q61" t="s">
        <v>50</v>
      </c>
      <c r="R61" s="43">
        <v>1.58</v>
      </c>
      <c r="S61" s="35">
        <v>0</v>
      </c>
      <c r="T61" s="43">
        <v>0</v>
      </c>
      <c r="U61" s="36">
        <v>255352403.1</v>
      </c>
      <c r="V61" s="35"/>
      <c r="W61" s="43">
        <v>1.58</v>
      </c>
      <c r="X61" s="35">
        <v>0.0675675675675675</v>
      </c>
    </row>
    <row r="62" spans="1:24">
      <c r="A62" s="32">
        <v>45923</v>
      </c>
      <c r="B62" t="s">
        <v>5</v>
      </c>
      <c r="C62" t="s">
        <v>35</v>
      </c>
      <c r="D62" s="43">
        <v>0</v>
      </c>
      <c r="E62" s="43">
        <v>0</v>
      </c>
      <c r="F62" s="43">
        <v>0</v>
      </c>
      <c r="G62" s="43">
        <v>1.58</v>
      </c>
      <c r="H62" s="43">
        <v>0</v>
      </c>
      <c r="I62" s="34">
        <v>161615445</v>
      </c>
      <c r="J62" s="34"/>
      <c r="K62" s="44"/>
      <c r="L62" s="43">
        <v>1.58</v>
      </c>
      <c r="M62" s="43">
        <v>1.58</v>
      </c>
      <c r="N62" s="43">
        <v>1.58</v>
      </c>
      <c r="O62" t="s">
        <v>51</v>
      </c>
      <c r="P62" t="s">
        <v>51</v>
      </c>
      <c r="Q62" t="s">
        <v>50</v>
      </c>
      <c r="R62" s="43">
        <v>1.58</v>
      </c>
      <c r="S62" s="35">
        <v>0</v>
      </c>
      <c r="T62" s="43">
        <v>0</v>
      </c>
      <c r="U62" s="36">
        <v>255352403.1</v>
      </c>
      <c r="V62" s="35"/>
      <c r="W62" s="43">
        <v>1.58</v>
      </c>
      <c r="X62" s="35">
        <v>0.0675675675675675</v>
      </c>
    </row>
    <row r="63" spans="1:24">
      <c r="A63" s="32">
        <v>45924</v>
      </c>
      <c r="B63" t="s">
        <v>5</v>
      </c>
      <c r="C63" t="s">
        <v>35</v>
      </c>
      <c r="D63" s="43">
        <v>0</v>
      </c>
      <c r="E63" s="43">
        <v>0</v>
      </c>
      <c r="F63" s="43">
        <v>0</v>
      </c>
      <c r="G63" s="43">
        <v>1.58</v>
      </c>
      <c r="H63" s="43">
        <v>0</v>
      </c>
      <c r="I63" s="34">
        <v>161615445</v>
      </c>
      <c r="J63" s="34"/>
      <c r="K63" s="44"/>
      <c r="L63" s="43">
        <v>1.58</v>
      </c>
      <c r="M63" s="43">
        <v>1.58</v>
      </c>
      <c r="N63" s="43">
        <v>1.58</v>
      </c>
      <c r="O63" t="s">
        <v>51</v>
      </c>
      <c r="P63" t="s">
        <v>51</v>
      </c>
      <c r="Q63" t="s">
        <v>50</v>
      </c>
      <c r="R63" s="43">
        <v>1.58</v>
      </c>
      <c r="S63" s="35">
        <v>0</v>
      </c>
      <c r="T63" s="43">
        <v>0</v>
      </c>
      <c r="U63" s="36">
        <v>255352403.1</v>
      </c>
      <c r="V63" s="35"/>
      <c r="W63" s="43">
        <v>1.58</v>
      </c>
      <c r="X63" s="35">
        <v>0.0675675675675675</v>
      </c>
    </row>
    <row r="64" spans="1:24">
      <c r="A64" s="32">
        <v>45925</v>
      </c>
      <c r="B64" t="s">
        <v>5</v>
      </c>
      <c r="C64" t="s">
        <v>35</v>
      </c>
      <c r="D64" s="43">
        <v>1.625</v>
      </c>
      <c r="E64" s="43">
        <v>1.625</v>
      </c>
      <c r="F64" s="43">
        <v>1.525</v>
      </c>
      <c r="G64" s="43">
        <v>1.525</v>
      </c>
      <c r="H64" s="43">
        <v>980</v>
      </c>
      <c r="I64" s="34">
        <v>161615445</v>
      </c>
      <c r="J64" s="34"/>
      <c r="K64" s="44"/>
      <c r="L64" s="43">
        <v>1.625</v>
      </c>
      <c r="M64" s="43">
        <v>1.625</v>
      </c>
      <c r="N64" s="43">
        <v>1.525</v>
      </c>
      <c r="O64" t="s">
        <v>49</v>
      </c>
      <c r="P64" t="s">
        <v>49</v>
      </c>
      <c r="Q64" t="s">
        <v>50</v>
      </c>
      <c r="R64" s="43">
        <v>1.58</v>
      </c>
      <c r="S64" s="35">
        <v>-0.0348101265822786</v>
      </c>
      <c r="T64" s="43">
        <v>-0.0550000000000002</v>
      </c>
      <c r="U64" s="36">
        <v>246463553.625</v>
      </c>
      <c r="V64" s="35"/>
      <c r="W64" s="43">
        <v>1.569</v>
      </c>
      <c r="X64" s="35">
        <v>0.0304054054054053</v>
      </c>
    </row>
    <row r="65" spans="1:24">
      <c r="A65" s="32">
        <v>45926</v>
      </c>
      <c r="B65" t="s">
        <v>5</v>
      </c>
      <c r="C65" t="s">
        <v>35</v>
      </c>
      <c r="D65" s="43">
        <v>0</v>
      </c>
      <c r="E65" s="43">
        <v>0</v>
      </c>
      <c r="F65" s="43">
        <v>0</v>
      </c>
      <c r="G65" s="43">
        <v>1.525</v>
      </c>
      <c r="H65" s="43">
        <v>0</v>
      </c>
      <c r="I65" s="34">
        <v>161615445</v>
      </c>
      <c r="J65" s="34"/>
      <c r="K65" s="44"/>
      <c r="L65" s="43">
        <v>1.525</v>
      </c>
      <c r="M65" s="43">
        <v>1.525</v>
      </c>
      <c r="N65" s="43">
        <v>1.525</v>
      </c>
      <c r="O65" t="s">
        <v>51</v>
      </c>
      <c r="P65" t="s">
        <v>51</v>
      </c>
      <c r="Q65" t="s">
        <v>50</v>
      </c>
      <c r="R65" s="43">
        <v>1.525</v>
      </c>
      <c r="S65" s="35">
        <v>0</v>
      </c>
      <c r="T65" s="43">
        <v>0</v>
      </c>
      <c r="U65" s="36">
        <v>246463553.625</v>
      </c>
      <c r="V65" s="35"/>
      <c r="W65" s="43">
        <v>1.558</v>
      </c>
      <c r="X65" s="35">
        <v>0.0304054054054053</v>
      </c>
    </row>
    <row r="66" spans="1:24">
      <c r="A66" s="32">
        <v>45929</v>
      </c>
      <c r="B66" t="s">
        <v>5</v>
      </c>
      <c r="C66" t="s">
        <v>35</v>
      </c>
      <c r="D66" s="43">
        <v>0</v>
      </c>
      <c r="E66" s="43">
        <v>0</v>
      </c>
      <c r="F66" s="43">
        <v>0</v>
      </c>
      <c r="G66" s="43">
        <v>1.525</v>
      </c>
      <c r="H66" s="43">
        <v>0</v>
      </c>
      <c r="I66" s="34">
        <v>161615445</v>
      </c>
      <c r="J66" s="34"/>
      <c r="K66" s="44"/>
      <c r="L66" s="43">
        <v>1.525</v>
      </c>
      <c r="M66" s="43">
        <v>1.525</v>
      </c>
      <c r="N66" s="43">
        <v>1.525</v>
      </c>
      <c r="O66" t="s">
        <v>51</v>
      </c>
      <c r="P66" t="s">
        <v>51</v>
      </c>
      <c r="Q66" t="s">
        <v>50</v>
      </c>
      <c r="R66" s="43">
        <v>1.525</v>
      </c>
      <c r="S66" s="35">
        <v>0</v>
      </c>
      <c r="T66" s="43">
        <v>0</v>
      </c>
      <c r="U66" s="36">
        <v>246463553.625</v>
      </c>
      <c r="V66" s="35"/>
      <c r="W66" s="43">
        <v>1.547</v>
      </c>
      <c r="X66" s="35">
        <v>0.0304054054054053</v>
      </c>
    </row>
    <row r="67" spans="1:24">
      <c r="A67" s="32">
        <v>45930</v>
      </c>
      <c r="B67" t="s">
        <v>5</v>
      </c>
      <c r="C67" t="s">
        <v>35</v>
      </c>
      <c r="D67" s="43">
        <v>0</v>
      </c>
      <c r="E67" s="43">
        <v>0</v>
      </c>
      <c r="F67" s="43">
        <v>0</v>
      </c>
      <c r="G67" s="43">
        <v>1.525</v>
      </c>
      <c r="H67" s="43">
        <v>0</v>
      </c>
      <c r="I67" s="34">
        <v>161615445</v>
      </c>
      <c r="J67" s="34"/>
      <c r="K67" s="44"/>
      <c r="L67" s="43">
        <v>1.525</v>
      </c>
      <c r="M67" s="43">
        <v>1.525</v>
      </c>
      <c r="N67" s="43">
        <v>1.525</v>
      </c>
      <c r="O67" t="s">
        <v>51</v>
      </c>
      <c r="P67" t="s">
        <v>51</v>
      </c>
      <c r="Q67" t="s">
        <v>50</v>
      </c>
      <c r="R67" s="43">
        <v>1.525</v>
      </c>
      <c r="S67" s="35">
        <v>0</v>
      </c>
      <c r="T67" s="43">
        <v>0</v>
      </c>
      <c r="U67" s="36">
        <v>246463553.625</v>
      </c>
      <c r="V67" s="35"/>
      <c r="W67" s="43">
        <v>1.536</v>
      </c>
      <c r="X67" s="35">
        <v>0.0304054054054053</v>
      </c>
    </row>
    <row r="68" spans="1:24">
      <c r="A68" s="32">
        <v>45931</v>
      </c>
      <c r="B68" t="s">
        <v>5</v>
      </c>
      <c r="C68" t="s">
        <v>35</v>
      </c>
      <c r="D68" s="43">
        <v>0</v>
      </c>
      <c r="E68" s="43">
        <v>0</v>
      </c>
      <c r="F68" s="43">
        <v>0</v>
      </c>
      <c r="G68" s="43">
        <v>1.525</v>
      </c>
      <c r="H68" s="43">
        <v>0</v>
      </c>
      <c r="I68" s="34">
        <v>161615445</v>
      </c>
      <c r="J68" s="34"/>
      <c r="K68" s="44"/>
      <c r="L68" s="43">
        <v>1.525</v>
      </c>
      <c r="M68" s="43">
        <v>1.525</v>
      </c>
      <c r="N68" s="43">
        <v>1.525</v>
      </c>
      <c r="O68" t="s">
        <v>51</v>
      </c>
      <c r="P68" t="s">
        <v>51</v>
      </c>
      <c r="Q68" t="s">
        <v>50</v>
      </c>
      <c r="R68" s="43">
        <v>1.525</v>
      </c>
      <c r="S68" s="35">
        <v>0</v>
      </c>
      <c r="T68" s="43">
        <v>0</v>
      </c>
      <c r="U68" s="36">
        <v>246463553.625</v>
      </c>
      <c r="V68" s="35"/>
      <c r="W68" s="43">
        <v>1.525</v>
      </c>
      <c r="X68" s="35">
        <v>0.0304054054054053</v>
      </c>
    </row>
    <row r="69" spans="1:24">
      <c r="A69" s="32">
        <v>45932</v>
      </c>
      <c r="B69" t="s">
        <v>5</v>
      </c>
      <c r="C69" t="s">
        <v>35</v>
      </c>
      <c r="D69" s="43">
        <v>0</v>
      </c>
      <c r="E69" s="43">
        <v>0</v>
      </c>
      <c r="F69" s="43">
        <v>0</v>
      </c>
      <c r="G69" s="43">
        <v>1.525</v>
      </c>
      <c r="H69" s="43">
        <v>0</v>
      </c>
      <c r="I69" s="34">
        <v>161615445</v>
      </c>
      <c r="J69" s="34"/>
      <c r="K69" s="44"/>
      <c r="L69" s="43">
        <v>1.525</v>
      </c>
      <c r="M69" s="43">
        <v>1.525</v>
      </c>
      <c r="N69" s="43">
        <v>1.525</v>
      </c>
      <c r="O69" t="s">
        <v>51</v>
      </c>
      <c r="P69" t="s">
        <v>51</v>
      </c>
      <c r="Q69" t="s">
        <v>50</v>
      </c>
      <c r="R69" s="43">
        <v>1.525</v>
      </c>
      <c r="S69" s="35">
        <v>0</v>
      </c>
      <c r="T69" s="43">
        <v>0</v>
      </c>
      <c r="U69" s="36">
        <v>246463553.625</v>
      </c>
      <c r="V69" s="35"/>
      <c r="W69" s="43">
        <v>1.525</v>
      </c>
      <c r="X69" s="35">
        <v>0.0304054054054053</v>
      </c>
    </row>
    <row r="70" spans="1:24">
      <c r="A70" s="32">
        <v>45933</v>
      </c>
      <c r="B70" t="s">
        <v>5</v>
      </c>
      <c r="C70" t="s">
        <v>35</v>
      </c>
      <c r="D70" s="43">
        <v>1.6</v>
      </c>
      <c r="E70" s="43">
        <v>1.6</v>
      </c>
      <c r="F70" s="43">
        <v>1.6</v>
      </c>
      <c r="G70" s="43">
        <v>1.6</v>
      </c>
      <c r="H70" s="43">
        <v>8</v>
      </c>
      <c r="I70" s="34">
        <v>161615445</v>
      </c>
      <c r="J70" s="34"/>
      <c r="K70" s="44"/>
      <c r="L70" s="43">
        <v>1.6</v>
      </c>
      <c r="M70" s="43">
        <v>1.6</v>
      </c>
      <c r="N70" s="43">
        <v>1.6</v>
      </c>
      <c r="O70" t="s">
        <v>49</v>
      </c>
      <c r="P70" t="s">
        <v>49</v>
      </c>
      <c r="Q70" t="s">
        <v>50</v>
      </c>
      <c r="R70" s="43">
        <v>1.525</v>
      </c>
      <c r="S70" s="35">
        <v>0.0491803278688525</v>
      </c>
      <c r="T70" s="43">
        <v>0.0750000000000002</v>
      </c>
      <c r="U70" s="36">
        <v>258584712</v>
      </c>
      <c r="V70" s="35"/>
      <c r="W70" s="43">
        <v>1.54</v>
      </c>
      <c r="X70" s="35">
        <v>0.0810810810810811</v>
      </c>
    </row>
    <row r="71" spans="1:24">
      <c r="A71" s="32">
        <v>45936</v>
      </c>
      <c r="B71" t="s">
        <v>5</v>
      </c>
      <c r="C71" t="s">
        <v>35</v>
      </c>
      <c r="D71" s="43">
        <v>1.6</v>
      </c>
      <c r="E71" s="43">
        <v>1.6</v>
      </c>
      <c r="F71" s="43">
        <v>1.6</v>
      </c>
      <c r="G71" s="43">
        <v>1.6</v>
      </c>
      <c r="H71" s="43">
        <v>350</v>
      </c>
      <c r="I71" s="34">
        <v>161615445</v>
      </c>
      <c r="J71" s="34"/>
      <c r="K71" s="44"/>
      <c r="L71" s="43">
        <v>1.6</v>
      </c>
      <c r="M71" s="43">
        <v>1.6</v>
      </c>
      <c r="N71" s="43">
        <v>1.6</v>
      </c>
      <c r="O71" t="s">
        <v>49</v>
      </c>
      <c r="P71" t="s">
        <v>49</v>
      </c>
      <c r="Q71" t="s">
        <v>50</v>
      </c>
      <c r="R71" s="43">
        <v>1.6</v>
      </c>
      <c r="S71" s="35">
        <v>0</v>
      </c>
      <c r="T71" s="43">
        <v>0</v>
      </c>
      <c r="U71" s="36">
        <v>258584712</v>
      </c>
      <c r="V71" s="35"/>
      <c r="W71" s="43">
        <v>1.555</v>
      </c>
      <c r="X71" s="35">
        <v>0.0810810810810811</v>
      </c>
    </row>
    <row r="72" spans="1:24">
      <c r="A72" s="32">
        <v>45937</v>
      </c>
      <c r="B72" t="s">
        <v>5</v>
      </c>
      <c r="C72" t="s">
        <v>35</v>
      </c>
      <c r="D72" s="43">
        <v>0</v>
      </c>
      <c r="E72" s="43">
        <v>0</v>
      </c>
      <c r="F72" s="43">
        <v>0</v>
      </c>
      <c r="G72" s="43">
        <v>1.6</v>
      </c>
      <c r="H72" s="43">
        <v>0</v>
      </c>
      <c r="I72" s="34">
        <v>161615445</v>
      </c>
      <c r="J72" s="34"/>
      <c r="K72" s="44"/>
      <c r="L72" s="43">
        <v>1.6</v>
      </c>
      <c r="M72" s="43">
        <v>1.6</v>
      </c>
      <c r="N72" s="43">
        <v>1.6</v>
      </c>
      <c r="O72" t="s">
        <v>51</v>
      </c>
      <c r="P72" t="s">
        <v>51</v>
      </c>
      <c r="Q72" t="s">
        <v>50</v>
      </c>
      <c r="R72" s="43">
        <v>1.6</v>
      </c>
      <c r="S72" s="35">
        <v>0</v>
      </c>
      <c r="T72" s="43">
        <v>0</v>
      </c>
      <c r="U72" s="36">
        <v>258584712</v>
      </c>
      <c r="V72" s="35"/>
      <c r="W72" s="43">
        <v>1.57</v>
      </c>
      <c r="X72" s="35">
        <v>0.0810810810810811</v>
      </c>
    </row>
    <row r="73" spans="1:24">
      <c r="A73" s="32">
        <v>45938</v>
      </c>
      <c r="B73" t="s">
        <v>5</v>
      </c>
      <c r="C73" t="s">
        <v>35</v>
      </c>
      <c r="D73" s="43">
        <v>0</v>
      </c>
      <c r="E73" s="43">
        <v>0</v>
      </c>
      <c r="F73" s="43">
        <v>0</v>
      </c>
      <c r="G73" s="43">
        <v>1.6</v>
      </c>
      <c r="H73" s="43">
        <v>0</v>
      </c>
      <c r="I73" s="34">
        <v>161615445</v>
      </c>
      <c r="J73" s="34"/>
      <c r="K73" s="44"/>
      <c r="L73" s="43">
        <v>1.6</v>
      </c>
      <c r="M73" s="43">
        <v>1.6</v>
      </c>
      <c r="N73" s="43">
        <v>1.6</v>
      </c>
      <c r="O73" t="s">
        <v>51</v>
      </c>
      <c r="P73" t="s">
        <v>51</v>
      </c>
      <c r="Q73" t="s">
        <v>50</v>
      </c>
      <c r="R73" s="43">
        <v>1.6</v>
      </c>
      <c r="S73" s="35">
        <v>0</v>
      </c>
      <c r="T73" s="43">
        <v>0</v>
      </c>
      <c r="U73" s="36">
        <v>258584712</v>
      </c>
      <c r="V73" s="35"/>
      <c r="W73" s="43">
        <v>1.585</v>
      </c>
      <c r="X73" s="35">
        <v>0.0810810810810811</v>
      </c>
    </row>
    <row r="74" spans="1:24">
      <c r="A74" s="32">
        <v>45939</v>
      </c>
      <c r="B74" t="s">
        <v>5</v>
      </c>
      <c r="C74" t="s">
        <v>35</v>
      </c>
      <c r="D74" s="43">
        <v>0</v>
      </c>
      <c r="E74" s="43">
        <v>0</v>
      </c>
      <c r="F74" s="43">
        <v>0</v>
      </c>
      <c r="G74" s="43">
        <v>1.6</v>
      </c>
      <c r="H74" s="43">
        <v>0</v>
      </c>
      <c r="I74" s="34">
        <v>161615445</v>
      </c>
      <c r="J74" s="34"/>
      <c r="K74" s="44"/>
      <c r="L74" s="43">
        <v>1.6</v>
      </c>
      <c r="M74" s="43">
        <v>1.6</v>
      </c>
      <c r="N74" s="43">
        <v>1.6</v>
      </c>
      <c r="O74" t="s">
        <v>51</v>
      </c>
      <c r="P74" t="s">
        <v>51</v>
      </c>
      <c r="Q74" t="s">
        <v>50</v>
      </c>
      <c r="R74" s="43">
        <v>1.6</v>
      </c>
      <c r="S74" s="35">
        <v>0</v>
      </c>
      <c r="T74" s="43">
        <v>0</v>
      </c>
      <c r="U74" s="36">
        <v>258584712</v>
      </c>
      <c r="V74" s="35"/>
      <c r="W74" s="43">
        <v>1.6</v>
      </c>
      <c r="X74" s="35">
        <v>0.0810810810810811</v>
      </c>
    </row>
    <row r="75" spans="1:24">
      <c r="A75" s="32">
        <v>45940</v>
      </c>
      <c r="B75" t="s">
        <v>5</v>
      </c>
      <c r="C75" t="s">
        <v>35</v>
      </c>
      <c r="D75" s="43">
        <v>0</v>
      </c>
      <c r="E75" s="43">
        <v>0</v>
      </c>
      <c r="F75" s="43">
        <v>0</v>
      </c>
      <c r="G75" s="43">
        <v>1.6</v>
      </c>
      <c r="H75" s="43">
        <v>0</v>
      </c>
      <c r="I75" s="34">
        <v>161615445</v>
      </c>
      <c r="J75" s="34"/>
      <c r="K75" s="44"/>
      <c r="L75" s="43">
        <v>1.6</v>
      </c>
      <c r="M75" s="43">
        <v>1.6</v>
      </c>
      <c r="N75" s="43">
        <v>1.6</v>
      </c>
      <c r="O75" t="s">
        <v>51</v>
      </c>
      <c r="P75" t="s">
        <v>51</v>
      </c>
      <c r="Q75" t="s">
        <v>50</v>
      </c>
      <c r="R75" s="43">
        <v>1.6</v>
      </c>
      <c r="S75" s="35">
        <v>0</v>
      </c>
      <c r="T75" s="43">
        <v>0</v>
      </c>
      <c r="U75" s="36">
        <v>258584712</v>
      </c>
      <c r="V75" s="35"/>
      <c r="W75" s="43">
        <v>1.6</v>
      </c>
      <c r="X75" s="35">
        <v>0.0810810810810811</v>
      </c>
    </row>
    <row r="76" spans="1:24">
      <c r="A76" s="32">
        <v>45943</v>
      </c>
      <c r="B76" t="s">
        <v>5</v>
      </c>
      <c r="C76" t="s">
        <v>35</v>
      </c>
      <c r="D76" s="43">
        <v>2.185</v>
      </c>
      <c r="E76" s="43">
        <v>2.19</v>
      </c>
      <c r="F76" s="43">
        <v>2.18</v>
      </c>
      <c r="G76" s="43">
        <v>2.18</v>
      </c>
      <c r="H76" s="43">
        <v>23082</v>
      </c>
      <c r="I76" s="34">
        <v>161615445</v>
      </c>
      <c r="J76" s="34"/>
      <c r="K76" s="44"/>
      <c r="L76" s="43">
        <v>2.185</v>
      </c>
      <c r="M76" s="43">
        <v>2.19</v>
      </c>
      <c r="N76" s="43">
        <v>2.18</v>
      </c>
      <c r="O76" t="s">
        <v>49</v>
      </c>
      <c r="P76" t="s">
        <v>49</v>
      </c>
      <c r="Q76" t="s">
        <v>50</v>
      </c>
      <c r="R76" s="43">
        <v>1.6</v>
      </c>
      <c r="S76" s="35">
        <v>0.3625</v>
      </c>
      <c r="T76" s="43">
        <v>0.58</v>
      </c>
      <c r="U76" s="36">
        <v>352321670.1</v>
      </c>
      <c r="V76" s="35"/>
      <c r="W76" s="43">
        <v>1.716</v>
      </c>
      <c r="X76" s="35">
        <v>0.472972972972973</v>
      </c>
    </row>
    <row r="77" spans="1:24">
      <c r="A77" s="32">
        <v>45944</v>
      </c>
      <c r="B77" t="s">
        <v>5</v>
      </c>
      <c r="C77" t="s">
        <v>35</v>
      </c>
      <c r="D77" s="43">
        <v>2.18</v>
      </c>
      <c r="E77" s="43">
        <v>2.19</v>
      </c>
      <c r="F77" s="43">
        <v>2.18</v>
      </c>
      <c r="G77" s="43">
        <v>2.18</v>
      </c>
      <c r="H77" s="43">
        <v>2881</v>
      </c>
      <c r="I77" s="34">
        <v>161615445</v>
      </c>
      <c r="J77" s="34"/>
      <c r="K77" s="44"/>
      <c r="L77" s="43">
        <v>2.18</v>
      </c>
      <c r="M77" s="43">
        <v>2.19</v>
      </c>
      <c r="N77" s="43">
        <v>2.18</v>
      </c>
      <c r="O77" t="s">
        <v>49</v>
      </c>
      <c r="P77" t="s">
        <v>49</v>
      </c>
      <c r="Q77" t="s">
        <v>50</v>
      </c>
      <c r="R77" s="43">
        <v>2.18</v>
      </c>
      <c r="S77" s="35">
        <v>0</v>
      </c>
      <c r="T77" s="43">
        <v>0</v>
      </c>
      <c r="U77" s="36">
        <v>352321670.1</v>
      </c>
      <c r="V77" s="35"/>
      <c r="W77" s="43">
        <v>1.832</v>
      </c>
      <c r="X77" s="35">
        <v>0.472972972972973</v>
      </c>
    </row>
    <row r="78" spans="1:24">
      <c r="A78" s="32">
        <v>45945</v>
      </c>
      <c r="B78" t="s">
        <v>5</v>
      </c>
      <c r="C78" t="s">
        <v>35</v>
      </c>
      <c r="D78" s="43">
        <v>2.19</v>
      </c>
      <c r="E78" s="43">
        <v>2.19</v>
      </c>
      <c r="F78" s="43">
        <v>2.19</v>
      </c>
      <c r="G78" s="43">
        <v>2.19</v>
      </c>
      <c r="H78" s="43">
        <v>8</v>
      </c>
      <c r="I78" s="34">
        <v>161615445</v>
      </c>
      <c r="J78" s="34"/>
      <c r="K78" s="44"/>
      <c r="L78" s="43">
        <v>2.19</v>
      </c>
      <c r="M78" s="43">
        <v>2.19</v>
      </c>
      <c r="N78" s="43">
        <v>2.19</v>
      </c>
      <c r="O78" t="s">
        <v>49</v>
      </c>
      <c r="P78" t="s">
        <v>49</v>
      </c>
      <c r="Q78" t="s">
        <v>50</v>
      </c>
      <c r="R78" s="43">
        <v>2.18</v>
      </c>
      <c r="S78" s="35">
        <v>0.00458715596330261</v>
      </c>
      <c r="T78" s="43">
        <v>0.00999999999999979</v>
      </c>
      <c r="U78" s="36">
        <v>353937824.55</v>
      </c>
      <c r="V78" s="35"/>
      <c r="W78" s="43">
        <v>1.95</v>
      </c>
      <c r="X78" s="35">
        <v>0.47972972972973</v>
      </c>
    </row>
    <row r="79" spans="1:24">
      <c r="A79" s="32">
        <v>45946</v>
      </c>
      <c r="B79" t="s">
        <v>5</v>
      </c>
      <c r="C79" t="s">
        <v>35</v>
      </c>
      <c r="D79" s="43">
        <v>0</v>
      </c>
      <c r="E79" s="43">
        <v>0</v>
      </c>
      <c r="F79" s="43">
        <v>0</v>
      </c>
      <c r="G79" s="43">
        <v>2.19</v>
      </c>
      <c r="H79" s="43">
        <v>0</v>
      </c>
      <c r="I79" s="34">
        <v>161615445</v>
      </c>
      <c r="J79" s="34"/>
      <c r="K79" s="44"/>
      <c r="L79" s="43">
        <v>2.19</v>
      </c>
      <c r="M79" s="43">
        <v>2.19</v>
      </c>
      <c r="N79" s="43">
        <v>2.19</v>
      </c>
      <c r="O79" t="s">
        <v>51</v>
      </c>
      <c r="P79" t="s">
        <v>51</v>
      </c>
      <c r="Q79" t="s">
        <v>50</v>
      </c>
      <c r="R79" s="43">
        <v>2.19</v>
      </c>
      <c r="S79" s="35">
        <v>0</v>
      </c>
      <c r="T79" s="43">
        <v>0</v>
      </c>
      <c r="U79" s="36">
        <v>353937824.55</v>
      </c>
      <c r="V79" s="35"/>
      <c r="W79" s="43">
        <v>2.068</v>
      </c>
      <c r="X79" s="35">
        <v>0.47972972972973</v>
      </c>
    </row>
    <row r="80" spans="1:24">
      <c r="A80" s="32">
        <v>45947</v>
      </c>
      <c r="B80" t="s">
        <v>5</v>
      </c>
      <c r="C80" t="s">
        <v>35</v>
      </c>
      <c r="D80" s="43">
        <v>2.19</v>
      </c>
      <c r="E80" s="43">
        <v>2.19</v>
      </c>
      <c r="F80" s="43">
        <v>2.18</v>
      </c>
      <c r="G80" s="43">
        <v>2.18</v>
      </c>
      <c r="H80" s="43">
        <v>17</v>
      </c>
      <c r="I80" s="34">
        <v>161615445</v>
      </c>
      <c r="J80" s="34"/>
      <c r="K80" s="44"/>
      <c r="L80" s="43">
        <v>2.19</v>
      </c>
      <c r="M80" s="43">
        <v>2.19</v>
      </c>
      <c r="N80" s="43">
        <v>2.18</v>
      </c>
      <c r="O80" t="s">
        <v>49</v>
      </c>
      <c r="P80" t="s">
        <v>49</v>
      </c>
      <c r="Q80" t="s">
        <v>50</v>
      </c>
      <c r="R80" s="43">
        <v>2.19</v>
      </c>
      <c r="S80" s="35">
        <v>-0.00456621004566204</v>
      </c>
      <c r="T80" s="43">
        <v>-0.00999999999999979</v>
      </c>
      <c r="U80" s="36">
        <v>352321670.1</v>
      </c>
      <c r="V80" s="35"/>
      <c r="W80" s="43">
        <v>2.184</v>
      </c>
      <c r="X80" s="35">
        <v>0.472972972972973</v>
      </c>
    </row>
    <row r="81" spans="1:24">
      <c r="A81" s="32">
        <v>45950</v>
      </c>
      <c r="B81" t="s">
        <v>5</v>
      </c>
      <c r="C81" t="s">
        <v>35</v>
      </c>
      <c r="D81" s="43">
        <v>2.19</v>
      </c>
      <c r="E81" s="43">
        <v>2.19</v>
      </c>
      <c r="F81" s="43">
        <v>2.18</v>
      </c>
      <c r="G81" s="43">
        <v>2.18</v>
      </c>
      <c r="H81" s="43">
        <v>2</v>
      </c>
      <c r="I81" s="34">
        <v>161615445</v>
      </c>
      <c r="J81" s="34"/>
      <c r="K81" s="44"/>
      <c r="L81" s="43">
        <v>2.19</v>
      </c>
      <c r="M81" s="43">
        <v>2.19</v>
      </c>
      <c r="N81" s="43">
        <v>2.18</v>
      </c>
      <c r="O81" t="s">
        <v>49</v>
      </c>
      <c r="P81" t="s">
        <v>49</v>
      </c>
      <c r="Q81" t="s">
        <v>50</v>
      </c>
      <c r="R81" s="43">
        <v>2.18</v>
      </c>
      <c r="S81" s="35">
        <v>0</v>
      </c>
      <c r="T81" s="43">
        <v>0</v>
      </c>
      <c r="U81" s="36">
        <v>352321670.1</v>
      </c>
      <c r="V81" s="35"/>
      <c r="W81" s="43">
        <v>2.184</v>
      </c>
      <c r="X81" s="35">
        <v>0.472972972972973</v>
      </c>
    </row>
    <row r="82" spans="1:24">
      <c r="A82" s="32">
        <v>45951</v>
      </c>
      <c r="B82" t="s">
        <v>5</v>
      </c>
      <c r="C82" t="s">
        <v>35</v>
      </c>
      <c r="D82" s="43">
        <v>2.18</v>
      </c>
      <c r="E82" s="43">
        <v>2.18</v>
      </c>
      <c r="F82" s="43">
        <v>2.18</v>
      </c>
      <c r="G82" s="43">
        <v>2.18</v>
      </c>
      <c r="H82" s="43">
        <v>37</v>
      </c>
      <c r="I82" s="34">
        <v>161615445</v>
      </c>
      <c r="J82" s="34"/>
      <c r="K82" s="44"/>
      <c r="L82" s="43">
        <v>2.18</v>
      </c>
      <c r="M82" s="43">
        <v>2.18</v>
      </c>
      <c r="N82" s="43">
        <v>2.18</v>
      </c>
      <c r="O82" t="s">
        <v>49</v>
      </c>
      <c r="P82" t="s">
        <v>49</v>
      </c>
      <c r="Q82" t="s">
        <v>50</v>
      </c>
      <c r="R82" s="43">
        <v>2.18</v>
      </c>
      <c r="S82" s="35">
        <v>0</v>
      </c>
      <c r="T82" s="43">
        <v>0</v>
      </c>
      <c r="U82" s="36">
        <v>352321670.1</v>
      </c>
      <c r="V82" s="35"/>
      <c r="W82" s="43">
        <v>2.184</v>
      </c>
      <c r="X82" s="35">
        <v>0.472972972972973</v>
      </c>
    </row>
    <row r="83" spans="1:24">
      <c r="A83" s="32">
        <v>45952</v>
      </c>
      <c r="B83" t="s">
        <v>5</v>
      </c>
      <c r="C83" t="s">
        <v>35</v>
      </c>
      <c r="D83" s="43">
        <v>2.19</v>
      </c>
      <c r="E83" s="43">
        <v>2.19</v>
      </c>
      <c r="F83" s="43">
        <v>2.19</v>
      </c>
      <c r="G83" s="43">
        <v>2.19</v>
      </c>
      <c r="H83" s="43">
        <v>5</v>
      </c>
      <c r="I83" s="34">
        <v>161615445</v>
      </c>
      <c r="J83" s="34"/>
      <c r="K83" s="44"/>
      <c r="L83" s="43">
        <v>2.19</v>
      </c>
      <c r="M83" s="43">
        <v>2.19</v>
      </c>
      <c r="N83" s="43">
        <v>2.19</v>
      </c>
      <c r="O83" t="s">
        <v>49</v>
      </c>
      <c r="P83" t="s">
        <v>49</v>
      </c>
      <c r="Q83" t="s">
        <v>50</v>
      </c>
      <c r="R83" s="43">
        <v>2.18</v>
      </c>
      <c r="S83" s="35">
        <v>0.00458715596330261</v>
      </c>
      <c r="T83" s="43">
        <v>0.00999999999999979</v>
      </c>
      <c r="U83" s="36">
        <v>353937824.55</v>
      </c>
      <c r="V83" s="35"/>
      <c r="W83" s="43">
        <v>2.184</v>
      </c>
      <c r="X83" s="35">
        <v>0.47972972972973</v>
      </c>
    </row>
    <row r="84" spans="1:24">
      <c r="A84" s="32">
        <v>45953</v>
      </c>
      <c r="B84" t="s">
        <v>5</v>
      </c>
      <c r="C84" t="s">
        <v>35</v>
      </c>
      <c r="D84" s="43">
        <v>0</v>
      </c>
      <c r="E84" s="43">
        <v>0</v>
      </c>
      <c r="F84" s="43">
        <v>0</v>
      </c>
      <c r="G84" s="43">
        <v>2.19</v>
      </c>
      <c r="H84" s="43">
        <v>0</v>
      </c>
      <c r="I84" s="34">
        <v>161615445</v>
      </c>
      <c r="J84" s="34"/>
      <c r="K84" s="44"/>
      <c r="L84" s="43">
        <v>2.19</v>
      </c>
      <c r="M84" s="43">
        <v>2.19</v>
      </c>
      <c r="N84" s="43">
        <v>2.19</v>
      </c>
      <c r="O84" t="s">
        <v>51</v>
      </c>
      <c r="P84" t="s">
        <v>51</v>
      </c>
      <c r="Q84" t="s">
        <v>50</v>
      </c>
      <c r="R84" s="43">
        <v>2.19</v>
      </c>
      <c r="S84" s="35">
        <v>0</v>
      </c>
      <c r="T84" s="43">
        <v>0</v>
      </c>
      <c r="U84" s="36">
        <v>353937824.55</v>
      </c>
      <c r="V84" s="35"/>
      <c r="W84" s="43">
        <v>2.184</v>
      </c>
      <c r="X84" s="35">
        <v>0.47972972972973</v>
      </c>
    </row>
    <row r="85" spans="1:24">
      <c r="A85" s="32">
        <v>45954</v>
      </c>
      <c r="B85" t="s">
        <v>5</v>
      </c>
      <c r="C85" t="s">
        <v>35</v>
      </c>
      <c r="D85" s="43">
        <v>2.19</v>
      </c>
      <c r="E85" s="43">
        <v>2.19</v>
      </c>
      <c r="F85" s="43">
        <v>2.18</v>
      </c>
      <c r="G85" s="43">
        <v>2.18</v>
      </c>
      <c r="H85" s="43">
        <v>5</v>
      </c>
      <c r="I85" s="34">
        <v>161615445</v>
      </c>
      <c r="J85" s="34"/>
      <c r="K85" s="44"/>
      <c r="L85" s="43">
        <v>2.19</v>
      </c>
      <c r="M85" s="43">
        <v>2.19</v>
      </c>
      <c r="N85" s="43">
        <v>2.18</v>
      </c>
      <c r="O85" t="s">
        <v>49</v>
      </c>
      <c r="P85" t="s">
        <v>49</v>
      </c>
      <c r="Q85" t="s">
        <v>50</v>
      </c>
      <c r="R85" s="43">
        <v>2.19</v>
      </c>
      <c r="S85" s="35">
        <v>-0.00456621004566204</v>
      </c>
      <c r="T85" s="43">
        <v>-0.00999999999999979</v>
      </c>
      <c r="U85" s="36">
        <v>352321670.1</v>
      </c>
      <c r="V85" s="35"/>
      <c r="W85" s="43">
        <v>2.184</v>
      </c>
      <c r="X85" s="35">
        <v>0.472972972972973</v>
      </c>
    </row>
    <row r="86" spans="1:24">
      <c r="A86" s="32">
        <v>45957</v>
      </c>
      <c r="B86" t="s">
        <v>5</v>
      </c>
      <c r="C86" t="s">
        <v>35</v>
      </c>
      <c r="D86" s="43">
        <v>2.19</v>
      </c>
      <c r="E86" s="43">
        <v>2.19</v>
      </c>
      <c r="F86" s="43">
        <v>2.18</v>
      </c>
      <c r="G86" s="43">
        <v>2.18</v>
      </c>
      <c r="H86" s="43">
        <v>2</v>
      </c>
      <c r="I86" s="34">
        <v>161615445</v>
      </c>
      <c r="J86" s="34"/>
      <c r="K86" s="44"/>
      <c r="L86" s="43">
        <v>2.19</v>
      </c>
      <c r="M86" s="43">
        <v>2.19</v>
      </c>
      <c r="N86" s="43">
        <v>2.18</v>
      </c>
      <c r="O86" t="s">
        <v>49</v>
      </c>
      <c r="P86" t="s">
        <v>49</v>
      </c>
      <c r="Q86" t="s">
        <v>50</v>
      </c>
      <c r="R86" s="43">
        <v>2.18</v>
      </c>
      <c r="S86" s="35">
        <v>0</v>
      </c>
      <c r="T86" s="43">
        <v>0</v>
      </c>
      <c r="U86" s="36">
        <v>352321670.1</v>
      </c>
      <c r="V86" s="35"/>
      <c r="W86" s="43">
        <v>2.184</v>
      </c>
      <c r="X86" s="35">
        <v>0.472972972972973</v>
      </c>
    </row>
    <row r="87" spans="1:24">
      <c r="A87" s="32">
        <v>45958</v>
      </c>
      <c r="B87" t="s">
        <v>5</v>
      </c>
      <c r="C87" t="s">
        <v>35</v>
      </c>
      <c r="D87" s="43">
        <v>2.19</v>
      </c>
      <c r="E87" s="43">
        <v>2.19</v>
      </c>
      <c r="F87" s="43">
        <v>2.18</v>
      </c>
      <c r="G87" s="43">
        <v>2.18</v>
      </c>
      <c r="H87" s="43">
        <v>920</v>
      </c>
      <c r="I87" s="34">
        <v>161615445</v>
      </c>
      <c r="J87" s="34"/>
      <c r="K87" s="44"/>
      <c r="L87" s="43">
        <v>2.19</v>
      </c>
      <c r="M87" s="43">
        <v>2.19</v>
      </c>
      <c r="N87" s="43">
        <v>2.18</v>
      </c>
      <c r="O87" t="s">
        <v>49</v>
      </c>
      <c r="P87" t="s">
        <v>49</v>
      </c>
      <c r="Q87" t="s">
        <v>50</v>
      </c>
      <c r="R87" s="43">
        <v>2.18</v>
      </c>
      <c r="S87" s="35">
        <v>0</v>
      </c>
      <c r="T87" s="43">
        <v>0</v>
      </c>
      <c r="U87" s="36">
        <v>352321670.1</v>
      </c>
      <c r="V87" s="35"/>
      <c r="W87" s="43">
        <v>2.184</v>
      </c>
      <c r="X87" s="35">
        <v>0.472972972972973</v>
      </c>
    </row>
    <row r="88" spans="1:24">
      <c r="A88" s="32">
        <v>45959</v>
      </c>
      <c r="B88" t="s">
        <v>5</v>
      </c>
      <c r="C88" t="s">
        <v>35</v>
      </c>
      <c r="D88" s="43">
        <v>2.18</v>
      </c>
      <c r="E88" s="43">
        <v>2.18</v>
      </c>
      <c r="F88" s="43">
        <v>2.18</v>
      </c>
      <c r="G88" s="43">
        <v>2.18</v>
      </c>
      <c r="H88" s="43">
        <v>56</v>
      </c>
      <c r="I88" s="34">
        <v>161615445</v>
      </c>
      <c r="J88" s="34"/>
      <c r="K88" s="44"/>
      <c r="L88" s="43">
        <v>2.18</v>
      </c>
      <c r="M88" s="43">
        <v>2.18</v>
      </c>
      <c r="N88" s="43">
        <v>2.18</v>
      </c>
      <c r="O88" t="s">
        <v>49</v>
      </c>
      <c r="P88" t="s">
        <v>49</v>
      </c>
      <c r="Q88" t="s">
        <v>50</v>
      </c>
      <c r="R88" s="43">
        <v>2.18</v>
      </c>
      <c r="S88" s="35">
        <v>0</v>
      </c>
      <c r="T88" s="43">
        <v>0</v>
      </c>
      <c r="U88" s="36">
        <v>352321670.1</v>
      </c>
      <c r="V88" s="35"/>
      <c r="W88" s="43">
        <v>2.182</v>
      </c>
      <c r="X88" s="35">
        <v>0.472972972972973</v>
      </c>
    </row>
    <row r="89" spans="1:24">
      <c r="A89" s="32">
        <v>45960</v>
      </c>
      <c r="B89" t="s">
        <v>5</v>
      </c>
      <c r="C89" t="s">
        <v>35</v>
      </c>
      <c r="D89" s="43">
        <v>2.19</v>
      </c>
      <c r="E89" s="43">
        <v>2.19</v>
      </c>
      <c r="F89" s="43">
        <v>2.19</v>
      </c>
      <c r="G89" s="43">
        <v>2.19</v>
      </c>
      <c r="H89" s="43">
        <v>2396</v>
      </c>
      <c r="I89" s="34">
        <v>161615445</v>
      </c>
      <c r="J89" s="34"/>
      <c r="K89" s="44"/>
      <c r="L89" s="43">
        <v>2.19</v>
      </c>
      <c r="M89" s="43">
        <v>2.19</v>
      </c>
      <c r="N89" s="43">
        <v>2.19</v>
      </c>
      <c r="O89" t="s">
        <v>49</v>
      </c>
      <c r="P89" t="s">
        <v>49</v>
      </c>
      <c r="Q89" t="s">
        <v>50</v>
      </c>
      <c r="R89" s="43">
        <v>2.18</v>
      </c>
      <c r="S89" s="35">
        <v>0.00458715596330261</v>
      </c>
      <c r="T89" s="43">
        <v>0.00999999999999979</v>
      </c>
      <c r="U89" s="36">
        <v>353937824.55</v>
      </c>
      <c r="V89" s="35"/>
      <c r="W89" s="43">
        <v>2.182</v>
      </c>
      <c r="X89" s="35">
        <v>0.47972972972973</v>
      </c>
    </row>
    <row r="90" spans="1:24">
      <c r="A90" s="32">
        <v>45961</v>
      </c>
      <c r="B90" t="s">
        <v>5</v>
      </c>
      <c r="C90" t="s">
        <v>35</v>
      </c>
      <c r="D90" s="43">
        <v>2.18</v>
      </c>
      <c r="E90" s="43">
        <v>2.18</v>
      </c>
      <c r="F90" s="43">
        <v>2.18</v>
      </c>
      <c r="G90" s="43">
        <v>2.18</v>
      </c>
      <c r="H90" s="43">
        <v>745</v>
      </c>
      <c r="I90" s="34">
        <v>161615445</v>
      </c>
      <c r="J90" s="34"/>
      <c r="K90" s="44"/>
      <c r="L90" s="43">
        <v>2.18</v>
      </c>
      <c r="M90" s="43">
        <v>2.18</v>
      </c>
      <c r="N90" s="43">
        <v>2.18</v>
      </c>
      <c r="O90" t="s">
        <v>49</v>
      </c>
      <c r="P90" t="s">
        <v>49</v>
      </c>
      <c r="Q90" t="s">
        <v>50</v>
      </c>
      <c r="R90" s="43">
        <v>2.19</v>
      </c>
      <c r="S90" s="35">
        <v>-0.00456621004566204</v>
      </c>
      <c r="T90" s="43">
        <v>-0.00999999999999979</v>
      </c>
      <c r="U90" s="36">
        <v>352321670.1</v>
      </c>
      <c r="V90" s="35"/>
      <c r="W90" s="43">
        <v>2.182</v>
      </c>
      <c r="X90" s="35">
        <v>0.472972972972973</v>
      </c>
    </row>
    <row r="91" spans="1:24">
      <c r="A91" s="32">
        <v>45964</v>
      </c>
      <c r="B91" t="s">
        <v>5</v>
      </c>
      <c r="C91" t="s">
        <v>35</v>
      </c>
      <c r="D91" s="43">
        <v>0</v>
      </c>
      <c r="E91" s="43">
        <v>0</v>
      </c>
      <c r="F91" s="43">
        <v>0</v>
      </c>
      <c r="G91" s="43">
        <v>2.18</v>
      </c>
      <c r="H91" s="43">
        <v>0</v>
      </c>
      <c r="I91" s="34">
        <v>161615445</v>
      </c>
      <c r="J91" s="34"/>
      <c r="K91" s="44"/>
      <c r="L91" s="43">
        <v>2.18</v>
      </c>
      <c r="M91" s="43">
        <v>2.18</v>
      </c>
      <c r="N91" s="43">
        <v>2.18</v>
      </c>
      <c r="O91" t="s">
        <v>51</v>
      </c>
      <c r="P91" t="s">
        <v>51</v>
      </c>
      <c r="Q91" t="s">
        <v>50</v>
      </c>
      <c r="R91" s="43">
        <v>2.18</v>
      </c>
      <c r="S91" s="35">
        <v>0</v>
      </c>
      <c r="T91" s="43">
        <v>0</v>
      </c>
      <c r="U91" s="36">
        <v>352321670.1</v>
      </c>
      <c r="V91" s="35"/>
      <c r="W91" s="43">
        <v>2.182</v>
      </c>
      <c r="X91" s="35">
        <v>0.472972972972973</v>
      </c>
    </row>
    <row r="92" spans="1:24">
      <c r="A92" s="32">
        <v>45965</v>
      </c>
      <c r="B92" t="s">
        <v>5</v>
      </c>
      <c r="C92" t="s">
        <v>35</v>
      </c>
      <c r="D92" s="43">
        <v>0</v>
      </c>
      <c r="E92" s="43">
        <v>0</v>
      </c>
      <c r="F92" s="43">
        <v>0</v>
      </c>
      <c r="G92" s="43">
        <v>2.18</v>
      </c>
      <c r="H92" s="43">
        <v>0</v>
      </c>
      <c r="I92" s="34">
        <v>161615445</v>
      </c>
      <c r="J92" s="34"/>
      <c r="K92" s="44"/>
      <c r="L92" s="43">
        <v>2.18</v>
      </c>
      <c r="M92" s="43">
        <v>2.18</v>
      </c>
      <c r="N92" s="43">
        <v>2.18</v>
      </c>
      <c r="O92" t="s">
        <v>51</v>
      </c>
      <c r="P92" t="s">
        <v>51</v>
      </c>
      <c r="Q92" t="s">
        <v>50</v>
      </c>
      <c r="R92" s="43">
        <v>2.18</v>
      </c>
      <c r="S92" s="35">
        <v>0</v>
      </c>
      <c r="T92" s="43">
        <v>0</v>
      </c>
      <c r="U92" s="36">
        <v>352321670.1</v>
      </c>
      <c r="V92" s="35"/>
      <c r="W92" s="43">
        <v>2.182</v>
      </c>
      <c r="X92" s="35">
        <v>0.472972972972973</v>
      </c>
    </row>
    <row r="93" spans="1:24">
      <c r="A93" s="32">
        <v>45966</v>
      </c>
      <c r="B93" t="s">
        <v>5</v>
      </c>
      <c r="C93" t="s">
        <v>35</v>
      </c>
      <c r="D93" s="43">
        <v>0</v>
      </c>
      <c r="E93" s="43">
        <v>0</v>
      </c>
      <c r="F93" s="43">
        <v>0</v>
      </c>
      <c r="G93" s="43">
        <v>2.18</v>
      </c>
      <c r="H93" s="43">
        <v>0</v>
      </c>
      <c r="I93" s="34">
        <v>161615445</v>
      </c>
      <c r="J93" s="34"/>
      <c r="K93" s="44"/>
      <c r="L93" s="43">
        <v>2.18</v>
      </c>
      <c r="M93" s="43">
        <v>2.18</v>
      </c>
      <c r="N93" s="43">
        <v>2.18</v>
      </c>
      <c r="O93" t="s">
        <v>51</v>
      </c>
      <c r="P93" t="s">
        <v>51</v>
      </c>
      <c r="Q93" t="s">
        <v>50</v>
      </c>
      <c r="R93" s="43">
        <v>2.18</v>
      </c>
      <c r="S93" s="35">
        <v>0</v>
      </c>
      <c r="T93" s="43">
        <v>0</v>
      </c>
      <c r="U93" s="36">
        <v>352321670.1</v>
      </c>
      <c r="V93" s="35"/>
      <c r="W93" s="43">
        <v>2.182</v>
      </c>
      <c r="X93" s="35">
        <v>0.472972972972973</v>
      </c>
    </row>
  </sheetData>
  <autoFilter xmlns:etc="http://www.wps.cn/officeDocument/2017/etCustomData" ref="A1:X93"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workbookViewId="0">
      <pane ySplit="1" topLeftCell="A2" activePane="bottomLeft" state="frozen"/>
      <selection/>
      <selection pane="bottomLeft" activeCell="A1" sqref="A1"/>
    </sheetView>
  </sheetViews>
  <sheetFormatPr defaultColWidth="9" defaultRowHeight="17.6" outlineLevelCol="2"/>
  <cols>
    <col min="1" max="1" width="28" customWidth="1"/>
    <col min="2" max="2" width="20" customWidth="1"/>
    <col min="3" max="3" width="65" customWidth="1"/>
  </cols>
  <sheetData>
    <row r="1" ht="32" customHeight="1" spans="1:3">
      <c r="A1" s="6" t="s">
        <v>52</v>
      </c>
      <c r="B1" s="6" t="s">
        <v>53</v>
      </c>
      <c r="C1" s="6" t="s">
        <v>54</v>
      </c>
    </row>
    <row r="2" ht="17.65" spans="1:3">
      <c r="A2" t="s">
        <v>55</v>
      </c>
      <c r="B2">
        <v>92</v>
      </c>
      <c r="C2" s="3" t="s">
        <v>56</v>
      </c>
    </row>
    <row r="3" ht="17.65" spans="1:3">
      <c r="A3" t="s">
        <v>57</v>
      </c>
      <c r="B3" s="38">
        <v>45839</v>
      </c>
      <c r="C3" s="3" t="s">
        <v>58</v>
      </c>
    </row>
    <row r="4" ht="17.65" spans="1:3">
      <c r="A4" t="s">
        <v>59</v>
      </c>
      <c r="B4" s="38">
        <v>45966</v>
      </c>
      <c r="C4" s="3" t="s">
        <v>58</v>
      </c>
    </row>
    <row r="5" ht="17.65" spans="1:3">
      <c r="A5" t="s">
        <v>60</v>
      </c>
      <c r="B5">
        <v>1.48</v>
      </c>
      <c r="C5" s="3" t="s">
        <v>61</v>
      </c>
    </row>
    <row r="6" ht="17.65" spans="1:3">
      <c r="A6" t="s">
        <v>62</v>
      </c>
      <c r="B6">
        <v>2.19</v>
      </c>
      <c r="C6" s="3" t="s">
        <v>61</v>
      </c>
    </row>
    <row r="7" ht="17.65" spans="1:3">
      <c r="A7" t="s">
        <v>63</v>
      </c>
      <c r="B7">
        <v>1.72010869565217</v>
      </c>
      <c r="C7" s="3" t="s">
        <v>61</v>
      </c>
    </row>
    <row r="8" ht="17.65" spans="1:3">
      <c r="A8" t="s">
        <v>64</v>
      </c>
      <c r="B8">
        <v>76552</v>
      </c>
      <c r="C8" s="3" t="s">
        <v>65</v>
      </c>
    </row>
    <row r="9" ht="17.65" spans="1:3">
      <c r="A9" t="s">
        <v>66</v>
      </c>
      <c r="B9">
        <v>832.086956521739</v>
      </c>
      <c r="C9" s="3" t="s">
        <v>67</v>
      </c>
    </row>
    <row r="10" ht="17.65" spans="1:3">
      <c r="A10" t="s">
        <v>68</v>
      </c>
      <c r="B10">
        <v>53</v>
      </c>
      <c r="C10" s="3" t="s">
        <v>69</v>
      </c>
    </row>
    <row r="11" ht="17.65" spans="1:3">
      <c r="A11" t="s">
        <v>70</v>
      </c>
      <c r="B11">
        <v>92</v>
      </c>
      <c r="C11" s="3" t="s">
        <v>71</v>
      </c>
    </row>
    <row r="12" ht="17.65" spans="1:3">
      <c r="A12" t="s">
        <v>72</v>
      </c>
      <c r="B12">
        <v>92</v>
      </c>
      <c r="C12" s="3" t="s">
        <v>73</v>
      </c>
    </row>
  </sheetData>
  <autoFilter xmlns:etc="http://www.wps.cn/officeDocument/2017/etCustomData" ref="A1:C12"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1"/>
  <sheetViews>
    <sheetView workbookViewId="0">
      <pane ySplit="2" topLeftCell="A3" activePane="bottomLeft" state="frozen"/>
      <selection/>
      <selection pane="bottomLeft" activeCell="A1" sqref="A1:M1"/>
    </sheetView>
  </sheetViews>
  <sheetFormatPr defaultColWidth="9" defaultRowHeight="17.6"/>
  <cols>
    <col min="1" max="1" width="28" customWidth="1"/>
    <col min="2" max="10" width="18" customWidth="1"/>
    <col min="11" max="11" width="19" customWidth="1"/>
    <col min="12" max="12" width="17" customWidth="1"/>
    <col min="13" max="13" width="2" customWidth="1"/>
  </cols>
  <sheetData>
    <row r="1" ht="32" customHeight="1" spans="1:13">
      <c r="A1" s="6" t="s">
        <v>74</v>
      </c>
      <c r="B1" s="6"/>
      <c r="C1" s="6"/>
      <c r="D1" s="6"/>
      <c r="E1" s="6"/>
      <c r="F1" s="6"/>
      <c r="G1" s="6"/>
      <c r="H1" s="6"/>
      <c r="I1" s="6"/>
      <c r="J1" s="6"/>
      <c r="K1" s="6"/>
      <c r="L1" s="6"/>
      <c r="M1" s="6"/>
    </row>
    <row r="2" spans="1:13">
      <c r="A2" t="s">
        <v>75</v>
      </c>
      <c r="B2" t="s">
        <v>30</v>
      </c>
      <c r="C2" t="s">
        <v>31</v>
      </c>
      <c r="D2" t="s">
        <v>76</v>
      </c>
      <c r="E2" t="s">
        <v>42</v>
      </c>
      <c r="F2" t="s">
        <v>43</v>
      </c>
      <c r="G2" t="s">
        <v>44</v>
      </c>
      <c r="H2" t="s">
        <v>45</v>
      </c>
      <c r="I2" t="s">
        <v>46</v>
      </c>
      <c r="J2" t="s">
        <v>47</v>
      </c>
      <c r="K2" t="s">
        <v>48</v>
      </c>
      <c r="L2" t="s">
        <v>77</v>
      </c>
    </row>
    <row r="3" spans="1:13">
      <c r="A3" s="32">
        <v>45839</v>
      </c>
      <c r="B3" s="33">
        <v>1.48</v>
      </c>
      <c r="C3" s="34">
        <v>727</v>
      </c>
      <c r="D3" s="34">
        <v>161623972</v>
      </c>
      <c r="E3" s="33"/>
      <c r="F3" s="35"/>
      <c r="G3" s="33"/>
      <c r="H3" s="36">
        <f t="shared" ref="H3:H66" si="0">B3*D3</f>
        <v>239203478.56</v>
      </c>
      <c r="I3" s="35"/>
      <c r="J3" s="33">
        <f>AVERAGE(B3:B3)</f>
        <v>1.48</v>
      </c>
      <c r="K3" s="35">
        <f t="shared" ref="K3:K66" si="1">B3/$B$3-1</f>
        <v>0</v>
      </c>
      <c r="L3" s="35" t="s">
        <v>51</v>
      </c>
    </row>
    <row r="4" spans="1:13">
      <c r="A4" s="32">
        <v>45840</v>
      </c>
      <c r="B4" s="33">
        <v>1.63</v>
      </c>
      <c r="C4" s="34">
        <v>5059</v>
      </c>
      <c r="D4" s="34">
        <v>161623972</v>
      </c>
      <c r="E4" s="33">
        <v>1.63</v>
      </c>
      <c r="F4" s="35">
        <f t="shared" ref="F4:F67" si="2">B4/B3-1</f>
        <v>0.101351351351351</v>
      </c>
      <c r="G4" s="33">
        <f t="shared" ref="G4:G67" si="3">B4-B3</f>
        <v>0.15</v>
      </c>
      <c r="H4" s="36">
        <f t="shared" si="0"/>
        <v>263447074.36</v>
      </c>
      <c r="I4" s="35"/>
      <c r="J4" s="33">
        <f>AVERAGE(B3:B4)</f>
        <v>1.555</v>
      </c>
      <c r="K4" s="35">
        <f t="shared" si="1"/>
        <v>0.101351351351351</v>
      </c>
      <c r="L4" s="35" t="s">
        <v>51</v>
      </c>
    </row>
    <row r="5" spans="1:13">
      <c r="A5" s="32">
        <v>45841</v>
      </c>
      <c r="B5" s="33">
        <v>1.68</v>
      </c>
      <c r="C5" s="34">
        <v>72</v>
      </c>
      <c r="D5" s="34">
        <v>161623972</v>
      </c>
      <c r="E5" s="33">
        <v>1.68</v>
      </c>
      <c r="F5" s="35">
        <f t="shared" si="2"/>
        <v>0.0306748466257669</v>
      </c>
      <c r="G5" s="33">
        <f t="shared" si="3"/>
        <v>0.05</v>
      </c>
      <c r="H5" s="36">
        <f t="shared" si="0"/>
        <v>271528272.96</v>
      </c>
      <c r="I5" s="35"/>
      <c r="J5" s="33">
        <f>AVERAGE(B3:B5)</f>
        <v>1.59666666666667</v>
      </c>
      <c r="K5" s="35">
        <f t="shared" si="1"/>
        <v>0.135135135135135</v>
      </c>
      <c r="L5" s="35" t="s">
        <v>51</v>
      </c>
    </row>
    <row r="6" spans="1:13">
      <c r="A6" s="32">
        <v>45842</v>
      </c>
      <c r="B6" s="33">
        <v>1.7</v>
      </c>
      <c r="C6" s="34">
        <v>8431</v>
      </c>
      <c r="D6" s="34">
        <v>161623972</v>
      </c>
      <c r="E6" s="33">
        <v>1.7</v>
      </c>
      <c r="F6" s="35">
        <f t="shared" si="2"/>
        <v>0.0119047619047619</v>
      </c>
      <c r="G6" s="33">
        <f t="shared" si="3"/>
        <v>0.02</v>
      </c>
      <c r="H6" s="36">
        <f t="shared" si="0"/>
        <v>274760752.4</v>
      </c>
      <c r="I6" s="35"/>
      <c r="J6" s="33">
        <f>AVERAGE(B3:B6)</f>
        <v>1.6225</v>
      </c>
      <c r="K6" s="35">
        <f t="shared" si="1"/>
        <v>0.148648648648649</v>
      </c>
      <c r="L6" s="35" t="s">
        <v>51</v>
      </c>
    </row>
    <row r="7" spans="1:13">
      <c r="A7" s="32">
        <v>45845</v>
      </c>
      <c r="B7" s="33">
        <v>1.765</v>
      </c>
      <c r="C7" s="34">
        <v>4914</v>
      </c>
      <c r="D7" s="34">
        <v>161623972</v>
      </c>
      <c r="E7" s="33">
        <v>1.765</v>
      </c>
      <c r="F7" s="35">
        <f t="shared" si="2"/>
        <v>0.0382352941176469</v>
      </c>
      <c r="G7" s="33">
        <f t="shared" si="3"/>
        <v>0.0649999999999999</v>
      </c>
      <c r="H7" s="36">
        <f t="shared" si="0"/>
        <v>285266310.58</v>
      </c>
      <c r="I7" s="35"/>
      <c r="J7" s="33">
        <f t="shared" ref="J7:J70" si="4">AVERAGE(B3:B7)</f>
        <v>1.651</v>
      </c>
      <c r="K7" s="35">
        <f t="shared" si="1"/>
        <v>0.192567567567568</v>
      </c>
      <c r="L7" s="35" t="s">
        <v>51</v>
      </c>
    </row>
    <row r="8" spans="1:13">
      <c r="A8" s="32">
        <v>45846</v>
      </c>
      <c r="B8" s="33">
        <v>1.765</v>
      </c>
      <c r="C8" s="34">
        <v>0</v>
      </c>
      <c r="D8" s="34">
        <v>161623972</v>
      </c>
      <c r="E8" s="33">
        <v>1.765</v>
      </c>
      <c r="F8" s="35">
        <f t="shared" si="2"/>
        <v>0</v>
      </c>
      <c r="G8" s="33">
        <f t="shared" si="3"/>
        <v>0</v>
      </c>
      <c r="H8" s="36">
        <f t="shared" si="0"/>
        <v>285266310.58</v>
      </c>
      <c r="I8" s="35"/>
      <c r="J8" s="33">
        <f t="shared" si="4"/>
        <v>1.708</v>
      </c>
      <c r="K8" s="35">
        <f t="shared" si="1"/>
        <v>0.192567567567568</v>
      </c>
      <c r="L8" s="35" t="s">
        <v>49</v>
      </c>
    </row>
    <row r="9" spans="1:13">
      <c r="A9" s="32">
        <v>45847</v>
      </c>
      <c r="B9" s="33">
        <v>1.765</v>
      </c>
      <c r="C9" s="34">
        <v>0</v>
      </c>
      <c r="D9" s="34">
        <v>161623972</v>
      </c>
      <c r="E9" s="33">
        <v>1.765</v>
      </c>
      <c r="F9" s="35">
        <f t="shared" si="2"/>
        <v>0</v>
      </c>
      <c r="G9" s="33">
        <f t="shared" si="3"/>
        <v>0</v>
      </c>
      <c r="H9" s="36">
        <f t="shared" si="0"/>
        <v>285266310.58</v>
      </c>
      <c r="I9" s="35"/>
      <c r="J9" s="33">
        <f t="shared" si="4"/>
        <v>1.735</v>
      </c>
      <c r="K9" s="35">
        <f t="shared" si="1"/>
        <v>0.192567567567568</v>
      </c>
      <c r="L9" s="35" t="s">
        <v>49</v>
      </c>
    </row>
    <row r="10" spans="1:13">
      <c r="A10" s="32">
        <v>45848</v>
      </c>
      <c r="B10" s="33">
        <v>1.765</v>
      </c>
      <c r="C10" s="34">
        <v>0</v>
      </c>
      <c r="D10" s="34">
        <v>161623972</v>
      </c>
      <c r="E10" s="33">
        <v>1.765</v>
      </c>
      <c r="F10" s="35">
        <f t="shared" si="2"/>
        <v>0</v>
      </c>
      <c r="G10" s="33">
        <f t="shared" si="3"/>
        <v>0</v>
      </c>
      <c r="H10" s="36">
        <f t="shared" si="0"/>
        <v>285266310.58</v>
      </c>
      <c r="I10" s="35"/>
      <c r="J10" s="33">
        <f t="shared" si="4"/>
        <v>1.752</v>
      </c>
      <c r="K10" s="35">
        <f t="shared" si="1"/>
        <v>0.192567567567568</v>
      </c>
      <c r="L10" s="35" t="s">
        <v>49</v>
      </c>
    </row>
    <row r="11" spans="1:13">
      <c r="A11" s="32">
        <v>45849</v>
      </c>
      <c r="B11" s="33">
        <v>1.765</v>
      </c>
      <c r="C11" s="34">
        <v>0</v>
      </c>
      <c r="D11" s="34">
        <v>161623972</v>
      </c>
      <c r="E11" s="33">
        <v>1.765</v>
      </c>
      <c r="F11" s="35">
        <f t="shared" si="2"/>
        <v>0</v>
      </c>
      <c r="G11" s="33">
        <f t="shared" si="3"/>
        <v>0</v>
      </c>
      <c r="H11" s="36">
        <f t="shared" si="0"/>
        <v>285266310.58</v>
      </c>
      <c r="I11" s="35"/>
      <c r="J11" s="33">
        <f t="shared" si="4"/>
        <v>1.765</v>
      </c>
      <c r="K11" s="35">
        <f t="shared" si="1"/>
        <v>0.192567567567568</v>
      </c>
      <c r="L11" s="35" t="s">
        <v>49</v>
      </c>
    </row>
    <row r="12" spans="1:13">
      <c r="A12" s="32">
        <v>45852</v>
      </c>
      <c r="B12" s="33">
        <v>1.765</v>
      </c>
      <c r="C12" s="34">
        <v>1161</v>
      </c>
      <c r="D12" s="34">
        <v>161623972</v>
      </c>
      <c r="E12" s="33">
        <v>1.765</v>
      </c>
      <c r="F12" s="35">
        <f t="shared" si="2"/>
        <v>0</v>
      </c>
      <c r="G12" s="33">
        <f t="shared" si="3"/>
        <v>0</v>
      </c>
      <c r="H12" s="36">
        <f t="shared" si="0"/>
        <v>285266310.58</v>
      </c>
      <c r="I12" s="35"/>
      <c r="J12" s="33">
        <f t="shared" si="4"/>
        <v>1.765</v>
      </c>
      <c r="K12" s="35">
        <f t="shared" si="1"/>
        <v>0.192567567567568</v>
      </c>
      <c r="L12" s="35" t="s">
        <v>51</v>
      </c>
    </row>
    <row r="13" spans="1:13">
      <c r="A13" s="32">
        <v>45853</v>
      </c>
      <c r="B13" s="33">
        <v>1.765</v>
      </c>
      <c r="C13" s="34">
        <v>0</v>
      </c>
      <c r="D13" s="34">
        <v>161623972</v>
      </c>
      <c r="E13" s="33">
        <v>1.765</v>
      </c>
      <c r="F13" s="35">
        <f t="shared" si="2"/>
        <v>0</v>
      </c>
      <c r="G13" s="33">
        <f t="shared" si="3"/>
        <v>0</v>
      </c>
      <c r="H13" s="36">
        <f t="shared" si="0"/>
        <v>285266310.58</v>
      </c>
      <c r="I13" s="35"/>
      <c r="J13" s="33">
        <f t="shared" si="4"/>
        <v>1.765</v>
      </c>
      <c r="K13" s="35">
        <f t="shared" si="1"/>
        <v>0.192567567567568</v>
      </c>
      <c r="L13" s="35" t="s">
        <v>49</v>
      </c>
    </row>
    <row r="14" spans="1:13">
      <c r="A14" s="32">
        <v>45854</v>
      </c>
      <c r="B14" s="33">
        <v>1.63</v>
      </c>
      <c r="C14" s="34">
        <v>100</v>
      </c>
      <c r="D14" s="34">
        <v>161623972</v>
      </c>
      <c r="E14" s="33">
        <v>1.63</v>
      </c>
      <c r="F14" s="35">
        <f t="shared" si="2"/>
        <v>-0.0764872521246459</v>
      </c>
      <c r="G14" s="33">
        <f t="shared" si="3"/>
        <v>-0.135</v>
      </c>
      <c r="H14" s="36">
        <f t="shared" si="0"/>
        <v>263447074.36</v>
      </c>
      <c r="I14" s="35"/>
      <c r="J14" s="33">
        <f t="shared" si="4"/>
        <v>1.738</v>
      </c>
      <c r="K14" s="35">
        <f t="shared" si="1"/>
        <v>0.101351351351351</v>
      </c>
      <c r="L14" s="35" t="s">
        <v>51</v>
      </c>
    </row>
    <row r="15" spans="1:13">
      <c r="A15" s="32">
        <v>45855</v>
      </c>
      <c r="B15" s="33">
        <v>1.645</v>
      </c>
      <c r="C15" s="34">
        <v>70</v>
      </c>
      <c r="D15" s="34">
        <v>161623972</v>
      </c>
      <c r="E15" s="33">
        <v>1.645</v>
      </c>
      <c r="F15" s="35">
        <f t="shared" si="2"/>
        <v>0.00920245398773023</v>
      </c>
      <c r="G15" s="33">
        <f t="shared" si="3"/>
        <v>0.0150000000000001</v>
      </c>
      <c r="H15" s="36">
        <f t="shared" si="0"/>
        <v>265871433.94</v>
      </c>
      <c r="I15" s="35"/>
      <c r="J15" s="33">
        <f t="shared" si="4"/>
        <v>1.714</v>
      </c>
      <c r="K15" s="35">
        <f t="shared" si="1"/>
        <v>0.111486486486486</v>
      </c>
      <c r="L15" s="35" t="s">
        <v>51</v>
      </c>
    </row>
    <row r="16" spans="1:13">
      <c r="A16" s="32">
        <v>45856</v>
      </c>
      <c r="B16" s="33">
        <v>1.645</v>
      </c>
      <c r="C16" s="34">
        <v>0</v>
      </c>
      <c r="D16" s="34">
        <v>161623972</v>
      </c>
      <c r="E16" s="33">
        <v>1.645</v>
      </c>
      <c r="F16" s="35">
        <f t="shared" si="2"/>
        <v>0</v>
      </c>
      <c r="G16" s="33">
        <f t="shared" si="3"/>
        <v>0</v>
      </c>
      <c r="H16" s="36">
        <f t="shared" si="0"/>
        <v>265871433.94</v>
      </c>
      <c r="I16" s="35"/>
      <c r="J16" s="33">
        <f t="shared" si="4"/>
        <v>1.69</v>
      </c>
      <c r="K16" s="35">
        <f t="shared" si="1"/>
        <v>0.111486486486486</v>
      </c>
      <c r="L16" s="35" t="s">
        <v>49</v>
      </c>
    </row>
    <row r="17" spans="1:12">
      <c r="A17" s="32">
        <v>45859</v>
      </c>
      <c r="B17" s="33">
        <v>1.67</v>
      </c>
      <c r="C17" s="34">
        <v>318</v>
      </c>
      <c r="D17" s="34">
        <v>161623972</v>
      </c>
      <c r="E17" s="33">
        <v>1.67</v>
      </c>
      <c r="F17" s="35">
        <f t="shared" si="2"/>
        <v>0.0151975683890577</v>
      </c>
      <c r="G17" s="33">
        <f t="shared" si="3"/>
        <v>0.0249999999999999</v>
      </c>
      <c r="H17" s="36">
        <f t="shared" si="0"/>
        <v>269912033.24</v>
      </c>
      <c r="I17" s="35"/>
      <c r="J17" s="33">
        <f t="shared" si="4"/>
        <v>1.671</v>
      </c>
      <c r="K17" s="35">
        <f t="shared" si="1"/>
        <v>0.128378378378378</v>
      </c>
      <c r="L17" s="35" t="s">
        <v>51</v>
      </c>
    </row>
    <row r="18" spans="1:12">
      <c r="A18" s="32">
        <v>45860</v>
      </c>
      <c r="B18" s="33">
        <v>1.67</v>
      </c>
      <c r="C18" s="34">
        <v>0</v>
      </c>
      <c r="D18" s="34">
        <v>161623972</v>
      </c>
      <c r="E18" s="33">
        <v>1.67</v>
      </c>
      <c r="F18" s="35">
        <f t="shared" si="2"/>
        <v>0</v>
      </c>
      <c r="G18" s="33">
        <f t="shared" si="3"/>
        <v>0</v>
      </c>
      <c r="H18" s="36">
        <f t="shared" si="0"/>
        <v>269912033.24</v>
      </c>
      <c r="I18" s="35"/>
      <c r="J18" s="33">
        <f t="shared" si="4"/>
        <v>1.652</v>
      </c>
      <c r="K18" s="35">
        <f t="shared" si="1"/>
        <v>0.128378378378378</v>
      </c>
      <c r="L18" s="35" t="s">
        <v>49</v>
      </c>
    </row>
    <row r="19" spans="1:12">
      <c r="A19" s="32">
        <v>45861</v>
      </c>
      <c r="B19" s="33">
        <v>1.67</v>
      </c>
      <c r="C19" s="34">
        <v>0</v>
      </c>
      <c r="D19" s="34">
        <v>161623972</v>
      </c>
      <c r="E19" s="33">
        <v>1.67</v>
      </c>
      <c r="F19" s="35">
        <f t="shared" si="2"/>
        <v>0</v>
      </c>
      <c r="G19" s="33">
        <f t="shared" si="3"/>
        <v>0</v>
      </c>
      <c r="H19" s="36">
        <f t="shared" si="0"/>
        <v>269912033.24</v>
      </c>
      <c r="I19" s="35"/>
      <c r="J19" s="33">
        <f t="shared" si="4"/>
        <v>1.66</v>
      </c>
      <c r="K19" s="35">
        <f t="shared" si="1"/>
        <v>0.128378378378378</v>
      </c>
      <c r="L19" s="35" t="s">
        <v>49</v>
      </c>
    </row>
    <row r="20" spans="1:12">
      <c r="A20" s="32">
        <v>45862</v>
      </c>
      <c r="B20" s="33">
        <v>1.67</v>
      </c>
      <c r="C20" s="34">
        <v>0</v>
      </c>
      <c r="D20" s="34">
        <v>161623972</v>
      </c>
      <c r="E20" s="33">
        <v>1.67</v>
      </c>
      <c r="F20" s="35">
        <f t="shared" si="2"/>
        <v>0</v>
      </c>
      <c r="G20" s="33">
        <f t="shared" si="3"/>
        <v>0</v>
      </c>
      <c r="H20" s="36">
        <f t="shared" si="0"/>
        <v>269912033.24</v>
      </c>
      <c r="I20" s="35"/>
      <c r="J20" s="33">
        <f t="shared" si="4"/>
        <v>1.665</v>
      </c>
      <c r="K20" s="35">
        <f t="shared" si="1"/>
        <v>0.128378378378378</v>
      </c>
      <c r="L20" s="35" t="s">
        <v>49</v>
      </c>
    </row>
    <row r="21" spans="1:12">
      <c r="A21" s="32">
        <v>45863</v>
      </c>
      <c r="B21" s="33">
        <v>1.67</v>
      </c>
      <c r="C21" s="34">
        <v>0</v>
      </c>
      <c r="D21" s="34">
        <v>161623972</v>
      </c>
      <c r="E21" s="33">
        <v>1.67</v>
      </c>
      <c r="F21" s="35">
        <f t="shared" si="2"/>
        <v>0</v>
      </c>
      <c r="G21" s="33">
        <f t="shared" si="3"/>
        <v>0</v>
      </c>
      <c r="H21" s="36">
        <f t="shared" si="0"/>
        <v>269912033.24</v>
      </c>
      <c r="I21" s="35"/>
      <c r="J21" s="33">
        <f t="shared" si="4"/>
        <v>1.67</v>
      </c>
      <c r="K21" s="35">
        <f t="shared" si="1"/>
        <v>0.128378378378378</v>
      </c>
      <c r="L21" s="35" t="s">
        <v>49</v>
      </c>
    </row>
    <row r="22" spans="1:12">
      <c r="A22" s="32">
        <v>45866</v>
      </c>
      <c r="B22" s="33">
        <v>1.67</v>
      </c>
      <c r="C22" s="34">
        <v>7</v>
      </c>
      <c r="D22" s="34">
        <v>161623972</v>
      </c>
      <c r="E22" s="33">
        <v>1.67</v>
      </c>
      <c r="F22" s="35">
        <f t="shared" si="2"/>
        <v>0</v>
      </c>
      <c r="G22" s="33">
        <f t="shared" si="3"/>
        <v>0</v>
      </c>
      <c r="H22" s="36">
        <f t="shared" si="0"/>
        <v>269912033.24</v>
      </c>
      <c r="I22" s="35"/>
      <c r="J22" s="33">
        <f t="shared" si="4"/>
        <v>1.67</v>
      </c>
      <c r="K22" s="35">
        <f t="shared" si="1"/>
        <v>0.128378378378378</v>
      </c>
      <c r="L22" s="35" t="s">
        <v>51</v>
      </c>
    </row>
    <row r="23" spans="1:12">
      <c r="A23" s="32">
        <v>45867</v>
      </c>
      <c r="B23" s="33">
        <v>1.67</v>
      </c>
      <c r="C23" s="34">
        <v>0</v>
      </c>
      <c r="D23" s="34">
        <v>161623972</v>
      </c>
      <c r="E23" s="33">
        <v>1.67</v>
      </c>
      <c r="F23" s="35">
        <f t="shared" si="2"/>
        <v>0</v>
      </c>
      <c r="G23" s="33">
        <f t="shared" si="3"/>
        <v>0</v>
      </c>
      <c r="H23" s="36">
        <f t="shared" si="0"/>
        <v>269912033.24</v>
      </c>
      <c r="I23" s="35"/>
      <c r="J23" s="33">
        <f t="shared" si="4"/>
        <v>1.67</v>
      </c>
      <c r="K23" s="35">
        <f t="shared" si="1"/>
        <v>0.128378378378378</v>
      </c>
      <c r="L23" s="35" t="s">
        <v>49</v>
      </c>
    </row>
    <row r="24" spans="1:12">
      <c r="A24" s="32">
        <v>45868</v>
      </c>
      <c r="B24" s="33">
        <v>1.67</v>
      </c>
      <c r="C24" s="34">
        <v>6</v>
      </c>
      <c r="D24" s="34">
        <v>161623972</v>
      </c>
      <c r="E24" s="33">
        <v>1.67</v>
      </c>
      <c r="F24" s="35">
        <f t="shared" si="2"/>
        <v>0</v>
      </c>
      <c r="G24" s="33">
        <f t="shared" si="3"/>
        <v>0</v>
      </c>
      <c r="H24" s="36">
        <f t="shared" si="0"/>
        <v>269912033.24</v>
      </c>
      <c r="I24" s="35"/>
      <c r="J24" s="33">
        <f t="shared" si="4"/>
        <v>1.67</v>
      </c>
      <c r="K24" s="35">
        <f t="shared" si="1"/>
        <v>0.128378378378378</v>
      </c>
      <c r="L24" s="35" t="s">
        <v>51</v>
      </c>
    </row>
    <row r="25" spans="1:12">
      <c r="A25" s="32">
        <v>45869</v>
      </c>
      <c r="B25" s="33">
        <v>1.67</v>
      </c>
      <c r="C25" s="34">
        <v>0</v>
      </c>
      <c r="D25" s="34">
        <v>161623972</v>
      </c>
      <c r="E25" s="33">
        <v>1.67</v>
      </c>
      <c r="F25" s="35">
        <f t="shared" si="2"/>
        <v>0</v>
      </c>
      <c r="G25" s="33">
        <f t="shared" si="3"/>
        <v>0</v>
      </c>
      <c r="H25" s="36">
        <f t="shared" si="0"/>
        <v>269912033.24</v>
      </c>
      <c r="I25" s="35"/>
      <c r="J25" s="33">
        <f t="shared" si="4"/>
        <v>1.67</v>
      </c>
      <c r="K25" s="35">
        <f t="shared" si="1"/>
        <v>0.128378378378378</v>
      </c>
      <c r="L25" s="35" t="s">
        <v>49</v>
      </c>
    </row>
    <row r="26" spans="1:12">
      <c r="A26" s="32">
        <v>45870</v>
      </c>
      <c r="B26" s="33">
        <v>1.67</v>
      </c>
      <c r="C26" s="34">
        <v>0</v>
      </c>
      <c r="D26" s="34">
        <v>161623972</v>
      </c>
      <c r="E26" s="33">
        <v>1.67</v>
      </c>
      <c r="F26" s="35">
        <f t="shared" si="2"/>
        <v>0</v>
      </c>
      <c r="G26" s="33">
        <f t="shared" si="3"/>
        <v>0</v>
      </c>
      <c r="H26" s="36">
        <f t="shared" si="0"/>
        <v>269912033.24</v>
      </c>
      <c r="I26" s="35"/>
      <c r="J26" s="33">
        <f t="shared" si="4"/>
        <v>1.67</v>
      </c>
      <c r="K26" s="35">
        <f t="shared" si="1"/>
        <v>0.128378378378378</v>
      </c>
      <c r="L26" s="35" t="s">
        <v>49</v>
      </c>
    </row>
    <row r="27" spans="1:12">
      <c r="A27" s="32">
        <v>45873</v>
      </c>
      <c r="B27" s="33">
        <v>1.67</v>
      </c>
      <c r="C27" s="34">
        <v>1</v>
      </c>
      <c r="D27" s="34">
        <v>161623972</v>
      </c>
      <c r="E27" s="33">
        <v>1.67</v>
      </c>
      <c r="F27" s="35">
        <f t="shared" si="2"/>
        <v>0</v>
      </c>
      <c r="G27" s="33">
        <f t="shared" si="3"/>
        <v>0</v>
      </c>
      <c r="H27" s="36">
        <f t="shared" si="0"/>
        <v>269912033.24</v>
      </c>
      <c r="I27" s="35"/>
      <c r="J27" s="33">
        <f t="shared" si="4"/>
        <v>1.67</v>
      </c>
      <c r="K27" s="35">
        <f t="shared" si="1"/>
        <v>0.128378378378378</v>
      </c>
      <c r="L27" s="35" t="s">
        <v>51</v>
      </c>
    </row>
    <row r="28" spans="1:12">
      <c r="A28" s="32">
        <v>45874</v>
      </c>
      <c r="B28" s="33">
        <v>1.5</v>
      </c>
      <c r="C28" s="34">
        <v>11926</v>
      </c>
      <c r="D28" s="34">
        <v>161623972</v>
      </c>
      <c r="E28" s="33">
        <v>1.5</v>
      </c>
      <c r="F28" s="35">
        <f t="shared" si="2"/>
        <v>-0.101796407185629</v>
      </c>
      <c r="G28" s="33">
        <f t="shared" si="3"/>
        <v>-0.17</v>
      </c>
      <c r="H28" s="36">
        <f t="shared" si="0"/>
        <v>242435958</v>
      </c>
      <c r="I28" s="35"/>
      <c r="J28" s="33">
        <f t="shared" si="4"/>
        <v>1.636</v>
      </c>
      <c r="K28" s="35">
        <f t="shared" si="1"/>
        <v>0.0135135135135136</v>
      </c>
      <c r="L28" s="35" t="s">
        <v>51</v>
      </c>
    </row>
    <row r="29" spans="1:12">
      <c r="A29" s="32">
        <v>45875</v>
      </c>
      <c r="B29" s="33">
        <v>1.51</v>
      </c>
      <c r="C29" s="34">
        <v>502</v>
      </c>
      <c r="D29" s="34">
        <v>161623972</v>
      </c>
      <c r="E29" s="33">
        <v>1.51</v>
      </c>
      <c r="F29" s="35">
        <f t="shared" si="2"/>
        <v>0.0066666666666666</v>
      </c>
      <c r="G29" s="33">
        <f t="shared" si="3"/>
        <v>0.01</v>
      </c>
      <c r="H29" s="36">
        <f t="shared" si="0"/>
        <v>244052197.72</v>
      </c>
      <c r="I29" s="35"/>
      <c r="J29" s="33">
        <f t="shared" si="4"/>
        <v>1.604</v>
      </c>
      <c r="K29" s="35">
        <f t="shared" si="1"/>
        <v>0.0202702702702704</v>
      </c>
      <c r="L29" s="35" t="s">
        <v>51</v>
      </c>
    </row>
    <row r="30" spans="1:12">
      <c r="A30" s="32">
        <v>45876</v>
      </c>
      <c r="B30" s="33">
        <v>1.51</v>
      </c>
      <c r="C30" s="34">
        <v>0</v>
      </c>
      <c r="D30" s="34">
        <v>161623972</v>
      </c>
      <c r="E30" s="33">
        <v>1.51</v>
      </c>
      <c r="F30" s="35">
        <f t="shared" si="2"/>
        <v>0</v>
      </c>
      <c r="G30" s="33">
        <f t="shared" si="3"/>
        <v>0</v>
      </c>
      <c r="H30" s="36">
        <f t="shared" si="0"/>
        <v>244052197.72</v>
      </c>
      <c r="I30" s="35"/>
      <c r="J30" s="33">
        <f t="shared" si="4"/>
        <v>1.572</v>
      </c>
      <c r="K30" s="35">
        <f t="shared" si="1"/>
        <v>0.0202702702702704</v>
      </c>
      <c r="L30" s="35" t="s">
        <v>49</v>
      </c>
    </row>
    <row r="31" spans="1:12">
      <c r="A31" s="32">
        <v>45877</v>
      </c>
      <c r="B31" s="33">
        <v>1.5</v>
      </c>
      <c r="C31" s="34">
        <v>4876</v>
      </c>
      <c r="D31" s="34">
        <v>161623972</v>
      </c>
      <c r="E31" s="33">
        <v>1.5</v>
      </c>
      <c r="F31" s="35">
        <f t="shared" si="2"/>
        <v>-0.00662251655629142</v>
      </c>
      <c r="G31" s="33">
        <f t="shared" si="3"/>
        <v>-0.01</v>
      </c>
      <c r="H31" s="36">
        <f t="shared" si="0"/>
        <v>242435958</v>
      </c>
      <c r="I31" s="35"/>
      <c r="J31" s="33">
        <f t="shared" si="4"/>
        <v>1.538</v>
      </c>
      <c r="K31" s="35">
        <f t="shared" si="1"/>
        <v>0.0135135135135136</v>
      </c>
      <c r="L31" s="35" t="s">
        <v>51</v>
      </c>
    </row>
    <row r="32" spans="1:12">
      <c r="A32" s="32">
        <v>45880</v>
      </c>
      <c r="B32" s="33">
        <v>1.51</v>
      </c>
      <c r="C32" s="34">
        <v>1</v>
      </c>
      <c r="D32" s="34">
        <v>161623972</v>
      </c>
      <c r="E32" s="33">
        <v>1.51</v>
      </c>
      <c r="F32" s="35">
        <f t="shared" si="2"/>
        <v>0.0066666666666666</v>
      </c>
      <c r="G32" s="33">
        <f t="shared" si="3"/>
        <v>0.01</v>
      </c>
      <c r="H32" s="36">
        <f t="shared" si="0"/>
        <v>244052197.72</v>
      </c>
      <c r="I32" s="35"/>
      <c r="J32" s="33">
        <f t="shared" si="4"/>
        <v>1.506</v>
      </c>
      <c r="K32" s="35">
        <f t="shared" si="1"/>
        <v>0.0202702702702704</v>
      </c>
      <c r="L32" s="35" t="s">
        <v>51</v>
      </c>
    </row>
    <row r="33" spans="1:12">
      <c r="A33" s="32">
        <v>45881</v>
      </c>
      <c r="B33" s="33">
        <v>1.51</v>
      </c>
      <c r="C33" s="34">
        <v>0</v>
      </c>
      <c r="D33" s="34">
        <v>161623972</v>
      </c>
      <c r="E33" s="33">
        <v>1.51</v>
      </c>
      <c r="F33" s="35">
        <f t="shared" si="2"/>
        <v>0</v>
      </c>
      <c r="G33" s="33">
        <f t="shared" si="3"/>
        <v>0</v>
      </c>
      <c r="H33" s="36">
        <f t="shared" si="0"/>
        <v>244052197.72</v>
      </c>
      <c r="I33" s="35"/>
      <c r="J33" s="33">
        <f t="shared" si="4"/>
        <v>1.508</v>
      </c>
      <c r="K33" s="35">
        <f t="shared" si="1"/>
        <v>0.0202702702702704</v>
      </c>
      <c r="L33" s="35" t="s">
        <v>49</v>
      </c>
    </row>
    <row r="34" spans="1:12">
      <c r="A34" s="32">
        <v>45882</v>
      </c>
      <c r="B34" s="33">
        <v>1.55</v>
      </c>
      <c r="C34" s="34">
        <v>652</v>
      </c>
      <c r="D34" s="34">
        <v>161623972</v>
      </c>
      <c r="E34" s="33">
        <v>1.55</v>
      </c>
      <c r="F34" s="35">
        <f t="shared" si="2"/>
        <v>0.0264900662251655</v>
      </c>
      <c r="G34" s="33">
        <f t="shared" si="3"/>
        <v>0.04</v>
      </c>
      <c r="H34" s="36">
        <f t="shared" si="0"/>
        <v>250517156.6</v>
      </c>
      <c r="I34" s="35"/>
      <c r="J34" s="33">
        <f t="shared" si="4"/>
        <v>1.516</v>
      </c>
      <c r="K34" s="35">
        <f t="shared" si="1"/>
        <v>0.0472972972972974</v>
      </c>
      <c r="L34" s="35" t="s">
        <v>51</v>
      </c>
    </row>
    <row r="35" spans="1:12">
      <c r="A35" s="32">
        <v>45883</v>
      </c>
      <c r="B35" s="33">
        <v>1.555</v>
      </c>
      <c r="C35" s="34">
        <v>3935</v>
      </c>
      <c r="D35" s="34">
        <v>161623972</v>
      </c>
      <c r="E35" s="33">
        <v>1.555</v>
      </c>
      <c r="F35" s="35">
        <f t="shared" si="2"/>
        <v>0.00322580645161286</v>
      </c>
      <c r="G35" s="33">
        <f t="shared" si="3"/>
        <v>0.00499999999999989</v>
      </c>
      <c r="H35" s="36">
        <f t="shared" si="0"/>
        <v>251325276.46</v>
      </c>
      <c r="I35" s="35"/>
      <c r="J35" s="33">
        <f t="shared" si="4"/>
        <v>1.525</v>
      </c>
      <c r="K35" s="35">
        <f t="shared" si="1"/>
        <v>0.0506756756756757</v>
      </c>
      <c r="L35" s="35" t="s">
        <v>51</v>
      </c>
    </row>
    <row r="36" spans="1:12">
      <c r="A36" s="32">
        <v>45884</v>
      </c>
      <c r="B36" s="33">
        <v>1.575</v>
      </c>
      <c r="C36" s="34">
        <v>2</v>
      </c>
      <c r="D36" s="34">
        <v>161623972</v>
      </c>
      <c r="E36" s="33">
        <v>1.575</v>
      </c>
      <c r="F36" s="35">
        <f t="shared" si="2"/>
        <v>0.0128617363344052</v>
      </c>
      <c r="G36" s="33">
        <f t="shared" si="3"/>
        <v>0.02</v>
      </c>
      <c r="H36" s="36">
        <f t="shared" si="0"/>
        <v>254557755.9</v>
      </c>
      <c r="I36" s="35"/>
      <c r="J36" s="33">
        <f t="shared" si="4"/>
        <v>1.54</v>
      </c>
      <c r="K36" s="35">
        <f t="shared" si="1"/>
        <v>0.0641891891891893</v>
      </c>
      <c r="L36" s="35" t="s">
        <v>51</v>
      </c>
    </row>
    <row r="37" spans="1:12">
      <c r="A37" s="32">
        <v>45887</v>
      </c>
      <c r="B37" s="33">
        <v>1.575</v>
      </c>
      <c r="C37" s="34">
        <v>0</v>
      </c>
      <c r="D37" s="34">
        <v>161615445</v>
      </c>
      <c r="E37" s="33">
        <v>1.575</v>
      </c>
      <c r="F37" s="35">
        <f t="shared" si="2"/>
        <v>0</v>
      </c>
      <c r="G37" s="33">
        <f t="shared" si="3"/>
        <v>0</v>
      </c>
      <c r="H37" s="36">
        <f t="shared" si="0"/>
        <v>254544325.875</v>
      </c>
      <c r="I37" s="35"/>
      <c r="J37" s="33">
        <f t="shared" si="4"/>
        <v>1.553</v>
      </c>
      <c r="K37" s="35">
        <f t="shared" si="1"/>
        <v>0.0641891891891893</v>
      </c>
      <c r="L37" s="35" t="s">
        <v>49</v>
      </c>
    </row>
    <row r="38" spans="1:12">
      <c r="A38" s="32">
        <v>45888</v>
      </c>
      <c r="B38" s="33">
        <v>1.575</v>
      </c>
      <c r="C38" s="34">
        <v>0</v>
      </c>
      <c r="D38" s="34">
        <v>161615445</v>
      </c>
      <c r="E38" s="33">
        <v>1.575</v>
      </c>
      <c r="F38" s="35">
        <f t="shared" si="2"/>
        <v>0</v>
      </c>
      <c r="G38" s="33">
        <f t="shared" si="3"/>
        <v>0</v>
      </c>
      <c r="H38" s="36">
        <f t="shared" si="0"/>
        <v>254544325.875</v>
      </c>
      <c r="I38" s="35"/>
      <c r="J38" s="33">
        <f t="shared" si="4"/>
        <v>1.566</v>
      </c>
      <c r="K38" s="35">
        <f t="shared" si="1"/>
        <v>0.0641891891891893</v>
      </c>
      <c r="L38" s="35" t="s">
        <v>49</v>
      </c>
    </row>
    <row r="39" spans="1:12">
      <c r="A39" s="32">
        <v>45889</v>
      </c>
      <c r="B39" s="33">
        <v>1.575</v>
      </c>
      <c r="C39" s="34">
        <v>0</v>
      </c>
      <c r="D39" s="34">
        <v>161615445</v>
      </c>
      <c r="E39" s="33">
        <v>1.575</v>
      </c>
      <c r="F39" s="35">
        <f t="shared" si="2"/>
        <v>0</v>
      </c>
      <c r="G39" s="33">
        <f t="shared" si="3"/>
        <v>0</v>
      </c>
      <c r="H39" s="36">
        <f t="shared" si="0"/>
        <v>254544325.875</v>
      </c>
      <c r="I39" s="35"/>
      <c r="J39" s="33">
        <f t="shared" si="4"/>
        <v>1.571</v>
      </c>
      <c r="K39" s="35">
        <f t="shared" si="1"/>
        <v>0.0641891891891893</v>
      </c>
      <c r="L39" s="35" t="s">
        <v>49</v>
      </c>
    </row>
    <row r="40" spans="1:12">
      <c r="A40" s="32">
        <v>45890</v>
      </c>
      <c r="B40" s="33">
        <v>1.575</v>
      </c>
      <c r="C40" s="34">
        <v>0</v>
      </c>
      <c r="D40" s="34">
        <v>161615445</v>
      </c>
      <c r="E40" s="33">
        <v>1.575</v>
      </c>
      <c r="F40" s="35">
        <f t="shared" si="2"/>
        <v>0</v>
      </c>
      <c r="G40" s="33">
        <f t="shared" si="3"/>
        <v>0</v>
      </c>
      <c r="H40" s="36">
        <f t="shared" si="0"/>
        <v>254544325.875</v>
      </c>
      <c r="I40" s="35"/>
      <c r="J40" s="33">
        <f t="shared" si="4"/>
        <v>1.575</v>
      </c>
      <c r="K40" s="35">
        <f t="shared" si="1"/>
        <v>0.0641891891891893</v>
      </c>
      <c r="L40" s="35" t="s">
        <v>49</v>
      </c>
    </row>
    <row r="41" spans="1:12">
      <c r="A41" s="32">
        <v>45891</v>
      </c>
      <c r="B41" s="33">
        <v>1.615</v>
      </c>
      <c r="C41" s="34">
        <v>6</v>
      </c>
      <c r="D41" s="34">
        <v>161615445</v>
      </c>
      <c r="E41" s="33">
        <v>1.615</v>
      </c>
      <c r="F41" s="35">
        <f t="shared" si="2"/>
        <v>0.0253968253968255</v>
      </c>
      <c r="G41" s="33">
        <f t="shared" si="3"/>
        <v>0.04</v>
      </c>
      <c r="H41" s="36">
        <f t="shared" si="0"/>
        <v>261008943.675</v>
      </c>
      <c r="I41" s="35"/>
      <c r="J41" s="33">
        <f t="shared" si="4"/>
        <v>1.583</v>
      </c>
      <c r="K41" s="35">
        <f t="shared" si="1"/>
        <v>0.0912162162162162</v>
      </c>
      <c r="L41" s="35" t="s">
        <v>51</v>
      </c>
    </row>
    <row r="42" spans="1:12">
      <c r="A42" s="32">
        <v>45894</v>
      </c>
      <c r="B42" s="33">
        <v>1.615</v>
      </c>
      <c r="C42" s="34">
        <v>0</v>
      </c>
      <c r="D42" s="34">
        <v>161615445</v>
      </c>
      <c r="E42" s="33">
        <v>1.615</v>
      </c>
      <c r="F42" s="35">
        <f t="shared" si="2"/>
        <v>0</v>
      </c>
      <c r="G42" s="33">
        <f t="shared" si="3"/>
        <v>0</v>
      </c>
      <c r="H42" s="36">
        <f t="shared" si="0"/>
        <v>261008943.675</v>
      </c>
      <c r="I42" s="35"/>
      <c r="J42" s="33">
        <f t="shared" si="4"/>
        <v>1.591</v>
      </c>
      <c r="K42" s="35">
        <f t="shared" si="1"/>
        <v>0.0912162162162162</v>
      </c>
      <c r="L42" s="35" t="s">
        <v>49</v>
      </c>
    </row>
    <row r="43" spans="1:12">
      <c r="A43" s="32">
        <v>45895</v>
      </c>
      <c r="B43" s="33">
        <v>1.615</v>
      </c>
      <c r="C43" s="34">
        <v>0</v>
      </c>
      <c r="D43" s="34">
        <v>161615445</v>
      </c>
      <c r="E43" s="33">
        <v>1.615</v>
      </c>
      <c r="F43" s="35">
        <f t="shared" si="2"/>
        <v>0</v>
      </c>
      <c r="G43" s="33">
        <f t="shared" si="3"/>
        <v>0</v>
      </c>
      <c r="H43" s="36">
        <f t="shared" si="0"/>
        <v>261008943.675</v>
      </c>
      <c r="I43" s="35"/>
      <c r="J43" s="33">
        <f t="shared" si="4"/>
        <v>1.599</v>
      </c>
      <c r="K43" s="35">
        <f t="shared" si="1"/>
        <v>0.0912162162162162</v>
      </c>
      <c r="L43" s="35" t="s">
        <v>49</v>
      </c>
    </row>
    <row r="44" spans="1:12">
      <c r="A44" s="32">
        <v>45896</v>
      </c>
      <c r="B44" s="33">
        <v>1.615</v>
      </c>
      <c r="C44" s="34">
        <v>0</v>
      </c>
      <c r="D44" s="34">
        <v>161615445</v>
      </c>
      <c r="E44" s="33">
        <v>1.615</v>
      </c>
      <c r="F44" s="35">
        <f t="shared" si="2"/>
        <v>0</v>
      </c>
      <c r="G44" s="33">
        <f t="shared" si="3"/>
        <v>0</v>
      </c>
      <c r="H44" s="36">
        <f t="shared" si="0"/>
        <v>261008943.675</v>
      </c>
      <c r="I44" s="35"/>
      <c r="J44" s="33">
        <f t="shared" si="4"/>
        <v>1.607</v>
      </c>
      <c r="K44" s="35">
        <f t="shared" si="1"/>
        <v>0.0912162162162162</v>
      </c>
      <c r="L44" s="35" t="s">
        <v>49</v>
      </c>
    </row>
    <row r="45" spans="1:12">
      <c r="A45" s="32">
        <v>45897</v>
      </c>
      <c r="B45" s="33">
        <v>1.615</v>
      </c>
      <c r="C45" s="34">
        <v>0</v>
      </c>
      <c r="D45" s="34">
        <v>161615445</v>
      </c>
      <c r="E45" s="33">
        <v>1.615</v>
      </c>
      <c r="F45" s="35">
        <f t="shared" si="2"/>
        <v>0</v>
      </c>
      <c r="G45" s="33">
        <f t="shared" si="3"/>
        <v>0</v>
      </c>
      <c r="H45" s="36">
        <f t="shared" si="0"/>
        <v>261008943.675</v>
      </c>
      <c r="I45" s="35"/>
      <c r="J45" s="33">
        <f t="shared" si="4"/>
        <v>1.615</v>
      </c>
      <c r="K45" s="35">
        <f t="shared" si="1"/>
        <v>0.0912162162162162</v>
      </c>
      <c r="L45" s="35" t="s">
        <v>49</v>
      </c>
    </row>
    <row r="46" spans="1:12">
      <c r="A46" s="32">
        <v>45898</v>
      </c>
      <c r="B46" s="33">
        <v>1.575</v>
      </c>
      <c r="C46" s="34">
        <v>2226</v>
      </c>
      <c r="D46" s="34">
        <v>161615445</v>
      </c>
      <c r="E46" s="33">
        <v>1.575</v>
      </c>
      <c r="F46" s="35">
        <f t="shared" si="2"/>
        <v>-0.0247678018575852</v>
      </c>
      <c r="G46" s="33">
        <f t="shared" si="3"/>
        <v>-0.04</v>
      </c>
      <c r="H46" s="36">
        <f t="shared" si="0"/>
        <v>254544325.875</v>
      </c>
      <c r="I46" s="35"/>
      <c r="J46" s="33">
        <f t="shared" si="4"/>
        <v>1.607</v>
      </c>
      <c r="K46" s="35">
        <f t="shared" si="1"/>
        <v>0.0641891891891893</v>
      </c>
      <c r="L46" s="35" t="s">
        <v>51</v>
      </c>
    </row>
    <row r="47" spans="1:12">
      <c r="A47" s="32">
        <v>45901</v>
      </c>
      <c r="B47" s="33">
        <v>1.575</v>
      </c>
      <c r="C47" s="34">
        <v>0</v>
      </c>
      <c r="D47" s="34">
        <v>161615445</v>
      </c>
      <c r="E47" s="33">
        <v>1.575</v>
      </c>
      <c r="F47" s="35">
        <f t="shared" si="2"/>
        <v>0</v>
      </c>
      <c r="G47" s="33">
        <f t="shared" si="3"/>
        <v>0</v>
      </c>
      <c r="H47" s="36">
        <f t="shared" si="0"/>
        <v>254544325.875</v>
      </c>
      <c r="I47" s="35"/>
      <c r="J47" s="33">
        <f t="shared" si="4"/>
        <v>1.599</v>
      </c>
      <c r="K47" s="35">
        <f t="shared" si="1"/>
        <v>0.0641891891891893</v>
      </c>
      <c r="L47" s="35" t="s">
        <v>49</v>
      </c>
    </row>
    <row r="48" spans="1:12">
      <c r="A48" s="32">
        <v>45902</v>
      </c>
      <c r="B48" s="33">
        <v>1.575</v>
      </c>
      <c r="C48" s="34">
        <v>0</v>
      </c>
      <c r="D48" s="34">
        <v>161615445</v>
      </c>
      <c r="E48" s="33">
        <v>1.575</v>
      </c>
      <c r="F48" s="35">
        <f t="shared" si="2"/>
        <v>0</v>
      </c>
      <c r="G48" s="33">
        <f t="shared" si="3"/>
        <v>0</v>
      </c>
      <c r="H48" s="36">
        <f t="shared" si="0"/>
        <v>254544325.875</v>
      </c>
      <c r="I48" s="35"/>
      <c r="J48" s="33">
        <f t="shared" si="4"/>
        <v>1.591</v>
      </c>
      <c r="K48" s="35">
        <f t="shared" si="1"/>
        <v>0.0641891891891893</v>
      </c>
      <c r="L48" s="35" t="s">
        <v>49</v>
      </c>
    </row>
    <row r="49" spans="1:12">
      <c r="A49" s="32">
        <v>45903</v>
      </c>
      <c r="B49" s="33">
        <v>1.575</v>
      </c>
      <c r="C49" s="34">
        <v>0</v>
      </c>
      <c r="D49" s="34">
        <v>161615445</v>
      </c>
      <c r="E49" s="33">
        <v>1.575</v>
      </c>
      <c r="F49" s="35">
        <f t="shared" si="2"/>
        <v>0</v>
      </c>
      <c r="G49" s="33">
        <f t="shared" si="3"/>
        <v>0</v>
      </c>
      <c r="H49" s="36">
        <f t="shared" si="0"/>
        <v>254544325.875</v>
      </c>
      <c r="I49" s="35"/>
      <c r="J49" s="33">
        <f t="shared" si="4"/>
        <v>1.583</v>
      </c>
      <c r="K49" s="35">
        <f t="shared" si="1"/>
        <v>0.0641891891891893</v>
      </c>
      <c r="L49" s="35" t="s">
        <v>49</v>
      </c>
    </row>
    <row r="50" spans="1:12">
      <c r="A50" s="32">
        <v>45904</v>
      </c>
      <c r="B50" s="33">
        <v>1.575</v>
      </c>
      <c r="C50" s="34">
        <v>0</v>
      </c>
      <c r="D50" s="34">
        <v>161615445</v>
      </c>
      <c r="E50" s="33">
        <v>1.575</v>
      </c>
      <c r="F50" s="35">
        <f t="shared" si="2"/>
        <v>0</v>
      </c>
      <c r="G50" s="33">
        <f t="shared" si="3"/>
        <v>0</v>
      </c>
      <c r="H50" s="36">
        <f t="shared" si="0"/>
        <v>254544325.875</v>
      </c>
      <c r="I50" s="35"/>
      <c r="J50" s="33">
        <f t="shared" si="4"/>
        <v>1.575</v>
      </c>
      <c r="K50" s="35">
        <f t="shared" si="1"/>
        <v>0.0641891891891893</v>
      </c>
      <c r="L50" s="35" t="s">
        <v>49</v>
      </c>
    </row>
    <row r="51" spans="1:12">
      <c r="A51" s="32">
        <v>45905</v>
      </c>
      <c r="B51" s="33">
        <v>1.575</v>
      </c>
      <c r="C51" s="34">
        <v>0</v>
      </c>
      <c r="D51" s="34">
        <v>161615445</v>
      </c>
      <c r="E51" s="33">
        <v>1.575</v>
      </c>
      <c r="F51" s="35">
        <f t="shared" si="2"/>
        <v>0</v>
      </c>
      <c r="G51" s="33">
        <f t="shared" si="3"/>
        <v>0</v>
      </c>
      <c r="H51" s="36">
        <f t="shared" si="0"/>
        <v>254544325.875</v>
      </c>
      <c r="I51" s="35"/>
      <c r="J51" s="33">
        <f t="shared" si="4"/>
        <v>1.575</v>
      </c>
      <c r="K51" s="35">
        <f t="shared" si="1"/>
        <v>0.0641891891891893</v>
      </c>
      <c r="L51" s="35" t="s">
        <v>49</v>
      </c>
    </row>
    <row r="52" spans="1:12">
      <c r="A52" s="32">
        <v>45908</v>
      </c>
      <c r="B52" s="33">
        <v>1.575</v>
      </c>
      <c r="C52" s="34">
        <v>0</v>
      </c>
      <c r="D52" s="34">
        <v>161615445</v>
      </c>
      <c r="E52" s="33">
        <v>1.575</v>
      </c>
      <c r="F52" s="35">
        <f t="shared" si="2"/>
        <v>0</v>
      </c>
      <c r="G52" s="33">
        <f t="shared" si="3"/>
        <v>0</v>
      </c>
      <c r="H52" s="36">
        <f t="shared" si="0"/>
        <v>254544325.875</v>
      </c>
      <c r="I52" s="35"/>
      <c r="J52" s="33">
        <f t="shared" si="4"/>
        <v>1.575</v>
      </c>
      <c r="K52" s="35">
        <f t="shared" si="1"/>
        <v>0.0641891891891893</v>
      </c>
      <c r="L52" s="35" t="s">
        <v>49</v>
      </c>
    </row>
    <row r="53" spans="1:12">
      <c r="A53" s="32">
        <v>45909</v>
      </c>
      <c r="B53" s="33">
        <v>1.575</v>
      </c>
      <c r="C53" s="34">
        <v>0</v>
      </c>
      <c r="D53" s="34">
        <v>161615445</v>
      </c>
      <c r="E53" s="33">
        <v>1.575</v>
      </c>
      <c r="F53" s="35">
        <f t="shared" si="2"/>
        <v>0</v>
      </c>
      <c r="G53" s="33">
        <f t="shared" si="3"/>
        <v>0</v>
      </c>
      <c r="H53" s="36">
        <f t="shared" si="0"/>
        <v>254544325.875</v>
      </c>
      <c r="I53" s="35"/>
      <c r="J53" s="33">
        <f t="shared" si="4"/>
        <v>1.575</v>
      </c>
      <c r="K53" s="35">
        <f t="shared" si="1"/>
        <v>0.0641891891891893</v>
      </c>
      <c r="L53" s="35" t="s">
        <v>49</v>
      </c>
    </row>
    <row r="54" spans="1:12">
      <c r="A54" s="32">
        <v>45910</v>
      </c>
      <c r="B54" s="33">
        <v>1.58</v>
      </c>
      <c r="C54" s="34">
        <v>34</v>
      </c>
      <c r="D54" s="34">
        <v>161615445</v>
      </c>
      <c r="E54" s="33">
        <v>1.58</v>
      </c>
      <c r="F54" s="35">
        <f t="shared" si="2"/>
        <v>0.00317460317460316</v>
      </c>
      <c r="G54" s="33">
        <f t="shared" si="3"/>
        <v>0.00500000000000012</v>
      </c>
      <c r="H54" s="36">
        <f t="shared" si="0"/>
        <v>255352403.1</v>
      </c>
      <c r="I54" s="35"/>
      <c r="J54" s="33">
        <f t="shared" si="4"/>
        <v>1.576</v>
      </c>
      <c r="K54" s="35">
        <f t="shared" si="1"/>
        <v>0.0675675675675675</v>
      </c>
      <c r="L54" s="35" t="s">
        <v>51</v>
      </c>
    </row>
    <row r="55" spans="1:12">
      <c r="A55" s="32">
        <v>45911</v>
      </c>
      <c r="B55" s="33">
        <v>1.58</v>
      </c>
      <c r="C55" s="34">
        <v>32</v>
      </c>
      <c r="D55" s="34">
        <v>161615445</v>
      </c>
      <c r="E55" s="33">
        <v>1.58</v>
      </c>
      <c r="F55" s="35">
        <f t="shared" si="2"/>
        <v>0</v>
      </c>
      <c r="G55" s="33">
        <f t="shared" si="3"/>
        <v>0</v>
      </c>
      <c r="H55" s="36">
        <f t="shared" si="0"/>
        <v>255352403.1</v>
      </c>
      <c r="I55" s="35"/>
      <c r="J55" s="33">
        <f t="shared" si="4"/>
        <v>1.577</v>
      </c>
      <c r="K55" s="35">
        <f t="shared" si="1"/>
        <v>0.0675675675675675</v>
      </c>
      <c r="L55" s="35" t="s">
        <v>51</v>
      </c>
    </row>
    <row r="56" spans="1:12">
      <c r="A56" s="32">
        <v>45912</v>
      </c>
      <c r="B56" s="33">
        <v>1.58</v>
      </c>
      <c r="C56" s="34">
        <v>0</v>
      </c>
      <c r="D56" s="34">
        <v>161615445</v>
      </c>
      <c r="E56" s="33">
        <v>1.58</v>
      </c>
      <c r="F56" s="35">
        <f t="shared" si="2"/>
        <v>0</v>
      </c>
      <c r="G56" s="33">
        <f t="shared" si="3"/>
        <v>0</v>
      </c>
      <c r="H56" s="36">
        <f t="shared" si="0"/>
        <v>255352403.1</v>
      </c>
      <c r="I56" s="35"/>
      <c r="J56" s="33">
        <f t="shared" si="4"/>
        <v>1.578</v>
      </c>
      <c r="K56" s="35">
        <f t="shared" si="1"/>
        <v>0.0675675675675675</v>
      </c>
      <c r="L56" s="35" t="s">
        <v>49</v>
      </c>
    </row>
    <row r="57" spans="1:12">
      <c r="A57" s="32">
        <v>45915</v>
      </c>
      <c r="B57" s="33">
        <v>1.58</v>
      </c>
      <c r="C57" s="34">
        <v>0</v>
      </c>
      <c r="D57" s="34">
        <v>161615445</v>
      </c>
      <c r="E57" s="33">
        <v>1.58</v>
      </c>
      <c r="F57" s="35">
        <f t="shared" si="2"/>
        <v>0</v>
      </c>
      <c r="G57" s="33">
        <f t="shared" si="3"/>
        <v>0</v>
      </c>
      <c r="H57" s="36">
        <f t="shared" si="0"/>
        <v>255352403.1</v>
      </c>
      <c r="I57" s="35"/>
      <c r="J57" s="33">
        <f t="shared" si="4"/>
        <v>1.579</v>
      </c>
      <c r="K57" s="35">
        <f t="shared" si="1"/>
        <v>0.0675675675675675</v>
      </c>
      <c r="L57" s="35" t="s">
        <v>49</v>
      </c>
    </row>
    <row r="58" spans="1:12">
      <c r="A58" s="32">
        <v>45916</v>
      </c>
      <c r="B58" s="33">
        <v>1.58</v>
      </c>
      <c r="C58" s="34">
        <v>0</v>
      </c>
      <c r="D58" s="34">
        <v>161615445</v>
      </c>
      <c r="E58" s="33">
        <v>1.58</v>
      </c>
      <c r="F58" s="35">
        <f t="shared" si="2"/>
        <v>0</v>
      </c>
      <c r="G58" s="33">
        <f t="shared" si="3"/>
        <v>0</v>
      </c>
      <c r="H58" s="36">
        <f t="shared" si="0"/>
        <v>255352403.1</v>
      </c>
      <c r="I58" s="35"/>
      <c r="J58" s="33">
        <f t="shared" si="4"/>
        <v>1.58</v>
      </c>
      <c r="K58" s="35">
        <f t="shared" si="1"/>
        <v>0.0675675675675675</v>
      </c>
      <c r="L58" s="35" t="s">
        <v>49</v>
      </c>
    </row>
    <row r="59" spans="1:12">
      <c r="A59" s="32">
        <v>45917</v>
      </c>
      <c r="B59" s="33">
        <v>1.58</v>
      </c>
      <c r="C59" s="34">
        <v>0</v>
      </c>
      <c r="D59" s="34">
        <v>161615445</v>
      </c>
      <c r="E59" s="33">
        <v>1.58</v>
      </c>
      <c r="F59" s="35">
        <f t="shared" si="2"/>
        <v>0</v>
      </c>
      <c r="G59" s="33">
        <f t="shared" si="3"/>
        <v>0</v>
      </c>
      <c r="H59" s="36">
        <f t="shared" si="0"/>
        <v>255352403.1</v>
      </c>
      <c r="I59" s="35"/>
      <c r="J59" s="33">
        <f t="shared" si="4"/>
        <v>1.58</v>
      </c>
      <c r="K59" s="35">
        <f t="shared" si="1"/>
        <v>0.0675675675675675</v>
      </c>
      <c r="L59" s="35" t="s">
        <v>49</v>
      </c>
    </row>
    <row r="60" spans="1:12">
      <c r="A60" s="32">
        <v>45918</v>
      </c>
      <c r="B60" s="33">
        <v>1.58</v>
      </c>
      <c r="C60" s="34">
        <v>0</v>
      </c>
      <c r="D60" s="34">
        <v>161615445</v>
      </c>
      <c r="E60" s="33">
        <v>1.58</v>
      </c>
      <c r="F60" s="35">
        <f t="shared" si="2"/>
        <v>0</v>
      </c>
      <c r="G60" s="33">
        <f t="shared" si="3"/>
        <v>0</v>
      </c>
      <c r="H60" s="36">
        <f t="shared" si="0"/>
        <v>255352403.1</v>
      </c>
      <c r="I60" s="35"/>
      <c r="J60" s="33">
        <f t="shared" si="4"/>
        <v>1.58</v>
      </c>
      <c r="K60" s="35">
        <f t="shared" si="1"/>
        <v>0.0675675675675675</v>
      </c>
      <c r="L60" s="35" t="s">
        <v>49</v>
      </c>
    </row>
    <row r="61" spans="1:12">
      <c r="A61" s="32">
        <v>45919</v>
      </c>
      <c r="B61" s="33">
        <v>1.58</v>
      </c>
      <c r="C61" s="34">
        <v>0</v>
      </c>
      <c r="D61" s="34">
        <v>161615445</v>
      </c>
      <c r="E61" s="33">
        <v>1.58</v>
      </c>
      <c r="F61" s="35">
        <f t="shared" si="2"/>
        <v>0</v>
      </c>
      <c r="G61" s="33">
        <f t="shared" si="3"/>
        <v>0</v>
      </c>
      <c r="H61" s="36">
        <f t="shared" si="0"/>
        <v>255352403.1</v>
      </c>
      <c r="I61" s="35"/>
      <c r="J61" s="33">
        <f t="shared" si="4"/>
        <v>1.58</v>
      </c>
      <c r="K61" s="35">
        <f t="shared" si="1"/>
        <v>0.0675675675675675</v>
      </c>
      <c r="L61" s="35" t="s">
        <v>49</v>
      </c>
    </row>
    <row r="62" spans="1:12">
      <c r="A62" s="32">
        <v>45922</v>
      </c>
      <c r="B62" s="33">
        <v>1.58</v>
      </c>
      <c r="C62" s="34">
        <v>0</v>
      </c>
      <c r="D62" s="34">
        <v>161615445</v>
      </c>
      <c r="E62" s="33">
        <v>1.58</v>
      </c>
      <c r="F62" s="35">
        <f t="shared" si="2"/>
        <v>0</v>
      </c>
      <c r="G62" s="33">
        <f t="shared" si="3"/>
        <v>0</v>
      </c>
      <c r="H62" s="36">
        <f t="shared" si="0"/>
        <v>255352403.1</v>
      </c>
      <c r="I62" s="35"/>
      <c r="J62" s="33">
        <f t="shared" si="4"/>
        <v>1.58</v>
      </c>
      <c r="K62" s="35">
        <f t="shared" si="1"/>
        <v>0.0675675675675675</v>
      </c>
      <c r="L62" s="35" t="s">
        <v>49</v>
      </c>
    </row>
    <row r="63" spans="1:12">
      <c r="A63" s="32">
        <v>45923</v>
      </c>
      <c r="B63" s="33">
        <v>1.58</v>
      </c>
      <c r="C63" s="34">
        <v>0</v>
      </c>
      <c r="D63" s="34">
        <v>161615445</v>
      </c>
      <c r="E63" s="33">
        <v>1.58</v>
      </c>
      <c r="F63" s="35">
        <f t="shared" si="2"/>
        <v>0</v>
      </c>
      <c r="G63" s="33">
        <f t="shared" si="3"/>
        <v>0</v>
      </c>
      <c r="H63" s="36">
        <f t="shared" si="0"/>
        <v>255352403.1</v>
      </c>
      <c r="I63" s="35"/>
      <c r="J63" s="33">
        <f t="shared" si="4"/>
        <v>1.58</v>
      </c>
      <c r="K63" s="35">
        <f t="shared" si="1"/>
        <v>0.0675675675675675</v>
      </c>
      <c r="L63" s="35" t="s">
        <v>49</v>
      </c>
    </row>
    <row r="64" spans="1:12">
      <c r="A64" s="32">
        <v>45924</v>
      </c>
      <c r="B64" s="33">
        <v>1.58</v>
      </c>
      <c r="C64" s="34">
        <v>0</v>
      </c>
      <c r="D64" s="34">
        <v>161615445</v>
      </c>
      <c r="E64" s="33">
        <v>1.58</v>
      </c>
      <c r="F64" s="35">
        <f t="shared" si="2"/>
        <v>0</v>
      </c>
      <c r="G64" s="33">
        <f t="shared" si="3"/>
        <v>0</v>
      </c>
      <c r="H64" s="36">
        <f t="shared" si="0"/>
        <v>255352403.1</v>
      </c>
      <c r="I64" s="35"/>
      <c r="J64" s="33">
        <f t="shared" si="4"/>
        <v>1.58</v>
      </c>
      <c r="K64" s="35">
        <f t="shared" si="1"/>
        <v>0.0675675675675675</v>
      </c>
      <c r="L64" s="35" t="s">
        <v>49</v>
      </c>
    </row>
    <row r="65" spans="1:12">
      <c r="A65" s="32">
        <v>45925</v>
      </c>
      <c r="B65" s="33">
        <v>1.525</v>
      </c>
      <c r="C65" s="34">
        <v>980</v>
      </c>
      <c r="D65" s="34">
        <v>161615445</v>
      </c>
      <c r="E65" s="33">
        <v>1.525</v>
      </c>
      <c r="F65" s="35">
        <f t="shared" si="2"/>
        <v>-0.0348101265822786</v>
      </c>
      <c r="G65" s="33">
        <f t="shared" si="3"/>
        <v>-0.0550000000000002</v>
      </c>
      <c r="H65" s="36">
        <f t="shared" si="0"/>
        <v>246463553.625</v>
      </c>
      <c r="I65" s="35"/>
      <c r="J65" s="33">
        <f t="shared" si="4"/>
        <v>1.569</v>
      </c>
      <c r="K65" s="35">
        <f t="shared" si="1"/>
        <v>0.0304054054054053</v>
      </c>
      <c r="L65" s="35" t="s">
        <v>51</v>
      </c>
    </row>
    <row r="66" spans="1:12">
      <c r="A66" s="32">
        <v>45926</v>
      </c>
      <c r="B66" s="33">
        <v>1.525</v>
      </c>
      <c r="C66" s="34">
        <v>0</v>
      </c>
      <c r="D66" s="34">
        <v>161615445</v>
      </c>
      <c r="E66" s="33">
        <v>1.525</v>
      </c>
      <c r="F66" s="35">
        <f t="shared" si="2"/>
        <v>0</v>
      </c>
      <c r="G66" s="33">
        <f t="shared" si="3"/>
        <v>0</v>
      </c>
      <c r="H66" s="36">
        <f t="shared" si="0"/>
        <v>246463553.625</v>
      </c>
      <c r="I66" s="35"/>
      <c r="J66" s="33">
        <f t="shared" si="4"/>
        <v>1.558</v>
      </c>
      <c r="K66" s="35">
        <f t="shared" si="1"/>
        <v>0.0304054054054053</v>
      </c>
      <c r="L66" s="35" t="s">
        <v>49</v>
      </c>
    </row>
    <row r="67" spans="1:12">
      <c r="A67" s="32">
        <v>45929</v>
      </c>
      <c r="B67" s="33">
        <v>1.525</v>
      </c>
      <c r="C67" s="34">
        <v>0</v>
      </c>
      <c r="D67" s="34">
        <v>161615445</v>
      </c>
      <c r="E67" s="33">
        <v>1.525</v>
      </c>
      <c r="F67" s="35">
        <f t="shared" si="2"/>
        <v>0</v>
      </c>
      <c r="G67" s="33">
        <f t="shared" si="3"/>
        <v>0</v>
      </c>
      <c r="H67" s="36">
        <f t="shared" ref="H67:H94" si="5">B67*D67</f>
        <v>246463553.625</v>
      </c>
      <c r="I67" s="35"/>
      <c r="J67" s="33">
        <f t="shared" si="4"/>
        <v>1.547</v>
      </c>
      <c r="K67" s="35">
        <f t="shared" ref="K67:K94" si="6">B67/$B$3-1</f>
        <v>0.0304054054054053</v>
      </c>
      <c r="L67" s="35" t="s">
        <v>49</v>
      </c>
    </row>
    <row r="68" spans="1:12">
      <c r="A68" s="32">
        <v>45930</v>
      </c>
      <c r="B68" s="33">
        <v>1.525</v>
      </c>
      <c r="C68" s="34">
        <v>0</v>
      </c>
      <c r="D68" s="34">
        <v>161615445</v>
      </c>
      <c r="E68" s="33">
        <v>1.525</v>
      </c>
      <c r="F68" s="35">
        <f t="shared" ref="F68:F94" si="7">B68/B67-1</f>
        <v>0</v>
      </c>
      <c r="G68" s="33">
        <f t="shared" ref="G68:G94" si="8">B68-B67</f>
        <v>0</v>
      </c>
      <c r="H68" s="36">
        <f t="shared" si="5"/>
        <v>246463553.625</v>
      </c>
      <c r="I68" s="35"/>
      <c r="J68" s="33">
        <f t="shared" si="4"/>
        <v>1.536</v>
      </c>
      <c r="K68" s="35">
        <f t="shared" si="6"/>
        <v>0.0304054054054053</v>
      </c>
      <c r="L68" s="35" t="s">
        <v>49</v>
      </c>
    </row>
    <row r="69" spans="1:12">
      <c r="A69" s="32">
        <v>45931</v>
      </c>
      <c r="B69" s="33">
        <v>1.525</v>
      </c>
      <c r="C69" s="34">
        <v>0</v>
      </c>
      <c r="D69" s="34">
        <v>161615445</v>
      </c>
      <c r="E69" s="33">
        <v>1.525</v>
      </c>
      <c r="F69" s="35">
        <f t="shared" si="7"/>
        <v>0</v>
      </c>
      <c r="G69" s="33">
        <f t="shared" si="8"/>
        <v>0</v>
      </c>
      <c r="H69" s="36">
        <f t="shared" si="5"/>
        <v>246463553.625</v>
      </c>
      <c r="I69" s="35"/>
      <c r="J69" s="33">
        <f t="shared" si="4"/>
        <v>1.525</v>
      </c>
      <c r="K69" s="35">
        <f t="shared" si="6"/>
        <v>0.0304054054054053</v>
      </c>
      <c r="L69" s="35" t="s">
        <v>49</v>
      </c>
    </row>
    <row r="70" spans="1:12">
      <c r="A70" s="32">
        <v>45932</v>
      </c>
      <c r="B70" s="33">
        <v>1.525</v>
      </c>
      <c r="C70" s="34">
        <v>0</v>
      </c>
      <c r="D70" s="34">
        <v>161615445</v>
      </c>
      <c r="E70" s="33">
        <v>1.525</v>
      </c>
      <c r="F70" s="35">
        <f t="shared" si="7"/>
        <v>0</v>
      </c>
      <c r="G70" s="33">
        <f t="shared" si="8"/>
        <v>0</v>
      </c>
      <c r="H70" s="36">
        <f t="shared" si="5"/>
        <v>246463553.625</v>
      </c>
      <c r="I70" s="35"/>
      <c r="J70" s="33">
        <f t="shared" si="4"/>
        <v>1.525</v>
      </c>
      <c r="K70" s="35">
        <f t="shared" si="6"/>
        <v>0.0304054054054053</v>
      </c>
      <c r="L70" s="35" t="s">
        <v>49</v>
      </c>
    </row>
    <row r="71" spans="1:12">
      <c r="A71" s="32">
        <v>45933</v>
      </c>
      <c r="B71" s="33">
        <v>1.6</v>
      </c>
      <c r="C71" s="34">
        <v>8</v>
      </c>
      <c r="D71" s="34">
        <v>161615445</v>
      </c>
      <c r="E71" s="33">
        <v>1.6</v>
      </c>
      <c r="F71" s="35">
        <f t="shared" si="7"/>
        <v>0.0491803278688525</v>
      </c>
      <c r="G71" s="33">
        <f t="shared" si="8"/>
        <v>0.0750000000000002</v>
      </c>
      <c r="H71" s="36">
        <f t="shared" si="5"/>
        <v>258584712</v>
      </c>
      <c r="I71" s="35"/>
      <c r="J71" s="33">
        <f t="shared" ref="J71:J94" si="9">AVERAGE(B67:B71)</f>
        <v>1.54</v>
      </c>
      <c r="K71" s="35">
        <f t="shared" si="6"/>
        <v>0.0810810810810811</v>
      </c>
      <c r="L71" s="35" t="s">
        <v>51</v>
      </c>
    </row>
    <row r="72" spans="1:12">
      <c r="A72" s="32">
        <v>45936</v>
      </c>
      <c r="B72" s="33">
        <v>1.6</v>
      </c>
      <c r="C72" s="34">
        <v>350</v>
      </c>
      <c r="D72" s="34">
        <v>161615445</v>
      </c>
      <c r="E72" s="33">
        <v>1.6</v>
      </c>
      <c r="F72" s="35">
        <f t="shared" si="7"/>
        <v>0</v>
      </c>
      <c r="G72" s="33">
        <f t="shared" si="8"/>
        <v>0</v>
      </c>
      <c r="H72" s="36">
        <f t="shared" si="5"/>
        <v>258584712</v>
      </c>
      <c r="I72" s="35"/>
      <c r="J72" s="33">
        <f t="shared" si="9"/>
        <v>1.555</v>
      </c>
      <c r="K72" s="35">
        <f t="shared" si="6"/>
        <v>0.0810810810810811</v>
      </c>
      <c r="L72" s="35" t="s">
        <v>51</v>
      </c>
    </row>
    <row r="73" spans="1:12">
      <c r="A73" s="32">
        <v>45937</v>
      </c>
      <c r="B73" s="33">
        <v>1.6</v>
      </c>
      <c r="C73" s="34">
        <v>0</v>
      </c>
      <c r="D73" s="34">
        <v>161615445</v>
      </c>
      <c r="E73" s="33">
        <v>1.6</v>
      </c>
      <c r="F73" s="35">
        <f t="shared" si="7"/>
        <v>0</v>
      </c>
      <c r="G73" s="33">
        <f t="shared" si="8"/>
        <v>0</v>
      </c>
      <c r="H73" s="36">
        <f t="shared" si="5"/>
        <v>258584712</v>
      </c>
      <c r="I73" s="35"/>
      <c r="J73" s="33">
        <f t="shared" si="9"/>
        <v>1.57</v>
      </c>
      <c r="K73" s="35">
        <f t="shared" si="6"/>
        <v>0.0810810810810811</v>
      </c>
      <c r="L73" s="35" t="s">
        <v>49</v>
      </c>
    </row>
    <row r="74" spans="1:12">
      <c r="A74" s="32">
        <v>45938</v>
      </c>
      <c r="B74" s="33">
        <v>1.6</v>
      </c>
      <c r="C74" s="34">
        <v>0</v>
      </c>
      <c r="D74" s="34">
        <v>161615445</v>
      </c>
      <c r="E74" s="33">
        <v>1.6</v>
      </c>
      <c r="F74" s="35">
        <f t="shared" si="7"/>
        <v>0</v>
      </c>
      <c r="G74" s="33">
        <f t="shared" si="8"/>
        <v>0</v>
      </c>
      <c r="H74" s="36">
        <f t="shared" si="5"/>
        <v>258584712</v>
      </c>
      <c r="I74" s="35"/>
      <c r="J74" s="33">
        <f t="shared" si="9"/>
        <v>1.585</v>
      </c>
      <c r="K74" s="35">
        <f t="shared" si="6"/>
        <v>0.0810810810810811</v>
      </c>
      <c r="L74" s="35" t="s">
        <v>49</v>
      </c>
    </row>
    <row r="75" spans="1:12">
      <c r="A75" s="32">
        <v>45939</v>
      </c>
      <c r="B75" s="33">
        <v>1.6</v>
      </c>
      <c r="C75" s="34">
        <v>0</v>
      </c>
      <c r="D75" s="34">
        <v>161615445</v>
      </c>
      <c r="E75" s="33">
        <v>1.6</v>
      </c>
      <c r="F75" s="35">
        <f t="shared" si="7"/>
        <v>0</v>
      </c>
      <c r="G75" s="33">
        <f t="shared" si="8"/>
        <v>0</v>
      </c>
      <c r="H75" s="36">
        <f t="shared" si="5"/>
        <v>258584712</v>
      </c>
      <c r="I75" s="35"/>
      <c r="J75" s="33">
        <f t="shared" si="9"/>
        <v>1.6</v>
      </c>
      <c r="K75" s="35">
        <f t="shared" si="6"/>
        <v>0.0810810810810811</v>
      </c>
      <c r="L75" s="35" t="s">
        <v>49</v>
      </c>
    </row>
    <row r="76" spans="1:12">
      <c r="A76" s="32">
        <v>45940</v>
      </c>
      <c r="B76" s="33">
        <v>1.6</v>
      </c>
      <c r="C76" s="34">
        <v>0</v>
      </c>
      <c r="D76" s="34">
        <v>161615445</v>
      </c>
      <c r="E76" s="33">
        <v>1.6</v>
      </c>
      <c r="F76" s="35">
        <f t="shared" si="7"/>
        <v>0</v>
      </c>
      <c r="G76" s="33">
        <f t="shared" si="8"/>
        <v>0</v>
      </c>
      <c r="H76" s="36">
        <f t="shared" si="5"/>
        <v>258584712</v>
      </c>
      <c r="I76" s="35"/>
      <c r="J76" s="33">
        <f t="shared" si="9"/>
        <v>1.6</v>
      </c>
      <c r="K76" s="35">
        <f t="shared" si="6"/>
        <v>0.0810810810810811</v>
      </c>
      <c r="L76" s="35" t="s">
        <v>49</v>
      </c>
    </row>
    <row r="77" spans="1:12">
      <c r="A77" s="32">
        <v>45943</v>
      </c>
      <c r="B77" s="33">
        <v>2.18</v>
      </c>
      <c r="C77" s="34">
        <v>23082</v>
      </c>
      <c r="D77" s="34">
        <v>161615445</v>
      </c>
      <c r="E77" s="33">
        <v>2.18</v>
      </c>
      <c r="F77" s="35">
        <f t="shared" si="7"/>
        <v>0.3625</v>
      </c>
      <c r="G77" s="33">
        <f t="shared" si="8"/>
        <v>0.58</v>
      </c>
      <c r="H77" s="36">
        <f t="shared" si="5"/>
        <v>352321670.1</v>
      </c>
      <c r="I77" s="35"/>
      <c r="J77" s="33">
        <f t="shared" si="9"/>
        <v>1.716</v>
      </c>
      <c r="K77" s="35">
        <f t="shared" si="6"/>
        <v>0.472972972972973</v>
      </c>
      <c r="L77" s="35" t="s">
        <v>51</v>
      </c>
    </row>
    <row r="78" spans="1:12">
      <c r="A78" s="32">
        <v>45944</v>
      </c>
      <c r="B78" s="33">
        <v>2.18</v>
      </c>
      <c r="C78" s="34">
        <v>2881</v>
      </c>
      <c r="D78" s="34">
        <v>161615445</v>
      </c>
      <c r="E78" s="33">
        <v>2.18</v>
      </c>
      <c r="F78" s="35">
        <f t="shared" si="7"/>
        <v>0</v>
      </c>
      <c r="G78" s="33">
        <f t="shared" si="8"/>
        <v>0</v>
      </c>
      <c r="H78" s="36">
        <f t="shared" si="5"/>
        <v>352321670.1</v>
      </c>
      <c r="I78" s="35"/>
      <c r="J78" s="33">
        <f t="shared" si="9"/>
        <v>1.832</v>
      </c>
      <c r="K78" s="35">
        <f t="shared" si="6"/>
        <v>0.472972972972973</v>
      </c>
      <c r="L78" s="35" t="s">
        <v>51</v>
      </c>
    </row>
    <row r="79" spans="1:12">
      <c r="A79" s="32">
        <v>45945</v>
      </c>
      <c r="B79" s="33">
        <v>2.19</v>
      </c>
      <c r="C79" s="34">
        <v>8</v>
      </c>
      <c r="D79" s="34">
        <v>161615445</v>
      </c>
      <c r="E79" s="33">
        <v>2.19</v>
      </c>
      <c r="F79" s="35">
        <f t="shared" si="7"/>
        <v>0.00458715596330261</v>
      </c>
      <c r="G79" s="33">
        <f t="shared" si="8"/>
        <v>0.00999999999999979</v>
      </c>
      <c r="H79" s="36">
        <f t="shared" si="5"/>
        <v>353937824.55</v>
      </c>
      <c r="I79" s="35"/>
      <c r="J79" s="33">
        <f t="shared" si="9"/>
        <v>1.95</v>
      </c>
      <c r="K79" s="35">
        <f t="shared" si="6"/>
        <v>0.47972972972973</v>
      </c>
      <c r="L79" s="35" t="s">
        <v>51</v>
      </c>
    </row>
    <row r="80" spans="1:12">
      <c r="A80" s="32">
        <v>45946</v>
      </c>
      <c r="B80" s="33">
        <v>2.19</v>
      </c>
      <c r="C80" s="34">
        <v>0</v>
      </c>
      <c r="D80" s="34">
        <v>161615445</v>
      </c>
      <c r="E80" s="33">
        <v>2.19</v>
      </c>
      <c r="F80" s="35">
        <f t="shared" si="7"/>
        <v>0</v>
      </c>
      <c r="G80" s="33">
        <f t="shared" si="8"/>
        <v>0</v>
      </c>
      <c r="H80" s="36">
        <f t="shared" si="5"/>
        <v>353937824.55</v>
      </c>
      <c r="I80" s="35"/>
      <c r="J80" s="33">
        <f t="shared" si="9"/>
        <v>2.068</v>
      </c>
      <c r="K80" s="35">
        <f t="shared" si="6"/>
        <v>0.47972972972973</v>
      </c>
      <c r="L80" s="35" t="s">
        <v>49</v>
      </c>
    </row>
    <row r="81" spans="1:12">
      <c r="A81" s="32">
        <v>45947</v>
      </c>
      <c r="B81" s="33">
        <v>2.18</v>
      </c>
      <c r="C81" s="34">
        <v>17</v>
      </c>
      <c r="D81" s="34">
        <v>161615445</v>
      </c>
      <c r="E81" s="33">
        <v>2.18</v>
      </c>
      <c r="F81" s="35">
        <f t="shared" si="7"/>
        <v>-0.00456621004566204</v>
      </c>
      <c r="G81" s="33">
        <f t="shared" si="8"/>
        <v>-0.00999999999999979</v>
      </c>
      <c r="H81" s="36">
        <f t="shared" si="5"/>
        <v>352321670.1</v>
      </c>
      <c r="I81" s="35"/>
      <c r="J81" s="33">
        <f t="shared" si="9"/>
        <v>2.184</v>
      </c>
      <c r="K81" s="35">
        <f t="shared" si="6"/>
        <v>0.472972972972973</v>
      </c>
      <c r="L81" s="35" t="s">
        <v>51</v>
      </c>
    </row>
    <row r="82" spans="1:12">
      <c r="A82" s="32">
        <v>45950</v>
      </c>
      <c r="B82" s="33">
        <v>2.18</v>
      </c>
      <c r="C82" s="34">
        <v>2</v>
      </c>
      <c r="D82" s="34">
        <v>161615445</v>
      </c>
      <c r="E82" s="33">
        <v>2.18</v>
      </c>
      <c r="F82" s="35">
        <f t="shared" si="7"/>
        <v>0</v>
      </c>
      <c r="G82" s="33">
        <f t="shared" si="8"/>
        <v>0</v>
      </c>
      <c r="H82" s="36">
        <f t="shared" si="5"/>
        <v>352321670.1</v>
      </c>
      <c r="I82" s="35"/>
      <c r="J82" s="33">
        <f t="shared" si="9"/>
        <v>2.184</v>
      </c>
      <c r="K82" s="35">
        <f t="shared" si="6"/>
        <v>0.472972972972973</v>
      </c>
      <c r="L82" s="35" t="s">
        <v>51</v>
      </c>
    </row>
    <row r="83" spans="1:12">
      <c r="A83" s="32">
        <v>45951</v>
      </c>
      <c r="B83" s="33">
        <v>2.18</v>
      </c>
      <c r="C83" s="34">
        <v>37</v>
      </c>
      <c r="D83" s="34">
        <v>161615445</v>
      </c>
      <c r="E83" s="33">
        <v>2.18</v>
      </c>
      <c r="F83" s="35">
        <f t="shared" si="7"/>
        <v>0</v>
      </c>
      <c r="G83" s="33">
        <f t="shared" si="8"/>
        <v>0</v>
      </c>
      <c r="H83" s="36">
        <f t="shared" si="5"/>
        <v>352321670.1</v>
      </c>
      <c r="I83" s="35"/>
      <c r="J83" s="33">
        <f t="shared" si="9"/>
        <v>2.184</v>
      </c>
      <c r="K83" s="35">
        <f t="shared" si="6"/>
        <v>0.472972972972973</v>
      </c>
      <c r="L83" s="35" t="s">
        <v>51</v>
      </c>
    </row>
    <row r="84" spans="1:12">
      <c r="A84" s="32">
        <v>45952</v>
      </c>
      <c r="B84" s="33">
        <v>2.19</v>
      </c>
      <c r="C84" s="34">
        <v>5</v>
      </c>
      <c r="D84" s="34">
        <v>161615445</v>
      </c>
      <c r="E84" s="33">
        <v>2.19</v>
      </c>
      <c r="F84" s="35">
        <f t="shared" si="7"/>
        <v>0.00458715596330261</v>
      </c>
      <c r="G84" s="33">
        <f t="shared" si="8"/>
        <v>0.00999999999999979</v>
      </c>
      <c r="H84" s="36">
        <f t="shared" si="5"/>
        <v>353937824.55</v>
      </c>
      <c r="I84" s="35"/>
      <c r="J84" s="33">
        <f t="shared" si="9"/>
        <v>2.184</v>
      </c>
      <c r="K84" s="35">
        <f t="shared" si="6"/>
        <v>0.47972972972973</v>
      </c>
      <c r="L84" s="35" t="s">
        <v>51</v>
      </c>
    </row>
    <row r="85" spans="1:12">
      <c r="A85" s="32">
        <v>45953</v>
      </c>
      <c r="B85" s="33">
        <v>2.19</v>
      </c>
      <c r="C85" s="34">
        <v>0</v>
      </c>
      <c r="D85" s="34">
        <v>161615445</v>
      </c>
      <c r="E85" s="33">
        <v>2.19</v>
      </c>
      <c r="F85" s="35">
        <f t="shared" si="7"/>
        <v>0</v>
      </c>
      <c r="G85" s="33">
        <f t="shared" si="8"/>
        <v>0</v>
      </c>
      <c r="H85" s="36">
        <f t="shared" si="5"/>
        <v>353937824.55</v>
      </c>
      <c r="I85" s="35"/>
      <c r="J85" s="33">
        <f t="shared" si="9"/>
        <v>2.184</v>
      </c>
      <c r="K85" s="35">
        <f t="shared" si="6"/>
        <v>0.47972972972973</v>
      </c>
      <c r="L85" s="35" t="s">
        <v>49</v>
      </c>
    </row>
    <row r="86" spans="1:12">
      <c r="A86" s="32">
        <v>45954</v>
      </c>
      <c r="B86" s="33">
        <v>2.18</v>
      </c>
      <c r="C86" s="34">
        <v>5</v>
      </c>
      <c r="D86" s="34">
        <v>161615445</v>
      </c>
      <c r="E86" s="33">
        <v>2.18</v>
      </c>
      <c r="F86" s="35">
        <f t="shared" si="7"/>
        <v>-0.00456621004566204</v>
      </c>
      <c r="G86" s="33">
        <f t="shared" si="8"/>
        <v>-0.00999999999999979</v>
      </c>
      <c r="H86" s="36">
        <f t="shared" si="5"/>
        <v>352321670.1</v>
      </c>
      <c r="I86" s="35"/>
      <c r="J86" s="33">
        <f t="shared" si="9"/>
        <v>2.184</v>
      </c>
      <c r="K86" s="35">
        <f t="shared" si="6"/>
        <v>0.472972972972973</v>
      </c>
      <c r="L86" s="35" t="s">
        <v>51</v>
      </c>
    </row>
    <row r="87" spans="1:12">
      <c r="A87" s="32">
        <v>45957</v>
      </c>
      <c r="B87" s="33">
        <v>2.18</v>
      </c>
      <c r="C87" s="34">
        <v>2</v>
      </c>
      <c r="D87" s="34">
        <v>161615445</v>
      </c>
      <c r="E87" s="33">
        <v>2.18</v>
      </c>
      <c r="F87" s="35">
        <f t="shared" si="7"/>
        <v>0</v>
      </c>
      <c r="G87" s="33">
        <f t="shared" si="8"/>
        <v>0</v>
      </c>
      <c r="H87" s="36">
        <f t="shared" si="5"/>
        <v>352321670.1</v>
      </c>
      <c r="I87" s="35"/>
      <c r="J87" s="33">
        <f t="shared" si="9"/>
        <v>2.184</v>
      </c>
      <c r="K87" s="35">
        <f t="shared" si="6"/>
        <v>0.472972972972973</v>
      </c>
      <c r="L87" s="35" t="s">
        <v>51</v>
      </c>
    </row>
    <row r="88" spans="1:12">
      <c r="A88" s="32">
        <v>45958</v>
      </c>
      <c r="B88" s="33">
        <v>2.18</v>
      </c>
      <c r="C88" s="34">
        <v>920</v>
      </c>
      <c r="D88" s="34">
        <v>161615445</v>
      </c>
      <c r="E88" s="33">
        <v>2.18</v>
      </c>
      <c r="F88" s="35">
        <f t="shared" si="7"/>
        <v>0</v>
      </c>
      <c r="G88" s="33">
        <f t="shared" si="8"/>
        <v>0</v>
      </c>
      <c r="H88" s="36">
        <f t="shared" si="5"/>
        <v>352321670.1</v>
      </c>
      <c r="I88" s="35"/>
      <c r="J88" s="33">
        <f t="shared" si="9"/>
        <v>2.184</v>
      </c>
      <c r="K88" s="35">
        <f t="shared" si="6"/>
        <v>0.472972972972973</v>
      </c>
      <c r="L88" s="35" t="s">
        <v>51</v>
      </c>
    </row>
    <row r="89" spans="1:12">
      <c r="A89" s="32">
        <v>45959</v>
      </c>
      <c r="B89" s="33">
        <v>2.18</v>
      </c>
      <c r="C89" s="34">
        <v>56</v>
      </c>
      <c r="D89" s="34">
        <v>161615445</v>
      </c>
      <c r="E89" s="33">
        <v>2.18</v>
      </c>
      <c r="F89" s="35">
        <f t="shared" si="7"/>
        <v>0</v>
      </c>
      <c r="G89" s="33">
        <f t="shared" si="8"/>
        <v>0</v>
      </c>
      <c r="H89" s="36">
        <f t="shared" si="5"/>
        <v>352321670.1</v>
      </c>
      <c r="I89" s="35"/>
      <c r="J89" s="33">
        <f t="shared" si="9"/>
        <v>2.182</v>
      </c>
      <c r="K89" s="35">
        <f t="shared" si="6"/>
        <v>0.472972972972973</v>
      </c>
      <c r="L89" s="35" t="s">
        <v>51</v>
      </c>
    </row>
    <row r="90" spans="1:12">
      <c r="A90" s="32">
        <v>45960</v>
      </c>
      <c r="B90" s="33">
        <v>2.19</v>
      </c>
      <c r="C90" s="34">
        <v>2396</v>
      </c>
      <c r="D90" s="34">
        <v>161615445</v>
      </c>
      <c r="E90" s="33">
        <v>2.19</v>
      </c>
      <c r="F90" s="35">
        <f t="shared" si="7"/>
        <v>0.00458715596330261</v>
      </c>
      <c r="G90" s="33">
        <f t="shared" si="8"/>
        <v>0.00999999999999979</v>
      </c>
      <c r="H90" s="36">
        <f t="shared" si="5"/>
        <v>353937824.55</v>
      </c>
      <c r="I90" s="35"/>
      <c r="J90" s="33">
        <f t="shared" si="9"/>
        <v>2.182</v>
      </c>
      <c r="K90" s="35">
        <f t="shared" si="6"/>
        <v>0.47972972972973</v>
      </c>
      <c r="L90" s="35" t="s">
        <v>51</v>
      </c>
    </row>
    <row r="91" spans="1:12">
      <c r="A91" s="32">
        <v>45961</v>
      </c>
      <c r="B91" s="33">
        <v>2.18</v>
      </c>
      <c r="C91" s="34">
        <v>745</v>
      </c>
      <c r="D91" s="34">
        <v>161615445</v>
      </c>
      <c r="E91" s="33">
        <v>2.18</v>
      </c>
      <c r="F91" s="35">
        <f t="shared" si="7"/>
        <v>-0.00456621004566204</v>
      </c>
      <c r="G91" s="33">
        <f t="shared" si="8"/>
        <v>-0.00999999999999979</v>
      </c>
      <c r="H91" s="36">
        <f t="shared" si="5"/>
        <v>352321670.1</v>
      </c>
      <c r="I91" s="35"/>
      <c r="J91" s="33">
        <f t="shared" si="9"/>
        <v>2.182</v>
      </c>
      <c r="K91" s="35">
        <f t="shared" si="6"/>
        <v>0.472972972972973</v>
      </c>
      <c r="L91" s="35" t="s">
        <v>51</v>
      </c>
    </row>
    <row r="92" spans="1:12">
      <c r="A92" s="32">
        <v>45964</v>
      </c>
      <c r="B92" s="33">
        <v>2.18</v>
      </c>
      <c r="C92" s="34">
        <v>0</v>
      </c>
      <c r="D92" s="34">
        <v>161615445</v>
      </c>
      <c r="E92" s="33">
        <v>2.18</v>
      </c>
      <c r="F92" s="35">
        <f t="shared" si="7"/>
        <v>0</v>
      </c>
      <c r="G92" s="33">
        <f t="shared" si="8"/>
        <v>0</v>
      </c>
      <c r="H92" s="36">
        <f t="shared" si="5"/>
        <v>352321670.1</v>
      </c>
      <c r="I92" s="35"/>
      <c r="J92" s="33">
        <f t="shared" si="9"/>
        <v>2.182</v>
      </c>
      <c r="K92" s="35">
        <f t="shared" si="6"/>
        <v>0.472972972972973</v>
      </c>
      <c r="L92" s="35" t="s">
        <v>49</v>
      </c>
    </row>
    <row r="93" spans="1:12">
      <c r="A93" s="32">
        <v>45965</v>
      </c>
      <c r="B93" s="33">
        <v>2.18</v>
      </c>
      <c r="C93" s="34">
        <v>0</v>
      </c>
      <c r="D93" s="34">
        <v>161615445</v>
      </c>
      <c r="E93" s="33">
        <v>2.18</v>
      </c>
      <c r="F93" s="35">
        <f t="shared" si="7"/>
        <v>0</v>
      </c>
      <c r="G93" s="33">
        <f t="shared" si="8"/>
        <v>0</v>
      </c>
      <c r="H93" s="36">
        <f t="shared" si="5"/>
        <v>352321670.1</v>
      </c>
      <c r="I93" s="35"/>
      <c r="J93" s="33">
        <f t="shared" si="9"/>
        <v>2.182</v>
      </c>
      <c r="K93" s="35">
        <f t="shared" si="6"/>
        <v>0.472972972972973</v>
      </c>
      <c r="L93" s="35" t="s">
        <v>49</v>
      </c>
    </row>
    <row r="94" spans="1:12">
      <c r="A94" s="32">
        <v>45966</v>
      </c>
      <c r="B94" s="33">
        <v>2.18</v>
      </c>
      <c r="C94" s="34">
        <v>0</v>
      </c>
      <c r="D94" s="34">
        <v>161615445</v>
      </c>
      <c r="E94" s="33">
        <v>2.18</v>
      </c>
      <c r="F94" s="35">
        <f t="shared" si="7"/>
        <v>0</v>
      </c>
      <c r="G94" s="33">
        <f t="shared" si="8"/>
        <v>0</v>
      </c>
      <c r="H94" s="36">
        <f t="shared" si="5"/>
        <v>352321670.1</v>
      </c>
      <c r="I94" s="35"/>
      <c r="J94" s="33">
        <f t="shared" si="9"/>
        <v>2.182</v>
      </c>
      <c r="K94" s="35">
        <f t="shared" si="6"/>
        <v>0.472972972972973</v>
      </c>
      <c r="L94" s="35" t="s">
        <v>49</v>
      </c>
    </row>
    <row r="97" ht="19.85" spans="1:3">
      <c r="A97" s="37" t="s">
        <v>78</v>
      </c>
    </row>
    <row r="98" ht="17.65" spans="1:3">
      <c r="A98" s="7" t="s">
        <v>79</v>
      </c>
      <c r="B98">
        <v>1000</v>
      </c>
      <c r="C98" s="23" t="s">
        <v>80</v>
      </c>
    </row>
    <row r="99" ht="35.25" spans="1:3">
      <c r="A99" s="7" t="s">
        <v>81</v>
      </c>
      <c r="B99" s="38">
        <v>45839</v>
      </c>
      <c r="C99" s="23" t="s">
        <v>82</v>
      </c>
    </row>
    <row r="100" ht="17.65" spans="1:3">
      <c r="A100" s="7" t="s">
        <v>83</v>
      </c>
      <c r="B100" s="33">
        <v>1.48</v>
      </c>
      <c r="C100" s="23" t="s">
        <v>84</v>
      </c>
    </row>
    <row r="101" ht="35.25" spans="1:3">
      <c r="A101" s="7" t="s">
        <v>85</v>
      </c>
      <c r="B101" s="34">
        <v>675</v>
      </c>
      <c r="C101" s="23" t="s">
        <v>86</v>
      </c>
    </row>
    <row r="102" ht="35.25" spans="1:3">
      <c r="A102" s="7" t="s">
        <v>87</v>
      </c>
      <c r="B102" s="39">
        <v>1</v>
      </c>
      <c r="C102" s="23" t="s">
        <v>88</v>
      </c>
    </row>
    <row r="103" ht="35.25" spans="1:3">
      <c r="A103" s="7" t="s">
        <v>89</v>
      </c>
      <c r="B103" s="38">
        <v>45961</v>
      </c>
      <c r="C103" s="23" t="s">
        <v>90</v>
      </c>
    </row>
    <row r="104" ht="17.65" spans="1:3">
      <c r="A104" s="7" t="s">
        <v>91</v>
      </c>
      <c r="B104" s="39">
        <v>2.18</v>
      </c>
      <c r="C104" s="23" t="s">
        <v>84</v>
      </c>
    </row>
    <row r="105" ht="52.9" spans="1:3">
      <c r="A105" s="7" t="s">
        <v>92</v>
      </c>
      <c r="B105" s="39">
        <v>1472.5</v>
      </c>
      <c r="C105" s="23" t="s">
        <v>93</v>
      </c>
    </row>
    <row r="106" ht="35.25" spans="1:3">
      <c r="A106" s="7" t="s">
        <v>94</v>
      </c>
      <c r="B106" s="39">
        <v>472.5</v>
      </c>
      <c r="C106" s="23" t="s">
        <v>95</v>
      </c>
    </row>
    <row r="107" ht="35.25" spans="1:3">
      <c r="A107" s="7" t="s">
        <v>96</v>
      </c>
      <c r="B107" s="35">
        <v>0.4725</v>
      </c>
      <c r="C107" s="23" t="s">
        <v>97</v>
      </c>
    </row>
    <row r="108" ht="52.9" spans="1:3">
      <c r="A108" s="7" t="s">
        <v>17</v>
      </c>
      <c r="B108" t="s">
        <v>98</v>
      </c>
      <c r="C108" s="23" t="s">
        <v>99</v>
      </c>
    </row>
    <row r="111" ht="19.85" spans="1:3">
      <c r="A111" s="37" t="s">
        <v>100</v>
      </c>
    </row>
    <row r="112" ht="52.9" spans="1:3">
      <c r="A112" s="7" t="s">
        <v>101</v>
      </c>
      <c r="B112" s="38">
        <v>45839</v>
      </c>
      <c r="C112" s="23" t="s">
        <v>102</v>
      </c>
    </row>
    <row r="113" ht="52.9" spans="1:13">
      <c r="A113" s="7" t="s">
        <v>103</v>
      </c>
      <c r="B113" s="33">
        <v>1.48</v>
      </c>
      <c r="C113" s="23" t="s">
        <v>102</v>
      </c>
    </row>
    <row r="114" ht="52.9" spans="1:13">
      <c r="A114" s="7" t="s">
        <v>104</v>
      </c>
      <c r="B114" s="38">
        <v>45945</v>
      </c>
      <c r="C114" s="23" t="s">
        <v>102</v>
      </c>
    </row>
    <row r="115" ht="52.9" spans="1:13">
      <c r="A115" s="7" t="s">
        <v>105</v>
      </c>
      <c r="B115" s="33">
        <v>2.19</v>
      </c>
      <c r="C115" s="23" t="s">
        <v>102</v>
      </c>
    </row>
    <row r="116" ht="52.9" spans="1:13">
      <c r="A116" s="7" t="s">
        <v>106</v>
      </c>
      <c r="B116">
        <v>675</v>
      </c>
      <c r="C116" s="23" t="s">
        <v>102</v>
      </c>
    </row>
    <row r="117" ht="52.9" spans="1:13">
      <c r="A117" s="7" t="s">
        <v>107</v>
      </c>
      <c r="B117" s="33">
        <v>1</v>
      </c>
      <c r="C117" s="23" t="s">
        <v>102</v>
      </c>
    </row>
    <row r="118" ht="52.9" spans="1:13">
      <c r="A118" s="7" t="s">
        <v>108</v>
      </c>
      <c r="B118" s="33">
        <v>479.25</v>
      </c>
      <c r="C118" s="23" t="s">
        <v>102</v>
      </c>
    </row>
    <row r="119" ht="52.9" spans="1:13">
      <c r="A119" s="7" t="s">
        <v>109</v>
      </c>
      <c r="B119" s="35">
        <v>0.47925</v>
      </c>
      <c r="C119" s="23" t="s">
        <v>102</v>
      </c>
    </row>
    <row r="122" ht="19.85" spans="1:13">
      <c r="A122" s="37" t="s">
        <v>110</v>
      </c>
    </row>
    <row r="123" ht="17.65" spans="1:13">
      <c r="A123" s="3" t="s">
        <v>111</v>
      </c>
      <c r="B123" s="3" t="s">
        <v>101</v>
      </c>
      <c r="C123" s="40" t="s">
        <v>103</v>
      </c>
      <c r="D123" s="3" t="s">
        <v>104</v>
      </c>
      <c r="E123" s="40" t="s">
        <v>105</v>
      </c>
      <c r="F123" s="3" t="s">
        <v>106</v>
      </c>
      <c r="G123" s="41" t="s">
        <v>112</v>
      </c>
      <c r="H123" s="41" t="s">
        <v>113</v>
      </c>
      <c r="I123" s="41" t="s">
        <v>108</v>
      </c>
      <c r="J123" s="5" t="s">
        <v>109</v>
      </c>
      <c r="K123" s="3"/>
      <c r="L123" s="3"/>
      <c r="M123" s="3"/>
    </row>
    <row r="124" spans="1:13">
      <c r="A124" s="3">
        <v>1</v>
      </c>
      <c r="B124" s="42">
        <v>45839</v>
      </c>
      <c r="C124" s="40">
        <v>1.48</v>
      </c>
      <c r="D124" s="42">
        <v>45852</v>
      </c>
      <c r="E124" s="40">
        <v>1.765</v>
      </c>
      <c r="F124" s="3">
        <v>675</v>
      </c>
      <c r="G124" s="41">
        <v>1000</v>
      </c>
      <c r="H124" s="41">
        <v>1192.375</v>
      </c>
      <c r="I124" s="41">
        <v>192.375</v>
      </c>
      <c r="J124" s="5">
        <v>0.192375</v>
      </c>
      <c r="K124" s="3"/>
      <c r="L124" s="3"/>
      <c r="M124" s="3"/>
    </row>
    <row r="125" spans="1:13">
      <c r="A125" s="3">
        <v>2</v>
      </c>
      <c r="B125" s="42">
        <v>45854</v>
      </c>
      <c r="C125" s="40">
        <v>1.63</v>
      </c>
      <c r="D125" s="42">
        <v>45873</v>
      </c>
      <c r="E125" s="40">
        <v>1.67</v>
      </c>
      <c r="F125" s="3">
        <v>731</v>
      </c>
      <c r="G125" s="41">
        <v>1192.375</v>
      </c>
      <c r="H125" s="41">
        <v>1221.615</v>
      </c>
      <c r="I125" s="41">
        <v>29.24</v>
      </c>
      <c r="J125" s="5">
        <v>0.0245224866338191</v>
      </c>
      <c r="K125" s="3"/>
      <c r="L125" s="3"/>
      <c r="M125" s="3"/>
    </row>
    <row r="126" spans="1:13">
      <c r="A126" s="3">
        <v>3</v>
      </c>
      <c r="B126" s="42">
        <v>45874</v>
      </c>
      <c r="C126" s="40">
        <v>1.5</v>
      </c>
      <c r="D126" s="42">
        <v>45875</v>
      </c>
      <c r="E126" s="40">
        <v>1.51</v>
      </c>
      <c r="F126" s="3">
        <v>814</v>
      </c>
      <c r="G126" s="41">
        <v>1221.615</v>
      </c>
      <c r="H126" s="41">
        <v>1229.755</v>
      </c>
      <c r="I126" s="41">
        <v>8.1400000000001</v>
      </c>
      <c r="J126" s="5">
        <v>0.00666331045378462</v>
      </c>
      <c r="K126" s="3"/>
      <c r="L126" s="3"/>
      <c r="M126" s="3"/>
    </row>
    <row r="127" spans="1:13">
      <c r="A127" s="3">
        <v>4</v>
      </c>
      <c r="B127" s="42">
        <v>45877</v>
      </c>
      <c r="C127" s="40">
        <v>1.5</v>
      </c>
      <c r="D127" s="42">
        <v>45891</v>
      </c>
      <c r="E127" s="40">
        <v>1.615</v>
      </c>
      <c r="F127" s="3">
        <v>819</v>
      </c>
      <c r="G127" s="41">
        <v>1229.755</v>
      </c>
      <c r="H127" s="41">
        <v>1323.94</v>
      </c>
      <c r="I127" s="41">
        <v>94.1849999999999</v>
      </c>
      <c r="J127" s="5">
        <v>0.0765884261499241</v>
      </c>
      <c r="K127" s="3"/>
      <c r="L127" s="3"/>
      <c r="M127" s="3"/>
    </row>
    <row r="128" spans="1:13">
      <c r="A128" s="3">
        <v>5</v>
      </c>
      <c r="B128" s="42">
        <v>45898</v>
      </c>
      <c r="C128" s="40">
        <v>1.575</v>
      </c>
      <c r="D128" s="42">
        <v>45911</v>
      </c>
      <c r="E128" s="40">
        <v>1.58</v>
      </c>
      <c r="F128" s="3">
        <v>840</v>
      </c>
      <c r="G128" s="41">
        <v>1323.94</v>
      </c>
      <c r="H128" s="41">
        <v>1328.14</v>
      </c>
      <c r="I128" s="41">
        <v>4.20000000000004</v>
      </c>
      <c r="J128" s="5">
        <v>0.00317234920011484</v>
      </c>
      <c r="K128" s="3"/>
      <c r="L128" s="3"/>
      <c r="M128" s="3"/>
    </row>
    <row r="129" spans="1:13">
      <c r="A129" s="3">
        <v>6</v>
      </c>
      <c r="B129" s="42">
        <v>45925</v>
      </c>
      <c r="C129" s="40">
        <v>1.525</v>
      </c>
      <c r="D129" s="42">
        <v>45945</v>
      </c>
      <c r="E129" s="40">
        <v>2.19</v>
      </c>
      <c r="F129" s="3">
        <v>870</v>
      </c>
      <c r="G129" s="41">
        <v>1328.14</v>
      </c>
      <c r="H129" s="41">
        <v>1906.69</v>
      </c>
      <c r="I129" s="41">
        <v>578.55</v>
      </c>
      <c r="J129" s="5">
        <v>0.43560919782553</v>
      </c>
      <c r="K129" s="3"/>
      <c r="L129" s="3"/>
      <c r="M129" s="3"/>
    </row>
    <row r="130" spans="1:13">
      <c r="A130" s="3">
        <v>7</v>
      </c>
      <c r="B130" s="42">
        <v>45951</v>
      </c>
      <c r="C130" s="40">
        <v>2.18</v>
      </c>
      <c r="D130" s="42">
        <v>45952</v>
      </c>
      <c r="E130" s="40">
        <v>2.19</v>
      </c>
      <c r="F130" s="3">
        <v>874</v>
      </c>
      <c r="G130" s="41">
        <v>1906.69</v>
      </c>
      <c r="H130" s="41">
        <v>1915.43</v>
      </c>
      <c r="I130" s="41">
        <v>8.73999999999978</v>
      </c>
      <c r="J130" s="5">
        <v>0.00458385998772731</v>
      </c>
      <c r="K130" s="3"/>
      <c r="L130" s="3"/>
      <c r="M130" s="3"/>
    </row>
    <row r="131" spans="1:13">
      <c r="A131" s="3">
        <v>8</v>
      </c>
      <c r="B131" s="42">
        <v>45959</v>
      </c>
      <c r="C131" s="40">
        <v>2.18</v>
      </c>
      <c r="D131" s="42">
        <v>45960</v>
      </c>
      <c r="E131" s="40">
        <v>2.19</v>
      </c>
      <c r="F131" s="3">
        <v>878</v>
      </c>
      <c r="G131" s="41">
        <v>1915.43</v>
      </c>
      <c r="H131" s="41">
        <v>1924.21</v>
      </c>
      <c r="I131" s="41">
        <v>8.77999999999975</v>
      </c>
      <c r="J131" s="5">
        <v>0.0045838271302004</v>
      </c>
      <c r="K131" s="3"/>
      <c r="L131" s="3"/>
      <c r="M131" s="3"/>
    </row>
  </sheetData>
  <autoFilter xmlns:etc="http://www.wps.cn/officeDocument/2017/etCustomData" ref="A2:M94" etc:filterBottomFollowUsedRange="0">
    <extLst/>
  </autoFilter>
  <mergeCells count="1">
    <mergeCell ref="A1:M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4"/>
  <sheetViews>
    <sheetView workbookViewId="0">
      <pane ySplit="3" topLeftCell="A4" activePane="bottomLeft" state="frozen"/>
      <selection/>
      <selection pane="bottomLeft" activeCell="A1" sqref="A1:H1"/>
    </sheetView>
  </sheetViews>
  <sheetFormatPr defaultColWidth="9" defaultRowHeight="17.6"/>
  <cols>
    <col min="1" max="1" width="24" customWidth="1"/>
  </cols>
  <sheetData>
    <row r="1" ht="26.6" spans="1:10">
      <c r="A1" s="30" t="s">
        <v>114</v>
      </c>
    </row>
    <row r="2" spans="1:10">
      <c r="A2" s="23" t="s">
        <v>115</v>
      </c>
    </row>
    <row r="4" ht="88.15" spans="1:10">
      <c r="A4" s="31" t="s">
        <v>116</v>
      </c>
      <c r="J4" s="31" t="s">
        <v>117</v>
      </c>
    </row>
    <row r="34" ht="123.4" spans="1:10">
      <c r="A34" s="31" t="s">
        <v>118</v>
      </c>
      <c r="J34" s="31" t="s">
        <v>119</v>
      </c>
    </row>
    <row r="64" ht="105.75" spans="1:10">
      <c r="A64" s="31" t="s">
        <v>120</v>
      </c>
      <c r="J64" s="31" t="s">
        <v>121</v>
      </c>
    </row>
    <row r="94" ht="88.15" spans="1:10">
      <c r="A94" s="31" t="s">
        <v>122</v>
      </c>
      <c r="J94" s="31" t="s">
        <v>123</v>
      </c>
    </row>
  </sheetData>
  <mergeCells count="2">
    <mergeCell ref="A1:H1"/>
    <mergeCell ref="A2:H2"/>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workbookViewId="0">
      <pane ySplit="2" topLeftCell="A3" activePane="bottomLeft" state="frozen"/>
      <selection/>
      <selection pane="bottomLeft" activeCell="A1" sqref="A1:C1"/>
    </sheetView>
  </sheetViews>
  <sheetFormatPr defaultColWidth="9" defaultRowHeight="17.6" outlineLevelCol="2"/>
  <cols>
    <col min="1" max="1" width="32.0083333333333" customWidth="1"/>
    <col min="2" max="2" width="30.0083333333333" customWidth="1"/>
    <col min="3" max="3" width="32.0083333333333" customWidth="1"/>
  </cols>
  <sheetData>
    <row r="1" ht="18.75" customHeight="1" spans="1:3">
      <c r="A1" s="21" t="s">
        <v>124</v>
      </c>
      <c r="B1" s="9"/>
      <c r="C1" s="10"/>
    </row>
    <row r="2" ht="30" customHeight="1" spans="1:3">
      <c r="A2" s="22" t="s">
        <v>52</v>
      </c>
      <c r="B2" s="13" t="s">
        <v>53</v>
      </c>
      <c r="C2" s="22" t="s">
        <v>125</v>
      </c>
    </row>
    <row r="3" ht="18.75" customHeight="1" spans="1:3">
      <c r="A3" s="23" t="s">
        <v>2</v>
      </c>
      <c r="B3" s="28" t="s">
        <v>35</v>
      </c>
      <c r="C3" s="24" t="s">
        <v>126</v>
      </c>
    </row>
    <row r="4" ht="18.75" customHeight="1" spans="1:3">
      <c r="A4" s="23" t="s">
        <v>4</v>
      </c>
      <c r="B4" s="28" t="s">
        <v>5</v>
      </c>
      <c r="C4" s="24" t="s">
        <v>127</v>
      </c>
    </row>
    <row r="5" ht="18.75" customHeight="1" spans="1:3">
      <c r="A5" s="23" t="s">
        <v>8</v>
      </c>
      <c r="B5" s="28" t="s">
        <v>9</v>
      </c>
      <c r="C5" s="24" t="s">
        <v>128</v>
      </c>
    </row>
    <row r="6" ht="18.75" customHeight="1" spans="1:3">
      <c r="A6" s="23" t="s">
        <v>129</v>
      </c>
      <c r="B6" s="28" t="s">
        <v>11</v>
      </c>
      <c r="C6" s="24" t="s">
        <v>130</v>
      </c>
    </row>
    <row r="7" ht="18.75" customHeight="1" spans="1:3">
      <c r="A7" s="23" t="s">
        <v>131</v>
      </c>
      <c r="B7" s="28" t="s">
        <v>132</v>
      </c>
      <c r="C7" s="24" t="s">
        <v>133</v>
      </c>
    </row>
    <row r="8" ht="18.75" customHeight="1" spans="1:3">
      <c r="A8" s="26" t="s">
        <v>134</v>
      </c>
      <c r="B8" s="18">
        <v>92</v>
      </c>
      <c r="C8" s="24" t="s">
        <v>135</v>
      </c>
    </row>
    <row r="9" ht="18.75" customHeight="1" spans="1:3">
      <c r="A9" s="26" t="s">
        <v>136</v>
      </c>
      <c r="B9" s="18">
        <v>39</v>
      </c>
      <c r="C9" s="24" t="s">
        <v>137</v>
      </c>
    </row>
    <row r="10" ht="18.75" customHeight="1" spans="1:3">
      <c r="A10" s="26" t="s">
        <v>68</v>
      </c>
      <c r="B10" s="18">
        <v>53</v>
      </c>
      <c r="C10" s="24" t="s">
        <v>138</v>
      </c>
    </row>
    <row r="11" ht="18.75" customHeight="1" spans="1:3">
      <c r="A11" s="26" t="s">
        <v>139</v>
      </c>
      <c r="B11" s="17">
        <v>1.48</v>
      </c>
      <c r="C11" s="24" t="s">
        <v>140</v>
      </c>
    </row>
    <row r="12" ht="18.75" customHeight="1" spans="1:3">
      <c r="A12" s="26" t="s">
        <v>141</v>
      </c>
      <c r="B12" s="17">
        <v>2.19</v>
      </c>
      <c r="C12" s="24" t="s">
        <v>140</v>
      </c>
    </row>
    <row r="13" ht="18.75" customHeight="1" spans="1:3">
      <c r="A13" s="26" t="s">
        <v>142</v>
      </c>
      <c r="B13" s="17">
        <v>1.72010869565217</v>
      </c>
      <c r="C13" s="24" t="s">
        <v>140</v>
      </c>
    </row>
    <row r="14" ht="18.75" customHeight="1" spans="1:3">
      <c r="A14" s="26" t="s">
        <v>143</v>
      </c>
      <c r="B14" s="29">
        <v>1.615</v>
      </c>
      <c r="C14" s="24" t="s">
        <v>140</v>
      </c>
    </row>
    <row r="15" ht="18.75" customHeight="1" spans="1:3">
      <c r="A15" s="26" t="s">
        <v>64</v>
      </c>
      <c r="B15" s="17">
        <v>76552</v>
      </c>
      <c r="C15" s="24" t="s">
        <v>144</v>
      </c>
    </row>
    <row r="16" ht="18.75" customHeight="1" spans="1:3">
      <c r="A16" s="26" t="s">
        <v>66</v>
      </c>
      <c r="B16" s="29">
        <v>832.086956521739</v>
      </c>
      <c r="C16" s="24" t="s">
        <v>67</v>
      </c>
    </row>
    <row r="17" ht="18.75" customHeight="1" spans="1:3">
      <c r="A17" s="26" t="s">
        <v>145</v>
      </c>
      <c r="B17" s="18">
        <v>161615445</v>
      </c>
      <c r="C17" s="24" t="s">
        <v>146</v>
      </c>
    </row>
    <row r="18" ht="18.75" customHeight="1" spans="1:3">
      <c r="A18" s="26" t="s">
        <v>147</v>
      </c>
      <c r="B18" s="18">
        <v>161623972</v>
      </c>
      <c r="C18" s="24" t="s">
        <v>146</v>
      </c>
    </row>
    <row r="19" ht="18.75" customHeight="1" spans="1:3">
      <c r="A19" s="23" t="s">
        <v>148</v>
      </c>
      <c r="B19" s="28" t="s">
        <v>49</v>
      </c>
      <c r="C19" s="24" t="s">
        <v>149</v>
      </c>
    </row>
    <row r="20" ht="18.75" customHeight="1" spans="1:3">
      <c r="A20" s="23" t="s">
        <v>150</v>
      </c>
      <c r="B20" s="28" t="s">
        <v>49</v>
      </c>
      <c r="C20" s="24" t="s">
        <v>151</v>
      </c>
    </row>
  </sheetData>
  <mergeCells count="1">
    <mergeCell ref="A1:C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workbookViewId="0">
      <pane ySplit="2" topLeftCell="A3" activePane="bottomLeft" state="frozen"/>
      <selection/>
      <selection pane="bottomLeft" activeCell="A1" sqref="A1:D1"/>
    </sheetView>
  </sheetViews>
  <sheetFormatPr defaultColWidth="9" defaultRowHeight="17.6" outlineLevelCol="3"/>
  <cols>
    <col min="1" max="1" width="32.0083333333333" customWidth="1"/>
    <col min="2" max="2" width="11.0083333333333" customWidth="1"/>
    <col min="3" max="3" width="21.0083333333333" customWidth="1"/>
    <col min="4" max="4" width="30.0083333333333" customWidth="1"/>
  </cols>
  <sheetData>
    <row r="1" ht="18.75" customHeight="1" spans="1:4">
      <c r="A1" s="21" t="s">
        <v>152</v>
      </c>
      <c r="B1" s="9"/>
      <c r="C1" s="9"/>
      <c r="D1" s="10"/>
    </row>
    <row r="2" ht="30" customHeight="1" spans="1:4">
      <c r="A2" s="22" t="s">
        <v>153</v>
      </c>
      <c r="B2" s="22" t="s">
        <v>154</v>
      </c>
      <c r="C2" s="22" t="s">
        <v>155</v>
      </c>
      <c r="D2" s="22" t="s">
        <v>156</v>
      </c>
    </row>
    <row r="3" ht="18.75" customHeight="1" spans="1:4">
      <c r="A3" s="26" t="s">
        <v>75</v>
      </c>
      <c r="B3" s="26" t="s">
        <v>75</v>
      </c>
      <c r="C3" s="26" t="s">
        <v>157</v>
      </c>
      <c r="D3" s="26" t="s">
        <v>158</v>
      </c>
    </row>
    <row r="4" ht="18.75" customHeight="1" spans="1:4">
      <c r="A4" s="26" t="s">
        <v>4</v>
      </c>
      <c r="B4" s="26" t="s">
        <v>159</v>
      </c>
      <c r="C4" s="26" t="s">
        <v>127</v>
      </c>
      <c r="D4" s="26" t="s">
        <v>160</v>
      </c>
    </row>
    <row r="5" ht="18.75" customHeight="1" spans="1:4">
      <c r="A5" s="26" t="s">
        <v>26</v>
      </c>
      <c r="B5" s="26" t="s">
        <v>159</v>
      </c>
      <c r="C5" s="26" t="s">
        <v>161</v>
      </c>
      <c r="D5" s="26" t="s">
        <v>160</v>
      </c>
    </row>
    <row r="6" ht="18.75" customHeight="1" spans="1:4">
      <c r="A6" s="26" t="s">
        <v>27</v>
      </c>
      <c r="B6" s="26" t="s">
        <v>162</v>
      </c>
      <c r="C6" s="26" t="s">
        <v>61</v>
      </c>
      <c r="D6" s="26" t="s">
        <v>163</v>
      </c>
    </row>
    <row r="7" ht="18.75" customHeight="1" spans="1:4">
      <c r="A7" s="26" t="s">
        <v>28</v>
      </c>
      <c r="B7" s="26" t="s">
        <v>162</v>
      </c>
      <c r="C7" s="26" t="s">
        <v>61</v>
      </c>
      <c r="D7" s="26" t="s">
        <v>164</v>
      </c>
    </row>
    <row r="8" ht="18.75" customHeight="1" spans="1:4">
      <c r="A8" s="26" t="s">
        <v>29</v>
      </c>
      <c r="B8" s="26" t="s">
        <v>162</v>
      </c>
      <c r="C8" s="26" t="s">
        <v>61</v>
      </c>
      <c r="D8" s="26" t="s">
        <v>165</v>
      </c>
    </row>
    <row r="9" ht="18.75" customHeight="1" spans="1:4">
      <c r="A9" s="26" t="s">
        <v>30</v>
      </c>
      <c r="B9" s="26" t="s">
        <v>162</v>
      </c>
      <c r="C9" s="26" t="s">
        <v>61</v>
      </c>
      <c r="D9" s="26" t="s">
        <v>166</v>
      </c>
    </row>
    <row r="10" ht="18.75" customHeight="1" spans="1:4">
      <c r="A10" s="26" t="s">
        <v>31</v>
      </c>
      <c r="B10" s="26" t="s">
        <v>167</v>
      </c>
      <c r="C10" s="26" t="s">
        <v>168</v>
      </c>
      <c r="D10" s="26" t="s">
        <v>169</v>
      </c>
    </row>
    <row r="11" ht="18.75" customHeight="1" spans="1:4">
      <c r="A11" s="26" t="s">
        <v>76</v>
      </c>
      <c r="B11" s="26" t="s">
        <v>167</v>
      </c>
      <c r="C11" s="26" t="s">
        <v>170</v>
      </c>
      <c r="D11" s="26" t="s">
        <v>171</v>
      </c>
    </row>
    <row r="12" ht="18.75" customHeight="1" spans="1:4">
      <c r="A12" s="26" t="s">
        <v>43</v>
      </c>
      <c r="B12" s="26" t="s">
        <v>162</v>
      </c>
      <c r="C12" s="26" t="s">
        <v>172</v>
      </c>
      <c r="D12" s="26" t="s">
        <v>173</v>
      </c>
    </row>
    <row r="13" ht="18.75" customHeight="1" spans="1:4">
      <c r="A13" s="26" t="s">
        <v>45</v>
      </c>
      <c r="B13" s="26" t="s">
        <v>162</v>
      </c>
      <c r="C13" s="26" t="s">
        <v>174</v>
      </c>
      <c r="D13" s="26" t="s">
        <v>175</v>
      </c>
    </row>
    <row r="14" ht="18.75" customHeight="1" spans="1:4">
      <c r="A14" s="26" t="s">
        <v>48</v>
      </c>
      <c r="B14" s="26" t="s">
        <v>162</v>
      </c>
      <c r="C14" s="26" t="s">
        <v>172</v>
      </c>
      <c r="D14" s="26" t="s">
        <v>176</v>
      </c>
    </row>
  </sheetData>
  <mergeCells count="1">
    <mergeCell ref="A1:D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
  <sheetViews>
    <sheetView workbookViewId="0">
      <pane ySplit="2" topLeftCell="A3" activePane="bottomLeft" state="frozen"/>
      <selection/>
      <selection pane="bottomLeft" activeCell="A1" sqref="A1:I1"/>
    </sheetView>
  </sheetViews>
  <sheetFormatPr defaultColWidth="9" defaultRowHeight="17.6" outlineLevelRow="7"/>
  <cols>
    <col min="1" max="1" width="24.0083333333333" customWidth="1"/>
    <col min="2" max="2" width="7.00833333333333" customWidth="1"/>
    <col min="3" max="3" width="9.00833333333333" customWidth="1"/>
    <col min="4" max="5" width="13.0083333333333" customWidth="1"/>
    <col min="6" max="6" width="20.0083333333333" customWidth="1"/>
    <col min="7" max="9" width="13.0083333333333" customWidth="1"/>
  </cols>
  <sheetData>
    <row r="1" ht="18.75" customHeight="1" spans="1:9">
      <c r="A1" s="21" t="s">
        <v>177</v>
      </c>
      <c r="B1" s="9"/>
      <c r="C1" s="9"/>
      <c r="D1" s="9"/>
      <c r="E1" s="9"/>
      <c r="F1" s="9"/>
      <c r="G1" s="9"/>
      <c r="H1" s="9"/>
      <c r="I1" s="10"/>
    </row>
    <row r="2" ht="30" customHeight="1" spans="1:9">
      <c r="A2" s="22" t="s">
        <v>153</v>
      </c>
      <c r="B2" s="13" t="s">
        <v>178</v>
      </c>
      <c r="C2" s="13" t="s">
        <v>179</v>
      </c>
      <c r="D2" s="25" t="s">
        <v>180</v>
      </c>
      <c r="E2" s="25" t="s">
        <v>181</v>
      </c>
      <c r="F2" s="25" t="s">
        <v>182</v>
      </c>
      <c r="G2" s="25" t="s">
        <v>183</v>
      </c>
      <c r="H2" s="25" t="s">
        <v>184</v>
      </c>
      <c r="I2" s="25" t="s">
        <v>185</v>
      </c>
    </row>
    <row r="3" ht="18.75" customHeight="1" spans="1:9">
      <c r="A3" s="26" t="s">
        <v>27</v>
      </c>
      <c r="B3" s="18">
        <v>92</v>
      </c>
      <c r="C3" s="18">
        <v>0</v>
      </c>
      <c r="D3" s="27">
        <v>0</v>
      </c>
      <c r="E3" s="27">
        <v>0</v>
      </c>
      <c r="F3" s="27">
        <v>0.762010869565217</v>
      </c>
      <c r="G3" s="27">
        <v>0</v>
      </c>
      <c r="H3" s="27">
        <v>1.625</v>
      </c>
      <c r="I3" s="27">
        <v>2.19</v>
      </c>
    </row>
    <row r="4" ht="18.75" customHeight="1" spans="1:9">
      <c r="A4" s="26" t="s">
        <v>28</v>
      </c>
      <c r="B4" s="18">
        <v>92</v>
      </c>
      <c r="C4" s="18">
        <v>0</v>
      </c>
      <c r="D4" s="27">
        <v>0</v>
      </c>
      <c r="E4" s="27">
        <v>0</v>
      </c>
      <c r="F4" s="27">
        <v>0.766413043478261</v>
      </c>
      <c r="G4" s="27">
        <v>0</v>
      </c>
      <c r="H4" s="27">
        <v>1.63</v>
      </c>
      <c r="I4" s="27">
        <v>2.19</v>
      </c>
    </row>
    <row r="5" ht="18.75" customHeight="1" spans="1:9">
      <c r="A5" s="26" t="s">
        <v>29</v>
      </c>
      <c r="B5" s="18">
        <v>92</v>
      </c>
      <c r="C5" s="18">
        <v>0</v>
      </c>
      <c r="D5" s="27">
        <v>0</v>
      </c>
      <c r="E5" s="27">
        <v>0</v>
      </c>
      <c r="F5" s="27">
        <v>0.758315217391304</v>
      </c>
      <c r="G5" s="27">
        <v>0</v>
      </c>
      <c r="H5" s="27">
        <v>1.6175</v>
      </c>
      <c r="I5" s="27">
        <v>2.19</v>
      </c>
    </row>
    <row r="6" ht="18.75" customHeight="1" spans="1:9">
      <c r="A6" s="26" t="s">
        <v>30</v>
      </c>
      <c r="B6" s="18">
        <v>92</v>
      </c>
      <c r="C6" s="18">
        <v>0</v>
      </c>
      <c r="D6" s="27">
        <v>1.48</v>
      </c>
      <c r="E6" s="27">
        <v>1.575</v>
      </c>
      <c r="F6" s="27">
        <v>1.72010869565217</v>
      </c>
      <c r="G6" s="27">
        <v>1.615</v>
      </c>
      <c r="H6" s="27">
        <v>1.765</v>
      </c>
      <c r="I6" s="27">
        <v>2.19</v>
      </c>
    </row>
    <row r="7" ht="18.75" customHeight="1" spans="1:9">
      <c r="A7" s="26" t="s">
        <v>31</v>
      </c>
      <c r="B7" s="18">
        <v>92</v>
      </c>
      <c r="C7" s="18">
        <v>0</v>
      </c>
      <c r="D7" s="27">
        <v>0</v>
      </c>
      <c r="E7" s="27">
        <v>0</v>
      </c>
      <c r="F7" s="27">
        <v>832.086956521739</v>
      </c>
      <c r="G7" s="27">
        <v>0</v>
      </c>
      <c r="H7" s="27">
        <v>41.75</v>
      </c>
      <c r="I7" s="27">
        <v>23082</v>
      </c>
    </row>
    <row r="8" ht="18.75" customHeight="1" spans="1:9">
      <c r="A8" s="26" t="s">
        <v>76</v>
      </c>
      <c r="B8" s="18">
        <v>92</v>
      </c>
      <c r="C8" s="18">
        <v>0</v>
      </c>
      <c r="D8" s="27">
        <v>161615445</v>
      </c>
      <c r="E8" s="27">
        <v>161615445</v>
      </c>
      <c r="F8" s="27">
        <v>161618596.282609</v>
      </c>
      <c r="G8" s="27">
        <v>161615445</v>
      </c>
      <c r="H8" s="27">
        <v>161623972</v>
      </c>
      <c r="I8" s="27">
        <v>161623972</v>
      </c>
    </row>
  </sheetData>
  <mergeCells count="1">
    <mergeCell ref="A1:I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workbookViewId="0">
      <pane ySplit="2" topLeftCell="A3" activePane="bottomLeft" state="frozen"/>
      <selection/>
      <selection pane="bottomLeft" activeCell="A1" sqref="A1:C1"/>
    </sheetView>
  </sheetViews>
  <sheetFormatPr defaultColWidth="9" defaultRowHeight="17.6" outlineLevelRow="7" outlineLevelCol="2"/>
  <cols>
    <col min="1" max="1" width="48.0083333333333" customWidth="1"/>
    <col min="2" max="2" width="110.008333333333" customWidth="1"/>
    <col min="3" max="3" width="55.0083333333333" customWidth="1"/>
  </cols>
  <sheetData>
    <row r="1" ht="18.75" customHeight="1" spans="1:3">
      <c r="A1" s="21" t="s">
        <v>186</v>
      </c>
      <c r="B1" s="9"/>
      <c r="C1" s="10"/>
    </row>
    <row r="2" ht="30" customHeight="1" spans="1:3">
      <c r="A2" s="22" t="s">
        <v>187</v>
      </c>
      <c r="B2" s="22" t="s">
        <v>188</v>
      </c>
      <c r="C2" s="22" t="s">
        <v>189</v>
      </c>
    </row>
    <row r="3" ht="31.5" customHeight="1" spans="1:3">
      <c r="A3" s="23" t="s">
        <v>190</v>
      </c>
      <c r="B3" s="24" t="s">
        <v>191</v>
      </c>
      <c r="C3" s="24" t="s">
        <v>192</v>
      </c>
    </row>
    <row r="4" ht="45" customHeight="1" spans="1:3">
      <c r="A4" s="23" t="s">
        <v>193</v>
      </c>
      <c r="B4" s="24" t="s">
        <v>194</v>
      </c>
      <c r="C4" s="24" t="s">
        <v>195</v>
      </c>
    </row>
    <row r="5" ht="45" customHeight="1" spans="1:3">
      <c r="A5" s="23" t="s">
        <v>196</v>
      </c>
      <c r="B5" s="24" t="s">
        <v>197</v>
      </c>
      <c r="C5" s="24" t="s">
        <v>198</v>
      </c>
    </row>
    <row r="6" ht="57.75" customHeight="1" spans="1:3">
      <c r="A6" s="23" t="s">
        <v>199</v>
      </c>
      <c r="B6" s="24" t="s">
        <v>200</v>
      </c>
      <c r="C6" s="24" t="s">
        <v>201</v>
      </c>
    </row>
    <row r="7" ht="45" customHeight="1" spans="1:3">
      <c r="A7" s="23" t="s">
        <v>202</v>
      </c>
      <c r="B7" s="24" t="s">
        <v>203</v>
      </c>
      <c r="C7" s="24" t="s">
        <v>204</v>
      </c>
    </row>
    <row r="8" ht="45" customHeight="1" spans="1:3">
      <c r="A8" s="23" t="s">
        <v>205</v>
      </c>
      <c r="B8" s="24" t="s">
        <v>206</v>
      </c>
      <c r="C8" s="24" t="s">
        <v>207</v>
      </c>
    </row>
  </sheetData>
  <mergeCells count="1">
    <mergeCell ref="A1:C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4"/>
  <sheetViews>
    <sheetView workbookViewId="0">
      <pane ySplit="2" topLeftCell="A3" activePane="bottomLeft" state="frozen"/>
      <selection/>
      <selection pane="bottomLeft" activeCell="A1" sqref="A1:L1"/>
    </sheetView>
  </sheetViews>
  <sheetFormatPr defaultColWidth="9" defaultRowHeight="17.6"/>
  <cols>
    <col min="1" max="1" width="25.0083333333333" customWidth="1"/>
    <col min="2" max="5" width="7.00833333333333" customWidth="1"/>
    <col min="6" max="6" width="14.0083333333333" customWidth="1"/>
    <col min="7" max="7" width="15.0083333333333" customWidth="1"/>
    <col min="8" max="8" width="16.0083333333333" customWidth="1"/>
    <col min="9" max="9" width="24.0083333333333" customWidth="1"/>
    <col min="10" max="11" width="23.0083333333333" customWidth="1"/>
    <col min="12" max="12" width="22.0083333333333" customWidth="1"/>
  </cols>
  <sheetData>
    <row r="1" ht="18.75" customHeight="1" spans="1:12">
      <c r="A1" s="8" t="s">
        <v>208</v>
      </c>
      <c r="B1" s="9"/>
      <c r="C1" s="9"/>
      <c r="D1" s="9"/>
      <c r="E1" s="9"/>
      <c r="F1" s="9"/>
      <c r="G1" s="9"/>
      <c r="H1" s="9"/>
      <c r="I1" s="9"/>
      <c r="J1" s="9"/>
      <c r="K1" s="9"/>
      <c r="L1" s="10"/>
    </row>
    <row r="2" ht="30" customHeight="1" spans="1:12">
      <c r="A2" s="11" t="s">
        <v>75</v>
      </c>
      <c r="B2" s="12" t="s">
        <v>27</v>
      </c>
      <c r="C2" s="12" t="s">
        <v>28</v>
      </c>
      <c r="D2" s="12" t="s">
        <v>29</v>
      </c>
      <c r="E2" s="12" t="s">
        <v>30</v>
      </c>
      <c r="F2" s="13" t="s">
        <v>31</v>
      </c>
      <c r="G2" s="13" t="s">
        <v>76</v>
      </c>
      <c r="H2" s="12" t="s">
        <v>42</v>
      </c>
      <c r="I2" s="14" t="s">
        <v>43</v>
      </c>
      <c r="J2" s="12" t="s">
        <v>44</v>
      </c>
      <c r="K2" s="15" t="s">
        <v>45</v>
      </c>
      <c r="L2" s="14" t="s">
        <v>48</v>
      </c>
    </row>
    <row r="3" ht="18.75" customHeight="1" spans="1:12">
      <c r="A3" s="16">
        <v>25569.4171972106</v>
      </c>
      <c r="B3" s="17">
        <v>1.535</v>
      </c>
      <c r="C3" s="17">
        <v>1.535</v>
      </c>
      <c r="D3" s="17">
        <v>1.45</v>
      </c>
      <c r="E3" s="17">
        <v>1.48</v>
      </c>
      <c r="F3" s="18">
        <v>727</v>
      </c>
      <c r="G3" s="18">
        <v>161623972</v>
      </c>
      <c r="H3" s="17"/>
      <c r="I3" s="19"/>
      <c r="J3" s="17"/>
      <c r="K3" s="20">
        <v>239203478.56</v>
      </c>
      <c r="L3" s="19">
        <v>0</v>
      </c>
    </row>
    <row r="4" ht="18.75" customHeight="1" spans="1:12">
      <c r="A4" s="16">
        <v>25569.4171972222</v>
      </c>
      <c r="B4" s="17">
        <v>1.47</v>
      </c>
      <c r="C4" s="17">
        <v>1.63</v>
      </c>
      <c r="D4" s="17">
        <v>1.46</v>
      </c>
      <c r="E4" s="17">
        <v>1.63</v>
      </c>
      <c r="F4" s="18">
        <v>5059</v>
      </c>
      <c r="G4" s="18">
        <v>161623972</v>
      </c>
      <c r="H4" s="17">
        <v>1.48</v>
      </c>
      <c r="I4" s="19">
        <v>0.101351351351351</v>
      </c>
      <c r="J4" s="17">
        <v>0.15</v>
      </c>
      <c r="K4" s="20">
        <v>263447074.36</v>
      </c>
      <c r="L4" s="19">
        <v>0.101351351351351</v>
      </c>
    </row>
    <row r="5" ht="18.75" customHeight="1" spans="1:12">
      <c r="A5" s="16">
        <v>25569.4171972338</v>
      </c>
      <c r="B5" s="17">
        <v>1.625</v>
      </c>
      <c r="C5" s="17">
        <v>1.7</v>
      </c>
      <c r="D5" s="17">
        <v>1.625</v>
      </c>
      <c r="E5" s="17">
        <v>1.68</v>
      </c>
      <c r="F5" s="18">
        <v>72</v>
      </c>
      <c r="G5" s="18">
        <v>161623972</v>
      </c>
      <c r="H5" s="17">
        <v>1.63</v>
      </c>
      <c r="I5" s="19">
        <v>0.0306748466257669</v>
      </c>
      <c r="J5" s="17">
        <v>0.05</v>
      </c>
      <c r="K5" s="20">
        <v>271528272.96</v>
      </c>
      <c r="L5" s="19">
        <v>0.135135135135135</v>
      </c>
    </row>
    <row r="6" ht="18.75" customHeight="1" spans="1:12">
      <c r="A6" s="16">
        <v>25569.4171972454</v>
      </c>
      <c r="B6" s="17">
        <v>1.7</v>
      </c>
      <c r="C6" s="17">
        <v>1.77</v>
      </c>
      <c r="D6" s="17">
        <v>1.7</v>
      </c>
      <c r="E6" s="17">
        <v>1.7</v>
      </c>
      <c r="F6" s="18">
        <v>8431</v>
      </c>
      <c r="G6" s="18">
        <v>161623972</v>
      </c>
      <c r="H6" s="17">
        <v>1.68</v>
      </c>
      <c r="I6" s="19">
        <v>0.0119047619047619</v>
      </c>
      <c r="J6" s="17">
        <v>0.02</v>
      </c>
      <c r="K6" s="20">
        <v>274760752.4</v>
      </c>
      <c r="L6" s="19">
        <v>0.148648648648649</v>
      </c>
    </row>
    <row r="7" ht="18.75" customHeight="1" spans="1:12">
      <c r="A7" s="16">
        <v>25569.4171972801</v>
      </c>
      <c r="B7" s="17">
        <v>1.7</v>
      </c>
      <c r="C7" s="17">
        <v>1.77</v>
      </c>
      <c r="D7" s="17">
        <v>1.7</v>
      </c>
      <c r="E7" s="17">
        <v>1.765</v>
      </c>
      <c r="F7" s="18">
        <v>4914</v>
      </c>
      <c r="G7" s="18">
        <v>161623972</v>
      </c>
      <c r="H7" s="17">
        <v>1.7</v>
      </c>
      <c r="I7" s="19">
        <v>0.0382352941176469</v>
      </c>
      <c r="J7" s="17">
        <v>0.0649999999999999</v>
      </c>
      <c r="K7" s="20">
        <v>285266310.58</v>
      </c>
      <c r="L7" s="19">
        <v>0.192567567567567</v>
      </c>
    </row>
    <row r="8" ht="18.75" customHeight="1" spans="1:12">
      <c r="A8" s="16">
        <v>25569.4171972917</v>
      </c>
      <c r="B8" s="17">
        <v>0</v>
      </c>
      <c r="C8" s="17">
        <v>0</v>
      </c>
      <c r="D8" s="17">
        <v>0</v>
      </c>
      <c r="E8" s="17">
        <v>1.765</v>
      </c>
      <c r="F8" s="18">
        <v>0</v>
      </c>
      <c r="G8" s="18">
        <v>161623972</v>
      </c>
      <c r="H8" s="17">
        <v>1.765</v>
      </c>
      <c r="I8" s="19">
        <v>0</v>
      </c>
      <c r="J8" s="17">
        <v>0</v>
      </c>
      <c r="K8" s="20">
        <v>285266310.58</v>
      </c>
      <c r="L8" s="19">
        <v>0.192567567567567</v>
      </c>
    </row>
    <row r="9" ht="18.75" customHeight="1" spans="1:12">
      <c r="A9" s="16">
        <v>25569.4171973032</v>
      </c>
      <c r="B9" s="17">
        <v>0</v>
      </c>
      <c r="C9" s="17">
        <v>0</v>
      </c>
      <c r="D9" s="17">
        <v>0</v>
      </c>
      <c r="E9" s="17">
        <v>1.765</v>
      </c>
      <c r="F9" s="18">
        <v>0</v>
      </c>
      <c r="G9" s="18">
        <v>161623972</v>
      </c>
      <c r="H9" s="17">
        <v>1.765</v>
      </c>
      <c r="I9" s="19">
        <v>0</v>
      </c>
      <c r="J9" s="17">
        <v>0</v>
      </c>
      <c r="K9" s="20">
        <v>285266310.58</v>
      </c>
      <c r="L9" s="19">
        <v>0.192567567567567</v>
      </c>
    </row>
    <row r="10" ht="18.75" customHeight="1" spans="1:12">
      <c r="A10" s="16">
        <v>25569.4171973148</v>
      </c>
      <c r="B10" s="17">
        <v>0</v>
      </c>
      <c r="C10" s="17">
        <v>0</v>
      </c>
      <c r="D10" s="17">
        <v>0</v>
      </c>
      <c r="E10" s="17">
        <v>1.765</v>
      </c>
      <c r="F10" s="18">
        <v>0</v>
      </c>
      <c r="G10" s="18">
        <v>161623972</v>
      </c>
      <c r="H10" s="17">
        <v>1.765</v>
      </c>
      <c r="I10" s="19">
        <v>0</v>
      </c>
      <c r="J10" s="17">
        <v>0</v>
      </c>
      <c r="K10" s="20">
        <v>285266310.58</v>
      </c>
      <c r="L10" s="19">
        <v>0.192567567567567</v>
      </c>
    </row>
    <row r="11" ht="18.75" customHeight="1" spans="1:12">
      <c r="A11" s="16">
        <v>25569.4171973264</v>
      </c>
      <c r="B11" s="17">
        <v>0</v>
      </c>
      <c r="C11" s="17">
        <v>0</v>
      </c>
      <c r="D11" s="17">
        <v>0</v>
      </c>
      <c r="E11" s="17">
        <v>1.765</v>
      </c>
      <c r="F11" s="18">
        <v>0</v>
      </c>
      <c r="G11" s="18">
        <v>161623972</v>
      </c>
      <c r="H11" s="17">
        <v>1.765</v>
      </c>
      <c r="I11" s="19">
        <v>0</v>
      </c>
      <c r="J11" s="17">
        <v>0</v>
      </c>
      <c r="K11" s="20">
        <v>285266310.58</v>
      </c>
      <c r="L11" s="19">
        <v>0.192567567567567</v>
      </c>
    </row>
    <row r="12" ht="18.75" customHeight="1" spans="1:12">
      <c r="A12" s="16">
        <v>25569.4171973611</v>
      </c>
      <c r="B12" s="17">
        <v>1.75</v>
      </c>
      <c r="C12" s="17">
        <v>1.765</v>
      </c>
      <c r="D12" s="17">
        <v>1.73</v>
      </c>
      <c r="E12" s="17">
        <v>1.765</v>
      </c>
      <c r="F12" s="18">
        <v>1161</v>
      </c>
      <c r="G12" s="18">
        <v>161623972</v>
      </c>
      <c r="H12" s="17">
        <v>1.765</v>
      </c>
      <c r="I12" s="19">
        <v>0</v>
      </c>
      <c r="J12" s="17">
        <v>0</v>
      </c>
      <c r="K12" s="20">
        <v>285266310.58</v>
      </c>
      <c r="L12" s="19">
        <v>0.192567567567567</v>
      </c>
    </row>
    <row r="13" ht="18.75" customHeight="1" spans="1:12">
      <c r="A13" s="16">
        <v>25569.4171973727</v>
      </c>
      <c r="B13" s="17">
        <v>0</v>
      </c>
      <c r="C13" s="17">
        <v>0</v>
      </c>
      <c r="D13" s="17">
        <v>0</v>
      </c>
      <c r="E13" s="17">
        <v>1.765</v>
      </c>
      <c r="F13" s="18">
        <v>0</v>
      </c>
      <c r="G13" s="18">
        <v>161623972</v>
      </c>
      <c r="H13" s="17">
        <v>1.765</v>
      </c>
      <c r="I13" s="19">
        <v>0</v>
      </c>
      <c r="J13" s="17">
        <v>0</v>
      </c>
      <c r="K13" s="20">
        <v>285266310.58</v>
      </c>
      <c r="L13" s="19">
        <v>0.192567567567567</v>
      </c>
    </row>
    <row r="14" ht="18.75" customHeight="1" spans="1:12">
      <c r="A14" s="16">
        <v>25569.4171973843</v>
      </c>
      <c r="B14" s="17">
        <v>1.63</v>
      </c>
      <c r="C14" s="17">
        <v>1.63</v>
      </c>
      <c r="D14" s="17">
        <v>1.63</v>
      </c>
      <c r="E14" s="17">
        <v>1.63</v>
      </c>
      <c r="F14" s="18">
        <v>100</v>
      </c>
      <c r="G14" s="18">
        <v>161623972</v>
      </c>
      <c r="H14" s="17">
        <v>1.765</v>
      </c>
      <c r="I14" s="19">
        <v>-0.0764872521246459</v>
      </c>
      <c r="J14" s="17">
        <v>-0.135</v>
      </c>
      <c r="K14" s="20">
        <v>263447074.36</v>
      </c>
      <c r="L14" s="19">
        <v>0.101351351351351</v>
      </c>
    </row>
    <row r="15" ht="18.75" customHeight="1" spans="1:12">
      <c r="A15" s="16">
        <v>25569.4171973958</v>
      </c>
      <c r="B15" s="17">
        <v>1.645</v>
      </c>
      <c r="C15" s="17">
        <v>1.645</v>
      </c>
      <c r="D15" s="17">
        <v>1.645</v>
      </c>
      <c r="E15" s="17">
        <v>1.645</v>
      </c>
      <c r="F15" s="18">
        <v>70</v>
      </c>
      <c r="G15" s="18">
        <v>161623972</v>
      </c>
      <c r="H15" s="17">
        <v>1.63</v>
      </c>
      <c r="I15" s="19">
        <v>0.00920245398773023</v>
      </c>
      <c r="J15" s="17">
        <v>0.0150000000000001</v>
      </c>
      <c r="K15" s="20">
        <v>265871433.94</v>
      </c>
      <c r="L15" s="19">
        <v>0.111486486486486</v>
      </c>
    </row>
    <row r="16" ht="18.75" customHeight="1" spans="1:12">
      <c r="A16" s="16">
        <v>25569.4171974074</v>
      </c>
      <c r="B16" s="17">
        <v>0</v>
      </c>
      <c r="C16" s="17">
        <v>0</v>
      </c>
      <c r="D16" s="17">
        <v>0</v>
      </c>
      <c r="E16" s="17">
        <v>1.645</v>
      </c>
      <c r="F16" s="18">
        <v>0</v>
      </c>
      <c r="G16" s="18">
        <v>161623972</v>
      </c>
      <c r="H16" s="17">
        <v>1.645</v>
      </c>
      <c r="I16" s="19">
        <v>0</v>
      </c>
      <c r="J16" s="17">
        <v>0</v>
      </c>
      <c r="K16" s="20">
        <v>265871433.94</v>
      </c>
      <c r="L16" s="19">
        <v>0.111486486486486</v>
      </c>
    </row>
    <row r="17" ht="18.75" customHeight="1" spans="1:12">
      <c r="A17" s="16">
        <v>25569.4171974421</v>
      </c>
      <c r="B17" s="17">
        <v>1.67</v>
      </c>
      <c r="C17" s="17">
        <v>1.67</v>
      </c>
      <c r="D17" s="17">
        <v>1.67</v>
      </c>
      <c r="E17" s="17">
        <v>1.67</v>
      </c>
      <c r="F17" s="18">
        <v>318</v>
      </c>
      <c r="G17" s="18">
        <v>161623972</v>
      </c>
      <c r="H17" s="17">
        <v>1.645</v>
      </c>
      <c r="I17" s="19">
        <v>0.0151975683890577</v>
      </c>
      <c r="J17" s="17">
        <v>0.0249999999999999</v>
      </c>
      <c r="K17" s="20">
        <v>269912033.24</v>
      </c>
      <c r="L17" s="19">
        <v>0.128378378378378</v>
      </c>
    </row>
    <row r="18" ht="18.75" customHeight="1" spans="1:12">
      <c r="A18" s="16">
        <v>25569.4171974537</v>
      </c>
      <c r="B18" s="17">
        <v>0</v>
      </c>
      <c r="C18" s="17">
        <v>0</v>
      </c>
      <c r="D18" s="17">
        <v>0</v>
      </c>
      <c r="E18" s="17">
        <v>1.67</v>
      </c>
      <c r="F18" s="18">
        <v>0</v>
      </c>
      <c r="G18" s="18">
        <v>161623972</v>
      </c>
      <c r="H18" s="17">
        <v>1.67</v>
      </c>
      <c r="I18" s="19">
        <v>0</v>
      </c>
      <c r="J18" s="17">
        <v>0</v>
      </c>
      <c r="K18" s="20">
        <v>269912033.24</v>
      </c>
      <c r="L18" s="19">
        <v>0.128378378378378</v>
      </c>
    </row>
    <row r="19" ht="18.75" customHeight="1" spans="1:12">
      <c r="A19" s="16">
        <v>25569.4171974653</v>
      </c>
      <c r="B19" s="17">
        <v>0</v>
      </c>
      <c r="C19" s="17">
        <v>0</v>
      </c>
      <c r="D19" s="17">
        <v>0</v>
      </c>
      <c r="E19" s="17">
        <v>1.67</v>
      </c>
      <c r="F19" s="18">
        <v>0</v>
      </c>
      <c r="G19" s="18">
        <v>161623972</v>
      </c>
      <c r="H19" s="17">
        <v>1.67</v>
      </c>
      <c r="I19" s="19">
        <v>0</v>
      </c>
      <c r="J19" s="17">
        <v>0</v>
      </c>
      <c r="K19" s="20">
        <v>269912033.24</v>
      </c>
      <c r="L19" s="19">
        <v>0.128378378378378</v>
      </c>
    </row>
    <row r="20" ht="18.75" customHeight="1" spans="1:12">
      <c r="A20" s="16">
        <v>25569.4171974769</v>
      </c>
      <c r="B20" s="17">
        <v>0</v>
      </c>
      <c r="C20" s="17">
        <v>0</v>
      </c>
      <c r="D20" s="17">
        <v>0</v>
      </c>
      <c r="E20" s="17">
        <v>1.67</v>
      </c>
      <c r="F20" s="18">
        <v>0</v>
      </c>
      <c r="G20" s="18">
        <v>161623972</v>
      </c>
      <c r="H20" s="17">
        <v>1.67</v>
      </c>
      <c r="I20" s="19">
        <v>0</v>
      </c>
      <c r="J20" s="17">
        <v>0</v>
      </c>
      <c r="K20" s="20">
        <v>269912033.24</v>
      </c>
      <c r="L20" s="19">
        <v>0.128378378378378</v>
      </c>
    </row>
    <row r="21" ht="18.75" customHeight="1" spans="1:12">
      <c r="A21" s="16">
        <v>25569.4171974884</v>
      </c>
      <c r="B21" s="17">
        <v>0</v>
      </c>
      <c r="C21" s="17">
        <v>0</v>
      </c>
      <c r="D21" s="17">
        <v>0</v>
      </c>
      <c r="E21" s="17">
        <v>1.67</v>
      </c>
      <c r="F21" s="18">
        <v>0</v>
      </c>
      <c r="G21" s="18">
        <v>161623972</v>
      </c>
      <c r="H21" s="17">
        <v>1.67</v>
      </c>
      <c r="I21" s="19">
        <v>0</v>
      </c>
      <c r="J21" s="17">
        <v>0</v>
      </c>
      <c r="K21" s="20">
        <v>269912033.24</v>
      </c>
      <c r="L21" s="19">
        <v>0.128378378378378</v>
      </c>
    </row>
    <row r="22" ht="18.75" customHeight="1" spans="1:12">
      <c r="A22" s="16">
        <v>25569.4171975232</v>
      </c>
      <c r="B22" s="17">
        <v>1.685</v>
      </c>
      <c r="C22" s="17">
        <v>1.685</v>
      </c>
      <c r="D22" s="17">
        <v>1.67</v>
      </c>
      <c r="E22" s="17">
        <v>1.67</v>
      </c>
      <c r="F22" s="18">
        <v>7</v>
      </c>
      <c r="G22" s="18">
        <v>161623972</v>
      </c>
      <c r="H22" s="17">
        <v>1.67</v>
      </c>
      <c r="I22" s="19">
        <v>0</v>
      </c>
      <c r="J22" s="17">
        <v>0</v>
      </c>
      <c r="K22" s="20">
        <v>269912033.24</v>
      </c>
      <c r="L22" s="19">
        <v>0.128378378378378</v>
      </c>
    </row>
    <row r="23" ht="18.75" customHeight="1" spans="1:12">
      <c r="A23" s="16">
        <v>25569.4171975347</v>
      </c>
      <c r="B23" s="17">
        <v>0</v>
      </c>
      <c r="C23" s="17">
        <v>0</v>
      </c>
      <c r="D23" s="17">
        <v>0</v>
      </c>
      <c r="E23" s="17">
        <v>1.67</v>
      </c>
      <c r="F23" s="18">
        <v>0</v>
      </c>
      <c r="G23" s="18">
        <v>161623972</v>
      </c>
      <c r="H23" s="17">
        <v>1.67</v>
      </c>
      <c r="I23" s="19">
        <v>0</v>
      </c>
      <c r="J23" s="17">
        <v>0</v>
      </c>
      <c r="K23" s="20">
        <v>269912033.24</v>
      </c>
      <c r="L23" s="19">
        <v>0.128378378378378</v>
      </c>
    </row>
    <row r="24" ht="18.75" customHeight="1" spans="1:12">
      <c r="A24" s="16">
        <v>25569.4171975463</v>
      </c>
      <c r="B24" s="17">
        <v>1.67</v>
      </c>
      <c r="C24" s="17">
        <v>1.67</v>
      </c>
      <c r="D24" s="17">
        <v>1.67</v>
      </c>
      <c r="E24" s="17">
        <v>1.67</v>
      </c>
      <c r="F24" s="18">
        <v>6</v>
      </c>
      <c r="G24" s="18">
        <v>161623972</v>
      </c>
      <c r="H24" s="17">
        <v>1.67</v>
      </c>
      <c r="I24" s="19">
        <v>0</v>
      </c>
      <c r="J24" s="17">
        <v>0</v>
      </c>
      <c r="K24" s="20">
        <v>269912033.24</v>
      </c>
      <c r="L24" s="19">
        <v>0.128378378378378</v>
      </c>
    </row>
    <row r="25" ht="18.75" customHeight="1" spans="1:12">
      <c r="A25" s="16">
        <v>25569.4171975579</v>
      </c>
      <c r="B25" s="17">
        <v>0</v>
      </c>
      <c r="C25" s="17">
        <v>0</v>
      </c>
      <c r="D25" s="17">
        <v>0</v>
      </c>
      <c r="E25" s="17">
        <v>1.67</v>
      </c>
      <c r="F25" s="18">
        <v>0</v>
      </c>
      <c r="G25" s="18">
        <v>161623972</v>
      </c>
      <c r="H25" s="17">
        <v>1.67</v>
      </c>
      <c r="I25" s="19">
        <v>0</v>
      </c>
      <c r="J25" s="17">
        <v>0</v>
      </c>
      <c r="K25" s="20">
        <v>269912033.24</v>
      </c>
      <c r="L25" s="19">
        <v>0.128378378378378</v>
      </c>
    </row>
    <row r="26" ht="18.75" customHeight="1" spans="1:12">
      <c r="A26" s="16">
        <v>25569.4171975694</v>
      </c>
      <c r="B26" s="17">
        <v>0</v>
      </c>
      <c r="C26" s="17">
        <v>0</v>
      </c>
      <c r="D26" s="17">
        <v>0</v>
      </c>
      <c r="E26" s="17">
        <v>1.67</v>
      </c>
      <c r="F26" s="18">
        <v>0</v>
      </c>
      <c r="G26" s="18">
        <v>161623972</v>
      </c>
      <c r="H26" s="17">
        <v>1.67</v>
      </c>
      <c r="I26" s="19">
        <v>0</v>
      </c>
      <c r="J26" s="17">
        <v>0</v>
      </c>
      <c r="K26" s="20">
        <v>269912033.24</v>
      </c>
      <c r="L26" s="19">
        <v>0.128378378378378</v>
      </c>
    </row>
    <row r="27" ht="18.75" customHeight="1" spans="1:12">
      <c r="A27" s="16">
        <v>25569.4171976042</v>
      </c>
      <c r="B27" s="17">
        <v>1.67</v>
      </c>
      <c r="C27" s="17">
        <v>1.67</v>
      </c>
      <c r="D27" s="17">
        <v>1.67</v>
      </c>
      <c r="E27" s="17">
        <v>1.67</v>
      </c>
      <c r="F27" s="18">
        <v>1</v>
      </c>
      <c r="G27" s="18">
        <v>161623972</v>
      </c>
      <c r="H27" s="17">
        <v>1.67</v>
      </c>
      <c r="I27" s="19">
        <v>0</v>
      </c>
      <c r="J27" s="17">
        <v>0</v>
      </c>
      <c r="K27" s="20">
        <v>269912033.24</v>
      </c>
      <c r="L27" s="19">
        <v>0.128378378378378</v>
      </c>
    </row>
    <row r="28" ht="18.75" customHeight="1" spans="1:12">
      <c r="A28" s="16">
        <v>25569.4171976157</v>
      </c>
      <c r="B28" s="17">
        <v>1.505</v>
      </c>
      <c r="C28" s="17">
        <v>1.505</v>
      </c>
      <c r="D28" s="17">
        <v>1.5</v>
      </c>
      <c r="E28" s="17">
        <v>1.5</v>
      </c>
      <c r="F28" s="18">
        <v>11926</v>
      </c>
      <c r="G28" s="18">
        <v>161623972</v>
      </c>
      <c r="H28" s="17">
        <v>1.67</v>
      </c>
      <c r="I28" s="19">
        <v>-0.101796407185629</v>
      </c>
      <c r="J28" s="17">
        <v>-0.17</v>
      </c>
      <c r="K28" s="20">
        <v>242435958</v>
      </c>
      <c r="L28" s="19">
        <v>0.0135135135135136</v>
      </c>
    </row>
    <row r="29" ht="18.75" customHeight="1" spans="1:12">
      <c r="A29" s="16">
        <v>25569.4171976273</v>
      </c>
      <c r="B29" s="17">
        <v>1.51</v>
      </c>
      <c r="C29" s="17">
        <v>1.51</v>
      </c>
      <c r="D29" s="17">
        <v>1.51</v>
      </c>
      <c r="E29" s="17">
        <v>1.51</v>
      </c>
      <c r="F29" s="18">
        <v>502</v>
      </c>
      <c r="G29" s="18">
        <v>161623972</v>
      </c>
      <c r="H29" s="17">
        <v>1.5</v>
      </c>
      <c r="I29" s="19">
        <v>0.0066666666666666</v>
      </c>
      <c r="J29" s="17">
        <v>0.01</v>
      </c>
      <c r="K29" s="20">
        <v>244052197.72</v>
      </c>
      <c r="L29" s="19">
        <v>0.0202702702702704</v>
      </c>
    </row>
    <row r="30" ht="18.75" customHeight="1" spans="1:12">
      <c r="A30" s="16">
        <v>25569.4171976389</v>
      </c>
      <c r="B30" s="17">
        <v>0</v>
      </c>
      <c r="C30" s="17">
        <v>0</v>
      </c>
      <c r="D30" s="17">
        <v>0</v>
      </c>
      <c r="E30" s="17">
        <v>1.51</v>
      </c>
      <c r="F30" s="18">
        <v>0</v>
      </c>
      <c r="G30" s="18">
        <v>161623972</v>
      </c>
      <c r="H30" s="17">
        <v>1.51</v>
      </c>
      <c r="I30" s="19">
        <v>0</v>
      </c>
      <c r="J30" s="17">
        <v>0</v>
      </c>
      <c r="K30" s="20">
        <v>244052197.72</v>
      </c>
      <c r="L30" s="19">
        <v>0.0202702702702704</v>
      </c>
    </row>
    <row r="31" ht="18.75" customHeight="1" spans="1:12">
      <c r="A31" s="16">
        <v>25569.4171976505</v>
      </c>
      <c r="B31" s="17">
        <v>1.51</v>
      </c>
      <c r="C31" s="17">
        <v>1.51</v>
      </c>
      <c r="D31" s="17">
        <v>1.5</v>
      </c>
      <c r="E31" s="17">
        <v>1.5</v>
      </c>
      <c r="F31" s="18">
        <v>4876</v>
      </c>
      <c r="G31" s="18">
        <v>161623972</v>
      </c>
      <c r="H31" s="17">
        <v>1.51</v>
      </c>
      <c r="I31" s="19">
        <v>-0.00662251655629143</v>
      </c>
      <c r="J31" s="17">
        <v>-0.01</v>
      </c>
      <c r="K31" s="20">
        <v>242435958</v>
      </c>
      <c r="L31" s="19">
        <v>0.0135135135135136</v>
      </c>
    </row>
    <row r="32" ht="18.75" customHeight="1" spans="1:12">
      <c r="A32" s="16">
        <v>25569.4171976852</v>
      </c>
      <c r="B32" s="17">
        <v>1.51</v>
      </c>
      <c r="C32" s="17">
        <v>1.51</v>
      </c>
      <c r="D32" s="17">
        <v>1.51</v>
      </c>
      <c r="E32" s="17">
        <v>1.51</v>
      </c>
      <c r="F32" s="18">
        <v>1</v>
      </c>
      <c r="G32" s="18">
        <v>161623972</v>
      </c>
      <c r="H32" s="17">
        <v>1.5</v>
      </c>
      <c r="I32" s="19">
        <v>0.0066666666666666</v>
      </c>
      <c r="J32" s="17">
        <v>0.01</v>
      </c>
      <c r="K32" s="20">
        <v>244052197.72</v>
      </c>
      <c r="L32" s="19">
        <v>0.0202702702702704</v>
      </c>
    </row>
    <row r="33" ht="18.75" customHeight="1" spans="1:12">
      <c r="A33" s="16">
        <v>25569.4171976968</v>
      </c>
      <c r="B33" s="17">
        <v>0</v>
      </c>
      <c r="C33" s="17">
        <v>0</v>
      </c>
      <c r="D33" s="17">
        <v>0</v>
      </c>
      <c r="E33" s="17">
        <v>1.51</v>
      </c>
      <c r="F33" s="18">
        <v>0</v>
      </c>
      <c r="G33" s="18">
        <v>161623972</v>
      </c>
      <c r="H33" s="17">
        <v>1.51</v>
      </c>
      <c r="I33" s="19">
        <v>0</v>
      </c>
      <c r="J33" s="17">
        <v>0</v>
      </c>
      <c r="K33" s="20">
        <v>244052197.72</v>
      </c>
      <c r="L33" s="19">
        <v>0.0202702702702704</v>
      </c>
    </row>
    <row r="34" ht="18.75" customHeight="1" spans="1:12">
      <c r="A34" s="16">
        <v>25569.4171977083</v>
      </c>
      <c r="B34" s="17">
        <v>1.55</v>
      </c>
      <c r="C34" s="17">
        <v>1.55</v>
      </c>
      <c r="D34" s="17">
        <v>1.55</v>
      </c>
      <c r="E34" s="17">
        <v>1.55</v>
      </c>
      <c r="F34" s="18">
        <v>652</v>
      </c>
      <c r="G34" s="18">
        <v>161623972</v>
      </c>
      <c r="H34" s="17">
        <v>1.51</v>
      </c>
      <c r="I34" s="19">
        <v>0.0264900662251655</v>
      </c>
      <c r="J34" s="17">
        <v>0.04</v>
      </c>
      <c r="K34" s="20">
        <v>250517156.6</v>
      </c>
      <c r="L34" s="19">
        <v>0.0472972972972974</v>
      </c>
    </row>
    <row r="35" ht="18.75" customHeight="1" spans="1:12">
      <c r="A35" s="16">
        <v>25569.4171977199</v>
      </c>
      <c r="B35" s="17">
        <v>1.555</v>
      </c>
      <c r="C35" s="17">
        <v>1.555</v>
      </c>
      <c r="D35" s="17">
        <v>1.555</v>
      </c>
      <c r="E35" s="17">
        <v>1.555</v>
      </c>
      <c r="F35" s="18">
        <v>3935</v>
      </c>
      <c r="G35" s="18">
        <v>161623972</v>
      </c>
      <c r="H35" s="17">
        <v>1.55</v>
      </c>
      <c r="I35" s="19">
        <v>0.00322580645161286</v>
      </c>
      <c r="J35" s="17">
        <v>0.00499999999999989</v>
      </c>
      <c r="K35" s="20">
        <v>251325276.46</v>
      </c>
      <c r="L35" s="19">
        <v>0.0506756756756757</v>
      </c>
    </row>
    <row r="36" ht="18.75" customHeight="1" spans="1:12">
      <c r="A36" s="16">
        <v>25569.4171977315</v>
      </c>
      <c r="B36" s="17">
        <v>1.575</v>
      </c>
      <c r="C36" s="17">
        <v>1.575</v>
      </c>
      <c r="D36" s="17">
        <v>1.575</v>
      </c>
      <c r="E36" s="17">
        <v>1.575</v>
      </c>
      <c r="F36" s="18">
        <v>2</v>
      </c>
      <c r="G36" s="18">
        <v>161623972</v>
      </c>
      <c r="H36" s="17">
        <v>1.555</v>
      </c>
      <c r="I36" s="19">
        <v>0.0128617363344052</v>
      </c>
      <c r="J36" s="17">
        <v>0.02</v>
      </c>
      <c r="K36" s="20">
        <v>254557755.9</v>
      </c>
      <c r="L36" s="19">
        <v>0.0641891891891893</v>
      </c>
    </row>
    <row r="37" ht="18.75" customHeight="1" spans="1:12">
      <c r="A37" s="16">
        <v>25569.4171977662</v>
      </c>
      <c r="B37" s="17">
        <v>0</v>
      </c>
      <c r="C37" s="17">
        <v>0</v>
      </c>
      <c r="D37" s="17">
        <v>0</v>
      </c>
      <c r="E37" s="17">
        <v>1.575</v>
      </c>
      <c r="F37" s="18">
        <v>0</v>
      </c>
      <c r="G37" s="18">
        <v>161615445</v>
      </c>
      <c r="H37" s="17">
        <v>1.575</v>
      </c>
      <c r="I37" s="19">
        <v>0</v>
      </c>
      <c r="J37" s="17">
        <v>0</v>
      </c>
      <c r="K37" s="20">
        <v>254544325.875</v>
      </c>
      <c r="L37" s="19">
        <v>0.0641891891891893</v>
      </c>
    </row>
    <row r="38" ht="18.75" customHeight="1" spans="1:12">
      <c r="A38" s="16">
        <v>25569.4171977778</v>
      </c>
      <c r="B38" s="17">
        <v>0</v>
      </c>
      <c r="C38" s="17">
        <v>0</v>
      </c>
      <c r="D38" s="17">
        <v>0</v>
      </c>
      <c r="E38" s="17">
        <v>1.575</v>
      </c>
      <c r="F38" s="18">
        <v>0</v>
      </c>
      <c r="G38" s="18">
        <v>161615445</v>
      </c>
      <c r="H38" s="17">
        <v>1.575</v>
      </c>
      <c r="I38" s="19">
        <v>0</v>
      </c>
      <c r="J38" s="17">
        <v>0</v>
      </c>
      <c r="K38" s="20">
        <v>254544325.875</v>
      </c>
      <c r="L38" s="19">
        <v>0.0641891891891893</v>
      </c>
    </row>
    <row r="39" ht="18.75" customHeight="1" spans="1:12">
      <c r="A39" s="16">
        <v>25569.4171977893</v>
      </c>
      <c r="B39" s="17">
        <v>0</v>
      </c>
      <c r="C39" s="17">
        <v>0</v>
      </c>
      <c r="D39" s="17">
        <v>0</v>
      </c>
      <c r="E39" s="17">
        <v>1.575</v>
      </c>
      <c r="F39" s="18">
        <v>0</v>
      </c>
      <c r="G39" s="18">
        <v>161615445</v>
      </c>
      <c r="H39" s="17">
        <v>1.575</v>
      </c>
      <c r="I39" s="19">
        <v>0</v>
      </c>
      <c r="J39" s="17">
        <v>0</v>
      </c>
      <c r="K39" s="20">
        <v>254544325.875</v>
      </c>
      <c r="L39" s="19">
        <v>0.0641891891891893</v>
      </c>
    </row>
    <row r="40" ht="18.75" customHeight="1" spans="1:12">
      <c r="A40" s="16">
        <v>25569.4171978009</v>
      </c>
      <c r="B40" s="17">
        <v>0</v>
      </c>
      <c r="C40" s="17">
        <v>0</v>
      </c>
      <c r="D40" s="17">
        <v>0</v>
      </c>
      <c r="E40" s="17">
        <v>1.575</v>
      </c>
      <c r="F40" s="18">
        <v>0</v>
      </c>
      <c r="G40" s="18">
        <v>161615445</v>
      </c>
      <c r="H40" s="17">
        <v>1.575</v>
      </c>
      <c r="I40" s="19">
        <v>0</v>
      </c>
      <c r="J40" s="17">
        <v>0</v>
      </c>
      <c r="K40" s="20">
        <v>254544325.875</v>
      </c>
      <c r="L40" s="19">
        <v>0.0641891891891893</v>
      </c>
    </row>
    <row r="41" ht="18.75" customHeight="1" spans="1:12">
      <c r="A41" s="16">
        <v>25569.4171978125</v>
      </c>
      <c r="B41" s="17">
        <v>1.615</v>
      </c>
      <c r="C41" s="17">
        <v>1.615</v>
      </c>
      <c r="D41" s="17">
        <v>1.615</v>
      </c>
      <c r="E41" s="17">
        <v>1.615</v>
      </c>
      <c r="F41" s="18">
        <v>6</v>
      </c>
      <c r="G41" s="18">
        <v>161615445</v>
      </c>
      <c r="H41" s="17">
        <v>1.575</v>
      </c>
      <c r="I41" s="19">
        <v>0.0253968253968255</v>
      </c>
      <c r="J41" s="17">
        <v>0.04</v>
      </c>
      <c r="K41" s="20">
        <v>261008943.675</v>
      </c>
      <c r="L41" s="19">
        <v>0.0912162162162162</v>
      </c>
    </row>
    <row r="42" ht="18.75" customHeight="1" spans="1:12">
      <c r="A42" s="16">
        <v>25569.4171978472</v>
      </c>
      <c r="B42" s="17">
        <v>0</v>
      </c>
      <c r="C42" s="17">
        <v>0</v>
      </c>
      <c r="D42" s="17">
        <v>0</v>
      </c>
      <c r="E42" s="17">
        <v>1.615</v>
      </c>
      <c r="F42" s="18">
        <v>0</v>
      </c>
      <c r="G42" s="18">
        <v>161615445</v>
      </c>
      <c r="H42" s="17">
        <v>1.615</v>
      </c>
      <c r="I42" s="19">
        <v>0</v>
      </c>
      <c r="J42" s="17">
        <v>0</v>
      </c>
      <c r="K42" s="20">
        <v>261008943.675</v>
      </c>
      <c r="L42" s="19">
        <v>0.0912162162162162</v>
      </c>
    </row>
    <row r="43" ht="18.75" customHeight="1" spans="1:12">
      <c r="A43" s="16">
        <v>25569.4171978588</v>
      </c>
      <c r="B43" s="17">
        <v>0</v>
      </c>
      <c r="C43" s="17">
        <v>0</v>
      </c>
      <c r="D43" s="17">
        <v>0</v>
      </c>
      <c r="E43" s="17">
        <v>1.615</v>
      </c>
      <c r="F43" s="18">
        <v>0</v>
      </c>
      <c r="G43" s="18">
        <v>161615445</v>
      </c>
      <c r="H43" s="17">
        <v>1.615</v>
      </c>
      <c r="I43" s="19">
        <v>0</v>
      </c>
      <c r="J43" s="17">
        <v>0</v>
      </c>
      <c r="K43" s="20">
        <v>261008943.675</v>
      </c>
      <c r="L43" s="19">
        <v>0.0912162162162162</v>
      </c>
    </row>
    <row r="44" ht="18.75" customHeight="1" spans="1:12">
      <c r="A44" s="16">
        <v>25569.4171978704</v>
      </c>
      <c r="B44" s="17">
        <v>0</v>
      </c>
      <c r="C44" s="17">
        <v>0</v>
      </c>
      <c r="D44" s="17">
        <v>0</v>
      </c>
      <c r="E44" s="17">
        <v>1.615</v>
      </c>
      <c r="F44" s="18">
        <v>0</v>
      </c>
      <c r="G44" s="18">
        <v>161615445</v>
      </c>
      <c r="H44" s="17">
        <v>1.615</v>
      </c>
      <c r="I44" s="19">
        <v>0</v>
      </c>
      <c r="J44" s="17">
        <v>0</v>
      </c>
      <c r="K44" s="20">
        <v>261008943.675</v>
      </c>
      <c r="L44" s="19">
        <v>0.0912162162162162</v>
      </c>
    </row>
    <row r="45" ht="18.75" customHeight="1" spans="1:12">
      <c r="A45" s="16">
        <v>25569.4171978819</v>
      </c>
      <c r="B45" s="17">
        <v>0</v>
      </c>
      <c r="C45" s="17">
        <v>0</v>
      </c>
      <c r="D45" s="17">
        <v>0</v>
      </c>
      <c r="E45" s="17">
        <v>1.615</v>
      </c>
      <c r="F45" s="18">
        <v>0</v>
      </c>
      <c r="G45" s="18">
        <v>161615445</v>
      </c>
      <c r="H45" s="17">
        <v>1.615</v>
      </c>
      <c r="I45" s="19">
        <v>0</v>
      </c>
      <c r="J45" s="17">
        <v>0</v>
      </c>
      <c r="K45" s="20">
        <v>261008943.675</v>
      </c>
      <c r="L45" s="19">
        <v>0.0912162162162162</v>
      </c>
    </row>
    <row r="46" ht="18.75" customHeight="1" spans="1:12">
      <c r="A46" s="16">
        <v>25569.4171978935</v>
      </c>
      <c r="B46" s="17">
        <v>1.615</v>
      </c>
      <c r="C46" s="17">
        <v>1.615</v>
      </c>
      <c r="D46" s="17">
        <v>1.575</v>
      </c>
      <c r="E46" s="17">
        <v>1.575</v>
      </c>
      <c r="F46" s="18">
        <v>2226</v>
      </c>
      <c r="G46" s="18">
        <v>161615445</v>
      </c>
      <c r="H46" s="17">
        <v>1.615</v>
      </c>
      <c r="I46" s="19">
        <v>-0.0247678018575852</v>
      </c>
      <c r="J46" s="17">
        <v>-0.04</v>
      </c>
      <c r="K46" s="20">
        <v>254544325.875</v>
      </c>
      <c r="L46" s="19">
        <v>0.0641891891891893</v>
      </c>
    </row>
    <row r="47" ht="18.75" customHeight="1" spans="1:12">
      <c r="A47" s="16">
        <v>25569.4171979282</v>
      </c>
      <c r="B47" s="17">
        <v>0</v>
      </c>
      <c r="C47" s="17">
        <v>0</v>
      </c>
      <c r="D47" s="17">
        <v>0</v>
      </c>
      <c r="E47" s="17">
        <v>1.575</v>
      </c>
      <c r="F47" s="18">
        <v>0</v>
      </c>
      <c r="G47" s="18">
        <v>161615445</v>
      </c>
      <c r="H47" s="17">
        <v>1.575</v>
      </c>
      <c r="I47" s="19">
        <v>0</v>
      </c>
      <c r="J47" s="17">
        <v>0</v>
      </c>
      <c r="K47" s="20">
        <v>254544325.875</v>
      </c>
      <c r="L47" s="19">
        <v>0.0641891891891893</v>
      </c>
    </row>
    <row r="48" ht="18.75" customHeight="1" spans="1:12">
      <c r="A48" s="16">
        <v>25569.4171979398</v>
      </c>
      <c r="B48" s="17">
        <v>0</v>
      </c>
      <c r="C48" s="17">
        <v>0</v>
      </c>
      <c r="D48" s="17">
        <v>0</v>
      </c>
      <c r="E48" s="17">
        <v>1.575</v>
      </c>
      <c r="F48" s="18">
        <v>0</v>
      </c>
      <c r="G48" s="18">
        <v>161615445</v>
      </c>
      <c r="H48" s="17">
        <v>1.575</v>
      </c>
      <c r="I48" s="19">
        <v>0</v>
      </c>
      <c r="J48" s="17">
        <v>0</v>
      </c>
      <c r="K48" s="20">
        <v>254544325.875</v>
      </c>
      <c r="L48" s="19">
        <v>0.0641891891891893</v>
      </c>
    </row>
    <row r="49" ht="18.75" customHeight="1" spans="1:12">
      <c r="A49" s="16">
        <v>25569.4171979514</v>
      </c>
      <c r="B49" s="17">
        <v>0</v>
      </c>
      <c r="C49" s="17">
        <v>0</v>
      </c>
      <c r="D49" s="17">
        <v>0</v>
      </c>
      <c r="E49" s="17">
        <v>1.575</v>
      </c>
      <c r="F49" s="18">
        <v>0</v>
      </c>
      <c r="G49" s="18">
        <v>161615445</v>
      </c>
      <c r="H49" s="17">
        <v>1.575</v>
      </c>
      <c r="I49" s="19">
        <v>0</v>
      </c>
      <c r="J49" s="17">
        <v>0</v>
      </c>
      <c r="K49" s="20">
        <v>254544325.875</v>
      </c>
      <c r="L49" s="19">
        <v>0.0641891891891893</v>
      </c>
    </row>
    <row r="50" ht="18.75" customHeight="1" spans="1:12">
      <c r="A50" s="16">
        <v>25569.417197963</v>
      </c>
      <c r="B50" s="17">
        <v>0</v>
      </c>
      <c r="C50" s="17">
        <v>0</v>
      </c>
      <c r="D50" s="17">
        <v>0</v>
      </c>
      <c r="E50" s="17">
        <v>1.575</v>
      </c>
      <c r="F50" s="18">
        <v>0</v>
      </c>
      <c r="G50" s="18">
        <v>161615445</v>
      </c>
      <c r="H50" s="17">
        <v>1.575</v>
      </c>
      <c r="I50" s="19">
        <v>0</v>
      </c>
      <c r="J50" s="17">
        <v>0</v>
      </c>
      <c r="K50" s="20">
        <v>254544325.875</v>
      </c>
      <c r="L50" s="19">
        <v>0.0641891891891893</v>
      </c>
    </row>
    <row r="51" ht="18.75" customHeight="1" spans="1:12">
      <c r="A51" s="16">
        <v>25569.4171979745</v>
      </c>
      <c r="B51" s="17">
        <v>0</v>
      </c>
      <c r="C51" s="17">
        <v>0</v>
      </c>
      <c r="D51" s="17">
        <v>0</v>
      </c>
      <c r="E51" s="17">
        <v>1.575</v>
      </c>
      <c r="F51" s="18">
        <v>0</v>
      </c>
      <c r="G51" s="18">
        <v>161615445</v>
      </c>
      <c r="H51" s="17">
        <v>1.575</v>
      </c>
      <c r="I51" s="19">
        <v>0</v>
      </c>
      <c r="J51" s="17">
        <v>0</v>
      </c>
      <c r="K51" s="20">
        <v>254544325.875</v>
      </c>
      <c r="L51" s="19">
        <v>0.0641891891891893</v>
      </c>
    </row>
    <row r="52" ht="18.75" customHeight="1" spans="1:12">
      <c r="A52" s="16">
        <v>25569.4171980093</v>
      </c>
      <c r="B52" s="17">
        <v>0</v>
      </c>
      <c r="C52" s="17">
        <v>0</v>
      </c>
      <c r="D52" s="17">
        <v>0</v>
      </c>
      <c r="E52" s="17">
        <v>1.575</v>
      </c>
      <c r="F52" s="18">
        <v>0</v>
      </c>
      <c r="G52" s="18">
        <v>161615445</v>
      </c>
      <c r="H52" s="17">
        <v>1.575</v>
      </c>
      <c r="I52" s="19">
        <v>0</v>
      </c>
      <c r="J52" s="17">
        <v>0</v>
      </c>
      <c r="K52" s="20">
        <v>254544325.875</v>
      </c>
      <c r="L52" s="19">
        <v>0.0641891891891893</v>
      </c>
    </row>
    <row r="53" ht="18.75" customHeight="1" spans="1:12">
      <c r="A53" s="16">
        <v>25569.4171980208</v>
      </c>
      <c r="B53" s="17">
        <v>0</v>
      </c>
      <c r="C53" s="17">
        <v>0</v>
      </c>
      <c r="D53" s="17">
        <v>0</v>
      </c>
      <c r="E53" s="17">
        <v>1.575</v>
      </c>
      <c r="F53" s="18">
        <v>0</v>
      </c>
      <c r="G53" s="18">
        <v>161615445</v>
      </c>
      <c r="H53" s="17">
        <v>1.575</v>
      </c>
      <c r="I53" s="19">
        <v>0</v>
      </c>
      <c r="J53" s="17">
        <v>0</v>
      </c>
      <c r="K53" s="20">
        <v>254544325.875</v>
      </c>
      <c r="L53" s="19">
        <v>0.0641891891891893</v>
      </c>
    </row>
    <row r="54" ht="18.75" customHeight="1" spans="1:12">
      <c r="A54" s="16">
        <v>25569.4171980324</v>
      </c>
      <c r="B54" s="17">
        <v>1.58</v>
      </c>
      <c r="C54" s="17">
        <v>1.58</v>
      </c>
      <c r="D54" s="17">
        <v>1.58</v>
      </c>
      <c r="E54" s="17">
        <v>1.58</v>
      </c>
      <c r="F54" s="18">
        <v>34</v>
      </c>
      <c r="G54" s="18">
        <v>161615445</v>
      </c>
      <c r="H54" s="17">
        <v>1.575</v>
      </c>
      <c r="I54" s="19">
        <v>0.00317460317460316</v>
      </c>
      <c r="J54" s="17">
        <v>0.00500000000000011</v>
      </c>
      <c r="K54" s="20">
        <v>255352403.1</v>
      </c>
      <c r="L54" s="19">
        <v>0.0675675675675675</v>
      </c>
    </row>
    <row r="55" ht="18.75" customHeight="1" spans="1:12">
      <c r="A55" s="16">
        <v>25569.417198044</v>
      </c>
      <c r="B55" s="17">
        <v>1.58</v>
      </c>
      <c r="C55" s="17">
        <v>1.58</v>
      </c>
      <c r="D55" s="17">
        <v>1.58</v>
      </c>
      <c r="E55" s="17">
        <v>1.58</v>
      </c>
      <c r="F55" s="18">
        <v>32</v>
      </c>
      <c r="G55" s="18">
        <v>161615445</v>
      </c>
      <c r="H55" s="17">
        <v>1.58</v>
      </c>
      <c r="I55" s="19">
        <v>0</v>
      </c>
      <c r="J55" s="17">
        <v>0</v>
      </c>
      <c r="K55" s="20">
        <v>255352403.1</v>
      </c>
      <c r="L55" s="19">
        <v>0.0675675675675675</v>
      </c>
    </row>
    <row r="56" ht="18.75" customHeight="1" spans="1:12">
      <c r="A56" s="16">
        <v>25569.4171980556</v>
      </c>
      <c r="B56" s="17">
        <v>0</v>
      </c>
      <c r="C56" s="17">
        <v>0</v>
      </c>
      <c r="D56" s="17">
        <v>0</v>
      </c>
      <c r="E56" s="17">
        <v>1.58</v>
      </c>
      <c r="F56" s="18">
        <v>0</v>
      </c>
      <c r="G56" s="18">
        <v>161615445</v>
      </c>
      <c r="H56" s="17">
        <v>1.58</v>
      </c>
      <c r="I56" s="19">
        <v>0</v>
      </c>
      <c r="J56" s="17">
        <v>0</v>
      </c>
      <c r="K56" s="20">
        <v>255352403.1</v>
      </c>
      <c r="L56" s="19">
        <v>0.0675675675675675</v>
      </c>
    </row>
    <row r="57" ht="18.75" customHeight="1" spans="1:12">
      <c r="A57" s="16">
        <v>25569.4171980903</v>
      </c>
      <c r="B57" s="17">
        <v>0</v>
      </c>
      <c r="C57" s="17">
        <v>0</v>
      </c>
      <c r="D57" s="17">
        <v>0</v>
      </c>
      <c r="E57" s="17">
        <v>1.58</v>
      </c>
      <c r="F57" s="18">
        <v>0</v>
      </c>
      <c r="G57" s="18">
        <v>161615445</v>
      </c>
      <c r="H57" s="17">
        <v>1.58</v>
      </c>
      <c r="I57" s="19">
        <v>0</v>
      </c>
      <c r="J57" s="17">
        <v>0</v>
      </c>
      <c r="K57" s="20">
        <v>255352403.1</v>
      </c>
      <c r="L57" s="19">
        <v>0.0675675675675675</v>
      </c>
    </row>
    <row r="58" ht="18.75" customHeight="1" spans="1:12">
      <c r="A58" s="16">
        <v>25569.4171981019</v>
      </c>
      <c r="B58" s="17">
        <v>0</v>
      </c>
      <c r="C58" s="17">
        <v>0</v>
      </c>
      <c r="D58" s="17">
        <v>0</v>
      </c>
      <c r="E58" s="17">
        <v>1.58</v>
      </c>
      <c r="F58" s="18">
        <v>0</v>
      </c>
      <c r="G58" s="18">
        <v>161615445</v>
      </c>
      <c r="H58" s="17">
        <v>1.58</v>
      </c>
      <c r="I58" s="19">
        <v>0</v>
      </c>
      <c r="J58" s="17">
        <v>0</v>
      </c>
      <c r="K58" s="20">
        <v>255352403.1</v>
      </c>
      <c r="L58" s="19">
        <v>0.0675675675675675</v>
      </c>
    </row>
    <row r="59" ht="18.75" customHeight="1" spans="1:12">
      <c r="A59" s="16">
        <v>25569.4171981134</v>
      </c>
      <c r="B59" s="17">
        <v>0</v>
      </c>
      <c r="C59" s="17">
        <v>0</v>
      </c>
      <c r="D59" s="17">
        <v>0</v>
      </c>
      <c r="E59" s="17">
        <v>1.58</v>
      </c>
      <c r="F59" s="18">
        <v>0</v>
      </c>
      <c r="G59" s="18">
        <v>161615445</v>
      </c>
      <c r="H59" s="17">
        <v>1.58</v>
      </c>
      <c r="I59" s="19">
        <v>0</v>
      </c>
      <c r="J59" s="17">
        <v>0</v>
      </c>
      <c r="K59" s="20">
        <v>255352403.1</v>
      </c>
      <c r="L59" s="19">
        <v>0.0675675675675675</v>
      </c>
    </row>
    <row r="60" ht="18.75" customHeight="1" spans="1:12">
      <c r="A60" s="16">
        <v>25569.417198125</v>
      </c>
      <c r="B60" s="17">
        <v>0</v>
      </c>
      <c r="C60" s="17">
        <v>0</v>
      </c>
      <c r="D60" s="17">
        <v>0</v>
      </c>
      <c r="E60" s="17">
        <v>1.58</v>
      </c>
      <c r="F60" s="18">
        <v>0</v>
      </c>
      <c r="G60" s="18">
        <v>161615445</v>
      </c>
      <c r="H60" s="17">
        <v>1.58</v>
      </c>
      <c r="I60" s="19">
        <v>0</v>
      </c>
      <c r="J60" s="17">
        <v>0</v>
      </c>
      <c r="K60" s="20">
        <v>255352403.1</v>
      </c>
      <c r="L60" s="19">
        <v>0.0675675675675675</v>
      </c>
    </row>
    <row r="61" ht="18.75" customHeight="1" spans="1:12">
      <c r="A61" s="16">
        <v>25569.4171981366</v>
      </c>
      <c r="B61" s="17">
        <v>0</v>
      </c>
      <c r="C61" s="17">
        <v>0</v>
      </c>
      <c r="D61" s="17">
        <v>0</v>
      </c>
      <c r="E61" s="17">
        <v>1.58</v>
      </c>
      <c r="F61" s="18">
        <v>0</v>
      </c>
      <c r="G61" s="18">
        <v>161615445</v>
      </c>
      <c r="H61" s="17">
        <v>1.58</v>
      </c>
      <c r="I61" s="19">
        <v>0</v>
      </c>
      <c r="J61" s="17">
        <v>0</v>
      </c>
      <c r="K61" s="20">
        <v>255352403.1</v>
      </c>
      <c r="L61" s="19">
        <v>0.0675675675675675</v>
      </c>
    </row>
    <row r="62" ht="18.75" customHeight="1" spans="1:12">
      <c r="A62" s="16">
        <v>25569.4171981713</v>
      </c>
      <c r="B62" s="17">
        <v>0</v>
      </c>
      <c r="C62" s="17">
        <v>0</v>
      </c>
      <c r="D62" s="17">
        <v>0</v>
      </c>
      <c r="E62" s="17">
        <v>1.58</v>
      </c>
      <c r="F62" s="18">
        <v>0</v>
      </c>
      <c r="G62" s="18">
        <v>161615445</v>
      </c>
      <c r="H62" s="17">
        <v>1.58</v>
      </c>
      <c r="I62" s="19">
        <v>0</v>
      </c>
      <c r="J62" s="17">
        <v>0</v>
      </c>
      <c r="K62" s="20">
        <v>255352403.1</v>
      </c>
      <c r="L62" s="19">
        <v>0.0675675675675675</v>
      </c>
    </row>
    <row r="63" ht="18.75" customHeight="1" spans="1:12">
      <c r="A63" s="16">
        <v>25569.4171981829</v>
      </c>
      <c r="B63" s="17">
        <v>0</v>
      </c>
      <c r="C63" s="17">
        <v>0</v>
      </c>
      <c r="D63" s="17">
        <v>0</v>
      </c>
      <c r="E63" s="17">
        <v>1.58</v>
      </c>
      <c r="F63" s="18">
        <v>0</v>
      </c>
      <c r="G63" s="18">
        <v>161615445</v>
      </c>
      <c r="H63" s="17">
        <v>1.58</v>
      </c>
      <c r="I63" s="19">
        <v>0</v>
      </c>
      <c r="J63" s="17">
        <v>0</v>
      </c>
      <c r="K63" s="20">
        <v>255352403.1</v>
      </c>
      <c r="L63" s="19">
        <v>0.0675675675675675</v>
      </c>
    </row>
    <row r="64" ht="18.75" customHeight="1" spans="1:12">
      <c r="A64" s="16">
        <v>25569.4171981944</v>
      </c>
      <c r="B64" s="17">
        <v>0</v>
      </c>
      <c r="C64" s="17">
        <v>0</v>
      </c>
      <c r="D64" s="17">
        <v>0</v>
      </c>
      <c r="E64" s="17">
        <v>1.58</v>
      </c>
      <c r="F64" s="18">
        <v>0</v>
      </c>
      <c r="G64" s="18">
        <v>161615445</v>
      </c>
      <c r="H64" s="17">
        <v>1.58</v>
      </c>
      <c r="I64" s="19">
        <v>0</v>
      </c>
      <c r="J64" s="17">
        <v>0</v>
      </c>
      <c r="K64" s="20">
        <v>255352403.1</v>
      </c>
      <c r="L64" s="19">
        <v>0.0675675675675675</v>
      </c>
    </row>
    <row r="65" ht="18.75" customHeight="1" spans="1:12">
      <c r="A65" s="16">
        <v>25569.417198206</v>
      </c>
      <c r="B65" s="17">
        <v>1.625</v>
      </c>
      <c r="C65" s="17">
        <v>1.625</v>
      </c>
      <c r="D65" s="17">
        <v>1.525</v>
      </c>
      <c r="E65" s="17">
        <v>1.525</v>
      </c>
      <c r="F65" s="18">
        <v>980</v>
      </c>
      <c r="G65" s="18">
        <v>161615445</v>
      </c>
      <c r="H65" s="17">
        <v>1.58</v>
      </c>
      <c r="I65" s="19">
        <v>-0.0348101265822786</v>
      </c>
      <c r="J65" s="17">
        <v>-0.0550000000000002</v>
      </c>
      <c r="K65" s="20">
        <v>246463553.625</v>
      </c>
      <c r="L65" s="19">
        <v>0.0304054054054053</v>
      </c>
    </row>
    <row r="66" ht="18.75" customHeight="1" spans="1:12">
      <c r="A66" s="16">
        <v>25569.4171982176</v>
      </c>
      <c r="B66" s="17">
        <v>0</v>
      </c>
      <c r="C66" s="17">
        <v>0</v>
      </c>
      <c r="D66" s="17">
        <v>0</v>
      </c>
      <c r="E66" s="17">
        <v>1.525</v>
      </c>
      <c r="F66" s="18">
        <v>0</v>
      </c>
      <c r="G66" s="18">
        <v>161615445</v>
      </c>
      <c r="H66" s="17">
        <v>1.525</v>
      </c>
      <c r="I66" s="19">
        <v>0</v>
      </c>
      <c r="J66" s="17">
        <v>0</v>
      </c>
      <c r="K66" s="20">
        <v>246463553.625</v>
      </c>
      <c r="L66" s="19">
        <v>0.0304054054054053</v>
      </c>
    </row>
    <row r="67" ht="18.75" customHeight="1" spans="1:12">
      <c r="A67" s="16">
        <v>25569.4171982523</v>
      </c>
      <c r="B67" s="17">
        <v>0</v>
      </c>
      <c r="C67" s="17">
        <v>0</v>
      </c>
      <c r="D67" s="17">
        <v>0</v>
      </c>
      <c r="E67" s="17">
        <v>1.525</v>
      </c>
      <c r="F67" s="18">
        <v>0</v>
      </c>
      <c r="G67" s="18">
        <v>161615445</v>
      </c>
      <c r="H67" s="17">
        <v>1.525</v>
      </c>
      <c r="I67" s="19">
        <v>0</v>
      </c>
      <c r="J67" s="17">
        <v>0</v>
      </c>
      <c r="K67" s="20">
        <v>246463553.625</v>
      </c>
      <c r="L67" s="19">
        <v>0.0304054054054053</v>
      </c>
    </row>
    <row r="68" ht="18.75" customHeight="1" spans="1:12">
      <c r="A68" s="16">
        <v>25569.4171982639</v>
      </c>
      <c r="B68" s="17">
        <v>0</v>
      </c>
      <c r="C68" s="17">
        <v>0</v>
      </c>
      <c r="D68" s="17">
        <v>0</v>
      </c>
      <c r="E68" s="17">
        <v>1.525</v>
      </c>
      <c r="F68" s="18">
        <v>0</v>
      </c>
      <c r="G68" s="18">
        <v>161615445</v>
      </c>
      <c r="H68" s="17">
        <v>1.525</v>
      </c>
      <c r="I68" s="19">
        <v>0</v>
      </c>
      <c r="J68" s="17">
        <v>0</v>
      </c>
      <c r="K68" s="20">
        <v>246463553.625</v>
      </c>
      <c r="L68" s="19">
        <v>0.0304054054054053</v>
      </c>
    </row>
    <row r="69" ht="18.75" customHeight="1" spans="1:12">
      <c r="A69" s="16">
        <v>25569.4171982755</v>
      </c>
      <c r="B69" s="17">
        <v>0</v>
      </c>
      <c r="C69" s="17">
        <v>0</v>
      </c>
      <c r="D69" s="17">
        <v>0</v>
      </c>
      <c r="E69" s="17">
        <v>1.525</v>
      </c>
      <c r="F69" s="18">
        <v>0</v>
      </c>
      <c r="G69" s="18">
        <v>161615445</v>
      </c>
      <c r="H69" s="17">
        <v>1.525</v>
      </c>
      <c r="I69" s="19">
        <v>0</v>
      </c>
      <c r="J69" s="17">
        <v>0</v>
      </c>
      <c r="K69" s="20">
        <v>246463553.625</v>
      </c>
      <c r="L69" s="19">
        <v>0.0304054054054053</v>
      </c>
    </row>
    <row r="70" ht="18.75" customHeight="1" spans="1:12">
      <c r="A70" s="16">
        <v>25569.417198287</v>
      </c>
      <c r="B70" s="17">
        <v>0</v>
      </c>
      <c r="C70" s="17">
        <v>0</v>
      </c>
      <c r="D70" s="17">
        <v>0</v>
      </c>
      <c r="E70" s="17">
        <v>1.525</v>
      </c>
      <c r="F70" s="18">
        <v>0</v>
      </c>
      <c r="G70" s="18">
        <v>161615445</v>
      </c>
      <c r="H70" s="17">
        <v>1.525</v>
      </c>
      <c r="I70" s="19">
        <v>0</v>
      </c>
      <c r="J70" s="17">
        <v>0</v>
      </c>
      <c r="K70" s="20">
        <v>246463553.625</v>
      </c>
      <c r="L70" s="19">
        <v>0.0304054054054053</v>
      </c>
    </row>
    <row r="71" ht="18.75" customHeight="1" spans="1:12">
      <c r="A71" s="16">
        <v>25569.4171982986</v>
      </c>
      <c r="B71" s="17">
        <v>1.6</v>
      </c>
      <c r="C71" s="17">
        <v>1.6</v>
      </c>
      <c r="D71" s="17">
        <v>1.6</v>
      </c>
      <c r="E71" s="17">
        <v>1.6</v>
      </c>
      <c r="F71" s="18">
        <v>8</v>
      </c>
      <c r="G71" s="18">
        <v>161615445</v>
      </c>
      <c r="H71" s="17">
        <v>1.525</v>
      </c>
      <c r="I71" s="19">
        <v>0.0491803278688525</v>
      </c>
      <c r="J71" s="17">
        <v>0.0750000000000002</v>
      </c>
      <c r="K71" s="20">
        <v>258584712</v>
      </c>
      <c r="L71" s="19">
        <v>0.0810810810810811</v>
      </c>
    </row>
    <row r="72" ht="18.75" customHeight="1" spans="1:12">
      <c r="A72" s="16">
        <v>25569.4171983333</v>
      </c>
      <c r="B72" s="17">
        <v>1.6</v>
      </c>
      <c r="C72" s="17">
        <v>1.6</v>
      </c>
      <c r="D72" s="17">
        <v>1.6</v>
      </c>
      <c r="E72" s="17">
        <v>1.6</v>
      </c>
      <c r="F72" s="18">
        <v>350</v>
      </c>
      <c r="G72" s="18">
        <v>161615445</v>
      </c>
      <c r="H72" s="17">
        <v>1.6</v>
      </c>
      <c r="I72" s="19">
        <v>0</v>
      </c>
      <c r="J72" s="17">
        <v>0</v>
      </c>
      <c r="K72" s="20">
        <v>258584712</v>
      </c>
      <c r="L72" s="19">
        <v>0.0810810810810811</v>
      </c>
    </row>
    <row r="73" ht="18.75" customHeight="1" spans="1:12">
      <c r="A73" s="16">
        <v>25569.4171983449</v>
      </c>
      <c r="B73" s="17">
        <v>0</v>
      </c>
      <c r="C73" s="17">
        <v>0</v>
      </c>
      <c r="D73" s="17">
        <v>0</v>
      </c>
      <c r="E73" s="17">
        <v>1.6</v>
      </c>
      <c r="F73" s="18">
        <v>0</v>
      </c>
      <c r="G73" s="18">
        <v>161615445</v>
      </c>
      <c r="H73" s="17">
        <v>1.6</v>
      </c>
      <c r="I73" s="19">
        <v>0</v>
      </c>
      <c r="J73" s="17">
        <v>0</v>
      </c>
      <c r="K73" s="20">
        <v>258584712</v>
      </c>
      <c r="L73" s="19">
        <v>0.0810810810810811</v>
      </c>
    </row>
    <row r="74" ht="18.75" customHeight="1" spans="1:12">
      <c r="A74" s="16">
        <v>25569.4171983565</v>
      </c>
      <c r="B74" s="17">
        <v>0</v>
      </c>
      <c r="C74" s="17">
        <v>0</v>
      </c>
      <c r="D74" s="17">
        <v>0</v>
      </c>
      <c r="E74" s="17">
        <v>1.6</v>
      </c>
      <c r="F74" s="18">
        <v>0</v>
      </c>
      <c r="G74" s="18">
        <v>161615445</v>
      </c>
      <c r="H74" s="17">
        <v>1.6</v>
      </c>
      <c r="I74" s="19">
        <v>0</v>
      </c>
      <c r="J74" s="17">
        <v>0</v>
      </c>
      <c r="K74" s="20">
        <v>258584712</v>
      </c>
      <c r="L74" s="19">
        <v>0.0810810810810811</v>
      </c>
    </row>
    <row r="75" ht="18.75" customHeight="1" spans="1:12">
      <c r="A75" s="16">
        <v>25569.4171983681</v>
      </c>
      <c r="B75" s="17">
        <v>0</v>
      </c>
      <c r="C75" s="17">
        <v>0</v>
      </c>
      <c r="D75" s="17">
        <v>0</v>
      </c>
      <c r="E75" s="17">
        <v>1.6</v>
      </c>
      <c r="F75" s="18">
        <v>0</v>
      </c>
      <c r="G75" s="18">
        <v>161615445</v>
      </c>
      <c r="H75" s="17">
        <v>1.6</v>
      </c>
      <c r="I75" s="19">
        <v>0</v>
      </c>
      <c r="J75" s="17">
        <v>0</v>
      </c>
      <c r="K75" s="20">
        <v>258584712</v>
      </c>
      <c r="L75" s="19">
        <v>0.0810810810810811</v>
      </c>
    </row>
    <row r="76" ht="18.75" customHeight="1" spans="1:12">
      <c r="A76" s="16">
        <v>25569.4171983796</v>
      </c>
      <c r="B76" s="17">
        <v>0</v>
      </c>
      <c r="C76" s="17">
        <v>0</v>
      </c>
      <c r="D76" s="17">
        <v>0</v>
      </c>
      <c r="E76" s="17">
        <v>1.6</v>
      </c>
      <c r="F76" s="18">
        <v>0</v>
      </c>
      <c r="G76" s="18">
        <v>161615445</v>
      </c>
      <c r="H76" s="17">
        <v>1.6</v>
      </c>
      <c r="I76" s="19">
        <v>0</v>
      </c>
      <c r="J76" s="17">
        <v>0</v>
      </c>
      <c r="K76" s="20">
        <v>258584712</v>
      </c>
      <c r="L76" s="19">
        <v>0.0810810810810811</v>
      </c>
    </row>
    <row r="77" ht="18.75" customHeight="1" spans="1:12">
      <c r="A77" s="16">
        <v>25569.4171984144</v>
      </c>
      <c r="B77" s="17">
        <v>2.185</v>
      </c>
      <c r="C77" s="17">
        <v>2.19</v>
      </c>
      <c r="D77" s="17">
        <v>2.18</v>
      </c>
      <c r="E77" s="17">
        <v>2.18</v>
      </c>
      <c r="F77" s="18">
        <v>23082</v>
      </c>
      <c r="G77" s="18">
        <v>161615445</v>
      </c>
      <c r="H77" s="17">
        <v>1.6</v>
      </c>
      <c r="I77" s="19">
        <v>0.3625</v>
      </c>
      <c r="J77" s="17">
        <v>0.58</v>
      </c>
      <c r="K77" s="20">
        <v>352321670.1</v>
      </c>
      <c r="L77" s="19">
        <v>0.472972972972973</v>
      </c>
    </row>
    <row r="78" ht="18.75" customHeight="1" spans="1:12">
      <c r="A78" s="16">
        <v>25569.4171984259</v>
      </c>
      <c r="B78" s="17">
        <v>2.18</v>
      </c>
      <c r="C78" s="17">
        <v>2.19</v>
      </c>
      <c r="D78" s="17">
        <v>2.18</v>
      </c>
      <c r="E78" s="17">
        <v>2.18</v>
      </c>
      <c r="F78" s="18">
        <v>2881</v>
      </c>
      <c r="G78" s="18">
        <v>161615445</v>
      </c>
      <c r="H78" s="17">
        <v>2.18</v>
      </c>
      <c r="I78" s="19">
        <v>0</v>
      </c>
      <c r="J78" s="17">
        <v>0</v>
      </c>
      <c r="K78" s="20">
        <v>352321670.1</v>
      </c>
      <c r="L78" s="19">
        <v>0.472972972972973</v>
      </c>
    </row>
    <row r="79" ht="18.75" customHeight="1" spans="1:12">
      <c r="A79" s="16">
        <v>25569.4171984375</v>
      </c>
      <c r="B79" s="17">
        <v>2.19</v>
      </c>
      <c r="C79" s="17">
        <v>2.19</v>
      </c>
      <c r="D79" s="17">
        <v>2.19</v>
      </c>
      <c r="E79" s="17">
        <v>2.19</v>
      </c>
      <c r="F79" s="18">
        <v>8</v>
      </c>
      <c r="G79" s="18">
        <v>161615445</v>
      </c>
      <c r="H79" s="17">
        <v>2.18</v>
      </c>
      <c r="I79" s="19">
        <v>0.00458715596330261</v>
      </c>
      <c r="J79" s="17">
        <v>0.00999999999999979</v>
      </c>
      <c r="K79" s="20">
        <v>353937824.55</v>
      </c>
      <c r="L79" s="19">
        <v>0.47972972972973</v>
      </c>
    </row>
    <row r="80" ht="18.75" customHeight="1" spans="1:12">
      <c r="A80" s="16">
        <v>25569.4171984491</v>
      </c>
      <c r="B80" s="17">
        <v>0</v>
      </c>
      <c r="C80" s="17">
        <v>0</v>
      </c>
      <c r="D80" s="17">
        <v>0</v>
      </c>
      <c r="E80" s="17">
        <v>2.19</v>
      </c>
      <c r="F80" s="18">
        <v>0</v>
      </c>
      <c r="G80" s="18">
        <v>161615445</v>
      </c>
      <c r="H80" s="17">
        <v>2.19</v>
      </c>
      <c r="I80" s="19">
        <v>0</v>
      </c>
      <c r="J80" s="17">
        <v>0</v>
      </c>
      <c r="K80" s="20">
        <v>353937824.55</v>
      </c>
      <c r="L80" s="19">
        <v>0.47972972972973</v>
      </c>
    </row>
    <row r="81" ht="18.75" customHeight="1" spans="1:12">
      <c r="A81" s="16">
        <v>25569.4171984607</v>
      </c>
      <c r="B81" s="17">
        <v>2.19</v>
      </c>
      <c r="C81" s="17">
        <v>2.19</v>
      </c>
      <c r="D81" s="17">
        <v>2.18</v>
      </c>
      <c r="E81" s="17">
        <v>2.18</v>
      </c>
      <c r="F81" s="18">
        <v>17</v>
      </c>
      <c r="G81" s="18">
        <v>161615445</v>
      </c>
      <c r="H81" s="17">
        <v>2.19</v>
      </c>
      <c r="I81" s="19">
        <v>-0.00456621004566204</v>
      </c>
      <c r="J81" s="17">
        <v>-0.00999999999999979</v>
      </c>
      <c r="K81" s="20">
        <v>352321670.1</v>
      </c>
      <c r="L81" s="19">
        <v>0.472972972972973</v>
      </c>
    </row>
    <row r="82" ht="18.75" customHeight="1" spans="1:12">
      <c r="A82" s="16">
        <v>25569.4171984954</v>
      </c>
      <c r="B82" s="17">
        <v>2.19</v>
      </c>
      <c r="C82" s="17">
        <v>2.19</v>
      </c>
      <c r="D82" s="17">
        <v>2.18</v>
      </c>
      <c r="E82" s="17">
        <v>2.18</v>
      </c>
      <c r="F82" s="18">
        <v>2</v>
      </c>
      <c r="G82" s="18">
        <v>161615445</v>
      </c>
      <c r="H82" s="17">
        <v>2.18</v>
      </c>
      <c r="I82" s="19">
        <v>0</v>
      </c>
      <c r="J82" s="17">
        <v>0</v>
      </c>
      <c r="K82" s="20">
        <v>352321670.1</v>
      </c>
      <c r="L82" s="19">
        <v>0.472972972972973</v>
      </c>
    </row>
    <row r="83" ht="18.75" customHeight="1" spans="1:12">
      <c r="A83" s="16">
        <v>25569.4171985069</v>
      </c>
      <c r="B83" s="17">
        <v>2.18</v>
      </c>
      <c r="C83" s="17">
        <v>2.18</v>
      </c>
      <c r="D83" s="17">
        <v>2.18</v>
      </c>
      <c r="E83" s="17">
        <v>2.18</v>
      </c>
      <c r="F83" s="18">
        <v>37</v>
      </c>
      <c r="G83" s="18">
        <v>161615445</v>
      </c>
      <c r="H83" s="17">
        <v>2.18</v>
      </c>
      <c r="I83" s="19">
        <v>0</v>
      </c>
      <c r="J83" s="17">
        <v>0</v>
      </c>
      <c r="K83" s="20">
        <v>352321670.1</v>
      </c>
      <c r="L83" s="19">
        <v>0.472972972972973</v>
      </c>
    </row>
    <row r="84" ht="18.75" customHeight="1" spans="1:12">
      <c r="A84" s="16">
        <v>25569.4171985185</v>
      </c>
      <c r="B84" s="17">
        <v>2.19</v>
      </c>
      <c r="C84" s="17">
        <v>2.19</v>
      </c>
      <c r="D84" s="17">
        <v>2.19</v>
      </c>
      <c r="E84" s="17">
        <v>2.19</v>
      </c>
      <c r="F84" s="18">
        <v>5</v>
      </c>
      <c r="G84" s="18">
        <v>161615445</v>
      </c>
      <c r="H84" s="17">
        <v>2.18</v>
      </c>
      <c r="I84" s="19">
        <v>0.00458715596330261</v>
      </c>
      <c r="J84" s="17">
        <v>0.00999999999999979</v>
      </c>
      <c r="K84" s="20">
        <v>353937824.55</v>
      </c>
      <c r="L84" s="19">
        <v>0.47972972972973</v>
      </c>
    </row>
    <row r="85" ht="18.75" customHeight="1" spans="1:12">
      <c r="A85" s="16">
        <v>25569.4171985301</v>
      </c>
      <c r="B85" s="17">
        <v>0</v>
      </c>
      <c r="C85" s="17">
        <v>0</v>
      </c>
      <c r="D85" s="17">
        <v>0</v>
      </c>
      <c r="E85" s="17">
        <v>2.19</v>
      </c>
      <c r="F85" s="18">
        <v>0</v>
      </c>
      <c r="G85" s="18">
        <v>161615445</v>
      </c>
      <c r="H85" s="17">
        <v>2.19</v>
      </c>
      <c r="I85" s="19">
        <v>0</v>
      </c>
      <c r="J85" s="17">
        <v>0</v>
      </c>
      <c r="K85" s="20">
        <v>353937824.55</v>
      </c>
      <c r="L85" s="19">
        <v>0.47972972972973</v>
      </c>
    </row>
    <row r="86" ht="18.75" customHeight="1" spans="1:12">
      <c r="A86" s="16">
        <v>25569.4171985417</v>
      </c>
      <c r="B86" s="17">
        <v>2.19</v>
      </c>
      <c r="C86" s="17">
        <v>2.19</v>
      </c>
      <c r="D86" s="17">
        <v>2.18</v>
      </c>
      <c r="E86" s="17">
        <v>2.18</v>
      </c>
      <c r="F86" s="18">
        <v>5</v>
      </c>
      <c r="G86" s="18">
        <v>161615445</v>
      </c>
      <c r="H86" s="17">
        <v>2.19</v>
      </c>
      <c r="I86" s="19">
        <v>-0.00456621004566204</v>
      </c>
      <c r="J86" s="17">
        <v>-0.00999999999999979</v>
      </c>
      <c r="K86" s="20">
        <v>352321670.1</v>
      </c>
      <c r="L86" s="19">
        <v>0.472972972972973</v>
      </c>
    </row>
    <row r="87" ht="18.75" customHeight="1" spans="1:12">
      <c r="A87" s="16">
        <v>25569.4171985764</v>
      </c>
      <c r="B87" s="17">
        <v>2.19</v>
      </c>
      <c r="C87" s="17">
        <v>2.19</v>
      </c>
      <c r="D87" s="17">
        <v>2.18</v>
      </c>
      <c r="E87" s="17">
        <v>2.18</v>
      </c>
      <c r="F87" s="18">
        <v>2</v>
      </c>
      <c r="G87" s="18">
        <v>161615445</v>
      </c>
      <c r="H87" s="17">
        <v>2.18</v>
      </c>
      <c r="I87" s="19">
        <v>0</v>
      </c>
      <c r="J87" s="17">
        <v>0</v>
      </c>
      <c r="K87" s="20">
        <v>352321670.1</v>
      </c>
      <c r="L87" s="19">
        <v>0.472972972972973</v>
      </c>
    </row>
    <row r="88" ht="18.75" customHeight="1" spans="1:12">
      <c r="A88" s="16">
        <v>25569.417198588</v>
      </c>
      <c r="B88" s="17">
        <v>2.19</v>
      </c>
      <c r="C88" s="17">
        <v>2.19</v>
      </c>
      <c r="D88" s="17">
        <v>2.18</v>
      </c>
      <c r="E88" s="17">
        <v>2.18</v>
      </c>
      <c r="F88" s="18">
        <v>920</v>
      </c>
      <c r="G88" s="18">
        <v>161615445</v>
      </c>
      <c r="H88" s="17">
        <v>2.18</v>
      </c>
      <c r="I88" s="19">
        <v>0</v>
      </c>
      <c r="J88" s="17">
        <v>0</v>
      </c>
      <c r="K88" s="20">
        <v>352321670.1</v>
      </c>
      <c r="L88" s="19">
        <v>0.472972972972973</v>
      </c>
    </row>
    <row r="89" ht="18.75" customHeight="1" spans="1:12">
      <c r="A89" s="16">
        <v>25569.4171985995</v>
      </c>
      <c r="B89" s="17">
        <v>2.18</v>
      </c>
      <c r="C89" s="17">
        <v>2.18</v>
      </c>
      <c r="D89" s="17">
        <v>2.18</v>
      </c>
      <c r="E89" s="17">
        <v>2.18</v>
      </c>
      <c r="F89" s="18">
        <v>56</v>
      </c>
      <c r="G89" s="18">
        <v>161615445</v>
      </c>
      <c r="H89" s="17">
        <v>2.18</v>
      </c>
      <c r="I89" s="19">
        <v>0</v>
      </c>
      <c r="J89" s="17">
        <v>0</v>
      </c>
      <c r="K89" s="20">
        <v>352321670.1</v>
      </c>
      <c r="L89" s="19">
        <v>0.472972972972973</v>
      </c>
    </row>
    <row r="90" ht="18.75" customHeight="1" spans="1:12">
      <c r="A90" s="16">
        <v>25569.4171986111</v>
      </c>
      <c r="B90" s="17">
        <v>2.19</v>
      </c>
      <c r="C90" s="17">
        <v>2.19</v>
      </c>
      <c r="D90" s="17">
        <v>2.19</v>
      </c>
      <c r="E90" s="17">
        <v>2.19</v>
      </c>
      <c r="F90" s="18">
        <v>2396</v>
      </c>
      <c r="G90" s="18">
        <v>161615445</v>
      </c>
      <c r="H90" s="17">
        <v>2.18</v>
      </c>
      <c r="I90" s="19">
        <v>0.00458715596330261</v>
      </c>
      <c r="J90" s="17">
        <v>0.00999999999999979</v>
      </c>
      <c r="K90" s="20">
        <v>353937824.55</v>
      </c>
      <c r="L90" s="19">
        <v>0.47972972972973</v>
      </c>
    </row>
    <row r="91" ht="18.75" customHeight="1" spans="1:12">
      <c r="A91" s="16">
        <v>25569.4171986227</v>
      </c>
      <c r="B91" s="17">
        <v>2.18</v>
      </c>
      <c r="C91" s="17">
        <v>2.18</v>
      </c>
      <c r="D91" s="17">
        <v>2.18</v>
      </c>
      <c r="E91" s="17">
        <v>2.18</v>
      </c>
      <c r="F91" s="18">
        <v>745</v>
      </c>
      <c r="G91" s="18">
        <v>161615445</v>
      </c>
      <c r="H91" s="17">
        <v>2.19</v>
      </c>
      <c r="I91" s="19">
        <v>-0.00456621004566204</v>
      </c>
      <c r="J91" s="17">
        <v>-0.00999999999999979</v>
      </c>
      <c r="K91" s="20">
        <v>352321670.1</v>
      </c>
      <c r="L91" s="19">
        <v>0.472972972972973</v>
      </c>
    </row>
    <row r="92" ht="18.75" customHeight="1" spans="1:12">
      <c r="A92" s="16">
        <v>25569.4171986574</v>
      </c>
      <c r="B92" s="17">
        <v>0</v>
      </c>
      <c r="C92" s="17">
        <v>0</v>
      </c>
      <c r="D92" s="17">
        <v>0</v>
      </c>
      <c r="E92" s="17">
        <v>2.18</v>
      </c>
      <c r="F92" s="18">
        <v>0</v>
      </c>
      <c r="G92" s="18">
        <v>161615445</v>
      </c>
      <c r="H92" s="17">
        <v>2.18</v>
      </c>
      <c r="I92" s="19">
        <v>0</v>
      </c>
      <c r="J92" s="17">
        <v>0</v>
      </c>
      <c r="K92" s="20">
        <v>352321670.1</v>
      </c>
      <c r="L92" s="19">
        <v>0.472972972972973</v>
      </c>
    </row>
    <row r="93" ht="18.75" customHeight="1" spans="1:12">
      <c r="A93" s="16">
        <v>25569.417198669</v>
      </c>
      <c r="B93" s="17">
        <v>0</v>
      </c>
      <c r="C93" s="17">
        <v>0</v>
      </c>
      <c r="D93" s="17">
        <v>0</v>
      </c>
      <c r="E93" s="17">
        <v>2.18</v>
      </c>
      <c r="F93" s="18">
        <v>0</v>
      </c>
      <c r="G93" s="18">
        <v>161615445</v>
      </c>
      <c r="H93" s="17">
        <v>2.18</v>
      </c>
      <c r="I93" s="19">
        <v>0</v>
      </c>
      <c r="J93" s="17">
        <v>0</v>
      </c>
      <c r="K93" s="20">
        <v>352321670.1</v>
      </c>
      <c r="L93" s="19">
        <v>0.472972972972973</v>
      </c>
    </row>
    <row r="94" ht="18.75" customHeight="1" spans="1:12">
      <c r="A94" s="16">
        <v>25569.4171986806</v>
      </c>
      <c r="B94" s="17">
        <v>0</v>
      </c>
      <c r="C94" s="17">
        <v>0</v>
      </c>
      <c r="D94" s="17">
        <v>0</v>
      </c>
      <c r="E94" s="17">
        <v>2.18</v>
      </c>
      <c r="F94" s="18">
        <v>0</v>
      </c>
      <c r="G94" s="18">
        <v>161615445</v>
      </c>
      <c r="H94" s="17">
        <v>2.18</v>
      </c>
      <c r="I94" s="19">
        <v>0</v>
      </c>
      <c r="J94" s="17">
        <v>0</v>
      </c>
      <c r="K94" s="20">
        <v>352321670.1</v>
      </c>
      <c r="L94" s="19">
        <v>0.472972972972973</v>
      </c>
    </row>
  </sheetData>
  <mergeCells count="1">
    <mergeCell ref="A1:L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tabSelected="1" workbookViewId="0">
      <pane ySplit="1" topLeftCell="A2" activePane="bottomLeft" state="frozen"/>
      <selection/>
      <selection pane="bottomLeft" activeCell="B3" sqref="B4 B3"/>
    </sheetView>
  </sheetViews>
  <sheetFormatPr defaultColWidth="9" defaultRowHeight="17.6" outlineLevelCol="1"/>
  <cols>
    <col min="1" max="1" width="28" customWidth="1"/>
    <col min="2" max="2" width="110" customWidth="1"/>
  </cols>
  <sheetData>
    <row r="1" ht="32" customHeight="1" spans="1:2">
      <c r="A1" s="6" t="s">
        <v>0</v>
      </c>
      <c r="B1" s="6" t="s">
        <v>209</v>
      </c>
    </row>
    <row r="2" ht="17.65" spans="1:2">
      <c r="A2" s="7" t="s">
        <v>210</v>
      </c>
      <c r="B2" s="3" t="s">
        <v>211</v>
      </c>
    </row>
    <row r="3" ht="17.65" spans="1:2">
      <c r="A3" s="7" t="s">
        <v>212</v>
      </c>
      <c r="B3" s="3" t="s">
        <v>211</v>
      </c>
    </row>
    <row r="4" ht="17.65" spans="1:2">
      <c r="A4" s="7" t="s">
        <v>213</v>
      </c>
      <c r="B4" s="3" t="s">
        <v>211</v>
      </c>
    </row>
    <row r="5" ht="17.65" spans="1:2">
      <c r="A5" s="7" t="s">
        <v>8</v>
      </c>
      <c r="B5" s="3" t="s">
        <v>214</v>
      </c>
    </row>
    <row r="6" ht="17.65" spans="1:2">
      <c r="A6" s="7" t="s">
        <v>129</v>
      </c>
      <c r="B6" s="3" t="s">
        <v>215</v>
      </c>
    </row>
    <row r="7" ht="17.65" spans="1:2">
      <c r="A7" s="7" t="s">
        <v>216</v>
      </c>
      <c r="B7" s="3" t="s">
        <v>217</v>
      </c>
    </row>
    <row r="8" ht="35.25" spans="1:2">
      <c r="A8" s="7" t="s">
        <v>218</v>
      </c>
      <c r="B8" s="3" t="s">
        <v>219</v>
      </c>
    </row>
    <row r="9" ht="17.65" spans="1:2">
      <c r="A9" s="7" t="s">
        <v>220</v>
      </c>
      <c r="B9" s="3" t="s">
        <v>221</v>
      </c>
    </row>
    <row r="10" ht="35.25" spans="1:2">
      <c r="A10" s="7" t="s">
        <v>222</v>
      </c>
      <c r="B10" s="3" t="s">
        <v>223</v>
      </c>
    </row>
  </sheetData>
  <autoFilter xmlns:etc="http://www.wps.cn/officeDocument/2017/etCustomData" ref="A1:B10" etc:filterBottomFollowUsedRange="0">
    <extLst/>
  </autoFilter>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
  <sheetViews>
    <sheetView workbookViewId="0">
      <pane ySplit="1" topLeftCell="A2" activePane="bottomLeft" state="frozen"/>
      <selection/>
      <selection pane="bottomLeft" activeCell="A1" sqref="A1:B1"/>
    </sheetView>
  </sheetViews>
  <sheetFormatPr defaultColWidth="9" defaultRowHeight="17.6" outlineLevelCol="1"/>
  <cols>
    <col min="1" max="1" width="28" customWidth="1"/>
    <col min="2" max="2" width="95" customWidth="1"/>
  </cols>
  <sheetData>
    <row r="1" ht="23.25" spans="1:2">
      <c r="A1" s="1" t="s">
        <v>224</v>
      </c>
    </row>
    <row r="2" ht="17.65" spans="1:2">
      <c r="A2" s="2" t="s">
        <v>12</v>
      </c>
      <c r="B2" s="3" t="s">
        <v>13</v>
      </c>
    </row>
    <row r="3" ht="17.65" spans="1:2">
      <c r="A3" s="2" t="s">
        <v>8</v>
      </c>
      <c r="B3" s="3" t="s">
        <v>9</v>
      </c>
    </row>
    <row r="4" ht="17.65" spans="1:2">
      <c r="A4" s="2" t="s">
        <v>129</v>
      </c>
      <c r="B4" s="3" t="s">
        <v>11</v>
      </c>
    </row>
    <row r="5" ht="17.65" spans="1:2">
      <c r="A5" s="2" t="s">
        <v>14</v>
      </c>
      <c r="B5" s="3" t="s">
        <v>15</v>
      </c>
    </row>
    <row r="6" ht="17.65" spans="1:2">
      <c r="A6" s="2" t="s">
        <v>225</v>
      </c>
      <c r="B6" s="3">
        <v>92</v>
      </c>
    </row>
    <row r="7" ht="17.65" spans="1:2">
      <c r="A7" s="2" t="s">
        <v>226</v>
      </c>
      <c r="B7" s="4">
        <v>1.48</v>
      </c>
    </row>
    <row r="8" ht="17.65" spans="1:2">
      <c r="A8" s="2" t="s">
        <v>91</v>
      </c>
      <c r="B8" s="4">
        <v>2.18</v>
      </c>
    </row>
    <row r="9" ht="17.65" spans="1:2">
      <c r="A9" s="2" t="s">
        <v>227</v>
      </c>
      <c r="B9" s="5">
        <v>0.472972972972973</v>
      </c>
    </row>
    <row r="10" ht="35.25" spans="1:2">
      <c r="A10" s="2" t="s">
        <v>228</v>
      </c>
      <c r="B10" s="3">
        <v>53</v>
      </c>
    </row>
    <row r="11" ht="17.65" spans="1:2">
      <c r="A11" s="2" t="s">
        <v>229</v>
      </c>
      <c r="B11" s="3">
        <v>0</v>
      </c>
    </row>
    <row r="12" ht="17.65" spans="1:2">
      <c r="A12" s="2" t="s">
        <v>17</v>
      </c>
      <c r="B12" s="3" t="s">
        <v>230</v>
      </c>
    </row>
    <row r="13" ht="17.65" spans="1:2">
      <c r="A13" s="2" t="s">
        <v>19</v>
      </c>
      <c r="B13" s="3" t="s">
        <v>231</v>
      </c>
    </row>
    <row r="14" ht="35.25" spans="1:2">
      <c r="A14" s="2" t="s">
        <v>232</v>
      </c>
      <c r="B14" s="3" t="s">
        <v>233</v>
      </c>
    </row>
  </sheetData>
  <mergeCells count="1">
    <mergeCell ref="A1:B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13</vt:i4>
      </vt:variant>
    </vt:vector>
  </HeadingPairs>
  <TitlesOfParts>
    <vt:vector size="13" baseType="lpstr">
      <vt:lpstr>README</vt:lpstr>
      <vt:lpstr>Raw_Data</vt:lpstr>
      <vt:lpstr>Clean_Data</vt:lpstr>
      <vt:lpstr>EDA</vt:lpstr>
      <vt:lpstr>Calculations</vt:lpstr>
      <vt:lpstr>Charts</vt:lpstr>
      <vt:lpstr>EDA_Summary</vt:lpstr>
      <vt:lpstr>Data_Dictionary</vt:lpstr>
      <vt:lpstr>Descriptive_Stats</vt:lpstr>
      <vt:lpstr>EDA_Questions</vt:lpstr>
      <vt:lpstr>Daily_Analysis</vt:lpstr>
      <vt:lpstr>Sources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zch</cp:lastModifiedBy>
  <dcterms:created xsi:type="dcterms:W3CDTF">2026-08-22T15:52:00Z</dcterms:created>
  <dcterms:modified xsi:type="dcterms:W3CDTF">2026-08-22T16:32:00Z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F0CD9CD575DE15C96042896A723B6AA6_42</vt:lpwstr>
  </property>
  <property fmtid="{D5CDD505-2E9C-101B-9397-08002B2CF9AE}" pid="3" name="KSOProductBuildVer">
    <vt:lpwstr>2052-12.1.2.28080</vt:lpwstr>
  </property>
  <property fmtid="{D5CDD505-2E9C-101B-9397-08002B2CF9AE}" pid="4" name="CalculationRule">
    <vt:i4>0</vt:i4>
  </property>
</Properties>
</file>